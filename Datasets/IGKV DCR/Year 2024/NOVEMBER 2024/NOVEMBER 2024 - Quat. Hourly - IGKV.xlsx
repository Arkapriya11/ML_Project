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814" firstSheet="13" activeTab="30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MONTHLY 30" sheetId="39" r:id="rId31"/>
    <sheet name="CALIBRATION REPORT" sheetId="6" r:id="rId32"/>
    <sheet name="POWER OFF" sheetId="5" r:id="rId33"/>
    <sheet name="MUX SIGNALS" sheetId="43" r:id="rId34"/>
  </sheets>
  <calcPr calcId="124519"/>
</workbook>
</file>

<file path=xl/calcChain.xml><?xml version="1.0" encoding="utf-8"?>
<calcChain xmlns="http://schemas.openxmlformats.org/spreadsheetml/2006/main">
  <c r="D44" i="5"/>
  <c r="D24"/>
  <c r="D23"/>
  <c r="D22"/>
  <c r="D21"/>
  <c r="D20"/>
  <c r="D19"/>
  <c r="D18"/>
  <c r="D17"/>
  <c r="D16"/>
  <c r="D15"/>
  <c r="D14"/>
  <c r="D13"/>
  <c r="D12"/>
  <c r="D11"/>
  <c r="D10"/>
  <c r="D9"/>
  <c r="D8"/>
  <c r="I119" i="6"/>
  <c r="K115"/>
  <c r="J115"/>
  <c r="I115"/>
  <c r="K114"/>
  <c r="J114"/>
  <c r="I114"/>
  <c r="K113"/>
  <c r="J113"/>
  <c r="I113"/>
  <c r="K112"/>
  <c r="J112"/>
  <c r="I112"/>
  <c r="K111"/>
  <c r="J111"/>
  <c r="I111"/>
  <c r="K110"/>
  <c r="J110"/>
  <c r="I110"/>
  <c r="K109"/>
  <c r="J109"/>
  <c r="I109"/>
  <c r="K108"/>
  <c r="J108"/>
  <c r="I108"/>
  <c r="K107"/>
  <c r="J107"/>
  <c r="I107"/>
  <c r="J101"/>
  <c r="K92"/>
  <c r="J92"/>
  <c r="K91"/>
  <c r="J91"/>
  <c r="K90"/>
  <c r="J90"/>
  <c r="K89"/>
  <c r="J89"/>
  <c r="K88"/>
  <c r="J88"/>
  <c r="K87"/>
  <c r="J87"/>
  <c r="J81"/>
  <c r="K73"/>
  <c r="J73"/>
  <c r="K72"/>
  <c r="J72"/>
  <c r="K71"/>
  <c r="J71"/>
  <c r="K70"/>
  <c r="J70"/>
  <c r="K69"/>
  <c r="J69"/>
  <c r="K68"/>
  <c r="J68"/>
  <c r="K67"/>
  <c r="J67"/>
  <c r="J61"/>
  <c r="K51"/>
  <c r="J51"/>
  <c r="K50"/>
  <c r="J50"/>
  <c r="K49"/>
  <c r="J49"/>
  <c r="K48"/>
  <c r="J48"/>
  <c r="K47"/>
  <c r="J47"/>
  <c r="J41"/>
  <c r="T40"/>
  <c r="K33"/>
  <c r="J33"/>
  <c r="K32"/>
  <c r="J32"/>
  <c r="K31"/>
  <c r="J31"/>
  <c r="K30"/>
  <c r="J30"/>
  <c r="K29"/>
  <c r="J29"/>
  <c r="K28"/>
  <c r="J28"/>
  <c r="K27"/>
  <c r="J27"/>
  <c r="T21"/>
  <c r="I21"/>
  <c r="K14"/>
  <c r="J14"/>
  <c r="K13"/>
  <c r="J13"/>
  <c r="K12"/>
  <c r="J12"/>
  <c r="K11"/>
  <c r="J11"/>
  <c r="K10"/>
  <c r="J10"/>
  <c r="K9"/>
  <c r="J9"/>
  <c r="K8"/>
  <c r="J8"/>
  <c r="L38" i="39"/>
  <c r="F38"/>
  <c r="E38"/>
  <c r="D38"/>
  <c r="C38"/>
  <c r="B38"/>
  <c r="J37"/>
  <c r="F37"/>
  <c r="E37"/>
  <c r="F36"/>
  <c r="F35"/>
  <c r="E35"/>
  <c r="D35"/>
  <c r="L34"/>
  <c r="F34"/>
  <c r="E34"/>
  <c r="F33"/>
  <c r="E33"/>
  <c r="D33"/>
  <c r="K31"/>
  <c r="F31"/>
  <c r="E31"/>
  <c r="C31"/>
  <c r="F29"/>
  <c r="E29"/>
  <c r="F28"/>
  <c r="L27"/>
  <c r="L26"/>
  <c r="N25"/>
  <c r="M25"/>
  <c r="L25"/>
  <c r="H25"/>
  <c r="D25"/>
  <c r="F24"/>
  <c r="E24"/>
  <c r="M20"/>
  <c r="F19"/>
  <c r="L18"/>
  <c r="E18"/>
  <c r="D18"/>
  <c r="F16"/>
  <c r="F14"/>
  <c r="M12"/>
  <c r="L12"/>
  <c r="E12"/>
  <c r="D12"/>
  <c r="O10"/>
  <c r="L9"/>
  <c r="Q110" i="40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8" i="39" s="1"/>
  <c r="P108" i="40"/>
  <c r="P38" i="39" s="1"/>
  <c r="O108" i="40"/>
  <c r="O38" i="39" s="1"/>
  <c r="N108" i="40"/>
  <c r="N38" i="39" s="1"/>
  <c r="M108" i="40"/>
  <c r="M38" i="39" s="1"/>
  <c r="L108" i="40"/>
  <c r="K108"/>
  <c r="K38" i="39" s="1"/>
  <c r="J108" i="40"/>
  <c r="J38" i="39" s="1"/>
  <c r="I108" i="40"/>
  <c r="I38" i="39" s="1"/>
  <c r="H108" i="40"/>
  <c r="H38" i="39" s="1"/>
  <c r="G108" i="40"/>
  <c r="G38" i="39" s="1"/>
  <c r="F108" i="40"/>
  <c r="E108"/>
  <c r="D108"/>
  <c r="C108"/>
  <c r="B108"/>
  <c r="Q10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8" i="39" s="1"/>
  <c r="Q110" i="44"/>
  <c r="Q112" s="1"/>
  <c r="P110"/>
  <c r="P112" s="1"/>
  <c r="O110"/>
  <c r="O112" s="1"/>
  <c r="N110"/>
  <c r="N111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7" i="39" s="1"/>
  <c r="P108" i="44"/>
  <c r="P37" i="39" s="1"/>
  <c r="O108" i="44"/>
  <c r="O37" i="39" s="1"/>
  <c r="N108" i="44"/>
  <c r="N37" i="39" s="1"/>
  <c r="M108" i="44"/>
  <c r="M37" i="39" s="1"/>
  <c r="L108" i="44"/>
  <c r="L37" i="39" s="1"/>
  <c r="K108" i="44"/>
  <c r="K37" i="39" s="1"/>
  <c r="J108" i="44"/>
  <c r="I108"/>
  <c r="I37" i="39" s="1"/>
  <c r="H108" i="44"/>
  <c r="H37" i="39" s="1"/>
  <c r="G108" i="44"/>
  <c r="G37" i="39" s="1"/>
  <c r="F108" i="44"/>
  <c r="E108"/>
  <c r="D108"/>
  <c r="D37" i="39" s="1"/>
  <c r="C108" i="44"/>
  <c r="C37" i="39" s="1"/>
  <c r="B108" i="44"/>
  <c r="B37" i="39" s="1"/>
  <c r="Q107" i="4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7" i="39" s="1"/>
  <c r="Q110" i="3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6" i="39" s="1"/>
  <c r="P108" i="33"/>
  <c r="P36" i="39" s="1"/>
  <c r="O108" i="33"/>
  <c r="O36" i="39" s="1"/>
  <c r="N108" i="33"/>
  <c r="N36" i="39" s="1"/>
  <c r="M108" i="33"/>
  <c r="M36" i="39" s="1"/>
  <c r="L108" i="33"/>
  <c r="L36" i="39" s="1"/>
  <c r="K108" i="33"/>
  <c r="K36" i="39" s="1"/>
  <c r="J108" i="33"/>
  <c r="J36" i="39" s="1"/>
  <c r="I108" i="33"/>
  <c r="I36" i="39" s="1"/>
  <c r="H108" i="33"/>
  <c r="H36" i="39" s="1"/>
  <c r="G108" i="33"/>
  <c r="G36" i="39" s="1"/>
  <c r="F108" i="33"/>
  <c r="E108"/>
  <c r="E36" i="39" s="1"/>
  <c r="D108" i="33"/>
  <c r="D36" i="39" s="1"/>
  <c r="C108" i="33"/>
  <c r="C36" i="39" s="1"/>
  <c r="B108" i="33"/>
  <c r="B36" i="39" s="1"/>
  <c r="Q107" i="3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6" i="39" s="1"/>
  <c r="Q110" i="3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5" i="39" s="1"/>
  <c r="P108" i="32"/>
  <c r="P35" i="39" s="1"/>
  <c r="O108" i="32"/>
  <c r="O35" i="39" s="1"/>
  <c r="N108" i="32"/>
  <c r="N35" i="39" s="1"/>
  <c r="M108" i="32"/>
  <c r="M35" i="39" s="1"/>
  <c r="L108" i="32"/>
  <c r="L35" i="39" s="1"/>
  <c r="K108" i="32"/>
  <c r="K35" i="39" s="1"/>
  <c r="J108" i="32"/>
  <c r="J35" i="39" s="1"/>
  <c r="I108" i="32"/>
  <c r="I35" i="39" s="1"/>
  <c r="H108" i="32"/>
  <c r="H35" i="39" s="1"/>
  <c r="G108" i="32"/>
  <c r="G35" i="39" s="1"/>
  <c r="F108" i="32"/>
  <c r="E108"/>
  <c r="D108"/>
  <c r="C108"/>
  <c r="C35" i="39" s="1"/>
  <c r="B108" i="32"/>
  <c r="B35" i="39" s="1"/>
  <c r="Q107" i="3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5" i="39" s="1"/>
  <c r="Q110" i="31"/>
  <c r="Q112" s="1"/>
  <c r="P110"/>
  <c r="P112" s="1"/>
  <c r="O110"/>
  <c r="O112" s="1"/>
  <c r="N110"/>
  <c r="N112" s="1"/>
  <c r="M110"/>
  <c r="M112" s="1"/>
  <c r="L110"/>
  <c r="L112" s="1"/>
  <c r="K110"/>
  <c r="K111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4" i="39" s="1"/>
  <c r="P108" i="31"/>
  <c r="P34" i="39" s="1"/>
  <c r="O108" i="31"/>
  <c r="O34" i="39" s="1"/>
  <c r="N108" i="31"/>
  <c r="N34" i="39" s="1"/>
  <c r="M108" i="31"/>
  <c r="M34" i="39" s="1"/>
  <c r="L108" i="31"/>
  <c r="K108"/>
  <c r="K34" i="39" s="1"/>
  <c r="J108" i="31"/>
  <c r="J34" i="39" s="1"/>
  <c r="I108" i="31"/>
  <c r="I34" i="39" s="1"/>
  <c r="H108" i="31"/>
  <c r="H34" i="39" s="1"/>
  <c r="G108" i="31"/>
  <c r="G34" i="39" s="1"/>
  <c r="F108" i="31"/>
  <c r="E108"/>
  <c r="D108"/>
  <c r="D34" i="39" s="1"/>
  <c r="C108" i="31"/>
  <c r="C34" i="39" s="1"/>
  <c r="B108" i="31"/>
  <c r="B34" i="39" s="1"/>
  <c r="Q107" i="3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4" i="39" s="1"/>
  <c r="Q110" i="3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1" s="1"/>
  <c r="H110"/>
  <c r="H111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3" i="39" s="1"/>
  <c r="P108" i="30"/>
  <c r="P33" i="39" s="1"/>
  <c r="O108" i="30"/>
  <c r="O33" i="39" s="1"/>
  <c r="N108" i="30"/>
  <c r="N33" i="39" s="1"/>
  <c r="M108" i="30"/>
  <c r="M33" i="39" s="1"/>
  <c r="L108" i="30"/>
  <c r="L33" i="39" s="1"/>
  <c r="K108" i="30"/>
  <c r="K33" i="39" s="1"/>
  <c r="J108" i="30"/>
  <c r="J33" i="39" s="1"/>
  <c r="I108" i="30"/>
  <c r="I33" i="39" s="1"/>
  <c r="H108" i="30"/>
  <c r="H33" i="39" s="1"/>
  <c r="G108" i="30"/>
  <c r="G33" i="39" s="1"/>
  <c r="F108" i="30"/>
  <c r="E108"/>
  <c r="D108"/>
  <c r="C108"/>
  <c r="C33" i="39" s="1"/>
  <c r="B108" i="30"/>
  <c r="B33" i="39" s="1"/>
  <c r="Q107" i="3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3" i="39" s="1"/>
  <c r="Q110" i="2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2" i="39" s="1"/>
  <c r="P108" i="29"/>
  <c r="P32" i="39" s="1"/>
  <c r="O108" i="29"/>
  <c r="O32" i="39" s="1"/>
  <c r="N108" i="29"/>
  <c r="N32" i="39" s="1"/>
  <c r="M108" i="29"/>
  <c r="M32" i="39" s="1"/>
  <c r="L108" i="29"/>
  <c r="L32" i="39" s="1"/>
  <c r="K108" i="29"/>
  <c r="K32" i="39" s="1"/>
  <c r="J108" i="29"/>
  <c r="J32" i="39" s="1"/>
  <c r="I108" i="29"/>
  <c r="I32" i="39" s="1"/>
  <c r="H108" i="29"/>
  <c r="H32" i="39" s="1"/>
  <c r="G108" i="29"/>
  <c r="G32" i="39" s="1"/>
  <c r="F108" i="29"/>
  <c r="F32" i="39" s="1"/>
  <c r="E108" i="29"/>
  <c r="E32" i="39" s="1"/>
  <c r="D108" i="29"/>
  <c r="D32" i="39" s="1"/>
  <c r="C108" i="29"/>
  <c r="C32" i="39" s="1"/>
  <c r="B108" i="29"/>
  <c r="B32" i="39" s="1"/>
  <c r="Q107" i="2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2" i="39" s="1"/>
  <c r="Q110" i="2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1" i="39" s="1"/>
  <c r="P108" i="28"/>
  <c r="P31" i="39" s="1"/>
  <c r="O108" i="28"/>
  <c r="O31" i="39" s="1"/>
  <c r="N108" i="28"/>
  <c r="N31" i="39" s="1"/>
  <c r="M108" i="28"/>
  <c r="M31" i="39" s="1"/>
  <c r="L108" i="28"/>
  <c r="L31" i="39" s="1"/>
  <c r="K108" i="28"/>
  <c r="J108"/>
  <c r="J31" i="39" s="1"/>
  <c r="I108" i="28"/>
  <c r="I31" i="39" s="1"/>
  <c r="H108" i="28"/>
  <c r="H31" i="39" s="1"/>
  <c r="G108" i="28"/>
  <c r="G31" i="39" s="1"/>
  <c r="F108" i="28"/>
  <c r="E108"/>
  <c r="D108"/>
  <c r="D31" i="39" s="1"/>
  <c r="C108" i="28"/>
  <c r="B108"/>
  <c r="B31" i="39" s="1"/>
  <c r="Q107" i="2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1" i="39" s="1"/>
  <c r="Q110" i="2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30" i="39" s="1"/>
  <c r="P108" i="27"/>
  <c r="P30" i="39" s="1"/>
  <c r="O108" i="27"/>
  <c r="O30" i="39" s="1"/>
  <c r="N108" i="27"/>
  <c r="N30" i="39" s="1"/>
  <c r="M108" i="27"/>
  <c r="M30" i="39" s="1"/>
  <c r="L108" i="27"/>
  <c r="L30" i="39" s="1"/>
  <c r="K108" i="27"/>
  <c r="K30" i="39" s="1"/>
  <c r="J108" i="27"/>
  <c r="J30" i="39" s="1"/>
  <c r="I108" i="27"/>
  <c r="I30" i="39" s="1"/>
  <c r="H108" i="27"/>
  <c r="H30" i="39" s="1"/>
  <c r="G108" i="27"/>
  <c r="G30" i="39" s="1"/>
  <c r="F108" i="27"/>
  <c r="F30" i="39" s="1"/>
  <c r="E108" i="27"/>
  <c r="E30" i="39" s="1"/>
  <c r="D108" i="27"/>
  <c r="D30" i="39" s="1"/>
  <c r="C108" i="27"/>
  <c r="C30" i="39" s="1"/>
  <c r="B108" i="27"/>
  <c r="B30" i="39" s="1"/>
  <c r="Q107" i="2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30" i="39" s="1"/>
  <c r="Q110" i="2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1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9" i="39" s="1"/>
  <c r="P108" i="26"/>
  <c r="P29" i="39" s="1"/>
  <c r="O108" i="26"/>
  <c r="O29" i="39" s="1"/>
  <c r="N108" i="26"/>
  <c r="N29" i="39" s="1"/>
  <c r="M108" i="26"/>
  <c r="M29" i="39" s="1"/>
  <c r="L108" i="26"/>
  <c r="L29" i="39" s="1"/>
  <c r="K108" i="26"/>
  <c r="K29" i="39" s="1"/>
  <c r="J108" i="26"/>
  <c r="J29" i="39" s="1"/>
  <c r="I108" i="26"/>
  <c r="I29" i="39" s="1"/>
  <c r="H108" i="26"/>
  <c r="H29" i="39" s="1"/>
  <c r="G108" i="26"/>
  <c r="G29" i="39" s="1"/>
  <c r="F108" i="26"/>
  <c r="E108"/>
  <c r="D108"/>
  <c r="D29" i="39" s="1"/>
  <c r="C108" i="26"/>
  <c r="C29" i="39" s="1"/>
  <c r="B108" i="26"/>
  <c r="B29" i="39" s="1"/>
  <c r="Q107" i="2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9" i="39" s="1"/>
  <c r="Q110" i="2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8" i="39" s="1"/>
  <c r="P108" i="25"/>
  <c r="P28" i="39" s="1"/>
  <c r="O108" i="25"/>
  <c r="O28" i="39" s="1"/>
  <c r="N108" i="25"/>
  <c r="N28" i="39" s="1"/>
  <c r="M108" i="25"/>
  <c r="M28" i="39" s="1"/>
  <c r="L108" i="25"/>
  <c r="L28" i="39" s="1"/>
  <c r="K108" i="25"/>
  <c r="K28" i="39" s="1"/>
  <c r="J108" i="25"/>
  <c r="J28" i="39" s="1"/>
  <c r="I108" i="25"/>
  <c r="I28" i="39" s="1"/>
  <c r="H108" i="25"/>
  <c r="H28" i="39" s="1"/>
  <c r="G108" i="25"/>
  <c r="G28" i="39" s="1"/>
  <c r="F108" i="25"/>
  <c r="E108"/>
  <c r="E28" i="39" s="1"/>
  <c r="D108" i="25"/>
  <c r="D28" i="39" s="1"/>
  <c r="C108" i="25"/>
  <c r="C28" i="39" s="1"/>
  <c r="B108" i="25"/>
  <c r="B28" i="39" s="1"/>
  <c r="Q107" i="2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8" i="39" s="1"/>
  <c r="Q110" i="2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7" i="39" s="1"/>
  <c r="P108" i="24"/>
  <c r="P27" i="39" s="1"/>
  <c r="O108" i="24"/>
  <c r="O27" i="39" s="1"/>
  <c r="N108" i="24"/>
  <c r="N27" i="39" s="1"/>
  <c r="M108" i="24"/>
  <c r="M27" i="39" s="1"/>
  <c r="L108" i="24"/>
  <c r="K108"/>
  <c r="K27" i="39" s="1"/>
  <c r="J108" i="24"/>
  <c r="J27" i="39" s="1"/>
  <c r="I108" i="24"/>
  <c r="I27" i="39" s="1"/>
  <c r="H108" i="24"/>
  <c r="H27" i="39" s="1"/>
  <c r="G108" i="24"/>
  <c r="G27" i="39" s="1"/>
  <c r="F108" i="24"/>
  <c r="F27" i="39" s="1"/>
  <c r="E108" i="24"/>
  <c r="E27" i="39" s="1"/>
  <c r="D108" i="24"/>
  <c r="D27" i="39" s="1"/>
  <c r="C108" i="24"/>
  <c r="C27" i="39" s="1"/>
  <c r="B108" i="24"/>
  <c r="B27" i="39" s="1"/>
  <c r="Q107" i="2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7" i="39" s="1"/>
  <c r="Q110" i="2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6" i="39" s="1"/>
  <c r="P108" i="23"/>
  <c r="P26" i="39" s="1"/>
  <c r="O108" i="23"/>
  <c r="O26" i="39" s="1"/>
  <c r="N108" i="23"/>
  <c r="N26" i="39" s="1"/>
  <c r="M108" i="23"/>
  <c r="M26" i="39" s="1"/>
  <c r="L108" i="23"/>
  <c r="K108"/>
  <c r="K26" i="39" s="1"/>
  <c r="J108" i="23"/>
  <c r="J26" i="39" s="1"/>
  <c r="I108" i="23"/>
  <c r="I26" i="39" s="1"/>
  <c r="H108" i="23"/>
  <c r="H26" i="39" s="1"/>
  <c r="G108" i="23"/>
  <c r="G26" i="39" s="1"/>
  <c r="F108" i="23"/>
  <c r="F26" i="39" s="1"/>
  <c r="E108" i="23"/>
  <c r="E26" i="39" s="1"/>
  <c r="D108" i="23"/>
  <c r="D26" i="39" s="1"/>
  <c r="C108" i="23"/>
  <c r="C26" i="39" s="1"/>
  <c r="B108" i="23"/>
  <c r="B26" i="39" s="1"/>
  <c r="Q107" i="2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6" i="39" s="1"/>
  <c r="Q110" i="2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5" i="39" s="1"/>
  <c r="P108" i="22"/>
  <c r="P25" i="39" s="1"/>
  <c r="O108" i="22"/>
  <c r="O25" i="39" s="1"/>
  <c r="N108" i="22"/>
  <c r="M108"/>
  <c r="L108"/>
  <c r="K108"/>
  <c r="K25" i="39" s="1"/>
  <c r="J108" i="22"/>
  <c r="J25" i="39" s="1"/>
  <c r="I108" i="22"/>
  <c r="I25" i="39" s="1"/>
  <c r="H108" i="22"/>
  <c r="G108"/>
  <c r="G25" i="39" s="1"/>
  <c r="F108" i="22"/>
  <c r="F25" i="39" s="1"/>
  <c r="E108" i="22"/>
  <c r="E25" i="39" s="1"/>
  <c r="D108" i="22"/>
  <c r="C108"/>
  <c r="C25" i="39" s="1"/>
  <c r="B108" i="22"/>
  <c r="B25" i="39" s="1"/>
  <c r="Q107" i="2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5" i="39" s="1"/>
  <c r="Q110" i="21"/>
  <c r="Q111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4" i="39" s="1"/>
  <c r="P108" i="21"/>
  <c r="P24" i="39" s="1"/>
  <c r="O108" i="21"/>
  <c r="O24" i="39" s="1"/>
  <c r="N108" i="21"/>
  <c r="N24" i="39" s="1"/>
  <c r="M108" i="21"/>
  <c r="M24" i="39" s="1"/>
  <c r="L108" i="21"/>
  <c r="L24" i="39" s="1"/>
  <c r="K108" i="21"/>
  <c r="K24" i="39" s="1"/>
  <c r="J108" i="21"/>
  <c r="J24" i="39" s="1"/>
  <c r="I108" i="21"/>
  <c r="I24" i="39" s="1"/>
  <c r="H108" i="21"/>
  <c r="H24" i="39" s="1"/>
  <c r="G108" i="21"/>
  <c r="G24" i="39" s="1"/>
  <c r="F108" i="21"/>
  <c r="E108"/>
  <c r="D108"/>
  <c r="D24" i="39" s="1"/>
  <c r="C108" i="21"/>
  <c r="C24" i="39" s="1"/>
  <c r="B108" i="21"/>
  <c r="B24" i="39" s="1"/>
  <c r="Q107" i="2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4" i="39" s="1"/>
  <c r="Q110" i="2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3" i="39" s="1"/>
  <c r="P108" i="20"/>
  <c r="P23" i="39" s="1"/>
  <c r="O108" i="20"/>
  <c r="O23" i="39" s="1"/>
  <c r="N108" i="20"/>
  <c r="N23" i="39" s="1"/>
  <c r="M108" i="20"/>
  <c r="M23" i="39" s="1"/>
  <c r="L108" i="20"/>
  <c r="L23" i="39" s="1"/>
  <c r="K108" i="20"/>
  <c r="K23" i="39" s="1"/>
  <c r="J108" i="20"/>
  <c r="J23" i="39" s="1"/>
  <c r="I108" i="20"/>
  <c r="I23" i="39" s="1"/>
  <c r="H108" i="20"/>
  <c r="H23" i="39" s="1"/>
  <c r="G108" i="20"/>
  <c r="G23" i="39" s="1"/>
  <c r="F108" i="20"/>
  <c r="F23" i="39" s="1"/>
  <c r="E108" i="20"/>
  <c r="E23" i="39" s="1"/>
  <c r="D108" i="20"/>
  <c r="D23" i="39" s="1"/>
  <c r="C108" i="20"/>
  <c r="C23" i="39" s="1"/>
  <c r="B108" i="20"/>
  <c r="B23" i="39" s="1"/>
  <c r="Q107" i="2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3" i="39" s="1"/>
  <c r="Q110" i="19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2" i="39" s="1"/>
  <c r="P108" i="19"/>
  <c r="P22" i="39" s="1"/>
  <c r="O108" i="19"/>
  <c r="O22" i="39" s="1"/>
  <c r="N108" i="19"/>
  <c r="N22" i="39" s="1"/>
  <c r="M108" i="19"/>
  <c r="M22" i="39" s="1"/>
  <c r="L108" i="19"/>
  <c r="L22" i="39" s="1"/>
  <c r="K108" i="19"/>
  <c r="K22" i="39" s="1"/>
  <c r="J108" i="19"/>
  <c r="J22" i="39" s="1"/>
  <c r="I108" i="19"/>
  <c r="I22" i="39" s="1"/>
  <c r="H108" i="19"/>
  <c r="H22" i="39" s="1"/>
  <c r="G108" i="19"/>
  <c r="G22" i="39" s="1"/>
  <c r="F108" i="19"/>
  <c r="F22" i="39" s="1"/>
  <c r="E108" i="19"/>
  <c r="E22" i="39" s="1"/>
  <c r="D108" i="19"/>
  <c r="D22" i="39" s="1"/>
  <c r="C108" i="19"/>
  <c r="C22" i="39" s="1"/>
  <c r="B108" i="19"/>
  <c r="B22" i="39" s="1"/>
  <c r="Q107" i="1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2" i="39" s="1"/>
  <c r="Q110" i="1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1" i="39" s="1"/>
  <c r="P108" i="18"/>
  <c r="P21" i="39" s="1"/>
  <c r="O108" i="18"/>
  <c r="O21" i="39" s="1"/>
  <c r="N108" i="18"/>
  <c r="N21" i="39" s="1"/>
  <c r="M108" i="18"/>
  <c r="M21" i="39" s="1"/>
  <c r="L108" i="18"/>
  <c r="L21" i="39" s="1"/>
  <c r="K108" i="18"/>
  <c r="K21" i="39" s="1"/>
  <c r="J108" i="18"/>
  <c r="J21" i="39" s="1"/>
  <c r="I108" i="18"/>
  <c r="I21" i="39" s="1"/>
  <c r="H108" i="18"/>
  <c r="H21" i="39" s="1"/>
  <c r="G108" i="18"/>
  <c r="G21" i="39" s="1"/>
  <c r="F108" i="18"/>
  <c r="F21" i="39" s="1"/>
  <c r="E108" i="18"/>
  <c r="E21" i="39" s="1"/>
  <c r="D108" i="18"/>
  <c r="D21" i="39" s="1"/>
  <c r="C108" i="18"/>
  <c r="C21" i="39" s="1"/>
  <c r="B108" i="18"/>
  <c r="B21" i="39" s="1"/>
  <c r="Q107" i="1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1" i="39" s="1"/>
  <c r="Q110" i="17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20" i="39" s="1"/>
  <c r="P108" i="17"/>
  <c r="P20" i="39" s="1"/>
  <c r="O108" i="17"/>
  <c r="O20" i="39" s="1"/>
  <c r="N108" i="17"/>
  <c r="N20" i="39" s="1"/>
  <c r="M108" i="17"/>
  <c r="L108"/>
  <c r="L20" i="39" s="1"/>
  <c r="K108" i="17"/>
  <c r="K20" i="39" s="1"/>
  <c r="J108" i="17"/>
  <c r="J20" i="39" s="1"/>
  <c r="I108" i="17"/>
  <c r="I20" i="39" s="1"/>
  <c r="H108" i="17"/>
  <c r="H20" i="39" s="1"/>
  <c r="G108" i="17"/>
  <c r="G20" i="39" s="1"/>
  <c r="F108" i="17"/>
  <c r="F20" i="39" s="1"/>
  <c r="E108" i="17"/>
  <c r="E20" i="39" s="1"/>
  <c r="D108" i="17"/>
  <c r="D20" i="39" s="1"/>
  <c r="C108" i="17"/>
  <c r="C20" i="39" s="1"/>
  <c r="B108" i="17"/>
  <c r="B20" i="39" s="1"/>
  <c r="Q107" i="17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20" i="39" s="1"/>
  <c r="Q110" i="16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9" i="39" s="1"/>
  <c r="P108" i="16"/>
  <c r="P19" i="39" s="1"/>
  <c r="O108" i="16"/>
  <c r="O19" i="39" s="1"/>
  <c r="N108" i="16"/>
  <c r="N19" i="39" s="1"/>
  <c r="M108" i="16"/>
  <c r="M19" i="39" s="1"/>
  <c r="L108" i="16"/>
  <c r="L19" i="39" s="1"/>
  <c r="K108" i="16"/>
  <c r="K19" i="39" s="1"/>
  <c r="J108" i="16"/>
  <c r="J19" i="39" s="1"/>
  <c r="I108" i="16"/>
  <c r="I19" i="39" s="1"/>
  <c r="H108" i="16"/>
  <c r="H19" i="39" s="1"/>
  <c r="G108" i="16"/>
  <c r="G19" i="39" s="1"/>
  <c r="F108" i="16"/>
  <c r="E108"/>
  <c r="E19" i="39" s="1"/>
  <c r="D108" i="16"/>
  <c r="D19" i="39" s="1"/>
  <c r="C108" i="16"/>
  <c r="C19" i="39" s="1"/>
  <c r="B108" i="16"/>
  <c r="B19" i="39" s="1"/>
  <c r="Q107" i="16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9" i="39" s="1"/>
  <c r="Q110" i="15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8" i="39" s="1"/>
  <c r="P108" i="15"/>
  <c r="P18" i="39" s="1"/>
  <c r="O108" i="15"/>
  <c r="O18" i="39" s="1"/>
  <c r="N108" i="15"/>
  <c r="N18" i="39" s="1"/>
  <c r="M108" i="15"/>
  <c r="M18" i="39" s="1"/>
  <c r="L108" i="15"/>
  <c r="K108"/>
  <c r="K18" i="39" s="1"/>
  <c r="J108" i="15"/>
  <c r="J18" i="39" s="1"/>
  <c r="I108" i="15"/>
  <c r="I18" i="39" s="1"/>
  <c r="H108" i="15"/>
  <c r="H18" i="39" s="1"/>
  <c r="G108" i="15"/>
  <c r="G18" i="39" s="1"/>
  <c r="F108" i="15"/>
  <c r="F18" i="39" s="1"/>
  <c r="E108" i="15"/>
  <c r="D108"/>
  <c r="C108"/>
  <c r="C18" i="39" s="1"/>
  <c r="B108" i="15"/>
  <c r="B18" i="39" s="1"/>
  <c r="Q107" i="15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8" i="39" s="1"/>
  <c r="Q110" i="14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7" i="39" s="1"/>
  <c r="P108" i="14"/>
  <c r="P17" i="39" s="1"/>
  <c r="O108" i="14"/>
  <c r="O17" i="39" s="1"/>
  <c r="N108" i="14"/>
  <c r="N17" i="39" s="1"/>
  <c r="M108" i="14"/>
  <c r="M17" i="39" s="1"/>
  <c r="L108" i="14"/>
  <c r="L17" i="39" s="1"/>
  <c r="K108" i="14"/>
  <c r="K17" i="39" s="1"/>
  <c r="J108" i="14"/>
  <c r="J17" i="39" s="1"/>
  <c r="I108" i="14"/>
  <c r="I17" i="39" s="1"/>
  <c r="H108" i="14"/>
  <c r="H17" i="39" s="1"/>
  <c r="G108" i="14"/>
  <c r="G17" i="39" s="1"/>
  <c r="F108" i="14"/>
  <c r="F17" i="39" s="1"/>
  <c r="E108" i="14"/>
  <c r="E17" i="39" s="1"/>
  <c r="D108" i="14"/>
  <c r="D17" i="39" s="1"/>
  <c r="C108" i="14"/>
  <c r="C17" i="39" s="1"/>
  <c r="B108" i="14"/>
  <c r="B17" i="39" s="1"/>
  <c r="Q107" i="14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7" i="39" s="1"/>
  <c r="Q110" i="13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6" i="39" s="1"/>
  <c r="P108" i="13"/>
  <c r="P16" i="39" s="1"/>
  <c r="O108" i="13"/>
  <c r="O16" i="39" s="1"/>
  <c r="N108" i="13"/>
  <c r="N16" i="39" s="1"/>
  <c r="M108" i="13"/>
  <c r="M16" i="39" s="1"/>
  <c r="L108" i="13"/>
  <c r="L16" i="39" s="1"/>
  <c r="K108" i="13"/>
  <c r="K16" i="39" s="1"/>
  <c r="J108" i="13"/>
  <c r="J16" i="39" s="1"/>
  <c r="I108" i="13"/>
  <c r="I16" i="39" s="1"/>
  <c r="H108" i="13"/>
  <c r="H16" i="39" s="1"/>
  <c r="G108" i="13"/>
  <c r="G16" i="39" s="1"/>
  <c r="F108" i="13"/>
  <c r="E108"/>
  <c r="E16" i="39" s="1"/>
  <c r="D108" i="13"/>
  <c r="D16" i="39" s="1"/>
  <c r="C108" i="13"/>
  <c r="C16" i="39" s="1"/>
  <c r="B108" i="13"/>
  <c r="B16" i="39" s="1"/>
  <c r="Q107" i="1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6" i="39" s="1"/>
  <c r="Q110" i="12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5" i="39" s="1"/>
  <c r="P108" i="12"/>
  <c r="P15" i="39" s="1"/>
  <c r="O108" i="12"/>
  <c r="O15" i="39" s="1"/>
  <c r="N108" i="12"/>
  <c r="N15" i="39" s="1"/>
  <c r="M108" i="12"/>
  <c r="M15" i="39" s="1"/>
  <c r="L108" i="12"/>
  <c r="L15" i="39" s="1"/>
  <c r="K108" i="12"/>
  <c r="K15" i="39" s="1"/>
  <c r="J108" i="12"/>
  <c r="J15" i="39" s="1"/>
  <c r="I108" i="12"/>
  <c r="I15" i="39" s="1"/>
  <c r="H108" i="12"/>
  <c r="H15" i="39" s="1"/>
  <c r="G108" i="12"/>
  <c r="G15" i="39" s="1"/>
  <c r="F108" i="12"/>
  <c r="F15" i="39" s="1"/>
  <c r="E108" i="12"/>
  <c r="E15" i="39" s="1"/>
  <c r="D108" i="12"/>
  <c r="D15" i="39" s="1"/>
  <c r="C108" i="12"/>
  <c r="C15" i="39" s="1"/>
  <c r="B108" i="12"/>
  <c r="B15" i="39" s="1"/>
  <c r="Q107" i="1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5" i="39" s="1"/>
  <c r="Q110" i="11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1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4" i="39" s="1"/>
  <c r="P108" i="11"/>
  <c r="P14" i="39" s="1"/>
  <c r="O108" i="11"/>
  <c r="O14" i="39" s="1"/>
  <c r="N108" i="11"/>
  <c r="N14" i="39" s="1"/>
  <c r="M108" i="11"/>
  <c r="M14" i="39" s="1"/>
  <c r="L108" i="11"/>
  <c r="L14" i="39" s="1"/>
  <c r="K108" i="11"/>
  <c r="K14" i="39" s="1"/>
  <c r="J108" i="11"/>
  <c r="J14" i="39" s="1"/>
  <c r="I108" i="11"/>
  <c r="I14" i="39" s="1"/>
  <c r="H108" i="11"/>
  <c r="H14" i="39" s="1"/>
  <c r="G108" i="11"/>
  <c r="G14" i="39" s="1"/>
  <c r="F108" i="11"/>
  <c r="E108"/>
  <c r="E14" i="39" s="1"/>
  <c r="D108" i="11"/>
  <c r="D14" i="39" s="1"/>
  <c r="C108" i="11"/>
  <c r="C14" i="39" s="1"/>
  <c r="B108" i="11"/>
  <c r="B14" i="39" s="1"/>
  <c r="Q107" i="11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4" i="39" s="1"/>
  <c r="Q110" i="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3" i="39" s="1"/>
  <c r="P108" i="10"/>
  <c r="P13" i="39" s="1"/>
  <c r="O108" i="10"/>
  <c r="O13" i="39" s="1"/>
  <c r="N108" i="10"/>
  <c r="N13" i="39" s="1"/>
  <c r="M108" i="10"/>
  <c r="M13" i="39" s="1"/>
  <c r="L108" i="10"/>
  <c r="L13" i="39" s="1"/>
  <c r="K108" i="10"/>
  <c r="K13" i="39" s="1"/>
  <c r="J108" i="10"/>
  <c r="J13" i="39" s="1"/>
  <c r="I108" i="10"/>
  <c r="I13" i="39" s="1"/>
  <c r="H108" i="10"/>
  <c r="H13" i="39" s="1"/>
  <c r="G108" i="10"/>
  <c r="G13" i="39" s="1"/>
  <c r="F108" i="10"/>
  <c r="F13" i="39" s="1"/>
  <c r="E108" i="10"/>
  <c r="E13" i="39" s="1"/>
  <c r="D108" i="10"/>
  <c r="D13" i="39" s="1"/>
  <c r="C108" i="10"/>
  <c r="C13" i="39" s="1"/>
  <c r="B108" i="10"/>
  <c r="B13" i="39" s="1"/>
  <c r="Q107" i="10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3" i="39" s="1"/>
  <c r="Q111" i="9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2" i="39" s="1"/>
  <c r="P108" i="9"/>
  <c r="P12" i="39" s="1"/>
  <c r="O108" i="9"/>
  <c r="O12" i="39" s="1"/>
  <c r="N108" i="9"/>
  <c r="N12" i="39" s="1"/>
  <c r="M108" i="9"/>
  <c r="L108"/>
  <c r="K108"/>
  <c r="K12" i="39" s="1"/>
  <c r="J108" i="9"/>
  <c r="J12" i="39" s="1"/>
  <c r="I108" i="9"/>
  <c r="I12" i="39" s="1"/>
  <c r="H108" i="9"/>
  <c r="H12" i="39" s="1"/>
  <c r="G108" i="9"/>
  <c r="G12" i="39" s="1"/>
  <c r="F108" i="9"/>
  <c r="F12" i="39" s="1"/>
  <c r="E108" i="9"/>
  <c r="D108"/>
  <c r="C108"/>
  <c r="C12" i="39" s="1"/>
  <c r="B108" i="9"/>
  <c r="B12" i="39" s="1"/>
  <c r="Q107" i="9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2" i="39" s="1"/>
  <c r="Q110" i="8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1" i="39" s="1"/>
  <c r="P108" i="8"/>
  <c r="P11" i="39" s="1"/>
  <c r="O108" i="8"/>
  <c r="O11" i="39" s="1"/>
  <c r="N108" i="8"/>
  <c r="N11" i="39" s="1"/>
  <c r="M108" i="8"/>
  <c r="M11" i="39" s="1"/>
  <c r="L108" i="8"/>
  <c r="L11" i="39" s="1"/>
  <c r="K108" i="8"/>
  <c r="K11" i="39" s="1"/>
  <c r="J108" i="8"/>
  <c r="J11" i="39" s="1"/>
  <c r="I108" i="8"/>
  <c r="I11" i="39" s="1"/>
  <c r="H108" i="8"/>
  <c r="H11" i="39" s="1"/>
  <c r="G108" i="8"/>
  <c r="G11" i="39" s="1"/>
  <c r="F108" i="8"/>
  <c r="F11" i="39" s="1"/>
  <c r="E108" i="8"/>
  <c r="E11" i="39" s="1"/>
  <c r="D108" i="8"/>
  <c r="D11" i="39" s="1"/>
  <c r="C108" i="8"/>
  <c r="C11" i="39" s="1"/>
  <c r="B108" i="8"/>
  <c r="B11" i="39" s="1"/>
  <c r="Q107" i="8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1" i="39" s="1"/>
  <c r="Q110" i="3"/>
  <c r="Q112" s="1"/>
  <c r="P110"/>
  <c r="P112" s="1"/>
  <c r="O110"/>
  <c r="O112" s="1"/>
  <c r="N110"/>
  <c r="N112" s="1"/>
  <c r="M110"/>
  <c r="M112" s="1"/>
  <c r="L110"/>
  <c r="L111" s="1"/>
  <c r="K110"/>
  <c r="K112" s="1"/>
  <c r="J110"/>
  <c r="J112" s="1"/>
  <c r="I110"/>
  <c r="I112" s="1"/>
  <c r="H110"/>
  <c r="H112" s="1"/>
  <c r="G110"/>
  <c r="G112" s="1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10" i="39" s="1"/>
  <c r="P108" i="3"/>
  <c r="P10" i="39" s="1"/>
  <c r="O108" i="3"/>
  <c r="N108"/>
  <c r="N10" i="39" s="1"/>
  <c r="M108" i="3"/>
  <c r="M10" i="39" s="1"/>
  <c r="L108" i="3"/>
  <c r="L10" i="39" s="1"/>
  <c r="K108" i="3"/>
  <c r="K10" i="39" s="1"/>
  <c r="J108" i="3"/>
  <c r="J10" i="39" s="1"/>
  <c r="I108" i="3"/>
  <c r="I10" i="39" s="1"/>
  <c r="H108" i="3"/>
  <c r="H10" i="39" s="1"/>
  <c r="G108" i="3"/>
  <c r="G10" i="39" s="1"/>
  <c r="F108" i="3"/>
  <c r="F10" i="39" s="1"/>
  <c r="E108" i="3"/>
  <c r="E10" i="39" s="1"/>
  <c r="D108" i="3"/>
  <c r="D10" i="39" s="1"/>
  <c r="C108" i="3"/>
  <c r="C10" i="39" s="1"/>
  <c r="B108" i="3"/>
  <c r="B10" i="39" s="1"/>
  <c r="Q107" i="3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10" i="39" s="1"/>
  <c r="I111" i="2"/>
  <c r="Q110"/>
  <c r="Q112" s="1"/>
  <c r="P110"/>
  <c r="P112" s="1"/>
  <c r="O110"/>
  <c r="O112" s="1"/>
  <c r="N110"/>
  <c r="N112" s="1"/>
  <c r="M110"/>
  <c r="M112" s="1"/>
  <c r="L110"/>
  <c r="L112" s="1"/>
  <c r="K110"/>
  <c r="K112" s="1"/>
  <c r="J110"/>
  <c r="J111" s="1"/>
  <c r="I110"/>
  <c r="I112" s="1"/>
  <c r="H112"/>
  <c r="G112"/>
  <c r="F110"/>
  <c r="F112" s="1"/>
  <c r="E110"/>
  <c r="E112" s="1"/>
  <c r="D110"/>
  <c r="D112" s="1"/>
  <c r="C110"/>
  <c r="C112" s="1"/>
  <c r="B110"/>
  <c r="B112" s="1"/>
  <c r="Q109"/>
  <c r="P109"/>
  <c r="O109"/>
  <c r="N109"/>
  <c r="M109"/>
  <c r="L109"/>
  <c r="K109"/>
  <c r="J109"/>
  <c r="I109"/>
  <c r="H109"/>
  <c r="G109"/>
  <c r="F109"/>
  <c r="E109"/>
  <c r="D109"/>
  <c r="C109"/>
  <c r="B109"/>
  <c r="Q108"/>
  <c r="Q9" i="39" s="1"/>
  <c r="P108" i="2"/>
  <c r="P9" i="39" s="1"/>
  <c r="O108" i="2"/>
  <c r="O9" i="39" s="1"/>
  <c r="N108" i="2"/>
  <c r="N9" i="39" s="1"/>
  <c r="M108" i="2"/>
  <c r="M9" i="39" s="1"/>
  <c r="L108" i="2"/>
  <c r="K108"/>
  <c r="K9" i="39" s="1"/>
  <c r="J108" i="2"/>
  <c r="J9" i="39" s="1"/>
  <c r="I108" i="2"/>
  <c r="I9" i="39" s="1"/>
  <c r="H108" i="2"/>
  <c r="H9" i="39" s="1"/>
  <c r="G108" i="2"/>
  <c r="G9" i="39" s="1"/>
  <c r="F108" i="2"/>
  <c r="F9" i="39" s="1"/>
  <c r="E108" i="2"/>
  <c r="E9" i="39" s="1"/>
  <c r="D108" i="2"/>
  <c r="D9" i="39" s="1"/>
  <c r="C108" i="2"/>
  <c r="C9" i="39" s="1"/>
  <c r="B108" i="2"/>
  <c r="B9" i="39" s="1"/>
  <c r="Q107" i="2"/>
  <c r="P107"/>
  <c r="O107"/>
  <c r="N107"/>
  <c r="M107"/>
  <c r="L107"/>
  <c r="K107"/>
  <c r="J107"/>
  <c r="I107"/>
  <c r="H107"/>
  <c r="G107"/>
  <c r="F107"/>
  <c r="E107"/>
  <c r="D107"/>
  <c r="C107"/>
  <c r="B107"/>
  <c r="Q106"/>
  <c r="P106"/>
  <c r="O106"/>
  <c r="N106"/>
  <c r="M106"/>
  <c r="L106"/>
  <c r="K106"/>
  <c r="J106"/>
  <c r="I106"/>
  <c r="H106"/>
  <c r="G106"/>
  <c r="F106"/>
  <c r="E106"/>
  <c r="D106"/>
  <c r="C106"/>
  <c r="B106"/>
  <c r="B2"/>
  <c r="A9" i="39" s="1"/>
  <c r="B2" s="1"/>
  <c r="D2" i="5" s="1"/>
  <c r="P111" i="40" l="1"/>
  <c r="O111"/>
  <c r="Q112"/>
  <c r="N111"/>
  <c r="M111"/>
  <c r="L111"/>
  <c r="K111"/>
  <c r="J111"/>
  <c r="I111"/>
  <c r="H111"/>
  <c r="G111"/>
  <c r="F111"/>
  <c r="E111"/>
  <c r="D111"/>
  <c r="C111"/>
  <c r="B111"/>
  <c r="O111" i="44"/>
  <c r="M111"/>
  <c r="L111"/>
  <c r="K111"/>
  <c r="J111"/>
  <c r="N112"/>
  <c r="I111"/>
  <c r="H111"/>
  <c r="G111"/>
  <c r="F111"/>
  <c r="E111"/>
  <c r="D111"/>
  <c r="C111"/>
  <c r="B111"/>
  <c r="Q111"/>
  <c r="P111"/>
  <c r="O111" i="33"/>
  <c r="N111"/>
  <c r="M111"/>
  <c r="L111"/>
  <c r="K111"/>
  <c r="J111"/>
  <c r="I111"/>
  <c r="H111"/>
  <c r="G111"/>
  <c r="F111"/>
  <c r="E111"/>
  <c r="D111"/>
  <c r="C111"/>
  <c r="B111"/>
  <c r="Q111"/>
  <c r="P111"/>
  <c r="M111" i="32"/>
  <c r="L111"/>
  <c r="K111"/>
  <c r="J111"/>
  <c r="I111"/>
  <c r="H111"/>
  <c r="G111"/>
  <c r="F111"/>
  <c r="E111"/>
  <c r="D111"/>
  <c r="C111"/>
  <c r="B111"/>
  <c r="Q111"/>
  <c r="P111"/>
  <c r="O111"/>
  <c r="N111"/>
  <c r="K112" i="31"/>
  <c r="I111"/>
  <c r="J111"/>
  <c r="H111"/>
  <c r="G111"/>
  <c r="F111"/>
  <c r="E111"/>
  <c r="D111"/>
  <c r="C111"/>
  <c r="B111"/>
  <c r="Q111"/>
  <c r="P111"/>
  <c r="O111"/>
  <c r="N111"/>
  <c r="M111"/>
  <c r="L111"/>
  <c r="F111" i="30"/>
  <c r="I112"/>
  <c r="E111"/>
  <c r="D111"/>
  <c r="C111"/>
  <c r="B111"/>
  <c r="Q111"/>
  <c r="P111"/>
  <c r="O111"/>
  <c r="N111"/>
  <c r="M111"/>
  <c r="H112"/>
  <c r="G111"/>
  <c r="L111"/>
  <c r="K111"/>
  <c r="J111"/>
  <c r="J111" i="29"/>
  <c r="I111"/>
  <c r="H111"/>
  <c r="G111"/>
  <c r="F111"/>
  <c r="E111"/>
  <c r="D111"/>
  <c r="C111"/>
  <c r="B111"/>
  <c r="Q111"/>
  <c r="P111"/>
  <c r="O111"/>
  <c r="N111"/>
  <c r="M111"/>
  <c r="L111"/>
  <c r="K111"/>
  <c r="G112" i="28"/>
  <c r="F111"/>
  <c r="E111"/>
  <c r="D111"/>
  <c r="C111"/>
  <c r="B111"/>
  <c r="Q111"/>
  <c r="P111"/>
  <c r="O111"/>
  <c r="N111"/>
  <c r="M111"/>
  <c r="L111"/>
  <c r="K111"/>
  <c r="J111"/>
  <c r="I111"/>
  <c r="H111"/>
  <c r="H111" i="27"/>
  <c r="G111"/>
  <c r="F111"/>
  <c r="E111"/>
  <c r="D111"/>
  <c r="C111"/>
  <c r="B111"/>
  <c r="Q111"/>
  <c r="P111"/>
  <c r="O111"/>
  <c r="N111"/>
  <c r="M111"/>
  <c r="L111"/>
  <c r="K111"/>
  <c r="J111"/>
  <c r="I111"/>
  <c r="F111" i="26"/>
  <c r="E111"/>
  <c r="D111"/>
  <c r="C111"/>
  <c r="B111"/>
  <c r="Q111"/>
  <c r="P111"/>
  <c r="O111"/>
  <c r="G112"/>
  <c r="N111"/>
  <c r="M111"/>
  <c r="L111"/>
  <c r="K111"/>
  <c r="J111"/>
  <c r="I111"/>
  <c r="H111"/>
  <c r="F111" i="25"/>
  <c r="E111"/>
  <c r="D111"/>
  <c r="C111"/>
  <c r="B111"/>
  <c r="Q111"/>
  <c r="G111"/>
  <c r="P111"/>
  <c r="O111"/>
  <c r="N111"/>
  <c r="M111"/>
  <c r="L111"/>
  <c r="K111"/>
  <c r="J111"/>
  <c r="I111"/>
  <c r="H111"/>
  <c r="G111" i="24"/>
  <c r="F111"/>
  <c r="E111"/>
  <c r="D111"/>
  <c r="C111"/>
  <c r="B111"/>
  <c r="Q111"/>
  <c r="P111"/>
  <c r="O111"/>
  <c r="N111"/>
  <c r="M111"/>
  <c r="L111"/>
  <c r="K111"/>
  <c r="J111"/>
  <c r="I111"/>
  <c r="H111"/>
  <c r="G111" i="23"/>
  <c r="F111"/>
  <c r="E111"/>
  <c r="D111"/>
  <c r="C111"/>
  <c r="B111"/>
  <c r="Q111"/>
  <c r="P111"/>
  <c r="O111"/>
  <c r="N111"/>
  <c r="M111"/>
  <c r="L111"/>
  <c r="K111"/>
  <c r="J111"/>
  <c r="I111"/>
  <c r="H111"/>
  <c r="C111" i="22"/>
  <c r="B111"/>
  <c r="Q111"/>
  <c r="P111"/>
  <c r="O111"/>
  <c r="N111"/>
  <c r="M111"/>
  <c r="L111"/>
  <c r="K111"/>
  <c r="J111"/>
  <c r="I111"/>
  <c r="H111"/>
  <c r="G111"/>
  <c r="F111"/>
  <c r="E111"/>
  <c r="D111"/>
  <c r="P111" i="21"/>
  <c r="O111"/>
  <c r="N111"/>
  <c r="M111"/>
  <c r="L111"/>
  <c r="B111"/>
  <c r="K111"/>
  <c r="Q112"/>
  <c r="J111"/>
  <c r="I111"/>
  <c r="H111"/>
  <c r="G111"/>
  <c r="F111"/>
  <c r="E111"/>
  <c r="D111"/>
  <c r="C111"/>
  <c r="C111" i="20"/>
  <c r="B111"/>
  <c r="Q111"/>
  <c r="O111"/>
  <c r="P111"/>
  <c r="N111"/>
  <c r="M111"/>
  <c r="L111"/>
  <c r="K111"/>
  <c r="J111"/>
  <c r="I111"/>
  <c r="H111"/>
  <c r="G111"/>
  <c r="F111"/>
  <c r="E111"/>
  <c r="D111"/>
  <c r="D111" i="19"/>
  <c r="C111"/>
  <c r="B111"/>
  <c r="Q111"/>
  <c r="P111"/>
  <c r="O111"/>
  <c r="N111"/>
  <c r="M111"/>
  <c r="L111"/>
  <c r="K111"/>
  <c r="J111"/>
  <c r="I111"/>
  <c r="H111"/>
  <c r="G111"/>
  <c r="F111"/>
  <c r="E111"/>
  <c r="E111" i="18"/>
  <c r="D111"/>
  <c r="C111"/>
  <c r="B111"/>
  <c r="Q111"/>
  <c r="P111"/>
  <c r="O111"/>
  <c r="N111"/>
  <c r="M111"/>
  <c r="L111"/>
  <c r="K111"/>
  <c r="J111"/>
  <c r="I111"/>
  <c r="H111"/>
  <c r="G111"/>
  <c r="F111"/>
  <c r="E111" i="17"/>
  <c r="D111"/>
  <c r="C111"/>
  <c r="B111"/>
  <c r="Q111"/>
  <c r="P111"/>
  <c r="O111"/>
  <c r="N111"/>
  <c r="M111"/>
  <c r="L111"/>
  <c r="K111"/>
  <c r="J111"/>
  <c r="I111"/>
  <c r="H111"/>
  <c r="G111"/>
  <c r="F111"/>
  <c r="D111" i="16"/>
  <c r="C111"/>
  <c r="B111"/>
  <c r="Q111"/>
  <c r="P111"/>
  <c r="O111"/>
  <c r="N111"/>
  <c r="M111"/>
  <c r="L111"/>
  <c r="E111"/>
  <c r="K111"/>
  <c r="J111"/>
  <c r="I111"/>
  <c r="H111"/>
  <c r="G111"/>
  <c r="F111"/>
  <c r="C111" i="15"/>
  <c r="B111"/>
  <c r="Q111"/>
  <c r="P111"/>
  <c r="O111"/>
  <c r="N111"/>
  <c r="M111"/>
  <c r="L111"/>
  <c r="K111"/>
  <c r="J111"/>
  <c r="I111"/>
  <c r="H111"/>
  <c r="G111"/>
  <c r="F111"/>
  <c r="E111"/>
  <c r="D111"/>
  <c r="D111" i="14"/>
  <c r="C111"/>
  <c r="B111"/>
  <c r="Q111"/>
  <c r="P111"/>
  <c r="O111"/>
  <c r="N111"/>
  <c r="M111"/>
  <c r="L111"/>
  <c r="K111"/>
  <c r="J111"/>
  <c r="I111"/>
  <c r="H111"/>
  <c r="G111"/>
  <c r="F111"/>
  <c r="E111"/>
  <c r="C111" i="13"/>
  <c r="B111"/>
  <c r="Q111"/>
  <c r="P111"/>
  <c r="D111"/>
  <c r="O111"/>
  <c r="N111"/>
  <c r="M111"/>
  <c r="L111"/>
  <c r="K111"/>
  <c r="J111"/>
  <c r="I111"/>
  <c r="H111"/>
  <c r="G111"/>
  <c r="F111"/>
  <c r="E111"/>
  <c r="E111" i="12"/>
  <c r="D111"/>
  <c r="C111"/>
  <c r="B111"/>
  <c r="Q111"/>
  <c r="P111"/>
  <c r="O111"/>
  <c r="N111"/>
  <c r="M111"/>
  <c r="L111"/>
  <c r="K111"/>
  <c r="J111"/>
  <c r="I111"/>
  <c r="H111"/>
  <c r="G111"/>
  <c r="F111"/>
  <c r="D111" i="11"/>
  <c r="C111"/>
  <c r="B111"/>
  <c r="Q111"/>
  <c r="E112"/>
  <c r="P111"/>
  <c r="O111"/>
  <c r="N111"/>
  <c r="M111"/>
  <c r="L111"/>
  <c r="K111"/>
  <c r="J111"/>
  <c r="I111"/>
  <c r="H111"/>
  <c r="G111"/>
  <c r="F111"/>
  <c r="F111" i="10"/>
  <c r="E111"/>
  <c r="D111"/>
  <c r="C111"/>
  <c r="B111"/>
  <c r="Q111"/>
  <c r="P111"/>
  <c r="O111"/>
  <c r="N111"/>
  <c r="M111"/>
  <c r="L111"/>
  <c r="K111"/>
  <c r="J111"/>
  <c r="I111"/>
  <c r="H111"/>
  <c r="G111"/>
  <c r="C111" i="9"/>
  <c r="B111"/>
  <c r="P111"/>
  <c r="O111"/>
  <c r="N111"/>
  <c r="M111"/>
  <c r="L111"/>
  <c r="K111"/>
  <c r="J111"/>
  <c r="I111"/>
  <c r="H111"/>
  <c r="G111"/>
  <c r="F111"/>
  <c r="E111"/>
  <c r="D111"/>
  <c r="D111" i="8"/>
  <c r="C111"/>
  <c r="B111"/>
  <c r="Q111"/>
  <c r="P111"/>
  <c r="O111"/>
  <c r="N111"/>
  <c r="M111"/>
  <c r="L111"/>
  <c r="K111"/>
  <c r="J111"/>
  <c r="I111"/>
  <c r="H111"/>
  <c r="G111"/>
  <c r="F111"/>
  <c r="E111"/>
  <c r="L43" i="39"/>
  <c r="L44"/>
  <c r="L45" s="1"/>
  <c r="F111" i="3"/>
  <c r="E111"/>
  <c r="C111"/>
  <c r="D111"/>
  <c r="B111"/>
  <c r="Q111"/>
  <c r="P111"/>
  <c r="O111"/>
  <c r="L40" i="39"/>
  <c r="N111" i="3"/>
  <c r="M111"/>
  <c r="L112"/>
  <c r="K111"/>
  <c r="J111"/>
  <c r="I111"/>
  <c r="H111"/>
  <c r="G111"/>
  <c r="G44" i="39"/>
  <c r="G43"/>
  <c r="G42"/>
  <c r="G41"/>
  <c r="G40"/>
  <c r="H44"/>
  <c r="H43"/>
  <c r="H42"/>
  <c r="H41"/>
  <c r="H40"/>
  <c r="F44"/>
  <c r="F43"/>
  <c r="F42"/>
  <c r="F41"/>
  <c r="F40"/>
  <c r="E44"/>
  <c r="E43"/>
  <c r="E42"/>
  <c r="E41"/>
  <c r="E40"/>
  <c r="Q44"/>
  <c r="Q43"/>
  <c r="Q42"/>
  <c r="Q41"/>
  <c r="Q40"/>
  <c r="B44"/>
  <c r="B43"/>
  <c r="B42"/>
  <c r="B41"/>
  <c r="B40"/>
  <c r="P44"/>
  <c r="P43"/>
  <c r="P42"/>
  <c r="P41"/>
  <c r="P40"/>
  <c r="O44"/>
  <c r="O43"/>
  <c r="O42"/>
  <c r="O41"/>
  <c r="O40"/>
  <c r="N44"/>
  <c r="N43"/>
  <c r="N42"/>
  <c r="N41"/>
  <c r="N40"/>
  <c r="M44"/>
  <c r="M43"/>
  <c r="M42"/>
  <c r="M41"/>
  <c r="M40"/>
  <c r="C44"/>
  <c r="C43"/>
  <c r="C42"/>
  <c r="C41"/>
  <c r="C40"/>
  <c r="D44"/>
  <c r="D43"/>
  <c r="D42"/>
  <c r="D41"/>
  <c r="D40"/>
  <c r="K44"/>
  <c r="K43"/>
  <c r="K42"/>
  <c r="K41"/>
  <c r="K40"/>
  <c r="J44"/>
  <c r="J43"/>
  <c r="J42"/>
  <c r="J41"/>
  <c r="J40"/>
  <c r="I44"/>
  <c r="I43"/>
  <c r="I42"/>
  <c r="I41"/>
  <c r="I40"/>
  <c r="D111" i="2"/>
  <c r="C111"/>
  <c r="J112"/>
  <c r="B111"/>
  <c r="Q111"/>
  <c r="P111"/>
  <c r="O111"/>
  <c r="N111"/>
  <c r="M111"/>
  <c r="L111"/>
  <c r="K111"/>
  <c r="L41" i="39"/>
  <c r="L42"/>
  <c r="H111" i="2"/>
  <c r="G111"/>
  <c r="F111"/>
  <c r="E111"/>
  <c r="L46" i="39" l="1"/>
  <c r="C46"/>
  <c r="C45"/>
  <c r="G46"/>
  <c r="G45"/>
  <c r="D46"/>
  <c r="D45"/>
  <c r="O46"/>
  <c r="O45"/>
  <c r="Q46"/>
  <c r="Q45"/>
  <c r="H46"/>
  <c r="H45"/>
  <c r="N46"/>
  <c r="N45"/>
  <c r="I46"/>
  <c r="I45"/>
  <c r="B46"/>
  <c r="B45"/>
  <c r="F46"/>
  <c r="F45"/>
  <c r="E46"/>
  <c r="E45"/>
  <c r="J46"/>
  <c r="J45"/>
  <c r="K46"/>
  <c r="K45"/>
  <c r="M46"/>
  <c r="M45"/>
  <c r="P46"/>
  <c r="P45"/>
</calcChain>
</file>

<file path=xl/sharedStrings.xml><?xml version="1.0" encoding="utf-8"?>
<sst xmlns="http://schemas.openxmlformats.org/spreadsheetml/2006/main" count="2822" uniqueCount="239">
  <si>
    <t>Station:</t>
  </si>
  <si>
    <t>IGKV 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</si>
  <si>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</si>
  <si>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</si>
  <si>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</si>
  <si>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</si>
  <si>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</si>
  <si>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</si>
  <si>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</si>
  <si>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</si>
  <si>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</si>
  <si>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</si>
  <si>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</si>
  <si>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</si>
  <si>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</si>
  <si>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</si>
  <si>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</si>
  <si>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15 Min</t>
  </si>
  <si>
    <t>Zero Referrence</t>
  </si>
  <si>
    <t>Z.Ref</t>
  </si>
  <si>
    <t>Warm Up</t>
  </si>
  <si>
    <t>Wm. Up</t>
  </si>
  <si>
    <t>Date &amp; Time</t>
  </si>
  <si>
    <t>NO</t>
  </si>
  <si>
    <t xml:space="preserve">NO2 </t>
  </si>
  <si>
    <t xml:space="preserve">NOX </t>
  </si>
  <si>
    <t xml:space="preserve">SO2 </t>
  </si>
  <si>
    <t xml:space="preserve">O3 </t>
  </si>
  <si>
    <t xml:space="preserve">PM 10 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</si>
  <si>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</si>
  <si>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</si>
  <si>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</si>
  <si>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</si>
  <si>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</si>
  <si>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</si>
  <si>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</si>
  <si>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</si>
  <si>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</si>
  <si>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</si>
  <si>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</si>
  <si>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</si>
  <si>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m/sec</t>
  </si>
  <si>
    <t>deg</t>
  </si>
  <si>
    <t>degreC</t>
  </si>
  <si>
    <t>%</t>
  </si>
  <si>
    <t>w/m2</t>
  </si>
  <si>
    <t>mm</t>
  </si>
  <si>
    <t>mg/m3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</si>
  <si>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</si>
  <si>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</si>
  <si>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</si>
  <si>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</si>
  <si>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</si>
  <si>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</si>
  <si>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</si>
  <si>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</si>
  <si>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</si>
  <si>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</si>
  <si>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</si>
  <si>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</si>
  <si>
    <t>Report:</t>
  </si>
  <si>
    <t>Calibration Report Of IGKV, RAIPUR</t>
  </si>
  <si>
    <t>SO2</t>
  </si>
  <si>
    <t>PM 10</t>
  </si>
  <si>
    <t>Date</t>
  </si>
  <si>
    <t>Parameter</t>
  </si>
  <si>
    <t>Units</t>
  </si>
  <si>
    <t>ZRef.</t>
  </si>
  <si>
    <t>SRef.</t>
  </si>
  <si>
    <t>ZMes.</t>
  </si>
  <si>
    <t>SMes.</t>
  </si>
  <si>
    <t>Zero</t>
  </si>
  <si>
    <t>Factor</t>
  </si>
  <si>
    <t>SDiff%</t>
  </si>
  <si>
    <t>DONE BY</t>
  </si>
  <si>
    <t>Blanks Count</t>
  </si>
  <si>
    <t>Referance Gauge</t>
  </si>
  <si>
    <t>Measure</t>
  </si>
  <si>
    <t>Old K</t>
  </si>
  <si>
    <t>New K</t>
  </si>
  <si>
    <t>Valid</t>
  </si>
  <si>
    <t>864 ug/cm2</t>
  </si>
  <si>
    <r>
      <rPr>
        <b/>
        <sz val="10"/>
        <color theme="0"/>
        <rFont val="Arial"/>
        <family val="2"/>
      </rPr>
      <t>NO OF VALID CALIBRATION OF SO2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</si>
  <si>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 OF VALID CALIBRATION OF PM 10</t>
    </r>
    <r>
      <rPr>
        <b/>
        <sz val="10"/>
        <color indexed="9"/>
        <rFont val="Arial"/>
        <family val="2"/>
      </rPr>
      <t xml:space="preserve"> ARE </t>
    </r>
  </si>
  <si>
    <t>NOX</t>
  </si>
  <si>
    <t>Nox</t>
  </si>
  <si>
    <t>789 ug/cm2</t>
  </si>
  <si>
    <r>
      <rPr>
        <b/>
        <sz val="10"/>
        <color theme="0"/>
        <rFont val="Arial"/>
        <family val="2"/>
      </rPr>
      <t>NO OF VALID CALIBRATION OF PM 2.5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</si>
  <si>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NOX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</si>
  <si>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NH3</t>
    </r>
    <r>
      <rPr>
        <b/>
        <sz val="10"/>
        <color indexed="9"/>
        <rFont val="Arial"/>
        <family val="2"/>
      </rPr>
      <t xml:space="preserve"> ARE </t>
    </r>
  </si>
  <si>
    <r>
      <rPr>
        <b/>
        <sz val="10"/>
        <color theme="0"/>
        <rFont val="Arial"/>
        <family val="2"/>
      </rPr>
      <t>No. OF VALID CALIBRATION OF CO</t>
    </r>
    <r>
      <rPr>
        <b/>
        <sz val="10"/>
        <color indexed="9"/>
        <rFont val="Arial"/>
        <family val="2"/>
      </rPr>
      <t xml:space="preserve"> ARE </t>
    </r>
  </si>
  <si>
    <t>VOC</t>
  </si>
  <si>
    <r>
      <rPr>
        <b/>
        <sz val="10"/>
        <color theme="0"/>
        <rFont val="Arial"/>
        <family val="2"/>
      </rPr>
      <t>No. OF VALID CALIBRATION OF VOC</t>
    </r>
    <r>
      <rPr>
        <b/>
        <sz val="10"/>
        <color indexed="9"/>
        <rFont val="Arial"/>
        <family val="2"/>
      </rPr>
      <t xml:space="preserve"> ARE </t>
    </r>
  </si>
  <si>
    <t>O3</t>
  </si>
  <si>
    <r>
      <rPr>
        <b/>
        <sz val="10"/>
        <color theme="0"/>
        <rFont val="Arial"/>
        <family val="2"/>
      </rPr>
      <t>NO OF VALID CALIBRATION OF O3</t>
    </r>
    <r>
      <rPr>
        <b/>
        <sz val="10"/>
        <color indexed="9"/>
        <rFont val="Arial"/>
        <family val="2"/>
      </rPr>
      <t xml:space="preserve"> ARE </t>
    </r>
  </si>
  <si>
    <t>POWER OFF REPORT OF IGKV, RAIPUR</t>
  </si>
  <si>
    <t>Month of</t>
  </si>
  <si>
    <t>Start Date</t>
  </si>
  <si>
    <t>Stop Date</t>
  </si>
  <si>
    <t>Duration  (HH:MM)</t>
  </si>
  <si>
    <t>TOTAL</t>
  </si>
  <si>
    <t>MUX signal Report REPORT OF IGKV, RAIPUR MONTH OF</t>
  </si>
  <si>
    <t>MUX</t>
  </si>
  <si>
    <t>DATE</t>
  </si>
  <si>
    <t xml:space="preserve"> +24v</t>
  </si>
  <si>
    <t>5v</t>
  </si>
  <si>
    <t>4mv</t>
  </si>
  <si>
    <t>I+24V</t>
  </si>
  <si>
    <t>12V</t>
  </si>
  <si>
    <t>5V sensor</t>
  </si>
  <si>
    <t>3.3v</t>
  </si>
  <si>
    <t>l sig</t>
  </si>
  <si>
    <t>UV sig</t>
  </si>
  <si>
    <t>UV ref</t>
  </si>
  <si>
    <t>I LED</t>
  </si>
  <si>
    <t>Raw sig</t>
  </si>
  <si>
    <t>Pond. sig</t>
  </si>
  <si>
    <t>Gas T</t>
  </si>
  <si>
    <t>IO sig</t>
  </si>
  <si>
    <t>UVO sig</t>
  </si>
  <si>
    <t>UV Measure</t>
  </si>
  <si>
    <t>LED status</t>
  </si>
  <si>
    <t>Mean sig</t>
  </si>
  <si>
    <t>Inst. meas</t>
  </si>
  <si>
    <t>Gas Pr.</t>
  </si>
  <si>
    <t>Option</t>
  </si>
  <si>
    <t>Pump</t>
  </si>
  <si>
    <t>SV span</t>
  </si>
  <si>
    <t>Pump Pr.</t>
  </si>
  <si>
    <t>SV zero</t>
  </si>
  <si>
    <t>Int T</t>
  </si>
  <si>
    <t>Flow</t>
  </si>
  <si>
    <t>T. Genrator</t>
  </si>
  <si>
    <t>4v</t>
  </si>
  <si>
    <t>GND</t>
  </si>
  <si>
    <t>Int. T</t>
  </si>
  <si>
    <t>Conv. T</t>
  </si>
  <si>
    <t>B.P. T</t>
  </si>
  <si>
    <t>Samp pr.</t>
  </si>
  <si>
    <t>Cham. Pr.</t>
  </si>
  <si>
    <t xml:space="preserve">  -15V</t>
  </si>
  <si>
    <t xml:space="preserve"> +15V</t>
  </si>
  <si>
    <t>PM Sig.</t>
  </si>
  <si>
    <t xml:space="preserve">O2 </t>
  </si>
  <si>
    <t>Ozoneur</t>
  </si>
  <si>
    <t>H. volt.</t>
  </si>
  <si>
    <t>NH3 T</t>
  </si>
  <si>
    <t>PM T</t>
  </si>
  <si>
    <t>Cham. T</t>
  </si>
  <si>
    <t>2.5v Ref</t>
  </si>
  <si>
    <t>Opt. T</t>
  </si>
  <si>
    <t>Aux. T</t>
  </si>
  <si>
    <t>Flow r.</t>
  </si>
  <si>
    <t>Pressure</t>
  </si>
  <si>
    <t>ps-15v</t>
  </si>
  <si>
    <t>ps+15v</t>
  </si>
  <si>
    <t>I. PBSE</t>
  </si>
  <si>
    <t>I. IR</t>
  </si>
  <si>
    <t>Mux11</t>
  </si>
  <si>
    <t>Mux12</t>
  </si>
  <si>
    <t>Mux13</t>
  </si>
  <si>
    <t>Mux14</t>
  </si>
  <si>
    <t>O2</t>
  </si>
  <si>
    <t>2.5V Ref</t>
  </si>
  <si>
    <t>POS. 1</t>
  </si>
  <si>
    <t>POS. 2</t>
  </si>
  <si>
    <t>POS. 3</t>
  </si>
  <si>
    <t>POS. 4</t>
  </si>
  <si>
    <t>POS. 5</t>
  </si>
  <si>
    <t>POS. 6</t>
  </si>
  <si>
    <t>VCI amp</t>
  </si>
  <si>
    <t>RPM</t>
  </si>
  <si>
    <t>ps +4v</t>
  </si>
  <si>
    <t>ps +24v</t>
  </si>
  <si>
    <t>ps 5v</t>
  </si>
  <si>
    <t>I+24v</t>
  </si>
  <si>
    <t>ps +5v sensor</t>
  </si>
  <si>
    <t>12v</t>
  </si>
  <si>
    <t>I UV lamp</t>
  </si>
  <si>
    <t xml:space="preserve"> Dark UV sig</t>
  </si>
  <si>
    <t xml:space="preserve"> UV ref</t>
  </si>
  <si>
    <t xml:space="preserve"> UV sig</t>
  </si>
  <si>
    <t xml:space="preserve"> Ref .ratio</t>
  </si>
  <si>
    <t xml:space="preserve"> Mean sig</t>
  </si>
  <si>
    <t xml:space="preserve"> Raw sig</t>
  </si>
  <si>
    <t xml:space="preserve"> I UV Iamp</t>
  </si>
  <si>
    <t xml:space="preserve"> Dark PM sig</t>
  </si>
  <si>
    <t xml:space="preserve"> PM ref</t>
  </si>
  <si>
    <t xml:space="preserve"> PM sig</t>
  </si>
  <si>
    <t xml:space="preserve"> Mess ratio</t>
  </si>
  <si>
    <t>Raw trend</t>
  </si>
  <si>
    <t>Inst. Meas</t>
  </si>
  <si>
    <t>HV PM</t>
  </si>
  <si>
    <t>Gas pr</t>
  </si>
  <si>
    <t>Chember T</t>
  </si>
  <si>
    <t>Pump pr.</t>
  </si>
  <si>
    <t>PM10</t>
  </si>
  <si>
    <t>GROUND</t>
  </si>
  <si>
    <t>PS+5V</t>
  </si>
  <si>
    <t>PS+15</t>
  </si>
  <si>
    <t>PS-15V</t>
  </si>
  <si>
    <t>ps +600v</t>
  </si>
  <si>
    <t xml:space="preserve">Ref 2.5v </t>
  </si>
  <si>
    <t>Ref RH</t>
  </si>
  <si>
    <t>FilterT</t>
  </si>
  <si>
    <t>Int. temp.</t>
  </si>
  <si>
    <t>Up Press.</t>
  </si>
  <si>
    <t>Down press.</t>
  </si>
  <si>
    <t>Atm Pr.</t>
  </si>
  <si>
    <t>Rel. Hyg.</t>
  </si>
  <si>
    <t>Atm. T</t>
  </si>
  <si>
    <t>Head T</t>
  </si>
  <si>
    <t>Ref A/D</t>
  </si>
  <si>
    <t>PM2.5</t>
  </si>
  <si>
    <t>24V</t>
  </si>
  <si>
    <t>Status code</t>
  </si>
  <si>
    <t xml:space="preserve"> 24V</t>
  </si>
  <si>
    <t>I Power</t>
  </si>
  <si>
    <t>I Perip.</t>
  </si>
  <si>
    <t xml:space="preserve"> 5v</t>
  </si>
  <si>
    <t>I 5V</t>
  </si>
  <si>
    <t>5V sens</t>
  </si>
  <si>
    <t>Power</t>
  </si>
  <si>
    <t>Cooling fan</t>
  </si>
  <si>
    <t>Temp.</t>
  </si>
  <si>
    <t xml:space="preserve">Mixing fan </t>
  </si>
  <si>
    <t>Carrier gaz</t>
  </si>
  <si>
    <t>Column pr.</t>
  </si>
  <si>
    <t>Supply pr.</t>
  </si>
  <si>
    <t>Hot box</t>
  </si>
  <si>
    <t>Vacuum pump</t>
  </si>
  <si>
    <t>Trap pr.</t>
  </si>
  <si>
    <t>Atmo. Pr.</t>
  </si>
  <si>
    <t>Purge value</t>
  </si>
  <si>
    <t>Pilot value</t>
  </si>
  <si>
    <t>Zero valve</t>
  </si>
  <si>
    <t>Span valve</t>
  </si>
  <si>
    <t>K.Karmakar</t>
  </si>
  <si>
    <t>01/11/2024 00:15 - 30/11/2024 00:00</t>
  </si>
</sst>
</file>

<file path=xl/styles.xml><?xml version="1.0" encoding="utf-8"?>
<styleSheet xmlns="http://schemas.openxmlformats.org/spreadsheetml/2006/main">
  <numFmts count="3">
    <numFmt numFmtId="164" formatCode="0.000"/>
    <numFmt numFmtId="165" formatCode="mmmm\-yyyy"/>
    <numFmt numFmtId="166" formatCode="0.0000"/>
  </numFmts>
  <fonts count="43">
    <font>
      <sz val="11"/>
      <color theme="1"/>
      <name val="Calibri"/>
      <charset val="134"/>
      <scheme val="minor"/>
    </font>
    <font>
      <b/>
      <sz val="10"/>
      <color rgb="FFFF0000"/>
      <name val="Arial"/>
      <family val="2"/>
    </font>
    <font>
      <b/>
      <sz val="11"/>
      <color theme="1"/>
      <name val="Calibri"/>
      <family val="2"/>
      <scheme val="minor"/>
    </font>
    <font>
      <sz val="16"/>
      <color theme="0"/>
      <name val="Arial Black"/>
      <family val="2"/>
    </font>
    <font>
      <b/>
      <sz val="16"/>
      <color theme="0"/>
      <name val="Arial Black"/>
      <family val="2"/>
    </font>
    <font>
      <b/>
      <sz val="24"/>
      <color theme="1"/>
      <name val="Arial Black"/>
      <family val="2"/>
    </font>
    <font>
      <b/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2"/>
      <color theme="1"/>
      <name val="Arial Black"/>
      <family val="2"/>
    </font>
    <font>
      <b/>
      <sz val="9"/>
      <color rgb="FFFF0000"/>
      <name val="Calibri"/>
      <family val="2"/>
      <scheme val="minor"/>
    </font>
    <font>
      <b/>
      <sz val="9"/>
      <color rgb="FFFF0000"/>
      <name val="Arial"/>
      <family val="2"/>
    </font>
    <font>
      <sz val="10"/>
      <name val="Arial"/>
      <family val="2"/>
    </font>
    <font>
      <b/>
      <sz val="26"/>
      <color theme="1"/>
      <name val="Arial Black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2"/>
      <name val="Arial"/>
      <family val="2"/>
    </font>
    <font>
      <b/>
      <sz val="10"/>
      <color theme="2" tint="-0.89996032593768116"/>
      <name val="Arial Black"/>
      <family val="2"/>
    </font>
    <font>
      <b/>
      <sz val="10"/>
      <name val="Calibri"/>
      <family val="2"/>
      <scheme val="minor"/>
    </font>
    <font>
      <b/>
      <sz val="10"/>
      <color theme="2" tint="-0.89996032593768116"/>
      <name val="Arial"/>
      <family val="2"/>
    </font>
    <font>
      <b/>
      <sz val="12"/>
      <name val="Calibri"/>
      <family val="2"/>
      <scheme val="minor"/>
    </font>
    <font>
      <b/>
      <i/>
      <sz val="12"/>
      <name val="Arial"/>
      <family val="2"/>
    </font>
    <font>
      <b/>
      <i/>
      <sz val="10"/>
      <name val="Arial"/>
      <family val="2"/>
    </font>
    <font>
      <sz val="9"/>
      <color theme="3" tint="0.39994506668294322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2" tint="-0.89996032593768116"/>
      <name val="Arial Black"/>
      <family val="2"/>
    </font>
    <font>
      <sz val="11"/>
      <color theme="3" tint="0.39994506668294322"/>
      <name val="Calibri"/>
      <family val="2"/>
      <scheme val="minor"/>
    </font>
    <font>
      <b/>
      <sz val="9"/>
      <name val="Calibri"/>
      <family val="2"/>
      <scheme val="minor"/>
    </font>
    <font>
      <sz val="12"/>
      <color theme="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indexed="12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Arial"/>
      <family val="2"/>
    </font>
    <font>
      <sz val="10"/>
      <color indexed="12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rgb="FF00B050"/>
      <name val="Arial"/>
      <family val="2"/>
    </font>
    <font>
      <b/>
      <sz val="10"/>
      <color theme="5" tint="-0.249977111117893"/>
      <name val="Arial"/>
      <family val="2"/>
    </font>
    <font>
      <b/>
      <sz val="10"/>
      <color indexed="9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2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1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0" fillId="3" borderId="6" xfId="0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7" fillId="0" borderId="11" xfId="0" applyFont="1" applyBorder="1" applyAlignment="1">
      <alignment horizontal="center"/>
    </xf>
    <xf numFmtId="0" fontId="0" fillId="3" borderId="16" xfId="0" applyFill="1" applyBorder="1" applyAlignment="1">
      <alignment horizontal="center"/>
    </xf>
    <xf numFmtId="14" fontId="11" fillId="0" borderId="0" xfId="0" applyNumberFormat="1" applyFont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13" fillId="3" borderId="18" xfId="0" applyFont="1" applyFill="1" applyBorder="1" applyAlignment="1">
      <alignment horizontal="center"/>
    </xf>
    <xf numFmtId="0" fontId="14" fillId="3" borderId="18" xfId="0" applyFont="1" applyFill="1" applyBorder="1" applyAlignment="1">
      <alignment horizontal="center"/>
    </xf>
    <xf numFmtId="0" fontId="9" fillId="0" borderId="13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15" fillId="0" borderId="0" xfId="0" applyFont="1" applyFill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19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22" xfId="0" applyFont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7" fillId="4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19" fillId="4" borderId="22" xfId="0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6" fillId="3" borderId="24" xfId="0" applyFont="1" applyFill="1" applyBorder="1" applyAlignment="1">
      <alignment horizontal="center"/>
    </xf>
    <xf numFmtId="0" fontId="7" fillId="0" borderId="23" xfId="0" applyFont="1" applyFill="1" applyBorder="1"/>
    <xf numFmtId="0" fontId="21" fillId="0" borderId="0" xfId="0" applyFont="1" applyAlignment="1">
      <alignment horizontal="center"/>
    </xf>
    <xf numFmtId="0" fontId="16" fillId="4" borderId="25" xfId="0" applyFont="1" applyFill="1" applyBorder="1" applyAlignment="1">
      <alignment horizontal="center"/>
    </xf>
    <xf numFmtId="0" fontId="19" fillId="4" borderId="11" xfId="0" applyFont="1" applyFill="1" applyBorder="1" applyAlignment="1">
      <alignment horizontal="center"/>
    </xf>
    <xf numFmtId="0" fontId="19" fillId="0" borderId="23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19" fillId="4" borderId="7" xfId="0" applyFont="1" applyFill="1" applyBorder="1" applyAlignment="1">
      <alignment horizontal="center"/>
    </xf>
    <xf numFmtId="0" fontId="0" fillId="0" borderId="0" xfId="0" applyBorder="1"/>
    <xf numFmtId="0" fontId="22" fillId="3" borderId="27" xfId="0" applyFont="1" applyFill="1" applyBorder="1" applyAlignment="1">
      <alignment horizontal="center"/>
    </xf>
    <xf numFmtId="0" fontId="23" fillId="3" borderId="11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4" fillId="4" borderId="7" xfId="0" applyFont="1" applyFill="1" applyBorder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7" fillId="0" borderId="0" xfId="0" applyFont="1" applyFill="1" applyBorder="1"/>
    <xf numFmtId="0" fontId="0" fillId="0" borderId="0" xfId="0" applyFill="1" applyBorder="1"/>
    <xf numFmtId="0" fontId="14" fillId="3" borderId="28" xfId="0" applyFont="1" applyFill="1" applyBorder="1" applyAlignment="1">
      <alignment horizontal="center"/>
    </xf>
    <xf numFmtId="0" fontId="25" fillId="3" borderId="27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9" fillId="0" borderId="13" xfId="0" applyFont="1" applyFill="1" applyBorder="1" applyAlignment="1">
      <alignment horizontal="center" wrapText="1"/>
    </xf>
    <xf numFmtId="0" fontId="23" fillId="0" borderId="0" xfId="0" applyFont="1" applyBorder="1" applyAlignment="1">
      <alignment horizontal="center"/>
    </xf>
    <xf numFmtId="0" fontId="9" fillId="0" borderId="7" xfId="0" applyFont="1" applyBorder="1" applyAlignment="1">
      <alignment horizontal="center" wrapText="1"/>
    </xf>
    <xf numFmtId="0" fontId="6" fillId="3" borderId="27" xfId="0" applyFont="1" applyFill="1" applyBorder="1" applyAlignment="1">
      <alignment horizontal="center"/>
    </xf>
    <xf numFmtId="0" fontId="9" fillId="0" borderId="6" xfId="0" applyFont="1" applyBorder="1" applyAlignment="1">
      <alignment horizontal="center" wrapText="1"/>
    </xf>
    <xf numFmtId="0" fontId="23" fillId="0" borderId="9" xfId="0" applyFont="1" applyBorder="1" applyAlignment="1">
      <alignment horizontal="center"/>
    </xf>
    <xf numFmtId="0" fontId="0" fillId="3" borderId="30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9" fillId="0" borderId="7" xfId="0" applyFont="1" applyFill="1" applyBorder="1" applyAlignment="1">
      <alignment horizontal="center" wrapText="1"/>
    </xf>
    <xf numFmtId="0" fontId="26" fillId="0" borderId="0" xfId="0" applyFont="1" applyFill="1" applyBorder="1" applyAlignment="1">
      <alignment horizontal="center"/>
    </xf>
    <xf numFmtId="0" fontId="23" fillId="0" borderId="31" xfId="0" applyFont="1" applyBorder="1" applyAlignment="1">
      <alignment horizontal="center"/>
    </xf>
    <xf numFmtId="0" fontId="28" fillId="0" borderId="7" xfId="0" applyFont="1" applyBorder="1" applyAlignment="1">
      <alignment horizontal="center" vertical="center" wrapText="1"/>
    </xf>
    <xf numFmtId="46" fontId="6" fillId="0" borderId="7" xfId="0" applyNumberFormat="1" applyFont="1" applyBorder="1" applyAlignment="1">
      <alignment horizontal="center" vertical="center" wrapText="1"/>
    </xf>
    <xf numFmtId="22" fontId="0" fillId="0" borderId="7" xfId="0" applyNumberFormat="1" applyBorder="1" applyAlignment="1">
      <alignment horizontal="center" vertical="center"/>
    </xf>
    <xf numFmtId="46" fontId="29" fillId="0" borderId="7" xfId="0" applyNumberFormat="1" applyFon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22" fontId="0" fillId="0" borderId="7" xfId="0" applyNumberFormat="1" applyFill="1" applyBorder="1" applyAlignment="1">
      <alignment horizontal="center"/>
    </xf>
    <xf numFmtId="22" fontId="2" fillId="0" borderId="7" xfId="0" applyNumberFormat="1" applyFont="1" applyFill="1" applyBorder="1" applyAlignment="1">
      <alignment horizontal="center"/>
    </xf>
    <xf numFmtId="22" fontId="0" fillId="0" borderId="0" xfId="0" applyNumberFormat="1" applyFill="1" applyAlignment="1">
      <alignment horizontal="center"/>
    </xf>
    <xf numFmtId="22" fontId="0" fillId="0" borderId="0" xfId="0" applyNumberFormat="1" applyAlignment="1">
      <alignment horizontal="center"/>
    </xf>
    <xf numFmtId="46" fontId="29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28" fillId="0" borderId="32" xfId="0" applyNumberFormat="1" applyFont="1" applyBorder="1" applyAlignment="1">
      <alignment horizontal="center" vertical="center"/>
    </xf>
    <xf numFmtId="22" fontId="0" fillId="0" borderId="33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22" fontId="0" fillId="0" borderId="8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2" fontId="28" fillId="0" borderId="8" xfId="0" applyNumberFormat="1" applyFont="1" applyBorder="1" applyAlignment="1">
      <alignment horizontal="center"/>
    </xf>
    <xf numFmtId="0" fontId="28" fillId="0" borderId="7" xfId="0" applyFont="1" applyBorder="1" applyAlignment="1">
      <alignment horizontal="center"/>
    </xf>
    <xf numFmtId="2" fontId="28" fillId="0" borderId="7" xfId="0" applyNumberFormat="1" applyFont="1" applyBorder="1" applyAlignment="1">
      <alignment horizontal="center"/>
    </xf>
    <xf numFmtId="22" fontId="0" fillId="0" borderId="35" xfId="0" applyNumberFormat="1" applyBorder="1" applyAlignment="1">
      <alignment horizontal="center"/>
    </xf>
    <xf numFmtId="0" fontId="34" fillId="0" borderId="0" xfId="0" applyFont="1" applyAlignment="1">
      <alignment horizontal="center"/>
    </xf>
    <xf numFmtId="2" fontId="34" fillId="0" borderId="0" xfId="0" applyNumberFormat="1" applyFont="1" applyAlignment="1">
      <alignment horizontal="center"/>
    </xf>
    <xf numFmtId="0" fontId="34" fillId="0" borderId="34" xfId="0" applyFont="1" applyBorder="1" applyAlignment="1">
      <alignment horizontal="center"/>
    </xf>
    <xf numFmtId="22" fontId="0" fillId="0" borderId="5" xfId="0" applyNumberFormat="1" applyBorder="1" applyAlignment="1">
      <alignment horizontal="center"/>
    </xf>
    <xf numFmtId="0" fontId="34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49" fontId="0" fillId="0" borderId="33" xfId="0" applyNumberForma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49" fontId="0" fillId="0" borderId="8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28" fillId="0" borderId="7" xfId="0" applyNumberFormat="1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15" fillId="4" borderId="22" xfId="0" applyFont="1" applyFill="1" applyBorder="1" applyAlignment="1">
      <alignment horizontal="center" vertical="center"/>
    </xf>
    <xf numFmtId="0" fontId="15" fillId="4" borderId="22" xfId="0" applyFont="1" applyFill="1" applyBorder="1" applyAlignment="1">
      <alignment horizontal="center"/>
    </xf>
    <xf numFmtId="22" fontId="0" fillId="0" borderId="7" xfId="0" applyNumberFormat="1" applyFill="1" applyBorder="1" applyAlignment="1">
      <alignment horizontal="center" vertical="center"/>
    </xf>
    <xf numFmtId="22" fontId="0" fillId="0" borderId="8" xfId="0" applyNumberFormat="1" applyBorder="1" applyAlignment="1">
      <alignment horizontal="center" vertical="center"/>
    </xf>
    <xf numFmtId="0" fontId="33" fillId="6" borderId="36" xfId="0" applyFont="1" applyFill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2" fontId="0" fillId="0" borderId="35" xfId="0" applyNumberFormat="1" applyBorder="1" applyAlignment="1">
      <alignment horizontal="center" vertical="center"/>
    </xf>
    <xf numFmtId="2" fontId="0" fillId="0" borderId="34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39" xfId="0" applyBorder="1" applyAlignment="1">
      <alignment horizontal="center"/>
    </xf>
    <xf numFmtId="1" fontId="35" fillId="6" borderId="36" xfId="0" applyNumberFormat="1" applyFont="1" applyFill="1" applyBorder="1" applyAlignment="1">
      <alignment horizontal="center"/>
    </xf>
    <xf numFmtId="0" fontId="32" fillId="3" borderId="34" xfId="0" applyFont="1" applyFill="1" applyBorder="1" applyAlignment="1">
      <alignment horizontal="center" vertical="center"/>
    </xf>
    <xf numFmtId="166" fontId="0" fillId="0" borderId="34" xfId="0" applyNumberForma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6" fontId="28" fillId="0" borderId="7" xfId="0" applyNumberFormat="1" applyFont="1" applyBorder="1" applyAlignment="1">
      <alignment horizontal="center" vertical="center"/>
    </xf>
    <xf numFmtId="0" fontId="16" fillId="4" borderId="7" xfId="0" applyFont="1" applyFill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" fontId="35" fillId="6" borderId="36" xfId="0" applyNumberFormat="1" applyFont="1" applyFill="1" applyBorder="1" applyAlignment="1">
      <alignment horizontal="center" vertical="center"/>
    </xf>
    <xf numFmtId="166" fontId="0" fillId="0" borderId="36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0" borderId="7" xfId="0" applyNumberFormat="1" applyBorder="1" applyAlignment="1">
      <alignment horizontal="center"/>
    </xf>
    <xf numFmtId="22" fontId="28" fillId="0" borderId="7" xfId="0" applyNumberFormat="1" applyFont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0" fillId="0" borderId="0" xfId="0" applyFont="1"/>
    <xf numFmtId="14" fontId="0" fillId="0" borderId="0" xfId="0" applyNumberFormat="1"/>
    <xf numFmtId="14" fontId="28" fillId="0" borderId="0" xfId="0" applyNumberFormat="1" applyFont="1" applyFill="1" applyAlignment="1">
      <alignment horizontal="center"/>
    </xf>
    <xf numFmtId="0" fontId="28" fillId="0" borderId="0" xfId="0" applyFont="1" applyAlignment="1">
      <alignment horizontal="center" wrapText="1"/>
    </xf>
    <xf numFmtId="17" fontId="28" fillId="0" borderId="0" xfId="0" applyNumberFormat="1" applyFont="1" applyAlignment="1">
      <alignment horizontal="center"/>
    </xf>
    <xf numFmtId="0" fontId="28" fillId="0" borderId="0" xfId="0" applyFont="1" applyAlignment="1">
      <alignment horizontal="center"/>
    </xf>
    <xf numFmtId="14" fontId="28" fillId="0" borderId="0" xfId="0" applyNumberFormat="1" applyFont="1" applyAlignment="1">
      <alignment horizontal="center"/>
    </xf>
    <xf numFmtId="0" fontId="33" fillId="7" borderId="0" xfId="0" applyFont="1" applyFill="1" applyAlignment="1">
      <alignment horizontal="center"/>
    </xf>
    <xf numFmtId="0" fontId="33" fillId="0" borderId="0" xfId="0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33" fillId="8" borderId="0" xfId="0" applyFont="1" applyFill="1" applyAlignment="1">
      <alignment horizontal="center"/>
    </xf>
    <xf numFmtId="0" fontId="28" fillId="0" borderId="0" xfId="0" applyFont="1" applyFill="1" applyAlignment="1">
      <alignment horizontal="center"/>
    </xf>
    <xf numFmtId="14" fontId="28" fillId="0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22" fontId="28" fillId="0" borderId="0" xfId="0" applyNumberFormat="1" applyFont="1" applyFill="1" applyAlignment="1">
      <alignment horizontal="center"/>
    </xf>
    <xf numFmtId="2" fontId="0" fillId="0" borderId="7" xfId="0" applyNumberFormat="1" applyFont="1" applyBorder="1" applyAlignment="1">
      <alignment horizontal="center"/>
    </xf>
    <xf numFmtId="2" fontId="36" fillId="0" borderId="7" xfId="0" applyNumberFormat="1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28" fillId="0" borderId="0" xfId="0" applyNumberFormat="1" applyFont="1" applyAlignment="1">
      <alignment horizontal="center"/>
    </xf>
    <xf numFmtId="14" fontId="0" fillId="0" borderId="0" xfId="0" applyNumberFormat="1" applyFill="1" applyAlignment="1">
      <alignment horizontal="center"/>
    </xf>
    <xf numFmtId="0" fontId="38" fillId="0" borderId="0" xfId="0" applyFont="1" applyFill="1" applyAlignment="1">
      <alignment horizontal="center"/>
    </xf>
    <xf numFmtId="14" fontId="13" fillId="0" borderId="0" xfId="0" applyNumberFormat="1" applyFont="1" applyFill="1" applyAlignment="1">
      <alignment horizontal="center"/>
    </xf>
    <xf numFmtId="0" fontId="40" fillId="9" borderId="0" xfId="0" applyFont="1" applyFill="1" applyAlignment="1">
      <alignment horizontal="center"/>
    </xf>
    <xf numFmtId="0" fontId="28" fillId="0" borderId="0" xfId="0" applyFont="1" applyAlignment="1"/>
    <xf numFmtId="0" fontId="33" fillId="10" borderId="0" xfId="0" applyFont="1" applyFill="1" applyAlignment="1">
      <alignment horizontal="center"/>
    </xf>
    <xf numFmtId="0" fontId="28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0" fontId="33" fillId="11" borderId="0" xfId="0" applyFont="1" applyFill="1" applyAlignment="1">
      <alignment horizontal="center"/>
    </xf>
    <xf numFmtId="0" fontId="28" fillId="0" borderId="7" xfId="0" applyFont="1" applyFill="1" applyBorder="1" applyAlignment="1">
      <alignment horizontal="center" vertical="center"/>
    </xf>
    <xf numFmtId="0" fontId="33" fillId="12" borderId="0" xfId="0" applyFont="1" applyFill="1" applyAlignment="1">
      <alignment horizontal="center"/>
    </xf>
    <xf numFmtId="0" fontId="1" fillId="13" borderId="0" xfId="0" applyFont="1" applyFill="1" applyAlignment="1">
      <alignment horizontal="center"/>
    </xf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2" fontId="0" fillId="0" borderId="0" xfId="0" applyNumberFormat="1" applyFont="1" applyBorder="1" applyAlignment="1">
      <alignment horizontal="center"/>
    </xf>
    <xf numFmtId="2" fontId="36" fillId="0" borderId="0" xfId="0" applyNumberFormat="1" applyFont="1" applyBorder="1" applyAlignment="1">
      <alignment horizontal="center"/>
    </xf>
    <xf numFmtId="2" fontId="11" fillId="0" borderId="0" xfId="0" applyNumberFormat="1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7" xfId="0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2" fontId="28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0" borderId="0" xfId="0" applyFont="1" applyFill="1" applyAlignment="1">
      <alignment horizontal="center"/>
    </xf>
    <xf numFmtId="0" fontId="41" fillId="0" borderId="0" xfId="0" applyFont="1" applyAlignment="1">
      <alignment horizontal="center"/>
    </xf>
    <xf numFmtId="2" fontId="28" fillId="0" borderId="0" xfId="0" applyNumberFormat="1" applyFont="1" applyBorder="1" applyAlignment="1">
      <alignment horizontal="center" vertical="center"/>
    </xf>
    <xf numFmtId="0" fontId="28" fillId="0" borderId="0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7" fillId="5" borderId="0" xfId="0" applyFont="1" applyFill="1" applyAlignment="1">
      <alignment horizontal="center"/>
    </xf>
    <xf numFmtId="0" fontId="39" fillId="5" borderId="0" xfId="0" applyFont="1" applyFill="1" applyAlignment="1">
      <alignment horizontal="center"/>
    </xf>
    <xf numFmtId="0" fontId="39" fillId="5" borderId="0" xfId="0" applyFont="1" applyFill="1" applyAlignment="1">
      <alignment horizontal="left"/>
    </xf>
    <xf numFmtId="49" fontId="31" fillId="3" borderId="3" xfId="0" applyNumberFormat="1" applyFont="1" applyFill="1" applyBorder="1" applyAlignment="1">
      <alignment horizontal="center" vertical="center"/>
    </xf>
    <xf numFmtId="49" fontId="31" fillId="3" borderId="24" xfId="0" applyNumberFormat="1" applyFont="1" applyFill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49" fontId="28" fillId="0" borderId="3" xfId="0" applyNumberFormat="1" applyFont="1" applyBorder="1" applyAlignment="1">
      <alignment horizontal="center" vertical="center"/>
    </xf>
    <xf numFmtId="49" fontId="28" fillId="0" borderId="24" xfId="0" applyNumberFormat="1" applyFont="1" applyBorder="1" applyAlignment="1">
      <alignment horizontal="center" vertical="center"/>
    </xf>
    <xf numFmtId="0" fontId="32" fillId="3" borderId="34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/>
    </xf>
    <xf numFmtId="0" fontId="33" fillId="3" borderId="36" xfId="0" applyFont="1" applyFill="1" applyBorder="1" applyAlignment="1">
      <alignment horizontal="center" vertical="center"/>
    </xf>
    <xf numFmtId="0" fontId="33" fillId="3" borderId="34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22" fontId="30" fillId="0" borderId="0" xfId="0" applyNumberFormat="1" applyFont="1" applyFill="1" applyAlignment="1">
      <alignment horizontal="center" wrapText="1"/>
    </xf>
    <xf numFmtId="165" fontId="27" fillId="5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7" fontId="3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19" xfId="0" applyFont="1" applyFill="1" applyBorder="1" applyAlignment="1">
      <alignment horizontal="center"/>
    </xf>
    <xf numFmtId="0" fontId="6" fillId="3" borderId="27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12" fillId="3" borderId="14" xfId="0" applyFont="1" applyFill="1" applyBorder="1" applyAlignment="1">
      <alignment horizontal="center" vertical="center"/>
    </xf>
    <xf numFmtId="0" fontId="12" fillId="3" borderId="16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5" fillId="3" borderId="29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7"/>
  <sheetViews>
    <sheetView zoomScale="80" zoomScaleNormal="80" workbookViewId="0">
      <pane xSplit="1" ySplit="8" topLeftCell="B94" activePane="bottomRight" state="frozen"/>
      <selection pane="topRight"/>
      <selection pane="bottomLeft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6.42578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7.140625" style="2" customWidth="1"/>
    <col min="15" max="15" width="9.85546875" style="2" customWidth="1"/>
    <col min="16" max="16" width="14.7109375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45597.010416666664</v>
      </c>
      <c r="B9" s="112">
        <v>5.29</v>
      </c>
      <c r="C9" s="112">
        <v>7.88</v>
      </c>
      <c r="D9" s="112">
        <v>13.92</v>
      </c>
      <c r="E9" s="112">
        <v>9.6199999999999992</v>
      </c>
      <c r="F9" s="112">
        <v>5.22</v>
      </c>
      <c r="G9" s="112">
        <v>101.08</v>
      </c>
      <c r="H9" s="112">
        <v>59.76</v>
      </c>
      <c r="I9" s="112">
        <v>8.32</v>
      </c>
      <c r="J9" s="112">
        <v>0.08</v>
      </c>
      <c r="K9" s="112">
        <v>196.03</v>
      </c>
      <c r="L9" s="112">
        <v>24.16</v>
      </c>
      <c r="M9" s="112">
        <v>97.05</v>
      </c>
      <c r="N9" s="112">
        <v>1.4</v>
      </c>
      <c r="O9" s="112">
        <v>0</v>
      </c>
      <c r="P9" s="112">
        <v>0.74</v>
      </c>
      <c r="Q9" s="112">
        <v>4.28</v>
      </c>
    </row>
    <row r="10" spans="1:21" customFormat="1">
      <c r="A10" s="80">
        <v>45597.020833333336</v>
      </c>
      <c r="B10" s="112">
        <v>5.25</v>
      </c>
      <c r="C10" s="112">
        <v>8.0299999999999994</v>
      </c>
      <c r="D10" s="112">
        <v>13.97</v>
      </c>
      <c r="E10" s="112">
        <v>9.4600000000000009</v>
      </c>
      <c r="F10" s="112">
        <v>5.36</v>
      </c>
      <c r="G10" s="112">
        <v>100.73</v>
      </c>
      <c r="H10" s="112">
        <v>59.76</v>
      </c>
      <c r="I10" s="112">
        <v>8.32</v>
      </c>
      <c r="J10" s="112">
        <v>0.1</v>
      </c>
      <c r="K10" s="112">
        <v>206.93</v>
      </c>
      <c r="L10" s="112">
        <v>24.15</v>
      </c>
      <c r="M10" s="112">
        <v>97.88</v>
      </c>
      <c r="N10" s="112">
        <v>1.5</v>
      </c>
      <c r="O10" s="112">
        <v>0</v>
      </c>
      <c r="P10" s="112">
        <v>0.74</v>
      </c>
      <c r="Q10" s="112">
        <v>4.29</v>
      </c>
    </row>
    <row r="11" spans="1:21" customFormat="1">
      <c r="A11" s="80">
        <v>45597.03125</v>
      </c>
      <c r="B11" s="112">
        <v>5.26</v>
      </c>
      <c r="C11" s="112">
        <v>8.0500000000000007</v>
      </c>
      <c r="D11" s="112">
        <v>13.99</v>
      </c>
      <c r="E11" s="112">
        <v>9.2799999999999994</v>
      </c>
      <c r="F11" s="112">
        <v>5.57</v>
      </c>
      <c r="G11" s="112">
        <v>100.73</v>
      </c>
      <c r="H11" s="112">
        <v>59.76</v>
      </c>
      <c r="I11" s="112">
        <v>8.31</v>
      </c>
      <c r="J11" s="112">
        <v>0.09</v>
      </c>
      <c r="K11" s="112">
        <v>224.28</v>
      </c>
      <c r="L11" s="112">
        <v>23.94</v>
      </c>
      <c r="M11" s="112">
        <v>98.36</v>
      </c>
      <c r="N11" s="112">
        <v>1.7</v>
      </c>
      <c r="O11" s="112">
        <v>0</v>
      </c>
      <c r="P11" s="112">
        <v>0.74</v>
      </c>
      <c r="Q11" s="112">
        <v>4.29</v>
      </c>
    </row>
    <row r="12" spans="1:21" customFormat="1">
      <c r="A12" s="80">
        <v>45597.041666666664</v>
      </c>
      <c r="B12" s="112">
        <v>5.25</v>
      </c>
      <c r="C12" s="112">
        <v>8.1</v>
      </c>
      <c r="D12" s="112">
        <v>14</v>
      </c>
      <c r="E12" s="112">
        <v>9.5299999999999994</v>
      </c>
      <c r="F12" s="112">
        <v>5.8</v>
      </c>
      <c r="G12" s="112">
        <v>100.73</v>
      </c>
      <c r="H12" s="112">
        <v>59.76</v>
      </c>
      <c r="I12" s="112">
        <v>8.26</v>
      </c>
      <c r="J12" s="112">
        <v>7.0000000000000007E-2</v>
      </c>
      <c r="K12" s="112">
        <v>201.63</v>
      </c>
      <c r="L12" s="112">
        <v>23.81</v>
      </c>
      <c r="M12" s="112">
        <v>98.27</v>
      </c>
      <c r="N12" s="112">
        <v>1.5</v>
      </c>
      <c r="O12" s="112">
        <v>0</v>
      </c>
      <c r="P12" s="112">
        <v>0.73</v>
      </c>
      <c r="Q12" s="112">
        <v>4.28</v>
      </c>
    </row>
    <row r="13" spans="1:21" customFormat="1">
      <c r="A13" s="80">
        <v>45597.052083333336</v>
      </c>
      <c r="B13" s="112">
        <v>5.26</v>
      </c>
      <c r="C13" s="112">
        <v>8.07</v>
      </c>
      <c r="D13" s="112">
        <v>14</v>
      </c>
      <c r="E13" s="112">
        <v>9</v>
      </c>
      <c r="F13" s="112">
        <v>6.01</v>
      </c>
      <c r="G13" s="112">
        <v>100.91</v>
      </c>
      <c r="H13" s="112">
        <v>60.91</v>
      </c>
      <c r="I13" s="112">
        <v>8.25</v>
      </c>
      <c r="J13" s="112">
        <v>0.15</v>
      </c>
      <c r="K13" s="112">
        <v>331.3</v>
      </c>
      <c r="L13" s="112">
        <v>23.91</v>
      </c>
      <c r="M13" s="112">
        <v>98.09</v>
      </c>
      <c r="N13" s="112">
        <v>1.2</v>
      </c>
      <c r="O13" s="112">
        <v>0</v>
      </c>
      <c r="P13" s="112">
        <v>0.73</v>
      </c>
      <c r="Q13" s="112">
        <v>4.28</v>
      </c>
    </row>
    <row r="14" spans="1:21" customFormat="1">
      <c r="A14" s="80">
        <v>45597.0625</v>
      </c>
      <c r="B14" s="112">
        <v>5.24</v>
      </c>
      <c r="C14" s="112">
        <v>8.1</v>
      </c>
      <c r="D14" s="112">
        <v>14</v>
      </c>
      <c r="E14" s="112">
        <v>9.3000000000000007</v>
      </c>
      <c r="F14" s="112">
        <v>5.53</v>
      </c>
      <c r="G14" s="112">
        <v>100.96</v>
      </c>
      <c r="H14" s="112">
        <v>60.91</v>
      </c>
      <c r="I14" s="112">
        <v>8.25</v>
      </c>
      <c r="J14" s="112">
        <v>0.02</v>
      </c>
      <c r="K14" s="112">
        <v>32.17</v>
      </c>
      <c r="L14" s="112">
        <v>24.04</v>
      </c>
      <c r="M14" s="112">
        <v>96.92</v>
      </c>
      <c r="N14" s="112">
        <v>1.2</v>
      </c>
      <c r="O14" s="112">
        <v>0</v>
      </c>
      <c r="P14" s="112">
        <v>0.73</v>
      </c>
      <c r="Q14" s="112">
        <v>4.28</v>
      </c>
    </row>
    <row r="15" spans="1:21" customFormat="1">
      <c r="A15" s="80">
        <v>45597.072916666664</v>
      </c>
      <c r="B15" s="112">
        <v>5.24</v>
      </c>
      <c r="C15" s="112">
        <v>8.08</v>
      </c>
      <c r="D15" s="112">
        <v>13.99</v>
      </c>
      <c r="E15" s="112">
        <v>9.36</v>
      </c>
      <c r="F15" s="112">
        <v>5.3</v>
      </c>
      <c r="G15" s="112">
        <v>100.96</v>
      </c>
      <c r="H15" s="112">
        <v>60.91</v>
      </c>
      <c r="I15" s="112">
        <v>8.2799999999999994</v>
      </c>
      <c r="J15" s="112">
        <v>0.17</v>
      </c>
      <c r="K15" s="112">
        <v>24.32</v>
      </c>
      <c r="L15" s="112">
        <v>24.09</v>
      </c>
      <c r="M15" s="112">
        <v>94.72</v>
      </c>
      <c r="N15" s="112">
        <v>1.2</v>
      </c>
      <c r="O15" s="112">
        <v>0</v>
      </c>
      <c r="P15" s="112">
        <v>0.74</v>
      </c>
      <c r="Q15" s="112">
        <v>4.28</v>
      </c>
    </row>
    <row r="16" spans="1:21" customFormat="1">
      <c r="A16" s="80">
        <v>45597.083333333336</v>
      </c>
      <c r="B16" s="112">
        <v>5.26</v>
      </c>
      <c r="C16" s="112">
        <v>8.0399999999999991</v>
      </c>
      <c r="D16" s="112">
        <v>13.98</v>
      </c>
      <c r="E16" s="112">
        <v>9.4600000000000009</v>
      </c>
      <c r="F16" s="112">
        <v>5.0999999999999996</v>
      </c>
      <c r="G16" s="112">
        <v>100.96</v>
      </c>
      <c r="H16" s="112">
        <v>60.91</v>
      </c>
      <c r="I16" s="112">
        <v>8.3699999999999992</v>
      </c>
      <c r="J16" s="112">
        <v>0.09</v>
      </c>
      <c r="K16" s="112">
        <v>185.47</v>
      </c>
      <c r="L16" s="112">
        <v>23.95</v>
      </c>
      <c r="M16" s="112">
        <v>94.61</v>
      </c>
      <c r="N16" s="112">
        <v>1.6</v>
      </c>
      <c r="O16" s="112">
        <v>0</v>
      </c>
      <c r="P16" s="112">
        <v>0.77</v>
      </c>
      <c r="Q16" s="112">
        <v>4.28</v>
      </c>
    </row>
    <row r="17" spans="1:17" customFormat="1">
      <c r="A17" s="80">
        <v>45597.09375</v>
      </c>
      <c r="B17" s="112">
        <v>5.25</v>
      </c>
      <c r="C17" s="112">
        <v>8.0500000000000007</v>
      </c>
      <c r="D17" s="112">
        <v>13.98</v>
      </c>
      <c r="E17" s="112">
        <v>6.77</v>
      </c>
      <c r="F17" s="112">
        <v>5.53</v>
      </c>
      <c r="G17" s="112">
        <v>225.93</v>
      </c>
      <c r="H17" s="112">
        <v>142.63</v>
      </c>
      <c r="I17" s="112">
        <v>8.58</v>
      </c>
      <c r="J17" s="112">
        <v>0.28000000000000003</v>
      </c>
      <c r="K17" s="112">
        <v>53.21</v>
      </c>
      <c r="L17" s="112">
        <v>23.9</v>
      </c>
      <c r="M17" s="112">
        <v>94.11</v>
      </c>
      <c r="N17" s="112">
        <v>1.4</v>
      </c>
      <c r="O17" s="112">
        <v>0</v>
      </c>
      <c r="P17" s="112">
        <v>0.78</v>
      </c>
      <c r="Q17" s="112">
        <v>4.26</v>
      </c>
    </row>
    <row r="18" spans="1:17" customFormat="1">
      <c r="A18" s="80">
        <v>45597.104166666664</v>
      </c>
      <c r="B18" s="112">
        <v>5.25</v>
      </c>
      <c r="C18" s="112">
        <v>8.0500000000000007</v>
      </c>
      <c r="D18" s="112">
        <v>13.98</v>
      </c>
      <c r="E18" s="112">
        <v>8.84</v>
      </c>
      <c r="F18" s="112">
        <v>5.01</v>
      </c>
      <c r="G18" s="112">
        <v>247.03</v>
      </c>
      <c r="H18" s="112">
        <v>142.63</v>
      </c>
      <c r="I18" s="112">
        <v>9</v>
      </c>
      <c r="J18" s="112">
        <v>0.03</v>
      </c>
      <c r="K18" s="112">
        <v>90.89</v>
      </c>
      <c r="L18" s="112">
        <v>23.78</v>
      </c>
      <c r="M18" s="112">
        <v>94.5</v>
      </c>
      <c r="N18" s="112">
        <v>1.4</v>
      </c>
      <c r="O18" s="112">
        <v>0</v>
      </c>
      <c r="P18" s="112">
        <v>0.79</v>
      </c>
      <c r="Q18" s="112">
        <v>4.28</v>
      </c>
    </row>
    <row r="19" spans="1:17" customFormat="1">
      <c r="A19" s="80">
        <v>45597.114583333336</v>
      </c>
      <c r="B19" s="112">
        <v>5.25</v>
      </c>
      <c r="C19" s="112">
        <v>8.0399999999999991</v>
      </c>
      <c r="D19" s="112">
        <v>13.98</v>
      </c>
      <c r="E19" s="112">
        <v>8.52</v>
      </c>
      <c r="F19" s="112">
        <v>6.21</v>
      </c>
      <c r="G19" s="112">
        <v>247.03</v>
      </c>
      <c r="H19" s="112">
        <v>142.63</v>
      </c>
      <c r="I19" s="112">
        <v>9.41</v>
      </c>
      <c r="J19" s="112">
        <v>0.09</v>
      </c>
      <c r="K19" s="112">
        <v>37.49</v>
      </c>
      <c r="L19" s="112">
        <v>23.69</v>
      </c>
      <c r="M19" s="112">
        <v>94.34</v>
      </c>
      <c r="N19" s="112">
        <v>1.4</v>
      </c>
      <c r="O19" s="112">
        <v>0</v>
      </c>
      <c r="P19" s="112">
        <v>0.8</v>
      </c>
      <c r="Q19" s="112">
        <v>4.2699999999999996</v>
      </c>
    </row>
    <row r="20" spans="1:17" customFormat="1">
      <c r="A20" s="80">
        <v>45597.125</v>
      </c>
      <c r="B20" s="112">
        <v>5.25</v>
      </c>
      <c r="C20" s="112">
        <v>8.06</v>
      </c>
      <c r="D20" s="112">
        <v>13.99</v>
      </c>
      <c r="E20" s="112">
        <v>8.31</v>
      </c>
      <c r="F20" s="112">
        <v>5.91</v>
      </c>
      <c r="G20" s="112">
        <v>247.03</v>
      </c>
      <c r="H20" s="112">
        <v>142.63</v>
      </c>
      <c r="I20" s="112">
        <v>9.67</v>
      </c>
      <c r="J20" s="112">
        <v>0.11</v>
      </c>
      <c r="K20" s="112">
        <v>77.66</v>
      </c>
      <c r="L20" s="112">
        <v>23.46</v>
      </c>
      <c r="M20" s="112">
        <v>95.17</v>
      </c>
      <c r="N20" s="112">
        <v>1.5</v>
      </c>
      <c r="O20" s="112">
        <v>0</v>
      </c>
      <c r="P20" s="112">
        <v>0.82</v>
      </c>
      <c r="Q20" s="112">
        <v>4.25</v>
      </c>
    </row>
    <row r="21" spans="1:17" customFormat="1">
      <c r="A21" s="80">
        <v>45597.135416666664</v>
      </c>
      <c r="B21" s="112">
        <v>5.26</v>
      </c>
      <c r="C21" s="112">
        <v>8.06</v>
      </c>
      <c r="D21" s="112">
        <v>13.99</v>
      </c>
      <c r="E21" s="112">
        <v>8.32</v>
      </c>
      <c r="F21" s="112">
        <v>6.14</v>
      </c>
      <c r="G21" s="112">
        <v>247.03</v>
      </c>
      <c r="H21" s="112">
        <v>231.7</v>
      </c>
      <c r="I21" s="112">
        <v>9.93</v>
      </c>
      <c r="J21" s="112">
        <v>0.27</v>
      </c>
      <c r="K21" s="112">
        <v>46.05</v>
      </c>
      <c r="L21" s="112">
        <v>23.33</v>
      </c>
      <c r="M21" s="112">
        <v>94.99</v>
      </c>
      <c r="N21" s="112">
        <v>1.4</v>
      </c>
      <c r="O21" s="112">
        <v>0</v>
      </c>
      <c r="P21" s="112">
        <v>0.83</v>
      </c>
      <c r="Q21" s="112">
        <v>4.2699999999999996</v>
      </c>
    </row>
    <row r="22" spans="1:17" customFormat="1">
      <c r="A22" s="80">
        <v>45597.145833333336</v>
      </c>
      <c r="B22" s="112">
        <v>5.26</v>
      </c>
      <c r="C22" s="112">
        <v>8.07</v>
      </c>
      <c r="D22" s="112">
        <v>14.01</v>
      </c>
      <c r="E22" s="112">
        <v>8.65</v>
      </c>
      <c r="F22" s="112">
        <v>5.59</v>
      </c>
      <c r="G22" s="112">
        <v>381.3</v>
      </c>
      <c r="H22" s="112">
        <v>231.7</v>
      </c>
      <c r="I22" s="112">
        <v>10.18</v>
      </c>
      <c r="J22" s="112">
        <v>0.34</v>
      </c>
      <c r="K22" s="112">
        <v>34.729999999999997</v>
      </c>
      <c r="L22" s="112">
        <v>23.15</v>
      </c>
      <c r="M22" s="112">
        <v>90.11</v>
      </c>
      <c r="N22" s="112">
        <v>1.6</v>
      </c>
      <c r="O22" s="112">
        <v>0</v>
      </c>
      <c r="P22" s="112">
        <v>0.84</v>
      </c>
      <c r="Q22" s="112">
        <v>4.2699999999999996</v>
      </c>
    </row>
    <row r="23" spans="1:17" customFormat="1">
      <c r="A23" s="80">
        <v>45597.15625</v>
      </c>
      <c r="B23" s="112">
        <v>5.28</v>
      </c>
      <c r="C23" s="112">
        <v>8.0500000000000007</v>
      </c>
      <c r="D23" s="112">
        <v>14.01</v>
      </c>
      <c r="E23" s="112">
        <v>8.4600000000000009</v>
      </c>
      <c r="F23" s="112">
        <v>5.93</v>
      </c>
      <c r="G23" s="112">
        <v>381.3</v>
      </c>
      <c r="H23" s="112">
        <v>231.7</v>
      </c>
      <c r="I23" s="112">
        <v>10.4</v>
      </c>
      <c r="J23" s="112">
        <v>0.14000000000000001</v>
      </c>
      <c r="K23" s="112">
        <v>65.58</v>
      </c>
      <c r="L23" s="112">
        <v>22.99</v>
      </c>
      <c r="M23" s="112">
        <v>84.23</v>
      </c>
      <c r="N23" s="112">
        <v>1.7</v>
      </c>
      <c r="O23" s="112">
        <v>0</v>
      </c>
      <c r="P23" s="112">
        <v>0.85</v>
      </c>
      <c r="Q23" s="112">
        <v>4.2699999999999996</v>
      </c>
    </row>
    <row r="24" spans="1:17" customFormat="1">
      <c r="A24" s="80">
        <v>45597.166666666664</v>
      </c>
      <c r="B24" s="112">
        <v>5.29</v>
      </c>
      <c r="C24" s="112">
        <v>8.0399999999999991</v>
      </c>
      <c r="D24" s="112">
        <v>14.01</v>
      </c>
      <c r="E24" s="112">
        <v>8.31</v>
      </c>
      <c r="F24" s="112">
        <v>6</v>
      </c>
      <c r="G24" s="112">
        <v>381.3</v>
      </c>
      <c r="H24" s="112">
        <v>231.7</v>
      </c>
      <c r="I24" s="112">
        <v>10.58</v>
      </c>
      <c r="J24" s="112">
        <v>0.03</v>
      </c>
      <c r="K24" s="112">
        <v>23.14</v>
      </c>
      <c r="L24" s="112">
        <v>22.66</v>
      </c>
      <c r="M24" s="112">
        <v>85.58</v>
      </c>
      <c r="N24" s="112">
        <v>1.8</v>
      </c>
      <c r="O24" s="112">
        <v>0</v>
      </c>
      <c r="P24" s="112">
        <v>0.85</v>
      </c>
      <c r="Q24" s="112">
        <v>4.2699999999999996</v>
      </c>
    </row>
    <row r="25" spans="1:17" customFormat="1">
      <c r="A25" s="80">
        <v>45597.177083333336</v>
      </c>
      <c r="B25" s="112">
        <v>5.29</v>
      </c>
      <c r="C25" s="112">
        <v>8.06</v>
      </c>
      <c r="D25" s="112">
        <v>14.02</v>
      </c>
      <c r="E25" s="112">
        <v>8.33</v>
      </c>
      <c r="F25" s="112">
        <v>5.89</v>
      </c>
      <c r="G25" s="112">
        <v>156.85</v>
      </c>
      <c r="H25" s="112">
        <v>86.1</v>
      </c>
      <c r="I25" s="112">
        <v>10.63</v>
      </c>
      <c r="J25" s="112">
        <v>0.03</v>
      </c>
      <c r="K25" s="112">
        <v>215.51</v>
      </c>
      <c r="L25" s="112">
        <v>22.37</v>
      </c>
      <c r="M25" s="112">
        <v>87.2</v>
      </c>
      <c r="N25" s="112">
        <v>1.7</v>
      </c>
      <c r="O25" s="112">
        <v>0</v>
      </c>
      <c r="P25" s="112">
        <v>0.86</v>
      </c>
      <c r="Q25" s="112">
        <v>4.26</v>
      </c>
    </row>
    <row r="26" spans="1:17" customFormat="1">
      <c r="A26" s="80">
        <v>45597.1875</v>
      </c>
      <c r="B26" s="112">
        <v>5.29</v>
      </c>
      <c r="C26" s="112">
        <v>8.0399999999999991</v>
      </c>
      <c r="D26" s="112">
        <v>14.01</v>
      </c>
      <c r="E26" s="112">
        <v>8.7100000000000009</v>
      </c>
      <c r="F26" s="112">
        <v>6.01</v>
      </c>
      <c r="G26" s="112">
        <v>156.85</v>
      </c>
      <c r="H26" s="112">
        <v>86.1</v>
      </c>
      <c r="I26" s="112">
        <v>10.7</v>
      </c>
      <c r="J26" s="112">
        <v>0.09</v>
      </c>
      <c r="K26" s="112">
        <v>49.86</v>
      </c>
      <c r="L26" s="112">
        <v>22.24</v>
      </c>
      <c r="M26" s="112">
        <v>88.65</v>
      </c>
      <c r="N26" s="112">
        <v>1.5</v>
      </c>
      <c r="O26" s="112">
        <v>0</v>
      </c>
      <c r="P26" s="112">
        <v>0.85</v>
      </c>
      <c r="Q26" s="112">
        <v>4.2699999999999996</v>
      </c>
    </row>
    <row r="27" spans="1:17" customFormat="1">
      <c r="A27" s="80">
        <v>45597.197916666664</v>
      </c>
      <c r="B27" s="112">
        <v>5.28</v>
      </c>
      <c r="C27" s="112">
        <v>8.09</v>
      </c>
      <c r="D27" s="112">
        <v>14.03</v>
      </c>
      <c r="E27" s="112">
        <v>8.0500000000000007</v>
      </c>
      <c r="F27" s="112">
        <v>5.83</v>
      </c>
      <c r="G27" s="112">
        <v>156.85</v>
      </c>
      <c r="H27" s="112">
        <v>86.1</v>
      </c>
      <c r="I27" s="112">
        <v>10.72</v>
      </c>
      <c r="J27" s="112">
        <v>0.1</v>
      </c>
      <c r="K27" s="112">
        <v>61.4</v>
      </c>
      <c r="L27" s="112">
        <v>22.24</v>
      </c>
      <c r="M27" s="112">
        <v>87.55</v>
      </c>
      <c r="N27" s="112">
        <v>1.4</v>
      </c>
      <c r="O27" s="112">
        <v>0</v>
      </c>
      <c r="P27" s="112">
        <v>0.85</v>
      </c>
      <c r="Q27" s="112">
        <v>4.2699999999999996</v>
      </c>
    </row>
    <row r="28" spans="1:17" customFormat="1">
      <c r="A28" s="80">
        <v>45597.208333333336</v>
      </c>
      <c r="B28" s="112">
        <v>5.28</v>
      </c>
      <c r="C28" s="112">
        <v>8.06</v>
      </c>
      <c r="D28" s="112">
        <v>14.02</v>
      </c>
      <c r="E28" s="112">
        <v>7.86</v>
      </c>
      <c r="F28" s="112">
        <v>5.77</v>
      </c>
      <c r="G28" s="112">
        <v>156.85</v>
      </c>
      <c r="H28" s="112">
        <v>86.1</v>
      </c>
      <c r="I28" s="112">
        <v>10.7</v>
      </c>
      <c r="J28" s="112">
        <v>0.09</v>
      </c>
      <c r="K28" s="112">
        <v>67.16</v>
      </c>
      <c r="L28" s="112">
        <v>22.16</v>
      </c>
      <c r="M28" s="112">
        <v>86.58</v>
      </c>
      <c r="N28" s="112">
        <v>1.5</v>
      </c>
      <c r="O28" s="112">
        <v>0</v>
      </c>
      <c r="P28" s="112">
        <v>0.86</v>
      </c>
      <c r="Q28" s="112">
        <v>4.28</v>
      </c>
    </row>
    <row r="29" spans="1:17" customFormat="1">
      <c r="A29" s="80">
        <v>45597.21875</v>
      </c>
      <c r="B29" s="112">
        <v>5.29</v>
      </c>
      <c r="C29" s="112">
        <v>8.0399999999999991</v>
      </c>
      <c r="D29" s="112">
        <v>14.01</v>
      </c>
      <c r="E29" s="112">
        <v>7.83</v>
      </c>
      <c r="F29" s="112">
        <v>5.89</v>
      </c>
      <c r="G29" s="112">
        <v>121.84</v>
      </c>
      <c r="H29" s="112">
        <v>36.49</v>
      </c>
      <c r="I29" s="112">
        <v>10.73</v>
      </c>
      <c r="J29" s="112">
        <v>0.09</v>
      </c>
      <c r="K29" s="112">
        <v>115.9</v>
      </c>
      <c r="L29" s="112">
        <v>22</v>
      </c>
      <c r="M29" s="112">
        <v>87.02</v>
      </c>
      <c r="N29" s="112">
        <v>1.7</v>
      </c>
      <c r="O29" s="112">
        <v>0</v>
      </c>
      <c r="P29" s="112">
        <v>0.86</v>
      </c>
      <c r="Q29" s="112">
        <v>4.28</v>
      </c>
    </row>
    <row r="30" spans="1:17" customFormat="1">
      <c r="A30" s="80">
        <v>45597.229166666664</v>
      </c>
      <c r="B30" s="112">
        <v>5.28</v>
      </c>
      <c r="C30" s="112">
        <v>8.0399999999999991</v>
      </c>
      <c r="D30" s="112">
        <v>14</v>
      </c>
      <c r="E30" s="112">
        <v>8.1199999999999992</v>
      </c>
      <c r="F30" s="112">
        <v>5.63</v>
      </c>
      <c r="G30" s="112">
        <v>115.04</v>
      </c>
      <c r="H30" s="112">
        <v>36.49</v>
      </c>
      <c r="I30" s="112">
        <v>10.68</v>
      </c>
      <c r="J30" s="112">
        <v>0.06</v>
      </c>
      <c r="K30" s="112">
        <v>149.5</v>
      </c>
      <c r="L30" s="112">
        <v>21.8</v>
      </c>
      <c r="M30" s="112">
        <v>87.94</v>
      </c>
      <c r="N30" s="112">
        <v>1.6</v>
      </c>
      <c r="O30" s="112">
        <v>0</v>
      </c>
      <c r="P30" s="112">
        <v>0.84</v>
      </c>
      <c r="Q30" s="112">
        <v>4.29</v>
      </c>
    </row>
    <row r="31" spans="1:17" customFormat="1">
      <c r="A31" s="80">
        <v>45597.239583333336</v>
      </c>
      <c r="B31" s="112">
        <v>5.29</v>
      </c>
      <c r="C31" s="112">
        <v>8.0500000000000007</v>
      </c>
      <c r="D31" s="112">
        <v>14.02</v>
      </c>
      <c r="E31" s="112">
        <v>7.68</v>
      </c>
      <c r="F31" s="112">
        <v>5.5</v>
      </c>
      <c r="G31" s="112">
        <v>115.04</v>
      </c>
      <c r="H31" s="112">
        <v>36.49</v>
      </c>
      <c r="I31" s="112">
        <v>10.66</v>
      </c>
      <c r="J31" s="112">
        <v>0.17</v>
      </c>
      <c r="K31" s="112">
        <v>71.959999999999994</v>
      </c>
      <c r="L31" s="112">
        <v>21.82</v>
      </c>
      <c r="M31" s="112">
        <v>87.42</v>
      </c>
      <c r="N31" s="112">
        <v>1.8</v>
      </c>
      <c r="O31" s="112">
        <v>0</v>
      </c>
      <c r="P31" s="112">
        <v>0.84</v>
      </c>
      <c r="Q31" s="112">
        <v>4.29</v>
      </c>
    </row>
    <row r="32" spans="1:17" customFormat="1">
      <c r="A32" s="80">
        <v>45597.25</v>
      </c>
      <c r="B32" s="112">
        <v>5.28</v>
      </c>
      <c r="C32" s="112">
        <v>8.0500000000000007</v>
      </c>
      <c r="D32" s="112">
        <v>14.01</v>
      </c>
      <c r="E32" s="112">
        <v>8.07</v>
      </c>
      <c r="F32" s="112">
        <v>5.99</v>
      </c>
      <c r="G32" s="112">
        <v>115.04</v>
      </c>
      <c r="H32" s="112">
        <v>36.49</v>
      </c>
      <c r="I32" s="112">
        <v>10.65</v>
      </c>
      <c r="J32" s="112">
        <v>0.15</v>
      </c>
      <c r="K32" s="112">
        <v>174.26</v>
      </c>
      <c r="L32" s="112">
        <v>21.65</v>
      </c>
      <c r="M32" s="112">
        <v>88.21</v>
      </c>
      <c r="N32" s="112">
        <v>4.0999999999999996</v>
      </c>
      <c r="O32" s="112">
        <v>0</v>
      </c>
      <c r="P32" s="112">
        <v>0.85</v>
      </c>
      <c r="Q32" s="112">
        <v>4.3</v>
      </c>
    </row>
    <row r="33" spans="1:17" customFormat="1">
      <c r="A33" s="80">
        <v>45597.260416666664</v>
      </c>
      <c r="B33" s="112">
        <v>5.28</v>
      </c>
      <c r="C33" s="112">
        <v>8.0399999999999991</v>
      </c>
      <c r="D33" s="112">
        <v>14</v>
      </c>
      <c r="E33" s="112">
        <v>8.06</v>
      </c>
      <c r="F33" s="112">
        <v>5.77</v>
      </c>
      <c r="G33" s="112">
        <v>92.3</v>
      </c>
      <c r="H33" s="112">
        <v>25.41</v>
      </c>
      <c r="I33" s="112">
        <v>10.56</v>
      </c>
      <c r="J33" s="112">
        <v>0.09</v>
      </c>
      <c r="K33" s="112">
        <v>165.26</v>
      </c>
      <c r="L33" s="112">
        <v>21.48</v>
      </c>
      <c r="M33" s="112">
        <v>90.14</v>
      </c>
      <c r="N33" s="112">
        <v>10.199999999999999</v>
      </c>
      <c r="O33" s="112">
        <v>0</v>
      </c>
      <c r="P33" s="112">
        <v>0.86</v>
      </c>
      <c r="Q33" s="112">
        <v>4.28</v>
      </c>
    </row>
    <row r="34" spans="1:17" customFormat="1">
      <c r="A34" s="80">
        <v>45597.270833333336</v>
      </c>
      <c r="B34" s="112">
        <v>5.27</v>
      </c>
      <c r="C34" s="112">
        <v>8.06</v>
      </c>
      <c r="D34" s="112">
        <v>14.01</v>
      </c>
      <c r="E34" s="112">
        <v>8.34</v>
      </c>
      <c r="F34" s="112">
        <v>5.71</v>
      </c>
      <c r="G34" s="112">
        <v>55.36</v>
      </c>
      <c r="H34" s="112">
        <v>25.41</v>
      </c>
      <c r="I34" s="112">
        <v>10.5</v>
      </c>
      <c r="J34" s="112">
        <v>7.0000000000000007E-2</v>
      </c>
      <c r="K34" s="112">
        <v>170.19</v>
      </c>
      <c r="L34" s="112">
        <v>21.56</v>
      </c>
      <c r="M34" s="112">
        <v>90.12</v>
      </c>
      <c r="N34" s="112">
        <v>19.7</v>
      </c>
      <c r="O34" s="112">
        <v>0</v>
      </c>
      <c r="P34" s="112">
        <v>0.87</v>
      </c>
      <c r="Q34" s="112">
        <v>4.2699999999999996</v>
      </c>
    </row>
    <row r="35" spans="1:17" customFormat="1">
      <c r="A35" s="80">
        <v>45597.28125</v>
      </c>
      <c r="B35" s="112">
        <v>5.28</v>
      </c>
      <c r="C35" s="112">
        <v>8.08</v>
      </c>
      <c r="D35" s="112">
        <v>14.02</v>
      </c>
      <c r="E35" s="112">
        <v>8.16</v>
      </c>
      <c r="F35" s="112">
        <v>5.84</v>
      </c>
      <c r="G35" s="112">
        <v>55.36</v>
      </c>
      <c r="H35" s="112">
        <v>25.41</v>
      </c>
      <c r="I35" s="112">
        <v>10.51</v>
      </c>
      <c r="J35" s="112">
        <v>0.09</v>
      </c>
      <c r="K35" s="112">
        <v>157.71</v>
      </c>
      <c r="L35" s="112">
        <v>21.92</v>
      </c>
      <c r="M35" s="112">
        <v>88.83</v>
      </c>
      <c r="N35" s="112">
        <v>32</v>
      </c>
      <c r="O35" s="112">
        <v>0</v>
      </c>
      <c r="P35" s="112">
        <v>0.87</v>
      </c>
      <c r="Q35" s="112">
        <v>4.29</v>
      </c>
    </row>
    <row r="36" spans="1:17" customFormat="1">
      <c r="A36" s="80">
        <v>45597.291666666664</v>
      </c>
      <c r="B36" s="112">
        <v>5.27</v>
      </c>
      <c r="C36" s="112">
        <v>8.11</v>
      </c>
      <c r="D36" s="112">
        <v>14.03</v>
      </c>
      <c r="E36" s="112">
        <v>8.0500000000000007</v>
      </c>
      <c r="F36" s="112">
        <v>5.7</v>
      </c>
      <c r="G36" s="112">
        <v>55.36</v>
      </c>
      <c r="H36" s="112">
        <v>25.41</v>
      </c>
      <c r="I36" s="112">
        <v>10.54</v>
      </c>
      <c r="J36" s="112">
        <v>0.06</v>
      </c>
      <c r="K36" s="112">
        <v>139.24</v>
      </c>
      <c r="L36" s="112">
        <v>22.42</v>
      </c>
      <c r="M36" s="112">
        <v>88.03</v>
      </c>
      <c r="N36" s="112">
        <v>45.7</v>
      </c>
      <c r="O36" s="112">
        <v>0</v>
      </c>
      <c r="P36" s="112">
        <v>0.88</v>
      </c>
      <c r="Q36" s="112">
        <v>4.29</v>
      </c>
    </row>
    <row r="37" spans="1:17" customFormat="1">
      <c r="A37" s="80">
        <v>45597.302083333336</v>
      </c>
      <c r="B37" s="112">
        <v>5.26</v>
      </c>
      <c r="C37" s="112">
        <v>8.08</v>
      </c>
      <c r="D37" s="112">
        <v>14.01</v>
      </c>
      <c r="E37" s="112">
        <v>7.51</v>
      </c>
      <c r="F37" s="112">
        <v>5.76</v>
      </c>
      <c r="G37" s="112">
        <v>55.36</v>
      </c>
      <c r="H37" s="112">
        <v>36.99</v>
      </c>
      <c r="I37" s="112">
        <v>10.66</v>
      </c>
      <c r="J37" s="112">
        <v>0.12</v>
      </c>
      <c r="K37" s="112">
        <v>113.84</v>
      </c>
      <c r="L37" s="112">
        <v>23.19</v>
      </c>
      <c r="M37" s="112">
        <v>80.430000000000007</v>
      </c>
      <c r="N37" s="112">
        <v>58.8</v>
      </c>
      <c r="O37" s="112">
        <v>0</v>
      </c>
      <c r="P37" s="112">
        <v>0.9</v>
      </c>
      <c r="Q37" s="112">
        <v>4.28</v>
      </c>
    </row>
    <row r="38" spans="1:17" customFormat="1">
      <c r="A38" s="80">
        <v>45597.3125</v>
      </c>
      <c r="B38" s="112">
        <v>5.28</v>
      </c>
      <c r="C38" s="112">
        <v>8.07</v>
      </c>
      <c r="D38" s="112">
        <v>14.02</v>
      </c>
      <c r="E38" s="112">
        <v>7.79</v>
      </c>
      <c r="F38" s="112">
        <v>5.92</v>
      </c>
      <c r="G38" s="172" t="s">
        <v>8</v>
      </c>
      <c r="H38" s="112">
        <v>36.99</v>
      </c>
      <c r="I38" s="112">
        <v>10.88</v>
      </c>
      <c r="J38" s="112">
        <v>0.2</v>
      </c>
      <c r="K38" s="112">
        <v>125.48</v>
      </c>
      <c r="L38" s="112">
        <v>23.9</v>
      </c>
      <c r="M38" s="112">
        <v>74.540000000000006</v>
      </c>
      <c r="N38" s="112">
        <v>96.4</v>
      </c>
      <c r="O38" s="112">
        <v>0</v>
      </c>
      <c r="P38" s="112">
        <v>0.91</v>
      </c>
      <c r="Q38" s="112">
        <v>4.2699999999999996</v>
      </c>
    </row>
    <row r="39" spans="1:17" customFormat="1">
      <c r="A39" s="80">
        <v>45597.322916666664</v>
      </c>
      <c r="B39" s="112">
        <v>5.26</v>
      </c>
      <c r="C39" s="112">
        <v>8.1</v>
      </c>
      <c r="D39" s="112">
        <v>14.02</v>
      </c>
      <c r="E39" s="112">
        <v>7.8</v>
      </c>
      <c r="F39" s="112">
        <v>5.84</v>
      </c>
      <c r="G39" s="172" t="s">
        <v>8</v>
      </c>
      <c r="H39" s="112">
        <v>36.99</v>
      </c>
      <c r="I39" s="112">
        <v>11.04</v>
      </c>
      <c r="J39" s="112">
        <v>0.17</v>
      </c>
      <c r="K39" s="112">
        <v>126.06</v>
      </c>
      <c r="L39" s="112">
        <v>24.78</v>
      </c>
      <c r="M39" s="112">
        <v>69.510000000000005</v>
      </c>
      <c r="N39" s="112">
        <v>191.2</v>
      </c>
      <c r="O39" s="112">
        <v>0</v>
      </c>
      <c r="P39" s="112">
        <v>0.9</v>
      </c>
      <c r="Q39" s="112">
        <v>4.28</v>
      </c>
    </row>
    <row r="40" spans="1:17" customFormat="1">
      <c r="A40" s="80">
        <v>45597.333333333336</v>
      </c>
      <c r="B40" s="112">
        <v>5.27</v>
      </c>
      <c r="C40" s="112">
        <v>8.07</v>
      </c>
      <c r="D40" s="112">
        <v>14.01</v>
      </c>
      <c r="E40" s="112">
        <v>7.94</v>
      </c>
      <c r="F40" s="112">
        <v>5.39</v>
      </c>
      <c r="G40" s="172" t="s">
        <v>8</v>
      </c>
      <c r="H40" s="112">
        <v>36.99</v>
      </c>
      <c r="I40" s="112">
        <v>11.16</v>
      </c>
      <c r="J40" s="112">
        <v>0.03</v>
      </c>
      <c r="K40" s="112">
        <v>152.71</v>
      </c>
      <c r="L40" s="112">
        <v>25.75</v>
      </c>
      <c r="M40" s="112">
        <v>67.150000000000006</v>
      </c>
      <c r="N40" s="112">
        <v>235</v>
      </c>
      <c r="O40" s="112">
        <v>0</v>
      </c>
      <c r="P40" s="112">
        <v>0.89</v>
      </c>
      <c r="Q40" s="112">
        <v>4.28</v>
      </c>
    </row>
    <row r="41" spans="1:17" customFormat="1">
      <c r="A41" s="80">
        <v>45597.34375</v>
      </c>
      <c r="B41" s="112">
        <v>5.28</v>
      </c>
      <c r="C41" s="112">
        <v>8.0500000000000007</v>
      </c>
      <c r="D41" s="112">
        <v>14.01</v>
      </c>
      <c r="E41" s="112">
        <v>7.97</v>
      </c>
      <c r="F41" s="112">
        <v>5.46</v>
      </c>
      <c r="G41" s="172" t="s">
        <v>8</v>
      </c>
      <c r="H41" s="112">
        <v>17.57</v>
      </c>
      <c r="I41" s="112">
        <v>11.21</v>
      </c>
      <c r="J41" s="112">
        <v>0.11</v>
      </c>
      <c r="K41" s="112">
        <v>134.77000000000001</v>
      </c>
      <c r="L41" s="112">
        <v>26.93</v>
      </c>
      <c r="M41" s="112">
        <v>61.82</v>
      </c>
      <c r="N41" s="112">
        <v>270.5</v>
      </c>
      <c r="O41" s="112">
        <v>0</v>
      </c>
      <c r="P41" s="112">
        <v>0.88</v>
      </c>
      <c r="Q41" s="112">
        <v>4.28</v>
      </c>
    </row>
    <row r="42" spans="1:17" customFormat="1">
      <c r="A42" s="80">
        <v>45597.354166666664</v>
      </c>
      <c r="B42" s="112">
        <v>5.29</v>
      </c>
      <c r="C42" s="112">
        <v>8.07</v>
      </c>
      <c r="D42" s="112">
        <v>14.02</v>
      </c>
      <c r="E42" s="112">
        <v>8.32</v>
      </c>
      <c r="F42" s="112">
        <v>5.3</v>
      </c>
      <c r="G42" s="172" t="s">
        <v>8</v>
      </c>
      <c r="H42" s="112">
        <v>17.57</v>
      </c>
      <c r="I42" s="112">
        <v>11.22</v>
      </c>
      <c r="J42" s="112">
        <v>0.26</v>
      </c>
      <c r="K42" s="112">
        <v>164.08</v>
      </c>
      <c r="L42" s="112">
        <v>27.85</v>
      </c>
      <c r="M42" s="112">
        <v>61.76</v>
      </c>
      <c r="N42" s="112">
        <v>247.2</v>
      </c>
      <c r="O42" s="112">
        <v>0</v>
      </c>
      <c r="P42" s="112">
        <v>0.87</v>
      </c>
      <c r="Q42" s="112">
        <v>4.2699999999999996</v>
      </c>
    </row>
    <row r="43" spans="1:17" customFormat="1">
      <c r="A43" s="80">
        <v>45597.364583333336</v>
      </c>
      <c r="B43" s="112">
        <v>5.28</v>
      </c>
      <c r="C43" s="112">
        <v>8.0500000000000007</v>
      </c>
      <c r="D43" s="112">
        <v>14.01</v>
      </c>
      <c r="E43" s="112">
        <v>8</v>
      </c>
      <c r="F43" s="112">
        <v>5.64</v>
      </c>
      <c r="G43" s="172" t="s">
        <v>8</v>
      </c>
      <c r="H43" s="112">
        <v>17.57</v>
      </c>
      <c r="I43" s="112">
        <v>11.24</v>
      </c>
      <c r="J43" s="112">
        <v>0.28000000000000003</v>
      </c>
      <c r="K43" s="112">
        <v>139.44</v>
      </c>
      <c r="L43" s="112">
        <v>28.75</v>
      </c>
      <c r="M43" s="112">
        <v>59.07</v>
      </c>
      <c r="N43" s="112">
        <v>362.6</v>
      </c>
      <c r="O43" s="112">
        <v>0</v>
      </c>
      <c r="P43" s="112">
        <v>0.87</v>
      </c>
      <c r="Q43" s="112">
        <v>4.26</v>
      </c>
    </row>
    <row r="44" spans="1:17" customFormat="1">
      <c r="A44" s="80">
        <v>45597.375</v>
      </c>
      <c r="B44" s="112">
        <v>5.28</v>
      </c>
      <c r="C44" s="112">
        <v>8.0500000000000007</v>
      </c>
      <c r="D44" s="112">
        <v>14.01</v>
      </c>
      <c r="E44" s="112">
        <v>8.4600000000000009</v>
      </c>
      <c r="F44" s="112">
        <v>5.87</v>
      </c>
      <c r="G44" s="172" t="s">
        <v>8</v>
      </c>
      <c r="H44" s="112">
        <v>17.57</v>
      </c>
      <c r="I44" s="112">
        <v>11.38</v>
      </c>
      <c r="J44" s="112">
        <v>0.28999999999999998</v>
      </c>
      <c r="K44" s="112">
        <v>248.01</v>
      </c>
      <c r="L44" s="112">
        <v>29.05</v>
      </c>
      <c r="M44" s="112">
        <v>58.56</v>
      </c>
      <c r="N44" s="112">
        <v>324.7</v>
      </c>
      <c r="O44" s="112">
        <v>0</v>
      </c>
      <c r="P44" s="112">
        <v>0.87</v>
      </c>
      <c r="Q44" s="112">
        <v>4.2699999999999996</v>
      </c>
    </row>
    <row r="45" spans="1:17" customFormat="1">
      <c r="A45" s="80">
        <v>45597.385416666664</v>
      </c>
      <c r="B45" s="112">
        <v>5.28</v>
      </c>
      <c r="C45" s="112">
        <v>8.0500000000000007</v>
      </c>
      <c r="D45" s="112">
        <v>14.01</v>
      </c>
      <c r="E45" s="112">
        <v>8.2200000000000006</v>
      </c>
      <c r="F45" s="112">
        <v>6.13</v>
      </c>
      <c r="G45" s="172" t="s">
        <v>8</v>
      </c>
      <c r="H45" s="112">
        <v>24.76</v>
      </c>
      <c r="I45" s="112">
        <v>11.57</v>
      </c>
      <c r="J45" s="112">
        <v>0.05</v>
      </c>
      <c r="K45" s="112">
        <v>136.16</v>
      </c>
      <c r="L45" s="112">
        <v>29.35</v>
      </c>
      <c r="M45" s="112">
        <v>59.46</v>
      </c>
      <c r="N45" s="112">
        <v>410.7</v>
      </c>
      <c r="O45" s="112">
        <v>0</v>
      </c>
      <c r="P45" s="112">
        <v>0.88</v>
      </c>
      <c r="Q45" s="112">
        <v>4.2699999999999996</v>
      </c>
    </row>
    <row r="46" spans="1:17" customFormat="1">
      <c r="A46" s="80">
        <v>45597.395833333336</v>
      </c>
      <c r="B46" s="112">
        <v>5.27</v>
      </c>
      <c r="C46" s="112">
        <v>8.07</v>
      </c>
      <c r="D46" s="112">
        <v>14.01</v>
      </c>
      <c r="E46" s="112">
        <v>8.89</v>
      </c>
      <c r="F46" s="112">
        <v>6.81</v>
      </c>
      <c r="G46" s="172" t="s">
        <v>8</v>
      </c>
      <c r="H46" s="112">
        <v>24.76</v>
      </c>
      <c r="I46" s="112">
        <v>11.86</v>
      </c>
      <c r="J46" s="112">
        <v>0.13</v>
      </c>
      <c r="K46" s="112">
        <v>210.27</v>
      </c>
      <c r="L46" s="112">
        <v>30.34</v>
      </c>
      <c r="M46" s="112">
        <v>60.77</v>
      </c>
      <c r="N46" s="112">
        <v>377</v>
      </c>
      <c r="O46" s="112">
        <v>0</v>
      </c>
      <c r="P46" s="112">
        <v>0.9</v>
      </c>
      <c r="Q46" s="112">
        <v>4.2699999999999996</v>
      </c>
    </row>
    <row r="47" spans="1:17" customFormat="1">
      <c r="A47" s="80">
        <v>45597.40625</v>
      </c>
      <c r="B47" s="112">
        <v>5.26</v>
      </c>
      <c r="C47" s="112">
        <v>8.08</v>
      </c>
      <c r="D47" s="112">
        <v>14.01</v>
      </c>
      <c r="E47" s="112">
        <v>8.19</v>
      </c>
      <c r="F47" s="112">
        <v>7.22</v>
      </c>
      <c r="G47" s="172" t="s">
        <v>8</v>
      </c>
      <c r="H47" s="112">
        <v>24.76</v>
      </c>
      <c r="I47" s="112">
        <v>12.27</v>
      </c>
      <c r="J47" s="112">
        <v>0.31</v>
      </c>
      <c r="K47" s="112">
        <v>169.73</v>
      </c>
      <c r="L47" s="112">
        <v>31.47</v>
      </c>
      <c r="M47" s="112">
        <v>58.05</v>
      </c>
      <c r="N47" s="112">
        <v>481.6</v>
      </c>
      <c r="O47" s="112">
        <v>0</v>
      </c>
      <c r="P47" s="112">
        <v>0.9</v>
      </c>
      <c r="Q47" s="112">
        <v>4.28</v>
      </c>
    </row>
    <row r="48" spans="1:17" customFormat="1">
      <c r="A48" s="80">
        <v>45597.416666666664</v>
      </c>
      <c r="B48" s="112">
        <v>5.29</v>
      </c>
      <c r="C48" s="112">
        <v>8.0500000000000007</v>
      </c>
      <c r="D48" s="112">
        <v>14.01</v>
      </c>
      <c r="E48" s="112">
        <v>9.26</v>
      </c>
      <c r="F48" s="112">
        <v>10.32</v>
      </c>
      <c r="G48" s="172" t="s">
        <v>8</v>
      </c>
      <c r="H48" s="112">
        <v>24.76</v>
      </c>
      <c r="I48" s="112">
        <v>12.49</v>
      </c>
      <c r="J48" s="112">
        <v>0.42</v>
      </c>
      <c r="K48" s="112">
        <v>264.01</v>
      </c>
      <c r="L48" s="112">
        <v>31.23</v>
      </c>
      <c r="M48" s="112">
        <v>58.6</v>
      </c>
      <c r="N48" s="112">
        <v>546.29999999999995</v>
      </c>
      <c r="O48" s="112">
        <v>0</v>
      </c>
      <c r="P48" s="112">
        <v>0.9</v>
      </c>
      <c r="Q48" s="112">
        <v>4.2699999999999996</v>
      </c>
    </row>
    <row r="49" spans="1:17" customFormat="1">
      <c r="A49" s="80">
        <v>45597.427083333336</v>
      </c>
      <c r="B49" s="112">
        <v>5.29</v>
      </c>
      <c r="C49" s="112">
        <v>8.0500000000000007</v>
      </c>
      <c r="D49" s="112">
        <v>14.02</v>
      </c>
      <c r="E49" s="112">
        <v>9.6300000000000008</v>
      </c>
      <c r="F49" s="112">
        <v>12.68</v>
      </c>
      <c r="G49" s="172" t="s">
        <v>8</v>
      </c>
      <c r="H49" s="112">
        <v>36.6</v>
      </c>
      <c r="I49" s="112">
        <v>12.6</v>
      </c>
      <c r="J49" s="112">
        <v>0.12</v>
      </c>
      <c r="K49" s="112">
        <v>260.04000000000002</v>
      </c>
      <c r="L49" s="112">
        <v>31.7</v>
      </c>
      <c r="M49" s="112">
        <v>55.06</v>
      </c>
      <c r="N49" s="112">
        <v>559.5</v>
      </c>
      <c r="O49" s="112">
        <v>0</v>
      </c>
      <c r="P49" s="112">
        <v>0.89</v>
      </c>
      <c r="Q49" s="112">
        <v>4.2699999999999996</v>
      </c>
    </row>
    <row r="50" spans="1:17" customFormat="1">
      <c r="A50" s="80">
        <v>45597.4375</v>
      </c>
      <c r="B50" s="112">
        <v>5.27</v>
      </c>
      <c r="C50" s="112">
        <v>8.07</v>
      </c>
      <c r="D50" s="112">
        <v>14.01</v>
      </c>
      <c r="E50" s="112">
        <v>10.89</v>
      </c>
      <c r="F50" s="112">
        <v>9.1</v>
      </c>
      <c r="G50" s="172" t="s">
        <v>8</v>
      </c>
      <c r="H50" s="112">
        <v>36.6</v>
      </c>
      <c r="I50" s="112">
        <v>12.77</v>
      </c>
      <c r="J50" s="112">
        <v>0.18</v>
      </c>
      <c r="K50" s="112">
        <v>232.63</v>
      </c>
      <c r="L50" s="112">
        <v>32.299999999999997</v>
      </c>
      <c r="M50" s="112">
        <v>50.97</v>
      </c>
      <c r="N50" s="112">
        <v>518.29999999999995</v>
      </c>
      <c r="O50" s="112">
        <v>0</v>
      </c>
      <c r="P50" s="112">
        <v>0.89</v>
      </c>
      <c r="Q50" s="112">
        <v>4.2699999999999996</v>
      </c>
    </row>
    <row r="51" spans="1:17" customFormat="1">
      <c r="A51" s="80">
        <v>45597.447916666664</v>
      </c>
      <c r="B51" s="112">
        <v>5.28</v>
      </c>
      <c r="C51" s="112">
        <v>8.06</v>
      </c>
      <c r="D51" s="112">
        <v>14.01</v>
      </c>
      <c r="E51" s="112">
        <v>11.69</v>
      </c>
      <c r="F51" s="112">
        <v>24.5</v>
      </c>
      <c r="G51" s="172" t="s">
        <v>8</v>
      </c>
      <c r="H51" s="112">
        <v>36.6</v>
      </c>
      <c r="I51" s="112">
        <v>12.93</v>
      </c>
      <c r="J51" s="112">
        <v>0.3</v>
      </c>
      <c r="K51" s="112">
        <v>281.98</v>
      </c>
      <c r="L51" s="112">
        <v>32.19</v>
      </c>
      <c r="M51" s="112">
        <v>52.38</v>
      </c>
      <c r="N51" s="112">
        <v>515.6</v>
      </c>
      <c r="O51" s="112">
        <v>0</v>
      </c>
      <c r="P51" s="112">
        <v>0.82</v>
      </c>
      <c r="Q51" s="112">
        <v>4.2699999999999996</v>
      </c>
    </row>
    <row r="52" spans="1:17" customFormat="1">
      <c r="A52" s="80">
        <v>45597.458333333336</v>
      </c>
      <c r="B52" s="112">
        <v>5.32</v>
      </c>
      <c r="C52" s="112">
        <v>8.08</v>
      </c>
      <c r="D52" s="112">
        <v>14.06</v>
      </c>
      <c r="E52" s="112">
        <v>14.41</v>
      </c>
      <c r="F52" s="112">
        <v>32.71</v>
      </c>
      <c r="G52" s="172" t="s">
        <v>8</v>
      </c>
      <c r="H52" s="112">
        <v>36.6</v>
      </c>
      <c r="I52" s="112">
        <v>12.73</v>
      </c>
      <c r="J52" s="112">
        <v>0.08</v>
      </c>
      <c r="K52" s="112">
        <v>192.85</v>
      </c>
      <c r="L52" s="112">
        <v>32.99</v>
      </c>
      <c r="M52" s="112">
        <v>48.75</v>
      </c>
      <c r="N52" s="112">
        <v>622</v>
      </c>
      <c r="O52" s="112">
        <v>0</v>
      </c>
      <c r="P52" s="112">
        <v>0.73</v>
      </c>
      <c r="Q52" s="112">
        <v>4.2699999999999996</v>
      </c>
    </row>
    <row r="53" spans="1:17" customFormat="1">
      <c r="A53" s="80">
        <v>45597.46875</v>
      </c>
      <c r="B53" s="112">
        <v>5.34</v>
      </c>
      <c r="C53" s="112">
        <v>8.07</v>
      </c>
      <c r="D53" s="112">
        <v>14.07</v>
      </c>
      <c r="E53" s="112">
        <v>17.57</v>
      </c>
      <c r="F53" s="112">
        <v>32.97</v>
      </c>
      <c r="G53" s="172" t="s">
        <v>8</v>
      </c>
      <c r="H53" s="112">
        <v>28.51</v>
      </c>
      <c r="I53" s="112">
        <v>11.54</v>
      </c>
      <c r="J53" s="112">
        <v>0.11</v>
      </c>
      <c r="K53" s="112">
        <v>142.61000000000001</v>
      </c>
      <c r="L53" s="112">
        <v>33.200000000000003</v>
      </c>
      <c r="M53" s="112">
        <v>46.11</v>
      </c>
      <c r="N53" s="112">
        <v>624.1</v>
      </c>
      <c r="O53" s="112">
        <v>0</v>
      </c>
      <c r="P53" s="112">
        <v>0.67</v>
      </c>
      <c r="Q53" s="112">
        <v>4.29</v>
      </c>
    </row>
    <row r="54" spans="1:17" customFormat="1">
      <c r="A54" s="80">
        <v>45597.479166666664</v>
      </c>
      <c r="B54" s="112">
        <v>5.35</v>
      </c>
      <c r="C54" s="112">
        <v>8.07</v>
      </c>
      <c r="D54" s="112">
        <v>14.08</v>
      </c>
      <c r="E54" s="112">
        <v>12.42</v>
      </c>
      <c r="F54" s="112">
        <v>22.95</v>
      </c>
      <c r="G54" s="172" t="s">
        <v>8</v>
      </c>
      <c r="H54" s="112">
        <v>28.51</v>
      </c>
      <c r="I54" s="112">
        <v>10.18</v>
      </c>
      <c r="J54" s="112">
        <v>0.23</v>
      </c>
      <c r="K54" s="112">
        <v>144.34</v>
      </c>
      <c r="L54" s="112">
        <v>33.950000000000003</v>
      </c>
      <c r="M54" s="112">
        <v>41.94</v>
      </c>
      <c r="N54" s="112">
        <v>613.1</v>
      </c>
      <c r="O54" s="112">
        <v>0</v>
      </c>
      <c r="P54" s="112">
        <v>0.65</v>
      </c>
      <c r="Q54" s="112">
        <v>4.29</v>
      </c>
    </row>
    <row r="55" spans="1:17" customFormat="1">
      <c r="A55" s="80">
        <v>45597.489583333336</v>
      </c>
      <c r="B55" s="112">
        <v>5.38</v>
      </c>
      <c r="C55" s="112">
        <v>8.0399999999999991</v>
      </c>
      <c r="D55" s="112">
        <v>14.08</v>
      </c>
      <c r="E55" s="112">
        <v>14.48</v>
      </c>
      <c r="F55" s="112">
        <v>40.99</v>
      </c>
      <c r="G55" s="172" t="s">
        <v>8</v>
      </c>
      <c r="H55" s="112">
        <v>11.58</v>
      </c>
      <c r="I55" s="112">
        <v>10.039999999999999</v>
      </c>
      <c r="J55" s="112">
        <v>0.15</v>
      </c>
      <c r="K55" s="112">
        <v>143.94999999999999</v>
      </c>
      <c r="L55" s="112">
        <v>33.93</v>
      </c>
      <c r="M55" s="112">
        <v>40.19</v>
      </c>
      <c r="N55" s="112">
        <v>639.4</v>
      </c>
      <c r="O55" s="112">
        <v>0</v>
      </c>
      <c r="P55" s="112">
        <v>0.55000000000000004</v>
      </c>
      <c r="Q55" s="112">
        <v>4.29</v>
      </c>
    </row>
    <row r="56" spans="1:17" customFormat="1">
      <c r="A56" s="80">
        <v>45597.5</v>
      </c>
      <c r="B56" s="112">
        <v>5.37</v>
      </c>
      <c r="C56" s="112">
        <v>8.07</v>
      </c>
      <c r="D56" s="112">
        <v>14.09</v>
      </c>
      <c r="E56" s="112">
        <v>23.41</v>
      </c>
      <c r="F56" s="112">
        <v>61.18</v>
      </c>
      <c r="G56" s="172" t="s">
        <v>8</v>
      </c>
      <c r="H56" s="172" t="s">
        <v>8</v>
      </c>
      <c r="I56" s="112">
        <v>9.75</v>
      </c>
      <c r="J56" s="112">
        <v>0.11</v>
      </c>
      <c r="K56" s="112">
        <v>201.44</v>
      </c>
      <c r="L56" s="112">
        <v>34.33</v>
      </c>
      <c r="M56" s="112">
        <v>38.049999999999997</v>
      </c>
      <c r="N56" s="112">
        <v>628.6</v>
      </c>
      <c r="O56" s="112">
        <v>0</v>
      </c>
      <c r="P56" s="112">
        <v>0.45</v>
      </c>
      <c r="Q56" s="112">
        <v>4.3</v>
      </c>
    </row>
    <row r="57" spans="1:17" customFormat="1">
      <c r="A57" s="80">
        <v>45597.510416666664</v>
      </c>
      <c r="B57" s="112">
        <v>5.36</v>
      </c>
      <c r="C57" s="112">
        <v>8.07</v>
      </c>
      <c r="D57" s="112">
        <v>14.08</v>
      </c>
      <c r="E57" s="112">
        <v>23.47</v>
      </c>
      <c r="F57" s="112">
        <v>42.93</v>
      </c>
      <c r="G57" s="172" t="s">
        <v>8</v>
      </c>
      <c r="H57" s="172" t="s">
        <v>8</v>
      </c>
      <c r="I57" s="112">
        <v>7.69</v>
      </c>
      <c r="J57" s="112">
        <v>0.09</v>
      </c>
      <c r="K57" s="112">
        <v>167.68</v>
      </c>
      <c r="L57" s="112">
        <v>34.119999999999997</v>
      </c>
      <c r="M57" s="112">
        <v>35.869999999999997</v>
      </c>
      <c r="N57" s="112">
        <v>596.29999999999995</v>
      </c>
      <c r="O57" s="112">
        <v>0</v>
      </c>
      <c r="P57" s="112">
        <v>0.44</v>
      </c>
      <c r="Q57" s="112">
        <v>4.29</v>
      </c>
    </row>
    <row r="58" spans="1:17" customFormat="1">
      <c r="A58" s="80">
        <v>45597.520833333336</v>
      </c>
      <c r="B58" s="112">
        <v>5.29</v>
      </c>
      <c r="C58" s="112">
        <v>8.08</v>
      </c>
      <c r="D58" s="112">
        <v>14.03</v>
      </c>
      <c r="E58" s="112">
        <v>18.71</v>
      </c>
      <c r="F58" s="112">
        <v>33.92</v>
      </c>
      <c r="G58" s="172" t="s">
        <v>8</v>
      </c>
      <c r="H58" s="172" t="s">
        <v>8</v>
      </c>
      <c r="I58" s="112">
        <v>5.63</v>
      </c>
      <c r="J58" s="112">
        <v>0.13</v>
      </c>
      <c r="K58" s="112">
        <v>70.739999999999995</v>
      </c>
      <c r="L58" s="112">
        <v>34.18</v>
      </c>
      <c r="M58" s="112">
        <v>31.86</v>
      </c>
      <c r="N58" s="112">
        <v>592.5</v>
      </c>
      <c r="O58" s="112">
        <v>0</v>
      </c>
      <c r="P58" s="112">
        <v>0.46</v>
      </c>
      <c r="Q58" s="112">
        <v>4.2699999999999996</v>
      </c>
    </row>
    <row r="59" spans="1:17" customFormat="1">
      <c r="A59" s="80">
        <v>45597.53125</v>
      </c>
      <c r="B59" s="112">
        <v>5.29</v>
      </c>
      <c r="C59" s="112">
        <v>8.1</v>
      </c>
      <c r="D59" s="112">
        <v>14.04</v>
      </c>
      <c r="E59" s="112">
        <v>15.3</v>
      </c>
      <c r="F59" s="112">
        <v>36.049999999999997</v>
      </c>
      <c r="G59" s="112">
        <v>76.8</v>
      </c>
      <c r="H59" s="112">
        <v>18.11</v>
      </c>
      <c r="I59" s="112">
        <v>5.0599999999999996</v>
      </c>
      <c r="J59" s="112">
        <v>0.3</v>
      </c>
      <c r="K59" s="112">
        <v>115.36</v>
      </c>
      <c r="L59" s="112">
        <v>34.06</v>
      </c>
      <c r="M59" s="112">
        <v>31.66</v>
      </c>
      <c r="N59" s="112">
        <v>555.20000000000005</v>
      </c>
      <c r="O59" s="112">
        <v>0</v>
      </c>
      <c r="P59" s="112">
        <v>0.43</v>
      </c>
      <c r="Q59" s="112">
        <v>4.2699999999999996</v>
      </c>
    </row>
    <row r="60" spans="1:17" customFormat="1">
      <c r="A60" s="80">
        <v>45597.541666666664</v>
      </c>
      <c r="B60" s="112">
        <v>5.35</v>
      </c>
      <c r="C60" s="112">
        <v>8.08</v>
      </c>
      <c r="D60" s="112">
        <v>14.08</v>
      </c>
      <c r="E60" s="112">
        <v>10.67</v>
      </c>
      <c r="F60" s="112">
        <v>29.06</v>
      </c>
      <c r="G60" s="112">
        <v>108</v>
      </c>
      <c r="H60" s="112">
        <v>18.96</v>
      </c>
      <c r="I60" s="112">
        <v>4.76</v>
      </c>
      <c r="J60" s="112">
        <v>0.43</v>
      </c>
      <c r="K60" s="112">
        <v>84.35</v>
      </c>
      <c r="L60" s="112">
        <v>34.4</v>
      </c>
      <c r="M60" s="112">
        <v>29.82</v>
      </c>
      <c r="N60" s="112">
        <v>538.4</v>
      </c>
      <c r="O60" s="112">
        <v>0</v>
      </c>
      <c r="P60" s="112">
        <v>0.42</v>
      </c>
      <c r="Q60" s="112">
        <v>4.28</v>
      </c>
    </row>
    <row r="61" spans="1:17" customFormat="1">
      <c r="A61" s="80">
        <v>45597.552083333336</v>
      </c>
      <c r="B61" s="112">
        <v>5.36</v>
      </c>
      <c r="C61" s="112">
        <v>8.08</v>
      </c>
      <c r="D61" s="112">
        <v>14.09</v>
      </c>
      <c r="E61" s="112">
        <v>12.31</v>
      </c>
      <c r="F61" s="112">
        <v>47.79</v>
      </c>
      <c r="G61" s="112">
        <v>108</v>
      </c>
      <c r="H61" s="112">
        <v>18.96</v>
      </c>
      <c r="I61" s="112">
        <v>4.5999999999999996</v>
      </c>
      <c r="J61" s="112">
        <v>0.28000000000000003</v>
      </c>
      <c r="K61" s="112">
        <v>172.92</v>
      </c>
      <c r="L61" s="112">
        <v>34.22</v>
      </c>
      <c r="M61" s="112">
        <v>31.41</v>
      </c>
      <c r="N61" s="112">
        <v>548.20000000000005</v>
      </c>
      <c r="O61" s="112">
        <v>0</v>
      </c>
      <c r="P61" s="112">
        <v>0.38</v>
      </c>
      <c r="Q61" s="112">
        <v>4.29</v>
      </c>
    </row>
    <row r="62" spans="1:17" customFormat="1">
      <c r="A62" s="80">
        <v>45597.5625</v>
      </c>
      <c r="B62" s="112">
        <v>5.32</v>
      </c>
      <c r="C62" s="112">
        <v>8.08</v>
      </c>
      <c r="D62" s="112">
        <v>14.06</v>
      </c>
      <c r="E62" s="112">
        <v>11.87</v>
      </c>
      <c r="F62" s="112">
        <v>43.51</v>
      </c>
      <c r="G62" s="112">
        <v>108</v>
      </c>
      <c r="H62" s="112">
        <v>18.96</v>
      </c>
      <c r="I62" s="112">
        <v>4.3</v>
      </c>
      <c r="J62" s="112">
        <v>0.28999999999999998</v>
      </c>
      <c r="K62" s="112">
        <v>81.3</v>
      </c>
      <c r="L62" s="112">
        <v>34.18</v>
      </c>
      <c r="M62" s="112">
        <v>29.97</v>
      </c>
      <c r="N62" s="112">
        <v>527.20000000000005</v>
      </c>
      <c r="O62" s="112">
        <v>0</v>
      </c>
      <c r="P62" s="112">
        <v>0.35</v>
      </c>
      <c r="Q62" s="112">
        <v>4.28</v>
      </c>
    </row>
    <row r="63" spans="1:17" customFormat="1">
      <c r="A63" s="80">
        <v>45597.572916666664</v>
      </c>
      <c r="B63" s="112">
        <v>5.34</v>
      </c>
      <c r="C63" s="112">
        <v>8.09</v>
      </c>
      <c r="D63" s="112">
        <v>14.08</v>
      </c>
      <c r="E63" s="112">
        <v>11.92</v>
      </c>
      <c r="F63" s="112">
        <v>52.4</v>
      </c>
      <c r="G63" s="112">
        <v>88.55</v>
      </c>
      <c r="H63" s="112">
        <v>17.3</v>
      </c>
      <c r="I63" s="112">
        <v>4.1399999999999997</v>
      </c>
      <c r="J63" s="112">
        <v>0.31</v>
      </c>
      <c r="K63" s="112">
        <v>99.07</v>
      </c>
      <c r="L63" s="112">
        <v>34.020000000000003</v>
      </c>
      <c r="M63" s="112">
        <v>31.88</v>
      </c>
      <c r="N63" s="112">
        <v>499.3</v>
      </c>
      <c r="O63" s="112">
        <v>0</v>
      </c>
      <c r="P63" s="112">
        <v>0.31</v>
      </c>
      <c r="Q63" s="112">
        <v>4.28</v>
      </c>
    </row>
    <row r="64" spans="1:17" customFormat="1">
      <c r="A64" s="80">
        <v>45597.583333333336</v>
      </c>
      <c r="B64" s="112">
        <v>5.36</v>
      </c>
      <c r="C64" s="112">
        <v>8.09</v>
      </c>
      <c r="D64" s="112">
        <v>14.09</v>
      </c>
      <c r="E64" s="112">
        <v>9.33</v>
      </c>
      <c r="F64" s="112">
        <v>30.66</v>
      </c>
      <c r="G64" s="112">
        <v>80.650000000000006</v>
      </c>
      <c r="H64" s="112">
        <v>17.22</v>
      </c>
      <c r="I64" s="112">
        <v>4.04</v>
      </c>
      <c r="J64" s="112">
        <v>0.31</v>
      </c>
      <c r="K64" s="112">
        <v>76.989999999999995</v>
      </c>
      <c r="L64" s="112">
        <v>33.880000000000003</v>
      </c>
      <c r="M64" s="112">
        <v>30.98</v>
      </c>
      <c r="N64" s="112">
        <v>399.9</v>
      </c>
      <c r="O64" s="112">
        <v>0</v>
      </c>
      <c r="P64" s="112">
        <v>0.32</v>
      </c>
      <c r="Q64" s="112">
        <v>4.3</v>
      </c>
    </row>
    <row r="65" spans="1:17" customFormat="1">
      <c r="A65" s="80">
        <v>45597.59375</v>
      </c>
      <c r="B65" s="112">
        <v>5.38</v>
      </c>
      <c r="C65" s="112">
        <v>8.0500000000000007</v>
      </c>
      <c r="D65" s="112">
        <v>14.09</v>
      </c>
      <c r="E65" s="112">
        <v>10.36</v>
      </c>
      <c r="F65" s="112">
        <v>48.75</v>
      </c>
      <c r="G65" s="112">
        <v>80.650000000000006</v>
      </c>
      <c r="H65" s="112">
        <v>17.22</v>
      </c>
      <c r="I65" s="112">
        <v>3.6</v>
      </c>
      <c r="J65" s="112">
        <v>0.56999999999999995</v>
      </c>
      <c r="K65" s="112">
        <v>37.229999999999997</v>
      </c>
      <c r="L65" s="112">
        <v>33.21</v>
      </c>
      <c r="M65" s="112">
        <v>32.44</v>
      </c>
      <c r="N65" s="112">
        <v>167.7</v>
      </c>
      <c r="O65" s="112">
        <v>0</v>
      </c>
      <c r="P65" s="112">
        <v>0.37</v>
      </c>
      <c r="Q65" s="112">
        <v>4.3</v>
      </c>
    </row>
    <row r="66" spans="1:17" customFormat="1">
      <c r="A66" s="80">
        <v>45597.604166666664</v>
      </c>
      <c r="B66" s="112">
        <v>5.38</v>
      </c>
      <c r="C66" s="112">
        <v>8.07</v>
      </c>
      <c r="D66" s="112">
        <v>14.1</v>
      </c>
      <c r="E66" s="112">
        <v>14.29</v>
      </c>
      <c r="F66" s="112">
        <v>60.65</v>
      </c>
      <c r="G66" s="112">
        <v>80.650000000000006</v>
      </c>
      <c r="H66" s="112">
        <v>17.22</v>
      </c>
      <c r="I66" s="112">
        <v>3.6</v>
      </c>
      <c r="J66" s="112">
        <v>0.1</v>
      </c>
      <c r="K66" s="112">
        <v>58.67</v>
      </c>
      <c r="L66" s="112">
        <v>32.92</v>
      </c>
      <c r="M66" s="112">
        <v>34.57</v>
      </c>
      <c r="N66" s="112">
        <v>101.3</v>
      </c>
      <c r="O66" s="112">
        <v>0</v>
      </c>
      <c r="P66" s="112">
        <v>0.36</v>
      </c>
      <c r="Q66" s="112">
        <v>4.3</v>
      </c>
    </row>
    <row r="67" spans="1:17" customFormat="1">
      <c r="A67" s="80">
        <v>45597.614583333336</v>
      </c>
      <c r="B67" s="112">
        <v>5.37</v>
      </c>
      <c r="C67" s="112">
        <v>8.09</v>
      </c>
      <c r="D67" s="112">
        <v>14.1</v>
      </c>
      <c r="E67" s="112">
        <v>20.62</v>
      </c>
      <c r="F67" s="112">
        <v>68.28</v>
      </c>
      <c r="G67" s="112">
        <v>70.069999999999993</v>
      </c>
      <c r="H67" s="112">
        <v>18.41</v>
      </c>
      <c r="I67" s="112">
        <v>3.59</v>
      </c>
      <c r="J67" s="112">
        <v>0.37</v>
      </c>
      <c r="K67" s="112">
        <v>35.200000000000003</v>
      </c>
      <c r="L67" s="112">
        <v>32.49</v>
      </c>
      <c r="M67" s="112">
        <v>34.44</v>
      </c>
      <c r="N67" s="112">
        <v>95.4</v>
      </c>
      <c r="O67" s="112">
        <v>0</v>
      </c>
      <c r="P67" s="112">
        <v>0.37</v>
      </c>
      <c r="Q67" s="112">
        <v>4.3</v>
      </c>
    </row>
    <row r="68" spans="1:17" customFormat="1">
      <c r="A68" s="80">
        <v>45597.625</v>
      </c>
      <c r="B68" s="112">
        <v>5.35</v>
      </c>
      <c r="C68" s="112">
        <v>8.11</v>
      </c>
      <c r="D68" s="112">
        <v>14.09</v>
      </c>
      <c r="E68" s="112">
        <v>12.61</v>
      </c>
      <c r="F68" s="112">
        <v>30.94</v>
      </c>
      <c r="G68" s="112">
        <v>65.77</v>
      </c>
      <c r="H68" s="112">
        <v>18.47</v>
      </c>
      <c r="I68" s="112">
        <v>3.41</v>
      </c>
      <c r="J68" s="112">
        <v>0.67</v>
      </c>
      <c r="K68" s="112">
        <v>50.7</v>
      </c>
      <c r="L68" s="112">
        <v>32.520000000000003</v>
      </c>
      <c r="M68" s="112">
        <v>33.28</v>
      </c>
      <c r="N68" s="112">
        <v>87.8</v>
      </c>
      <c r="O68" s="112">
        <v>0</v>
      </c>
      <c r="P68" s="112">
        <v>0.38</v>
      </c>
      <c r="Q68" s="112">
        <v>4.3099999999999996</v>
      </c>
    </row>
    <row r="69" spans="1:17" customFormat="1">
      <c r="A69" s="80">
        <v>45597.635416666664</v>
      </c>
      <c r="B69" s="112">
        <v>5.37</v>
      </c>
      <c r="C69" s="112">
        <v>8.0500000000000007</v>
      </c>
      <c r="D69" s="112">
        <v>14.08</v>
      </c>
      <c r="E69" s="112">
        <v>11.16</v>
      </c>
      <c r="F69" s="112">
        <v>39.6</v>
      </c>
      <c r="G69" s="112">
        <v>65.77</v>
      </c>
      <c r="H69" s="112">
        <v>18.47</v>
      </c>
      <c r="I69" s="112">
        <v>3.12</v>
      </c>
      <c r="J69" s="112">
        <v>0.56000000000000005</v>
      </c>
      <c r="K69" s="112">
        <v>54.56</v>
      </c>
      <c r="L69" s="112">
        <v>32.450000000000003</v>
      </c>
      <c r="M69" s="112">
        <v>33.71</v>
      </c>
      <c r="N69" s="112">
        <v>74.900000000000006</v>
      </c>
      <c r="O69" s="112">
        <v>0</v>
      </c>
      <c r="P69" s="112">
        <v>0.38</v>
      </c>
      <c r="Q69" s="112">
        <v>4.3</v>
      </c>
    </row>
    <row r="70" spans="1:17" customFormat="1">
      <c r="A70" s="80">
        <v>45597.645833333336</v>
      </c>
      <c r="B70" s="112">
        <v>5.34</v>
      </c>
      <c r="C70" s="112">
        <v>8.08</v>
      </c>
      <c r="D70" s="112">
        <v>14.07</v>
      </c>
      <c r="E70" s="112">
        <v>10.01</v>
      </c>
      <c r="F70" s="112">
        <v>31.25</v>
      </c>
      <c r="G70" s="112">
        <v>65.77</v>
      </c>
      <c r="H70" s="112">
        <v>18.47</v>
      </c>
      <c r="I70" s="112">
        <v>2.96</v>
      </c>
      <c r="J70" s="112">
        <v>0.3</v>
      </c>
      <c r="K70" s="112">
        <v>90.24</v>
      </c>
      <c r="L70" s="112">
        <v>32.04</v>
      </c>
      <c r="M70" s="112">
        <v>37.909999999999997</v>
      </c>
      <c r="N70" s="112">
        <v>70.3</v>
      </c>
      <c r="O70" s="112">
        <v>0</v>
      </c>
      <c r="P70" s="112">
        <v>0.37</v>
      </c>
      <c r="Q70" s="112">
        <v>4.29</v>
      </c>
    </row>
    <row r="71" spans="1:17" customFormat="1">
      <c r="A71" s="80">
        <v>45597.65625</v>
      </c>
      <c r="B71" s="112">
        <v>5.33</v>
      </c>
      <c r="C71" s="112">
        <v>8.06</v>
      </c>
      <c r="D71" s="112">
        <v>14.05</v>
      </c>
      <c r="E71" s="112">
        <v>10.34</v>
      </c>
      <c r="F71" s="112">
        <v>38.270000000000003</v>
      </c>
      <c r="G71" s="112">
        <v>61.42</v>
      </c>
      <c r="H71" s="112">
        <v>17.989999999999998</v>
      </c>
      <c r="I71" s="112">
        <v>3.3</v>
      </c>
      <c r="J71" s="112">
        <v>0.14000000000000001</v>
      </c>
      <c r="K71" s="112">
        <v>156.18</v>
      </c>
      <c r="L71" s="112">
        <v>31.54</v>
      </c>
      <c r="M71" s="112">
        <v>41.04</v>
      </c>
      <c r="N71" s="112">
        <v>57.7</v>
      </c>
      <c r="O71" s="112">
        <v>0</v>
      </c>
      <c r="P71" s="112">
        <v>0.35</v>
      </c>
      <c r="Q71" s="112">
        <v>4.3</v>
      </c>
    </row>
    <row r="72" spans="1:17" customFormat="1">
      <c r="A72" s="80">
        <v>45597.666666666664</v>
      </c>
      <c r="B72" s="112">
        <v>5.36</v>
      </c>
      <c r="C72" s="112">
        <v>8.09</v>
      </c>
      <c r="D72" s="112">
        <v>14.09</v>
      </c>
      <c r="E72" s="112">
        <v>9.8800000000000008</v>
      </c>
      <c r="F72" s="112">
        <v>34.97</v>
      </c>
      <c r="G72" s="112">
        <v>59.66</v>
      </c>
      <c r="H72" s="112">
        <v>17.97</v>
      </c>
      <c r="I72" s="112">
        <v>3.61</v>
      </c>
      <c r="J72" s="112">
        <v>0.2</v>
      </c>
      <c r="K72" s="112">
        <v>169.77</v>
      </c>
      <c r="L72" s="112">
        <v>30.79</v>
      </c>
      <c r="M72" s="112">
        <v>44.14</v>
      </c>
      <c r="N72" s="112">
        <v>45.9</v>
      </c>
      <c r="O72" s="112">
        <v>0</v>
      </c>
      <c r="P72" s="112">
        <v>0.36</v>
      </c>
      <c r="Q72" s="112">
        <v>4.3</v>
      </c>
    </row>
    <row r="73" spans="1:17" customFormat="1">
      <c r="A73" s="80">
        <v>45597.677083333336</v>
      </c>
      <c r="B73" s="112">
        <v>5.41</v>
      </c>
      <c r="C73" s="112">
        <v>8.09</v>
      </c>
      <c r="D73" s="112">
        <v>14.13</v>
      </c>
      <c r="E73" s="112">
        <v>10.25</v>
      </c>
      <c r="F73" s="112">
        <v>32.979999999999997</v>
      </c>
      <c r="G73" s="112">
        <v>59.66</v>
      </c>
      <c r="H73" s="112">
        <v>17.97</v>
      </c>
      <c r="I73" s="112">
        <v>3.55</v>
      </c>
      <c r="J73" s="112">
        <v>0.25</v>
      </c>
      <c r="K73" s="112">
        <v>165.25</v>
      </c>
      <c r="L73" s="112">
        <v>30.75</v>
      </c>
      <c r="M73" s="112">
        <v>42.15</v>
      </c>
      <c r="N73" s="112">
        <v>33.1</v>
      </c>
      <c r="O73" s="112">
        <v>0</v>
      </c>
      <c r="P73" s="112">
        <v>0.35</v>
      </c>
      <c r="Q73" s="112">
        <v>4.3</v>
      </c>
    </row>
    <row r="74" spans="1:17" customFormat="1">
      <c r="A74" s="80">
        <v>45597.6875</v>
      </c>
      <c r="B74" s="112">
        <v>5.43</v>
      </c>
      <c r="C74" s="112">
        <v>8.08</v>
      </c>
      <c r="D74" s="112">
        <v>14.15</v>
      </c>
      <c r="E74" s="112">
        <v>10.62</v>
      </c>
      <c r="F74" s="112">
        <v>36.72</v>
      </c>
      <c r="G74" s="112">
        <v>59.66</v>
      </c>
      <c r="H74" s="112">
        <v>17.97</v>
      </c>
      <c r="I74" s="112">
        <v>3.68</v>
      </c>
      <c r="J74" s="112">
        <v>0.34</v>
      </c>
      <c r="K74" s="112">
        <v>160.4</v>
      </c>
      <c r="L74" s="112">
        <v>30.36</v>
      </c>
      <c r="M74" s="112">
        <v>44.4</v>
      </c>
      <c r="N74" s="112">
        <v>23.3</v>
      </c>
      <c r="O74" s="112">
        <v>0</v>
      </c>
      <c r="P74" s="112">
        <v>0.34</v>
      </c>
      <c r="Q74" s="112">
        <v>4.3099999999999996</v>
      </c>
    </row>
    <row r="75" spans="1:17" customFormat="1">
      <c r="A75" s="80">
        <v>45597.697916666664</v>
      </c>
      <c r="B75" s="112">
        <v>5.39</v>
      </c>
      <c r="C75" s="112">
        <v>8.09</v>
      </c>
      <c r="D75" s="112">
        <v>14.12</v>
      </c>
      <c r="E75" s="112">
        <v>8.89</v>
      </c>
      <c r="F75" s="112">
        <v>23.28</v>
      </c>
      <c r="G75" s="112">
        <v>59.59</v>
      </c>
      <c r="H75" s="112">
        <v>17.79</v>
      </c>
      <c r="I75" s="112">
        <v>3.8</v>
      </c>
      <c r="J75" s="112">
        <v>0.28999999999999998</v>
      </c>
      <c r="K75" s="112">
        <v>163.08000000000001</v>
      </c>
      <c r="L75" s="112">
        <v>29.78</v>
      </c>
      <c r="M75" s="112">
        <v>45.84</v>
      </c>
      <c r="N75" s="112">
        <v>16</v>
      </c>
      <c r="O75" s="112">
        <v>0</v>
      </c>
      <c r="P75" s="112">
        <v>0.36</v>
      </c>
      <c r="Q75" s="112">
        <v>4.29</v>
      </c>
    </row>
    <row r="76" spans="1:17" customFormat="1">
      <c r="A76" s="80">
        <v>45597.708333333336</v>
      </c>
      <c r="B76" s="112">
        <v>5.39</v>
      </c>
      <c r="C76" s="112">
        <v>8.06</v>
      </c>
      <c r="D76" s="112">
        <v>14.1</v>
      </c>
      <c r="E76" s="112">
        <v>8.27</v>
      </c>
      <c r="F76" s="112">
        <v>10.41</v>
      </c>
      <c r="G76" s="112">
        <v>59.56</v>
      </c>
      <c r="H76" s="112">
        <v>17.78</v>
      </c>
      <c r="I76" s="112">
        <v>3.8</v>
      </c>
      <c r="J76" s="112">
        <v>0.25</v>
      </c>
      <c r="K76" s="112">
        <v>171.07</v>
      </c>
      <c r="L76" s="112">
        <v>29.27</v>
      </c>
      <c r="M76" s="112">
        <v>50.21</v>
      </c>
      <c r="N76" s="112">
        <v>9.6</v>
      </c>
      <c r="O76" s="112">
        <v>0</v>
      </c>
      <c r="P76" s="112">
        <v>0.39</v>
      </c>
      <c r="Q76" s="112">
        <v>4.2699999999999996</v>
      </c>
    </row>
    <row r="77" spans="1:17" customFormat="1">
      <c r="A77" s="80">
        <v>45597.71875</v>
      </c>
      <c r="B77" s="112">
        <v>5.36</v>
      </c>
      <c r="C77" s="112">
        <v>8.07</v>
      </c>
      <c r="D77" s="112">
        <v>14.09</v>
      </c>
      <c r="E77" s="112">
        <v>7.07</v>
      </c>
      <c r="F77" s="112">
        <v>11.27</v>
      </c>
      <c r="G77" s="112">
        <v>59.56</v>
      </c>
      <c r="H77" s="112">
        <v>17.78</v>
      </c>
      <c r="I77" s="112">
        <v>3.95</v>
      </c>
      <c r="J77" s="112">
        <v>0.26</v>
      </c>
      <c r="K77" s="112">
        <v>169.73</v>
      </c>
      <c r="L77" s="112">
        <v>28.43</v>
      </c>
      <c r="M77" s="112">
        <v>55.85</v>
      </c>
      <c r="N77" s="112">
        <v>4.9000000000000004</v>
      </c>
      <c r="O77" s="112">
        <v>0</v>
      </c>
      <c r="P77" s="112">
        <v>0.41</v>
      </c>
      <c r="Q77" s="112">
        <v>4.29</v>
      </c>
    </row>
    <row r="78" spans="1:17" customFormat="1">
      <c r="A78" s="80">
        <v>45597.729166666664</v>
      </c>
      <c r="B78" s="112">
        <v>5.35</v>
      </c>
      <c r="C78" s="112">
        <v>8.08</v>
      </c>
      <c r="D78" s="112">
        <v>14.07</v>
      </c>
      <c r="E78" s="112">
        <v>6.72</v>
      </c>
      <c r="F78" s="112">
        <v>11.28</v>
      </c>
      <c r="G78" s="112">
        <v>59.56</v>
      </c>
      <c r="H78" s="112">
        <v>17.78</v>
      </c>
      <c r="I78" s="112">
        <v>4.05</v>
      </c>
      <c r="J78" s="112">
        <v>0.25</v>
      </c>
      <c r="K78" s="112">
        <v>163.97</v>
      </c>
      <c r="L78" s="112">
        <v>28.07</v>
      </c>
      <c r="M78" s="112">
        <v>57.58</v>
      </c>
      <c r="N78" s="112">
        <v>2.5</v>
      </c>
      <c r="O78" s="112">
        <v>0</v>
      </c>
      <c r="P78" s="112">
        <v>0.42</v>
      </c>
      <c r="Q78" s="112">
        <v>4.28</v>
      </c>
    </row>
    <row r="79" spans="1:17" customFormat="1">
      <c r="A79" s="80">
        <v>45597.739583333336</v>
      </c>
      <c r="B79" s="112">
        <v>5.33</v>
      </c>
      <c r="C79" s="112">
        <v>8.1</v>
      </c>
      <c r="D79" s="112">
        <v>14.07</v>
      </c>
      <c r="E79" s="112">
        <v>7.42</v>
      </c>
      <c r="F79" s="112">
        <v>12.57</v>
      </c>
      <c r="G79" s="112">
        <v>62.44</v>
      </c>
      <c r="H79" s="112">
        <v>19.77</v>
      </c>
      <c r="I79" s="112">
        <v>4.1399999999999997</v>
      </c>
      <c r="J79" s="112">
        <v>0.2</v>
      </c>
      <c r="K79" s="112">
        <v>166.44</v>
      </c>
      <c r="L79" s="112">
        <v>27.47</v>
      </c>
      <c r="M79" s="112">
        <v>56.2</v>
      </c>
      <c r="N79" s="112">
        <v>1.9</v>
      </c>
      <c r="O79" s="112">
        <v>0</v>
      </c>
      <c r="P79" s="112">
        <v>0.43</v>
      </c>
      <c r="Q79" s="112">
        <v>4.2699999999999996</v>
      </c>
    </row>
    <row r="80" spans="1:17" customFormat="1">
      <c r="A80" s="80">
        <v>45597.75</v>
      </c>
      <c r="B80" s="112">
        <v>5.32</v>
      </c>
      <c r="C80" s="112">
        <v>8.07</v>
      </c>
      <c r="D80" s="112">
        <v>14.05</v>
      </c>
      <c r="E80" s="112">
        <v>8.08</v>
      </c>
      <c r="F80" s="112">
        <v>7.6</v>
      </c>
      <c r="G80" s="112">
        <v>63.61</v>
      </c>
      <c r="H80" s="112">
        <v>19.920000000000002</v>
      </c>
      <c r="I80" s="112">
        <v>4.2699999999999996</v>
      </c>
      <c r="J80" s="112">
        <v>0.23</v>
      </c>
      <c r="K80" s="112">
        <v>167.12</v>
      </c>
      <c r="L80" s="112">
        <v>27.14</v>
      </c>
      <c r="M80" s="112">
        <v>60.46</v>
      </c>
      <c r="N80" s="112">
        <v>1.9</v>
      </c>
      <c r="O80" s="112">
        <v>0</v>
      </c>
      <c r="P80" s="112">
        <v>0.43</v>
      </c>
      <c r="Q80" s="112">
        <v>4.28</v>
      </c>
    </row>
    <row r="81" spans="1:17" customFormat="1">
      <c r="A81" s="80">
        <v>45597.760416666664</v>
      </c>
      <c r="B81" s="112">
        <v>5.32</v>
      </c>
      <c r="C81" s="112">
        <v>8.07</v>
      </c>
      <c r="D81" s="112">
        <v>14.05</v>
      </c>
      <c r="E81" s="112">
        <v>8.09</v>
      </c>
      <c r="F81" s="112">
        <v>6.49</v>
      </c>
      <c r="G81" s="112">
        <v>63.61</v>
      </c>
      <c r="H81" s="112">
        <v>19.920000000000002</v>
      </c>
      <c r="I81" s="112">
        <v>4.3899999999999997</v>
      </c>
      <c r="J81" s="112">
        <v>0.27</v>
      </c>
      <c r="K81" s="112">
        <v>160.79</v>
      </c>
      <c r="L81" s="112">
        <v>26.87</v>
      </c>
      <c r="M81" s="112">
        <v>70.08</v>
      </c>
      <c r="N81" s="112">
        <v>1.8</v>
      </c>
      <c r="O81" s="112">
        <v>0</v>
      </c>
      <c r="P81" s="112">
        <v>0.45</v>
      </c>
      <c r="Q81" s="112">
        <v>4.2699999999999996</v>
      </c>
    </row>
    <row r="82" spans="1:17" customFormat="1">
      <c r="A82" s="80">
        <v>45597.770833333336</v>
      </c>
      <c r="B82" s="112">
        <v>5.32</v>
      </c>
      <c r="C82" s="112">
        <v>8.0500000000000007</v>
      </c>
      <c r="D82" s="112">
        <v>14.04</v>
      </c>
      <c r="E82" s="112">
        <v>9.3699999999999992</v>
      </c>
      <c r="F82" s="112">
        <v>6.13</v>
      </c>
      <c r="G82" s="112">
        <v>63.61</v>
      </c>
      <c r="H82" s="112">
        <v>19.920000000000002</v>
      </c>
      <c r="I82" s="112">
        <v>4.4800000000000004</v>
      </c>
      <c r="J82" s="112">
        <v>0.2</v>
      </c>
      <c r="K82" s="112">
        <v>169.33</v>
      </c>
      <c r="L82" s="112">
        <v>26.27</v>
      </c>
      <c r="M82" s="112">
        <v>75.849999999999994</v>
      </c>
      <c r="N82" s="112">
        <v>1.9</v>
      </c>
      <c r="O82" s="112">
        <v>0</v>
      </c>
      <c r="P82" s="112">
        <v>0.46</v>
      </c>
      <c r="Q82" s="112">
        <v>4.28</v>
      </c>
    </row>
    <row r="83" spans="1:17" customFormat="1">
      <c r="A83" s="80">
        <v>45597.78125</v>
      </c>
      <c r="B83" s="112">
        <v>5.31</v>
      </c>
      <c r="C83" s="112">
        <v>8.09</v>
      </c>
      <c r="D83" s="112">
        <v>14.05</v>
      </c>
      <c r="E83" s="112">
        <v>9.02</v>
      </c>
      <c r="F83" s="112">
        <v>7.62</v>
      </c>
      <c r="G83" s="112">
        <v>67.66</v>
      </c>
      <c r="H83" s="112">
        <v>23.05</v>
      </c>
      <c r="I83" s="112">
        <v>4.58</v>
      </c>
      <c r="J83" s="112">
        <v>0.2</v>
      </c>
      <c r="K83" s="112">
        <v>185.72</v>
      </c>
      <c r="L83" s="112">
        <v>26.13</v>
      </c>
      <c r="M83" s="112">
        <v>67.73</v>
      </c>
      <c r="N83" s="112">
        <v>1.6</v>
      </c>
      <c r="O83" s="112">
        <v>0</v>
      </c>
      <c r="P83" s="112">
        <v>0.47</v>
      </c>
      <c r="Q83" s="112">
        <v>4.29</v>
      </c>
    </row>
    <row r="84" spans="1:17" customFormat="1">
      <c r="A84" s="80">
        <v>45597.791666666664</v>
      </c>
      <c r="B84" s="112">
        <v>5.3</v>
      </c>
      <c r="C84" s="112">
        <v>8.09</v>
      </c>
      <c r="D84" s="112">
        <v>14.04</v>
      </c>
      <c r="E84" s="112">
        <v>9.5500000000000007</v>
      </c>
      <c r="F84" s="112">
        <v>5.85</v>
      </c>
      <c r="G84" s="112">
        <v>69.209999999999994</v>
      </c>
      <c r="H84" s="112">
        <v>23.2</v>
      </c>
      <c r="I84" s="112">
        <v>4.68</v>
      </c>
      <c r="J84" s="112">
        <v>0.17</v>
      </c>
      <c r="K84" s="112">
        <v>223.27</v>
      </c>
      <c r="L84" s="112">
        <v>25.83</v>
      </c>
      <c r="M84" s="112">
        <v>71.97</v>
      </c>
      <c r="N84" s="112">
        <v>1.7</v>
      </c>
      <c r="O84" s="112">
        <v>0</v>
      </c>
      <c r="P84" s="112">
        <v>0.47</v>
      </c>
      <c r="Q84" s="112">
        <v>4.28</v>
      </c>
    </row>
    <row r="85" spans="1:17" customFormat="1">
      <c r="A85" s="80">
        <v>45597.802083333336</v>
      </c>
      <c r="B85" s="112">
        <v>5.3</v>
      </c>
      <c r="C85" s="112">
        <v>8.09</v>
      </c>
      <c r="D85" s="112">
        <v>14.04</v>
      </c>
      <c r="E85" s="112">
        <v>9.84</v>
      </c>
      <c r="F85" s="112">
        <v>5.57</v>
      </c>
      <c r="G85" s="112">
        <v>69.209999999999994</v>
      </c>
      <c r="H85" s="112">
        <v>23.2</v>
      </c>
      <c r="I85" s="112">
        <v>4.79</v>
      </c>
      <c r="J85" s="112">
        <v>0.19</v>
      </c>
      <c r="K85" s="112">
        <v>161.19999999999999</v>
      </c>
      <c r="L85" s="112">
        <v>25.53</v>
      </c>
      <c r="M85" s="112">
        <v>76.97</v>
      </c>
      <c r="N85" s="112">
        <v>1.6</v>
      </c>
      <c r="O85" s="112">
        <v>0</v>
      </c>
      <c r="P85" s="112">
        <v>0.48</v>
      </c>
      <c r="Q85" s="112">
        <v>4.28</v>
      </c>
    </row>
    <row r="86" spans="1:17" customFormat="1">
      <c r="A86" s="80">
        <v>45597.8125</v>
      </c>
      <c r="B86" s="112">
        <v>5.29</v>
      </c>
      <c r="C86" s="112">
        <v>8.08</v>
      </c>
      <c r="D86" s="112">
        <v>14.03</v>
      </c>
      <c r="E86" s="112">
        <v>9.09</v>
      </c>
      <c r="F86" s="112">
        <v>5.47</v>
      </c>
      <c r="G86" s="112">
        <v>69.209999999999994</v>
      </c>
      <c r="H86" s="112">
        <v>23.2</v>
      </c>
      <c r="I86" s="112">
        <v>4.9400000000000004</v>
      </c>
      <c r="J86" s="112">
        <v>0.21</v>
      </c>
      <c r="K86" s="112">
        <v>163.1</v>
      </c>
      <c r="L86" s="112">
        <v>25.48</v>
      </c>
      <c r="M86" s="112">
        <v>72.040000000000006</v>
      </c>
      <c r="N86" s="112">
        <v>1.5</v>
      </c>
      <c r="O86" s="112">
        <v>0</v>
      </c>
      <c r="P86" s="112">
        <v>0.48</v>
      </c>
      <c r="Q86" s="112">
        <v>4.29</v>
      </c>
    </row>
    <row r="87" spans="1:17" customFormat="1">
      <c r="A87" s="80">
        <v>45597.822916666664</v>
      </c>
      <c r="B87" s="112">
        <v>5.29</v>
      </c>
      <c r="C87" s="112">
        <v>8.0500000000000007</v>
      </c>
      <c r="D87" s="112">
        <v>14.01</v>
      </c>
      <c r="E87" s="112">
        <v>9.65</v>
      </c>
      <c r="F87" s="112">
        <v>5.48</v>
      </c>
      <c r="G87" s="112">
        <v>68.12</v>
      </c>
      <c r="H87" s="112">
        <v>22.59</v>
      </c>
      <c r="I87" s="112">
        <v>5.03</v>
      </c>
      <c r="J87" s="112">
        <v>0.2</v>
      </c>
      <c r="K87" s="112">
        <v>161.12</v>
      </c>
      <c r="L87" s="112">
        <v>25.49</v>
      </c>
      <c r="M87" s="112">
        <v>72.069999999999993</v>
      </c>
      <c r="N87" s="112">
        <v>1.5</v>
      </c>
      <c r="O87" s="112">
        <v>0</v>
      </c>
      <c r="P87" s="112">
        <v>0.49</v>
      </c>
      <c r="Q87" s="112">
        <v>4.3</v>
      </c>
    </row>
    <row r="88" spans="1:17" customFormat="1">
      <c r="A88" s="80">
        <v>45597.833333333336</v>
      </c>
      <c r="B88" s="112">
        <v>5.28</v>
      </c>
      <c r="C88" s="112">
        <v>8.07</v>
      </c>
      <c r="D88" s="112">
        <v>14.02</v>
      </c>
      <c r="E88" s="112">
        <v>9.57</v>
      </c>
      <c r="F88" s="112">
        <v>5.32</v>
      </c>
      <c r="G88" s="112">
        <v>67.680000000000007</v>
      </c>
      <c r="H88" s="112">
        <v>22.56</v>
      </c>
      <c r="I88" s="112">
        <v>5.04</v>
      </c>
      <c r="J88" s="112">
        <v>0.17</v>
      </c>
      <c r="K88" s="112">
        <v>177.05</v>
      </c>
      <c r="L88" s="112">
        <v>25.15</v>
      </c>
      <c r="M88" s="112">
        <v>77.27</v>
      </c>
      <c r="N88" s="112">
        <v>1.7</v>
      </c>
      <c r="O88" s="112">
        <v>0</v>
      </c>
      <c r="P88" s="112">
        <v>0.5</v>
      </c>
      <c r="Q88" s="112">
        <v>4.29</v>
      </c>
    </row>
    <row r="89" spans="1:17" customFormat="1">
      <c r="A89" s="80">
        <v>45597.84375</v>
      </c>
      <c r="B89" s="112">
        <v>5.29</v>
      </c>
      <c r="C89" s="112">
        <v>8.07</v>
      </c>
      <c r="D89" s="112">
        <v>14.03</v>
      </c>
      <c r="E89" s="112">
        <v>9.8699999999999992</v>
      </c>
      <c r="F89" s="112">
        <v>5.35</v>
      </c>
      <c r="G89" s="112">
        <v>67.680000000000007</v>
      </c>
      <c r="H89" s="112">
        <v>22.56</v>
      </c>
      <c r="I89" s="112">
        <v>5.12</v>
      </c>
      <c r="J89" s="112">
        <v>0.17</v>
      </c>
      <c r="K89" s="112">
        <v>224.96</v>
      </c>
      <c r="L89" s="112">
        <v>24.85</v>
      </c>
      <c r="M89" s="112">
        <v>77.27</v>
      </c>
      <c r="N89" s="112">
        <v>1.7</v>
      </c>
      <c r="O89" s="112">
        <v>0</v>
      </c>
      <c r="P89" s="112">
        <v>0.52</v>
      </c>
      <c r="Q89" s="112">
        <v>4.28</v>
      </c>
    </row>
    <row r="90" spans="1:17" customFormat="1">
      <c r="A90" s="80">
        <v>45597.854166666664</v>
      </c>
      <c r="B90" s="112">
        <v>5.29</v>
      </c>
      <c r="C90" s="112">
        <v>8.09</v>
      </c>
      <c r="D90" s="112">
        <v>14.03</v>
      </c>
      <c r="E90" s="112">
        <v>10.17</v>
      </c>
      <c r="F90" s="112">
        <v>5.19</v>
      </c>
      <c r="G90" s="112">
        <v>67.680000000000007</v>
      </c>
      <c r="H90" s="112">
        <v>22.56</v>
      </c>
      <c r="I90" s="112">
        <v>5.31</v>
      </c>
      <c r="J90" s="112">
        <v>0.18</v>
      </c>
      <c r="K90" s="112">
        <v>228.59</v>
      </c>
      <c r="L90" s="112">
        <v>24.37</v>
      </c>
      <c r="M90" s="112">
        <v>77.69</v>
      </c>
      <c r="N90" s="112">
        <v>1.7</v>
      </c>
      <c r="O90" s="112">
        <v>0</v>
      </c>
      <c r="P90" s="112">
        <v>0.53</v>
      </c>
      <c r="Q90" s="112">
        <v>4.28</v>
      </c>
    </row>
    <row r="91" spans="1:17" customFormat="1">
      <c r="A91" s="80">
        <v>45597.864583333336</v>
      </c>
      <c r="B91" s="112">
        <v>5.28</v>
      </c>
      <c r="C91" s="112">
        <v>8.1199999999999992</v>
      </c>
      <c r="D91" s="112">
        <v>14.05</v>
      </c>
      <c r="E91" s="112">
        <v>10.26</v>
      </c>
      <c r="F91" s="112">
        <v>5.5</v>
      </c>
      <c r="G91" s="112">
        <v>75.48</v>
      </c>
      <c r="H91" s="112">
        <v>31.5</v>
      </c>
      <c r="I91" s="112">
        <v>5.58</v>
      </c>
      <c r="J91" s="112">
        <v>0.13</v>
      </c>
      <c r="K91" s="112">
        <v>200.37</v>
      </c>
      <c r="L91" s="112">
        <v>24.26</v>
      </c>
      <c r="M91" s="112">
        <v>77.25</v>
      </c>
      <c r="N91" s="112">
        <v>1.5</v>
      </c>
      <c r="O91" s="112">
        <v>0</v>
      </c>
      <c r="P91" s="112">
        <v>0.53</v>
      </c>
      <c r="Q91" s="112">
        <v>4.29</v>
      </c>
    </row>
    <row r="92" spans="1:17" customFormat="1">
      <c r="A92" s="80">
        <v>45597.875</v>
      </c>
      <c r="B92" s="112">
        <v>5.28</v>
      </c>
      <c r="C92" s="112">
        <v>8.09</v>
      </c>
      <c r="D92" s="112">
        <v>14.03</v>
      </c>
      <c r="E92" s="112">
        <v>10</v>
      </c>
      <c r="F92" s="112">
        <v>5.41</v>
      </c>
      <c r="G92" s="112">
        <v>78.650000000000006</v>
      </c>
      <c r="H92" s="112">
        <v>31.92</v>
      </c>
      <c r="I92" s="112">
        <v>5.79</v>
      </c>
      <c r="J92" s="112">
        <v>0.14000000000000001</v>
      </c>
      <c r="K92" s="112">
        <v>196.62</v>
      </c>
      <c r="L92" s="112">
        <v>24.23</v>
      </c>
      <c r="M92" s="112">
        <v>84.7</v>
      </c>
      <c r="N92" s="112">
        <v>1.4</v>
      </c>
      <c r="O92" s="112">
        <v>0</v>
      </c>
      <c r="P92" s="112">
        <v>0.53</v>
      </c>
      <c r="Q92" s="112">
        <v>4.29</v>
      </c>
    </row>
    <row r="93" spans="1:17" customFormat="1">
      <c r="A93" s="80">
        <v>45597.885416666664</v>
      </c>
      <c r="B93" s="112">
        <v>5.3</v>
      </c>
      <c r="C93" s="112">
        <v>8.07</v>
      </c>
      <c r="D93" s="112">
        <v>14.04</v>
      </c>
      <c r="E93" s="112">
        <v>10.37</v>
      </c>
      <c r="F93" s="112">
        <v>5.37</v>
      </c>
      <c r="G93" s="112">
        <v>78.650000000000006</v>
      </c>
      <c r="H93" s="112">
        <v>31.92</v>
      </c>
      <c r="I93" s="112">
        <v>5.8</v>
      </c>
      <c r="J93" s="112">
        <v>0.17</v>
      </c>
      <c r="K93" s="112">
        <v>158.30000000000001</v>
      </c>
      <c r="L93" s="112">
        <v>24.28</v>
      </c>
      <c r="M93" s="112">
        <v>79.260000000000005</v>
      </c>
      <c r="N93" s="112">
        <v>1.4</v>
      </c>
      <c r="O93" s="112">
        <v>0</v>
      </c>
      <c r="P93" s="112">
        <v>0.55000000000000004</v>
      </c>
      <c r="Q93" s="112">
        <v>4.28</v>
      </c>
    </row>
    <row r="94" spans="1:17" customFormat="1">
      <c r="A94" s="80">
        <v>45597.895833333336</v>
      </c>
      <c r="B94" s="112">
        <v>5.3</v>
      </c>
      <c r="C94" s="112">
        <v>8.0399999999999991</v>
      </c>
      <c r="D94" s="112">
        <v>14.02</v>
      </c>
      <c r="E94" s="112">
        <v>10.32</v>
      </c>
      <c r="F94" s="112">
        <v>5.54</v>
      </c>
      <c r="G94" s="112">
        <v>78.650000000000006</v>
      </c>
      <c r="H94" s="112">
        <v>31.92</v>
      </c>
      <c r="I94" s="112">
        <v>5.78</v>
      </c>
      <c r="J94" s="112">
        <v>0.18</v>
      </c>
      <c r="K94" s="112">
        <v>185.53</v>
      </c>
      <c r="L94" s="112">
        <v>24.31</v>
      </c>
      <c r="M94" s="112">
        <v>75.83</v>
      </c>
      <c r="N94" s="112">
        <v>1.3</v>
      </c>
      <c r="O94" s="112">
        <v>0</v>
      </c>
      <c r="P94" s="112">
        <v>0.56000000000000005</v>
      </c>
      <c r="Q94" s="112">
        <v>4.29</v>
      </c>
    </row>
    <row r="95" spans="1:17" customFormat="1">
      <c r="A95" s="80">
        <v>45597.90625</v>
      </c>
      <c r="B95" s="112">
        <v>5.3</v>
      </c>
      <c r="C95" s="112">
        <v>8.02</v>
      </c>
      <c r="D95" s="112">
        <v>14.01</v>
      </c>
      <c r="E95" s="112">
        <v>10.67</v>
      </c>
      <c r="F95" s="112">
        <v>5.71</v>
      </c>
      <c r="G95" s="112">
        <v>74.650000000000006</v>
      </c>
      <c r="H95" s="112">
        <v>32.549999999999997</v>
      </c>
      <c r="I95" s="112">
        <v>5.88</v>
      </c>
      <c r="J95" s="112">
        <v>0.19</v>
      </c>
      <c r="K95" s="112">
        <v>221.98</v>
      </c>
      <c r="L95" s="112">
        <v>24.12</v>
      </c>
      <c r="M95" s="112">
        <v>79.66</v>
      </c>
      <c r="N95" s="112">
        <v>1.5</v>
      </c>
      <c r="O95" s="112">
        <v>0</v>
      </c>
      <c r="P95" s="112">
        <v>0.56000000000000005</v>
      </c>
      <c r="Q95" s="112">
        <v>4.29</v>
      </c>
    </row>
    <row r="96" spans="1:17" customFormat="1">
      <c r="A96" s="80">
        <v>45597.916666666664</v>
      </c>
      <c r="B96" s="112">
        <v>5.3</v>
      </c>
      <c r="C96" s="112">
        <v>8.07</v>
      </c>
      <c r="D96" s="112">
        <v>14.04</v>
      </c>
      <c r="E96" s="112">
        <v>10.58</v>
      </c>
      <c r="F96" s="112">
        <v>5.35</v>
      </c>
      <c r="G96" s="112">
        <v>73.02</v>
      </c>
      <c r="H96" s="112">
        <v>32.57</v>
      </c>
      <c r="I96" s="112">
        <v>6.05</v>
      </c>
      <c r="J96" s="112">
        <v>0.15</v>
      </c>
      <c r="K96" s="112">
        <v>212.55</v>
      </c>
      <c r="L96" s="112">
        <v>23.75</v>
      </c>
      <c r="M96" s="112">
        <v>79.08</v>
      </c>
      <c r="N96" s="112">
        <v>1.7</v>
      </c>
      <c r="O96" s="112">
        <v>0</v>
      </c>
      <c r="P96" s="112">
        <v>0.56000000000000005</v>
      </c>
      <c r="Q96" s="112">
        <v>4.29</v>
      </c>
    </row>
    <row r="97" spans="1:22" customFormat="1">
      <c r="A97" s="80">
        <v>45597.927083333336</v>
      </c>
      <c r="B97" s="112">
        <v>5.3</v>
      </c>
      <c r="C97" s="112">
        <v>8.09</v>
      </c>
      <c r="D97" s="112">
        <v>14.04</v>
      </c>
      <c r="E97" s="112">
        <v>10.33</v>
      </c>
      <c r="F97" s="112">
        <v>5.74</v>
      </c>
      <c r="G97" s="112">
        <v>73.02</v>
      </c>
      <c r="H97" s="112">
        <v>32.57</v>
      </c>
      <c r="I97" s="112">
        <v>6.21</v>
      </c>
      <c r="J97" s="112">
        <v>0.16</v>
      </c>
      <c r="K97" s="112">
        <v>224.79</v>
      </c>
      <c r="L97" s="112">
        <v>23.5</v>
      </c>
      <c r="M97" s="112">
        <v>80.03</v>
      </c>
      <c r="N97" s="112">
        <v>1.7</v>
      </c>
      <c r="O97" s="112">
        <v>0</v>
      </c>
      <c r="P97" s="112">
        <v>0.55000000000000004</v>
      </c>
      <c r="Q97" s="112">
        <v>4.28</v>
      </c>
    </row>
    <row r="98" spans="1:22" customFormat="1">
      <c r="A98" s="80">
        <v>45597.9375</v>
      </c>
      <c r="B98" s="112">
        <v>5.31</v>
      </c>
      <c r="C98" s="112">
        <v>8.08</v>
      </c>
      <c r="D98" s="112">
        <v>14.04</v>
      </c>
      <c r="E98" s="112">
        <v>10.130000000000001</v>
      </c>
      <c r="F98" s="112">
        <v>6.16</v>
      </c>
      <c r="G98" s="112">
        <v>73.02</v>
      </c>
      <c r="H98" s="112">
        <v>32.57</v>
      </c>
      <c r="I98" s="112">
        <v>6.34</v>
      </c>
      <c r="J98" s="112">
        <v>0.14000000000000001</v>
      </c>
      <c r="K98" s="112">
        <v>226.51</v>
      </c>
      <c r="L98" s="112">
        <v>23.37</v>
      </c>
      <c r="M98" s="112">
        <v>83.71</v>
      </c>
      <c r="N98" s="112">
        <v>1.5</v>
      </c>
      <c r="O98" s="112">
        <v>0</v>
      </c>
      <c r="P98" s="112">
        <v>0.55000000000000004</v>
      </c>
      <c r="Q98" s="112">
        <v>4.29</v>
      </c>
    </row>
    <row r="99" spans="1:22" customFormat="1">
      <c r="A99" s="80">
        <v>45597.947916666664</v>
      </c>
      <c r="B99" s="112">
        <v>5.31</v>
      </c>
      <c r="C99" s="112">
        <v>8.07</v>
      </c>
      <c r="D99" s="112">
        <v>14.04</v>
      </c>
      <c r="E99" s="112">
        <v>10.210000000000001</v>
      </c>
      <c r="F99" s="112">
        <v>5.75</v>
      </c>
      <c r="G99" s="112">
        <v>74.959999999999994</v>
      </c>
      <c r="H99" s="112">
        <v>32.35</v>
      </c>
      <c r="I99" s="112">
        <v>6.43</v>
      </c>
      <c r="J99" s="112">
        <v>0.15</v>
      </c>
      <c r="K99" s="112">
        <v>135.68</v>
      </c>
      <c r="L99" s="112">
        <v>23.38</v>
      </c>
      <c r="M99" s="112">
        <v>85.51</v>
      </c>
      <c r="N99" s="112">
        <v>1.4</v>
      </c>
      <c r="O99" s="112">
        <v>0</v>
      </c>
      <c r="P99" s="112">
        <v>0.56000000000000005</v>
      </c>
      <c r="Q99" s="112">
        <v>4.28</v>
      </c>
    </row>
    <row r="100" spans="1:22" customFormat="1">
      <c r="A100" s="80">
        <v>45597.958333333336</v>
      </c>
      <c r="B100" s="112">
        <v>5.32</v>
      </c>
      <c r="C100" s="112">
        <v>8.08</v>
      </c>
      <c r="D100" s="112">
        <v>14.05</v>
      </c>
      <c r="E100" s="112">
        <v>10.36</v>
      </c>
      <c r="F100" s="112">
        <v>6.11</v>
      </c>
      <c r="G100" s="112">
        <v>75.709999999999994</v>
      </c>
      <c r="H100" s="112">
        <v>32.340000000000003</v>
      </c>
      <c r="I100" s="112">
        <v>6.49</v>
      </c>
      <c r="J100" s="112">
        <v>0.15</v>
      </c>
      <c r="K100" s="112">
        <v>192.96</v>
      </c>
      <c r="L100" s="112">
        <v>23.36</v>
      </c>
      <c r="M100" s="112">
        <v>80.239999999999995</v>
      </c>
      <c r="N100" s="112">
        <v>1.4</v>
      </c>
      <c r="O100" s="112">
        <v>0</v>
      </c>
      <c r="P100" s="112">
        <v>0.55000000000000004</v>
      </c>
      <c r="Q100" s="112">
        <v>4.3099999999999996</v>
      </c>
    </row>
    <row r="101" spans="1:22" customFormat="1">
      <c r="A101" s="80">
        <v>45597.96875</v>
      </c>
      <c r="B101" s="112">
        <v>5.31</v>
      </c>
      <c r="C101" s="112">
        <v>8.06</v>
      </c>
      <c r="D101" s="112">
        <v>14.03</v>
      </c>
      <c r="E101" s="112">
        <v>10.3</v>
      </c>
      <c r="F101" s="112">
        <v>6.17</v>
      </c>
      <c r="G101" s="112">
        <v>75.709999999999994</v>
      </c>
      <c r="H101" s="112">
        <v>32.340000000000003</v>
      </c>
      <c r="I101" s="112">
        <v>6.55</v>
      </c>
      <c r="J101" s="112">
        <v>0.14000000000000001</v>
      </c>
      <c r="K101" s="112">
        <v>196.86</v>
      </c>
      <c r="L101" s="112">
        <v>23.23</v>
      </c>
      <c r="M101" s="112">
        <v>87.13</v>
      </c>
      <c r="N101" s="112">
        <v>1.6</v>
      </c>
      <c r="O101" s="112">
        <v>0</v>
      </c>
      <c r="P101" s="112">
        <v>0.56000000000000005</v>
      </c>
      <c r="Q101" s="112">
        <v>4.28</v>
      </c>
    </row>
    <row r="102" spans="1:22" customFormat="1">
      <c r="A102" s="80">
        <v>45597.979166666664</v>
      </c>
      <c r="B102" s="112">
        <v>5.3</v>
      </c>
      <c r="C102" s="112">
        <v>8.0399999999999991</v>
      </c>
      <c r="D102" s="112">
        <v>14.02</v>
      </c>
      <c r="E102" s="112">
        <v>10.47</v>
      </c>
      <c r="F102" s="112">
        <v>5.72</v>
      </c>
      <c r="G102" s="112">
        <v>75.709999999999994</v>
      </c>
      <c r="H102" s="112">
        <v>32.340000000000003</v>
      </c>
      <c r="I102" s="112">
        <v>6.59</v>
      </c>
      <c r="J102" s="112">
        <v>0.13</v>
      </c>
      <c r="K102" s="112">
        <v>219.23</v>
      </c>
      <c r="L102" s="112">
        <v>23.05</v>
      </c>
      <c r="M102" s="112">
        <v>84.95</v>
      </c>
      <c r="N102" s="112">
        <v>1.6</v>
      </c>
      <c r="O102" s="112">
        <v>0</v>
      </c>
      <c r="P102" s="112">
        <v>0.56999999999999995</v>
      </c>
      <c r="Q102" s="112">
        <v>4.29</v>
      </c>
    </row>
    <row r="103" spans="1:22" customFormat="1">
      <c r="A103" s="80">
        <v>45597.989583333336</v>
      </c>
      <c r="B103" s="112">
        <v>5.29</v>
      </c>
      <c r="C103" s="112">
        <v>8.0399999999999991</v>
      </c>
      <c r="D103" s="112">
        <v>14.01</v>
      </c>
      <c r="E103" s="112">
        <v>10.45</v>
      </c>
      <c r="F103" s="112">
        <v>5.93</v>
      </c>
      <c r="G103" s="112">
        <v>75.64</v>
      </c>
      <c r="H103" s="112">
        <v>33.56</v>
      </c>
      <c r="I103" s="112">
        <v>6.66</v>
      </c>
      <c r="J103" s="112">
        <v>0.13</v>
      </c>
      <c r="K103" s="112">
        <v>196.4</v>
      </c>
      <c r="L103" s="112">
        <v>22.89</v>
      </c>
      <c r="M103" s="112">
        <v>83.97</v>
      </c>
      <c r="N103" s="112">
        <v>1.7</v>
      </c>
      <c r="O103" s="112">
        <v>0</v>
      </c>
      <c r="P103" s="112">
        <v>0.57999999999999996</v>
      </c>
      <c r="Q103" s="112">
        <v>4.28</v>
      </c>
    </row>
    <row r="104" spans="1:22" customFormat="1">
      <c r="A104" s="80">
        <v>45598</v>
      </c>
      <c r="B104" s="112">
        <v>5.28</v>
      </c>
      <c r="C104" s="112">
        <v>8.07</v>
      </c>
      <c r="D104" s="112">
        <v>14.02</v>
      </c>
      <c r="E104" s="112">
        <v>10.17</v>
      </c>
      <c r="F104" s="112">
        <v>5.55</v>
      </c>
      <c r="G104" s="112">
        <v>75.62</v>
      </c>
      <c r="H104" s="112">
        <v>33.65</v>
      </c>
      <c r="I104" s="112">
        <v>6.74</v>
      </c>
      <c r="J104" s="112">
        <v>0.15</v>
      </c>
      <c r="K104" s="112">
        <v>230.42</v>
      </c>
      <c r="L104" s="112">
        <v>22.75</v>
      </c>
      <c r="M104" s="112">
        <v>84.26</v>
      </c>
      <c r="N104" s="112">
        <v>1.7</v>
      </c>
      <c r="O104" s="112">
        <v>0</v>
      </c>
      <c r="P104" s="112">
        <v>0.57999999999999996</v>
      </c>
      <c r="Q104" s="112">
        <v>4.29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5.24</v>
      </c>
      <c r="C106" s="183">
        <f>MIN(C9:C104)</f>
        <v>7.88</v>
      </c>
      <c r="D106" s="183">
        <f t="shared" ref="D106:Q106" si="0">MIN(D9:D104)</f>
        <v>13.92</v>
      </c>
      <c r="E106" s="183">
        <f t="shared" si="0"/>
        <v>6.72</v>
      </c>
      <c r="F106" s="183">
        <f t="shared" si="0"/>
        <v>5.01</v>
      </c>
      <c r="G106" s="183">
        <f t="shared" si="0"/>
        <v>55.36</v>
      </c>
      <c r="H106" s="183">
        <f t="shared" si="0"/>
        <v>11.58</v>
      </c>
      <c r="I106" s="183">
        <f t="shared" si="0"/>
        <v>2.96</v>
      </c>
      <c r="J106" s="183">
        <f t="shared" si="0"/>
        <v>0.02</v>
      </c>
      <c r="K106" s="183">
        <f t="shared" si="0"/>
        <v>23.14</v>
      </c>
      <c r="L106" s="183">
        <f t="shared" si="0"/>
        <v>21.48</v>
      </c>
      <c r="M106" s="183">
        <f t="shared" si="0"/>
        <v>29.82</v>
      </c>
      <c r="N106" s="183">
        <f t="shared" si="0"/>
        <v>1.2</v>
      </c>
      <c r="O106" s="183">
        <f t="shared" si="0"/>
        <v>0</v>
      </c>
      <c r="P106" s="183">
        <f t="shared" si="0"/>
        <v>0.31</v>
      </c>
      <c r="Q106" s="183">
        <f t="shared" si="0"/>
        <v>4.25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5.43</v>
      </c>
      <c r="C107" s="184">
        <f t="shared" ref="C107:Q107" si="1">MAX(C9:C104)</f>
        <v>8.1199999999999992</v>
      </c>
      <c r="D107" s="184">
        <f t="shared" si="1"/>
        <v>14.15</v>
      </c>
      <c r="E107" s="184">
        <f t="shared" si="1"/>
        <v>23.47</v>
      </c>
      <c r="F107" s="184">
        <f t="shared" si="1"/>
        <v>68.28</v>
      </c>
      <c r="G107" s="184">
        <f t="shared" si="1"/>
        <v>381.3</v>
      </c>
      <c r="H107" s="184">
        <f t="shared" si="1"/>
        <v>231.7</v>
      </c>
      <c r="I107" s="184">
        <f t="shared" si="1"/>
        <v>12.93</v>
      </c>
      <c r="J107" s="184">
        <f t="shared" si="1"/>
        <v>0.67</v>
      </c>
      <c r="K107" s="184">
        <f t="shared" si="1"/>
        <v>331.3</v>
      </c>
      <c r="L107" s="184">
        <f t="shared" si="1"/>
        <v>34.4</v>
      </c>
      <c r="M107" s="184">
        <f t="shared" si="1"/>
        <v>98.36</v>
      </c>
      <c r="N107" s="184">
        <f t="shared" si="1"/>
        <v>639.4</v>
      </c>
      <c r="O107" s="184">
        <f t="shared" si="1"/>
        <v>0</v>
      </c>
      <c r="P107" s="184">
        <f t="shared" si="1"/>
        <v>0.91</v>
      </c>
      <c r="Q107" s="184">
        <f t="shared" si="1"/>
        <v>4.3099999999999996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5.3033333333333355</v>
      </c>
      <c r="C108" s="183">
        <f t="shared" ref="C108:Q108" si="2">AVERAGE(C9:C104)</f>
        <v>8.0665625000000052</v>
      </c>
      <c r="D108" s="183">
        <f t="shared" si="2"/>
        <v>14.034687499999995</v>
      </c>
      <c r="E108" s="183">
        <f t="shared" si="2"/>
        <v>10.107395833333335</v>
      </c>
      <c r="F108" s="183">
        <f t="shared" si="2"/>
        <v>14.855208333333328</v>
      </c>
      <c r="G108" s="183">
        <f t="shared" si="2"/>
        <v>105.44893333333333</v>
      </c>
      <c r="H108" s="183">
        <f t="shared" si="2"/>
        <v>44.963763440860198</v>
      </c>
      <c r="I108" s="183">
        <f t="shared" si="2"/>
        <v>7.6573958333333296</v>
      </c>
      <c r="J108" s="183">
        <f t="shared" si="2"/>
        <v>0.18739583333333323</v>
      </c>
      <c r="K108" s="183">
        <f t="shared" si="2"/>
        <v>150.56854166666668</v>
      </c>
      <c r="L108" s="183">
        <f t="shared" si="2"/>
        <v>26.964479166666674</v>
      </c>
      <c r="M108" s="183">
        <f t="shared" si="2"/>
        <v>68.249791666666681</v>
      </c>
      <c r="N108" s="183">
        <f t="shared" si="2"/>
        <v>141.23229166666667</v>
      </c>
      <c r="O108" s="183">
        <f t="shared" si="2"/>
        <v>0</v>
      </c>
      <c r="P108" s="183">
        <f t="shared" si="2"/>
        <v>0.63447916666666671</v>
      </c>
      <c r="Q108" s="183">
        <f t="shared" si="2"/>
        <v>4.2825000000000015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4.1464421443136452E-2</v>
      </c>
      <c r="C109" s="183">
        <f t="shared" ref="C109:Q109" si="3">STDEV(C9:C104)</f>
        <v>2.7751837302856349E-2</v>
      </c>
      <c r="D109" s="183">
        <f t="shared" si="3"/>
        <v>3.8796449240674248E-2</v>
      </c>
      <c r="E109" s="183">
        <f t="shared" si="3"/>
        <v>3.0469564606744193</v>
      </c>
      <c r="F109" s="183">
        <f t="shared" si="3"/>
        <v>15.709949109044629</v>
      </c>
      <c r="G109" s="183">
        <f t="shared" si="3"/>
        <v>73.587613190421266</v>
      </c>
      <c r="H109" s="183">
        <f t="shared" si="3"/>
        <v>48.68585617114433</v>
      </c>
      <c r="I109" s="183">
        <f t="shared" si="3"/>
        <v>3.0623830572015556</v>
      </c>
      <c r="J109" s="183">
        <f t="shared" si="3"/>
        <v>0.11713460355879989</v>
      </c>
      <c r="K109" s="183">
        <f t="shared" si="3"/>
        <v>65.918109435382689</v>
      </c>
      <c r="L109" s="183">
        <f t="shared" si="3"/>
        <v>4.2800093137605302</v>
      </c>
      <c r="M109" s="183">
        <f t="shared" si="3"/>
        <v>21.842942012137762</v>
      </c>
      <c r="N109" s="183">
        <f t="shared" si="3"/>
        <v>219.45336130571604</v>
      </c>
      <c r="O109" s="183">
        <f t="shared" si="3"/>
        <v>0</v>
      </c>
      <c r="P109" s="183">
        <f t="shared" si="3"/>
        <v>0.2011538808274157</v>
      </c>
      <c r="Q109" s="183">
        <f t="shared" si="3"/>
        <v>1.1876558069531282E-2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45598.010416666664</v>
      </c>
      <c r="B9" s="112">
        <v>5.26</v>
      </c>
      <c r="C9" s="112">
        <v>8.0399999999999991</v>
      </c>
      <c r="D9" s="112">
        <v>13.98</v>
      </c>
      <c r="E9" s="112">
        <v>10.56</v>
      </c>
      <c r="F9" s="112">
        <v>6</v>
      </c>
      <c r="G9" s="112">
        <v>75.62</v>
      </c>
      <c r="H9" s="112">
        <v>33.65</v>
      </c>
      <c r="I9" s="112">
        <v>6.8</v>
      </c>
      <c r="J9" s="112">
        <v>0.22</v>
      </c>
      <c r="K9" s="112">
        <v>259.35000000000002</v>
      </c>
      <c r="L9" s="112">
        <v>22.62</v>
      </c>
      <c r="M9" s="112">
        <v>83.93</v>
      </c>
      <c r="N9" s="112">
        <v>1.5</v>
      </c>
      <c r="O9" s="112">
        <v>0</v>
      </c>
      <c r="P9" s="112">
        <v>0.59</v>
      </c>
      <c r="Q9" s="112">
        <v>4.29</v>
      </c>
    </row>
    <row r="10" spans="1:21" customFormat="1">
      <c r="A10" s="80">
        <v>45598.020833333336</v>
      </c>
      <c r="B10" s="112">
        <v>5.24</v>
      </c>
      <c r="C10" s="112">
        <v>8.09</v>
      </c>
      <c r="D10" s="112">
        <v>14</v>
      </c>
      <c r="E10" s="112">
        <v>10.130000000000001</v>
      </c>
      <c r="F10" s="112">
        <v>5.61</v>
      </c>
      <c r="G10" s="112">
        <v>75.62</v>
      </c>
      <c r="H10" s="112">
        <v>33.65</v>
      </c>
      <c r="I10" s="112">
        <v>6.86</v>
      </c>
      <c r="J10" s="112">
        <v>0.18</v>
      </c>
      <c r="K10" s="112">
        <v>168.52</v>
      </c>
      <c r="L10" s="112">
        <v>22.84</v>
      </c>
      <c r="M10" s="112">
        <v>81.38</v>
      </c>
      <c r="N10" s="112">
        <v>1.4</v>
      </c>
      <c r="O10" s="112">
        <v>0</v>
      </c>
      <c r="P10" s="112">
        <v>0.57999999999999996</v>
      </c>
      <c r="Q10" s="112">
        <v>4.29</v>
      </c>
    </row>
    <row r="11" spans="1:21" customFormat="1">
      <c r="A11" s="80">
        <v>45598.03125</v>
      </c>
      <c r="B11" s="112">
        <v>5.22</v>
      </c>
      <c r="C11" s="112">
        <v>8.09</v>
      </c>
      <c r="D11" s="112">
        <v>13.98</v>
      </c>
      <c r="E11" s="112">
        <v>10.48</v>
      </c>
      <c r="F11" s="112">
        <v>5.99</v>
      </c>
      <c r="G11" s="112">
        <v>74.13</v>
      </c>
      <c r="H11" s="112">
        <v>32.299999999999997</v>
      </c>
      <c r="I11" s="112">
        <v>6.96</v>
      </c>
      <c r="J11" s="112">
        <v>0.06</v>
      </c>
      <c r="K11" s="112">
        <v>237.03</v>
      </c>
      <c r="L11" s="112">
        <v>23.13</v>
      </c>
      <c r="M11" s="112">
        <v>77.98</v>
      </c>
      <c r="N11" s="112">
        <v>1.2</v>
      </c>
      <c r="O11" s="112">
        <v>0</v>
      </c>
      <c r="P11" s="112">
        <v>0.6</v>
      </c>
      <c r="Q11" s="112">
        <v>4.28</v>
      </c>
    </row>
    <row r="12" spans="1:21" customFormat="1">
      <c r="A12" s="80">
        <v>45598.041666666664</v>
      </c>
      <c r="B12" s="112">
        <v>5.22</v>
      </c>
      <c r="C12" s="112">
        <v>8.1</v>
      </c>
      <c r="D12" s="112">
        <v>13.98</v>
      </c>
      <c r="E12" s="112">
        <v>10.74</v>
      </c>
      <c r="F12" s="112">
        <v>5.38</v>
      </c>
      <c r="G12" s="112">
        <v>73.56</v>
      </c>
      <c r="H12" s="112">
        <v>32.26</v>
      </c>
      <c r="I12" s="112">
        <v>7.05</v>
      </c>
      <c r="J12" s="112">
        <v>0.18</v>
      </c>
      <c r="K12" s="112">
        <v>222.17</v>
      </c>
      <c r="L12" s="112">
        <v>22.99</v>
      </c>
      <c r="M12" s="112">
        <v>80.319999999999993</v>
      </c>
      <c r="N12" s="112">
        <v>1.7</v>
      </c>
      <c r="O12" s="112">
        <v>0</v>
      </c>
      <c r="P12" s="112">
        <v>0.61</v>
      </c>
      <c r="Q12" s="112">
        <v>4.29</v>
      </c>
    </row>
    <row r="13" spans="1:21" customFormat="1">
      <c r="A13" s="80">
        <v>45598.052083333336</v>
      </c>
      <c r="B13" s="112">
        <v>5.25</v>
      </c>
      <c r="C13" s="112">
        <v>8.07</v>
      </c>
      <c r="D13" s="112">
        <v>13.99</v>
      </c>
      <c r="E13" s="112">
        <v>10.68</v>
      </c>
      <c r="F13" s="112">
        <v>5.83</v>
      </c>
      <c r="G13" s="112">
        <v>73.56</v>
      </c>
      <c r="H13" s="112">
        <v>32.26</v>
      </c>
      <c r="I13" s="112">
        <v>7.17</v>
      </c>
      <c r="J13" s="112">
        <v>0.23</v>
      </c>
      <c r="K13" s="112">
        <v>177.88</v>
      </c>
      <c r="L13" s="112">
        <v>22.76</v>
      </c>
      <c r="M13" s="112">
        <v>82.49</v>
      </c>
      <c r="N13" s="112">
        <v>1.7</v>
      </c>
      <c r="O13" s="112">
        <v>0</v>
      </c>
      <c r="P13" s="112">
        <v>0.64</v>
      </c>
      <c r="Q13" s="112">
        <v>4.29</v>
      </c>
    </row>
    <row r="14" spans="1:21" customFormat="1">
      <c r="A14" s="80">
        <v>45598.0625</v>
      </c>
      <c r="B14" s="112">
        <v>5.24</v>
      </c>
      <c r="C14" s="112">
        <v>8.06</v>
      </c>
      <c r="D14" s="112">
        <v>13.98</v>
      </c>
      <c r="E14" s="112">
        <v>10.61</v>
      </c>
      <c r="F14" s="112">
        <v>5.48</v>
      </c>
      <c r="G14" s="112">
        <v>73.56</v>
      </c>
      <c r="H14" s="112">
        <v>32.26</v>
      </c>
      <c r="I14" s="112">
        <v>7.37</v>
      </c>
      <c r="J14" s="112">
        <v>0.12</v>
      </c>
      <c r="K14" s="112">
        <v>188.86</v>
      </c>
      <c r="L14" s="112">
        <v>22.56</v>
      </c>
      <c r="M14" s="112">
        <v>86.56</v>
      </c>
      <c r="N14" s="112">
        <v>1.7</v>
      </c>
      <c r="O14" s="112">
        <v>0</v>
      </c>
      <c r="P14" s="112">
        <v>0.64</v>
      </c>
      <c r="Q14" s="112">
        <v>4.29</v>
      </c>
    </row>
    <row r="15" spans="1:21" customFormat="1">
      <c r="A15" s="80">
        <v>45598.072916666664</v>
      </c>
      <c r="B15" s="112">
        <v>5.24</v>
      </c>
      <c r="C15" s="112">
        <v>8.06</v>
      </c>
      <c r="D15" s="112">
        <v>13.98</v>
      </c>
      <c r="E15" s="112">
        <v>10.39</v>
      </c>
      <c r="F15" s="112">
        <v>5.92</v>
      </c>
      <c r="G15" s="112">
        <v>89.11</v>
      </c>
      <c r="H15" s="112">
        <v>44.5</v>
      </c>
      <c r="I15" s="112">
        <v>7.54</v>
      </c>
      <c r="J15" s="112">
        <v>0.22</v>
      </c>
      <c r="K15" s="112">
        <v>176.79</v>
      </c>
      <c r="L15" s="112">
        <v>22.43</v>
      </c>
      <c r="M15" s="112">
        <v>84.68</v>
      </c>
      <c r="N15" s="112">
        <v>1.6</v>
      </c>
      <c r="O15" s="112">
        <v>0</v>
      </c>
      <c r="P15" s="112">
        <v>0.66</v>
      </c>
      <c r="Q15" s="112">
        <v>4.29</v>
      </c>
    </row>
    <row r="16" spans="1:21" customFormat="1">
      <c r="A16" s="80">
        <v>45598.083333333336</v>
      </c>
      <c r="B16" s="112">
        <v>5.26</v>
      </c>
      <c r="C16" s="112">
        <v>8.0399999999999991</v>
      </c>
      <c r="D16" s="112">
        <v>13.99</v>
      </c>
      <c r="E16" s="112">
        <v>10.84</v>
      </c>
      <c r="F16" s="112">
        <v>5.51</v>
      </c>
      <c r="G16" s="112">
        <v>95.42</v>
      </c>
      <c r="H16" s="112">
        <v>45.08</v>
      </c>
      <c r="I16" s="112">
        <v>7.69</v>
      </c>
      <c r="J16" s="112">
        <v>0.14000000000000001</v>
      </c>
      <c r="K16" s="112">
        <v>124.21</v>
      </c>
      <c r="L16" s="112">
        <v>22.43</v>
      </c>
      <c r="M16" s="112">
        <v>83.25</v>
      </c>
      <c r="N16" s="112">
        <v>1.6</v>
      </c>
      <c r="O16" s="112">
        <v>0</v>
      </c>
      <c r="P16" s="112">
        <v>0.65</v>
      </c>
      <c r="Q16" s="112">
        <v>4.3099999999999996</v>
      </c>
    </row>
    <row r="17" spans="1:17" customFormat="1">
      <c r="A17" s="80">
        <v>45598.09375</v>
      </c>
      <c r="B17" s="112">
        <v>5.28</v>
      </c>
      <c r="C17" s="112">
        <v>8.0500000000000007</v>
      </c>
      <c r="D17" s="112">
        <v>14.01</v>
      </c>
      <c r="E17" s="112">
        <v>8.4700000000000006</v>
      </c>
      <c r="F17" s="112">
        <v>5.85</v>
      </c>
      <c r="G17" s="112">
        <v>95.42</v>
      </c>
      <c r="H17" s="112">
        <v>45.08</v>
      </c>
      <c r="I17" s="112">
        <v>7.81</v>
      </c>
      <c r="J17" s="112">
        <v>0.09</v>
      </c>
      <c r="K17" s="112">
        <v>183.93</v>
      </c>
      <c r="L17" s="112">
        <v>22.35</v>
      </c>
      <c r="M17" s="112">
        <v>83.43</v>
      </c>
      <c r="N17" s="112">
        <v>1.7</v>
      </c>
      <c r="O17" s="112">
        <v>0</v>
      </c>
      <c r="P17" s="112">
        <v>0.67</v>
      </c>
      <c r="Q17" s="112">
        <v>4.28</v>
      </c>
    </row>
    <row r="18" spans="1:17" customFormat="1">
      <c r="A18" s="80">
        <v>45598.104166666664</v>
      </c>
      <c r="B18" s="112">
        <v>5.26</v>
      </c>
      <c r="C18" s="112">
        <v>8.11</v>
      </c>
      <c r="D18" s="112">
        <v>14.02</v>
      </c>
      <c r="E18" s="112">
        <v>10.51</v>
      </c>
      <c r="F18" s="112">
        <v>5.6</v>
      </c>
      <c r="G18" s="112">
        <v>95.42</v>
      </c>
      <c r="H18" s="112">
        <v>45.08</v>
      </c>
      <c r="I18" s="112">
        <v>7.95</v>
      </c>
      <c r="J18" s="112">
        <v>0.09</v>
      </c>
      <c r="K18" s="112">
        <v>180.57</v>
      </c>
      <c r="L18" s="112">
        <v>22.26</v>
      </c>
      <c r="M18" s="112">
        <v>85.99</v>
      </c>
      <c r="N18" s="112">
        <v>1.7</v>
      </c>
      <c r="O18" s="112">
        <v>0</v>
      </c>
      <c r="P18" s="112">
        <v>0.68</v>
      </c>
      <c r="Q18" s="112">
        <v>4.29</v>
      </c>
    </row>
    <row r="19" spans="1:17" customFormat="1">
      <c r="A19" s="80">
        <v>45598.114583333336</v>
      </c>
      <c r="B19" s="112">
        <v>5.26</v>
      </c>
      <c r="C19" s="112">
        <v>8.1</v>
      </c>
      <c r="D19" s="112">
        <v>14.02</v>
      </c>
      <c r="E19" s="112">
        <v>10.27</v>
      </c>
      <c r="F19" s="112">
        <v>5.8</v>
      </c>
      <c r="G19" s="112">
        <v>98.62</v>
      </c>
      <c r="H19" s="112">
        <v>49.94</v>
      </c>
      <c r="I19" s="112">
        <v>8.07</v>
      </c>
      <c r="J19" s="112">
        <v>0.19</v>
      </c>
      <c r="K19" s="112">
        <v>158.29</v>
      </c>
      <c r="L19" s="112">
        <v>22.17</v>
      </c>
      <c r="M19" s="112">
        <v>90.55</v>
      </c>
      <c r="N19" s="112">
        <v>1.4</v>
      </c>
      <c r="O19" s="112">
        <v>0</v>
      </c>
      <c r="P19" s="112">
        <v>0.68</v>
      </c>
      <c r="Q19" s="112">
        <v>4.3</v>
      </c>
    </row>
    <row r="20" spans="1:17" customFormat="1">
      <c r="A20" s="80">
        <v>45598.125</v>
      </c>
      <c r="B20" s="112">
        <v>5.28</v>
      </c>
      <c r="C20" s="112">
        <v>8.08</v>
      </c>
      <c r="D20" s="112">
        <v>14.03</v>
      </c>
      <c r="E20" s="112">
        <v>10.85</v>
      </c>
      <c r="F20" s="112">
        <v>5.52</v>
      </c>
      <c r="G20" s="112">
        <v>99.91</v>
      </c>
      <c r="H20" s="112">
        <v>50.17</v>
      </c>
      <c r="I20" s="112">
        <v>8.15</v>
      </c>
      <c r="J20" s="112">
        <v>0.14000000000000001</v>
      </c>
      <c r="K20" s="112">
        <v>115.19</v>
      </c>
      <c r="L20" s="112">
        <v>22.3</v>
      </c>
      <c r="M20" s="112">
        <v>86.96</v>
      </c>
      <c r="N20" s="112">
        <v>1.7</v>
      </c>
      <c r="O20" s="112">
        <v>0</v>
      </c>
      <c r="P20" s="112">
        <v>0.69</v>
      </c>
      <c r="Q20" s="112">
        <v>4.28</v>
      </c>
    </row>
    <row r="21" spans="1:17" customFormat="1">
      <c r="A21" s="80">
        <v>45598.135416666664</v>
      </c>
      <c r="B21" s="112">
        <v>5.28</v>
      </c>
      <c r="C21" s="112">
        <v>8.07</v>
      </c>
      <c r="D21" s="112">
        <v>14.02</v>
      </c>
      <c r="E21" s="112">
        <v>10.48</v>
      </c>
      <c r="F21" s="112">
        <v>5.32</v>
      </c>
      <c r="G21" s="112">
        <v>99.91</v>
      </c>
      <c r="H21" s="112">
        <v>50.17</v>
      </c>
      <c r="I21" s="112">
        <v>8.2100000000000009</v>
      </c>
      <c r="J21" s="112">
        <v>0.09</v>
      </c>
      <c r="K21" s="112">
        <v>111.76</v>
      </c>
      <c r="L21" s="112">
        <v>22.21</v>
      </c>
      <c r="M21" s="112">
        <v>84.76</v>
      </c>
      <c r="N21" s="112">
        <v>1.5</v>
      </c>
      <c r="O21" s="112">
        <v>0</v>
      </c>
      <c r="P21" s="112">
        <v>0.71</v>
      </c>
      <c r="Q21" s="112">
        <v>4.28</v>
      </c>
    </row>
    <row r="22" spans="1:17" customFormat="1">
      <c r="A22" s="80">
        <v>45598.145833333336</v>
      </c>
      <c r="B22" s="112">
        <v>5.29</v>
      </c>
      <c r="C22" s="112">
        <v>8.08</v>
      </c>
      <c r="D22" s="112">
        <v>14.03</v>
      </c>
      <c r="E22" s="112">
        <v>10.220000000000001</v>
      </c>
      <c r="F22" s="112">
        <v>5.62</v>
      </c>
      <c r="G22" s="112">
        <v>99.91</v>
      </c>
      <c r="H22" s="112">
        <v>50.17</v>
      </c>
      <c r="I22" s="112">
        <v>8.2899999999999991</v>
      </c>
      <c r="J22" s="112">
        <v>0.08</v>
      </c>
      <c r="K22" s="112">
        <v>141.06</v>
      </c>
      <c r="L22" s="112">
        <v>22.33</v>
      </c>
      <c r="M22" s="112">
        <v>84.47</v>
      </c>
      <c r="N22" s="112">
        <v>1.4</v>
      </c>
      <c r="O22" s="112">
        <v>0</v>
      </c>
      <c r="P22" s="112">
        <v>0.71</v>
      </c>
      <c r="Q22" s="112">
        <v>4.28</v>
      </c>
    </row>
    <row r="23" spans="1:17" customFormat="1">
      <c r="A23" s="80">
        <v>45598.15625</v>
      </c>
      <c r="B23" s="112">
        <v>5.29</v>
      </c>
      <c r="C23" s="112">
        <v>8.07</v>
      </c>
      <c r="D23" s="112">
        <v>14.03</v>
      </c>
      <c r="E23" s="112">
        <v>10.88</v>
      </c>
      <c r="F23" s="112">
        <v>5.56</v>
      </c>
      <c r="G23" s="112">
        <v>93.35</v>
      </c>
      <c r="H23" s="112">
        <v>48.46</v>
      </c>
      <c r="I23" s="112">
        <v>8.3800000000000008</v>
      </c>
      <c r="J23" s="112">
        <v>0.14000000000000001</v>
      </c>
      <c r="K23" s="112">
        <v>189.45</v>
      </c>
      <c r="L23" s="112">
        <v>22.32</v>
      </c>
      <c r="M23" s="112">
        <v>85.85</v>
      </c>
      <c r="N23" s="112">
        <v>1.5</v>
      </c>
      <c r="O23" s="112">
        <v>0</v>
      </c>
      <c r="P23" s="112">
        <v>0.72</v>
      </c>
      <c r="Q23" s="112">
        <v>4.29</v>
      </c>
    </row>
    <row r="24" spans="1:17" customFormat="1">
      <c r="A24" s="80">
        <v>45598.166666666664</v>
      </c>
      <c r="B24" s="112">
        <v>5.29</v>
      </c>
      <c r="C24" s="112">
        <v>8.07</v>
      </c>
      <c r="D24" s="112">
        <v>14.03</v>
      </c>
      <c r="E24" s="112">
        <v>10.68</v>
      </c>
      <c r="F24" s="112">
        <v>5.35</v>
      </c>
      <c r="G24" s="112">
        <v>90.69</v>
      </c>
      <c r="H24" s="112">
        <v>48.38</v>
      </c>
      <c r="I24" s="112">
        <v>8.5299999999999994</v>
      </c>
      <c r="J24" s="112">
        <v>0.14000000000000001</v>
      </c>
      <c r="K24" s="112">
        <v>196.73</v>
      </c>
      <c r="L24" s="112">
        <v>22.17</v>
      </c>
      <c r="M24" s="112">
        <v>87.31</v>
      </c>
      <c r="N24" s="112">
        <v>1.7</v>
      </c>
      <c r="O24" s="112">
        <v>0</v>
      </c>
      <c r="P24" s="112">
        <v>0.72</v>
      </c>
      <c r="Q24" s="112">
        <v>4.28</v>
      </c>
    </row>
    <row r="25" spans="1:17" customFormat="1">
      <c r="A25" s="80">
        <v>45598.177083333336</v>
      </c>
      <c r="B25" s="112">
        <v>5.29</v>
      </c>
      <c r="C25" s="112">
        <v>8.0500000000000007</v>
      </c>
      <c r="D25" s="112">
        <v>14.02</v>
      </c>
      <c r="E25" s="112">
        <v>10.95</v>
      </c>
      <c r="F25" s="112">
        <v>5.22</v>
      </c>
      <c r="G25" s="112">
        <v>90.69</v>
      </c>
      <c r="H25" s="112">
        <v>48.38</v>
      </c>
      <c r="I25" s="112">
        <v>8.6999999999999993</v>
      </c>
      <c r="J25" s="112">
        <v>0.06</v>
      </c>
      <c r="K25" s="112">
        <v>253.07</v>
      </c>
      <c r="L25" s="112">
        <v>21.9</v>
      </c>
      <c r="M25" s="112">
        <v>91.26</v>
      </c>
      <c r="N25" s="112">
        <v>1.7</v>
      </c>
      <c r="O25" s="112">
        <v>0</v>
      </c>
      <c r="P25" s="112">
        <v>0.73</v>
      </c>
      <c r="Q25" s="112">
        <v>4.3</v>
      </c>
    </row>
    <row r="26" spans="1:17" customFormat="1">
      <c r="A26" s="80">
        <v>45598.1875</v>
      </c>
      <c r="B26" s="112">
        <v>5.29</v>
      </c>
      <c r="C26" s="112">
        <v>8.08</v>
      </c>
      <c r="D26" s="112">
        <v>14.03</v>
      </c>
      <c r="E26" s="112">
        <v>11.28</v>
      </c>
      <c r="F26" s="112">
        <v>5.27</v>
      </c>
      <c r="G26" s="112">
        <v>90.69</v>
      </c>
      <c r="H26" s="112">
        <v>48.38</v>
      </c>
      <c r="I26" s="112">
        <v>8.83</v>
      </c>
      <c r="J26" s="112">
        <v>0.21</v>
      </c>
      <c r="K26" s="112">
        <v>193.79</v>
      </c>
      <c r="L26" s="112">
        <v>21.84</v>
      </c>
      <c r="M26" s="112">
        <v>91.68</v>
      </c>
      <c r="N26" s="112">
        <v>1.5</v>
      </c>
      <c r="O26" s="112">
        <v>0</v>
      </c>
      <c r="P26" s="112">
        <v>0.73</v>
      </c>
      <c r="Q26" s="112">
        <v>4.29</v>
      </c>
    </row>
    <row r="27" spans="1:17" customFormat="1">
      <c r="A27" s="80">
        <v>45598.197916666664</v>
      </c>
      <c r="B27" s="112">
        <v>5.29</v>
      </c>
      <c r="C27" s="112">
        <v>8.1</v>
      </c>
      <c r="D27" s="112">
        <v>14.04</v>
      </c>
      <c r="E27" s="112">
        <v>11</v>
      </c>
      <c r="F27" s="112">
        <v>5.36</v>
      </c>
      <c r="G27" s="112">
        <v>91.72</v>
      </c>
      <c r="H27" s="112">
        <v>47.69</v>
      </c>
      <c r="I27" s="112">
        <v>8.9700000000000006</v>
      </c>
      <c r="J27" s="112">
        <v>0.1</v>
      </c>
      <c r="K27" s="112">
        <v>195.48</v>
      </c>
      <c r="L27" s="112">
        <v>21.65</v>
      </c>
      <c r="M27" s="112">
        <v>90.89</v>
      </c>
      <c r="N27" s="112">
        <v>1.8</v>
      </c>
      <c r="O27" s="112">
        <v>0</v>
      </c>
      <c r="P27" s="112">
        <v>0.74</v>
      </c>
      <c r="Q27" s="112">
        <v>4.28</v>
      </c>
    </row>
    <row r="28" spans="1:17" customFormat="1">
      <c r="A28" s="80">
        <v>45598.208333333336</v>
      </c>
      <c r="B28" s="112">
        <v>5.29</v>
      </c>
      <c r="C28" s="112">
        <v>8.0399999999999991</v>
      </c>
      <c r="D28" s="112">
        <v>14.01</v>
      </c>
      <c r="E28" s="112">
        <v>10.56</v>
      </c>
      <c r="F28" s="112">
        <v>5.09</v>
      </c>
      <c r="G28" s="112">
        <v>92.14</v>
      </c>
      <c r="H28" s="112">
        <v>47.66</v>
      </c>
      <c r="I28" s="112">
        <v>9.08</v>
      </c>
      <c r="J28" s="112">
        <v>0.11</v>
      </c>
      <c r="K28" s="112">
        <v>146.59</v>
      </c>
      <c r="L28" s="112">
        <v>21.58</v>
      </c>
      <c r="M28" s="112">
        <v>89.18</v>
      </c>
      <c r="N28" s="112">
        <v>1.5</v>
      </c>
      <c r="O28" s="112">
        <v>0</v>
      </c>
      <c r="P28" s="112">
        <v>0.73</v>
      </c>
      <c r="Q28" s="112">
        <v>4.2699999999999996</v>
      </c>
    </row>
    <row r="29" spans="1:17" customFormat="1">
      <c r="A29" s="80">
        <v>45598.21875</v>
      </c>
      <c r="B29" s="112">
        <v>5.31</v>
      </c>
      <c r="C29" s="112">
        <v>8.0500000000000007</v>
      </c>
      <c r="D29" s="112">
        <v>14.03</v>
      </c>
      <c r="E29" s="112">
        <v>11.14</v>
      </c>
      <c r="F29" s="112">
        <v>5.12</v>
      </c>
      <c r="G29" s="112">
        <v>92.14</v>
      </c>
      <c r="H29" s="112">
        <v>47.66</v>
      </c>
      <c r="I29" s="112">
        <v>9.15</v>
      </c>
      <c r="J29" s="112">
        <v>0.16</v>
      </c>
      <c r="K29" s="112">
        <v>248.03</v>
      </c>
      <c r="L29" s="112">
        <v>21.41</v>
      </c>
      <c r="M29" s="112">
        <v>90.4</v>
      </c>
      <c r="N29" s="112">
        <v>1.7</v>
      </c>
      <c r="O29" s="112">
        <v>0</v>
      </c>
      <c r="P29" s="112">
        <v>0.74</v>
      </c>
      <c r="Q29" s="112">
        <v>4.29</v>
      </c>
    </row>
    <row r="30" spans="1:17" customFormat="1">
      <c r="A30" s="80">
        <v>45598.229166666664</v>
      </c>
      <c r="B30" s="112">
        <v>5.29</v>
      </c>
      <c r="C30" s="112">
        <v>8.0399999999999991</v>
      </c>
      <c r="D30" s="112">
        <v>14.01</v>
      </c>
      <c r="E30" s="112">
        <v>10.91</v>
      </c>
      <c r="F30" s="112">
        <v>4.9400000000000004</v>
      </c>
      <c r="G30" s="112">
        <v>92.14</v>
      </c>
      <c r="H30" s="112">
        <v>47.66</v>
      </c>
      <c r="I30" s="112">
        <v>9.2200000000000006</v>
      </c>
      <c r="J30" s="112">
        <v>0.14000000000000001</v>
      </c>
      <c r="K30" s="112">
        <v>212.5</v>
      </c>
      <c r="L30" s="112">
        <v>21.35</v>
      </c>
      <c r="M30" s="112">
        <v>90.7</v>
      </c>
      <c r="N30" s="112">
        <v>1.5</v>
      </c>
      <c r="O30" s="112">
        <v>0</v>
      </c>
      <c r="P30" s="112">
        <v>0.74</v>
      </c>
      <c r="Q30" s="112">
        <v>4.29</v>
      </c>
    </row>
    <row r="31" spans="1:17" customFormat="1">
      <c r="A31" s="80">
        <v>45598.239583333336</v>
      </c>
      <c r="B31" s="112">
        <v>5.26</v>
      </c>
      <c r="C31" s="112">
        <v>8.06</v>
      </c>
      <c r="D31" s="112">
        <v>14</v>
      </c>
      <c r="E31" s="112">
        <v>11.14</v>
      </c>
      <c r="F31" s="112">
        <v>5.38</v>
      </c>
      <c r="G31" s="112">
        <v>91.15</v>
      </c>
      <c r="H31" s="112">
        <v>45.68</v>
      </c>
      <c r="I31" s="112">
        <v>9.26</v>
      </c>
      <c r="J31" s="112">
        <v>0.12</v>
      </c>
      <c r="K31" s="112">
        <v>218.79</v>
      </c>
      <c r="L31" s="112">
        <v>21.22</v>
      </c>
      <c r="M31" s="112">
        <v>90.99</v>
      </c>
      <c r="N31" s="112">
        <v>2</v>
      </c>
      <c r="O31" s="112">
        <v>0</v>
      </c>
      <c r="P31" s="112">
        <v>0.73</v>
      </c>
      <c r="Q31" s="112">
        <v>4.3</v>
      </c>
    </row>
    <row r="32" spans="1:17" customFormat="1">
      <c r="A32" s="80">
        <v>45598.25</v>
      </c>
      <c r="B32" s="112">
        <v>5.25</v>
      </c>
      <c r="C32" s="112">
        <v>8.07</v>
      </c>
      <c r="D32" s="112">
        <v>13.99</v>
      </c>
      <c r="E32" s="112">
        <v>11.11</v>
      </c>
      <c r="F32" s="112">
        <v>5.31</v>
      </c>
      <c r="G32" s="112">
        <v>90.75</v>
      </c>
      <c r="H32" s="112">
        <v>45.38</v>
      </c>
      <c r="I32" s="112">
        <v>9.25</v>
      </c>
      <c r="J32" s="112">
        <v>0.19</v>
      </c>
      <c r="K32" s="112">
        <v>210.3</v>
      </c>
      <c r="L32" s="112">
        <v>21.41</v>
      </c>
      <c r="M32" s="112">
        <v>91.29</v>
      </c>
      <c r="N32" s="112">
        <v>3.8</v>
      </c>
      <c r="O32" s="112">
        <v>0</v>
      </c>
      <c r="P32" s="112">
        <v>0.73</v>
      </c>
      <c r="Q32" s="112">
        <v>4.28</v>
      </c>
    </row>
    <row r="33" spans="1:17" customFormat="1">
      <c r="A33" s="80">
        <v>45598.260416666664</v>
      </c>
      <c r="B33" s="112">
        <v>5.26</v>
      </c>
      <c r="C33" s="112">
        <v>8.09</v>
      </c>
      <c r="D33" s="112">
        <v>14.01</v>
      </c>
      <c r="E33" s="112">
        <v>11.17</v>
      </c>
      <c r="F33" s="112">
        <v>5.17</v>
      </c>
      <c r="G33" s="112">
        <v>90.75</v>
      </c>
      <c r="H33" s="112">
        <v>45.38</v>
      </c>
      <c r="I33" s="112">
        <v>9.25</v>
      </c>
      <c r="J33" s="112">
        <v>0.09</v>
      </c>
      <c r="K33" s="112">
        <v>185.45</v>
      </c>
      <c r="L33" s="112">
        <v>21.52</v>
      </c>
      <c r="M33" s="112">
        <v>89.85</v>
      </c>
      <c r="N33" s="112">
        <v>11.2</v>
      </c>
      <c r="O33" s="112">
        <v>0</v>
      </c>
      <c r="P33" s="112">
        <v>0.74</v>
      </c>
      <c r="Q33" s="112">
        <v>4.28</v>
      </c>
    </row>
    <row r="34" spans="1:17" customFormat="1">
      <c r="A34" s="80">
        <v>45598.270833333336</v>
      </c>
      <c r="B34" s="112">
        <v>5.26</v>
      </c>
      <c r="C34" s="112">
        <v>8.08</v>
      </c>
      <c r="D34" s="112">
        <v>14.01</v>
      </c>
      <c r="E34" s="112">
        <v>11.36</v>
      </c>
      <c r="F34" s="112">
        <v>5.2</v>
      </c>
      <c r="G34" s="112">
        <v>90.75</v>
      </c>
      <c r="H34" s="112">
        <v>45.38</v>
      </c>
      <c r="I34" s="112">
        <v>9.27</v>
      </c>
      <c r="J34" s="112">
        <v>0.11</v>
      </c>
      <c r="K34" s="112">
        <v>210.56</v>
      </c>
      <c r="L34" s="112">
        <v>21.55</v>
      </c>
      <c r="M34" s="112">
        <v>90.35</v>
      </c>
      <c r="N34" s="112">
        <v>20.8</v>
      </c>
      <c r="O34" s="112">
        <v>0</v>
      </c>
      <c r="P34" s="112">
        <v>0.74</v>
      </c>
      <c r="Q34" s="112">
        <v>4.29</v>
      </c>
    </row>
    <row r="35" spans="1:17" customFormat="1">
      <c r="A35" s="80">
        <v>45598.28125</v>
      </c>
      <c r="B35" s="112">
        <v>5.27</v>
      </c>
      <c r="C35" s="112">
        <v>8.06</v>
      </c>
      <c r="D35" s="112">
        <v>14</v>
      </c>
      <c r="E35" s="112">
        <v>11.4</v>
      </c>
      <c r="F35" s="112">
        <v>5.49</v>
      </c>
      <c r="G35" s="112">
        <v>91.56</v>
      </c>
      <c r="H35" s="112">
        <v>44.43</v>
      </c>
      <c r="I35" s="112">
        <v>9.31</v>
      </c>
      <c r="J35" s="112">
        <v>0.24</v>
      </c>
      <c r="K35" s="112">
        <v>175.12</v>
      </c>
      <c r="L35" s="112">
        <v>21.99</v>
      </c>
      <c r="M35" s="112">
        <v>88.33</v>
      </c>
      <c r="N35" s="112">
        <v>34</v>
      </c>
      <c r="O35" s="112">
        <v>0</v>
      </c>
      <c r="P35" s="112">
        <v>0.74</v>
      </c>
      <c r="Q35" s="112">
        <v>4.28</v>
      </c>
    </row>
    <row r="36" spans="1:17" customFormat="1">
      <c r="A36" s="80">
        <v>45598.291666666664</v>
      </c>
      <c r="B36" s="112">
        <v>5.27</v>
      </c>
      <c r="C36" s="112">
        <v>8.07</v>
      </c>
      <c r="D36" s="112">
        <v>14.01</v>
      </c>
      <c r="E36" s="112">
        <v>11.06</v>
      </c>
      <c r="F36" s="112">
        <v>5.59</v>
      </c>
      <c r="G36" s="112">
        <v>91.89</v>
      </c>
      <c r="H36" s="112">
        <v>44.38</v>
      </c>
      <c r="I36" s="112">
        <v>9.35</v>
      </c>
      <c r="J36" s="112">
        <v>0.12</v>
      </c>
      <c r="K36" s="112">
        <v>115.34</v>
      </c>
      <c r="L36" s="112">
        <v>22.8</v>
      </c>
      <c r="M36" s="112">
        <v>83.87</v>
      </c>
      <c r="N36" s="112">
        <v>50.9</v>
      </c>
      <c r="O36" s="112">
        <v>0</v>
      </c>
      <c r="P36" s="112">
        <v>0.73</v>
      </c>
      <c r="Q36" s="112">
        <v>4.2699999999999996</v>
      </c>
    </row>
    <row r="37" spans="1:17" customFormat="1">
      <c r="A37" s="80">
        <v>45598.302083333336</v>
      </c>
      <c r="B37" s="112">
        <v>5.26</v>
      </c>
      <c r="C37" s="112">
        <v>8.07</v>
      </c>
      <c r="D37" s="112">
        <v>14</v>
      </c>
      <c r="E37" s="112">
        <v>11.62</v>
      </c>
      <c r="F37" s="112">
        <v>5.48</v>
      </c>
      <c r="G37" s="112">
        <v>91.89</v>
      </c>
      <c r="H37" s="112">
        <v>44.38</v>
      </c>
      <c r="I37" s="112">
        <v>9.39</v>
      </c>
      <c r="J37" s="112">
        <v>0.12</v>
      </c>
      <c r="K37" s="112">
        <v>91.18</v>
      </c>
      <c r="L37" s="112">
        <v>23.37</v>
      </c>
      <c r="M37" s="112">
        <v>80.7</v>
      </c>
      <c r="N37" s="112">
        <v>62.4</v>
      </c>
      <c r="O37" s="112">
        <v>0</v>
      </c>
      <c r="P37" s="112">
        <v>0.74</v>
      </c>
      <c r="Q37" s="112">
        <v>4.29</v>
      </c>
    </row>
    <row r="38" spans="1:17" customFormat="1">
      <c r="A38" s="80">
        <v>45598.3125</v>
      </c>
      <c r="B38" s="112">
        <v>5.26</v>
      </c>
      <c r="C38" s="112">
        <v>8.08</v>
      </c>
      <c r="D38" s="112">
        <v>14.01</v>
      </c>
      <c r="E38" s="112">
        <v>11.46</v>
      </c>
      <c r="F38" s="112">
        <v>5.49</v>
      </c>
      <c r="G38" s="112">
        <v>91.89</v>
      </c>
      <c r="H38" s="112">
        <v>44.38</v>
      </c>
      <c r="I38" s="112">
        <v>9.4600000000000009</v>
      </c>
      <c r="J38" s="112">
        <v>0.25</v>
      </c>
      <c r="K38" s="112">
        <v>42.65</v>
      </c>
      <c r="L38" s="112">
        <v>23.93</v>
      </c>
      <c r="M38" s="112">
        <v>80.03</v>
      </c>
      <c r="N38" s="112">
        <v>90.6</v>
      </c>
      <c r="O38" s="112">
        <v>0</v>
      </c>
      <c r="P38" s="112">
        <v>0.74</v>
      </c>
      <c r="Q38" s="112">
        <v>4.3</v>
      </c>
    </row>
    <row r="39" spans="1:17" customFormat="1">
      <c r="A39" s="80">
        <v>45598.322916666664</v>
      </c>
      <c r="B39" s="112">
        <v>5.26</v>
      </c>
      <c r="C39" s="112">
        <v>8.09</v>
      </c>
      <c r="D39" s="112">
        <v>14.01</v>
      </c>
      <c r="E39" s="112">
        <v>11.44</v>
      </c>
      <c r="F39" s="112">
        <v>5.42</v>
      </c>
      <c r="G39" s="112">
        <v>94.58</v>
      </c>
      <c r="H39" s="112">
        <v>44.88</v>
      </c>
      <c r="I39" s="112">
        <v>9.5299999999999994</v>
      </c>
      <c r="J39" s="112">
        <v>0.26</v>
      </c>
      <c r="K39" s="112">
        <v>55.82</v>
      </c>
      <c r="L39" s="112">
        <v>24.39</v>
      </c>
      <c r="M39" s="112">
        <v>77.84</v>
      </c>
      <c r="N39" s="112">
        <v>158.5</v>
      </c>
      <c r="O39" s="112">
        <v>0</v>
      </c>
      <c r="P39" s="112">
        <v>0.75</v>
      </c>
      <c r="Q39" s="112">
        <v>4.2699999999999996</v>
      </c>
    </row>
    <row r="40" spans="1:17" customFormat="1">
      <c r="A40" s="80">
        <v>45598.333333333336</v>
      </c>
      <c r="B40" s="112">
        <v>5.25</v>
      </c>
      <c r="C40" s="112">
        <v>8.09</v>
      </c>
      <c r="D40" s="112">
        <v>14</v>
      </c>
      <c r="E40" s="112">
        <v>11.37</v>
      </c>
      <c r="F40" s="112">
        <v>5.46</v>
      </c>
      <c r="G40" s="112">
        <v>95.67</v>
      </c>
      <c r="H40" s="112">
        <v>44.91</v>
      </c>
      <c r="I40" s="112">
        <v>9.64</v>
      </c>
      <c r="J40" s="112">
        <v>0.25</v>
      </c>
      <c r="K40" s="112">
        <v>24.58</v>
      </c>
      <c r="L40" s="112">
        <v>25.18</v>
      </c>
      <c r="M40" s="112">
        <v>75.11</v>
      </c>
      <c r="N40" s="112">
        <v>194.6</v>
      </c>
      <c r="O40" s="112">
        <v>0</v>
      </c>
      <c r="P40" s="112">
        <v>0.75</v>
      </c>
      <c r="Q40" s="112">
        <v>4.26</v>
      </c>
    </row>
    <row r="41" spans="1:17" customFormat="1">
      <c r="A41" s="80">
        <v>45598.34375</v>
      </c>
      <c r="B41" s="112">
        <v>5.27</v>
      </c>
      <c r="C41" s="112">
        <v>8.07</v>
      </c>
      <c r="D41" s="112">
        <v>14.01</v>
      </c>
      <c r="E41" s="112">
        <v>10.9</v>
      </c>
      <c r="F41" s="112">
        <v>6.18</v>
      </c>
      <c r="G41" s="112">
        <v>95.67</v>
      </c>
      <c r="H41" s="112">
        <v>44.91</v>
      </c>
      <c r="I41" s="112">
        <v>9.77</v>
      </c>
      <c r="J41" s="112">
        <v>0.28000000000000003</v>
      </c>
      <c r="K41" s="112">
        <v>23.37</v>
      </c>
      <c r="L41" s="112">
        <v>25.73</v>
      </c>
      <c r="M41" s="112">
        <v>71.19</v>
      </c>
      <c r="N41" s="112">
        <v>230.9</v>
      </c>
      <c r="O41" s="112">
        <v>0</v>
      </c>
      <c r="P41" s="112">
        <v>0.74</v>
      </c>
      <c r="Q41" s="112">
        <v>4.28</v>
      </c>
    </row>
    <row r="42" spans="1:17" customFormat="1">
      <c r="A42" s="80">
        <v>45598.354166666664</v>
      </c>
      <c r="B42" s="112">
        <v>5.26</v>
      </c>
      <c r="C42" s="112">
        <v>8.09</v>
      </c>
      <c r="D42" s="112">
        <v>14.01</v>
      </c>
      <c r="E42" s="112">
        <v>11.1</v>
      </c>
      <c r="F42" s="112">
        <v>6.02</v>
      </c>
      <c r="G42" s="112">
        <v>95.67</v>
      </c>
      <c r="H42" s="112">
        <v>44.91</v>
      </c>
      <c r="I42" s="112">
        <v>9.8800000000000008</v>
      </c>
      <c r="J42" s="112">
        <v>0.08</v>
      </c>
      <c r="K42" s="112">
        <v>285.82</v>
      </c>
      <c r="L42" s="112">
        <v>26.81</v>
      </c>
      <c r="M42" s="112">
        <v>64.52</v>
      </c>
      <c r="N42" s="112">
        <v>223.3</v>
      </c>
      <c r="O42" s="112">
        <v>0</v>
      </c>
      <c r="P42" s="112">
        <v>0.76</v>
      </c>
      <c r="Q42" s="112">
        <v>4.29</v>
      </c>
    </row>
    <row r="43" spans="1:17" customFormat="1">
      <c r="A43" s="80">
        <v>45598.364583333336</v>
      </c>
      <c r="B43" s="112">
        <v>5.27</v>
      </c>
      <c r="C43" s="112">
        <v>8.07</v>
      </c>
      <c r="D43" s="112">
        <v>14.01</v>
      </c>
      <c r="E43" s="112">
        <v>11.7</v>
      </c>
      <c r="F43" s="112">
        <v>6.18</v>
      </c>
      <c r="G43" s="112">
        <v>102.32</v>
      </c>
      <c r="H43" s="112">
        <v>48.87</v>
      </c>
      <c r="I43" s="112">
        <v>10.01</v>
      </c>
      <c r="J43" s="112">
        <v>0.05</v>
      </c>
      <c r="K43" s="112">
        <v>110.26</v>
      </c>
      <c r="L43" s="112">
        <v>27.68</v>
      </c>
      <c r="M43" s="112">
        <v>59.74</v>
      </c>
      <c r="N43" s="112">
        <v>313.89999999999998</v>
      </c>
      <c r="O43" s="112">
        <v>0</v>
      </c>
      <c r="P43" s="112">
        <v>0.75</v>
      </c>
      <c r="Q43" s="112">
        <v>4.29</v>
      </c>
    </row>
    <row r="44" spans="1:17" customFormat="1">
      <c r="A44" s="80">
        <v>45598.375</v>
      </c>
      <c r="B44" s="112">
        <v>5.27</v>
      </c>
      <c r="C44" s="112">
        <v>8.08</v>
      </c>
      <c r="D44" s="112">
        <v>14.02</v>
      </c>
      <c r="E44" s="112">
        <v>10.94</v>
      </c>
      <c r="F44" s="112">
        <v>6.4</v>
      </c>
      <c r="G44" s="112">
        <v>105.02</v>
      </c>
      <c r="H44" s="112">
        <v>49.06</v>
      </c>
      <c r="I44" s="112">
        <v>10.07</v>
      </c>
      <c r="J44" s="112">
        <v>0.38</v>
      </c>
      <c r="K44" s="112">
        <v>63.97</v>
      </c>
      <c r="L44" s="112">
        <v>28.64</v>
      </c>
      <c r="M44" s="112">
        <v>55.45</v>
      </c>
      <c r="N44" s="112">
        <v>285.2</v>
      </c>
      <c r="O44" s="112">
        <v>0</v>
      </c>
      <c r="P44" s="112">
        <v>0.75</v>
      </c>
      <c r="Q44" s="112">
        <v>4.28</v>
      </c>
    </row>
    <row r="45" spans="1:17" customFormat="1">
      <c r="A45" s="80">
        <v>45598.385416666664</v>
      </c>
      <c r="B45" s="112">
        <v>5.27</v>
      </c>
      <c r="C45" s="112">
        <v>8.09</v>
      </c>
      <c r="D45" s="112">
        <v>14.02</v>
      </c>
      <c r="E45" s="112">
        <v>11.41</v>
      </c>
      <c r="F45" s="112">
        <v>6.47</v>
      </c>
      <c r="G45" s="112">
        <v>105.02</v>
      </c>
      <c r="H45" s="112">
        <v>49.06</v>
      </c>
      <c r="I45" s="112">
        <v>10.09</v>
      </c>
      <c r="J45" s="112">
        <v>0.26</v>
      </c>
      <c r="K45" s="112">
        <v>11.23</v>
      </c>
      <c r="L45" s="112">
        <v>29.12</v>
      </c>
      <c r="M45" s="112">
        <v>52.41</v>
      </c>
      <c r="N45" s="112">
        <v>369.6</v>
      </c>
      <c r="O45" s="112">
        <v>0</v>
      </c>
      <c r="P45" s="112">
        <v>0.77</v>
      </c>
      <c r="Q45" s="112">
        <v>4.29</v>
      </c>
    </row>
    <row r="46" spans="1:17" customFormat="1">
      <c r="A46" s="80">
        <v>45598.395833333336</v>
      </c>
      <c r="B46" s="112">
        <v>5.29</v>
      </c>
      <c r="C46" s="112">
        <v>8.06</v>
      </c>
      <c r="D46" s="112">
        <v>14.02</v>
      </c>
      <c r="E46" s="112">
        <v>11.35</v>
      </c>
      <c r="F46" s="112">
        <v>9.0500000000000007</v>
      </c>
      <c r="G46" s="112">
        <v>105.02</v>
      </c>
      <c r="H46" s="112">
        <v>49.06</v>
      </c>
      <c r="I46" s="112">
        <v>10.15</v>
      </c>
      <c r="J46" s="112">
        <v>0.36</v>
      </c>
      <c r="K46" s="112">
        <v>41.09</v>
      </c>
      <c r="L46" s="112">
        <v>29.79</v>
      </c>
      <c r="M46" s="112">
        <v>48.94</v>
      </c>
      <c r="N46" s="112">
        <v>341.9</v>
      </c>
      <c r="O46" s="112">
        <v>0</v>
      </c>
      <c r="P46" s="112">
        <v>0.76</v>
      </c>
      <c r="Q46" s="112">
        <v>4.3</v>
      </c>
    </row>
    <row r="47" spans="1:17" customFormat="1">
      <c r="A47" s="80">
        <v>45598.40625</v>
      </c>
      <c r="B47" s="112">
        <v>5.31</v>
      </c>
      <c r="C47" s="112">
        <v>8.07</v>
      </c>
      <c r="D47" s="112">
        <v>14.05</v>
      </c>
      <c r="E47" s="112">
        <v>12.73</v>
      </c>
      <c r="F47" s="112">
        <v>12.17</v>
      </c>
      <c r="G47" s="112">
        <v>106.5</v>
      </c>
      <c r="H47" s="112">
        <v>44.42</v>
      </c>
      <c r="I47" s="112">
        <v>10.18</v>
      </c>
      <c r="J47" s="112">
        <v>0.36</v>
      </c>
      <c r="K47" s="112">
        <v>28.66</v>
      </c>
      <c r="L47" s="112">
        <v>30.16</v>
      </c>
      <c r="M47" s="112">
        <v>44.66</v>
      </c>
      <c r="N47" s="112">
        <v>449.9</v>
      </c>
      <c r="O47" s="112">
        <v>0</v>
      </c>
      <c r="P47" s="112">
        <v>0.74</v>
      </c>
      <c r="Q47" s="112">
        <v>4.3099999999999996</v>
      </c>
    </row>
    <row r="48" spans="1:17" customFormat="1">
      <c r="A48" s="80">
        <v>45598.416666666664</v>
      </c>
      <c r="B48" s="112">
        <v>5.3</v>
      </c>
      <c r="C48" s="112">
        <v>8.07</v>
      </c>
      <c r="D48" s="112">
        <v>14.03</v>
      </c>
      <c r="E48" s="112">
        <v>11.28</v>
      </c>
      <c r="F48" s="112">
        <v>9.5399999999999991</v>
      </c>
      <c r="G48" s="112">
        <v>107.11</v>
      </c>
      <c r="H48" s="112">
        <v>44.2</v>
      </c>
      <c r="I48" s="112">
        <v>10.029999999999999</v>
      </c>
      <c r="J48" s="112">
        <v>0.19</v>
      </c>
      <c r="K48" s="112">
        <v>286</v>
      </c>
      <c r="L48" s="112">
        <v>30.36</v>
      </c>
      <c r="M48" s="112">
        <v>45.13</v>
      </c>
      <c r="N48" s="112">
        <v>501</v>
      </c>
      <c r="O48" s="112">
        <v>0</v>
      </c>
      <c r="P48" s="112">
        <v>0.73</v>
      </c>
      <c r="Q48" s="112">
        <v>4.28</v>
      </c>
    </row>
    <row r="49" spans="1:17" customFormat="1">
      <c r="A49" s="80">
        <v>45598.427083333336</v>
      </c>
      <c r="B49" s="112">
        <v>5.28</v>
      </c>
      <c r="C49" s="112">
        <v>8.06</v>
      </c>
      <c r="D49" s="112">
        <v>14.01</v>
      </c>
      <c r="E49" s="112">
        <v>10</v>
      </c>
      <c r="F49" s="112">
        <v>12</v>
      </c>
      <c r="G49" s="112">
        <v>107.11</v>
      </c>
      <c r="H49" s="112">
        <v>44.2</v>
      </c>
      <c r="I49" s="112">
        <v>9.89</v>
      </c>
      <c r="J49" s="112">
        <v>0.44</v>
      </c>
      <c r="K49" s="112">
        <v>35.26</v>
      </c>
      <c r="L49" s="112">
        <v>30.86</v>
      </c>
      <c r="M49" s="112">
        <v>43.58</v>
      </c>
      <c r="N49" s="112">
        <v>524.1</v>
      </c>
      <c r="O49" s="112">
        <v>0</v>
      </c>
      <c r="P49" s="112">
        <v>0.71</v>
      </c>
      <c r="Q49" s="112">
        <v>4.29</v>
      </c>
    </row>
    <row r="50" spans="1:17" customFormat="1">
      <c r="A50" s="80">
        <v>45598.4375</v>
      </c>
      <c r="B50" s="112">
        <v>5.25</v>
      </c>
      <c r="C50" s="112">
        <v>8.07</v>
      </c>
      <c r="D50" s="112">
        <v>13.99</v>
      </c>
      <c r="E50" s="112">
        <v>11.14</v>
      </c>
      <c r="F50" s="112">
        <v>8.85</v>
      </c>
      <c r="G50" s="112">
        <v>107.11</v>
      </c>
      <c r="H50" s="112">
        <v>44.2</v>
      </c>
      <c r="I50" s="112">
        <v>9.82</v>
      </c>
      <c r="J50" s="112">
        <v>0.08</v>
      </c>
      <c r="K50" s="112">
        <v>329.4</v>
      </c>
      <c r="L50" s="112">
        <v>31.34</v>
      </c>
      <c r="M50" s="112">
        <v>42.59</v>
      </c>
      <c r="N50" s="112">
        <v>476.3</v>
      </c>
      <c r="O50" s="112">
        <v>0</v>
      </c>
      <c r="P50" s="112">
        <v>0.75</v>
      </c>
      <c r="Q50" s="112">
        <v>4.28</v>
      </c>
    </row>
    <row r="51" spans="1:17" customFormat="1">
      <c r="A51" s="80">
        <v>45598.447916666664</v>
      </c>
      <c r="B51" s="112">
        <v>5.22</v>
      </c>
      <c r="C51" s="112">
        <v>8.09</v>
      </c>
      <c r="D51" s="112">
        <v>13.98</v>
      </c>
      <c r="E51" s="112">
        <v>11.93</v>
      </c>
      <c r="F51" s="112">
        <v>9.56</v>
      </c>
      <c r="G51" s="112">
        <v>95.63</v>
      </c>
      <c r="H51" s="112">
        <v>40.159999999999997</v>
      </c>
      <c r="I51" s="112">
        <v>9.74</v>
      </c>
      <c r="J51" s="112">
        <v>0.25</v>
      </c>
      <c r="K51" s="112">
        <v>166.2</v>
      </c>
      <c r="L51" s="112">
        <v>31.9</v>
      </c>
      <c r="M51" s="112">
        <v>40.86</v>
      </c>
      <c r="N51" s="112">
        <v>498.5</v>
      </c>
      <c r="O51" s="112">
        <v>0</v>
      </c>
      <c r="P51" s="112">
        <v>0.73</v>
      </c>
      <c r="Q51" s="112">
        <v>4.29</v>
      </c>
    </row>
    <row r="52" spans="1:17" customFormat="1">
      <c r="A52" s="80">
        <v>45598.458333333336</v>
      </c>
      <c r="B52" s="112">
        <v>5.2</v>
      </c>
      <c r="C52" s="112">
        <v>8.1</v>
      </c>
      <c r="D52" s="112">
        <v>13.97</v>
      </c>
      <c r="E52" s="112">
        <v>11.72</v>
      </c>
      <c r="F52" s="112">
        <v>10.220000000000001</v>
      </c>
      <c r="G52" s="112">
        <v>90.96</v>
      </c>
      <c r="H52" s="112">
        <v>39.97</v>
      </c>
      <c r="I52" s="112">
        <v>9.69</v>
      </c>
      <c r="J52" s="112">
        <v>0.34</v>
      </c>
      <c r="K52" s="112">
        <v>196.63</v>
      </c>
      <c r="L52" s="112">
        <v>32.07</v>
      </c>
      <c r="M52" s="112">
        <v>40.86</v>
      </c>
      <c r="N52" s="112">
        <v>582.79999999999995</v>
      </c>
      <c r="O52" s="112">
        <v>0</v>
      </c>
      <c r="P52" s="112">
        <v>0.72</v>
      </c>
      <c r="Q52" s="112">
        <v>4.3</v>
      </c>
    </row>
    <row r="53" spans="1:17" customFormat="1">
      <c r="A53" s="80">
        <v>45598.46875</v>
      </c>
      <c r="B53" s="112">
        <v>5.22</v>
      </c>
      <c r="C53" s="112">
        <v>8.1</v>
      </c>
      <c r="D53" s="112">
        <v>13.98</v>
      </c>
      <c r="E53" s="112">
        <v>11.59</v>
      </c>
      <c r="F53" s="112">
        <v>9.81</v>
      </c>
      <c r="G53" s="112">
        <v>90.96</v>
      </c>
      <c r="H53" s="112">
        <v>39.97</v>
      </c>
      <c r="I53" s="112">
        <v>9.58</v>
      </c>
      <c r="J53" s="112">
        <v>0.34</v>
      </c>
      <c r="K53" s="112">
        <v>192.81</v>
      </c>
      <c r="L53" s="112">
        <v>32.380000000000003</v>
      </c>
      <c r="M53" s="112">
        <v>41.25</v>
      </c>
      <c r="N53" s="112">
        <v>582.20000000000005</v>
      </c>
      <c r="O53" s="112">
        <v>0</v>
      </c>
      <c r="P53" s="112">
        <v>0.71</v>
      </c>
      <c r="Q53" s="112">
        <v>4.28</v>
      </c>
    </row>
    <row r="54" spans="1:17" customFormat="1">
      <c r="A54" s="80">
        <v>45598.479166666664</v>
      </c>
      <c r="B54" s="112">
        <v>5.22</v>
      </c>
      <c r="C54" s="112">
        <v>8.07</v>
      </c>
      <c r="D54" s="112">
        <v>13.97</v>
      </c>
      <c r="E54" s="112">
        <v>11.81</v>
      </c>
      <c r="F54" s="112">
        <v>10.11</v>
      </c>
      <c r="G54" s="112">
        <v>90.96</v>
      </c>
      <c r="H54" s="112">
        <v>39.97</v>
      </c>
      <c r="I54" s="112">
        <v>9.49</v>
      </c>
      <c r="J54" s="112">
        <v>0.37</v>
      </c>
      <c r="K54" s="112">
        <v>187.81</v>
      </c>
      <c r="L54" s="112">
        <v>32.49</v>
      </c>
      <c r="M54" s="112">
        <v>41.27</v>
      </c>
      <c r="N54" s="112">
        <v>587.4</v>
      </c>
      <c r="O54" s="112">
        <v>0</v>
      </c>
      <c r="P54" s="112">
        <v>0.72</v>
      </c>
      <c r="Q54" s="112">
        <v>4.28</v>
      </c>
    </row>
    <row r="55" spans="1:17" customFormat="1">
      <c r="A55" s="80">
        <v>45598.489583333336</v>
      </c>
      <c r="B55" s="112">
        <v>5.21</v>
      </c>
      <c r="C55" s="112">
        <v>8.07</v>
      </c>
      <c r="D55" s="112">
        <v>13.97</v>
      </c>
      <c r="E55" s="112">
        <v>12.8</v>
      </c>
      <c r="F55" s="112">
        <v>16.39</v>
      </c>
      <c r="G55" s="112">
        <v>83.3</v>
      </c>
      <c r="H55" s="112">
        <v>35.67</v>
      </c>
      <c r="I55" s="112">
        <v>9.3800000000000008</v>
      </c>
      <c r="J55" s="112">
        <v>0.14000000000000001</v>
      </c>
      <c r="K55" s="112">
        <v>29.09</v>
      </c>
      <c r="L55" s="112">
        <v>32.520000000000003</v>
      </c>
      <c r="M55" s="112">
        <v>39.590000000000003</v>
      </c>
      <c r="N55" s="112">
        <v>583.1</v>
      </c>
      <c r="O55" s="112">
        <v>0</v>
      </c>
      <c r="P55" s="112">
        <v>0.69</v>
      </c>
      <c r="Q55" s="112">
        <v>4.3</v>
      </c>
    </row>
    <row r="56" spans="1:17" customFormat="1">
      <c r="A56" s="80">
        <v>45598.5</v>
      </c>
      <c r="B56" s="112">
        <v>5.22</v>
      </c>
      <c r="C56" s="112">
        <v>8.07</v>
      </c>
      <c r="D56" s="112">
        <v>13.97</v>
      </c>
      <c r="E56" s="112">
        <v>13.24</v>
      </c>
      <c r="F56" s="112">
        <v>12.42</v>
      </c>
      <c r="G56" s="112">
        <v>80.180000000000007</v>
      </c>
      <c r="H56" s="112">
        <v>35.35</v>
      </c>
      <c r="I56" s="112">
        <v>9.26</v>
      </c>
      <c r="J56" s="112">
        <v>0.3</v>
      </c>
      <c r="K56" s="112">
        <v>58.43</v>
      </c>
      <c r="L56" s="112">
        <v>32.74</v>
      </c>
      <c r="M56" s="112">
        <v>38.22</v>
      </c>
      <c r="N56" s="112">
        <v>577.1</v>
      </c>
      <c r="O56" s="112">
        <v>0</v>
      </c>
      <c r="P56" s="112">
        <v>0.68</v>
      </c>
      <c r="Q56" s="112">
        <v>4.29</v>
      </c>
    </row>
    <row r="57" spans="1:17" customFormat="1">
      <c r="A57" s="80">
        <v>45598.510416666664</v>
      </c>
      <c r="B57" s="112">
        <v>5.21</v>
      </c>
      <c r="C57" s="112">
        <v>8.07</v>
      </c>
      <c r="D57" s="112">
        <v>13.96</v>
      </c>
      <c r="E57" s="112">
        <v>13.1</v>
      </c>
      <c r="F57" s="112">
        <v>13.76</v>
      </c>
      <c r="G57" s="112">
        <v>80.180000000000007</v>
      </c>
      <c r="H57" s="112">
        <v>35.35</v>
      </c>
      <c r="I57" s="112">
        <v>9.07</v>
      </c>
      <c r="J57" s="112">
        <v>0.6</v>
      </c>
      <c r="K57" s="112">
        <v>51.41</v>
      </c>
      <c r="L57" s="112">
        <v>32.86</v>
      </c>
      <c r="M57" s="112">
        <v>36.07</v>
      </c>
      <c r="N57" s="112">
        <v>560.6</v>
      </c>
      <c r="O57" s="112">
        <v>0</v>
      </c>
      <c r="P57" s="112">
        <v>0.7</v>
      </c>
      <c r="Q57" s="112">
        <v>4.28</v>
      </c>
    </row>
    <row r="58" spans="1:17" customFormat="1">
      <c r="A58" s="80">
        <v>45598.520833333336</v>
      </c>
      <c r="B58" s="112">
        <v>5.22</v>
      </c>
      <c r="C58" s="112">
        <v>8.06</v>
      </c>
      <c r="D58" s="112">
        <v>13.97</v>
      </c>
      <c r="E58" s="112">
        <v>14.05</v>
      </c>
      <c r="F58" s="112">
        <v>12.14</v>
      </c>
      <c r="G58" s="112">
        <v>80.180000000000007</v>
      </c>
      <c r="H58" s="112">
        <v>35.35</v>
      </c>
      <c r="I58" s="112">
        <v>8.98</v>
      </c>
      <c r="J58" s="112">
        <v>0.24</v>
      </c>
      <c r="K58" s="112">
        <v>46.31</v>
      </c>
      <c r="L58" s="112">
        <v>33.19</v>
      </c>
      <c r="M58" s="112">
        <v>35.5</v>
      </c>
      <c r="N58" s="112">
        <v>541.6</v>
      </c>
      <c r="O58" s="112">
        <v>0</v>
      </c>
      <c r="P58" s="112">
        <v>0.69</v>
      </c>
      <c r="Q58" s="112">
        <v>4.29</v>
      </c>
    </row>
    <row r="59" spans="1:17" customFormat="1">
      <c r="A59" s="80">
        <v>45598.53125</v>
      </c>
      <c r="B59" s="112">
        <v>5.25</v>
      </c>
      <c r="C59" s="112">
        <v>8.09</v>
      </c>
      <c r="D59" s="112">
        <v>14</v>
      </c>
      <c r="E59" s="112">
        <v>12.95</v>
      </c>
      <c r="F59" s="112">
        <v>15.12</v>
      </c>
      <c r="G59" s="112">
        <v>70.760000000000005</v>
      </c>
      <c r="H59" s="112">
        <v>28.78</v>
      </c>
      <c r="I59" s="112">
        <v>8.89</v>
      </c>
      <c r="J59" s="112">
        <v>0.25</v>
      </c>
      <c r="K59" s="112">
        <v>234.18</v>
      </c>
      <c r="L59" s="112">
        <v>33.549999999999997</v>
      </c>
      <c r="M59" s="112">
        <v>38.159999999999997</v>
      </c>
      <c r="N59" s="112">
        <v>514.5</v>
      </c>
      <c r="O59" s="112">
        <v>0</v>
      </c>
      <c r="P59" s="112">
        <v>0.68</v>
      </c>
      <c r="Q59" s="112">
        <v>4.28</v>
      </c>
    </row>
    <row r="60" spans="1:17" customFormat="1">
      <c r="A60" s="80">
        <v>45598.541666666664</v>
      </c>
      <c r="B60" s="112">
        <v>5.25</v>
      </c>
      <c r="C60" s="112">
        <v>8.09</v>
      </c>
      <c r="D60" s="112">
        <v>14</v>
      </c>
      <c r="E60" s="112">
        <v>12.04</v>
      </c>
      <c r="F60" s="112">
        <v>14.81</v>
      </c>
      <c r="G60" s="112">
        <v>66.930000000000007</v>
      </c>
      <c r="H60" s="112">
        <v>28.47</v>
      </c>
      <c r="I60" s="112">
        <v>8.7899999999999991</v>
      </c>
      <c r="J60" s="112">
        <v>0.25</v>
      </c>
      <c r="K60" s="112">
        <v>76.13</v>
      </c>
      <c r="L60" s="112">
        <v>33.380000000000003</v>
      </c>
      <c r="M60" s="112">
        <v>35.06</v>
      </c>
      <c r="N60" s="112">
        <v>479.2</v>
      </c>
      <c r="O60" s="112">
        <v>0</v>
      </c>
      <c r="P60" s="112">
        <v>0.66</v>
      </c>
      <c r="Q60" s="112">
        <v>4.3</v>
      </c>
    </row>
    <row r="61" spans="1:17" customFormat="1">
      <c r="A61" s="80">
        <v>45598.552083333336</v>
      </c>
      <c r="B61" s="112">
        <v>5.22</v>
      </c>
      <c r="C61" s="112">
        <v>8.1</v>
      </c>
      <c r="D61" s="112">
        <v>13.98</v>
      </c>
      <c r="E61" s="112">
        <v>12.51</v>
      </c>
      <c r="F61" s="112">
        <v>16.62</v>
      </c>
      <c r="G61" s="112">
        <v>66.930000000000007</v>
      </c>
      <c r="H61" s="112">
        <v>28.47</v>
      </c>
      <c r="I61" s="112">
        <v>8.6300000000000008</v>
      </c>
      <c r="J61" s="112">
        <v>0.4</v>
      </c>
      <c r="K61" s="112">
        <v>40.049999999999997</v>
      </c>
      <c r="L61" s="112">
        <v>33.65</v>
      </c>
      <c r="M61" s="112">
        <v>28.91</v>
      </c>
      <c r="N61" s="112">
        <v>494.8</v>
      </c>
      <c r="O61" s="112">
        <v>0</v>
      </c>
      <c r="P61" s="112">
        <v>0.65</v>
      </c>
      <c r="Q61" s="112">
        <v>4.3</v>
      </c>
    </row>
    <row r="62" spans="1:17" customFormat="1">
      <c r="A62" s="80">
        <v>45598.5625</v>
      </c>
      <c r="B62" s="112">
        <v>5.21</v>
      </c>
      <c r="C62" s="112">
        <v>8.1</v>
      </c>
      <c r="D62" s="112">
        <v>13.97</v>
      </c>
      <c r="E62" s="112">
        <v>12.18</v>
      </c>
      <c r="F62" s="112">
        <v>11.02</v>
      </c>
      <c r="G62" s="112">
        <v>66.930000000000007</v>
      </c>
      <c r="H62" s="112">
        <v>28.47</v>
      </c>
      <c r="I62" s="112">
        <v>8.34</v>
      </c>
      <c r="J62" s="112">
        <v>0.25</v>
      </c>
      <c r="K62" s="112">
        <v>136.86000000000001</v>
      </c>
      <c r="L62" s="112">
        <v>33.72</v>
      </c>
      <c r="M62" s="112">
        <v>31.68</v>
      </c>
      <c r="N62" s="112">
        <v>480.8</v>
      </c>
      <c r="O62" s="112">
        <v>0</v>
      </c>
      <c r="P62" s="112">
        <v>0.64</v>
      </c>
      <c r="Q62" s="112">
        <v>4.28</v>
      </c>
    </row>
    <row r="63" spans="1:17" customFormat="1">
      <c r="A63" s="80">
        <v>45598.572916666664</v>
      </c>
      <c r="B63" s="112">
        <v>5.22</v>
      </c>
      <c r="C63" s="112">
        <v>8.06</v>
      </c>
      <c r="D63" s="112">
        <v>13.96</v>
      </c>
      <c r="E63" s="112">
        <v>11.76</v>
      </c>
      <c r="F63" s="112">
        <v>13.25</v>
      </c>
      <c r="G63" s="112">
        <v>63.99</v>
      </c>
      <c r="H63" s="112">
        <v>24.09</v>
      </c>
      <c r="I63" s="112">
        <v>8.11</v>
      </c>
      <c r="J63" s="112">
        <v>0.33</v>
      </c>
      <c r="K63" s="112">
        <v>132.46</v>
      </c>
      <c r="L63" s="112">
        <v>33.72</v>
      </c>
      <c r="M63" s="112">
        <v>31.27</v>
      </c>
      <c r="N63" s="112">
        <v>437.1</v>
      </c>
      <c r="O63" s="112">
        <v>0</v>
      </c>
      <c r="P63" s="112">
        <v>0.62</v>
      </c>
      <c r="Q63" s="112">
        <v>4.29</v>
      </c>
    </row>
    <row r="64" spans="1:17" customFormat="1">
      <c r="A64" s="80">
        <v>45598.583333333336</v>
      </c>
      <c r="B64" s="112">
        <v>5.23</v>
      </c>
      <c r="C64" s="112">
        <v>8.0500000000000007</v>
      </c>
      <c r="D64" s="112">
        <v>13.97</v>
      </c>
      <c r="E64" s="112">
        <v>11.85</v>
      </c>
      <c r="F64" s="112">
        <v>17.11</v>
      </c>
      <c r="G64" s="112">
        <v>62.8</v>
      </c>
      <c r="H64" s="112">
        <v>23.88</v>
      </c>
      <c r="I64" s="112">
        <v>7.88</v>
      </c>
      <c r="J64" s="112">
        <v>0.26</v>
      </c>
      <c r="K64" s="112">
        <v>204.15</v>
      </c>
      <c r="L64" s="112">
        <v>33.24</v>
      </c>
      <c r="M64" s="112">
        <v>33.229999999999997</v>
      </c>
      <c r="N64" s="112">
        <v>303.3</v>
      </c>
      <c r="O64" s="112">
        <v>0</v>
      </c>
      <c r="P64" s="112">
        <v>0.6</v>
      </c>
      <c r="Q64" s="112">
        <v>4.3</v>
      </c>
    </row>
    <row r="65" spans="1:17" customFormat="1">
      <c r="A65" s="80">
        <v>45598.59375</v>
      </c>
      <c r="B65" s="112">
        <v>5.22</v>
      </c>
      <c r="C65" s="112">
        <v>8.09</v>
      </c>
      <c r="D65" s="112">
        <v>13.98</v>
      </c>
      <c r="E65" s="112">
        <v>11.58</v>
      </c>
      <c r="F65" s="112">
        <v>16.690000000000001</v>
      </c>
      <c r="G65" s="112">
        <v>62.8</v>
      </c>
      <c r="H65" s="112">
        <v>23.88</v>
      </c>
      <c r="I65" s="112">
        <v>7.62</v>
      </c>
      <c r="J65" s="112">
        <v>0.36</v>
      </c>
      <c r="K65" s="112">
        <v>163.06</v>
      </c>
      <c r="L65" s="112">
        <v>32.96</v>
      </c>
      <c r="M65" s="112">
        <v>34.22</v>
      </c>
      <c r="N65" s="112">
        <v>153.80000000000001</v>
      </c>
      <c r="O65" s="112">
        <v>0</v>
      </c>
      <c r="P65" s="112">
        <v>0.59</v>
      </c>
      <c r="Q65" s="112">
        <v>4.29</v>
      </c>
    </row>
    <row r="66" spans="1:17" customFormat="1">
      <c r="A66" s="80">
        <v>45598.604166666664</v>
      </c>
      <c r="B66" s="112">
        <v>5.23</v>
      </c>
      <c r="C66" s="112">
        <v>8.1</v>
      </c>
      <c r="D66" s="112">
        <v>13.99</v>
      </c>
      <c r="E66" s="112">
        <v>11.77</v>
      </c>
      <c r="F66" s="112">
        <v>19.47</v>
      </c>
      <c r="G66" s="112">
        <v>62.8</v>
      </c>
      <c r="H66" s="112">
        <v>23.88</v>
      </c>
      <c r="I66" s="112">
        <v>7.42</v>
      </c>
      <c r="J66" s="112">
        <v>0.32</v>
      </c>
      <c r="K66" s="112">
        <v>59.28</v>
      </c>
      <c r="L66" s="112">
        <v>32.549999999999997</v>
      </c>
      <c r="M66" s="112">
        <v>33.46</v>
      </c>
      <c r="N66" s="112">
        <v>127.5</v>
      </c>
      <c r="O66" s="112">
        <v>0</v>
      </c>
      <c r="P66" s="112">
        <v>0.57999999999999996</v>
      </c>
      <c r="Q66" s="112">
        <v>4.28</v>
      </c>
    </row>
    <row r="67" spans="1:17" customFormat="1">
      <c r="A67" s="80">
        <v>45598.614583333336</v>
      </c>
      <c r="B67" s="112">
        <v>5.22</v>
      </c>
      <c r="C67" s="112">
        <v>8.11</v>
      </c>
      <c r="D67" s="112">
        <v>13.99</v>
      </c>
      <c r="E67" s="112">
        <v>11.77</v>
      </c>
      <c r="F67" s="112">
        <v>19.45</v>
      </c>
      <c r="G67" s="112">
        <v>58.7</v>
      </c>
      <c r="H67" s="112">
        <v>20.69</v>
      </c>
      <c r="I67" s="112">
        <v>7.15</v>
      </c>
      <c r="J67" s="112">
        <v>0.23</v>
      </c>
      <c r="K67" s="112">
        <v>120.33</v>
      </c>
      <c r="L67" s="112">
        <v>32.6</v>
      </c>
      <c r="M67" s="112">
        <v>35.39</v>
      </c>
      <c r="N67" s="112">
        <v>105.1</v>
      </c>
      <c r="O67" s="112">
        <v>0</v>
      </c>
      <c r="P67" s="112">
        <v>0.56000000000000005</v>
      </c>
      <c r="Q67" s="112">
        <v>4.29</v>
      </c>
    </row>
    <row r="68" spans="1:17" customFormat="1">
      <c r="A68" s="80">
        <v>45598.625</v>
      </c>
      <c r="B68" s="112">
        <v>5.23</v>
      </c>
      <c r="C68" s="112">
        <v>8.1</v>
      </c>
      <c r="D68" s="112">
        <v>13.99</v>
      </c>
      <c r="E68" s="112">
        <v>11.7</v>
      </c>
      <c r="F68" s="112">
        <v>15.05</v>
      </c>
      <c r="G68" s="112">
        <v>57.03</v>
      </c>
      <c r="H68" s="112">
        <v>20.54</v>
      </c>
      <c r="I68" s="112">
        <v>6.83</v>
      </c>
      <c r="J68" s="112">
        <v>0.22</v>
      </c>
      <c r="K68" s="112">
        <v>142.55000000000001</v>
      </c>
      <c r="L68" s="112">
        <v>32.32</v>
      </c>
      <c r="M68" s="112">
        <v>36.17</v>
      </c>
      <c r="N68" s="112">
        <v>95.8</v>
      </c>
      <c r="O68" s="112">
        <v>0</v>
      </c>
      <c r="P68" s="112">
        <v>0.56000000000000005</v>
      </c>
      <c r="Q68" s="112">
        <v>4.3</v>
      </c>
    </row>
    <row r="69" spans="1:17" customFormat="1">
      <c r="A69" s="80">
        <v>45598.635416666664</v>
      </c>
      <c r="B69" s="112">
        <v>5.26</v>
      </c>
      <c r="C69" s="112">
        <v>8.06</v>
      </c>
      <c r="D69" s="112">
        <v>14</v>
      </c>
      <c r="E69" s="112">
        <v>11.58</v>
      </c>
      <c r="F69" s="112">
        <v>14.83</v>
      </c>
      <c r="G69" s="112">
        <v>57.03</v>
      </c>
      <c r="H69" s="112">
        <v>20.54</v>
      </c>
      <c r="I69" s="112">
        <v>6.78</v>
      </c>
      <c r="J69" s="112">
        <v>0.3</v>
      </c>
      <c r="K69" s="112">
        <v>182.37</v>
      </c>
      <c r="L69" s="112">
        <v>31.53</v>
      </c>
      <c r="M69" s="112">
        <v>39.54</v>
      </c>
      <c r="N69" s="112">
        <v>83</v>
      </c>
      <c r="O69" s="112">
        <v>0</v>
      </c>
      <c r="P69" s="112">
        <v>0.55000000000000004</v>
      </c>
      <c r="Q69" s="112">
        <v>4.29</v>
      </c>
    </row>
    <row r="70" spans="1:17" customFormat="1">
      <c r="A70" s="80">
        <v>45598.645833333336</v>
      </c>
      <c r="B70" s="112">
        <v>5.25</v>
      </c>
      <c r="C70" s="112">
        <v>8.07</v>
      </c>
      <c r="D70" s="112">
        <v>14</v>
      </c>
      <c r="E70" s="112">
        <v>11.73</v>
      </c>
      <c r="F70" s="112">
        <v>16.170000000000002</v>
      </c>
      <c r="G70" s="112">
        <v>57.03</v>
      </c>
      <c r="H70" s="112">
        <v>20.54</v>
      </c>
      <c r="I70" s="112">
        <v>6.83</v>
      </c>
      <c r="J70" s="112">
        <v>0.24</v>
      </c>
      <c r="K70" s="112">
        <v>180.84</v>
      </c>
      <c r="L70" s="112">
        <v>30.96</v>
      </c>
      <c r="M70" s="112">
        <v>41.83</v>
      </c>
      <c r="N70" s="112">
        <v>66.099999999999994</v>
      </c>
      <c r="O70" s="112">
        <v>0</v>
      </c>
      <c r="P70" s="112">
        <v>0.54</v>
      </c>
      <c r="Q70" s="112">
        <v>4.29</v>
      </c>
    </row>
    <row r="71" spans="1:17" customFormat="1">
      <c r="A71" s="80">
        <v>45598.65625</v>
      </c>
      <c r="B71" s="112">
        <v>5.26</v>
      </c>
      <c r="C71" s="112">
        <v>8.08</v>
      </c>
      <c r="D71" s="112">
        <v>14.01</v>
      </c>
      <c r="E71" s="112">
        <v>11.55</v>
      </c>
      <c r="F71" s="112">
        <v>13.14</v>
      </c>
      <c r="G71" s="112">
        <v>54.13</v>
      </c>
      <c r="H71" s="112">
        <v>22.3</v>
      </c>
      <c r="I71" s="112">
        <v>6.7</v>
      </c>
      <c r="J71" s="112">
        <v>0.21</v>
      </c>
      <c r="K71" s="112">
        <v>162.65</v>
      </c>
      <c r="L71" s="112">
        <v>30.45</v>
      </c>
      <c r="M71" s="112">
        <v>44.78</v>
      </c>
      <c r="N71" s="112">
        <v>55.4</v>
      </c>
      <c r="O71" s="112">
        <v>0</v>
      </c>
      <c r="P71" s="112">
        <v>0.55000000000000004</v>
      </c>
      <c r="Q71" s="112">
        <v>4.3</v>
      </c>
    </row>
    <row r="72" spans="1:17" customFormat="1">
      <c r="A72" s="80">
        <v>45598.666666666664</v>
      </c>
      <c r="B72" s="112">
        <v>5.27</v>
      </c>
      <c r="C72" s="112">
        <v>8.07</v>
      </c>
      <c r="D72" s="112">
        <v>14.01</v>
      </c>
      <c r="E72" s="112">
        <v>11.68</v>
      </c>
      <c r="F72" s="112">
        <v>17.2</v>
      </c>
      <c r="G72" s="112">
        <v>52.95</v>
      </c>
      <c r="H72" s="112">
        <v>22.44</v>
      </c>
      <c r="I72" s="112">
        <v>6.5</v>
      </c>
      <c r="J72" s="112">
        <v>0.24</v>
      </c>
      <c r="K72" s="112">
        <v>159.02000000000001</v>
      </c>
      <c r="L72" s="112">
        <v>30.37</v>
      </c>
      <c r="M72" s="112">
        <v>45.31</v>
      </c>
      <c r="N72" s="112">
        <v>40.700000000000003</v>
      </c>
      <c r="O72" s="112">
        <v>0</v>
      </c>
      <c r="P72" s="112">
        <v>0.53</v>
      </c>
      <c r="Q72" s="112">
        <v>4.29</v>
      </c>
    </row>
    <row r="73" spans="1:17" customFormat="1">
      <c r="A73" s="80">
        <v>45598.677083333336</v>
      </c>
      <c r="B73" s="112">
        <v>5.26</v>
      </c>
      <c r="C73" s="112">
        <v>8.07</v>
      </c>
      <c r="D73" s="112">
        <v>14</v>
      </c>
      <c r="E73" s="112">
        <v>11.87</v>
      </c>
      <c r="F73" s="112">
        <v>14.19</v>
      </c>
      <c r="G73" s="112">
        <v>52.95</v>
      </c>
      <c r="H73" s="112">
        <v>22.44</v>
      </c>
      <c r="I73" s="112">
        <v>6.31</v>
      </c>
      <c r="J73" s="112">
        <v>0.24</v>
      </c>
      <c r="K73" s="112">
        <v>158.19999999999999</v>
      </c>
      <c r="L73" s="112">
        <v>30.04</v>
      </c>
      <c r="M73" s="112">
        <v>44.64</v>
      </c>
      <c r="N73" s="112">
        <v>34.700000000000003</v>
      </c>
      <c r="O73" s="112">
        <v>0</v>
      </c>
      <c r="P73" s="112">
        <v>0.53</v>
      </c>
      <c r="Q73" s="112">
        <v>4.28</v>
      </c>
    </row>
    <row r="74" spans="1:17" customFormat="1">
      <c r="A74" s="80">
        <v>45598.6875</v>
      </c>
      <c r="B74" s="112">
        <v>5.25</v>
      </c>
      <c r="C74" s="112">
        <v>8.07</v>
      </c>
      <c r="D74" s="112">
        <v>14</v>
      </c>
      <c r="E74" s="112">
        <v>12.14</v>
      </c>
      <c r="F74" s="112">
        <v>15.11</v>
      </c>
      <c r="G74" s="112">
        <v>52.95</v>
      </c>
      <c r="H74" s="112">
        <v>22.44</v>
      </c>
      <c r="I74" s="112">
        <v>6.19</v>
      </c>
      <c r="J74" s="112">
        <v>0.3</v>
      </c>
      <c r="K74" s="112">
        <v>165.01</v>
      </c>
      <c r="L74" s="112">
        <v>29.76</v>
      </c>
      <c r="M74" s="112">
        <v>45.49</v>
      </c>
      <c r="N74" s="112">
        <v>25.6</v>
      </c>
      <c r="O74" s="112">
        <v>0</v>
      </c>
      <c r="P74" s="112">
        <v>0.52</v>
      </c>
      <c r="Q74" s="112">
        <v>4.28</v>
      </c>
    </row>
    <row r="75" spans="1:17" customFormat="1">
      <c r="A75" s="80">
        <v>45598.697916666664</v>
      </c>
      <c r="B75" s="112">
        <v>5.25</v>
      </c>
      <c r="C75" s="112">
        <v>8.08</v>
      </c>
      <c r="D75" s="112">
        <v>14</v>
      </c>
      <c r="E75" s="112">
        <v>11.69</v>
      </c>
      <c r="F75" s="112">
        <v>12.5</v>
      </c>
      <c r="G75" s="112">
        <v>53.25</v>
      </c>
      <c r="H75" s="112">
        <v>20.21</v>
      </c>
      <c r="I75" s="112">
        <v>6.05</v>
      </c>
      <c r="J75" s="112">
        <v>0.23</v>
      </c>
      <c r="K75" s="112">
        <v>177.36</v>
      </c>
      <c r="L75" s="112">
        <v>29.12</v>
      </c>
      <c r="M75" s="112">
        <v>48.91</v>
      </c>
      <c r="N75" s="112">
        <v>16.5</v>
      </c>
      <c r="O75" s="112">
        <v>0</v>
      </c>
      <c r="P75" s="112">
        <v>0.51</v>
      </c>
      <c r="Q75" s="112">
        <v>4.29</v>
      </c>
    </row>
    <row r="76" spans="1:17" customFormat="1">
      <c r="A76" s="80">
        <v>45598.708333333336</v>
      </c>
      <c r="B76" s="112">
        <v>5.24</v>
      </c>
      <c r="C76" s="112">
        <v>8.06</v>
      </c>
      <c r="D76" s="112">
        <v>13.98</v>
      </c>
      <c r="E76" s="112">
        <v>11.9</v>
      </c>
      <c r="F76" s="112">
        <v>10.78</v>
      </c>
      <c r="G76" s="112">
        <v>53.37</v>
      </c>
      <c r="H76" s="112">
        <v>20.11</v>
      </c>
      <c r="I76" s="112">
        <v>5.95</v>
      </c>
      <c r="J76" s="112">
        <v>0.2</v>
      </c>
      <c r="K76" s="112">
        <v>174.35</v>
      </c>
      <c r="L76" s="112">
        <v>28.31</v>
      </c>
      <c r="M76" s="112">
        <v>53.19</v>
      </c>
      <c r="N76" s="112">
        <v>9.1999999999999993</v>
      </c>
      <c r="O76" s="112">
        <v>0</v>
      </c>
      <c r="P76" s="112">
        <v>0.52</v>
      </c>
      <c r="Q76" s="112">
        <v>4.29</v>
      </c>
    </row>
    <row r="77" spans="1:17" customFormat="1">
      <c r="A77" s="80">
        <v>45598.71875</v>
      </c>
      <c r="B77" s="112">
        <v>5.25</v>
      </c>
      <c r="C77" s="112">
        <v>8.0500000000000007</v>
      </c>
      <c r="D77" s="112">
        <v>13.98</v>
      </c>
      <c r="E77" s="112">
        <v>11.27</v>
      </c>
      <c r="F77" s="112">
        <v>9.56</v>
      </c>
      <c r="G77" s="112">
        <v>53.37</v>
      </c>
      <c r="H77" s="112">
        <v>20.11</v>
      </c>
      <c r="I77" s="112">
        <v>5.92</v>
      </c>
      <c r="J77" s="112">
        <v>0.18</v>
      </c>
      <c r="K77" s="112">
        <v>172.09</v>
      </c>
      <c r="L77" s="112">
        <v>27.75</v>
      </c>
      <c r="M77" s="112">
        <v>52.75</v>
      </c>
      <c r="N77" s="112">
        <v>4.2</v>
      </c>
      <c r="O77" s="112">
        <v>0</v>
      </c>
      <c r="P77" s="112">
        <v>0.51</v>
      </c>
      <c r="Q77" s="112">
        <v>4.28</v>
      </c>
    </row>
    <row r="78" spans="1:17" customFormat="1">
      <c r="A78" s="80">
        <v>45598.729166666664</v>
      </c>
      <c r="B78" s="112">
        <v>5.24</v>
      </c>
      <c r="C78" s="112">
        <v>8.07</v>
      </c>
      <c r="D78" s="112">
        <v>13.99</v>
      </c>
      <c r="E78" s="112">
        <v>11.45</v>
      </c>
      <c r="F78" s="112">
        <v>9.94</v>
      </c>
      <c r="G78" s="112">
        <v>53.37</v>
      </c>
      <c r="H78" s="112">
        <v>20.11</v>
      </c>
      <c r="I78" s="112">
        <v>5.9</v>
      </c>
      <c r="J78" s="112">
        <v>0.22</v>
      </c>
      <c r="K78" s="112">
        <v>164.79</v>
      </c>
      <c r="L78" s="112">
        <v>27.62</v>
      </c>
      <c r="M78" s="112">
        <v>53.95</v>
      </c>
      <c r="N78" s="112">
        <v>2.2000000000000002</v>
      </c>
      <c r="O78" s="112">
        <v>0</v>
      </c>
      <c r="P78" s="112">
        <v>0.51</v>
      </c>
      <c r="Q78" s="112">
        <v>4.28</v>
      </c>
    </row>
    <row r="79" spans="1:17" customFormat="1">
      <c r="A79" s="80">
        <v>45598.739583333336</v>
      </c>
      <c r="B79" s="112">
        <v>5.26</v>
      </c>
      <c r="C79" s="112">
        <v>8.0500000000000007</v>
      </c>
      <c r="D79" s="112">
        <v>13.99</v>
      </c>
      <c r="E79" s="112">
        <v>12.23</v>
      </c>
      <c r="F79" s="112">
        <v>13.2</v>
      </c>
      <c r="G79" s="112">
        <v>53.38</v>
      </c>
      <c r="H79" s="112">
        <v>18.43</v>
      </c>
      <c r="I79" s="112">
        <v>5.86</v>
      </c>
      <c r="J79" s="112">
        <v>0.25</v>
      </c>
      <c r="K79" s="112">
        <v>156.86000000000001</v>
      </c>
      <c r="L79" s="112">
        <v>27.4</v>
      </c>
      <c r="M79" s="112">
        <v>55.79</v>
      </c>
      <c r="N79" s="112">
        <v>1.9</v>
      </c>
      <c r="O79" s="112">
        <v>0</v>
      </c>
      <c r="P79" s="112">
        <v>0.52</v>
      </c>
      <c r="Q79" s="112">
        <v>4.28</v>
      </c>
    </row>
    <row r="80" spans="1:17" customFormat="1">
      <c r="A80" s="80">
        <v>45598.75</v>
      </c>
      <c r="B80" s="112">
        <v>5.28</v>
      </c>
      <c r="C80" s="112">
        <v>8.06</v>
      </c>
      <c r="D80" s="112">
        <v>14.02</v>
      </c>
      <c r="E80" s="112">
        <v>11.62</v>
      </c>
      <c r="F80" s="112">
        <v>10.32</v>
      </c>
      <c r="G80" s="112">
        <v>53.38</v>
      </c>
      <c r="H80" s="112">
        <v>18.3</v>
      </c>
      <c r="I80" s="112">
        <v>5.77</v>
      </c>
      <c r="J80" s="112">
        <v>0.24</v>
      </c>
      <c r="K80" s="112">
        <v>170.71</v>
      </c>
      <c r="L80" s="112">
        <v>27.02</v>
      </c>
      <c r="M80" s="112">
        <v>54.28</v>
      </c>
      <c r="N80" s="112">
        <v>2</v>
      </c>
      <c r="O80" s="112">
        <v>0</v>
      </c>
      <c r="P80" s="112">
        <v>0.5</v>
      </c>
      <c r="Q80" s="112">
        <v>4.29</v>
      </c>
    </row>
    <row r="81" spans="1:17" customFormat="1">
      <c r="A81" s="80">
        <v>45598.760416666664</v>
      </c>
      <c r="B81" s="112">
        <v>5.25</v>
      </c>
      <c r="C81" s="112">
        <v>8.06</v>
      </c>
      <c r="D81" s="112">
        <v>13.99</v>
      </c>
      <c r="E81" s="112">
        <v>8.9499999999999993</v>
      </c>
      <c r="F81" s="112">
        <v>10.53</v>
      </c>
      <c r="G81" s="112">
        <v>53.38</v>
      </c>
      <c r="H81" s="112">
        <v>18.3</v>
      </c>
      <c r="I81" s="112">
        <v>5.83</v>
      </c>
      <c r="J81" s="112">
        <v>0.16</v>
      </c>
      <c r="K81" s="112">
        <v>174.86</v>
      </c>
      <c r="L81" s="112">
        <v>26.51</v>
      </c>
      <c r="M81" s="112">
        <v>65.349999999999994</v>
      </c>
      <c r="N81" s="112">
        <v>2.1</v>
      </c>
      <c r="O81" s="112">
        <v>0</v>
      </c>
      <c r="P81" s="112">
        <v>0.48</v>
      </c>
      <c r="Q81" s="112">
        <v>4.3</v>
      </c>
    </row>
    <row r="82" spans="1:17" customFormat="1">
      <c r="A82" s="80">
        <v>45598.770833333336</v>
      </c>
      <c r="B82" s="112">
        <v>5.22</v>
      </c>
      <c r="C82" s="112">
        <v>8.09</v>
      </c>
      <c r="D82" s="112">
        <v>13.98</v>
      </c>
      <c r="E82" s="112">
        <v>9.9700000000000006</v>
      </c>
      <c r="F82" s="112">
        <v>8.66</v>
      </c>
      <c r="G82" s="112">
        <v>53.38</v>
      </c>
      <c r="H82" s="112">
        <v>18.3</v>
      </c>
      <c r="I82" s="112">
        <v>5.92</v>
      </c>
      <c r="J82" s="112">
        <v>0.19</v>
      </c>
      <c r="K82" s="112">
        <v>178.72</v>
      </c>
      <c r="L82" s="112">
        <v>26.13</v>
      </c>
      <c r="M82" s="112">
        <v>65.61</v>
      </c>
      <c r="N82" s="112">
        <v>1.9</v>
      </c>
      <c r="O82" s="112">
        <v>0</v>
      </c>
      <c r="P82" s="112">
        <v>0.51</v>
      </c>
      <c r="Q82" s="112">
        <v>4.28</v>
      </c>
    </row>
    <row r="83" spans="1:17" customFormat="1">
      <c r="A83" s="80">
        <v>45598.78125</v>
      </c>
      <c r="B83" s="112">
        <v>5.22</v>
      </c>
      <c r="C83" s="112">
        <v>8.08</v>
      </c>
      <c r="D83" s="112">
        <v>13.98</v>
      </c>
      <c r="E83" s="112">
        <v>9.98</v>
      </c>
      <c r="F83" s="112">
        <v>10.59</v>
      </c>
      <c r="G83" s="112">
        <v>56.33</v>
      </c>
      <c r="H83" s="112">
        <v>18.41</v>
      </c>
      <c r="I83" s="112">
        <v>5.96</v>
      </c>
      <c r="J83" s="112">
        <v>0.17</v>
      </c>
      <c r="K83" s="112">
        <v>209.05</v>
      </c>
      <c r="L83" s="112">
        <v>25.68</v>
      </c>
      <c r="M83" s="112">
        <v>68.03</v>
      </c>
      <c r="N83" s="112">
        <v>2</v>
      </c>
      <c r="O83" s="112">
        <v>0</v>
      </c>
      <c r="P83" s="112">
        <v>0.48</v>
      </c>
      <c r="Q83" s="112">
        <v>4.3</v>
      </c>
    </row>
    <row r="84" spans="1:17" customFormat="1">
      <c r="A84" s="80">
        <v>45598.791666666664</v>
      </c>
      <c r="B84" s="112">
        <v>5.2</v>
      </c>
      <c r="C84" s="112">
        <v>8.08</v>
      </c>
      <c r="D84" s="112">
        <v>13.96</v>
      </c>
      <c r="E84" s="112">
        <v>9.94</v>
      </c>
      <c r="F84" s="112">
        <v>7.57</v>
      </c>
      <c r="G84" s="112">
        <v>57.54</v>
      </c>
      <c r="H84" s="112">
        <v>18.41</v>
      </c>
      <c r="I84" s="112">
        <v>6</v>
      </c>
      <c r="J84" s="112">
        <v>0.16</v>
      </c>
      <c r="K84" s="112">
        <v>190.19</v>
      </c>
      <c r="L84" s="112">
        <v>25.45</v>
      </c>
      <c r="M84" s="112">
        <v>70.319999999999993</v>
      </c>
      <c r="N84" s="112">
        <v>1.7</v>
      </c>
      <c r="O84" s="112">
        <v>0</v>
      </c>
      <c r="P84" s="112">
        <v>0.5</v>
      </c>
      <c r="Q84" s="112">
        <v>4.3</v>
      </c>
    </row>
    <row r="85" spans="1:17" customFormat="1">
      <c r="A85" s="80">
        <v>45598.802083333336</v>
      </c>
      <c r="B85" s="112">
        <v>5.2</v>
      </c>
      <c r="C85" s="112">
        <v>8.08</v>
      </c>
      <c r="D85" s="112">
        <v>13.96</v>
      </c>
      <c r="E85" s="112">
        <v>9.51</v>
      </c>
      <c r="F85" s="112">
        <v>6.44</v>
      </c>
      <c r="G85" s="112">
        <v>57.54</v>
      </c>
      <c r="H85" s="112">
        <v>18.41</v>
      </c>
      <c r="I85" s="112">
        <v>6.01</v>
      </c>
      <c r="J85" s="112">
        <v>0.17</v>
      </c>
      <c r="K85" s="112">
        <v>181.49</v>
      </c>
      <c r="L85" s="112">
        <v>25.13</v>
      </c>
      <c r="M85" s="112">
        <v>77.069999999999993</v>
      </c>
      <c r="N85" s="112">
        <v>1.7</v>
      </c>
      <c r="O85" s="112">
        <v>0</v>
      </c>
      <c r="P85" s="112">
        <v>0.5</v>
      </c>
      <c r="Q85" s="112">
        <v>4.29</v>
      </c>
    </row>
    <row r="86" spans="1:17" customFormat="1">
      <c r="A86" s="80">
        <v>45598.8125</v>
      </c>
      <c r="B86" s="112">
        <v>5.2</v>
      </c>
      <c r="C86" s="112">
        <v>8.06</v>
      </c>
      <c r="D86" s="112">
        <v>13.95</v>
      </c>
      <c r="E86" s="112">
        <v>9.7799999999999994</v>
      </c>
      <c r="F86" s="112">
        <v>6.66</v>
      </c>
      <c r="G86" s="112">
        <v>57.54</v>
      </c>
      <c r="H86" s="112">
        <v>18.41</v>
      </c>
      <c r="I86" s="112">
        <v>6.11</v>
      </c>
      <c r="J86" s="112">
        <v>0.14000000000000001</v>
      </c>
      <c r="K86" s="112">
        <v>189.29</v>
      </c>
      <c r="L86" s="112">
        <v>24.99</v>
      </c>
      <c r="M86" s="112">
        <v>72.11</v>
      </c>
      <c r="N86" s="112">
        <v>1.6</v>
      </c>
      <c r="O86" s="112">
        <v>0</v>
      </c>
      <c r="P86" s="112">
        <v>0.51</v>
      </c>
      <c r="Q86" s="112">
        <v>4.29</v>
      </c>
    </row>
    <row r="87" spans="1:17" customFormat="1">
      <c r="A87" s="80">
        <v>45598.822916666664</v>
      </c>
      <c r="B87" s="112">
        <v>5.2</v>
      </c>
      <c r="C87" s="112">
        <v>8.06</v>
      </c>
      <c r="D87" s="112">
        <v>13.95</v>
      </c>
      <c r="E87" s="112">
        <v>10.24</v>
      </c>
      <c r="F87" s="112">
        <v>6.48</v>
      </c>
      <c r="G87" s="112">
        <v>56.23</v>
      </c>
      <c r="H87" s="112">
        <v>18.329999999999998</v>
      </c>
      <c r="I87" s="112">
        <v>6.17</v>
      </c>
      <c r="J87" s="112">
        <v>0.17</v>
      </c>
      <c r="K87" s="112">
        <v>183.05</v>
      </c>
      <c r="L87" s="112">
        <v>24.83</v>
      </c>
      <c r="M87" s="112">
        <v>77.14</v>
      </c>
      <c r="N87" s="112">
        <v>1.7</v>
      </c>
      <c r="O87" s="112">
        <v>0</v>
      </c>
      <c r="P87" s="112">
        <v>0.51</v>
      </c>
      <c r="Q87" s="112">
        <v>4.3</v>
      </c>
    </row>
    <row r="88" spans="1:17" customFormat="1">
      <c r="A88" s="80">
        <v>45598.833333333336</v>
      </c>
      <c r="B88" s="112">
        <v>5.21</v>
      </c>
      <c r="C88" s="112">
        <v>8.06</v>
      </c>
      <c r="D88" s="112">
        <v>13.96</v>
      </c>
      <c r="E88" s="112">
        <v>10.220000000000001</v>
      </c>
      <c r="F88" s="112">
        <v>6.46</v>
      </c>
      <c r="G88" s="112">
        <v>55.7</v>
      </c>
      <c r="H88" s="112">
        <v>18.329999999999998</v>
      </c>
      <c r="I88" s="112">
        <v>6.24</v>
      </c>
      <c r="J88" s="112">
        <v>0.12</v>
      </c>
      <c r="K88" s="112">
        <v>204.98</v>
      </c>
      <c r="L88" s="112">
        <v>24.57</v>
      </c>
      <c r="M88" s="112">
        <v>76.66</v>
      </c>
      <c r="N88" s="112">
        <v>1.7</v>
      </c>
      <c r="O88" s="112">
        <v>0</v>
      </c>
      <c r="P88" s="112">
        <v>0.5</v>
      </c>
      <c r="Q88" s="112">
        <v>4.3</v>
      </c>
    </row>
    <row r="89" spans="1:17" customFormat="1">
      <c r="A89" s="80">
        <v>45598.84375</v>
      </c>
      <c r="B89" s="112">
        <v>5.21</v>
      </c>
      <c r="C89" s="112">
        <v>8.0500000000000007</v>
      </c>
      <c r="D89" s="112">
        <v>13.95</v>
      </c>
      <c r="E89" s="112">
        <v>10.19</v>
      </c>
      <c r="F89" s="112">
        <v>5.91</v>
      </c>
      <c r="G89" s="112">
        <v>55.7</v>
      </c>
      <c r="H89" s="112">
        <v>18.329999999999998</v>
      </c>
      <c r="I89" s="112">
        <v>6.29</v>
      </c>
      <c r="J89" s="112">
        <v>0.15</v>
      </c>
      <c r="K89" s="112">
        <v>231.8</v>
      </c>
      <c r="L89" s="112">
        <v>24.23</v>
      </c>
      <c r="M89" s="112">
        <v>77.77</v>
      </c>
      <c r="N89" s="112">
        <v>1.7</v>
      </c>
      <c r="O89" s="112">
        <v>0</v>
      </c>
      <c r="P89" s="112">
        <v>0.52</v>
      </c>
      <c r="Q89" s="112">
        <v>4.29</v>
      </c>
    </row>
    <row r="90" spans="1:17" customFormat="1">
      <c r="A90" s="80">
        <v>45598.854166666664</v>
      </c>
      <c r="B90" s="112">
        <v>5.21</v>
      </c>
      <c r="C90" s="112">
        <v>8.07</v>
      </c>
      <c r="D90" s="112">
        <v>13.96</v>
      </c>
      <c r="E90" s="112">
        <v>9.99</v>
      </c>
      <c r="F90" s="112">
        <v>6.12</v>
      </c>
      <c r="G90" s="112">
        <v>55.7</v>
      </c>
      <c r="H90" s="112">
        <v>18.329999999999998</v>
      </c>
      <c r="I90" s="112">
        <v>6.34</v>
      </c>
      <c r="J90" s="112">
        <v>0.17</v>
      </c>
      <c r="K90" s="112">
        <v>205.47</v>
      </c>
      <c r="L90" s="112">
        <v>24.1</v>
      </c>
      <c r="M90" s="112">
        <v>76.48</v>
      </c>
      <c r="N90" s="112">
        <v>1.6</v>
      </c>
      <c r="O90" s="112">
        <v>0</v>
      </c>
      <c r="P90" s="112">
        <v>0.52</v>
      </c>
      <c r="Q90" s="112">
        <v>4.3099999999999996</v>
      </c>
    </row>
    <row r="91" spans="1:17" customFormat="1">
      <c r="A91" s="80">
        <v>45598.864583333336</v>
      </c>
      <c r="B91" s="112">
        <v>5.22</v>
      </c>
      <c r="C91" s="112">
        <v>8.0500000000000007</v>
      </c>
      <c r="D91" s="112">
        <v>13.96</v>
      </c>
      <c r="E91" s="112">
        <v>9.7799999999999994</v>
      </c>
      <c r="F91" s="112">
        <v>6.01</v>
      </c>
      <c r="G91" s="112">
        <v>62.24</v>
      </c>
      <c r="H91" s="112">
        <v>24.67</v>
      </c>
      <c r="I91" s="112">
        <v>6.43</v>
      </c>
      <c r="J91" s="112">
        <v>0.2</v>
      </c>
      <c r="K91" s="112">
        <v>139.59</v>
      </c>
      <c r="L91" s="112">
        <v>24.35</v>
      </c>
      <c r="M91" s="112">
        <v>79.78</v>
      </c>
      <c r="N91" s="112">
        <v>1.3</v>
      </c>
      <c r="O91" s="112">
        <v>0</v>
      </c>
      <c r="P91" s="112">
        <v>0.54</v>
      </c>
      <c r="Q91" s="112">
        <v>4.29</v>
      </c>
    </row>
    <row r="92" spans="1:17" customFormat="1">
      <c r="A92" s="80">
        <v>45598.875</v>
      </c>
      <c r="B92" s="112">
        <v>5.22</v>
      </c>
      <c r="C92" s="112">
        <v>8.0399999999999991</v>
      </c>
      <c r="D92" s="112">
        <v>13.95</v>
      </c>
      <c r="E92" s="112">
        <v>10.26</v>
      </c>
      <c r="F92" s="112">
        <v>5.89</v>
      </c>
      <c r="G92" s="112">
        <v>64.900000000000006</v>
      </c>
      <c r="H92" s="112">
        <v>24.97</v>
      </c>
      <c r="I92" s="112">
        <v>6.47</v>
      </c>
      <c r="J92" s="112">
        <v>0.17</v>
      </c>
      <c r="K92" s="112">
        <v>174.81</v>
      </c>
      <c r="L92" s="112">
        <v>24.47</v>
      </c>
      <c r="M92" s="112">
        <v>73.83</v>
      </c>
      <c r="N92" s="112">
        <v>1.5</v>
      </c>
      <c r="O92" s="112">
        <v>0</v>
      </c>
      <c r="P92" s="112">
        <v>0.54</v>
      </c>
      <c r="Q92" s="112">
        <v>4.3</v>
      </c>
    </row>
    <row r="93" spans="1:17" customFormat="1">
      <c r="A93" s="80">
        <v>45598.885416666664</v>
      </c>
      <c r="B93" s="112">
        <v>5.2</v>
      </c>
      <c r="C93" s="112">
        <v>8.06</v>
      </c>
      <c r="D93" s="112">
        <v>13.95</v>
      </c>
      <c r="E93" s="112">
        <v>10.25</v>
      </c>
      <c r="F93" s="112">
        <v>5.84</v>
      </c>
      <c r="G93" s="112">
        <v>64.900000000000006</v>
      </c>
      <c r="H93" s="112">
        <v>24.97</v>
      </c>
      <c r="I93" s="112">
        <v>6.56</v>
      </c>
      <c r="J93" s="112">
        <v>0.17</v>
      </c>
      <c r="K93" s="112">
        <v>158.79</v>
      </c>
      <c r="L93" s="112">
        <v>24.34</v>
      </c>
      <c r="M93" s="112">
        <v>77.23</v>
      </c>
      <c r="N93" s="112">
        <v>1.7</v>
      </c>
      <c r="O93" s="112">
        <v>0</v>
      </c>
      <c r="P93" s="112">
        <v>0.55000000000000004</v>
      </c>
      <c r="Q93" s="112">
        <v>4.28</v>
      </c>
    </row>
    <row r="94" spans="1:17" customFormat="1">
      <c r="A94" s="80">
        <v>45598.895833333336</v>
      </c>
      <c r="B94" s="112">
        <v>5.22</v>
      </c>
      <c r="C94" s="112">
        <v>8.07</v>
      </c>
      <c r="D94" s="112">
        <v>13.97</v>
      </c>
      <c r="E94" s="112">
        <v>10.27</v>
      </c>
      <c r="F94" s="112">
        <v>6.03</v>
      </c>
      <c r="G94" s="112">
        <v>64.900000000000006</v>
      </c>
      <c r="H94" s="112">
        <v>24.97</v>
      </c>
      <c r="I94" s="112">
        <v>6.66</v>
      </c>
      <c r="J94" s="112">
        <v>0.12</v>
      </c>
      <c r="K94" s="112">
        <v>195.87</v>
      </c>
      <c r="L94" s="112">
        <v>24.08</v>
      </c>
      <c r="M94" s="112">
        <v>76.400000000000006</v>
      </c>
      <c r="N94" s="112">
        <v>1.7</v>
      </c>
      <c r="O94" s="112">
        <v>0</v>
      </c>
      <c r="P94" s="112">
        <v>0.55000000000000004</v>
      </c>
      <c r="Q94" s="112">
        <v>4.3</v>
      </c>
    </row>
    <row r="95" spans="1:17" customFormat="1">
      <c r="A95" s="80">
        <v>45598.90625</v>
      </c>
      <c r="B95" s="112">
        <v>5.22</v>
      </c>
      <c r="C95" s="112">
        <v>8.08</v>
      </c>
      <c r="D95" s="112">
        <v>13.97</v>
      </c>
      <c r="E95" s="112">
        <v>10.09</v>
      </c>
      <c r="F95" s="112">
        <v>5.8</v>
      </c>
      <c r="G95" s="112">
        <v>69.67</v>
      </c>
      <c r="H95" s="112">
        <v>30.04</v>
      </c>
      <c r="I95" s="112">
        <v>6.73</v>
      </c>
      <c r="J95" s="112">
        <v>0.11</v>
      </c>
      <c r="K95" s="112">
        <v>202.02</v>
      </c>
      <c r="L95" s="112">
        <v>23.88</v>
      </c>
      <c r="M95" s="112">
        <v>80.37</v>
      </c>
      <c r="N95" s="112">
        <v>1.7</v>
      </c>
      <c r="O95" s="112">
        <v>0</v>
      </c>
      <c r="P95" s="112">
        <v>0.56999999999999995</v>
      </c>
      <c r="Q95" s="112">
        <v>4.3</v>
      </c>
    </row>
    <row r="96" spans="1:17" customFormat="1">
      <c r="A96" s="80">
        <v>45598.916666666664</v>
      </c>
      <c r="B96" s="112">
        <v>5.22</v>
      </c>
      <c r="C96" s="112">
        <v>8.07</v>
      </c>
      <c r="D96" s="112">
        <v>13.97</v>
      </c>
      <c r="E96" s="112">
        <v>10.3</v>
      </c>
      <c r="F96" s="112">
        <v>5.75</v>
      </c>
      <c r="G96" s="112">
        <v>71.5</v>
      </c>
      <c r="H96" s="112">
        <v>30.2</v>
      </c>
      <c r="I96" s="112">
        <v>6.79</v>
      </c>
      <c r="J96" s="112">
        <v>0.14000000000000001</v>
      </c>
      <c r="K96" s="112">
        <v>160.15</v>
      </c>
      <c r="L96" s="112">
        <v>23.77</v>
      </c>
      <c r="M96" s="112">
        <v>82.68</v>
      </c>
      <c r="N96" s="112">
        <v>1.6</v>
      </c>
      <c r="O96" s="112">
        <v>0</v>
      </c>
      <c r="P96" s="112">
        <v>0.55000000000000004</v>
      </c>
      <c r="Q96" s="112">
        <v>4.29</v>
      </c>
    </row>
    <row r="97" spans="1:22" customFormat="1">
      <c r="A97" s="80">
        <v>45598.927083333336</v>
      </c>
      <c r="B97" s="112">
        <v>5.2</v>
      </c>
      <c r="C97" s="112">
        <v>8.08</v>
      </c>
      <c r="D97" s="112">
        <v>13.97</v>
      </c>
      <c r="E97" s="112">
        <v>9.9</v>
      </c>
      <c r="F97" s="112">
        <v>6.02</v>
      </c>
      <c r="G97" s="112">
        <v>71.5</v>
      </c>
      <c r="H97" s="112">
        <v>30.2</v>
      </c>
      <c r="I97" s="112">
        <v>6.87</v>
      </c>
      <c r="J97" s="112">
        <v>0.13</v>
      </c>
      <c r="K97" s="112">
        <v>154.4</v>
      </c>
      <c r="L97" s="112">
        <v>23.68</v>
      </c>
      <c r="M97" s="112">
        <v>79.23</v>
      </c>
      <c r="N97" s="112">
        <v>1.7</v>
      </c>
      <c r="O97" s="112">
        <v>0</v>
      </c>
      <c r="P97" s="112">
        <v>0.56000000000000005</v>
      </c>
      <c r="Q97" s="112">
        <v>4.29</v>
      </c>
    </row>
    <row r="98" spans="1:22" customFormat="1">
      <c r="A98" s="80">
        <v>45598.9375</v>
      </c>
      <c r="B98" s="112">
        <v>5.2</v>
      </c>
      <c r="C98" s="112">
        <v>8.09</v>
      </c>
      <c r="D98" s="112">
        <v>13.96</v>
      </c>
      <c r="E98" s="112">
        <v>10.54</v>
      </c>
      <c r="F98" s="112">
        <v>5.77</v>
      </c>
      <c r="G98" s="112">
        <v>71.5</v>
      </c>
      <c r="H98" s="112">
        <v>30.2</v>
      </c>
      <c r="I98" s="112">
        <v>6.95</v>
      </c>
      <c r="J98" s="112">
        <v>0.08</v>
      </c>
      <c r="K98" s="112">
        <v>210.87</v>
      </c>
      <c r="L98" s="112">
        <v>23.53</v>
      </c>
      <c r="M98" s="112">
        <v>81.459999999999994</v>
      </c>
      <c r="N98" s="112">
        <v>1.7</v>
      </c>
      <c r="O98" s="112">
        <v>0</v>
      </c>
      <c r="P98" s="112">
        <v>0.57999999999999996</v>
      </c>
      <c r="Q98" s="112">
        <v>4.28</v>
      </c>
    </row>
    <row r="99" spans="1:22" customFormat="1">
      <c r="A99" s="80">
        <v>45598.947916666664</v>
      </c>
      <c r="B99" s="112">
        <v>5.21</v>
      </c>
      <c r="C99" s="112">
        <v>8.08</v>
      </c>
      <c r="D99" s="112">
        <v>13.97</v>
      </c>
      <c r="E99" s="112">
        <v>10.27</v>
      </c>
      <c r="F99" s="112">
        <v>5.82</v>
      </c>
      <c r="G99" s="112">
        <v>69.63</v>
      </c>
      <c r="H99" s="112">
        <v>31.65</v>
      </c>
      <c r="I99" s="112">
        <v>7.06</v>
      </c>
      <c r="J99" s="112">
        <v>0.23</v>
      </c>
      <c r="K99" s="112">
        <v>241.83</v>
      </c>
      <c r="L99" s="112">
        <v>23.23</v>
      </c>
      <c r="M99" s="112">
        <v>81.790000000000006</v>
      </c>
      <c r="N99" s="112">
        <v>1.7</v>
      </c>
      <c r="O99" s="112">
        <v>0</v>
      </c>
      <c r="P99" s="112">
        <v>0.57999999999999996</v>
      </c>
      <c r="Q99" s="112">
        <v>4.29</v>
      </c>
    </row>
    <row r="100" spans="1:22" customFormat="1">
      <c r="A100" s="80">
        <v>45598.958333333336</v>
      </c>
      <c r="B100" s="112">
        <v>5.22</v>
      </c>
      <c r="C100" s="112">
        <v>8.0500000000000007</v>
      </c>
      <c r="D100" s="112">
        <v>13.96</v>
      </c>
      <c r="E100" s="112">
        <v>10</v>
      </c>
      <c r="F100" s="112">
        <v>5.79</v>
      </c>
      <c r="G100" s="112">
        <v>68.87</v>
      </c>
      <c r="H100" s="112">
        <v>31.69</v>
      </c>
      <c r="I100" s="112">
        <v>7.15</v>
      </c>
      <c r="J100" s="112">
        <v>0.13</v>
      </c>
      <c r="K100" s="112">
        <v>196.11</v>
      </c>
      <c r="L100" s="112">
        <v>23.05</v>
      </c>
      <c r="M100" s="112">
        <v>82.38</v>
      </c>
      <c r="N100" s="112">
        <v>1.5</v>
      </c>
      <c r="O100" s="112">
        <v>0</v>
      </c>
      <c r="P100" s="112">
        <v>0.59</v>
      </c>
      <c r="Q100" s="112">
        <v>4.29</v>
      </c>
    </row>
    <row r="101" spans="1:22" customFormat="1">
      <c r="A101" s="80">
        <v>45598.96875</v>
      </c>
      <c r="B101" s="112">
        <v>5.2</v>
      </c>
      <c r="C101" s="112">
        <v>8.07</v>
      </c>
      <c r="D101" s="112">
        <v>13.96</v>
      </c>
      <c r="E101" s="112">
        <v>10.199999999999999</v>
      </c>
      <c r="F101" s="112">
        <v>5.88</v>
      </c>
      <c r="G101" s="112">
        <v>68.87</v>
      </c>
      <c r="H101" s="112">
        <v>31.69</v>
      </c>
      <c r="I101" s="112">
        <v>7.15</v>
      </c>
      <c r="J101" s="112">
        <v>0.04</v>
      </c>
      <c r="K101" s="112">
        <v>177.66</v>
      </c>
      <c r="L101" s="112">
        <v>23.1</v>
      </c>
      <c r="M101" s="112">
        <v>82.74</v>
      </c>
      <c r="N101" s="112">
        <v>1.6</v>
      </c>
      <c r="O101" s="112">
        <v>0</v>
      </c>
      <c r="P101" s="112">
        <v>0.59</v>
      </c>
      <c r="Q101" s="112">
        <v>4.3</v>
      </c>
    </row>
    <row r="102" spans="1:22" customFormat="1">
      <c r="A102" s="80">
        <v>45598.979166666664</v>
      </c>
      <c r="B102" s="112">
        <v>5.2</v>
      </c>
      <c r="C102" s="112">
        <v>8.08</v>
      </c>
      <c r="D102" s="112">
        <v>13.96</v>
      </c>
      <c r="E102" s="112">
        <v>10.11</v>
      </c>
      <c r="F102" s="112">
        <v>5.88</v>
      </c>
      <c r="G102" s="112">
        <v>68.87</v>
      </c>
      <c r="H102" s="112">
        <v>31.69</v>
      </c>
      <c r="I102" s="112">
        <v>7.12</v>
      </c>
      <c r="J102" s="112">
        <v>7.0000000000000007E-2</v>
      </c>
      <c r="K102" s="112">
        <v>183.09</v>
      </c>
      <c r="L102" s="112">
        <v>23.07</v>
      </c>
      <c r="M102" s="112">
        <v>79.25</v>
      </c>
      <c r="N102" s="112">
        <v>1.3</v>
      </c>
      <c r="O102" s="112">
        <v>0</v>
      </c>
      <c r="P102" s="112">
        <v>0.59</v>
      </c>
      <c r="Q102" s="112">
        <v>4.28</v>
      </c>
    </row>
    <row r="103" spans="1:22" customFormat="1">
      <c r="A103" s="80">
        <v>45598.989583333336</v>
      </c>
      <c r="B103" s="112">
        <v>5.19</v>
      </c>
      <c r="C103" s="112">
        <v>8.07</v>
      </c>
      <c r="D103" s="112">
        <v>13.95</v>
      </c>
      <c r="E103" s="112">
        <v>10.199999999999999</v>
      </c>
      <c r="F103" s="112">
        <v>5.9</v>
      </c>
      <c r="G103" s="112">
        <v>69.819999999999993</v>
      </c>
      <c r="H103" s="112">
        <v>30.46</v>
      </c>
      <c r="I103" s="112">
        <v>7.09</v>
      </c>
      <c r="J103" s="112">
        <v>0.1</v>
      </c>
      <c r="K103" s="112">
        <v>252.2</v>
      </c>
      <c r="L103" s="112">
        <v>23.07</v>
      </c>
      <c r="M103" s="112">
        <v>79</v>
      </c>
      <c r="N103" s="112">
        <v>1.5</v>
      </c>
      <c r="O103" s="112">
        <v>0</v>
      </c>
      <c r="P103" s="112">
        <v>0.57999999999999996</v>
      </c>
      <c r="Q103" s="112">
        <v>4.29</v>
      </c>
    </row>
    <row r="104" spans="1:22" customFormat="1">
      <c r="A104" s="80">
        <v>45599</v>
      </c>
      <c r="B104" s="112">
        <v>5.19</v>
      </c>
      <c r="C104" s="112">
        <v>8.07</v>
      </c>
      <c r="D104" s="112">
        <v>13.95</v>
      </c>
      <c r="E104" s="112">
        <v>10.32</v>
      </c>
      <c r="F104" s="112">
        <v>6.05</v>
      </c>
      <c r="G104" s="112">
        <v>70.19</v>
      </c>
      <c r="H104" s="112">
        <v>30.4</v>
      </c>
      <c r="I104" s="112">
        <v>7.06</v>
      </c>
      <c r="J104" s="112">
        <v>0.14000000000000001</v>
      </c>
      <c r="K104" s="112">
        <v>262.81</v>
      </c>
      <c r="L104" s="112">
        <v>23.02</v>
      </c>
      <c r="M104" s="112">
        <v>77.14</v>
      </c>
      <c r="N104" s="112">
        <v>1.5</v>
      </c>
      <c r="O104" s="112">
        <v>0</v>
      </c>
      <c r="P104" s="112">
        <v>0.56999999999999995</v>
      </c>
      <c r="Q104" s="112">
        <v>4.29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5.19</v>
      </c>
      <c r="C106" s="183">
        <f>MIN(C9:C104)</f>
        <v>8.0399999999999991</v>
      </c>
      <c r="D106" s="183">
        <f t="shared" ref="D106:Q106" si="0">MIN(D9:D104)</f>
        <v>13.95</v>
      </c>
      <c r="E106" s="183">
        <f t="shared" si="0"/>
        <v>8.4700000000000006</v>
      </c>
      <c r="F106" s="183">
        <f t="shared" si="0"/>
        <v>4.9400000000000004</v>
      </c>
      <c r="G106" s="183">
        <f t="shared" si="0"/>
        <v>52.95</v>
      </c>
      <c r="H106" s="183">
        <f t="shared" si="0"/>
        <v>18.3</v>
      </c>
      <c r="I106" s="183">
        <f t="shared" si="0"/>
        <v>5.77</v>
      </c>
      <c r="J106" s="183">
        <f t="shared" si="0"/>
        <v>0.04</v>
      </c>
      <c r="K106" s="183">
        <f t="shared" si="0"/>
        <v>11.23</v>
      </c>
      <c r="L106" s="183">
        <f t="shared" si="0"/>
        <v>21.22</v>
      </c>
      <c r="M106" s="183">
        <f t="shared" si="0"/>
        <v>28.91</v>
      </c>
      <c r="N106" s="183">
        <f t="shared" si="0"/>
        <v>1.2</v>
      </c>
      <c r="O106" s="183">
        <f t="shared" si="0"/>
        <v>0</v>
      </c>
      <c r="P106" s="183">
        <f t="shared" si="0"/>
        <v>0.48</v>
      </c>
      <c r="Q106" s="183">
        <f t="shared" si="0"/>
        <v>4.26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5.31</v>
      </c>
      <c r="C107" s="184">
        <f t="shared" ref="C107:Q107" si="1">MAX(C9:C104)</f>
        <v>8.11</v>
      </c>
      <c r="D107" s="184">
        <f t="shared" si="1"/>
        <v>14.05</v>
      </c>
      <c r="E107" s="184">
        <f t="shared" si="1"/>
        <v>14.05</v>
      </c>
      <c r="F107" s="184">
        <f t="shared" si="1"/>
        <v>19.47</v>
      </c>
      <c r="G107" s="184">
        <f t="shared" si="1"/>
        <v>107.11</v>
      </c>
      <c r="H107" s="184">
        <f t="shared" si="1"/>
        <v>50.17</v>
      </c>
      <c r="I107" s="184">
        <f t="shared" si="1"/>
        <v>10.18</v>
      </c>
      <c r="J107" s="184">
        <f t="shared" si="1"/>
        <v>0.6</v>
      </c>
      <c r="K107" s="184">
        <f t="shared" si="1"/>
        <v>329.4</v>
      </c>
      <c r="L107" s="184">
        <f t="shared" si="1"/>
        <v>33.72</v>
      </c>
      <c r="M107" s="184">
        <f t="shared" si="1"/>
        <v>91.68</v>
      </c>
      <c r="N107" s="184">
        <f t="shared" si="1"/>
        <v>587.4</v>
      </c>
      <c r="O107" s="184">
        <f t="shared" si="1"/>
        <v>0</v>
      </c>
      <c r="P107" s="184">
        <f t="shared" si="1"/>
        <v>0.77</v>
      </c>
      <c r="Q107" s="184">
        <f t="shared" si="1"/>
        <v>4.3099999999999996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5.2436458333333356</v>
      </c>
      <c r="C108" s="183">
        <f t="shared" ref="C108:Q108" si="2">AVERAGE(C9:C104)</f>
        <v>8.0728125000000013</v>
      </c>
      <c r="D108" s="183">
        <f t="shared" si="2"/>
        <v>13.990520833333344</v>
      </c>
      <c r="E108" s="183">
        <f t="shared" si="2"/>
        <v>11.048229166666665</v>
      </c>
      <c r="F108" s="183">
        <f t="shared" si="2"/>
        <v>8.6039583333333347</v>
      </c>
      <c r="G108" s="183">
        <f t="shared" si="2"/>
        <v>77.149374999999978</v>
      </c>
      <c r="H108" s="183">
        <f t="shared" si="2"/>
        <v>34.01229166666667</v>
      </c>
      <c r="I108" s="183">
        <f t="shared" si="2"/>
        <v>7.8848958333333306</v>
      </c>
      <c r="J108" s="183">
        <f t="shared" si="2"/>
        <v>0.19843750000000016</v>
      </c>
      <c r="K108" s="183">
        <f t="shared" si="2"/>
        <v>161.94989583333339</v>
      </c>
      <c r="L108" s="183">
        <f t="shared" si="2"/>
        <v>26.373749999999998</v>
      </c>
      <c r="M108" s="183">
        <f t="shared" si="2"/>
        <v>66.062916666666624</v>
      </c>
      <c r="N108" s="183">
        <f t="shared" si="2"/>
        <v>129.85416666666677</v>
      </c>
      <c r="O108" s="183">
        <f t="shared" si="2"/>
        <v>0</v>
      </c>
      <c r="P108" s="183">
        <f t="shared" si="2"/>
        <v>0.6338541666666665</v>
      </c>
      <c r="Q108" s="183">
        <f t="shared" si="2"/>
        <v>4.2888541666666695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3.0987936249167222E-2</v>
      </c>
      <c r="C109" s="183">
        <f t="shared" ref="C109:Q109" si="3">STDEV(C9:C104)</f>
        <v>1.6839997812226212E-2</v>
      </c>
      <c r="D109" s="183">
        <f t="shared" si="3"/>
        <v>2.4809581835999968E-2</v>
      </c>
      <c r="E109" s="183">
        <f t="shared" si="3"/>
        <v>0.9386417900817019</v>
      </c>
      <c r="F109" s="183">
        <f t="shared" si="3"/>
        <v>4.0142277173407415</v>
      </c>
      <c r="G109" s="183">
        <f t="shared" si="3"/>
        <v>17.609523070292454</v>
      </c>
      <c r="H109" s="183">
        <f t="shared" si="3"/>
        <v>11.210659727914658</v>
      </c>
      <c r="I109" s="183">
        <f t="shared" si="3"/>
        <v>1.3992877848479381</v>
      </c>
      <c r="J109" s="183">
        <f t="shared" si="3"/>
        <v>9.706566551078992E-2</v>
      </c>
      <c r="K109" s="183">
        <f t="shared" si="3"/>
        <v>66.435111507708356</v>
      </c>
      <c r="L109" s="183">
        <f t="shared" si="3"/>
        <v>4.1670025197976761</v>
      </c>
      <c r="M109" s="183">
        <f t="shared" si="3"/>
        <v>20.337653640822001</v>
      </c>
      <c r="N109" s="183">
        <f t="shared" si="3"/>
        <v>200.96705145851578</v>
      </c>
      <c r="O109" s="183">
        <f t="shared" si="3"/>
        <v>0</v>
      </c>
      <c r="P109" s="183">
        <f t="shared" si="3"/>
        <v>9.1402750064199789E-2</v>
      </c>
      <c r="Q109" s="183">
        <f t="shared" si="3"/>
        <v>9.275864739562812E-3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45599.010416666664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45599.010416666664</v>
      </c>
      <c r="B9" s="112">
        <v>5.19</v>
      </c>
      <c r="C9" s="112">
        <v>8.16</v>
      </c>
      <c r="D9" s="112">
        <v>13.99</v>
      </c>
      <c r="E9" s="112">
        <v>10.220000000000001</v>
      </c>
      <c r="F9" s="112">
        <v>6.15</v>
      </c>
      <c r="G9" s="112">
        <v>70.19</v>
      </c>
      <c r="H9" s="112">
        <v>30.4</v>
      </c>
      <c r="I9" s="112">
        <v>7.02</v>
      </c>
      <c r="J9" s="112">
        <v>0.17</v>
      </c>
      <c r="K9" s="112">
        <v>237.41</v>
      </c>
      <c r="L9" s="112">
        <v>23.08</v>
      </c>
      <c r="M9" s="112">
        <v>75.680000000000007</v>
      </c>
      <c r="N9" s="112">
        <v>1.6</v>
      </c>
      <c r="O9" s="112">
        <v>0</v>
      </c>
      <c r="P9" s="112">
        <v>0.56999999999999995</v>
      </c>
      <c r="Q9" s="112">
        <v>4.3</v>
      </c>
    </row>
    <row r="10" spans="1:21" customFormat="1">
      <c r="A10" s="80">
        <v>45599.020833333336</v>
      </c>
      <c r="B10" s="112">
        <v>5.22</v>
      </c>
      <c r="C10" s="112">
        <v>8.09</v>
      </c>
      <c r="D10" s="112">
        <v>13.98</v>
      </c>
      <c r="E10" s="112">
        <v>10.47</v>
      </c>
      <c r="F10" s="112">
        <v>6.04</v>
      </c>
      <c r="G10" s="112">
        <v>70.19</v>
      </c>
      <c r="H10" s="112">
        <v>30.4</v>
      </c>
      <c r="I10" s="112">
        <v>6.99</v>
      </c>
      <c r="J10" s="112">
        <v>0.12</v>
      </c>
      <c r="K10" s="112">
        <v>106.15</v>
      </c>
      <c r="L10" s="112">
        <v>23.21</v>
      </c>
      <c r="M10" s="112">
        <v>75.72</v>
      </c>
      <c r="N10" s="112">
        <v>1.6</v>
      </c>
      <c r="O10" s="112">
        <v>0</v>
      </c>
      <c r="P10" s="112">
        <v>0.56999999999999995</v>
      </c>
      <c r="Q10" s="112">
        <v>4.3</v>
      </c>
    </row>
    <row r="11" spans="1:21" customFormat="1">
      <c r="A11" s="80">
        <v>45599.03125</v>
      </c>
      <c r="B11" s="112">
        <v>5.22</v>
      </c>
      <c r="C11" s="112">
        <v>8.09</v>
      </c>
      <c r="D11" s="112">
        <v>13.98</v>
      </c>
      <c r="E11" s="112">
        <v>10.53</v>
      </c>
      <c r="F11" s="112">
        <v>6.03</v>
      </c>
      <c r="G11" s="112">
        <v>62.01</v>
      </c>
      <c r="H11" s="112">
        <v>22.38</v>
      </c>
      <c r="I11" s="112">
        <v>6.94</v>
      </c>
      <c r="J11" s="112">
        <v>0.12</v>
      </c>
      <c r="K11" s="112">
        <v>249.83</v>
      </c>
      <c r="L11" s="112">
        <v>23.52</v>
      </c>
      <c r="M11" s="112">
        <v>72.84</v>
      </c>
      <c r="N11" s="112">
        <v>1.4</v>
      </c>
      <c r="O11" s="112">
        <v>0</v>
      </c>
      <c r="P11" s="112">
        <v>0.56000000000000005</v>
      </c>
      <c r="Q11" s="112">
        <v>4.2699999999999996</v>
      </c>
    </row>
    <row r="12" spans="1:21" customFormat="1">
      <c r="A12" s="80">
        <v>45599.041666666664</v>
      </c>
      <c r="B12" s="112">
        <v>5.2</v>
      </c>
      <c r="C12" s="112">
        <v>8.1</v>
      </c>
      <c r="D12" s="112">
        <v>13.97</v>
      </c>
      <c r="E12" s="112">
        <v>9.77</v>
      </c>
      <c r="F12" s="112">
        <v>6.1</v>
      </c>
      <c r="G12" s="112">
        <v>58.86</v>
      </c>
      <c r="H12" s="112">
        <v>22</v>
      </c>
      <c r="I12" s="112">
        <v>6.88</v>
      </c>
      <c r="J12" s="112">
        <v>0.1</v>
      </c>
      <c r="K12" s="112">
        <v>169.73</v>
      </c>
      <c r="L12" s="112">
        <v>23.78</v>
      </c>
      <c r="M12" s="112">
        <v>68.61</v>
      </c>
      <c r="N12" s="112">
        <v>1.6</v>
      </c>
      <c r="O12" s="112">
        <v>0</v>
      </c>
      <c r="P12" s="112">
        <v>0.56000000000000005</v>
      </c>
      <c r="Q12" s="112">
        <v>4.29</v>
      </c>
    </row>
    <row r="13" spans="1:21" customFormat="1">
      <c r="A13" s="80">
        <v>45599.052083333336</v>
      </c>
      <c r="B13" s="112">
        <v>5.19</v>
      </c>
      <c r="C13" s="112">
        <v>8.09</v>
      </c>
      <c r="D13" s="112">
        <v>13.96</v>
      </c>
      <c r="E13" s="112">
        <v>10.23</v>
      </c>
      <c r="F13" s="112">
        <v>6.19</v>
      </c>
      <c r="G13" s="112">
        <v>58.86</v>
      </c>
      <c r="H13" s="112">
        <v>22</v>
      </c>
      <c r="I13" s="112">
        <v>6.81</v>
      </c>
      <c r="J13" s="112">
        <v>7.0000000000000007E-2</v>
      </c>
      <c r="K13" s="112">
        <v>234.61</v>
      </c>
      <c r="L13" s="112">
        <v>23.71</v>
      </c>
      <c r="M13" s="112">
        <v>68.099999999999994</v>
      </c>
      <c r="N13" s="112">
        <v>1.7</v>
      </c>
      <c r="O13" s="112">
        <v>0</v>
      </c>
      <c r="P13" s="112">
        <v>0.56000000000000005</v>
      </c>
      <c r="Q13" s="112">
        <v>4.29</v>
      </c>
    </row>
    <row r="14" spans="1:21" customFormat="1">
      <c r="A14" s="80">
        <v>45599.0625</v>
      </c>
      <c r="B14" s="112">
        <v>5.21</v>
      </c>
      <c r="C14" s="112">
        <v>8.07</v>
      </c>
      <c r="D14" s="112">
        <v>13.96</v>
      </c>
      <c r="E14" s="112">
        <v>10.45</v>
      </c>
      <c r="F14" s="112">
        <v>6.34</v>
      </c>
      <c r="G14" s="112">
        <v>58.86</v>
      </c>
      <c r="H14" s="112">
        <v>22</v>
      </c>
      <c r="I14" s="112">
        <v>6.75</v>
      </c>
      <c r="J14" s="112">
        <v>0.14000000000000001</v>
      </c>
      <c r="K14" s="112">
        <v>132.47999999999999</v>
      </c>
      <c r="L14" s="112">
        <v>24.02</v>
      </c>
      <c r="M14" s="112">
        <v>67.400000000000006</v>
      </c>
      <c r="N14" s="112">
        <v>1.6</v>
      </c>
      <c r="O14" s="112">
        <v>0</v>
      </c>
      <c r="P14" s="112">
        <v>0.56000000000000005</v>
      </c>
      <c r="Q14" s="112">
        <v>4.29</v>
      </c>
    </row>
    <row r="15" spans="1:21" customFormat="1">
      <c r="A15" s="80">
        <v>45599.072916666664</v>
      </c>
      <c r="B15" s="112">
        <v>5.21</v>
      </c>
      <c r="C15" s="112">
        <v>8.08</v>
      </c>
      <c r="D15" s="112">
        <v>13.97</v>
      </c>
      <c r="E15" s="112">
        <v>9.86</v>
      </c>
      <c r="F15" s="112">
        <v>6.31</v>
      </c>
      <c r="G15" s="112">
        <v>57.07</v>
      </c>
      <c r="H15" s="112">
        <v>24.54</v>
      </c>
      <c r="I15" s="112">
        <v>6.68</v>
      </c>
      <c r="J15" s="112">
        <v>0.13</v>
      </c>
      <c r="K15" s="112">
        <v>226.29</v>
      </c>
      <c r="L15" s="112">
        <v>23.93</v>
      </c>
      <c r="M15" s="112">
        <v>68.459999999999994</v>
      </c>
      <c r="N15" s="112">
        <v>1.9</v>
      </c>
      <c r="O15" s="112">
        <v>0</v>
      </c>
      <c r="P15" s="112">
        <v>0.56000000000000005</v>
      </c>
      <c r="Q15" s="112">
        <v>4.28</v>
      </c>
    </row>
    <row r="16" spans="1:21" customFormat="1">
      <c r="A16" s="80">
        <v>45599.083333333336</v>
      </c>
      <c r="B16" s="112">
        <v>5.22</v>
      </c>
      <c r="C16" s="112">
        <v>8.09</v>
      </c>
      <c r="D16" s="112">
        <v>13.98</v>
      </c>
      <c r="E16" s="112">
        <v>9.67</v>
      </c>
      <c r="F16" s="112">
        <v>6.28</v>
      </c>
      <c r="G16" s="112">
        <v>56.35</v>
      </c>
      <c r="H16" s="112">
        <v>24.66</v>
      </c>
      <c r="I16" s="112">
        <v>6.61</v>
      </c>
      <c r="J16" s="112">
        <v>0.42</v>
      </c>
      <c r="K16" s="112">
        <v>50.43</v>
      </c>
      <c r="L16" s="112">
        <v>24.04</v>
      </c>
      <c r="M16" s="112">
        <v>67.900000000000006</v>
      </c>
      <c r="N16" s="112">
        <v>1.6</v>
      </c>
      <c r="O16" s="112">
        <v>0</v>
      </c>
      <c r="P16" s="112">
        <v>0.56000000000000005</v>
      </c>
      <c r="Q16" s="112">
        <v>4.28</v>
      </c>
    </row>
    <row r="17" spans="1:17" customFormat="1">
      <c r="A17" s="80">
        <v>45599.09375</v>
      </c>
      <c r="B17" s="112">
        <v>5.22</v>
      </c>
      <c r="C17" s="112">
        <v>8.1</v>
      </c>
      <c r="D17" s="112">
        <v>13.98</v>
      </c>
      <c r="E17" s="112">
        <v>7.94</v>
      </c>
      <c r="F17" s="112">
        <v>5.88</v>
      </c>
      <c r="G17" s="112">
        <v>56.35</v>
      </c>
      <c r="H17" s="112">
        <v>24.66</v>
      </c>
      <c r="I17" s="112">
        <v>6.56</v>
      </c>
      <c r="J17" s="112">
        <v>0.14000000000000001</v>
      </c>
      <c r="K17" s="112">
        <v>347.98</v>
      </c>
      <c r="L17" s="112">
        <v>24.08</v>
      </c>
      <c r="M17" s="112">
        <v>70.599999999999994</v>
      </c>
      <c r="N17" s="112">
        <v>1.9</v>
      </c>
      <c r="O17" s="112">
        <v>0</v>
      </c>
      <c r="P17" s="112">
        <v>0.56000000000000005</v>
      </c>
      <c r="Q17" s="112">
        <v>4.28</v>
      </c>
    </row>
    <row r="18" spans="1:17" customFormat="1">
      <c r="A18" s="80">
        <v>45599.104166666664</v>
      </c>
      <c r="B18" s="112">
        <v>5.2</v>
      </c>
      <c r="C18" s="112">
        <v>8.1</v>
      </c>
      <c r="D18" s="112">
        <v>13.97</v>
      </c>
      <c r="E18" s="112">
        <v>9.91</v>
      </c>
      <c r="F18" s="112">
        <v>5.79</v>
      </c>
      <c r="G18" s="112">
        <v>56.35</v>
      </c>
      <c r="H18" s="112">
        <v>24.66</v>
      </c>
      <c r="I18" s="112">
        <v>6.54</v>
      </c>
      <c r="J18" s="112">
        <v>0.05</v>
      </c>
      <c r="K18" s="112">
        <v>87</v>
      </c>
      <c r="L18" s="112">
        <v>24.12</v>
      </c>
      <c r="M18" s="112">
        <v>71.47</v>
      </c>
      <c r="N18" s="112">
        <v>1.9</v>
      </c>
      <c r="O18" s="112">
        <v>0</v>
      </c>
      <c r="P18" s="112">
        <v>0.56999999999999995</v>
      </c>
      <c r="Q18" s="112">
        <v>4.2699999999999996</v>
      </c>
    </row>
    <row r="19" spans="1:17" customFormat="1">
      <c r="A19" s="80">
        <v>45599.114583333336</v>
      </c>
      <c r="B19" s="112">
        <v>5.21</v>
      </c>
      <c r="C19" s="112">
        <v>8.08</v>
      </c>
      <c r="D19" s="112">
        <v>13.96</v>
      </c>
      <c r="E19" s="112">
        <v>9.77</v>
      </c>
      <c r="F19" s="112">
        <v>5.84</v>
      </c>
      <c r="G19" s="112">
        <v>64.63</v>
      </c>
      <c r="H19" s="112">
        <v>27.7</v>
      </c>
      <c r="I19" s="112">
        <v>6.58</v>
      </c>
      <c r="J19" s="112">
        <v>0.12</v>
      </c>
      <c r="K19" s="112">
        <v>53.28</v>
      </c>
      <c r="L19" s="112">
        <v>24.14</v>
      </c>
      <c r="M19" s="112">
        <v>70.459999999999994</v>
      </c>
      <c r="N19" s="112">
        <v>1.8</v>
      </c>
      <c r="O19" s="112">
        <v>0</v>
      </c>
      <c r="P19" s="112">
        <v>0.57999999999999996</v>
      </c>
      <c r="Q19" s="112">
        <v>4.2699999999999996</v>
      </c>
    </row>
    <row r="20" spans="1:17" customFormat="1">
      <c r="A20" s="80">
        <v>45599.125</v>
      </c>
      <c r="B20" s="112">
        <v>5.23</v>
      </c>
      <c r="C20" s="112">
        <v>8.0399999999999991</v>
      </c>
      <c r="D20" s="112">
        <v>13.96</v>
      </c>
      <c r="E20" s="112">
        <v>9.61</v>
      </c>
      <c r="F20" s="112">
        <v>6.14</v>
      </c>
      <c r="G20" s="112">
        <v>67.989999999999995</v>
      </c>
      <c r="H20" s="112">
        <v>27.84</v>
      </c>
      <c r="I20" s="112">
        <v>6.68</v>
      </c>
      <c r="J20" s="112">
        <v>0.25</v>
      </c>
      <c r="K20" s="112">
        <v>64</v>
      </c>
      <c r="L20" s="112">
        <v>24.25</v>
      </c>
      <c r="M20" s="112">
        <v>69.540000000000006</v>
      </c>
      <c r="N20" s="112">
        <v>1.9</v>
      </c>
      <c r="O20" s="112">
        <v>0</v>
      </c>
      <c r="P20" s="112">
        <v>0.59</v>
      </c>
      <c r="Q20" s="112">
        <v>4.29</v>
      </c>
    </row>
    <row r="21" spans="1:17" customFormat="1">
      <c r="A21" s="80">
        <v>45599.135416666664</v>
      </c>
      <c r="B21" s="112">
        <v>5.23</v>
      </c>
      <c r="C21" s="112">
        <v>8.0399999999999991</v>
      </c>
      <c r="D21" s="112">
        <v>13.97</v>
      </c>
      <c r="E21" s="112">
        <v>10.07</v>
      </c>
      <c r="F21" s="112">
        <v>6.12</v>
      </c>
      <c r="G21" s="112">
        <v>67.989999999999995</v>
      </c>
      <c r="H21" s="112">
        <v>27.84</v>
      </c>
      <c r="I21" s="112">
        <v>6.81</v>
      </c>
      <c r="J21" s="112">
        <v>0.2</v>
      </c>
      <c r="K21" s="112">
        <v>53.3</v>
      </c>
      <c r="L21" s="112">
        <v>24.22</v>
      </c>
      <c r="M21" s="112">
        <v>70.31</v>
      </c>
      <c r="N21" s="112">
        <v>2</v>
      </c>
      <c r="O21" s="112">
        <v>0</v>
      </c>
      <c r="P21" s="112">
        <v>0.59</v>
      </c>
      <c r="Q21" s="112">
        <v>4.28</v>
      </c>
    </row>
    <row r="22" spans="1:17" customFormat="1">
      <c r="A22" s="80">
        <v>45599.145833333336</v>
      </c>
      <c r="B22" s="112">
        <v>5.2</v>
      </c>
      <c r="C22" s="112">
        <v>8.07</v>
      </c>
      <c r="D22" s="112">
        <v>13.96</v>
      </c>
      <c r="E22" s="112">
        <v>9.98</v>
      </c>
      <c r="F22" s="112">
        <v>5.89</v>
      </c>
      <c r="G22" s="112">
        <v>67.989999999999995</v>
      </c>
      <c r="H22" s="112">
        <v>27.84</v>
      </c>
      <c r="I22" s="112">
        <v>6.99</v>
      </c>
      <c r="J22" s="112">
        <v>0.04</v>
      </c>
      <c r="K22" s="112">
        <v>192.24</v>
      </c>
      <c r="L22" s="112">
        <v>24.04</v>
      </c>
      <c r="M22" s="112">
        <v>73.61</v>
      </c>
      <c r="N22" s="112">
        <v>2.1</v>
      </c>
      <c r="O22" s="112">
        <v>0</v>
      </c>
      <c r="P22" s="112">
        <v>0.61</v>
      </c>
      <c r="Q22" s="112">
        <v>4.28</v>
      </c>
    </row>
    <row r="23" spans="1:17" customFormat="1">
      <c r="A23" s="80">
        <v>45599.15625</v>
      </c>
      <c r="B23" s="112">
        <v>5.21</v>
      </c>
      <c r="C23" s="112">
        <v>8.08</v>
      </c>
      <c r="D23" s="112">
        <v>13.97</v>
      </c>
      <c r="E23" s="112">
        <v>10.49</v>
      </c>
      <c r="F23" s="112">
        <v>5.92</v>
      </c>
      <c r="G23" s="112">
        <v>83.26</v>
      </c>
      <c r="H23" s="112">
        <v>29.05</v>
      </c>
      <c r="I23" s="112">
        <v>7.18</v>
      </c>
      <c r="J23" s="112">
        <v>0.13</v>
      </c>
      <c r="K23" s="112">
        <v>183.73</v>
      </c>
      <c r="L23" s="112">
        <v>23.76</v>
      </c>
      <c r="M23" s="112">
        <v>75.849999999999994</v>
      </c>
      <c r="N23" s="112">
        <v>2.1</v>
      </c>
      <c r="O23" s="112">
        <v>0</v>
      </c>
      <c r="P23" s="112">
        <v>0.61</v>
      </c>
      <c r="Q23" s="112">
        <v>4.3</v>
      </c>
    </row>
    <row r="24" spans="1:17" customFormat="1">
      <c r="A24" s="80">
        <v>45599.166666666664</v>
      </c>
      <c r="B24" s="112">
        <v>5.24</v>
      </c>
      <c r="C24" s="112">
        <v>8.0500000000000007</v>
      </c>
      <c r="D24" s="112">
        <v>13.97</v>
      </c>
      <c r="E24" s="112">
        <v>10.58</v>
      </c>
      <c r="F24" s="112">
        <v>5.49</v>
      </c>
      <c r="G24" s="112">
        <v>89.47</v>
      </c>
      <c r="H24" s="112">
        <v>29.24</v>
      </c>
      <c r="I24" s="112">
        <v>7.32</v>
      </c>
      <c r="J24" s="112">
        <v>0.11</v>
      </c>
      <c r="K24" s="112">
        <v>180.31</v>
      </c>
      <c r="L24" s="112">
        <v>23.67</v>
      </c>
      <c r="M24" s="112">
        <v>77.14</v>
      </c>
      <c r="N24" s="112">
        <v>2.1</v>
      </c>
      <c r="O24" s="112">
        <v>0</v>
      </c>
      <c r="P24" s="112">
        <v>0.62</v>
      </c>
      <c r="Q24" s="112">
        <v>4.2699999999999996</v>
      </c>
    </row>
    <row r="25" spans="1:17" customFormat="1">
      <c r="A25" s="80">
        <v>45599.177083333336</v>
      </c>
      <c r="B25" s="112">
        <v>5.24</v>
      </c>
      <c r="C25" s="112">
        <v>8.0500000000000007</v>
      </c>
      <c r="D25" s="112">
        <v>13.97</v>
      </c>
      <c r="E25" s="112">
        <v>10.58</v>
      </c>
      <c r="F25" s="112">
        <v>5.75</v>
      </c>
      <c r="G25" s="112">
        <v>89.47</v>
      </c>
      <c r="H25" s="112">
        <v>29.24</v>
      </c>
      <c r="I25" s="112">
        <v>7.46</v>
      </c>
      <c r="J25" s="112">
        <v>0.12</v>
      </c>
      <c r="K25" s="112">
        <v>230.49</v>
      </c>
      <c r="L25" s="112">
        <v>23.66</v>
      </c>
      <c r="M25" s="112">
        <v>77.92</v>
      </c>
      <c r="N25" s="112">
        <v>2.1</v>
      </c>
      <c r="O25" s="112">
        <v>0</v>
      </c>
      <c r="P25" s="112">
        <v>0.62</v>
      </c>
      <c r="Q25" s="112">
        <v>4.28</v>
      </c>
    </row>
    <row r="26" spans="1:17" customFormat="1">
      <c r="A26" s="80">
        <v>45599.1875</v>
      </c>
      <c r="B26" s="112">
        <v>5.21</v>
      </c>
      <c r="C26" s="112">
        <v>8.11</v>
      </c>
      <c r="D26" s="112">
        <v>13.98</v>
      </c>
      <c r="E26" s="112">
        <v>10.38</v>
      </c>
      <c r="F26" s="112">
        <v>5.78</v>
      </c>
      <c r="G26" s="112">
        <v>89.47</v>
      </c>
      <c r="H26" s="112">
        <v>29.24</v>
      </c>
      <c r="I26" s="112">
        <v>7.61</v>
      </c>
      <c r="J26" s="112">
        <v>0.14000000000000001</v>
      </c>
      <c r="K26" s="112">
        <v>190.04</v>
      </c>
      <c r="L26" s="112">
        <v>23.51</v>
      </c>
      <c r="M26" s="112">
        <v>81.61</v>
      </c>
      <c r="N26" s="112">
        <v>2.1</v>
      </c>
      <c r="O26" s="112">
        <v>0</v>
      </c>
      <c r="P26" s="112">
        <v>0.63</v>
      </c>
      <c r="Q26" s="112">
        <v>4.2699999999999996</v>
      </c>
    </row>
    <row r="27" spans="1:17" customFormat="1">
      <c r="A27" s="80">
        <v>45599.197916666664</v>
      </c>
      <c r="B27" s="112">
        <v>5.22</v>
      </c>
      <c r="C27" s="112">
        <v>8.08</v>
      </c>
      <c r="D27" s="112">
        <v>13.97</v>
      </c>
      <c r="E27" s="112">
        <v>10.18</v>
      </c>
      <c r="F27" s="112">
        <v>5.8</v>
      </c>
      <c r="G27" s="112">
        <v>100.08</v>
      </c>
      <c r="H27" s="112">
        <v>35.840000000000003</v>
      </c>
      <c r="I27" s="112">
        <v>7.72</v>
      </c>
      <c r="J27" s="112">
        <v>0.11</v>
      </c>
      <c r="K27" s="112">
        <v>160.41</v>
      </c>
      <c r="L27" s="112">
        <v>23.6</v>
      </c>
      <c r="M27" s="112">
        <v>83.61</v>
      </c>
      <c r="N27" s="112">
        <v>2.1</v>
      </c>
      <c r="O27" s="112">
        <v>0</v>
      </c>
      <c r="P27" s="112">
        <v>0.63</v>
      </c>
      <c r="Q27" s="112">
        <v>4.28</v>
      </c>
    </row>
    <row r="28" spans="1:17" customFormat="1">
      <c r="A28" s="80">
        <v>45599.208333333336</v>
      </c>
      <c r="B28" s="112">
        <v>5.22</v>
      </c>
      <c r="C28" s="112">
        <v>8.08</v>
      </c>
      <c r="D28" s="112">
        <v>13.97</v>
      </c>
      <c r="E28" s="112">
        <v>10.130000000000001</v>
      </c>
      <c r="F28" s="112">
        <v>5.57</v>
      </c>
      <c r="G28" s="112">
        <v>104.39</v>
      </c>
      <c r="H28" s="112">
        <v>36.15</v>
      </c>
      <c r="I28" s="112">
        <v>7.8</v>
      </c>
      <c r="J28" s="112">
        <v>0.13</v>
      </c>
      <c r="K28" s="112">
        <v>184.09</v>
      </c>
      <c r="L28" s="112">
        <v>23.38</v>
      </c>
      <c r="M28" s="112">
        <v>83.92</v>
      </c>
      <c r="N28" s="112">
        <v>2</v>
      </c>
      <c r="O28" s="112">
        <v>0</v>
      </c>
      <c r="P28" s="112">
        <v>0.64</v>
      </c>
      <c r="Q28" s="112">
        <v>4.29</v>
      </c>
    </row>
    <row r="29" spans="1:17" customFormat="1">
      <c r="A29" s="80">
        <v>45599.21875</v>
      </c>
      <c r="B29" s="112">
        <v>5.24</v>
      </c>
      <c r="C29" s="112">
        <v>8.07</v>
      </c>
      <c r="D29" s="112">
        <v>13.99</v>
      </c>
      <c r="E29" s="112">
        <v>10.11</v>
      </c>
      <c r="F29" s="112">
        <v>5.86</v>
      </c>
      <c r="G29" s="112">
        <v>104.39</v>
      </c>
      <c r="H29" s="112">
        <v>36.15</v>
      </c>
      <c r="I29" s="112">
        <v>7.89</v>
      </c>
      <c r="J29" s="112">
        <v>0.13</v>
      </c>
      <c r="K29" s="112">
        <v>169.2</v>
      </c>
      <c r="L29" s="112">
        <v>23.42</v>
      </c>
      <c r="M29" s="112">
        <v>84.1</v>
      </c>
      <c r="N29" s="112">
        <v>2.1</v>
      </c>
      <c r="O29" s="112">
        <v>0</v>
      </c>
      <c r="P29" s="112">
        <v>0.63</v>
      </c>
      <c r="Q29" s="112">
        <v>4.3099999999999996</v>
      </c>
    </row>
    <row r="30" spans="1:17" customFormat="1">
      <c r="A30" s="80">
        <v>45599.229166666664</v>
      </c>
      <c r="B30" s="112">
        <v>5.23</v>
      </c>
      <c r="C30" s="112">
        <v>8.07</v>
      </c>
      <c r="D30" s="112">
        <v>13.98</v>
      </c>
      <c r="E30" s="112">
        <v>10.119999999999999</v>
      </c>
      <c r="F30" s="112">
        <v>5.88</v>
      </c>
      <c r="G30" s="112">
        <v>104.39</v>
      </c>
      <c r="H30" s="112">
        <v>36.15</v>
      </c>
      <c r="I30" s="112">
        <v>8</v>
      </c>
      <c r="J30" s="112">
        <v>0.11</v>
      </c>
      <c r="K30" s="112">
        <v>161.83000000000001</v>
      </c>
      <c r="L30" s="112">
        <v>23.34</v>
      </c>
      <c r="M30" s="112">
        <v>83.83</v>
      </c>
      <c r="N30" s="112">
        <v>2.1</v>
      </c>
      <c r="O30" s="112">
        <v>0</v>
      </c>
      <c r="P30" s="112">
        <v>0.64</v>
      </c>
      <c r="Q30" s="112">
        <v>4.3</v>
      </c>
    </row>
    <row r="31" spans="1:17" customFormat="1">
      <c r="A31" s="80">
        <v>45599.239583333336</v>
      </c>
      <c r="B31" s="112">
        <v>5.23</v>
      </c>
      <c r="C31" s="112">
        <v>8.08</v>
      </c>
      <c r="D31" s="112">
        <v>13.98</v>
      </c>
      <c r="E31" s="112">
        <v>9.81</v>
      </c>
      <c r="F31" s="112">
        <v>5.72</v>
      </c>
      <c r="G31" s="112">
        <v>95.41</v>
      </c>
      <c r="H31" s="112">
        <v>32.130000000000003</v>
      </c>
      <c r="I31" s="112">
        <v>8.0299999999999994</v>
      </c>
      <c r="J31" s="112">
        <v>0.12</v>
      </c>
      <c r="K31" s="112">
        <v>191.3</v>
      </c>
      <c r="L31" s="112">
        <v>23.28</v>
      </c>
      <c r="M31" s="112">
        <v>82.68</v>
      </c>
      <c r="N31" s="112">
        <v>2.2000000000000002</v>
      </c>
      <c r="O31" s="112">
        <v>0</v>
      </c>
      <c r="P31" s="112">
        <v>0.65</v>
      </c>
      <c r="Q31" s="112">
        <v>4.29</v>
      </c>
    </row>
    <row r="32" spans="1:17" customFormat="1">
      <c r="A32" s="80">
        <v>45599.25</v>
      </c>
      <c r="B32" s="112">
        <v>5.23</v>
      </c>
      <c r="C32" s="112">
        <v>8.06</v>
      </c>
      <c r="D32" s="112">
        <v>13.97</v>
      </c>
      <c r="E32" s="112">
        <v>10.210000000000001</v>
      </c>
      <c r="F32" s="112">
        <v>5.54</v>
      </c>
      <c r="G32" s="112">
        <v>91.76</v>
      </c>
      <c r="H32" s="112">
        <v>31.88</v>
      </c>
      <c r="I32" s="112">
        <v>8.06</v>
      </c>
      <c r="J32" s="112">
        <v>0.11</v>
      </c>
      <c r="K32" s="112">
        <v>169.13</v>
      </c>
      <c r="L32" s="112">
        <v>23.16</v>
      </c>
      <c r="M32" s="112">
        <v>86.09</v>
      </c>
      <c r="N32" s="112">
        <v>3.4</v>
      </c>
      <c r="O32" s="112">
        <v>0</v>
      </c>
      <c r="P32" s="112">
        <v>0.64</v>
      </c>
      <c r="Q32" s="112">
        <v>4.29</v>
      </c>
    </row>
    <row r="33" spans="1:17" customFormat="1">
      <c r="A33" s="80">
        <v>45599.260416666664</v>
      </c>
      <c r="B33" s="112">
        <v>5.23</v>
      </c>
      <c r="C33" s="112">
        <v>8.06</v>
      </c>
      <c r="D33" s="112">
        <v>13.97</v>
      </c>
      <c r="E33" s="112">
        <v>10.18</v>
      </c>
      <c r="F33" s="112">
        <v>5.89</v>
      </c>
      <c r="G33" s="112">
        <v>91.76</v>
      </c>
      <c r="H33" s="112">
        <v>31.88</v>
      </c>
      <c r="I33" s="112">
        <v>8.11</v>
      </c>
      <c r="J33" s="112">
        <v>0.16</v>
      </c>
      <c r="K33" s="112">
        <v>192.14</v>
      </c>
      <c r="L33" s="112">
        <v>23.19</v>
      </c>
      <c r="M33" s="112">
        <v>84.51</v>
      </c>
      <c r="N33" s="112">
        <v>7.5</v>
      </c>
      <c r="O33" s="112">
        <v>0</v>
      </c>
      <c r="P33" s="112">
        <v>0.64</v>
      </c>
      <c r="Q33" s="112">
        <v>4.3</v>
      </c>
    </row>
    <row r="34" spans="1:17" customFormat="1">
      <c r="A34" s="80">
        <v>45599.270833333336</v>
      </c>
      <c r="B34" s="112">
        <v>5.21</v>
      </c>
      <c r="C34" s="112">
        <v>8.0500000000000007</v>
      </c>
      <c r="D34" s="112">
        <v>13.95</v>
      </c>
      <c r="E34" s="112">
        <v>10.039999999999999</v>
      </c>
      <c r="F34" s="112">
        <v>5.71</v>
      </c>
      <c r="G34" s="112">
        <v>91.76</v>
      </c>
      <c r="H34" s="112">
        <v>31.88</v>
      </c>
      <c r="I34" s="112">
        <v>8.1199999999999992</v>
      </c>
      <c r="J34" s="112">
        <v>0.06</v>
      </c>
      <c r="K34" s="112">
        <v>196.51</v>
      </c>
      <c r="L34" s="112">
        <v>23.26</v>
      </c>
      <c r="M34" s="112">
        <v>84.1</v>
      </c>
      <c r="N34" s="112">
        <v>15.6</v>
      </c>
      <c r="O34" s="112">
        <v>0</v>
      </c>
      <c r="P34" s="112">
        <v>0.65</v>
      </c>
      <c r="Q34" s="112">
        <v>4.29</v>
      </c>
    </row>
    <row r="35" spans="1:17" customFormat="1">
      <c r="A35" s="80">
        <v>45599.28125</v>
      </c>
      <c r="B35" s="112">
        <v>5.23</v>
      </c>
      <c r="C35" s="112">
        <v>8.0299999999999994</v>
      </c>
      <c r="D35" s="112">
        <v>13.96</v>
      </c>
      <c r="E35" s="112">
        <v>10.49</v>
      </c>
      <c r="F35" s="112">
        <v>5.83</v>
      </c>
      <c r="G35" s="112">
        <v>87.58</v>
      </c>
      <c r="H35" s="112">
        <v>30.51</v>
      </c>
      <c r="I35" s="112">
        <v>8.16</v>
      </c>
      <c r="J35" s="112">
        <v>0.24</v>
      </c>
      <c r="K35" s="112">
        <v>158.22</v>
      </c>
      <c r="L35" s="112">
        <v>23.4</v>
      </c>
      <c r="M35" s="112">
        <v>83.19</v>
      </c>
      <c r="N35" s="112">
        <v>26.6</v>
      </c>
      <c r="O35" s="112">
        <v>0</v>
      </c>
      <c r="P35" s="112">
        <v>0.65</v>
      </c>
      <c r="Q35" s="112">
        <v>4.3</v>
      </c>
    </row>
    <row r="36" spans="1:17" customFormat="1">
      <c r="A36" s="80">
        <v>45599.291666666664</v>
      </c>
      <c r="B36" s="112">
        <v>5.23</v>
      </c>
      <c r="C36" s="112">
        <v>8.02</v>
      </c>
      <c r="D36" s="112">
        <v>13.95</v>
      </c>
      <c r="E36" s="112">
        <v>10.23</v>
      </c>
      <c r="F36" s="112">
        <v>5.63</v>
      </c>
      <c r="G36" s="112">
        <v>85.89</v>
      </c>
      <c r="H36" s="112">
        <v>30.45</v>
      </c>
      <c r="I36" s="112">
        <v>8.18</v>
      </c>
      <c r="J36" s="112">
        <v>0.16</v>
      </c>
      <c r="K36" s="112">
        <v>121.98</v>
      </c>
      <c r="L36" s="112">
        <v>23.67</v>
      </c>
      <c r="M36" s="112">
        <v>80.81</v>
      </c>
      <c r="N36" s="112">
        <v>44.2</v>
      </c>
      <c r="O36" s="112">
        <v>0</v>
      </c>
      <c r="P36" s="112">
        <v>0.65</v>
      </c>
      <c r="Q36" s="112">
        <v>4.29</v>
      </c>
    </row>
    <row r="37" spans="1:17" customFormat="1">
      <c r="A37" s="80">
        <v>45599.302083333336</v>
      </c>
      <c r="B37" s="112">
        <v>5.22</v>
      </c>
      <c r="C37" s="112">
        <v>8.09</v>
      </c>
      <c r="D37" s="112">
        <v>13.98</v>
      </c>
      <c r="E37" s="112">
        <v>10.01</v>
      </c>
      <c r="F37" s="112">
        <v>5.94</v>
      </c>
      <c r="G37" s="112">
        <v>85.89</v>
      </c>
      <c r="H37" s="112">
        <v>30.45</v>
      </c>
      <c r="I37" s="112">
        <v>8.19</v>
      </c>
      <c r="J37" s="112">
        <v>0.09</v>
      </c>
      <c r="K37" s="112">
        <v>148.58000000000001</v>
      </c>
      <c r="L37" s="112">
        <v>23.94</v>
      </c>
      <c r="M37" s="112">
        <v>79.05</v>
      </c>
      <c r="N37" s="112">
        <v>59.9</v>
      </c>
      <c r="O37" s="112">
        <v>0</v>
      </c>
      <c r="P37" s="112">
        <v>0.64</v>
      </c>
      <c r="Q37" s="112">
        <v>4.29</v>
      </c>
    </row>
    <row r="38" spans="1:17" customFormat="1">
      <c r="A38" s="80">
        <v>45599.3125</v>
      </c>
      <c r="B38" s="112">
        <v>5.21</v>
      </c>
      <c r="C38" s="112">
        <v>8.07</v>
      </c>
      <c r="D38" s="112">
        <v>13.97</v>
      </c>
      <c r="E38" s="112">
        <v>10.1</v>
      </c>
      <c r="F38" s="112">
        <v>5.88</v>
      </c>
      <c r="G38" s="112">
        <v>85.89</v>
      </c>
      <c r="H38" s="112">
        <v>30.45</v>
      </c>
      <c r="I38" s="112">
        <v>8.17</v>
      </c>
      <c r="J38" s="112">
        <v>0.18</v>
      </c>
      <c r="K38" s="112">
        <v>154.91</v>
      </c>
      <c r="L38" s="112">
        <v>24.31</v>
      </c>
      <c r="M38" s="112">
        <v>77.58</v>
      </c>
      <c r="N38" s="112">
        <v>74.099999999999994</v>
      </c>
      <c r="O38" s="112">
        <v>0</v>
      </c>
      <c r="P38" s="112">
        <v>0.64</v>
      </c>
      <c r="Q38" s="112">
        <v>4.29</v>
      </c>
    </row>
    <row r="39" spans="1:17" customFormat="1">
      <c r="A39" s="80">
        <v>45599.322916666664</v>
      </c>
      <c r="B39" s="112">
        <v>5.22</v>
      </c>
      <c r="C39" s="112">
        <v>8.07</v>
      </c>
      <c r="D39" s="112">
        <v>13.97</v>
      </c>
      <c r="E39" s="112">
        <v>9.8800000000000008</v>
      </c>
      <c r="F39" s="112">
        <v>5.97</v>
      </c>
      <c r="G39" s="112">
        <v>73.42</v>
      </c>
      <c r="H39" s="112">
        <v>26.68</v>
      </c>
      <c r="I39" s="112">
        <v>8.11</v>
      </c>
      <c r="J39" s="112">
        <v>0.19</v>
      </c>
      <c r="K39" s="112">
        <v>155.52000000000001</v>
      </c>
      <c r="L39" s="112">
        <v>24.85</v>
      </c>
      <c r="M39" s="112">
        <v>75.180000000000007</v>
      </c>
      <c r="N39" s="112">
        <v>123.9</v>
      </c>
      <c r="O39" s="112">
        <v>0</v>
      </c>
      <c r="P39" s="112">
        <v>0.62</v>
      </c>
      <c r="Q39" s="112">
        <v>4.3</v>
      </c>
    </row>
    <row r="40" spans="1:17" customFormat="1">
      <c r="A40" s="80">
        <v>45599.333333333336</v>
      </c>
      <c r="B40" s="112">
        <v>5.21</v>
      </c>
      <c r="C40" s="112">
        <v>8.09</v>
      </c>
      <c r="D40" s="112">
        <v>13.98</v>
      </c>
      <c r="E40" s="112">
        <v>9.9700000000000006</v>
      </c>
      <c r="F40" s="112">
        <v>5.96</v>
      </c>
      <c r="G40" s="112">
        <v>68.349999999999994</v>
      </c>
      <c r="H40" s="112">
        <v>26.51</v>
      </c>
      <c r="I40" s="112">
        <v>8.06</v>
      </c>
      <c r="J40" s="112">
        <v>0.3</v>
      </c>
      <c r="K40" s="112">
        <v>127.82</v>
      </c>
      <c r="L40" s="112">
        <v>25.66</v>
      </c>
      <c r="M40" s="112">
        <v>69.37</v>
      </c>
      <c r="N40" s="112">
        <v>177</v>
      </c>
      <c r="O40" s="112">
        <v>0</v>
      </c>
      <c r="P40" s="112">
        <v>0.63</v>
      </c>
      <c r="Q40" s="112">
        <v>4.29</v>
      </c>
    </row>
    <row r="41" spans="1:17" customFormat="1">
      <c r="A41" s="80">
        <v>45599.34375</v>
      </c>
      <c r="B41" s="112">
        <v>5.21</v>
      </c>
      <c r="C41" s="112">
        <v>8.0500000000000007</v>
      </c>
      <c r="D41" s="112">
        <v>13.95</v>
      </c>
      <c r="E41" s="112">
        <v>10.44</v>
      </c>
      <c r="F41" s="112">
        <v>5.84</v>
      </c>
      <c r="G41" s="112">
        <v>68.349999999999994</v>
      </c>
      <c r="H41" s="112">
        <v>26.51</v>
      </c>
      <c r="I41" s="112">
        <v>8</v>
      </c>
      <c r="J41" s="112">
        <v>0.34</v>
      </c>
      <c r="K41" s="112">
        <v>160.69999999999999</v>
      </c>
      <c r="L41" s="112">
        <v>26.52</v>
      </c>
      <c r="M41" s="112">
        <v>65.849999999999994</v>
      </c>
      <c r="N41" s="112">
        <v>223.2</v>
      </c>
      <c r="O41" s="112">
        <v>0</v>
      </c>
      <c r="P41" s="112">
        <v>0.63</v>
      </c>
      <c r="Q41" s="112">
        <v>4.29</v>
      </c>
    </row>
    <row r="42" spans="1:17" customFormat="1">
      <c r="A42" s="80">
        <v>45599.354166666664</v>
      </c>
      <c r="B42" s="112">
        <v>5.22</v>
      </c>
      <c r="C42" s="112">
        <v>8.0500000000000007</v>
      </c>
      <c r="D42" s="112">
        <v>13.96</v>
      </c>
      <c r="E42" s="112">
        <v>9.5500000000000007</v>
      </c>
      <c r="F42" s="112">
        <v>6.31</v>
      </c>
      <c r="G42" s="112">
        <v>68.349999999999994</v>
      </c>
      <c r="H42" s="112">
        <v>26.51</v>
      </c>
      <c r="I42" s="112">
        <v>7.97</v>
      </c>
      <c r="J42" s="112">
        <v>0.25</v>
      </c>
      <c r="K42" s="112">
        <v>160.71</v>
      </c>
      <c r="L42" s="112">
        <v>27.61</v>
      </c>
      <c r="M42" s="112">
        <v>62.15</v>
      </c>
      <c r="N42" s="112">
        <v>221.2</v>
      </c>
      <c r="O42" s="112">
        <v>0</v>
      </c>
      <c r="P42" s="112">
        <v>0.62</v>
      </c>
      <c r="Q42" s="112">
        <v>4.28</v>
      </c>
    </row>
    <row r="43" spans="1:17" customFormat="1">
      <c r="A43" s="80">
        <v>45599.364583333336</v>
      </c>
      <c r="B43" s="112">
        <v>5.21</v>
      </c>
      <c r="C43" s="112">
        <v>8.06</v>
      </c>
      <c r="D43" s="112">
        <v>13.96</v>
      </c>
      <c r="E43" s="112">
        <v>9.65</v>
      </c>
      <c r="F43" s="112">
        <v>6.61</v>
      </c>
      <c r="G43" s="112">
        <v>67.73</v>
      </c>
      <c r="H43" s="112">
        <v>26.3</v>
      </c>
      <c r="I43" s="112">
        <v>7.87</v>
      </c>
      <c r="J43" s="112">
        <v>0.34</v>
      </c>
      <c r="K43" s="112">
        <v>159.94</v>
      </c>
      <c r="L43" s="112">
        <v>28.23</v>
      </c>
      <c r="M43" s="112">
        <v>60.12</v>
      </c>
      <c r="N43" s="112">
        <v>266.8</v>
      </c>
      <c r="O43" s="112">
        <v>0</v>
      </c>
      <c r="P43" s="112">
        <v>0.61</v>
      </c>
      <c r="Q43" s="112">
        <v>4.29</v>
      </c>
    </row>
    <row r="44" spans="1:17" customFormat="1">
      <c r="A44" s="80">
        <v>45599.375</v>
      </c>
      <c r="B44" s="112">
        <v>5.2</v>
      </c>
      <c r="C44" s="112">
        <v>8.07</v>
      </c>
      <c r="D44" s="112">
        <v>13.95</v>
      </c>
      <c r="E44" s="112">
        <v>9.5399999999999991</v>
      </c>
      <c r="F44" s="112">
        <v>6.72</v>
      </c>
      <c r="G44" s="112">
        <v>67.48</v>
      </c>
      <c r="H44" s="112">
        <v>26.29</v>
      </c>
      <c r="I44" s="112">
        <v>7.66</v>
      </c>
      <c r="J44" s="112">
        <v>0.27</v>
      </c>
      <c r="K44" s="112">
        <v>161.58000000000001</v>
      </c>
      <c r="L44" s="112">
        <v>28.94</v>
      </c>
      <c r="M44" s="112">
        <v>56.27</v>
      </c>
      <c r="N44" s="112">
        <v>264.3</v>
      </c>
      <c r="O44" s="112">
        <v>0</v>
      </c>
      <c r="P44" s="112">
        <v>0.6</v>
      </c>
      <c r="Q44" s="112">
        <v>4.29</v>
      </c>
    </row>
    <row r="45" spans="1:17" customFormat="1">
      <c r="A45" s="80">
        <v>45599.385416666664</v>
      </c>
      <c r="B45" s="112">
        <v>5.2</v>
      </c>
      <c r="C45" s="112">
        <v>8.07</v>
      </c>
      <c r="D45" s="112">
        <v>13.95</v>
      </c>
      <c r="E45" s="112">
        <v>9.75</v>
      </c>
      <c r="F45" s="112">
        <v>7.69</v>
      </c>
      <c r="G45" s="112">
        <v>67.48</v>
      </c>
      <c r="H45" s="112">
        <v>26.29</v>
      </c>
      <c r="I45" s="112">
        <v>7.55</v>
      </c>
      <c r="J45" s="112">
        <v>0.27</v>
      </c>
      <c r="K45" s="112">
        <v>157.51</v>
      </c>
      <c r="L45" s="112">
        <v>29.69</v>
      </c>
      <c r="M45" s="112">
        <v>50.9</v>
      </c>
      <c r="N45" s="112">
        <v>364.1</v>
      </c>
      <c r="O45" s="112">
        <v>0</v>
      </c>
      <c r="P45" s="112">
        <v>0.6</v>
      </c>
      <c r="Q45" s="112">
        <v>4.29</v>
      </c>
    </row>
    <row r="46" spans="1:17" customFormat="1">
      <c r="A46" s="80">
        <v>45599.395833333336</v>
      </c>
      <c r="B46" s="112">
        <v>5.2</v>
      </c>
      <c r="C46" s="112">
        <v>8.0500000000000007</v>
      </c>
      <c r="D46" s="112">
        <v>13.94</v>
      </c>
      <c r="E46" s="112">
        <v>9.7899999999999991</v>
      </c>
      <c r="F46" s="112">
        <v>7.13</v>
      </c>
      <c r="G46" s="112">
        <v>67.48</v>
      </c>
      <c r="H46" s="112">
        <v>26.29</v>
      </c>
      <c r="I46" s="112">
        <v>7.45</v>
      </c>
      <c r="J46" s="112">
        <v>0.15</v>
      </c>
      <c r="K46" s="112">
        <v>109.66</v>
      </c>
      <c r="L46" s="112">
        <v>30.01</v>
      </c>
      <c r="M46" s="112">
        <v>50.44</v>
      </c>
      <c r="N46" s="112">
        <v>328.3</v>
      </c>
      <c r="O46" s="112">
        <v>0</v>
      </c>
      <c r="P46" s="112">
        <v>0.61</v>
      </c>
      <c r="Q46" s="112">
        <v>4.29</v>
      </c>
    </row>
    <row r="47" spans="1:17" customFormat="1">
      <c r="A47" s="80">
        <v>45599.40625</v>
      </c>
      <c r="B47" s="112">
        <v>5.2</v>
      </c>
      <c r="C47" s="112">
        <v>8.07</v>
      </c>
      <c r="D47" s="112">
        <v>13.95</v>
      </c>
      <c r="E47" s="112">
        <v>9.8000000000000007</v>
      </c>
      <c r="F47" s="112">
        <v>7.57</v>
      </c>
      <c r="G47" s="112">
        <v>67.05</v>
      </c>
      <c r="H47" s="112">
        <v>25.05</v>
      </c>
      <c r="I47" s="112">
        <v>7.33</v>
      </c>
      <c r="J47" s="112">
        <v>0.26</v>
      </c>
      <c r="K47" s="112">
        <v>112.54</v>
      </c>
      <c r="L47" s="112">
        <v>30.24</v>
      </c>
      <c r="M47" s="112">
        <v>46.83</v>
      </c>
      <c r="N47" s="112">
        <v>421.4</v>
      </c>
      <c r="O47" s="112">
        <v>0</v>
      </c>
      <c r="P47" s="112">
        <v>0.6</v>
      </c>
      <c r="Q47" s="112">
        <v>4.28</v>
      </c>
    </row>
    <row r="48" spans="1:17" customFormat="1">
      <c r="A48" s="80">
        <v>45599.416666666664</v>
      </c>
      <c r="B48" s="112">
        <v>5.21</v>
      </c>
      <c r="C48" s="112">
        <v>8.08</v>
      </c>
      <c r="D48" s="112">
        <v>13.97</v>
      </c>
      <c r="E48" s="112">
        <v>9.81</v>
      </c>
      <c r="F48" s="112">
        <v>7.8</v>
      </c>
      <c r="G48" s="112">
        <v>66.88</v>
      </c>
      <c r="H48" s="112">
        <v>24.99</v>
      </c>
      <c r="I48" s="112">
        <v>7.26</v>
      </c>
      <c r="J48" s="112">
        <v>0.19</v>
      </c>
      <c r="K48" s="112">
        <v>337.38</v>
      </c>
      <c r="L48" s="112">
        <v>30.49</v>
      </c>
      <c r="M48" s="112">
        <v>48.51</v>
      </c>
      <c r="N48" s="112">
        <v>466.8</v>
      </c>
      <c r="O48" s="112">
        <v>0</v>
      </c>
      <c r="P48" s="112">
        <v>0.61</v>
      </c>
      <c r="Q48" s="112">
        <v>4.29</v>
      </c>
    </row>
    <row r="49" spans="1:17" customFormat="1">
      <c r="A49" s="80">
        <v>45599.427083333336</v>
      </c>
      <c r="B49" s="112">
        <v>5.21</v>
      </c>
      <c r="C49" s="112">
        <v>8.07</v>
      </c>
      <c r="D49" s="112">
        <v>13.96</v>
      </c>
      <c r="E49" s="112">
        <v>9.4499999999999993</v>
      </c>
      <c r="F49" s="112">
        <v>8.75</v>
      </c>
      <c r="G49" s="112">
        <v>66.88</v>
      </c>
      <c r="H49" s="112">
        <v>24.99</v>
      </c>
      <c r="I49" s="112">
        <v>7.18</v>
      </c>
      <c r="J49" s="112">
        <v>0.68</v>
      </c>
      <c r="K49" s="112">
        <v>46.88</v>
      </c>
      <c r="L49" s="112">
        <v>30.41</v>
      </c>
      <c r="M49" s="112">
        <v>46.32</v>
      </c>
      <c r="N49" s="112">
        <v>479.5</v>
      </c>
      <c r="O49" s="112">
        <v>0</v>
      </c>
      <c r="P49" s="112">
        <v>0.6</v>
      </c>
      <c r="Q49" s="112">
        <v>4.29</v>
      </c>
    </row>
    <row r="50" spans="1:17" customFormat="1">
      <c r="A50" s="80">
        <v>45599.4375</v>
      </c>
      <c r="B50" s="112">
        <v>5.21</v>
      </c>
      <c r="C50" s="112">
        <v>8.07</v>
      </c>
      <c r="D50" s="112">
        <v>13.96</v>
      </c>
      <c r="E50" s="112">
        <v>10.83</v>
      </c>
      <c r="F50" s="112">
        <v>9.3699999999999992</v>
      </c>
      <c r="G50" s="112">
        <v>66.88</v>
      </c>
      <c r="H50" s="112">
        <v>24.99</v>
      </c>
      <c r="I50" s="112">
        <v>7.11</v>
      </c>
      <c r="J50" s="112">
        <v>0.1</v>
      </c>
      <c r="K50" s="112">
        <v>65.48</v>
      </c>
      <c r="L50" s="112">
        <v>31.16</v>
      </c>
      <c r="M50" s="112">
        <v>43.47</v>
      </c>
      <c r="N50" s="112">
        <v>456.1</v>
      </c>
      <c r="O50" s="112">
        <v>0</v>
      </c>
      <c r="P50" s="112">
        <v>0.6</v>
      </c>
      <c r="Q50" s="112">
        <v>4.29</v>
      </c>
    </row>
    <row r="51" spans="1:17" customFormat="1">
      <c r="A51" s="80">
        <v>45599.447916666664</v>
      </c>
      <c r="B51" s="112">
        <v>5.2</v>
      </c>
      <c r="C51" s="112">
        <v>8.1</v>
      </c>
      <c r="D51" s="112">
        <v>13.97</v>
      </c>
      <c r="E51" s="112">
        <v>11.58</v>
      </c>
      <c r="F51" s="112">
        <v>9.34</v>
      </c>
      <c r="G51" s="112">
        <v>69.81</v>
      </c>
      <c r="H51" s="112">
        <v>25.46</v>
      </c>
      <c r="I51" s="112">
        <v>7.1</v>
      </c>
      <c r="J51" s="112">
        <v>0.19</v>
      </c>
      <c r="K51" s="112">
        <v>134.43</v>
      </c>
      <c r="L51" s="112">
        <v>31.71</v>
      </c>
      <c r="M51" s="112">
        <v>42.11</v>
      </c>
      <c r="N51" s="112">
        <v>458.7</v>
      </c>
      <c r="O51" s="112">
        <v>0</v>
      </c>
      <c r="P51" s="112">
        <v>0.59</v>
      </c>
      <c r="Q51" s="112">
        <v>4.29</v>
      </c>
    </row>
    <row r="52" spans="1:17" customFormat="1">
      <c r="A52" s="80">
        <v>45599.458333333336</v>
      </c>
      <c r="B52" s="112">
        <v>5.24</v>
      </c>
      <c r="C52" s="112">
        <v>8.08</v>
      </c>
      <c r="D52" s="112">
        <v>13.99</v>
      </c>
      <c r="E52" s="112">
        <v>10.92</v>
      </c>
      <c r="F52" s="112">
        <v>9.92</v>
      </c>
      <c r="G52" s="112">
        <v>71</v>
      </c>
      <c r="H52" s="112">
        <v>25.48</v>
      </c>
      <c r="I52" s="112">
        <v>7.04</v>
      </c>
      <c r="J52" s="112">
        <v>0.23</v>
      </c>
      <c r="K52" s="112">
        <v>60.14</v>
      </c>
      <c r="L52" s="112">
        <v>31.95</v>
      </c>
      <c r="M52" s="112">
        <v>42.35</v>
      </c>
      <c r="N52" s="112">
        <v>534.29999999999995</v>
      </c>
      <c r="O52" s="112">
        <v>0</v>
      </c>
      <c r="P52" s="112">
        <v>0.59</v>
      </c>
      <c r="Q52" s="112">
        <v>4.3</v>
      </c>
    </row>
    <row r="53" spans="1:17" customFormat="1">
      <c r="A53" s="80">
        <v>45599.46875</v>
      </c>
      <c r="B53" s="112">
        <v>5.25</v>
      </c>
      <c r="C53" s="112">
        <v>8.07</v>
      </c>
      <c r="D53" s="112">
        <v>13.99</v>
      </c>
      <c r="E53" s="112">
        <v>11.47</v>
      </c>
      <c r="F53" s="112">
        <v>10.45</v>
      </c>
      <c r="G53" s="112">
        <v>71</v>
      </c>
      <c r="H53" s="112">
        <v>25.48</v>
      </c>
      <c r="I53" s="112">
        <v>6.9</v>
      </c>
      <c r="J53" s="112">
        <v>0.27</v>
      </c>
      <c r="K53" s="112">
        <v>75.61</v>
      </c>
      <c r="L53" s="112">
        <v>32.19</v>
      </c>
      <c r="M53" s="112">
        <v>41.25</v>
      </c>
      <c r="N53" s="112">
        <v>536.79999999999995</v>
      </c>
      <c r="O53" s="112">
        <v>0</v>
      </c>
      <c r="P53" s="112">
        <v>0.57999999999999996</v>
      </c>
      <c r="Q53" s="112">
        <v>4.29</v>
      </c>
    </row>
    <row r="54" spans="1:17" customFormat="1">
      <c r="A54" s="80">
        <v>45599.479166666664</v>
      </c>
      <c r="B54" s="112">
        <v>5.25</v>
      </c>
      <c r="C54" s="112">
        <v>8.06</v>
      </c>
      <c r="D54" s="112">
        <v>13.99</v>
      </c>
      <c r="E54" s="112">
        <v>11.87</v>
      </c>
      <c r="F54" s="112">
        <v>10.66</v>
      </c>
      <c r="G54" s="112">
        <v>71</v>
      </c>
      <c r="H54" s="112">
        <v>25.48</v>
      </c>
      <c r="I54" s="112">
        <v>6.81</v>
      </c>
      <c r="J54" s="112">
        <v>0.66</v>
      </c>
      <c r="K54" s="112">
        <v>51.87</v>
      </c>
      <c r="L54" s="112">
        <v>31.58</v>
      </c>
      <c r="M54" s="112">
        <v>41.74</v>
      </c>
      <c r="N54" s="112">
        <v>546.4</v>
      </c>
      <c r="O54" s="112">
        <v>0</v>
      </c>
      <c r="P54" s="112">
        <v>0.57999999999999996</v>
      </c>
      <c r="Q54" s="112">
        <v>4.28</v>
      </c>
    </row>
    <row r="55" spans="1:17" customFormat="1">
      <c r="A55" s="80">
        <v>45599.489583333336</v>
      </c>
      <c r="B55" s="112">
        <v>5.26</v>
      </c>
      <c r="C55" s="112">
        <v>8.07</v>
      </c>
      <c r="D55" s="112">
        <v>14</v>
      </c>
      <c r="E55" s="112">
        <v>13.7</v>
      </c>
      <c r="F55" s="112">
        <v>21.42</v>
      </c>
      <c r="G55" s="112">
        <v>71.61</v>
      </c>
      <c r="H55" s="112">
        <v>27.48</v>
      </c>
      <c r="I55" s="112">
        <v>6.77</v>
      </c>
      <c r="J55" s="112">
        <v>0.45</v>
      </c>
      <c r="K55" s="112">
        <v>18.55</v>
      </c>
      <c r="L55" s="112">
        <v>31.85</v>
      </c>
      <c r="M55" s="112">
        <v>40.89</v>
      </c>
      <c r="N55" s="112">
        <v>547.1</v>
      </c>
      <c r="O55" s="112">
        <v>0</v>
      </c>
      <c r="P55" s="112">
        <v>0.59</v>
      </c>
      <c r="Q55" s="112">
        <v>4.3</v>
      </c>
    </row>
    <row r="56" spans="1:17" customFormat="1">
      <c r="A56" s="80">
        <v>45599.5</v>
      </c>
      <c r="B56" s="112">
        <v>5.28</v>
      </c>
      <c r="C56" s="112">
        <v>8.11</v>
      </c>
      <c r="D56" s="112">
        <v>14.04</v>
      </c>
      <c r="E56" s="112">
        <v>13.25</v>
      </c>
      <c r="F56" s="112">
        <v>10.42</v>
      </c>
      <c r="G56" s="112">
        <v>71.86</v>
      </c>
      <c r="H56" s="112">
        <v>27.63</v>
      </c>
      <c r="I56" s="112">
        <v>6.71</v>
      </c>
      <c r="J56" s="112">
        <v>0.26</v>
      </c>
      <c r="K56" s="112">
        <v>87.53</v>
      </c>
      <c r="L56" s="112">
        <v>32.61</v>
      </c>
      <c r="M56" s="112">
        <v>38.200000000000003</v>
      </c>
      <c r="N56" s="112">
        <v>533.70000000000005</v>
      </c>
      <c r="O56" s="112">
        <v>0</v>
      </c>
      <c r="P56" s="112">
        <v>0.56999999999999995</v>
      </c>
      <c r="Q56" s="112">
        <v>4.3099999999999996</v>
      </c>
    </row>
    <row r="57" spans="1:17" customFormat="1">
      <c r="A57" s="80">
        <v>45599.510416666664</v>
      </c>
      <c r="B57" s="112">
        <v>5.3</v>
      </c>
      <c r="C57" s="112">
        <v>8.09</v>
      </c>
      <c r="D57" s="112">
        <v>14.04</v>
      </c>
      <c r="E57" s="112">
        <v>12.21</v>
      </c>
      <c r="F57" s="112">
        <v>11.01</v>
      </c>
      <c r="G57" s="112">
        <v>71.86</v>
      </c>
      <c r="H57" s="112">
        <v>27.63</v>
      </c>
      <c r="I57" s="112">
        <v>6.68</v>
      </c>
      <c r="J57" s="112">
        <v>0.26</v>
      </c>
      <c r="K57" s="112">
        <v>182.95</v>
      </c>
      <c r="L57" s="112">
        <v>32.81</v>
      </c>
      <c r="M57" s="112">
        <v>38.19</v>
      </c>
      <c r="N57" s="112">
        <v>551.6</v>
      </c>
      <c r="O57" s="112">
        <v>0</v>
      </c>
      <c r="P57" s="112">
        <v>0.57999999999999996</v>
      </c>
      <c r="Q57" s="112">
        <v>4.29</v>
      </c>
    </row>
    <row r="58" spans="1:17" customFormat="1">
      <c r="A58" s="80">
        <v>45599.520833333336</v>
      </c>
      <c r="B58" s="112">
        <v>5.3</v>
      </c>
      <c r="C58" s="112">
        <v>8.0299999999999994</v>
      </c>
      <c r="D58" s="112">
        <v>14.02</v>
      </c>
      <c r="E58" s="112">
        <v>12.64</v>
      </c>
      <c r="F58" s="112">
        <v>11.36</v>
      </c>
      <c r="G58" s="112">
        <v>71.86</v>
      </c>
      <c r="H58" s="112">
        <v>27.63</v>
      </c>
      <c r="I58" s="112">
        <v>6.66</v>
      </c>
      <c r="J58" s="112">
        <v>0.14000000000000001</v>
      </c>
      <c r="K58" s="112">
        <v>84.94</v>
      </c>
      <c r="L58" s="112">
        <v>33.11</v>
      </c>
      <c r="M58" s="112">
        <v>37.39</v>
      </c>
      <c r="N58" s="112">
        <v>529.29999999999995</v>
      </c>
      <c r="O58" s="112">
        <v>0</v>
      </c>
      <c r="P58" s="112">
        <v>0.56000000000000005</v>
      </c>
      <c r="Q58" s="112">
        <v>4.28</v>
      </c>
    </row>
    <row r="59" spans="1:17" customFormat="1">
      <c r="A59" s="80">
        <v>45599.53125</v>
      </c>
      <c r="B59" s="112">
        <v>5.3</v>
      </c>
      <c r="C59" s="112">
        <v>8.0500000000000007</v>
      </c>
      <c r="D59" s="112">
        <v>14.02</v>
      </c>
      <c r="E59" s="112">
        <v>11.74</v>
      </c>
      <c r="F59" s="112">
        <v>12.67</v>
      </c>
      <c r="G59" s="112">
        <v>73.45</v>
      </c>
      <c r="H59" s="112">
        <v>27.83</v>
      </c>
      <c r="I59" s="112">
        <v>6.56</v>
      </c>
      <c r="J59" s="112">
        <v>7.0000000000000007E-2</v>
      </c>
      <c r="K59" s="112">
        <v>159.9</v>
      </c>
      <c r="L59" s="112">
        <v>32.93</v>
      </c>
      <c r="M59" s="112">
        <v>35.69</v>
      </c>
      <c r="N59" s="112">
        <v>474</v>
      </c>
      <c r="O59" s="112">
        <v>0</v>
      </c>
      <c r="P59" s="112">
        <v>0.56000000000000005</v>
      </c>
      <c r="Q59" s="112">
        <v>4.28</v>
      </c>
    </row>
    <row r="60" spans="1:17" customFormat="1">
      <c r="A60" s="80">
        <v>45599.541666666664</v>
      </c>
      <c r="B60" s="112">
        <v>5.29</v>
      </c>
      <c r="C60" s="112">
        <v>8.06</v>
      </c>
      <c r="D60" s="112">
        <v>14.02</v>
      </c>
      <c r="E60" s="112">
        <v>12.07</v>
      </c>
      <c r="F60" s="112">
        <v>13.31</v>
      </c>
      <c r="G60" s="112">
        <v>74.09</v>
      </c>
      <c r="H60" s="112">
        <v>27.84</v>
      </c>
      <c r="I60" s="112">
        <v>6.49</v>
      </c>
      <c r="J60" s="112">
        <v>0.16</v>
      </c>
      <c r="K60" s="112">
        <v>40.76</v>
      </c>
      <c r="L60" s="112">
        <v>32.94</v>
      </c>
      <c r="M60" s="112">
        <v>35.369999999999997</v>
      </c>
      <c r="N60" s="112">
        <v>454.3</v>
      </c>
      <c r="O60" s="112">
        <v>0</v>
      </c>
      <c r="P60" s="112">
        <v>0.56000000000000005</v>
      </c>
      <c r="Q60" s="112">
        <v>4.29</v>
      </c>
    </row>
    <row r="61" spans="1:17" customFormat="1">
      <c r="A61" s="80">
        <v>45599.552083333336</v>
      </c>
      <c r="B61" s="112">
        <v>5.27</v>
      </c>
      <c r="C61" s="112">
        <v>8.07</v>
      </c>
      <c r="D61" s="112">
        <v>14.01</v>
      </c>
      <c r="E61" s="112">
        <v>12.98</v>
      </c>
      <c r="F61" s="112">
        <v>18.309999999999999</v>
      </c>
      <c r="G61" s="112">
        <v>74.09</v>
      </c>
      <c r="H61" s="112">
        <v>27.84</v>
      </c>
      <c r="I61" s="112">
        <v>6.38</v>
      </c>
      <c r="J61" s="112">
        <v>0.43</v>
      </c>
      <c r="K61" s="112">
        <v>47.03</v>
      </c>
      <c r="L61" s="112">
        <v>32.51</v>
      </c>
      <c r="M61" s="112">
        <v>34.65</v>
      </c>
      <c r="N61" s="112">
        <v>386.4</v>
      </c>
      <c r="O61" s="112">
        <v>0</v>
      </c>
      <c r="P61" s="112">
        <v>0.55000000000000004</v>
      </c>
      <c r="Q61" s="112">
        <v>4.28</v>
      </c>
    </row>
    <row r="62" spans="1:17" customFormat="1">
      <c r="A62" s="80">
        <v>45599.5625</v>
      </c>
      <c r="B62" s="112">
        <v>5.28</v>
      </c>
      <c r="C62" s="112">
        <v>8.0399999999999991</v>
      </c>
      <c r="D62" s="112">
        <v>14.01</v>
      </c>
      <c r="E62" s="112">
        <v>13.92</v>
      </c>
      <c r="F62" s="112">
        <v>12.07</v>
      </c>
      <c r="G62" s="112">
        <v>74.09</v>
      </c>
      <c r="H62" s="112">
        <v>27.84</v>
      </c>
      <c r="I62" s="112">
        <v>6.25</v>
      </c>
      <c r="J62" s="112">
        <v>0.22</v>
      </c>
      <c r="K62" s="112">
        <v>58.49</v>
      </c>
      <c r="L62" s="112">
        <v>32.28</v>
      </c>
      <c r="M62" s="112">
        <v>36.11</v>
      </c>
      <c r="N62" s="112">
        <v>316.7</v>
      </c>
      <c r="O62" s="112">
        <v>0</v>
      </c>
      <c r="P62" s="112">
        <v>0.56000000000000005</v>
      </c>
      <c r="Q62" s="112">
        <v>4.28</v>
      </c>
    </row>
    <row r="63" spans="1:17" customFormat="1">
      <c r="A63" s="80">
        <v>45599.572916666664</v>
      </c>
      <c r="B63" s="112">
        <v>5.29</v>
      </c>
      <c r="C63" s="112">
        <v>8.0299999999999994</v>
      </c>
      <c r="D63" s="112">
        <v>14</v>
      </c>
      <c r="E63" s="112">
        <v>15.14</v>
      </c>
      <c r="F63" s="112">
        <v>14.95</v>
      </c>
      <c r="G63" s="112">
        <v>74.569999999999993</v>
      </c>
      <c r="H63" s="112">
        <v>26.65</v>
      </c>
      <c r="I63" s="112">
        <v>6.2</v>
      </c>
      <c r="J63" s="112">
        <v>0.19</v>
      </c>
      <c r="K63" s="112">
        <v>121.07</v>
      </c>
      <c r="L63" s="112">
        <v>32.380000000000003</v>
      </c>
      <c r="M63" s="112">
        <v>36.78</v>
      </c>
      <c r="N63" s="112">
        <v>305.10000000000002</v>
      </c>
      <c r="O63" s="112">
        <v>0</v>
      </c>
      <c r="P63" s="112">
        <v>0.56000000000000005</v>
      </c>
      <c r="Q63" s="112">
        <v>4.28</v>
      </c>
    </row>
    <row r="64" spans="1:17" customFormat="1">
      <c r="A64" s="80">
        <v>45599.583333333336</v>
      </c>
      <c r="B64" s="112">
        <v>5.29</v>
      </c>
      <c r="C64" s="112">
        <v>8.07</v>
      </c>
      <c r="D64" s="112">
        <v>14.02</v>
      </c>
      <c r="E64" s="112">
        <v>14.3</v>
      </c>
      <c r="F64" s="112">
        <v>12.18</v>
      </c>
      <c r="G64" s="112">
        <v>74.760000000000005</v>
      </c>
      <c r="H64" s="112">
        <v>26.6</v>
      </c>
      <c r="I64" s="112">
        <v>6.17</v>
      </c>
      <c r="J64" s="112">
        <v>0.4</v>
      </c>
      <c r="K64" s="112">
        <v>165.94</v>
      </c>
      <c r="L64" s="112">
        <v>32.18</v>
      </c>
      <c r="M64" s="112">
        <v>40.93</v>
      </c>
      <c r="N64" s="112">
        <v>276</v>
      </c>
      <c r="O64" s="112">
        <v>0</v>
      </c>
      <c r="P64" s="112">
        <v>0.55000000000000004</v>
      </c>
      <c r="Q64" s="112">
        <v>4.29</v>
      </c>
    </row>
    <row r="65" spans="1:17" customFormat="1">
      <c r="A65" s="80">
        <v>45599.59375</v>
      </c>
      <c r="B65" s="112">
        <v>5.26</v>
      </c>
      <c r="C65" s="112">
        <v>8.08</v>
      </c>
      <c r="D65" s="112">
        <v>14.01</v>
      </c>
      <c r="E65" s="112">
        <v>13.97</v>
      </c>
      <c r="F65" s="112">
        <v>16.27</v>
      </c>
      <c r="G65" s="112">
        <v>74.760000000000005</v>
      </c>
      <c r="H65" s="112">
        <v>26.6</v>
      </c>
      <c r="I65" s="112">
        <v>6.17</v>
      </c>
      <c r="J65" s="112">
        <v>0.19</v>
      </c>
      <c r="K65" s="112">
        <v>194.94</v>
      </c>
      <c r="L65" s="112">
        <v>31.64</v>
      </c>
      <c r="M65" s="112">
        <v>42.6</v>
      </c>
      <c r="N65" s="112">
        <v>173.9</v>
      </c>
      <c r="O65" s="112">
        <v>0</v>
      </c>
      <c r="P65" s="112">
        <v>0.52</v>
      </c>
      <c r="Q65" s="112">
        <v>4.29</v>
      </c>
    </row>
    <row r="66" spans="1:17" customFormat="1">
      <c r="A66" s="80">
        <v>45599.604166666664</v>
      </c>
      <c r="B66" s="112">
        <v>5.26</v>
      </c>
      <c r="C66" s="112">
        <v>8.06</v>
      </c>
      <c r="D66" s="112">
        <v>13.99</v>
      </c>
      <c r="E66" s="112">
        <v>14.42</v>
      </c>
      <c r="F66" s="112">
        <v>15.43</v>
      </c>
      <c r="G66" s="112">
        <v>74.760000000000005</v>
      </c>
      <c r="H66" s="112">
        <v>26.6</v>
      </c>
      <c r="I66" s="112">
        <v>6.15</v>
      </c>
      <c r="J66" s="112">
        <v>0.17</v>
      </c>
      <c r="K66" s="112">
        <v>191.44</v>
      </c>
      <c r="L66" s="112">
        <v>31.28</v>
      </c>
      <c r="M66" s="112">
        <v>43.72</v>
      </c>
      <c r="N66" s="112">
        <v>136.6</v>
      </c>
      <c r="O66" s="112">
        <v>0</v>
      </c>
      <c r="P66" s="112">
        <v>0.54</v>
      </c>
      <c r="Q66" s="112">
        <v>4.3</v>
      </c>
    </row>
    <row r="67" spans="1:17" customFormat="1">
      <c r="A67" s="80">
        <v>45599.614583333336</v>
      </c>
      <c r="B67" s="112">
        <v>5.25</v>
      </c>
      <c r="C67" s="112">
        <v>8.08</v>
      </c>
      <c r="D67" s="112">
        <v>14</v>
      </c>
      <c r="E67" s="112">
        <v>14.77</v>
      </c>
      <c r="F67" s="112">
        <v>21.49</v>
      </c>
      <c r="G67" s="112">
        <v>71.540000000000006</v>
      </c>
      <c r="H67" s="112">
        <v>26.76</v>
      </c>
      <c r="I67" s="112">
        <v>6.08</v>
      </c>
      <c r="J67" s="112">
        <v>0.25</v>
      </c>
      <c r="K67" s="112">
        <v>173.57</v>
      </c>
      <c r="L67" s="112">
        <v>30.74</v>
      </c>
      <c r="M67" s="112">
        <v>45.39</v>
      </c>
      <c r="N67" s="112">
        <v>121.9</v>
      </c>
      <c r="O67" s="112">
        <v>0</v>
      </c>
      <c r="P67" s="112">
        <v>0.53</v>
      </c>
      <c r="Q67" s="112">
        <v>4.3</v>
      </c>
    </row>
    <row r="68" spans="1:17" customFormat="1">
      <c r="A68" s="80">
        <v>45599.625</v>
      </c>
      <c r="B68" s="112">
        <v>5.25</v>
      </c>
      <c r="C68" s="112">
        <v>8.07</v>
      </c>
      <c r="D68" s="112">
        <v>13.99</v>
      </c>
      <c r="E68" s="112">
        <v>15.87</v>
      </c>
      <c r="F68" s="112">
        <v>22.6</v>
      </c>
      <c r="G68" s="112">
        <v>70.22</v>
      </c>
      <c r="H68" s="112">
        <v>26.77</v>
      </c>
      <c r="I68" s="112">
        <v>6.02</v>
      </c>
      <c r="J68" s="112">
        <v>0.14000000000000001</v>
      </c>
      <c r="K68" s="112">
        <v>285.75</v>
      </c>
      <c r="L68" s="112">
        <v>30.82</v>
      </c>
      <c r="M68" s="112">
        <v>43.95</v>
      </c>
      <c r="N68" s="112">
        <v>103.1</v>
      </c>
      <c r="O68" s="112">
        <v>0</v>
      </c>
      <c r="P68" s="112">
        <v>0.54</v>
      </c>
      <c r="Q68" s="112">
        <v>4.3</v>
      </c>
    </row>
    <row r="69" spans="1:17" customFormat="1">
      <c r="A69" s="80">
        <v>45599.635416666664</v>
      </c>
      <c r="B69" s="112">
        <v>5.26</v>
      </c>
      <c r="C69" s="112">
        <v>8.07</v>
      </c>
      <c r="D69" s="112">
        <v>14</v>
      </c>
      <c r="E69" s="112">
        <v>18.260000000000002</v>
      </c>
      <c r="F69" s="112">
        <v>31.77</v>
      </c>
      <c r="G69" s="112">
        <v>70.22</v>
      </c>
      <c r="H69" s="112">
        <v>26.77</v>
      </c>
      <c r="I69" s="112">
        <v>5.99</v>
      </c>
      <c r="J69" s="112">
        <v>0.28999999999999998</v>
      </c>
      <c r="K69" s="112">
        <v>332.53</v>
      </c>
      <c r="L69" s="112">
        <v>30.84</v>
      </c>
      <c r="M69" s="112">
        <v>42.36</v>
      </c>
      <c r="N69" s="112">
        <v>86.3</v>
      </c>
      <c r="O69" s="112">
        <v>0</v>
      </c>
      <c r="P69" s="112">
        <v>0.56000000000000005</v>
      </c>
      <c r="Q69" s="112">
        <v>4.28</v>
      </c>
    </row>
    <row r="70" spans="1:17" customFormat="1">
      <c r="A70" s="80">
        <v>45599.645833333336</v>
      </c>
      <c r="B70" s="112">
        <v>5.26</v>
      </c>
      <c r="C70" s="112">
        <v>8.06</v>
      </c>
      <c r="D70" s="112">
        <v>14</v>
      </c>
      <c r="E70" s="112">
        <v>19.47</v>
      </c>
      <c r="F70" s="112">
        <v>27.3</v>
      </c>
      <c r="G70" s="112">
        <v>70.22</v>
      </c>
      <c r="H70" s="112">
        <v>26.77</v>
      </c>
      <c r="I70" s="112">
        <v>6.03</v>
      </c>
      <c r="J70" s="112">
        <v>0.21</v>
      </c>
      <c r="K70" s="112">
        <v>160.11000000000001</v>
      </c>
      <c r="L70" s="112">
        <v>30.46</v>
      </c>
      <c r="M70" s="112">
        <v>47.44</v>
      </c>
      <c r="N70" s="112">
        <v>75.3</v>
      </c>
      <c r="O70" s="112">
        <v>0</v>
      </c>
      <c r="P70" s="112">
        <v>0.54</v>
      </c>
      <c r="Q70" s="112">
        <v>4.3</v>
      </c>
    </row>
    <row r="71" spans="1:17" customFormat="1">
      <c r="A71" s="80">
        <v>45599.65625</v>
      </c>
      <c r="B71" s="112">
        <v>5.26</v>
      </c>
      <c r="C71" s="112">
        <v>8.06</v>
      </c>
      <c r="D71" s="112">
        <v>14</v>
      </c>
      <c r="E71" s="112">
        <v>17.25</v>
      </c>
      <c r="F71" s="112">
        <v>22.21</v>
      </c>
      <c r="G71" s="112">
        <v>70.849999999999994</v>
      </c>
      <c r="H71" s="112">
        <v>28</v>
      </c>
      <c r="I71" s="112">
        <v>6.12</v>
      </c>
      <c r="J71" s="112">
        <v>0.1</v>
      </c>
      <c r="K71" s="112">
        <v>157.71</v>
      </c>
      <c r="L71" s="112">
        <v>30.02</v>
      </c>
      <c r="M71" s="112">
        <v>47.35</v>
      </c>
      <c r="N71" s="112">
        <v>66.400000000000006</v>
      </c>
      <c r="O71" s="112">
        <v>0</v>
      </c>
      <c r="P71" s="112">
        <v>0.54</v>
      </c>
      <c r="Q71" s="112">
        <v>4.3</v>
      </c>
    </row>
    <row r="72" spans="1:17" customFormat="1">
      <c r="A72" s="80">
        <v>45599.666666666664</v>
      </c>
      <c r="B72" s="112">
        <v>5.26</v>
      </c>
      <c r="C72" s="112">
        <v>8.06</v>
      </c>
      <c r="D72" s="112">
        <v>14</v>
      </c>
      <c r="E72" s="112">
        <v>17.489999999999998</v>
      </c>
      <c r="F72" s="112">
        <v>26.52</v>
      </c>
      <c r="G72" s="112">
        <v>71.099999999999994</v>
      </c>
      <c r="H72" s="112">
        <v>28.06</v>
      </c>
      <c r="I72" s="112">
        <v>6.05</v>
      </c>
      <c r="J72" s="112">
        <v>0.08</v>
      </c>
      <c r="K72" s="112">
        <v>129.15</v>
      </c>
      <c r="L72" s="112">
        <v>30.19</v>
      </c>
      <c r="M72" s="112">
        <v>46.02</v>
      </c>
      <c r="N72" s="112">
        <v>47.2</v>
      </c>
      <c r="O72" s="112">
        <v>0</v>
      </c>
      <c r="P72" s="112">
        <v>0.59</v>
      </c>
      <c r="Q72" s="112">
        <v>4.28</v>
      </c>
    </row>
    <row r="73" spans="1:17" customFormat="1">
      <c r="A73" s="80">
        <v>45599.677083333336</v>
      </c>
      <c r="B73" s="112">
        <v>5.25</v>
      </c>
      <c r="C73" s="112">
        <v>8.0399999999999991</v>
      </c>
      <c r="D73" s="112">
        <v>13.98</v>
      </c>
      <c r="E73" s="112">
        <v>18.45</v>
      </c>
      <c r="F73" s="112">
        <v>29.28</v>
      </c>
      <c r="G73" s="112">
        <v>71.099999999999994</v>
      </c>
      <c r="H73" s="112">
        <v>28.06</v>
      </c>
      <c r="I73" s="112">
        <v>6.07</v>
      </c>
      <c r="J73" s="112">
        <v>0.09</v>
      </c>
      <c r="K73" s="112">
        <v>52.11</v>
      </c>
      <c r="L73" s="112">
        <v>29.66</v>
      </c>
      <c r="M73" s="112">
        <v>46.34</v>
      </c>
      <c r="N73" s="112">
        <v>37.299999999999997</v>
      </c>
      <c r="O73" s="112">
        <v>0</v>
      </c>
      <c r="P73" s="112">
        <v>0.59</v>
      </c>
      <c r="Q73" s="112">
        <v>4.28</v>
      </c>
    </row>
    <row r="74" spans="1:17" customFormat="1">
      <c r="A74" s="80">
        <v>45599.6875</v>
      </c>
      <c r="B74" s="112">
        <v>5.25</v>
      </c>
      <c r="C74" s="112">
        <v>8.06</v>
      </c>
      <c r="D74" s="112">
        <v>13.99</v>
      </c>
      <c r="E74" s="112">
        <v>24.16</v>
      </c>
      <c r="F74" s="112">
        <v>16.02</v>
      </c>
      <c r="G74" s="112">
        <v>71.099999999999994</v>
      </c>
      <c r="H74" s="112">
        <v>28.06</v>
      </c>
      <c r="I74" s="112">
        <v>6.19</v>
      </c>
      <c r="J74" s="112">
        <v>0.09</v>
      </c>
      <c r="K74" s="112">
        <v>99.34</v>
      </c>
      <c r="L74" s="112">
        <v>29.83</v>
      </c>
      <c r="M74" s="112">
        <v>46.33</v>
      </c>
      <c r="N74" s="112">
        <v>29.9</v>
      </c>
      <c r="O74" s="112">
        <v>0</v>
      </c>
      <c r="P74" s="112">
        <v>0.59</v>
      </c>
      <c r="Q74" s="112">
        <v>4.29</v>
      </c>
    </row>
    <row r="75" spans="1:17" customFormat="1">
      <c r="A75" s="80">
        <v>45599.697916666664</v>
      </c>
      <c r="B75" s="112">
        <v>5.26</v>
      </c>
      <c r="C75" s="112">
        <v>8.06</v>
      </c>
      <c r="D75" s="112">
        <v>13.99</v>
      </c>
      <c r="E75" s="112">
        <v>20.04</v>
      </c>
      <c r="F75" s="112">
        <v>21.97</v>
      </c>
      <c r="G75" s="112">
        <v>75.14</v>
      </c>
      <c r="H75" s="112">
        <v>26.75</v>
      </c>
      <c r="I75" s="112">
        <v>6.13</v>
      </c>
      <c r="J75" s="112">
        <v>0.28999999999999998</v>
      </c>
      <c r="K75" s="112">
        <v>161.36000000000001</v>
      </c>
      <c r="L75" s="112">
        <v>28.94</v>
      </c>
      <c r="M75" s="112">
        <v>51.39</v>
      </c>
      <c r="N75" s="112">
        <v>19.899999999999999</v>
      </c>
      <c r="O75" s="112">
        <v>0</v>
      </c>
      <c r="P75" s="112">
        <v>0.6</v>
      </c>
      <c r="Q75" s="112">
        <v>4.3</v>
      </c>
    </row>
    <row r="76" spans="1:17" customFormat="1">
      <c r="A76" s="80">
        <v>45599.708333333336</v>
      </c>
      <c r="B76" s="112">
        <v>5.26</v>
      </c>
      <c r="C76" s="112">
        <v>8.07</v>
      </c>
      <c r="D76" s="112">
        <v>14</v>
      </c>
      <c r="E76" s="112">
        <v>17.71</v>
      </c>
      <c r="F76" s="112">
        <v>18.13</v>
      </c>
      <c r="G76" s="112">
        <v>76.78</v>
      </c>
      <c r="H76" s="112">
        <v>26.69</v>
      </c>
      <c r="I76" s="112">
        <v>6.16</v>
      </c>
      <c r="J76" s="112">
        <v>0.23</v>
      </c>
      <c r="K76" s="112">
        <v>182.17</v>
      </c>
      <c r="L76" s="112">
        <v>28.19</v>
      </c>
      <c r="M76" s="112">
        <v>56.07</v>
      </c>
      <c r="N76" s="112">
        <v>10.6</v>
      </c>
      <c r="O76" s="112">
        <v>0</v>
      </c>
      <c r="P76" s="112">
        <v>0.59</v>
      </c>
      <c r="Q76" s="112">
        <v>4.3099999999999996</v>
      </c>
    </row>
    <row r="77" spans="1:17" customFormat="1">
      <c r="A77" s="80">
        <v>45599.71875</v>
      </c>
      <c r="B77" s="112">
        <v>5.25</v>
      </c>
      <c r="C77" s="112">
        <v>8.08</v>
      </c>
      <c r="D77" s="112">
        <v>14</v>
      </c>
      <c r="E77" s="112">
        <v>15.25</v>
      </c>
      <c r="F77" s="112">
        <v>11.51</v>
      </c>
      <c r="G77" s="112">
        <v>76.78</v>
      </c>
      <c r="H77" s="112">
        <v>26.69</v>
      </c>
      <c r="I77" s="112">
        <v>6.2</v>
      </c>
      <c r="J77" s="112">
        <v>0.17</v>
      </c>
      <c r="K77" s="112">
        <v>211.19</v>
      </c>
      <c r="L77" s="112">
        <v>27.7</v>
      </c>
      <c r="M77" s="112">
        <v>55.22</v>
      </c>
      <c r="N77" s="112">
        <v>4.3</v>
      </c>
      <c r="O77" s="112">
        <v>0</v>
      </c>
      <c r="P77" s="112">
        <v>0.57999999999999996</v>
      </c>
      <c r="Q77" s="112">
        <v>4.29</v>
      </c>
    </row>
    <row r="78" spans="1:17" customFormat="1">
      <c r="A78" s="80">
        <v>45599.729166666664</v>
      </c>
      <c r="B78" s="112">
        <v>5.24</v>
      </c>
      <c r="C78" s="112">
        <v>8.07</v>
      </c>
      <c r="D78" s="112">
        <v>13.99</v>
      </c>
      <c r="E78" s="112">
        <v>14.9</v>
      </c>
      <c r="F78" s="112">
        <v>16.95</v>
      </c>
      <c r="G78" s="112">
        <v>76.78</v>
      </c>
      <c r="H78" s="112">
        <v>26.69</v>
      </c>
      <c r="I78" s="112">
        <v>6.23</v>
      </c>
      <c r="J78" s="112">
        <v>0.19</v>
      </c>
      <c r="K78" s="112">
        <v>173.71</v>
      </c>
      <c r="L78" s="112">
        <v>27.79</v>
      </c>
      <c r="M78" s="112">
        <v>51.82</v>
      </c>
      <c r="N78" s="112">
        <v>2.1</v>
      </c>
      <c r="O78" s="112">
        <v>0</v>
      </c>
      <c r="P78" s="112">
        <v>0.57999999999999996</v>
      </c>
      <c r="Q78" s="112">
        <v>4.29</v>
      </c>
    </row>
    <row r="79" spans="1:17" customFormat="1">
      <c r="A79" s="80">
        <v>45599.739583333336</v>
      </c>
      <c r="B79" s="112">
        <v>5.24</v>
      </c>
      <c r="C79" s="112">
        <v>8.07</v>
      </c>
      <c r="D79" s="112">
        <v>13.99</v>
      </c>
      <c r="E79" s="112">
        <v>14.05</v>
      </c>
      <c r="F79" s="112">
        <v>13.42</v>
      </c>
      <c r="G79" s="112">
        <v>74</v>
      </c>
      <c r="H79" s="112">
        <v>26.88</v>
      </c>
      <c r="I79" s="112">
        <v>6.26</v>
      </c>
      <c r="J79" s="112">
        <v>0.23</v>
      </c>
      <c r="K79" s="112">
        <v>161.30000000000001</v>
      </c>
      <c r="L79" s="112">
        <v>27.47</v>
      </c>
      <c r="M79" s="112">
        <v>62.04</v>
      </c>
      <c r="N79" s="112">
        <v>2.1</v>
      </c>
      <c r="O79" s="112">
        <v>0</v>
      </c>
      <c r="P79" s="112">
        <v>0.57999999999999996</v>
      </c>
      <c r="Q79" s="112">
        <v>4.29</v>
      </c>
    </row>
    <row r="80" spans="1:17" customFormat="1">
      <c r="A80" s="80">
        <v>45599.75</v>
      </c>
      <c r="B80" s="112">
        <v>5.24</v>
      </c>
      <c r="C80" s="112">
        <v>8.1</v>
      </c>
      <c r="D80" s="112">
        <v>14</v>
      </c>
      <c r="E80" s="112">
        <v>13.14</v>
      </c>
      <c r="F80" s="112">
        <v>9.83</v>
      </c>
      <c r="G80" s="112">
        <v>72.930000000000007</v>
      </c>
      <c r="H80" s="112">
        <v>26.89</v>
      </c>
      <c r="I80" s="112">
        <v>6.19</v>
      </c>
      <c r="J80" s="112">
        <v>0.24</v>
      </c>
      <c r="K80" s="112">
        <v>175.39</v>
      </c>
      <c r="L80" s="112">
        <v>27.22</v>
      </c>
      <c r="M80" s="112">
        <v>64.72</v>
      </c>
      <c r="N80" s="112">
        <v>2</v>
      </c>
      <c r="O80" s="112">
        <v>0</v>
      </c>
      <c r="P80" s="112">
        <v>0.59</v>
      </c>
      <c r="Q80" s="112">
        <v>4.2699999999999996</v>
      </c>
    </row>
    <row r="81" spans="1:17" customFormat="1">
      <c r="A81" s="80">
        <v>45599.760416666664</v>
      </c>
      <c r="B81" s="112">
        <v>5.27</v>
      </c>
      <c r="C81" s="112">
        <v>8.1</v>
      </c>
      <c r="D81" s="112">
        <v>14.02</v>
      </c>
      <c r="E81" s="112">
        <v>10.75</v>
      </c>
      <c r="F81" s="112">
        <v>8.06</v>
      </c>
      <c r="G81" s="112">
        <v>72.930000000000007</v>
      </c>
      <c r="H81" s="112">
        <v>26.89</v>
      </c>
      <c r="I81" s="112">
        <v>6.26</v>
      </c>
      <c r="J81" s="112">
        <v>0.2</v>
      </c>
      <c r="K81" s="112">
        <v>166.21</v>
      </c>
      <c r="L81" s="112">
        <v>26.57</v>
      </c>
      <c r="M81" s="112">
        <v>66.650000000000006</v>
      </c>
      <c r="N81" s="112">
        <v>2.1</v>
      </c>
      <c r="O81" s="112">
        <v>0</v>
      </c>
      <c r="P81" s="112">
        <v>0.61</v>
      </c>
      <c r="Q81" s="112">
        <v>4.28</v>
      </c>
    </row>
    <row r="82" spans="1:17" customFormat="1">
      <c r="A82" s="80">
        <v>45599.770833333336</v>
      </c>
      <c r="B82" s="112">
        <v>5.28</v>
      </c>
      <c r="C82" s="112">
        <v>8.07</v>
      </c>
      <c r="D82" s="112">
        <v>14.01</v>
      </c>
      <c r="E82" s="112">
        <v>12.45</v>
      </c>
      <c r="F82" s="112">
        <v>8.44</v>
      </c>
      <c r="G82" s="112">
        <v>72.930000000000007</v>
      </c>
      <c r="H82" s="112">
        <v>26.89</v>
      </c>
      <c r="I82" s="112">
        <v>6.47</v>
      </c>
      <c r="J82" s="112">
        <v>0.24</v>
      </c>
      <c r="K82" s="112">
        <v>150.47</v>
      </c>
      <c r="L82" s="112">
        <v>26.63</v>
      </c>
      <c r="M82" s="112">
        <v>63.5</v>
      </c>
      <c r="N82" s="112">
        <v>1.5</v>
      </c>
      <c r="O82" s="112">
        <v>0</v>
      </c>
      <c r="P82" s="112">
        <v>0.64</v>
      </c>
      <c r="Q82" s="112">
        <v>4.3099999999999996</v>
      </c>
    </row>
    <row r="83" spans="1:17" customFormat="1">
      <c r="A83" s="80">
        <v>45599.78125</v>
      </c>
      <c r="B83" s="112">
        <v>5.26</v>
      </c>
      <c r="C83" s="112">
        <v>8.07</v>
      </c>
      <c r="D83" s="112">
        <v>14</v>
      </c>
      <c r="E83" s="112">
        <v>12.61</v>
      </c>
      <c r="F83" s="112">
        <v>7.46</v>
      </c>
      <c r="G83" s="112">
        <v>72.72</v>
      </c>
      <c r="H83" s="112">
        <v>25.41</v>
      </c>
      <c r="I83" s="112">
        <v>6.56</v>
      </c>
      <c r="J83" s="112">
        <v>0.28000000000000003</v>
      </c>
      <c r="K83" s="112">
        <v>163.57</v>
      </c>
      <c r="L83" s="112">
        <v>26.55</v>
      </c>
      <c r="M83" s="112">
        <v>63.18</v>
      </c>
      <c r="N83" s="112">
        <v>1.7</v>
      </c>
      <c r="O83" s="112">
        <v>0</v>
      </c>
      <c r="P83" s="112">
        <v>0.66</v>
      </c>
      <c r="Q83" s="112">
        <v>4.32</v>
      </c>
    </row>
    <row r="84" spans="1:17" customFormat="1">
      <c r="A84" s="80">
        <v>45599.791666666664</v>
      </c>
      <c r="B84" s="112">
        <v>5.26</v>
      </c>
      <c r="C84" s="112">
        <v>8.1</v>
      </c>
      <c r="D84" s="112">
        <v>14.01</v>
      </c>
      <c r="E84" s="112">
        <v>11.82</v>
      </c>
      <c r="F84" s="112">
        <v>6.8</v>
      </c>
      <c r="G84" s="112">
        <v>72.64</v>
      </c>
      <c r="H84" s="112">
        <v>25.34</v>
      </c>
      <c r="I84" s="112">
        <v>6.68</v>
      </c>
      <c r="J84" s="112">
        <v>0.25</v>
      </c>
      <c r="K84" s="112">
        <v>201.34</v>
      </c>
      <c r="L84" s="112">
        <v>25.98</v>
      </c>
      <c r="M84" s="112">
        <v>69.930000000000007</v>
      </c>
      <c r="N84" s="112">
        <v>2</v>
      </c>
      <c r="O84" s="112">
        <v>0</v>
      </c>
      <c r="P84" s="112">
        <v>0.67</v>
      </c>
      <c r="Q84" s="112">
        <v>4.3</v>
      </c>
    </row>
    <row r="85" spans="1:17" customFormat="1">
      <c r="A85" s="80">
        <v>45599.802083333336</v>
      </c>
      <c r="B85" s="112">
        <v>5.26</v>
      </c>
      <c r="C85" s="112">
        <v>8.09</v>
      </c>
      <c r="D85" s="112">
        <v>14.01</v>
      </c>
      <c r="E85" s="112">
        <v>12.11</v>
      </c>
      <c r="F85" s="112">
        <v>6.57</v>
      </c>
      <c r="G85" s="112">
        <v>72.64</v>
      </c>
      <c r="H85" s="112">
        <v>25.34</v>
      </c>
      <c r="I85" s="112">
        <v>6.79</v>
      </c>
      <c r="J85" s="112">
        <v>0.15</v>
      </c>
      <c r="K85" s="112">
        <v>201.04</v>
      </c>
      <c r="L85" s="112">
        <v>25.35</v>
      </c>
      <c r="M85" s="112">
        <v>72.849999999999994</v>
      </c>
      <c r="N85" s="112">
        <v>2</v>
      </c>
      <c r="O85" s="112">
        <v>0</v>
      </c>
      <c r="P85" s="112">
        <v>0.69</v>
      </c>
      <c r="Q85" s="112">
        <v>4.29</v>
      </c>
    </row>
    <row r="86" spans="1:17" customFormat="1">
      <c r="A86" s="80">
        <v>45599.8125</v>
      </c>
      <c r="B86" s="112">
        <v>5.26</v>
      </c>
      <c r="C86" s="112">
        <v>8.08</v>
      </c>
      <c r="D86" s="112">
        <v>14.01</v>
      </c>
      <c r="E86" s="112">
        <v>11.97</v>
      </c>
      <c r="F86" s="112">
        <v>6.39</v>
      </c>
      <c r="G86" s="112">
        <v>72.64</v>
      </c>
      <c r="H86" s="112">
        <v>25.34</v>
      </c>
      <c r="I86" s="112">
        <v>6.93</v>
      </c>
      <c r="J86" s="112">
        <v>0.2</v>
      </c>
      <c r="K86" s="112">
        <v>197.25</v>
      </c>
      <c r="L86" s="112">
        <v>25.1</v>
      </c>
      <c r="M86" s="112">
        <v>73.75</v>
      </c>
      <c r="N86" s="112">
        <v>1.7</v>
      </c>
      <c r="O86" s="112">
        <v>0</v>
      </c>
      <c r="P86" s="112">
        <v>0.69</v>
      </c>
      <c r="Q86" s="112">
        <v>4.29</v>
      </c>
    </row>
    <row r="87" spans="1:17" customFormat="1">
      <c r="A87" s="80">
        <v>45599.822916666664</v>
      </c>
      <c r="B87" s="112">
        <v>5.27</v>
      </c>
      <c r="C87" s="112">
        <v>8.0500000000000007</v>
      </c>
      <c r="D87" s="112">
        <v>14</v>
      </c>
      <c r="E87" s="112">
        <v>11.97</v>
      </c>
      <c r="F87" s="112">
        <v>6.39</v>
      </c>
      <c r="G87" s="112">
        <v>79.31</v>
      </c>
      <c r="H87" s="112">
        <v>29.32</v>
      </c>
      <c r="I87" s="112">
        <v>7</v>
      </c>
      <c r="J87" s="112">
        <v>0.12</v>
      </c>
      <c r="K87" s="112">
        <v>204.86</v>
      </c>
      <c r="L87" s="112">
        <v>24.91</v>
      </c>
      <c r="M87" s="112">
        <v>74.959999999999994</v>
      </c>
      <c r="N87" s="112">
        <v>1.7</v>
      </c>
      <c r="O87" s="112">
        <v>0</v>
      </c>
      <c r="P87" s="112">
        <v>0.68</v>
      </c>
      <c r="Q87" s="112">
        <v>4.29</v>
      </c>
    </row>
    <row r="88" spans="1:17" customFormat="1">
      <c r="A88" s="80">
        <v>45599.833333333336</v>
      </c>
      <c r="B88" s="112">
        <v>5.28</v>
      </c>
      <c r="C88" s="112">
        <v>8.06</v>
      </c>
      <c r="D88" s="112">
        <v>14.01</v>
      </c>
      <c r="E88" s="112">
        <v>11.49</v>
      </c>
      <c r="F88" s="112">
        <v>6.57</v>
      </c>
      <c r="G88" s="112">
        <v>82.02</v>
      </c>
      <c r="H88" s="112">
        <v>29.51</v>
      </c>
      <c r="I88" s="112">
        <v>6.99</v>
      </c>
      <c r="J88" s="112">
        <v>0.18</v>
      </c>
      <c r="K88" s="112">
        <v>167.91</v>
      </c>
      <c r="L88" s="112">
        <v>24.88</v>
      </c>
      <c r="M88" s="112">
        <v>74.08</v>
      </c>
      <c r="N88" s="112">
        <v>1.4</v>
      </c>
      <c r="O88" s="112">
        <v>0</v>
      </c>
      <c r="P88" s="112">
        <v>0.69</v>
      </c>
      <c r="Q88" s="112">
        <v>4.29</v>
      </c>
    </row>
    <row r="89" spans="1:17" customFormat="1">
      <c r="A89" s="80">
        <v>45599.84375</v>
      </c>
      <c r="B89" s="112">
        <v>5.27</v>
      </c>
      <c r="C89" s="112">
        <v>8.08</v>
      </c>
      <c r="D89" s="112">
        <v>14.01</v>
      </c>
      <c r="E89" s="112">
        <v>11.69</v>
      </c>
      <c r="F89" s="112">
        <v>6.44</v>
      </c>
      <c r="G89" s="112">
        <v>82.02</v>
      </c>
      <c r="H89" s="112">
        <v>29.51</v>
      </c>
      <c r="I89" s="112">
        <v>7.01</v>
      </c>
      <c r="J89" s="112">
        <v>0.17</v>
      </c>
      <c r="K89" s="112">
        <v>126.32</v>
      </c>
      <c r="L89" s="112">
        <v>25.14</v>
      </c>
      <c r="M89" s="112">
        <v>71.319999999999993</v>
      </c>
      <c r="N89" s="112">
        <v>1.3</v>
      </c>
      <c r="O89" s="112">
        <v>0</v>
      </c>
      <c r="P89" s="112">
        <v>0.7</v>
      </c>
      <c r="Q89" s="112">
        <v>4.3</v>
      </c>
    </row>
    <row r="90" spans="1:17" customFormat="1">
      <c r="A90" s="80">
        <v>45599.854166666664</v>
      </c>
      <c r="B90" s="112">
        <v>5.27</v>
      </c>
      <c r="C90" s="112">
        <v>8.08</v>
      </c>
      <c r="D90" s="112">
        <v>14.02</v>
      </c>
      <c r="E90" s="112">
        <v>11.57</v>
      </c>
      <c r="F90" s="112">
        <v>6.16</v>
      </c>
      <c r="G90" s="112">
        <v>82.02</v>
      </c>
      <c r="H90" s="112">
        <v>29.51</v>
      </c>
      <c r="I90" s="112">
        <v>7.09</v>
      </c>
      <c r="J90" s="112">
        <v>0.16</v>
      </c>
      <c r="K90" s="112">
        <v>141.51</v>
      </c>
      <c r="L90" s="112">
        <v>25.35</v>
      </c>
      <c r="M90" s="112">
        <v>69.27</v>
      </c>
      <c r="N90" s="112">
        <v>1.3</v>
      </c>
      <c r="O90" s="112">
        <v>0</v>
      </c>
      <c r="P90" s="112">
        <v>0.71</v>
      </c>
      <c r="Q90" s="112">
        <v>4.28</v>
      </c>
    </row>
    <row r="91" spans="1:17" customFormat="1">
      <c r="A91" s="80">
        <v>45599.864583333336</v>
      </c>
      <c r="B91" s="112">
        <v>5.27</v>
      </c>
      <c r="C91" s="112">
        <v>8.08</v>
      </c>
      <c r="D91" s="112">
        <v>14.02</v>
      </c>
      <c r="E91" s="112">
        <v>11.67</v>
      </c>
      <c r="F91" s="112">
        <v>5.8</v>
      </c>
      <c r="G91" s="112">
        <v>83.31</v>
      </c>
      <c r="H91" s="112">
        <v>30.26</v>
      </c>
      <c r="I91" s="112">
        <v>7.13</v>
      </c>
      <c r="J91" s="112">
        <v>0.13</v>
      </c>
      <c r="K91" s="112">
        <v>73.48</v>
      </c>
      <c r="L91" s="112">
        <v>25.32</v>
      </c>
      <c r="M91" s="112">
        <v>69.83</v>
      </c>
      <c r="N91" s="112">
        <v>1.4</v>
      </c>
      <c r="O91" s="112">
        <v>0</v>
      </c>
      <c r="P91" s="112">
        <v>0.72</v>
      </c>
      <c r="Q91" s="112">
        <v>4.2699999999999996</v>
      </c>
    </row>
    <row r="92" spans="1:17" customFormat="1">
      <c r="A92" s="80">
        <v>45599.875</v>
      </c>
      <c r="B92" s="112">
        <v>5.26</v>
      </c>
      <c r="C92" s="112">
        <v>8.09</v>
      </c>
      <c r="D92" s="112">
        <v>14.01</v>
      </c>
      <c r="E92" s="112">
        <v>11.71</v>
      </c>
      <c r="F92" s="112">
        <v>6.02</v>
      </c>
      <c r="G92" s="112">
        <v>83.83</v>
      </c>
      <c r="H92" s="112">
        <v>30.29</v>
      </c>
      <c r="I92" s="112">
        <v>7.22</v>
      </c>
      <c r="J92" s="112">
        <v>0.01</v>
      </c>
      <c r="K92" s="112">
        <v>133.25</v>
      </c>
      <c r="L92" s="112">
        <v>24.86</v>
      </c>
      <c r="M92" s="112">
        <v>71.069999999999993</v>
      </c>
      <c r="N92" s="112">
        <v>1.6</v>
      </c>
      <c r="O92" s="112">
        <v>0</v>
      </c>
      <c r="P92" s="112">
        <v>0.75</v>
      </c>
      <c r="Q92" s="112">
        <v>4.29</v>
      </c>
    </row>
    <row r="93" spans="1:17" customFormat="1">
      <c r="A93" s="80">
        <v>45599.885416666664</v>
      </c>
      <c r="B93" s="112">
        <v>5.27</v>
      </c>
      <c r="C93" s="112">
        <v>8.08</v>
      </c>
      <c r="D93" s="112">
        <v>14.02</v>
      </c>
      <c r="E93" s="112">
        <v>11.63</v>
      </c>
      <c r="F93" s="112">
        <v>6.15</v>
      </c>
      <c r="G93" s="112">
        <v>83.83</v>
      </c>
      <c r="H93" s="112">
        <v>30.29</v>
      </c>
      <c r="I93" s="112">
        <v>7.38</v>
      </c>
      <c r="J93" s="112">
        <v>0.17</v>
      </c>
      <c r="K93" s="112">
        <v>125.12</v>
      </c>
      <c r="L93" s="112">
        <v>24.82</v>
      </c>
      <c r="M93" s="112">
        <v>72</v>
      </c>
      <c r="N93" s="112">
        <v>1.7</v>
      </c>
      <c r="O93" s="112">
        <v>0</v>
      </c>
      <c r="P93" s="112">
        <v>0.75</v>
      </c>
      <c r="Q93" s="112">
        <v>4.29</v>
      </c>
    </row>
    <row r="94" spans="1:17" customFormat="1">
      <c r="A94" s="80">
        <v>45599.895833333336</v>
      </c>
      <c r="B94" s="112">
        <v>5.28</v>
      </c>
      <c r="C94" s="112">
        <v>8.0500000000000007</v>
      </c>
      <c r="D94" s="112">
        <v>14.01</v>
      </c>
      <c r="E94" s="112">
        <v>11.92</v>
      </c>
      <c r="F94" s="112">
        <v>6.09</v>
      </c>
      <c r="G94" s="112">
        <v>83.83</v>
      </c>
      <c r="H94" s="112">
        <v>30.29</v>
      </c>
      <c r="I94" s="112">
        <v>7.55</v>
      </c>
      <c r="J94" s="112">
        <v>0.24</v>
      </c>
      <c r="K94" s="112">
        <v>166.25</v>
      </c>
      <c r="L94" s="112">
        <v>24.92</v>
      </c>
      <c r="M94" s="112">
        <v>73.98</v>
      </c>
      <c r="N94" s="112">
        <v>1.7</v>
      </c>
      <c r="O94" s="112">
        <v>0</v>
      </c>
      <c r="P94" s="112">
        <v>0.77</v>
      </c>
      <c r="Q94" s="112">
        <v>4.29</v>
      </c>
    </row>
    <row r="95" spans="1:17" customFormat="1">
      <c r="A95" s="80">
        <v>45599.90625</v>
      </c>
      <c r="B95" s="112">
        <v>5.28</v>
      </c>
      <c r="C95" s="112">
        <v>8.06</v>
      </c>
      <c r="D95" s="112">
        <v>14.01</v>
      </c>
      <c r="E95" s="112">
        <v>11.66</v>
      </c>
      <c r="F95" s="112">
        <v>5.81</v>
      </c>
      <c r="G95" s="112">
        <v>85.05</v>
      </c>
      <c r="H95" s="112">
        <v>32.43</v>
      </c>
      <c r="I95" s="112">
        <v>7.71</v>
      </c>
      <c r="J95" s="112">
        <v>0.16</v>
      </c>
      <c r="K95" s="112">
        <v>218.32</v>
      </c>
      <c r="L95" s="112">
        <v>24.18</v>
      </c>
      <c r="M95" s="112">
        <v>80.16</v>
      </c>
      <c r="N95" s="112">
        <v>2</v>
      </c>
      <c r="O95" s="112">
        <v>0</v>
      </c>
      <c r="P95" s="112">
        <v>0.77</v>
      </c>
      <c r="Q95" s="112">
        <v>4.28</v>
      </c>
    </row>
    <row r="96" spans="1:17" customFormat="1">
      <c r="A96" s="80">
        <v>45599.916666666664</v>
      </c>
      <c r="B96" s="112">
        <v>5.27</v>
      </c>
      <c r="C96" s="112">
        <v>8.0500000000000007</v>
      </c>
      <c r="D96" s="112">
        <v>14</v>
      </c>
      <c r="E96" s="112">
        <v>11.83</v>
      </c>
      <c r="F96" s="112">
        <v>5.88</v>
      </c>
      <c r="G96" s="112">
        <v>85.52</v>
      </c>
      <c r="H96" s="112">
        <v>32.53</v>
      </c>
      <c r="I96" s="112">
        <v>7.84</v>
      </c>
      <c r="J96" s="112">
        <v>0.32</v>
      </c>
      <c r="K96" s="112">
        <v>253.37</v>
      </c>
      <c r="L96" s="112">
        <v>23.56</v>
      </c>
      <c r="M96" s="112">
        <v>79.900000000000006</v>
      </c>
      <c r="N96" s="112">
        <v>1.9</v>
      </c>
      <c r="O96" s="112">
        <v>0</v>
      </c>
      <c r="P96" s="112">
        <v>0.78</v>
      </c>
      <c r="Q96" s="112">
        <v>4.29</v>
      </c>
    </row>
    <row r="97" spans="1:22" customFormat="1">
      <c r="A97" s="80">
        <v>45599.927083333336</v>
      </c>
      <c r="B97" s="112">
        <v>5.27</v>
      </c>
      <c r="C97" s="112">
        <v>8.06</v>
      </c>
      <c r="D97" s="112">
        <v>14.01</v>
      </c>
      <c r="E97" s="112">
        <v>11.92</v>
      </c>
      <c r="F97" s="112">
        <v>5.85</v>
      </c>
      <c r="G97" s="112">
        <v>85.52</v>
      </c>
      <c r="H97" s="112">
        <v>32.53</v>
      </c>
      <c r="I97" s="112">
        <v>7.9</v>
      </c>
      <c r="J97" s="112">
        <v>0.18</v>
      </c>
      <c r="K97" s="112">
        <v>215.66</v>
      </c>
      <c r="L97" s="112">
        <v>23.47</v>
      </c>
      <c r="M97" s="112">
        <v>80.489999999999995</v>
      </c>
      <c r="N97" s="112">
        <v>1.7</v>
      </c>
      <c r="O97" s="112">
        <v>0</v>
      </c>
      <c r="P97" s="112">
        <v>0.78</v>
      </c>
      <c r="Q97" s="112">
        <v>4.29</v>
      </c>
    </row>
    <row r="98" spans="1:22" customFormat="1">
      <c r="A98" s="80">
        <v>45599.9375</v>
      </c>
      <c r="B98" s="112">
        <v>5.28</v>
      </c>
      <c r="C98" s="112">
        <v>8.07</v>
      </c>
      <c r="D98" s="112">
        <v>14.02</v>
      </c>
      <c r="E98" s="112">
        <v>11.25</v>
      </c>
      <c r="F98" s="112">
        <v>5.86</v>
      </c>
      <c r="G98" s="112">
        <v>85.52</v>
      </c>
      <c r="H98" s="112">
        <v>32.53</v>
      </c>
      <c r="I98" s="112">
        <v>7.94</v>
      </c>
      <c r="J98" s="112">
        <v>0.11</v>
      </c>
      <c r="K98" s="112">
        <v>168.62</v>
      </c>
      <c r="L98" s="112">
        <v>23.47</v>
      </c>
      <c r="M98" s="112">
        <v>83.66</v>
      </c>
      <c r="N98" s="112">
        <v>1.4</v>
      </c>
      <c r="O98" s="112">
        <v>0</v>
      </c>
      <c r="P98" s="112">
        <v>0.78</v>
      </c>
      <c r="Q98" s="112">
        <v>4.29</v>
      </c>
    </row>
    <row r="99" spans="1:22" customFormat="1">
      <c r="A99" s="80">
        <v>45599.947916666664</v>
      </c>
      <c r="B99" s="112">
        <v>5.28</v>
      </c>
      <c r="C99" s="112">
        <v>8.07</v>
      </c>
      <c r="D99" s="112">
        <v>14.02</v>
      </c>
      <c r="E99" s="112">
        <v>11.67</v>
      </c>
      <c r="F99" s="112">
        <v>5.93</v>
      </c>
      <c r="G99" s="112">
        <v>89.23</v>
      </c>
      <c r="H99" s="112">
        <v>33.94</v>
      </c>
      <c r="I99" s="112">
        <v>7.99</v>
      </c>
      <c r="J99" s="112">
        <v>0.24</v>
      </c>
      <c r="K99" s="112">
        <v>228.45</v>
      </c>
      <c r="L99" s="112">
        <v>23.42</v>
      </c>
      <c r="M99" s="112">
        <v>80.25</v>
      </c>
      <c r="N99" s="112">
        <v>1.4</v>
      </c>
      <c r="O99" s="112">
        <v>0</v>
      </c>
      <c r="P99" s="112">
        <v>0.78</v>
      </c>
      <c r="Q99" s="112">
        <v>4.28</v>
      </c>
    </row>
    <row r="100" spans="1:22" customFormat="1">
      <c r="A100" s="80">
        <v>45599.958333333336</v>
      </c>
      <c r="B100" s="112">
        <v>5.3</v>
      </c>
      <c r="C100" s="112">
        <v>8.08</v>
      </c>
      <c r="D100" s="112">
        <v>14.03</v>
      </c>
      <c r="E100" s="112">
        <v>11.61</v>
      </c>
      <c r="F100" s="112">
        <v>5.94</v>
      </c>
      <c r="G100" s="112">
        <v>90.66</v>
      </c>
      <c r="H100" s="112">
        <v>34</v>
      </c>
      <c r="I100" s="112">
        <v>8.0399999999999991</v>
      </c>
      <c r="J100" s="112">
        <v>0.17</v>
      </c>
      <c r="K100" s="112">
        <v>205.24</v>
      </c>
      <c r="L100" s="112">
        <v>23.78</v>
      </c>
      <c r="M100" s="112">
        <v>77.040000000000006</v>
      </c>
      <c r="N100" s="112">
        <v>1.3</v>
      </c>
      <c r="O100" s="112">
        <v>0</v>
      </c>
      <c r="P100" s="112">
        <v>0.78</v>
      </c>
      <c r="Q100" s="112">
        <v>4.29</v>
      </c>
    </row>
    <row r="101" spans="1:22" customFormat="1">
      <c r="A101" s="80">
        <v>45599.96875</v>
      </c>
      <c r="B101" s="112">
        <v>5.29</v>
      </c>
      <c r="C101" s="112">
        <v>8.0500000000000007</v>
      </c>
      <c r="D101" s="112">
        <v>14.02</v>
      </c>
      <c r="E101" s="112">
        <v>11.76</v>
      </c>
      <c r="F101" s="112">
        <v>5.72</v>
      </c>
      <c r="G101" s="112">
        <v>90.66</v>
      </c>
      <c r="H101" s="112">
        <v>34</v>
      </c>
      <c r="I101" s="112">
        <v>8.07</v>
      </c>
      <c r="J101" s="112">
        <v>0.17</v>
      </c>
      <c r="K101" s="112">
        <v>243.19</v>
      </c>
      <c r="L101" s="112">
        <v>23.63</v>
      </c>
      <c r="M101" s="112">
        <v>77.09</v>
      </c>
      <c r="N101" s="112">
        <v>1.5</v>
      </c>
      <c r="O101" s="112">
        <v>0</v>
      </c>
      <c r="P101" s="112">
        <v>0.78</v>
      </c>
      <c r="Q101" s="112">
        <v>4.29</v>
      </c>
    </row>
    <row r="102" spans="1:22" customFormat="1">
      <c r="A102" s="80">
        <v>45599.979166666664</v>
      </c>
      <c r="B102" s="112">
        <v>5.29</v>
      </c>
      <c r="C102" s="112">
        <v>8.08</v>
      </c>
      <c r="D102" s="112">
        <v>14.03</v>
      </c>
      <c r="E102" s="112">
        <v>12.15</v>
      </c>
      <c r="F102" s="112">
        <v>5.97</v>
      </c>
      <c r="G102" s="112">
        <v>90.66</v>
      </c>
      <c r="H102" s="112">
        <v>34</v>
      </c>
      <c r="I102" s="112">
        <v>8.1300000000000008</v>
      </c>
      <c r="J102" s="112">
        <v>0.17</v>
      </c>
      <c r="K102" s="112">
        <v>244.24</v>
      </c>
      <c r="L102" s="112">
        <v>23.5</v>
      </c>
      <c r="M102" s="112">
        <v>78.209999999999994</v>
      </c>
      <c r="N102" s="112">
        <v>1.6</v>
      </c>
      <c r="O102" s="112">
        <v>0</v>
      </c>
      <c r="P102" s="112">
        <v>0.77</v>
      </c>
      <c r="Q102" s="112">
        <v>4.3099999999999996</v>
      </c>
    </row>
    <row r="103" spans="1:22" customFormat="1">
      <c r="A103" s="80">
        <v>45599.989583333336</v>
      </c>
      <c r="B103" s="112">
        <v>5.28</v>
      </c>
      <c r="C103" s="112">
        <v>8.08</v>
      </c>
      <c r="D103" s="112">
        <v>14.03</v>
      </c>
      <c r="E103" s="112">
        <v>11.64</v>
      </c>
      <c r="F103" s="112">
        <v>5.91</v>
      </c>
      <c r="G103" s="112">
        <v>86.34</v>
      </c>
      <c r="H103" s="112">
        <v>34.659999999999997</v>
      </c>
      <c r="I103" s="112">
        <v>8.18</v>
      </c>
      <c r="J103" s="112">
        <v>0.21</v>
      </c>
      <c r="K103" s="112">
        <v>252.52</v>
      </c>
      <c r="L103" s="112">
        <v>23.35</v>
      </c>
      <c r="M103" s="112">
        <v>78.900000000000006</v>
      </c>
      <c r="N103" s="112">
        <v>1.4</v>
      </c>
      <c r="O103" s="112">
        <v>0</v>
      </c>
      <c r="P103" s="112">
        <v>0.78</v>
      </c>
      <c r="Q103" s="112">
        <v>4.29</v>
      </c>
    </row>
    <row r="104" spans="1:22" customFormat="1">
      <c r="A104" s="80">
        <v>45600</v>
      </c>
      <c r="B104" s="112">
        <v>5.28</v>
      </c>
      <c r="C104" s="112">
        <v>8.09</v>
      </c>
      <c r="D104" s="112">
        <v>14.03</v>
      </c>
      <c r="E104" s="112">
        <v>12.05</v>
      </c>
      <c r="F104" s="112">
        <v>5.76</v>
      </c>
      <c r="G104" s="112">
        <v>84.68</v>
      </c>
      <c r="H104" s="112">
        <v>34.71</v>
      </c>
      <c r="I104" s="112">
        <v>8.26</v>
      </c>
      <c r="J104" s="112">
        <v>0.13</v>
      </c>
      <c r="K104" s="112">
        <v>182.92</v>
      </c>
      <c r="L104" s="112">
        <v>23.28</v>
      </c>
      <c r="M104" s="112">
        <v>82.38</v>
      </c>
      <c r="N104" s="112">
        <v>1.6</v>
      </c>
      <c r="O104" s="112">
        <v>0</v>
      </c>
      <c r="P104" s="112">
        <v>0.77</v>
      </c>
      <c r="Q104" s="112">
        <v>4.3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5.19</v>
      </c>
      <c r="C106" s="183">
        <f>MIN(C9:C104)</f>
        <v>8.02</v>
      </c>
      <c r="D106" s="183">
        <f t="shared" ref="D106:Q106" si="0">MIN(D9:D104)</f>
        <v>13.94</v>
      </c>
      <c r="E106" s="183">
        <f t="shared" si="0"/>
        <v>7.94</v>
      </c>
      <c r="F106" s="183">
        <f t="shared" si="0"/>
        <v>5.49</v>
      </c>
      <c r="G106" s="183">
        <f t="shared" si="0"/>
        <v>56.35</v>
      </c>
      <c r="H106" s="183">
        <f t="shared" si="0"/>
        <v>22</v>
      </c>
      <c r="I106" s="183">
        <f t="shared" si="0"/>
        <v>5.99</v>
      </c>
      <c r="J106" s="183">
        <f t="shared" si="0"/>
        <v>0.01</v>
      </c>
      <c r="K106" s="183">
        <f t="shared" si="0"/>
        <v>18.55</v>
      </c>
      <c r="L106" s="183">
        <f t="shared" si="0"/>
        <v>23.08</v>
      </c>
      <c r="M106" s="183">
        <f t="shared" si="0"/>
        <v>34.65</v>
      </c>
      <c r="N106" s="183">
        <f t="shared" si="0"/>
        <v>1.3</v>
      </c>
      <c r="O106" s="183">
        <f t="shared" si="0"/>
        <v>0</v>
      </c>
      <c r="P106" s="183">
        <f t="shared" si="0"/>
        <v>0.52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</v>
      </c>
      <c r="C107" s="184">
        <f t="shared" ref="C107:Q107" si="1">MAX(C9:C104)</f>
        <v>8.16</v>
      </c>
      <c r="D107" s="184">
        <f t="shared" si="1"/>
        <v>14.04</v>
      </c>
      <c r="E107" s="184">
        <f t="shared" si="1"/>
        <v>24.16</v>
      </c>
      <c r="F107" s="184">
        <f t="shared" si="1"/>
        <v>31.77</v>
      </c>
      <c r="G107" s="184">
        <f t="shared" si="1"/>
        <v>104.39</v>
      </c>
      <c r="H107" s="184">
        <f t="shared" si="1"/>
        <v>36.15</v>
      </c>
      <c r="I107" s="184">
        <f t="shared" si="1"/>
        <v>8.26</v>
      </c>
      <c r="J107" s="184">
        <f t="shared" si="1"/>
        <v>0.68</v>
      </c>
      <c r="K107" s="184">
        <f t="shared" si="1"/>
        <v>347.98</v>
      </c>
      <c r="L107" s="184">
        <f t="shared" si="1"/>
        <v>33.11</v>
      </c>
      <c r="M107" s="184">
        <f t="shared" si="1"/>
        <v>86.09</v>
      </c>
      <c r="N107" s="184">
        <f t="shared" si="1"/>
        <v>551.6</v>
      </c>
      <c r="O107" s="184">
        <f t="shared" si="1"/>
        <v>0</v>
      </c>
      <c r="P107" s="184">
        <f t="shared" si="1"/>
        <v>0.78</v>
      </c>
      <c r="Q107" s="184">
        <f t="shared" si="1"/>
        <v>4.32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5.2445833333333294</v>
      </c>
      <c r="C108" s="183">
        <f t="shared" ref="C108:Q108" si="2">AVERAGE(C9:C104)</f>
        <v>8.0712500000000027</v>
      </c>
      <c r="D108" s="183">
        <f t="shared" si="2"/>
        <v>13.989895833333334</v>
      </c>
      <c r="E108" s="183">
        <f t="shared" si="2"/>
        <v>11.984062500000006</v>
      </c>
      <c r="F108" s="183">
        <f t="shared" si="2"/>
        <v>9.5182291666666661</v>
      </c>
      <c r="G108" s="183">
        <f t="shared" si="2"/>
        <v>76.29916666666675</v>
      </c>
      <c r="H108" s="183">
        <f t="shared" si="2"/>
        <v>28.337916666666686</v>
      </c>
      <c r="I108" s="183">
        <f t="shared" si="2"/>
        <v>7.0861458333333323</v>
      </c>
      <c r="J108" s="183">
        <f t="shared" si="2"/>
        <v>0.19541666666666668</v>
      </c>
      <c r="K108" s="183">
        <f t="shared" si="2"/>
        <v>159.53552083333332</v>
      </c>
      <c r="L108" s="183">
        <f t="shared" si="2"/>
        <v>26.795208333333338</v>
      </c>
      <c r="M108" s="183">
        <f t="shared" si="2"/>
        <v>63.447499999999984</v>
      </c>
      <c r="N108" s="183">
        <f t="shared" si="2"/>
        <v>119.53750000000001</v>
      </c>
      <c r="O108" s="183">
        <f t="shared" si="2"/>
        <v>0</v>
      </c>
      <c r="P108" s="183">
        <f t="shared" si="2"/>
        <v>0.62552083333333364</v>
      </c>
      <c r="Q108" s="183">
        <f t="shared" si="2"/>
        <v>4.2894791666666681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3.0639385271649243E-2</v>
      </c>
      <c r="C109" s="183">
        <f t="shared" ref="C109:Q109" si="3">STDEV(C9:C104)</f>
        <v>2.0532387765878995E-2</v>
      </c>
      <c r="D109" s="183">
        <f t="shared" si="3"/>
        <v>2.4257165698392796E-2</v>
      </c>
      <c r="E109" s="183">
        <f t="shared" si="3"/>
        <v>2.7173987476900088</v>
      </c>
      <c r="F109" s="183">
        <f t="shared" si="3"/>
        <v>5.9977804657515481</v>
      </c>
      <c r="G109" s="183">
        <f t="shared" si="3"/>
        <v>10.826793243145113</v>
      </c>
      <c r="H109" s="183">
        <f t="shared" si="3"/>
        <v>3.2728879623405138</v>
      </c>
      <c r="I109" s="183">
        <f t="shared" si="3"/>
        <v>0.710349609687005</v>
      </c>
      <c r="J109" s="183">
        <f t="shared" si="3"/>
        <v>0.10970694615696731</v>
      </c>
      <c r="K109" s="183">
        <f t="shared" si="3"/>
        <v>66.141196699020412</v>
      </c>
      <c r="L109" s="183">
        <f t="shared" si="3"/>
        <v>3.41542105878198</v>
      </c>
      <c r="M109" s="183">
        <f t="shared" si="3"/>
        <v>15.927998057046139</v>
      </c>
      <c r="N109" s="183">
        <f t="shared" si="3"/>
        <v>183.4964770922405</v>
      </c>
      <c r="O109" s="183">
        <f t="shared" si="3"/>
        <v>0</v>
      </c>
      <c r="P109" s="183">
        <f t="shared" si="3"/>
        <v>7.1625778829846151E-2</v>
      </c>
      <c r="Q109" s="183">
        <f t="shared" si="3"/>
        <v>1.0091141677276958E-2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45600.010416666664</v>
      </c>
      <c r="B9" s="112">
        <v>5.28</v>
      </c>
      <c r="C9" s="112">
        <v>8.07</v>
      </c>
      <c r="D9" s="112">
        <v>14.02</v>
      </c>
      <c r="E9" s="112">
        <v>11.18</v>
      </c>
      <c r="F9" s="112">
        <v>5.82</v>
      </c>
      <c r="G9" s="112">
        <v>84.68</v>
      </c>
      <c r="H9" s="112">
        <v>34.71</v>
      </c>
      <c r="I9" s="112">
        <v>8.35</v>
      </c>
      <c r="J9" s="112">
        <v>0.18</v>
      </c>
      <c r="K9" s="112">
        <v>58.37</v>
      </c>
      <c r="L9" s="112">
        <v>23.12</v>
      </c>
      <c r="M9" s="112">
        <v>81.28</v>
      </c>
      <c r="N9" s="112">
        <v>1.4</v>
      </c>
      <c r="O9" s="112">
        <v>0</v>
      </c>
      <c r="P9" s="112">
        <v>0.8</v>
      </c>
      <c r="Q9" s="112">
        <v>4.28</v>
      </c>
    </row>
    <row r="10" spans="1:21" customFormat="1">
      <c r="A10" s="80">
        <v>45600.020833333336</v>
      </c>
      <c r="B10" s="112">
        <v>5.25</v>
      </c>
      <c r="C10" s="112">
        <v>8.1</v>
      </c>
      <c r="D10" s="112">
        <v>14.01</v>
      </c>
      <c r="E10" s="112">
        <v>11.42</v>
      </c>
      <c r="F10" s="112">
        <v>5.56</v>
      </c>
      <c r="G10" s="112">
        <v>84.68</v>
      </c>
      <c r="H10" s="112">
        <v>34.71</v>
      </c>
      <c r="I10" s="112">
        <v>8.41</v>
      </c>
      <c r="J10" s="112">
        <v>0.12</v>
      </c>
      <c r="K10" s="112">
        <v>74.56</v>
      </c>
      <c r="L10" s="112">
        <v>23.36</v>
      </c>
      <c r="M10" s="112">
        <v>78.05</v>
      </c>
      <c r="N10" s="112">
        <v>1.2</v>
      </c>
      <c r="O10" s="112">
        <v>0</v>
      </c>
      <c r="P10" s="112">
        <v>0.8</v>
      </c>
      <c r="Q10" s="112">
        <v>4.28</v>
      </c>
    </row>
    <row r="11" spans="1:21" customFormat="1">
      <c r="A11" s="80">
        <v>45600.03125</v>
      </c>
      <c r="B11" s="112">
        <v>5.27</v>
      </c>
      <c r="C11" s="112">
        <v>8.08</v>
      </c>
      <c r="D11" s="112">
        <v>14.02</v>
      </c>
      <c r="E11" s="112">
        <v>11.66</v>
      </c>
      <c r="F11" s="112">
        <v>5.95</v>
      </c>
      <c r="G11" s="112">
        <v>87.86</v>
      </c>
      <c r="H11" s="112">
        <v>37.25</v>
      </c>
      <c r="I11" s="112">
        <v>8.5399999999999991</v>
      </c>
      <c r="J11" s="112">
        <v>0.14000000000000001</v>
      </c>
      <c r="K11" s="112">
        <v>165.58</v>
      </c>
      <c r="L11" s="112">
        <v>23.14</v>
      </c>
      <c r="M11" s="112">
        <v>80.81</v>
      </c>
      <c r="N11" s="112">
        <v>1.7</v>
      </c>
      <c r="O11" s="112">
        <v>0</v>
      </c>
      <c r="P11" s="112">
        <v>0.81</v>
      </c>
      <c r="Q11" s="112">
        <v>4.29</v>
      </c>
    </row>
    <row r="12" spans="1:21" customFormat="1">
      <c r="A12" s="80">
        <v>45600.041666666664</v>
      </c>
      <c r="B12" s="112">
        <v>5.27</v>
      </c>
      <c r="C12" s="112">
        <v>8.09</v>
      </c>
      <c r="D12" s="112">
        <v>14.02</v>
      </c>
      <c r="E12" s="112">
        <v>11.67</v>
      </c>
      <c r="F12" s="112">
        <v>5.48</v>
      </c>
      <c r="G12" s="112">
        <v>89.15</v>
      </c>
      <c r="H12" s="112">
        <v>37.369999999999997</v>
      </c>
      <c r="I12" s="112">
        <v>8.73</v>
      </c>
      <c r="J12" s="112">
        <v>0.12</v>
      </c>
      <c r="K12" s="112">
        <v>211.23</v>
      </c>
      <c r="L12" s="112">
        <v>22.73</v>
      </c>
      <c r="M12" s="112">
        <v>86.3</v>
      </c>
      <c r="N12" s="112">
        <v>1.8</v>
      </c>
      <c r="O12" s="112">
        <v>0</v>
      </c>
      <c r="P12" s="112">
        <v>0.82</v>
      </c>
      <c r="Q12" s="112">
        <v>4.29</v>
      </c>
    </row>
    <row r="13" spans="1:21" customFormat="1">
      <c r="A13" s="80">
        <v>45600.052083333336</v>
      </c>
      <c r="B13" s="112">
        <v>5.28</v>
      </c>
      <c r="C13" s="112">
        <v>8.0399999999999991</v>
      </c>
      <c r="D13" s="112">
        <v>14.01</v>
      </c>
      <c r="E13" s="112">
        <v>11.52</v>
      </c>
      <c r="F13" s="112">
        <v>5.76</v>
      </c>
      <c r="G13" s="112">
        <v>89.15</v>
      </c>
      <c r="H13" s="112">
        <v>37.369999999999997</v>
      </c>
      <c r="I13" s="112">
        <v>8.91</v>
      </c>
      <c r="J13" s="112">
        <v>0.08</v>
      </c>
      <c r="K13" s="112">
        <v>201.36</v>
      </c>
      <c r="L13" s="112">
        <v>22.52</v>
      </c>
      <c r="M13" s="112">
        <v>85.95</v>
      </c>
      <c r="N13" s="112">
        <v>1.6</v>
      </c>
      <c r="O13" s="112">
        <v>0</v>
      </c>
      <c r="P13" s="112">
        <v>0.84</v>
      </c>
      <c r="Q13" s="112">
        <v>4.29</v>
      </c>
    </row>
    <row r="14" spans="1:21" customFormat="1">
      <c r="A14" s="80">
        <v>45600.0625</v>
      </c>
      <c r="B14" s="112">
        <v>5.32</v>
      </c>
      <c r="C14" s="112">
        <v>8.01</v>
      </c>
      <c r="D14" s="112">
        <v>14.02</v>
      </c>
      <c r="E14" s="112">
        <v>11.98</v>
      </c>
      <c r="F14" s="112">
        <v>5.68</v>
      </c>
      <c r="G14" s="112">
        <v>89.15</v>
      </c>
      <c r="H14" s="112">
        <v>37.369999999999997</v>
      </c>
      <c r="I14" s="112">
        <v>9.1199999999999992</v>
      </c>
      <c r="J14" s="112">
        <v>0.04</v>
      </c>
      <c r="K14" s="112">
        <v>79.78</v>
      </c>
      <c r="L14" s="112">
        <v>22.46</v>
      </c>
      <c r="M14" s="112">
        <v>85.6</v>
      </c>
      <c r="N14" s="112">
        <v>1.5</v>
      </c>
      <c r="O14" s="112">
        <v>0</v>
      </c>
      <c r="P14" s="112">
        <v>0.85</v>
      </c>
      <c r="Q14" s="112">
        <v>4.3</v>
      </c>
    </row>
    <row r="15" spans="1:21" customFormat="1">
      <c r="A15" s="80">
        <v>45600.072916666664</v>
      </c>
      <c r="B15" s="112">
        <v>5.28</v>
      </c>
      <c r="C15" s="112">
        <v>8.07</v>
      </c>
      <c r="D15" s="112">
        <v>14.02</v>
      </c>
      <c r="E15" s="112">
        <v>12.26</v>
      </c>
      <c r="F15" s="112">
        <v>5.51</v>
      </c>
      <c r="G15" s="112">
        <v>97.81</v>
      </c>
      <c r="H15" s="112">
        <v>39.81</v>
      </c>
      <c r="I15" s="112">
        <v>9.3000000000000007</v>
      </c>
      <c r="J15" s="112">
        <v>0.13</v>
      </c>
      <c r="K15" s="112">
        <v>164.95</v>
      </c>
      <c r="L15" s="112">
        <v>22.39</v>
      </c>
      <c r="M15" s="112">
        <v>85.81</v>
      </c>
      <c r="N15" s="112">
        <v>1.7</v>
      </c>
      <c r="O15" s="112">
        <v>0</v>
      </c>
      <c r="P15" s="112">
        <v>0.87</v>
      </c>
      <c r="Q15" s="112">
        <v>4.29</v>
      </c>
    </row>
    <row r="16" spans="1:21" customFormat="1">
      <c r="A16" s="80">
        <v>45600.083333333336</v>
      </c>
      <c r="B16" s="112">
        <v>5.27</v>
      </c>
      <c r="C16" s="112">
        <v>8.08</v>
      </c>
      <c r="D16" s="112">
        <v>14.02</v>
      </c>
      <c r="E16" s="112">
        <v>11.83</v>
      </c>
      <c r="F16" s="112">
        <v>5.68</v>
      </c>
      <c r="G16" s="112">
        <v>101.33</v>
      </c>
      <c r="H16" s="112">
        <v>39.92</v>
      </c>
      <c r="I16" s="112">
        <v>9.4499999999999993</v>
      </c>
      <c r="J16" s="112">
        <v>0.18</v>
      </c>
      <c r="K16" s="112">
        <v>160.63999999999999</v>
      </c>
      <c r="L16" s="112">
        <v>22.24</v>
      </c>
      <c r="M16" s="112">
        <v>88.31</v>
      </c>
      <c r="N16" s="112">
        <v>1.5</v>
      </c>
      <c r="O16" s="112">
        <v>0</v>
      </c>
      <c r="P16" s="112">
        <v>0.88</v>
      </c>
      <c r="Q16" s="112">
        <v>4.28</v>
      </c>
    </row>
    <row r="17" spans="1:17" customFormat="1">
      <c r="A17" s="80">
        <v>45600.09375</v>
      </c>
      <c r="B17" s="112">
        <v>5.26</v>
      </c>
      <c r="C17" s="112">
        <v>8.07</v>
      </c>
      <c r="D17" s="112">
        <v>14</v>
      </c>
      <c r="E17" s="112">
        <v>9.8800000000000008</v>
      </c>
      <c r="F17" s="112">
        <v>5.64</v>
      </c>
      <c r="G17" s="112">
        <v>101.33</v>
      </c>
      <c r="H17" s="112">
        <v>39.92</v>
      </c>
      <c r="I17" s="112">
        <v>9.6</v>
      </c>
      <c r="J17" s="112">
        <v>0.12</v>
      </c>
      <c r="K17" s="112">
        <v>153.65</v>
      </c>
      <c r="L17" s="112">
        <v>22.12</v>
      </c>
      <c r="M17" s="112">
        <v>86.14</v>
      </c>
      <c r="N17" s="112">
        <v>1.6</v>
      </c>
      <c r="O17" s="112">
        <v>0</v>
      </c>
      <c r="P17" s="112">
        <v>0.9</v>
      </c>
      <c r="Q17" s="112">
        <v>4.29</v>
      </c>
    </row>
    <row r="18" spans="1:17" customFormat="1">
      <c r="A18" s="80">
        <v>45600.104166666664</v>
      </c>
      <c r="B18" s="112">
        <v>5.27</v>
      </c>
      <c r="C18" s="112">
        <v>8.08</v>
      </c>
      <c r="D18" s="112">
        <v>14.02</v>
      </c>
      <c r="E18" s="112">
        <v>10.79</v>
      </c>
      <c r="F18" s="112">
        <v>5.85</v>
      </c>
      <c r="G18" s="112">
        <v>101.33</v>
      </c>
      <c r="H18" s="112">
        <v>39.92</v>
      </c>
      <c r="I18" s="112">
        <v>9.77</v>
      </c>
      <c r="J18" s="112">
        <v>0.08</v>
      </c>
      <c r="K18" s="112">
        <v>137.94</v>
      </c>
      <c r="L18" s="112">
        <v>21.98</v>
      </c>
      <c r="M18" s="112">
        <v>86.77</v>
      </c>
      <c r="N18" s="112">
        <v>1.5</v>
      </c>
      <c r="O18" s="112">
        <v>0</v>
      </c>
      <c r="P18" s="112">
        <v>0.9</v>
      </c>
      <c r="Q18" s="112">
        <v>4.29</v>
      </c>
    </row>
    <row r="19" spans="1:17" customFormat="1">
      <c r="A19" s="80">
        <v>45600.114583333336</v>
      </c>
      <c r="B19" s="112">
        <v>5.27</v>
      </c>
      <c r="C19" s="112">
        <v>8.08</v>
      </c>
      <c r="D19" s="112">
        <v>14.01</v>
      </c>
      <c r="E19" s="112">
        <v>11.32</v>
      </c>
      <c r="F19" s="112">
        <v>5.66</v>
      </c>
      <c r="G19" s="112">
        <v>108.55</v>
      </c>
      <c r="H19" s="112">
        <v>42.65</v>
      </c>
      <c r="I19" s="112">
        <v>9.89</v>
      </c>
      <c r="J19" s="112">
        <v>0.13</v>
      </c>
      <c r="K19" s="112">
        <v>205.37</v>
      </c>
      <c r="L19" s="112">
        <v>21.78</v>
      </c>
      <c r="M19" s="112">
        <v>88.66</v>
      </c>
      <c r="N19" s="112">
        <v>1.6</v>
      </c>
      <c r="O19" s="112">
        <v>0</v>
      </c>
      <c r="P19" s="112">
        <v>0.91</v>
      </c>
      <c r="Q19" s="112">
        <v>4.28</v>
      </c>
    </row>
    <row r="20" spans="1:17" customFormat="1">
      <c r="A20" s="80">
        <v>45600.125</v>
      </c>
      <c r="B20" s="112">
        <v>5.27</v>
      </c>
      <c r="C20" s="112">
        <v>8.08</v>
      </c>
      <c r="D20" s="112">
        <v>14.02</v>
      </c>
      <c r="E20" s="112">
        <v>10.85</v>
      </c>
      <c r="F20" s="112">
        <v>5.61</v>
      </c>
      <c r="G20" s="112">
        <v>111.49</v>
      </c>
      <c r="H20" s="112">
        <v>42.78</v>
      </c>
      <c r="I20" s="112">
        <v>9.9700000000000006</v>
      </c>
      <c r="J20" s="112">
        <v>0.13</v>
      </c>
      <c r="K20" s="112">
        <v>227.78</v>
      </c>
      <c r="L20" s="112">
        <v>21.53</v>
      </c>
      <c r="M20" s="112">
        <v>90.95</v>
      </c>
      <c r="N20" s="112">
        <v>1.5</v>
      </c>
      <c r="O20" s="112">
        <v>0</v>
      </c>
      <c r="P20" s="112">
        <v>0.91</v>
      </c>
      <c r="Q20" s="112">
        <v>4.28</v>
      </c>
    </row>
    <row r="21" spans="1:17" customFormat="1">
      <c r="A21" s="80">
        <v>45600.135416666664</v>
      </c>
      <c r="B21" s="112">
        <v>5.28</v>
      </c>
      <c r="C21" s="112">
        <v>8.08</v>
      </c>
      <c r="D21" s="112">
        <v>14.02</v>
      </c>
      <c r="E21" s="112">
        <v>11.24</v>
      </c>
      <c r="F21" s="112">
        <v>5.39</v>
      </c>
      <c r="G21" s="112">
        <v>111.49</v>
      </c>
      <c r="H21" s="112">
        <v>42.78</v>
      </c>
      <c r="I21" s="112">
        <v>10.050000000000001</v>
      </c>
      <c r="J21" s="112">
        <v>0.15</v>
      </c>
      <c r="K21" s="112">
        <v>219.88</v>
      </c>
      <c r="L21" s="112">
        <v>21.37</v>
      </c>
      <c r="M21" s="112">
        <v>90.66</v>
      </c>
      <c r="N21" s="112">
        <v>1.5</v>
      </c>
      <c r="O21" s="112">
        <v>0</v>
      </c>
      <c r="P21" s="112">
        <v>0.92</v>
      </c>
      <c r="Q21" s="112">
        <v>4.28</v>
      </c>
    </row>
    <row r="22" spans="1:17" customFormat="1">
      <c r="A22" s="80">
        <v>45600.145833333336</v>
      </c>
      <c r="B22" s="112">
        <v>5.28</v>
      </c>
      <c r="C22" s="112">
        <v>8.09</v>
      </c>
      <c r="D22" s="112">
        <v>14.03</v>
      </c>
      <c r="E22" s="112">
        <v>10.82</v>
      </c>
      <c r="F22" s="112">
        <v>5.77</v>
      </c>
      <c r="G22" s="112">
        <v>111.49</v>
      </c>
      <c r="H22" s="112">
        <v>42.78</v>
      </c>
      <c r="I22" s="112">
        <v>10.11</v>
      </c>
      <c r="J22" s="112">
        <v>0.16</v>
      </c>
      <c r="K22" s="112">
        <v>204.21</v>
      </c>
      <c r="L22" s="112">
        <v>21.26</v>
      </c>
      <c r="M22" s="112">
        <v>92.95</v>
      </c>
      <c r="N22" s="112">
        <v>1.5</v>
      </c>
      <c r="O22" s="112">
        <v>0</v>
      </c>
      <c r="P22" s="112">
        <v>0.92</v>
      </c>
      <c r="Q22" s="112">
        <v>4.29</v>
      </c>
    </row>
    <row r="23" spans="1:17" customFormat="1">
      <c r="A23" s="80">
        <v>45600.15625</v>
      </c>
      <c r="B23" s="112">
        <v>5.25</v>
      </c>
      <c r="C23" s="112">
        <v>8.11</v>
      </c>
      <c r="D23" s="112">
        <v>14.01</v>
      </c>
      <c r="E23" s="112">
        <v>11.17</v>
      </c>
      <c r="F23" s="112">
        <v>5.59</v>
      </c>
      <c r="G23" s="112">
        <v>110.1</v>
      </c>
      <c r="H23" s="112">
        <v>43.69</v>
      </c>
      <c r="I23" s="112">
        <v>10.16</v>
      </c>
      <c r="J23" s="112">
        <v>0.16</v>
      </c>
      <c r="K23" s="112">
        <v>200.02</v>
      </c>
      <c r="L23" s="112">
        <v>20.96</v>
      </c>
      <c r="M23" s="112">
        <v>93.12</v>
      </c>
      <c r="N23" s="112">
        <v>1.7</v>
      </c>
      <c r="O23" s="112">
        <v>0</v>
      </c>
      <c r="P23" s="112">
        <v>0.93</v>
      </c>
      <c r="Q23" s="112">
        <v>4.29</v>
      </c>
    </row>
    <row r="24" spans="1:17" customFormat="1">
      <c r="A24" s="80">
        <v>45600.166666666664</v>
      </c>
      <c r="B24" s="112">
        <v>5.25</v>
      </c>
      <c r="C24" s="112">
        <v>8.06</v>
      </c>
      <c r="D24" s="112">
        <v>13.99</v>
      </c>
      <c r="E24" s="112">
        <v>11.07</v>
      </c>
      <c r="F24" s="112">
        <v>5.67</v>
      </c>
      <c r="G24" s="112">
        <v>109.53</v>
      </c>
      <c r="H24" s="112">
        <v>43.74</v>
      </c>
      <c r="I24" s="112">
        <v>10.199999999999999</v>
      </c>
      <c r="J24" s="112">
        <v>0.19</v>
      </c>
      <c r="K24" s="112">
        <v>171.01</v>
      </c>
      <c r="L24" s="112">
        <v>20.93</v>
      </c>
      <c r="M24" s="112">
        <v>92.58</v>
      </c>
      <c r="N24" s="112">
        <v>1.4</v>
      </c>
      <c r="O24" s="112">
        <v>0</v>
      </c>
      <c r="P24" s="112">
        <v>0.94</v>
      </c>
      <c r="Q24" s="112">
        <v>4.29</v>
      </c>
    </row>
    <row r="25" spans="1:17" customFormat="1">
      <c r="A25" s="80">
        <v>45600.177083333336</v>
      </c>
      <c r="B25" s="112">
        <v>5.26</v>
      </c>
      <c r="C25" s="112">
        <v>8.06</v>
      </c>
      <c r="D25" s="112">
        <v>14</v>
      </c>
      <c r="E25" s="112">
        <v>10.99</v>
      </c>
      <c r="F25" s="112">
        <v>5.7</v>
      </c>
      <c r="G25" s="112">
        <v>109.53</v>
      </c>
      <c r="H25" s="112">
        <v>43.74</v>
      </c>
      <c r="I25" s="112">
        <v>10.24</v>
      </c>
      <c r="J25" s="112">
        <v>0.2</v>
      </c>
      <c r="K25" s="112">
        <v>143.56</v>
      </c>
      <c r="L25" s="112">
        <v>21.17</v>
      </c>
      <c r="M25" s="112">
        <v>89.84</v>
      </c>
      <c r="N25" s="112">
        <v>1.4</v>
      </c>
      <c r="O25" s="112">
        <v>0</v>
      </c>
      <c r="P25" s="112">
        <v>0.95</v>
      </c>
      <c r="Q25" s="112">
        <v>4.29</v>
      </c>
    </row>
    <row r="26" spans="1:17" customFormat="1">
      <c r="A26" s="80">
        <v>45600.1875</v>
      </c>
      <c r="B26" s="112">
        <v>5.26</v>
      </c>
      <c r="C26" s="112">
        <v>8.0399999999999991</v>
      </c>
      <c r="D26" s="112">
        <v>13.99</v>
      </c>
      <c r="E26" s="112">
        <v>10.53</v>
      </c>
      <c r="F26" s="112">
        <v>5.56</v>
      </c>
      <c r="G26" s="112">
        <v>109.53</v>
      </c>
      <c r="H26" s="112">
        <v>43.74</v>
      </c>
      <c r="I26" s="112">
        <v>10.23</v>
      </c>
      <c r="J26" s="112">
        <v>0.06</v>
      </c>
      <c r="K26" s="112">
        <v>203.04</v>
      </c>
      <c r="L26" s="112">
        <v>21.03</v>
      </c>
      <c r="M26" s="112">
        <v>89.55</v>
      </c>
      <c r="N26" s="112">
        <v>1.4</v>
      </c>
      <c r="O26" s="112">
        <v>0</v>
      </c>
      <c r="P26" s="112">
        <v>0.95</v>
      </c>
      <c r="Q26" s="112">
        <v>4.28</v>
      </c>
    </row>
    <row r="27" spans="1:17" customFormat="1">
      <c r="A27" s="80">
        <v>45600.197916666664</v>
      </c>
      <c r="B27" s="112">
        <v>5.25</v>
      </c>
      <c r="C27" s="112">
        <v>8.08</v>
      </c>
      <c r="D27" s="112">
        <v>14</v>
      </c>
      <c r="E27" s="112">
        <v>11.07</v>
      </c>
      <c r="F27" s="112">
        <v>5.57</v>
      </c>
      <c r="G27" s="112">
        <v>104.16</v>
      </c>
      <c r="H27" s="112">
        <v>39.75</v>
      </c>
      <c r="I27" s="112">
        <v>10.24</v>
      </c>
      <c r="J27" s="112">
        <v>0.11</v>
      </c>
      <c r="K27" s="112">
        <v>259.49</v>
      </c>
      <c r="L27" s="112">
        <v>20.94</v>
      </c>
      <c r="M27" s="112">
        <v>90.85</v>
      </c>
      <c r="N27" s="112">
        <v>1.3</v>
      </c>
      <c r="O27" s="112">
        <v>0</v>
      </c>
      <c r="P27" s="112">
        <v>0.95</v>
      </c>
      <c r="Q27" s="112">
        <v>4.28</v>
      </c>
    </row>
    <row r="28" spans="1:17" customFormat="1">
      <c r="A28" s="80">
        <v>45600.208333333336</v>
      </c>
      <c r="B28" s="112">
        <v>5.26</v>
      </c>
      <c r="C28" s="112">
        <v>8.0500000000000007</v>
      </c>
      <c r="D28" s="112">
        <v>13.99</v>
      </c>
      <c r="E28" s="112">
        <v>10.52</v>
      </c>
      <c r="F28" s="112">
        <v>5.51</v>
      </c>
      <c r="G28" s="112">
        <v>101.97</v>
      </c>
      <c r="H28" s="112">
        <v>39.56</v>
      </c>
      <c r="I28" s="112">
        <v>10.3</v>
      </c>
      <c r="J28" s="112">
        <v>0.12</v>
      </c>
      <c r="K28" s="112">
        <v>227.48</v>
      </c>
      <c r="L28" s="112">
        <v>20.88</v>
      </c>
      <c r="M28" s="112">
        <v>90.82</v>
      </c>
      <c r="N28" s="112">
        <v>1.4</v>
      </c>
      <c r="O28" s="112">
        <v>0</v>
      </c>
      <c r="P28" s="112">
        <v>0.94</v>
      </c>
      <c r="Q28" s="112">
        <v>4.29</v>
      </c>
    </row>
    <row r="29" spans="1:17" customFormat="1">
      <c r="A29" s="80">
        <v>45600.21875</v>
      </c>
      <c r="B29" s="112">
        <v>5.25</v>
      </c>
      <c r="C29" s="112">
        <v>8.07</v>
      </c>
      <c r="D29" s="112">
        <v>13.99</v>
      </c>
      <c r="E29" s="112">
        <v>10.8</v>
      </c>
      <c r="F29" s="112">
        <v>5.53</v>
      </c>
      <c r="G29" s="112">
        <v>101.97</v>
      </c>
      <c r="H29" s="112">
        <v>39.56</v>
      </c>
      <c r="I29" s="112">
        <v>10.41</v>
      </c>
      <c r="J29" s="112">
        <v>0.21</v>
      </c>
      <c r="K29" s="112">
        <v>195.97</v>
      </c>
      <c r="L29" s="112">
        <v>20.72</v>
      </c>
      <c r="M29" s="112">
        <v>91.1</v>
      </c>
      <c r="N29" s="112">
        <v>1.5</v>
      </c>
      <c r="O29" s="112">
        <v>0</v>
      </c>
      <c r="P29" s="112">
        <v>0.94</v>
      </c>
      <c r="Q29" s="112">
        <v>4.29</v>
      </c>
    </row>
    <row r="30" spans="1:17" customFormat="1">
      <c r="A30" s="80">
        <v>45600.229166666664</v>
      </c>
      <c r="B30" s="112">
        <v>5.25</v>
      </c>
      <c r="C30" s="112">
        <v>8.07</v>
      </c>
      <c r="D30" s="112">
        <v>13.99</v>
      </c>
      <c r="E30" s="112">
        <v>10.5</v>
      </c>
      <c r="F30" s="112">
        <v>5.63</v>
      </c>
      <c r="G30" s="112">
        <v>101.97</v>
      </c>
      <c r="H30" s="112">
        <v>39.56</v>
      </c>
      <c r="I30" s="112">
        <v>10.51</v>
      </c>
      <c r="J30" s="112">
        <v>0.15</v>
      </c>
      <c r="K30" s="112">
        <v>220.38</v>
      </c>
      <c r="L30" s="112">
        <v>20.53</v>
      </c>
      <c r="M30" s="112">
        <v>92.23</v>
      </c>
      <c r="N30" s="112">
        <v>1.5</v>
      </c>
      <c r="O30" s="112">
        <v>0</v>
      </c>
      <c r="P30" s="112">
        <v>0.94</v>
      </c>
      <c r="Q30" s="112">
        <v>4.28</v>
      </c>
    </row>
    <row r="31" spans="1:17" customFormat="1">
      <c r="A31" s="80">
        <v>45600.239583333336</v>
      </c>
      <c r="B31" s="112">
        <v>5.26</v>
      </c>
      <c r="C31" s="112">
        <v>8.0500000000000007</v>
      </c>
      <c r="D31" s="112">
        <v>14</v>
      </c>
      <c r="E31" s="112">
        <v>10.52</v>
      </c>
      <c r="F31" s="112">
        <v>5.59</v>
      </c>
      <c r="G31" s="112">
        <v>103.85</v>
      </c>
      <c r="H31" s="112">
        <v>38.450000000000003</v>
      </c>
      <c r="I31" s="112">
        <v>10.64</v>
      </c>
      <c r="J31" s="112">
        <v>0.09</v>
      </c>
      <c r="K31" s="112">
        <v>154.06</v>
      </c>
      <c r="L31" s="112">
        <v>20.47</v>
      </c>
      <c r="M31" s="112">
        <v>92.4</v>
      </c>
      <c r="N31" s="112">
        <v>1.7</v>
      </c>
      <c r="O31" s="112">
        <v>0</v>
      </c>
      <c r="P31" s="112">
        <v>0.94</v>
      </c>
      <c r="Q31" s="112">
        <v>4.29</v>
      </c>
    </row>
    <row r="32" spans="1:17" customFormat="1">
      <c r="A32" s="80">
        <v>45600.25</v>
      </c>
      <c r="B32" s="112">
        <v>5.24</v>
      </c>
      <c r="C32" s="112">
        <v>8.1</v>
      </c>
      <c r="D32" s="112">
        <v>14</v>
      </c>
      <c r="E32" s="112">
        <v>10.82</v>
      </c>
      <c r="F32" s="112">
        <v>5.37</v>
      </c>
      <c r="G32" s="112">
        <v>104.61</v>
      </c>
      <c r="H32" s="112">
        <v>38.369999999999997</v>
      </c>
      <c r="I32" s="112">
        <v>10.78</v>
      </c>
      <c r="J32" s="112">
        <v>0.16</v>
      </c>
      <c r="K32" s="112">
        <v>185.42</v>
      </c>
      <c r="L32" s="112">
        <v>20.76</v>
      </c>
      <c r="M32" s="112">
        <v>91.06</v>
      </c>
      <c r="N32" s="112">
        <v>3.3</v>
      </c>
      <c r="O32" s="112">
        <v>0</v>
      </c>
      <c r="P32" s="112">
        <v>0.95</v>
      </c>
      <c r="Q32" s="112">
        <v>4.28</v>
      </c>
    </row>
    <row r="33" spans="1:17" customFormat="1">
      <c r="A33" s="80">
        <v>45600.260416666664</v>
      </c>
      <c r="B33" s="112">
        <v>5.24</v>
      </c>
      <c r="C33" s="112">
        <v>8.07</v>
      </c>
      <c r="D33" s="112">
        <v>13.99</v>
      </c>
      <c r="E33" s="112">
        <v>10.6</v>
      </c>
      <c r="F33" s="112">
        <v>5.44</v>
      </c>
      <c r="G33" s="112">
        <v>104.61</v>
      </c>
      <c r="H33" s="112">
        <v>38.369999999999997</v>
      </c>
      <c r="I33" s="112">
        <v>10.9</v>
      </c>
      <c r="J33" s="112">
        <v>0.1</v>
      </c>
      <c r="K33" s="112">
        <v>210.04</v>
      </c>
      <c r="L33" s="112">
        <v>20.72</v>
      </c>
      <c r="M33" s="112">
        <v>93.39</v>
      </c>
      <c r="N33" s="112">
        <v>9</v>
      </c>
      <c r="O33" s="112">
        <v>0</v>
      </c>
      <c r="P33" s="112">
        <v>0.96</v>
      </c>
      <c r="Q33" s="112">
        <v>4.2699999999999996</v>
      </c>
    </row>
    <row r="34" spans="1:17" customFormat="1">
      <c r="A34" s="80">
        <v>45600.270833333336</v>
      </c>
      <c r="B34" s="112">
        <v>5.25</v>
      </c>
      <c r="C34" s="112">
        <v>8.06</v>
      </c>
      <c r="D34" s="112">
        <v>13.99</v>
      </c>
      <c r="E34" s="112">
        <v>10.7</v>
      </c>
      <c r="F34" s="112">
        <v>5.8</v>
      </c>
      <c r="G34" s="112">
        <v>104.61</v>
      </c>
      <c r="H34" s="112">
        <v>38.369999999999997</v>
      </c>
      <c r="I34" s="112">
        <v>11.1</v>
      </c>
      <c r="J34" s="112">
        <v>0.25</v>
      </c>
      <c r="K34" s="112">
        <v>174.93</v>
      </c>
      <c r="L34" s="112">
        <v>20.79</v>
      </c>
      <c r="M34" s="112">
        <v>94.45</v>
      </c>
      <c r="N34" s="112">
        <v>18.100000000000001</v>
      </c>
      <c r="O34" s="112">
        <v>0</v>
      </c>
      <c r="P34" s="112">
        <v>0.96</v>
      </c>
      <c r="Q34" s="112">
        <v>4.29</v>
      </c>
    </row>
    <row r="35" spans="1:17" customFormat="1">
      <c r="A35" s="80">
        <v>45600.28125</v>
      </c>
      <c r="B35" s="112">
        <v>5.24</v>
      </c>
      <c r="C35" s="112">
        <v>8.06</v>
      </c>
      <c r="D35" s="112">
        <v>13.98</v>
      </c>
      <c r="E35" s="112">
        <v>10.44</v>
      </c>
      <c r="F35" s="112">
        <v>5.77</v>
      </c>
      <c r="G35" s="112">
        <v>104.56</v>
      </c>
      <c r="H35" s="112">
        <v>37.11</v>
      </c>
      <c r="I35" s="112">
        <v>11.3</v>
      </c>
      <c r="J35" s="112">
        <v>0.21</v>
      </c>
      <c r="K35" s="112">
        <v>186.34</v>
      </c>
      <c r="L35" s="112">
        <v>21.01</v>
      </c>
      <c r="M35" s="112">
        <v>92.14</v>
      </c>
      <c r="N35" s="112">
        <v>30.1</v>
      </c>
      <c r="O35" s="112">
        <v>0</v>
      </c>
      <c r="P35" s="112">
        <v>0.96</v>
      </c>
      <c r="Q35" s="112">
        <v>4.29</v>
      </c>
    </row>
    <row r="36" spans="1:17" customFormat="1">
      <c r="A36" s="80">
        <v>45600.291666666664</v>
      </c>
      <c r="B36" s="112">
        <v>5.25</v>
      </c>
      <c r="C36" s="112">
        <v>8.07</v>
      </c>
      <c r="D36" s="112">
        <v>14</v>
      </c>
      <c r="E36" s="112">
        <v>10.25</v>
      </c>
      <c r="F36" s="112">
        <v>5.76</v>
      </c>
      <c r="G36" s="112">
        <v>104.54</v>
      </c>
      <c r="H36" s="112">
        <v>37.049999999999997</v>
      </c>
      <c r="I36" s="112">
        <v>11.5</v>
      </c>
      <c r="J36" s="112">
        <v>0.17</v>
      </c>
      <c r="K36" s="112">
        <v>193.11</v>
      </c>
      <c r="L36" s="112">
        <v>21.28</v>
      </c>
      <c r="M36" s="112">
        <v>88.93</v>
      </c>
      <c r="N36" s="112">
        <v>43.7</v>
      </c>
      <c r="O36" s="112">
        <v>0</v>
      </c>
      <c r="P36" s="112">
        <v>0.96</v>
      </c>
      <c r="Q36" s="112">
        <v>4.29</v>
      </c>
    </row>
    <row r="37" spans="1:17" customFormat="1">
      <c r="A37" s="80">
        <v>45600.302083333336</v>
      </c>
      <c r="B37" s="112">
        <v>5.26</v>
      </c>
      <c r="C37" s="112">
        <v>8.08</v>
      </c>
      <c r="D37" s="112">
        <v>14</v>
      </c>
      <c r="E37" s="112">
        <v>10.58</v>
      </c>
      <c r="F37" s="112">
        <v>5.4</v>
      </c>
      <c r="G37" s="112">
        <v>104.54</v>
      </c>
      <c r="H37" s="112">
        <v>37.049999999999997</v>
      </c>
      <c r="I37" s="112">
        <v>11.67</v>
      </c>
      <c r="J37" s="112">
        <v>0.2</v>
      </c>
      <c r="K37" s="112">
        <v>253.55</v>
      </c>
      <c r="L37" s="112">
        <v>21.77</v>
      </c>
      <c r="M37" s="112">
        <v>86.76</v>
      </c>
      <c r="N37" s="112">
        <v>57.5</v>
      </c>
      <c r="O37" s="112">
        <v>0</v>
      </c>
      <c r="P37" s="112">
        <v>0.96</v>
      </c>
      <c r="Q37" s="112">
        <v>4.29</v>
      </c>
    </row>
    <row r="38" spans="1:17" customFormat="1">
      <c r="A38" s="80">
        <v>45600.3125</v>
      </c>
      <c r="B38" s="112">
        <v>5.26</v>
      </c>
      <c r="C38" s="112">
        <v>8.07</v>
      </c>
      <c r="D38" s="112">
        <v>14</v>
      </c>
      <c r="E38" s="112">
        <v>10.91</v>
      </c>
      <c r="F38" s="112">
        <v>5.71</v>
      </c>
      <c r="G38" s="112">
        <v>104.54</v>
      </c>
      <c r="H38" s="112">
        <v>37.049999999999997</v>
      </c>
      <c r="I38" s="112">
        <v>11.74</v>
      </c>
      <c r="J38" s="112">
        <v>0.16</v>
      </c>
      <c r="K38" s="112">
        <v>241.2</v>
      </c>
      <c r="L38" s="112">
        <v>22.36</v>
      </c>
      <c r="M38" s="112">
        <v>85.2</v>
      </c>
      <c r="N38" s="112">
        <v>84.6</v>
      </c>
      <c r="O38" s="112">
        <v>0</v>
      </c>
      <c r="P38" s="112">
        <v>0.95</v>
      </c>
      <c r="Q38" s="112">
        <v>4.28</v>
      </c>
    </row>
    <row r="39" spans="1:17" customFormat="1">
      <c r="A39" s="80">
        <v>45600.322916666664</v>
      </c>
      <c r="B39" s="112">
        <v>5.25</v>
      </c>
      <c r="C39" s="112">
        <v>8.06</v>
      </c>
      <c r="D39" s="112">
        <v>13.99</v>
      </c>
      <c r="E39" s="112">
        <v>10.23</v>
      </c>
      <c r="F39" s="112">
        <v>5.84</v>
      </c>
      <c r="G39" s="112">
        <v>98.5</v>
      </c>
      <c r="H39" s="112">
        <v>36.82</v>
      </c>
      <c r="I39" s="112">
        <v>11.75</v>
      </c>
      <c r="J39" s="112">
        <v>0.24</v>
      </c>
      <c r="K39" s="112">
        <v>255.99</v>
      </c>
      <c r="L39" s="112">
        <v>23.06</v>
      </c>
      <c r="M39" s="112">
        <v>82.71</v>
      </c>
      <c r="N39" s="112">
        <v>158.9</v>
      </c>
      <c r="O39" s="112">
        <v>0</v>
      </c>
      <c r="P39" s="112">
        <v>0.93</v>
      </c>
      <c r="Q39" s="112">
        <v>4.3</v>
      </c>
    </row>
    <row r="40" spans="1:17" customFormat="1">
      <c r="A40" s="80">
        <v>45600.333333333336</v>
      </c>
      <c r="B40" s="112">
        <v>5.25</v>
      </c>
      <c r="C40" s="112">
        <v>8.08</v>
      </c>
      <c r="D40" s="112">
        <v>14</v>
      </c>
      <c r="E40" s="112">
        <v>10.77</v>
      </c>
      <c r="F40" s="112">
        <v>5.94</v>
      </c>
      <c r="G40" s="112">
        <v>96.05</v>
      </c>
      <c r="H40" s="112">
        <v>36.81</v>
      </c>
      <c r="I40" s="112">
        <v>11.66</v>
      </c>
      <c r="J40" s="112">
        <v>0.28000000000000003</v>
      </c>
      <c r="K40" s="112">
        <v>258.64</v>
      </c>
      <c r="L40" s="112">
        <v>23.84</v>
      </c>
      <c r="M40" s="112">
        <v>78.67</v>
      </c>
      <c r="N40" s="112">
        <v>196.6</v>
      </c>
      <c r="O40" s="112">
        <v>0</v>
      </c>
      <c r="P40" s="112">
        <v>0.91</v>
      </c>
      <c r="Q40" s="112">
        <v>4.28</v>
      </c>
    </row>
    <row r="41" spans="1:17" customFormat="1">
      <c r="A41" s="80">
        <v>45600.34375</v>
      </c>
      <c r="B41" s="112">
        <v>5.27</v>
      </c>
      <c r="C41" s="112">
        <v>8.08</v>
      </c>
      <c r="D41" s="112">
        <v>14.01</v>
      </c>
      <c r="E41" s="112">
        <v>10.49</v>
      </c>
      <c r="F41" s="112">
        <v>6.13</v>
      </c>
      <c r="G41" s="112">
        <v>96.05</v>
      </c>
      <c r="H41" s="112">
        <v>36.81</v>
      </c>
      <c r="I41" s="112">
        <v>11.5</v>
      </c>
      <c r="J41" s="112">
        <v>0.36</v>
      </c>
      <c r="K41" s="112">
        <v>263.02</v>
      </c>
      <c r="L41" s="112">
        <v>24.55</v>
      </c>
      <c r="M41" s="112">
        <v>76.67</v>
      </c>
      <c r="N41" s="112">
        <v>233.8</v>
      </c>
      <c r="O41" s="112">
        <v>0</v>
      </c>
      <c r="P41" s="112">
        <v>0.9</v>
      </c>
      <c r="Q41" s="112">
        <v>4.29</v>
      </c>
    </row>
    <row r="42" spans="1:17" customFormat="1">
      <c r="A42" s="80">
        <v>45600.354166666664</v>
      </c>
      <c r="B42" s="112">
        <v>5.24</v>
      </c>
      <c r="C42" s="112">
        <v>8.07</v>
      </c>
      <c r="D42" s="112">
        <v>13.99</v>
      </c>
      <c r="E42" s="112">
        <v>10.62</v>
      </c>
      <c r="F42" s="112">
        <v>6.17</v>
      </c>
      <c r="G42" s="112">
        <v>96.05</v>
      </c>
      <c r="H42" s="112">
        <v>36.81</v>
      </c>
      <c r="I42" s="112">
        <v>11.44</v>
      </c>
      <c r="J42" s="112">
        <v>0.44</v>
      </c>
      <c r="K42" s="112">
        <v>268.72000000000003</v>
      </c>
      <c r="L42" s="112">
        <v>25.35</v>
      </c>
      <c r="M42" s="112">
        <v>71.36</v>
      </c>
      <c r="N42" s="112">
        <v>223.4</v>
      </c>
      <c r="O42" s="112">
        <v>0</v>
      </c>
      <c r="P42" s="112">
        <v>0.89</v>
      </c>
      <c r="Q42" s="112">
        <v>4.29</v>
      </c>
    </row>
    <row r="43" spans="1:17" customFormat="1">
      <c r="A43" s="80">
        <v>45600.364583333336</v>
      </c>
      <c r="B43" s="112">
        <v>5.23</v>
      </c>
      <c r="C43" s="112">
        <v>8.0500000000000007</v>
      </c>
      <c r="D43" s="112">
        <v>13.96</v>
      </c>
      <c r="E43" s="112">
        <v>10.32</v>
      </c>
      <c r="F43" s="112">
        <v>6.08</v>
      </c>
      <c r="G43" s="112">
        <v>93.29</v>
      </c>
      <c r="H43" s="112">
        <v>34.99</v>
      </c>
      <c r="I43" s="112">
        <v>11.43</v>
      </c>
      <c r="J43" s="112">
        <v>0.27</v>
      </c>
      <c r="K43" s="112">
        <v>262.83999999999997</v>
      </c>
      <c r="L43" s="112">
        <v>26.44</v>
      </c>
      <c r="M43" s="112">
        <v>67.31</v>
      </c>
      <c r="N43" s="112">
        <v>312.39999999999998</v>
      </c>
      <c r="O43" s="112">
        <v>0</v>
      </c>
      <c r="P43" s="112">
        <v>0.88</v>
      </c>
      <c r="Q43" s="112">
        <v>4.29</v>
      </c>
    </row>
    <row r="44" spans="1:17" customFormat="1">
      <c r="A44" s="80">
        <v>45600.375</v>
      </c>
      <c r="B44" s="112">
        <v>5.21</v>
      </c>
      <c r="C44" s="112">
        <v>8.06</v>
      </c>
      <c r="D44" s="112">
        <v>13.96</v>
      </c>
      <c r="E44" s="112">
        <v>10.61</v>
      </c>
      <c r="F44" s="112">
        <v>5.82</v>
      </c>
      <c r="G44" s="112">
        <v>92.17</v>
      </c>
      <c r="H44" s="112">
        <v>34.9</v>
      </c>
      <c r="I44" s="112">
        <v>11.34</v>
      </c>
      <c r="J44" s="112">
        <v>0.38</v>
      </c>
      <c r="K44" s="112">
        <v>261.32</v>
      </c>
      <c r="L44" s="112">
        <v>27.14</v>
      </c>
      <c r="M44" s="112">
        <v>63.9</v>
      </c>
      <c r="N44" s="112">
        <v>273</v>
      </c>
      <c r="O44" s="112">
        <v>0</v>
      </c>
      <c r="P44" s="112">
        <v>0.87</v>
      </c>
      <c r="Q44" s="112">
        <v>4.28</v>
      </c>
    </row>
    <row r="45" spans="1:17" customFormat="1">
      <c r="A45" s="80">
        <v>45600.385416666664</v>
      </c>
      <c r="B45" s="112">
        <v>5.21</v>
      </c>
      <c r="C45" s="112">
        <v>8.0399999999999991</v>
      </c>
      <c r="D45" s="112">
        <v>13.95</v>
      </c>
      <c r="E45" s="112">
        <v>10.26</v>
      </c>
      <c r="F45" s="112">
        <v>6.14</v>
      </c>
      <c r="G45" s="112">
        <v>92.17</v>
      </c>
      <c r="H45" s="112">
        <v>34.9</v>
      </c>
      <c r="I45" s="112">
        <v>11.32</v>
      </c>
      <c r="J45" s="112">
        <v>0.28999999999999998</v>
      </c>
      <c r="K45" s="112">
        <v>252.78</v>
      </c>
      <c r="L45" s="112">
        <v>27.79</v>
      </c>
      <c r="M45" s="112">
        <v>60.55</v>
      </c>
      <c r="N45" s="112">
        <v>390</v>
      </c>
      <c r="O45" s="112">
        <v>0</v>
      </c>
      <c r="P45" s="112">
        <v>0.85</v>
      </c>
      <c r="Q45" s="112">
        <v>4.3</v>
      </c>
    </row>
    <row r="46" spans="1:17" customFormat="1">
      <c r="A46" s="80">
        <v>45600.395833333336</v>
      </c>
      <c r="B46" s="112">
        <v>5.2</v>
      </c>
      <c r="C46" s="112">
        <v>8.07</v>
      </c>
      <c r="D46" s="112">
        <v>13.96</v>
      </c>
      <c r="E46" s="112">
        <v>10.029999999999999</v>
      </c>
      <c r="F46" s="112">
        <v>8.19</v>
      </c>
      <c r="G46" s="112">
        <v>92.17</v>
      </c>
      <c r="H46" s="112">
        <v>34.9</v>
      </c>
      <c r="I46" s="112">
        <v>11.37</v>
      </c>
      <c r="J46" s="112">
        <v>0.28000000000000003</v>
      </c>
      <c r="K46" s="112">
        <v>252.3</v>
      </c>
      <c r="L46" s="112">
        <v>28.68</v>
      </c>
      <c r="M46" s="112">
        <v>58.76</v>
      </c>
      <c r="N46" s="112">
        <v>336.4</v>
      </c>
      <c r="O46" s="112">
        <v>0</v>
      </c>
      <c r="P46" s="112">
        <v>0.83</v>
      </c>
      <c r="Q46" s="112">
        <v>4.29</v>
      </c>
    </row>
    <row r="47" spans="1:17" customFormat="1">
      <c r="A47" s="80">
        <v>45600.40625</v>
      </c>
      <c r="B47" s="112">
        <v>5.23</v>
      </c>
      <c r="C47" s="112">
        <v>8.06</v>
      </c>
      <c r="D47" s="112">
        <v>13.97</v>
      </c>
      <c r="E47" s="112">
        <v>10.19</v>
      </c>
      <c r="F47" s="112">
        <v>8.1300000000000008</v>
      </c>
      <c r="G47" s="112">
        <v>85.87</v>
      </c>
      <c r="H47" s="112">
        <v>34.32</v>
      </c>
      <c r="I47" s="112">
        <v>11.37</v>
      </c>
      <c r="J47" s="112">
        <v>0.53</v>
      </c>
      <c r="K47" s="112">
        <v>272.98</v>
      </c>
      <c r="L47" s="112">
        <v>29.27</v>
      </c>
      <c r="M47" s="112">
        <v>54.54</v>
      </c>
      <c r="N47" s="112">
        <v>456.2</v>
      </c>
      <c r="O47" s="112">
        <v>0</v>
      </c>
      <c r="P47" s="112">
        <v>0.81</v>
      </c>
      <c r="Q47" s="112">
        <v>4.32</v>
      </c>
    </row>
    <row r="48" spans="1:17" customFormat="1">
      <c r="A48" s="80">
        <v>45600.416666666664</v>
      </c>
      <c r="B48" s="112">
        <v>5.27</v>
      </c>
      <c r="C48" s="112">
        <v>8.0500000000000007</v>
      </c>
      <c r="D48" s="112">
        <v>14</v>
      </c>
      <c r="E48" s="112">
        <v>9.9499999999999993</v>
      </c>
      <c r="F48" s="112">
        <v>7.55</v>
      </c>
      <c r="G48" s="112">
        <v>83.31</v>
      </c>
      <c r="H48" s="112">
        <v>34.29</v>
      </c>
      <c r="I48" s="112">
        <v>11.33</v>
      </c>
      <c r="J48" s="112">
        <v>0.39</v>
      </c>
      <c r="K48" s="112">
        <v>264.02</v>
      </c>
      <c r="L48" s="112">
        <v>30.02</v>
      </c>
      <c r="M48" s="112">
        <v>50.25</v>
      </c>
      <c r="N48" s="112">
        <v>505.9</v>
      </c>
      <c r="O48" s="112">
        <v>0</v>
      </c>
      <c r="P48" s="112">
        <v>0.81</v>
      </c>
      <c r="Q48" s="112">
        <v>4.3</v>
      </c>
    </row>
    <row r="49" spans="1:17" customFormat="1">
      <c r="A49" s="80">
        <v>45600.427083333336</v>
      </c>
      <c r="B49" s="112">
        <v>5.27</v>
      </c>
      <c r="C49" s="112">
        <v>8.0399999999999991</v>
      </c>
      <c r="D49" s="112">
        <v>13.99</v>
      </c>
      <c r="E49" s="112">
        <v>8.77</v>
      </c>
      <c r="F49" s="112">
        <v>7.49</v>
      </c>
      <c r="G49" s="112">
        <v>83.31</v>
      </c>
      <c r="H49" s="112">
        <v>34.29</v>
      </c>
      <c r="I49" s="112">
        <v>11.29</v>
      </c>
      <c r="J49" s="112">
        <v>0.33</v>
      </c>
      <c r="K49" s="112">
        <v>262.41000000000003</v>
      </c>
      <c r="L49" s="112">
        <v>30.65</v>
      </c>
      <c r="M49" s="112">
        <v>48.2</v>
      </c>
      <c r="N49" s="112">
        <v>537.1</v>
      </c>
      <c r="O49" s="112">
        <v>0</v>
      </c>
      <c r="P49" s="112">
        <v>0.82</v>
      </c>
      <c r="Q49" s="112">
        <v>4.29</v>
      </c>
    </row>
    <row r="50" spans="1:17" customFormat="1">
      <c r="A50" s="80">
        <v>45600.4375</v>
      </c>
      <c r="B50" s="112">
        <v>5.23</v>
      </c>
      <c r="C50" s="112">
        <v>8.08</v>
      </c>
      <c r="D50" s="112">
        <v>13.98</v>
      </c>
      <c r="E50" s="112">
        <v>11.09</v>
      </c>
      <c r="F50" s="112">
        <v>7.95</v>
      </c>
      <c r="G50" s="112">
        <v>83.31</v>
      </c>
      <c r="H50" s="112">
        <v>34.29</v>
      </c>
      <c r="I50" s="112">
        <v>11.24</v>
      </c>
      <c r="J50" s="112">
        <v>0.25</v>
      </c>
      <c r="K50" s="112">
        <v>223.06</v>
      </c>
      <c r="L50" s="112">
        <v>31.11</v>
      </c>
      <c r="M50" s="112">
        <v>44.77</v>
      </c>
      <c r="N50" s="112">
        <v>515</v>
      </c>
      <c r="O50" s="112">
        <v>0</v>
      </c>
      <c r="P50" s="112">
        <v>0.81</v>
      </c>
      <c r="Q50" s="112">
        <v>4.29</v>
      </c>
    </row>
    <row r="51" spans="1:17" customFormat="1">
      <c r="A51" s="80">
        <v>45600.447916666664</v>
      </c>
      <c r="B51" s="112">
        <v>5.21</v>
      </c>
      <c r="C51" s="112">
        <v>8.08</v>
      </c>
      <c r="D51" s="112">
        <v>13.97</v>
      </c>
      <c r="E51" s="112">
        <v>10.62</v>
      </c>
      <c r="F51" s="112">
        <v>8.6300000000000008</v>
      </c>
      <c r="G51" s="112">
        <v>78.36</v>
      </c>
      <c r="H51" s="112">
        <v>27.72</v>
      </c>
      <c r="I51" s="112">
        <v>11.17</v>
      </c>
      <c r="J51" s="112">
        <v>0.13</v>
      </c>
      <c r="K51" s="112">
        <v>194.59</v>
      </c>
      <c r="L51" s="112">
        <v>31.54</v>
      </c>
      <c r="M51" s="112">
        <v>37.950000000000003</v>
      </c>
      <c r="N51" s="112">
        <v>497.8</v>
      </c>
      <c r="O51" s="112">
        <v>0</v>
      </c>
      <c r="P51" s="112">
        <v>0.79</v>
      </c>
      <c r="Q51" s="112">
        <v>4.32</v>
      </c>
    </row>
    <row r="52" spans="1:17" customFormat="1">
      <c r="A52" s="80">
        <v>45600.458333333336</v>
      </c>
      <c r="B52" s="112">
        <v>5.22</v>
      </c>
      <c r="C52" s="112">
        <v>8.0500000000000007</v>
      </c>
      <c r="D52" s="112">
        <v>13.96</v>
      </c>
      <c r="E52" s="112">
        <v>10.41</v>
      </c>
      <c r="F52" s="112">
        <v>8.85</v>
      </c>
      <c r="G52" s="112">
        <v>76.349999999999994</v>
      </c>
      <c r="H52" s="112">
        <v>27.41</v>
      </c>
      <c r="I52" s="112">
        <v>11.02</v>
      </c>
      <c r="J52" s="112">
        <v>0.37</v>
      </c>
      <c r="K52" s="112">
        <v>271.44</v>
      </c>
      <c r="L52" s="112">
        <v>31.8</v>
      </c>
      <c r="M52" s="112">
        <v>35.85</v>
      </c>
      <c r="N52" s="112">
        <v>576.29999999999995</v>
      </c>
      <c r="O52" s="112">
        <v>0</v>
      </c>
      <c r="P52" s="112">
        <v>0.78</v>
      </c>
      <c r="Q52" s="112">
        <v>4.3099999999999996</v>
      </c>
    </row>
    <row r="53" spans="1:17" customFormat="1">
      <c r="A53" s="80">
        <v>45600.46875</v>
      </c>
      <c r="B53" s="112">
        <v>5.22</v>
      </c>
      <c r="C53" s="112">
        <v>8.0399999999999991</v>
      </c>
      <c r="D53" s="112">
        <v>13.95</v>
      </c>
      <c r="E53" s="112">
        <v>10.220000000000001</v>
      </c>
      <c r="F53" s="112">
        <v>8.1999999999999993</v>
      </c>
      <c r="G53" s="112">
        <v>76.349999999999994</v>
      </c>
      <c r="H53" s="112">
        <v>27.41</v>
      </c>
      <c r="I53" s="112">
        <v>10.9</v>
      </c>
      <c r="J53" s="112">
        <v>0.27</v>
      </c>
      <c r="K53" s="112">
        <v>287.12</v>
      </c>
      <c r="L53" s="112">
        <v>31.71</v>
      </c>
      <c r="M53" s="112">
        <v>35.5</v>
      </c>
      <c r="N53" s="112">
        <v>594.1</v>
      </c>
      <c r="O53" s="112">
        <v>0</v>
      </c>
      <c r="P53" s="112">
        <v>0.76</v>
      </c>
      <c r="Q53" s="112">
        <v>4.32</v>
      </c>
    </row>
    <row r="54" spans="1:17" customFormat="1">
      <c r="A54" s="80">
        <v>45600.479166666664</v>
      </c>
      <c r="B54" s="112">
        <v>5.21</v>
      </c>
      <c r="C54" s="112">
        <v>8.0399999999999991</v>
      </c>
      <c r="D54" s="112">
        <v>13.95</v>
      </c>
      <c r="E54" s="112">
        <v>10.77</v>
      </c>
      <c r="F54" s="112">
        <v>8.57</v>
      </c>
      <c r="G54" s="112">
        <v>76.349999999999994</v>
      </c>
      <c r="H54" s="112">
        <v>27.41</v>
      </c>
      <c r="I54" s="112">
        <v>10.76</v>
      </c>
      <c r="J54" s="112">
        <v>0.34</v>
      </c>
      <c r="K54" s="112">
        <v>275.52999999999997</v>
      </c>
      <c r="L54" s="112">
        <v>31.75</v>
      </c>
      <c r="M54" s="112">
        <v>34.04</v>
      </c>
      <c r="N54" s="112">
        <v>603.5</v>
      </c>
      <c r="O54" s="112">
        <v>0</v>
      </c>
      <c r="P54" s="112">
        <v>0.76</v>
      </c>
      <c r="Q54" s="112">
        <v>4.3099999999999996</v>
      </c>
    </row>
    <row r="55" spans="1:17" customFormat="1">
      <c r="A55" s="80">
        <v>45600.489583333336</v>
      </c>
      <c r="B55" s="112">
        <v>5.21</v>
      </c>
      <c r="C55" s="112">
        <v>8.0399999999999991</v>
      </c>
      <c r="D55" s="112">
        <v>13.95</v>
      </c>
      <c r="E55" s="112">
        <v>10.63</v>
      </c>
      <c r="F55" s="112">
        <v>9.44</v>
      </c>
      <c r="G55" s="112">
        <v>68.98</v>
      </c>
      <c r="H55" s="112">
        <v>24.63</v>
      </c>
      <c r="I55" s="112">
        <v>10.54</v>
      </c>
      <c r="J55" s="112">
        <v>0.08</v>
      </c>
      <c r="K55" s="112">
        <v>254.15</v>
      </c>
      <c r="L55" s="112">
        <v>32.25</v>
      </c>
      <c r="M55" s="112">
        <v>31.41</v>
      </c>
      <c r="N55" s="112">
        <v>603.70000000000005</v>
      </c>
      <c r="O55" s="112">
        <v>0</v>
      </c>
      <c r="P55" s="112">
        <v>0.75</v>
      </c>
      <c r="Q55" s="112">
        <v>4.29</v>
      </c>
    </row>
    <row r="56" spans="1:17" customFormat="1">
      <c r="A56" s="80">
        <v>45600.5</v>
      </c>
      <c r="B56" s="112">
        <v>5.21</v>
      </c>
      <c r="C56" s="112">
        <v>8.0500000000000007</v>
      </c>
      <c r="D56" s="112">
        <v>13.95</v>
      </c>
      <c r="E56" s="112">
        <v>10.14</v>
      </c>
      <c r="F56" s="112">
        <v>7.67</v>
      </c>
      <c r="G56" s="112">
        <v>65.989999999999995</v>
      </c>
      <c r="H56" s="112">
        <v>24.42</v>
      </c>
      <c r="I56" s="112">
        <v>10.38</v>
      </c>
      <c r="J56" s="112">
        <v>0.17</v>
      </c>
      <c r="K56" s="112">
        <v>200.15</v>
      </c>
      <c r="L56" s="112">
        <v>32.31</v>
      </c>
      <c r="M56" s="112">
        <v>32.36</v>
      </c>
      <c r="N56" s="112">
        <v>558.6</v>
      </c>
      <c r="O56" s="112">
        <v>0</v>
      </c>
      <c r="P56" s="112">
        <v>0.75</v>
      </c>
      <c r="Q56" s="112">
        <v>4.29</v>
      </c>
    </row>
    <row r="57" spans="1:17" customFormat="1">
      <c r="A57" s="80">
        <v>45600.510416666664</v>
      </c>
      <c r="B57" s="112">
        <v>5.22</v>
      </c>
      <c r="C57" s="112">
        <v>8.06</v>
      </c>
      <c r="D57" s="112">
        <v>13.96</v>
      </c>
      <c r="E57" s="112">
        <v>10.61</v>
      </c>
      <c r="F57" s="112">
        <v>10.220000000000001</v>
      </c>
      <c r="G57" s="112">
        <v>65.989999999999995</v>
      </c>
      <c r="H57" s="112">
        <v>24.42</v>
      </c>
      <c r="I57" s="112">
        <v>10.25</v>
      </c>
      <c r="J57" s="112">
        <v>0.13</v>
      </c>
      <c r="K57" s="112">
        <v>359.3</v>
      </c>
      <c r="L57" s="112">
        <v>32.35</v>
      </c>
      <c r="M57" s="112">
        <v>31.76</v>
      </c>
      <c r="N57" s="112">
        <v>530</v>
      </c>
      <c r="O57" s="112">
        <v>0</v>
      </c>
      <c r="P57" s="112">
        <v>0.73</v>
      </c>
      <c r="Q57" s="112">
        <v>4.29</v>
      </c>
    </row>
    <row r="58" spans="1:17" customFormat="1">
      <c r="A58" s="80">
        <v>45600.520833333336</v>
      </c>
      <c r="B58" s="112">
        <v>5.23</v>
      </c>
      <c r="C58" s="112">
        <v>8.07</v>
      </c>
      <c r="D58" s="112">
        <v>13.98</v>
      </c>
      <c r="E58" s="112">
        <v>10.61</v>
      </c>
      <c r="F58" s="112">
        <v>12.28</v>
      </c>
      <c r="G58" s="112">
        <v>65.989999999999995</v>
      </c>
      <c r="H58" s="112">
        <v>24.42</v>
      </c>
      <c r="I58" s="112">
        <v>10.14</v>
      </c>
      <c r="J58" s="112">
        <v>0.12</v>
      </c>
      <c r="K58" s="112">
        <v>130.61000000000001</v>
      </c>
      <c r="L58" s="112">
        <v>32.520000000000003</v>
      </c>
      <c r="M58" s="112">
        <v>30.66</v>
      </c>
      <c r="N58" s="112">
        <v>517.29999999999995</v>
      </c>
      <c r="O58" s="112">
        <v>0</v>
      </c>
      <c r="P58" s="112">
        <v>0.72</v>
      </c>
      <c r="Q58" s="112">
        <v>4.28</v>
      </c>
    </row>
    <row r="59" spans="1:17" customFormat="1">
      <c r="A59" s="80">
        <v>45600.53125</v>
      </c>
      <c r="B59" s="112">
        <v>5.26</v>
      </c>
      <c r="C59" s="112">
        <v>8.07</v>
      </c>
      <c r="D59" s="112">
        <v>14</v>
      </c>
      <c r="E59" s="112">
        <v>10.73</v>
      </c>
      <c r="F59" s="112">
        <v>12.19</v>
      </c>
      <c r="G59" s="112">
        <v>56.09</v>
      </c>
      <c r="H59" s="112">
        <v>21.48</v>
      </c>
      <c r="I59" s="112">
        <v>9.91</v>
      </c>
      <c r="J59" s="112">
        <v>0.34</v>
      </c>
      <c r="K59" s="112">
        <v>265.3</v>
      </c>
      <c r="L59" s="112">
        <v>32.21</v>
      </c>
      <c r="M59" s="112">
        <v>33.590000000000003</v>
      </c>
      <c r="N59" s="112">
        <v>481.2</v>
      </c>
      <c r="O59" s="112">
        <v>0</v>
      </c>
      <c r="P59" s="112">
        <v>0.72</v>
      </c>
      <c r="Q59" s="112">
        <v>4.29</v>
      </c>
    </row>
    <row r="60" spans="1:17" customFormat="1">
      <c r="A60" s="80">
        <v>45600.541666666664</v>
      </c>
      <c r="B60" s="112">
        <v>5.26</v>
      </c>
      <c r="C60" s="112">
        <v>8.06</v>
      </c>
      <c r="D60" s="112">
        <v>13.99</v>
      </c>
      <c r="E60" s="112">
        <v>10.87</v>
      </c>
      <c r="F60" s="112">
        <v>10.11</v>
      </c>
      <c r="G60" s="112">
        <v>52.07</v>
      </c>
      <c r="H60" s="112">
        <v>21.34</v>
      </c>
      <c r="I60" s="112">
        <v>9.7100000000000009</v>
      </c>
      <c r="J60" s="112">
        <v>0.25</v>
      </c>
      <c r="K60" s="112">
        <v>74.75</v>
      </c>
      <c r="L60" s="112">
        <v>32.69</v>
      </c>
      <c r="M60" s="112">
        <v>30.62</v>
      </c>
      <c r="N60" s="112">
        <v>434.5</v>
      </c>
      <c r="O60" s="112">
        <v>0</v>
      </c>
      <c r="P60" s="112">
        <v>0.71</v>
      </c>
      <c r="Q60" s="112">
        <v>4.29</v>
      </c>
    </row>
    <row r="61" spans="1:17" customFormat="1">
      <c r="A61" s="80">
        <v>45600.552083333336</v>
      </c>
      <c r="B61" s="112">
        <v>5.26</v>
      </c>
      <c r="C61" s="112">
        <v>8.07</v>
      </c>
      <c r="D61" s="112">
        <v>14</v>
      </c>
      <c r="E61" s="112">
        <v>10.93</v>
      </c>
      <c r="F61" s="112">
        <v>15.54</v>
      </c>
      <c r="G61" s="112">
        <v>52.07</v>
      </c>
      <c r="H61" s="112">
        <v>21.34</v>
      </c>
      <c r="I61" s="112">
        <v>9.6300000000000008</v>
      </c>
      <c r="J61" s="112">
        <v>0.27</v>
      </c>
      <c r="K61" s="112">
        <v>32.5</v>
      </c>
      <c r="L61" s="112">
        <v>32.549999999999997</v>
      </c>
      <c r="M61" s="112">
        <v>31.74</v>
      </c>
      <c r="N61" s="112">
        <v>395.6</v>
      </c>
      <c r="O61" s="112">
        <v>0</v>
      </c>
      <c r="P61" s="112">
        <v>0.7</v>
      </c>
      <c r="Q61" s="112">
        <v>4.3</v>
      </c>
    </row>
    <row r="62" spans="1:17" customFormat="1">
      <c r="A62" s="80">
        <v>45600.5625</v>
      </c>
      <c r="B62" s="112">
        <v>5.26</v>
      </c>
      <c r="C62" s="112">
        <v>8.07</v>
      </c>
      <c r="D62" s="112">
        <v>14</v>
      </c>
      <c r="E62" s="112">
        <v>11.65</v>
      </c>
      <c r="F62" s="112">
        <v>14.35</v>
      </c>
      <c r="G62" s="112">
        <v>52.07</v>
      </c>
      <c r="H62" s="112">
        <v>21.34</v>
      </c>
      <c r="I62" s="112">
        <v>9.5500000000000007</v>
      </c>
      <c r="J62" s="112">
        <v>0.49</v>
      </c>
      <c r="K62" s="112">
        <v>23.31</v>
      </c>
      <c r="L62" s="112">
        <v>31.95</v>
      </c>
      <c r="M62" s="112">
        <v>32.15</v>
      </c>
      <c r="N62" s="112">
        <v>241.8</v>
      </c>
      <c r="O62" s="112">
        <v>0</v>
      </c>
      <c r="P62" s="112">
        <v>0.7</v>
      </c>
      <c r="Q62" s="112">
        <v>4.28</v>
      </c>
    </row>
    <row r="63" spans="1:17" customFormat="1">
      <c r="A63" s="80">
        <v>45600.572916666664</v>
      </c>
      <c r="B63" s="112">
        <v>5.25</v>
      </c>
      <c r="C63" s="112">
        <v>8.09</v>
      </c>
      <c r="D63" s="112">
        <v>14.01</v>
      </c>
      <c r="E63" s="112">
        <v>13.4</v>
      </c>
      <c r="F63" s="112">
        <v>20.2</v>
      </c>
      <c r="G63" s="112">
        <v>59.93</v>
      </c>
      <c r="H63" s="112">
        <v>22.04</v>
      </c>
      <c r="I63" s="112">
        <v>9.35</v>
      </c>
      <c r="J63" s="112">
        <v>0.59</v>
      </c>
      <c r="K63" s="112">
        <v>343.02</v>
      </c>
      <c r="L63" s="112">
        <v>32.18</v>
      </c>
      <c r="M63" s="112">
        <v>30.11</v>
      </c>
      <c r="N63" s="112">
        <v>418</v>
      </c>
      <c r="O63" s="112">
        <v>0</v>
      </c>
      <c r="P63" s="112">
        <v>0.68</v>
      </c>
      <c r="Q63" s="112">
        <v>4.3</v>
      </c>
    </row>
    <row r="64" spans="1:17" customFormat="1">
      <c r="A64" s="80">
        <v>45600.583333333336</v>
      </c>
      <c r="B64" s="112">
        <v>5.25</v>
      </c>
      <c r="C64" s="112">
        <v>8.08</v>
      </c>
      <c r="D64" s="112">
        <v>14</v>
      </c>
      <c r="E64" s="112">
        <v>12.32</v>
      </c>
      <c r="F64" s="112">
        <v>18.600000000000001</v>
      </c>
      <c r="G64" s="112">
        <v>63.12</v>
      </c>
      <c r="H64" s="112">
        <v>22.07</v>
      </c>
      <c r="I64" s="112">
        <v>9.07</v>
      </c>
      <c r="J64" s="112">
        <v>0.59</v>
      </c>
      <c r="K64" s="112">
        <v>356.43</v>
      </c>
      <c r="L64" s="112">
        <v>32.200000000000003</v>
      </c>
      <c r="M64" s="112">
        <v>29.53</v>
      </c>
      <c r="N64" s="112">
        <v>297.89999999999998</v>
      </c>
      <c r="O64" s="112">
        <v>0</v>
      </c>
      <c r="P64" s="112">
        <v>0.7</v>
      </c>
      <c r="Q64" s="112">
        <v>4.28</v>
      </c>
    </row>
    <row r="65" spans="1:17" customFormat="1">
      <c r="A65" s="80">
        <v>45600.59375</v>
      </c>
      <c r="B65" s="112">
        <v>5.24</v>
      </c>
      <c r="C65" s="112">
        <v>8.08</v>
      </c>
      <c r="D65" s="112">
        <v>13.99</v>
      </c>
      <c r="E65" s="112">
        <v>12.75</v>
      </c>
      <c r="F65" s="112">
        <v>15.83</v>
      </c>
      <c r="G65" s="112">
        <v>63.12</v>
      </c>
      <c r="H65" s="112">
        <v>22.07</v>
      </c>
      <c r="I65" s="112">
        <v>8.9600000000000009</v>
      </c>
      <c r="J65" s="112">
        <v>0.48</v>
      </c>
      <c r="K65" s="112">
        <v>352.45</v>
      </c>
      <c r="L65" s="112">
        <v>31.86</v>
      </c>
      <c r="M65" s="112">
        <v>29.61</v>
      </c>
      <c r="N65" s="112">
        <v>113.8</v>
      </c>
      <c r="O65" s="112">
        <v>0</v>
      </c>
      <c r="P65" s="112">
        <v>0.67</v>
      </c>
      <c r="Q65" s="112">
        <v>4.29</v>
      </c>
    </row>
    <row r="66" spans="1:17" customFormat="1">
      <c r="A66" s="80">
        <v>45600.604166666664</v>
      </c>
      <c r="B66" s="112">
        <v>5.24</v>
      </c>
      <c r="C66" s="112">
        <v>8.09</v>
      </c>
      <c r="D66" s="112">
        <v>14</v>
      </c>
      <c r="E66" s="112">
        <v>14.37</v>
      </c>
      <c r="F66" s="112">
        <v>22.78</v>
      </c>
      <c r="G66" s="112">
        <v>63.12</v>
      </c>
      <c r="H66" s="112">
        <v>22.07</v>
      </c>
      <c r="I66" s="112">
        <v>8.86</v>
      </c>
      <c r="J66" s="112">
        <v>0.67</v>
      </c>
      <c r="K66" s="112">
        <v>27.48</v>
      </c>
      <c r="L66" s="112">
        <v>31.6</v>
      </c>
      <c r="M66" s="112">
        <v>28.72</v>
      </c>
      <c r="N66" s="112">
        <v>93.3</v>
      </c>
      <c r="O66" s="112">
        <v>0</v>
      </c>
      <c r="P66" s="112">
        <v>0.69</v>
      </c>
      <c r="Q66" s="112">
        <v>4.28</v>
      </c>
    </row>
    <row r="67" spans="1:17" customFormat="1">
      <c r="A67" s="80">
        <v>45600.614583333336</v>
      </c>
      <c r="B67" s="112">
        <v>5.24</v>
      </c>
      <c r="C67" s="112">
        <v>8.06</v>
      </c>
      <c r="D67" s="112">
        <v>13.98</v>
      </c>
      <c r="E67" s="112">
        <v>13.9</v>
      </c>
      <c r="F67" s="112">
        <v>16.64</v>
      </c>
      <c r="G67" s="112">
        <v>63.2</v>
      </c>
      <c r="H67" s="112">
        <v>19.3</v>
      </c>
      <c r="I67" s="112">
        <v>8.6</v>
      </c>
      <c r="J67" s="112">
        <v>0.3</v>
      </c>
      <c r="K67" s="112">
        <v>6.46</v>
      </c>
      <c r="L67" s="112">
        <v>31.59</v>
      </c>
      <c r="M67" s="112">
        <v>29.75</v>
      </c>
      <c r="N67" s="112">
        <v>83</v>
      </c>
      <c r="O67" s="112">
        <v>0</v>
      </c>
      <c r="P67" s="112">
        <v>0.7</v>
      </c>
      <c r="Q67" s="112">
        <v>4.28</v>
      </c>
    </row>
    <row r="68" spans="1:17" customFormat="1">
      <c r="A68" s="80">
        <v>45600.625</v>
      </c>
      <c r="B68" s="112">
        <v>5.22</v>
      </c>
      <c r="C68" s="112">
        <v>8.09</v>
      </c>
      <c r="D68" s="112">
        <v>13.98</v>
      </c>
      <c r="E68" s="112">
        <v>13.5</v>
      </c>
      <c r="F68" s="112">
        <v>17.98</v>
      </c>
      <c r="G68" s="112">
        <v>63.23</v>
      </c>
      <c r="H68" s="112">
        <v>19.170000000000002</v>
      </c>
      <c r="I68" s="112">
        <v>8.3800000000000008</v>
      </c>
      <c r="J68" s="112">
        <v>0.65</v>
      </c>
      <c r="K68" s="112">
        <v>36.25</v>
      </c>
      <c r="L68" s="112">
        <v>31.46</v>
      </c>
      <c r="M68" s="112">
        <v>30.22</v>
      </c>
      <c r="N68" s="112">
        <v>79.5</v>
      </c>
      <c r="O68" s="112">
        <v>0</v>
      </c>
      <c r="P68" s="112">
        <v>0.69</v>
      </c>
      <c r="Q68" s="112">
        <v>4.29</v>
      </c>
    </row>
    <row r="69" spans="1:17" customFormat="1">
      <c r="A69" s="80">
        <v>45600.635416666664</v>
      </c>
      <c r="B69" s="112">
        <v>5.21</v>
      </c>
      <c r="C69" s="112">
        <v>8.1</v>
      </c>
      <c r="D69" s="112">
        <v>13.98</v>
      </c>
      <c r="E69" s="112">
        <v>12.97</v>
      </c>
      <c r="F69" s="112">
        <v>17.149999999999999</v>
      </c>
      <c r="G69" s="112">
        <v>63.23</v>
      </c>
      <c r="H69" s="112">
        <v>19.170000000000002</v>
      </c>
      <c r="I69" s="112">
        <v>8.2899999999999991</v>
      </c>
      <c r="J69" s="112">
        <v>0.45</v>
      </c>
      <c r="K69" s="112">
        <v>20.57</v>
      </c>
      <c r="L69" s="112">
        <v>31.33</v>
      </c>
      <c r="M69" s="112">
        <v>30.26</v>
      </c>
      <c r="N69" s="112">
        <v>67.099999999999994</v>
      </c>
      <c r="O69" s="112">
        <v>0</v>
      </c>
      <c r="P69" s="112">
        <v>0.7</v>
      </c>
      <c r="Q69" s="112">
        <v>4.29</v>
      </c>
    </row>
    <row r="70" spans="1:17" customFormat="1">
      <c r="A70" s="80">
        <v>45600.645833333336</v>
      </c>
      <c r="B70" s="112">
        <v>5.22</v>
      </c>
      <c r="C70" s="112">
        <v>8.09</v>
      </c>
      <c r="D70" s="112">
        <v>13.98</v>
      </c>
      <c r="E70" s="112">
        <v>12.24</v>
      </c>
      <c r="F70" s="112">
        <v>15.91</v>
      </c>
      <c r="G70" s="112">
        <v>63.23</v>
      </c>
      <c r="H70" s="112">
        <v>19.170000000000002</v>
      </c>
      <c r="I70" s="112">
        <v>8.19</v>
      </c>
      <c r="J70" s="112">
        <v>0.39</v>
      </c>
      <c r="K70" s="112">
        <v>15.91</v>
      </c>
      <c r="L70" s="112">
        <v>31</v>
      </c>
      <c r="M70" s="112">
        <v>31.55</v>
      </c>
      <c r="N70" s="112">
        <v>59</v>
      </c>
      <c r="O70" s="112">
        <v>0</v>
      </c>
      <c r="P70" s="112">
        <v>0.68</v>
      </c>
      <c r="Q70" s="112">
        <v>4.29</v>
      </c>
    </row>
    <row r="71" spans="1:17" customFormat="1">
      <c r="A71" s="80">
        <v>45600.65625</v>
      </c>
      <c r="B71" s="112">
        <v>5.22</v>
      </c>
      <c r="C71" s="112">
        <v>8.08</v>
      </c>
      <c r="D71" s="112">
        <v>13.98</v>
      </c>
      <c r="E71" s="112">
        <v>11.16</v>
      </c>
      <c r="F71" s="112">
        <v>18.52</v>
      </c>
      <c r="G71" s="112">
        <v>65.900000000000006</v>
      </c>
      <c r="H71" s="112">
        <v>20.16</v>
      </c>
      <c r="I71" s="112">
        <v>7.96</v>
      </c>
      <c r="J71" s="112">
        <v>0.55000000000000004</v>
      </c>
      <c r="K71" s="112">
        <v>33.68</v>
      </c>
      <c r="L71" s="112">
        <v>30.82</v>
      </c>
      <c r="M71" s="112">
        <v>31.47</v>
      </c>
      <c r="N71" s="112">
        <v>50.6</v>
      </c>
      <c r="O71" s="112">
        <v>0</v>
      </c>
      <c r="P71" s="112">
        <v>0.67</v>
      </c>
      <c r="Q71" s="112">
        <v>4.29</v>
      </c>
    </row>
    <row r="72" spans="1:17" customFormat="1">
      <c r="A72" s="80">
        <v>45600.666666666664</v>
      </c>
      <c r="B72" s="112">
        <v>5.23</v>
      </c>
      <c r="C72" s="112">
        <v>8.07</v>
      </c>
      <c r="D72" s="112">
        <v>13.98</v>
      </c>
      <c r="E72" s="112">
        <v>10.49</v>
      </c>
      <c r="F72" s="112">
        <v>17.55</v>
      </c>
      <c r="G72" s="112">
        <v>66.98</v>
      </c>
      <c r="H72" s="112">
        <v>20.21</v>
      </c>
      <c r="I72" s="112">
        <v>7.8</v>
      </c>
      <c r="J72" s="112">
        <v>0.54</v>
      </c>
      <c r="K72" s="112">
        <v>35.31</v>
      </c>
      <c r="L72" s="112">
        <v>30.59</v>
      </c>
      <c r="M72" s="112">
        <v>31.48</v>
      </c>
      <c r="N72" s="112">
        <v>45.4</v>
      </c>
      <c r="O72" s="112">
        <v>0</v>
      </c>
      <c r="P72" s="112">
        <v>0.65</v>
      </c>
      <c r="Q72" s="112">
        <v>4.29</v>
      </c>
    </row>
    <row r="73" spans="1:17" customFormat="1">
      <c r="A73" s="80">
        <v>45600.677083333336</v>
      </c>
      <c r="B73" s="112">
        <v>5.23</v>
      </c>
      <c r="C73" s="112">
        <v>8.06</v>
      </c>
      <c r="D73" s="112">
        <v>13.97</v>
      </c>
      <c r="E73" s="112">
        <v>10.74</v>
      </c>
      <c r="F73" s="112">
        <v>15.91</v>
      </c>
      <c r="G73" s="112">
        <v>66.98</v>
      </c>
      <c r="H73" s="112">
        <v>20.21</v>
      </c>
      <c r="I73" s="112">
        <v>7.61</v>
      </c>
      <c r="J73" s="112">
        <v>0.48</v>
      </c>
      <c r="K73" s="112">
        <v>45.77</v>
      </c>
      <c r="L73" s="112">
        <v>30.52</v>
      </c>
      <c r="M73" s="112">
        <v>32.18</v>
      </c>
      <c r="N73" s="112">
        <v>34.700000000000003</v>
      </c>
      <c r="O73" s="112">
        <v>0</v>
      </c>
      <c r="P73" s="112">
        <v>0.68</v>
      </c>
      <c r="Q73" s="112">
        <v>4.29</v>
      </c>
    </row>
    <row r="74" spans="1:17" customFormat="1">
      <c r="A74" s="80">
        <v>45600.6875</v>
      </c>
      <c r="B74" s="112">
        <v>5.22</v>
      </c>
      <c r="C74" s="112">
        <v>8.08</v>
      </c>
      <c r="D74" s="112">
        <v>13.98</v>
      </c>
      <c r="E74" s="112">
        <v>10.210000000000001</v>
      </c>
      <c r="F74" s="112">
        <v>14.04</v>
      </c>
      <c r="G74" s="112">
        <v>66.98</v>
      </c>
      <c r="H74" s="112">
        <v>20.21</v>
      </c>
      <c r="I74" s="112">
        <v>7.47</v>
      </c>
      <c r="J74" s="112">
        <v>0.32</v>
      </c>
      <c r="K74" s="112">
        <v>54.65</v>
      </c>
      <c r="L74" s="112">
        <v>30.29</v>
      </c>
      <c r="M74" s="112">
        <v>34.96</v>
      </c>
      <c r="N74" s="112">
        <v>25.9</v>
      </c>
      <c r="O74" s="112">
        <v>0</v>
      </c>
      <c r="P74" s="112">
        <v>0.68</v>
      </c>
      <c r="Q74" s="112">
        <v>4.29</v>
      </c>
    </row>
    <row r="75" spans="1:17" customFormat="1">
      <c r="A75" s="80">
        <v>45600.697916666664</v>
      </c>
      <c r="B75" s="112">
        <v>5.23</v>
      </c>
      <c r="C75" s="112">
        <v>8.09</v>
      </c>
      <c r="D75" s="112">
        <v>13.98</v>
      </c>
      <c r="E75" s="112">
        <v>10.29</v>
      </c>
      <c r="F75" s="112">
        <v>12.02</v>
      </c>
      <c r="G75" s="112">
        <v>65.11</v>
      </c>
      <c r="H75" s="112">
        <v>17.48</v>
      </c>
      <c r="I75" s="112">
        <v>7.39</v>
      </c>
      <c r="J75" s="112">
        <v>0.28999999999999998</v>
      </c>
      <c r="K75" s="112">
        <v>151.61000000000001</v>
      </c>
      <c r="L75" s="112">
        <v>29.32</v>
      </c>
      <c r="M75" s="112">
        <v>42.66</v>
      </c>
      <c r="N75" s="112">
        <v>17.899999999999999</v>
      </c>
      <c r="O75" s="112">
        <v>0</v>
      </c>
      <c r="P75" s="112">
        <v>0.66</v>
      </c>
      <c r="Q75" s="112">
        <v>4.3</v>
      </c>
    </row>
    <row r="76" spans="1:17" customFormat="1">
      <c r="A76" s="80">
        <v>45600.708333333336</v>
      </c>
      <c r="B76" s="112">
        <v>5.24</v>
      </c>
      <c r="C76" s="112">
        <v>8.06</v>
      </c>
      <c r="D76" s="112">
        <v>13.98</v>
      </c>
      <c r="E76" s="112">
        <v>10.16</v>
      </c>
      <c r="F76" s="112">
        <v>9.94</v>
      </c>
      <c r="G76" s="112">
        <v>64.349999999999994</v>
      </c>
      <c r="H76" s="112">
        <v>17.350000000000001</v>
      </c>
      <c r="I76" s="112">
        <v>7.33</v>
      </c>
      <c r="J76" s="112">
        <v>0.3</v>
      </c>
      <c r="K76" s="112">
        <v>165.56</v>
      </c>
      <c r="L76" s="112">
        <v>28.26</v>
      </c>
      <c r="M76" s="112">
        <v>48.68</v>
      </c>
      <c r="N76" s="112">
        <v>10.199999999999999</v>
      </c>
      <c r="O76" s="112">
        <v>0</v>
      </c>
      <c r="P76" s="112">
        <v>0.67</v>
      </c>
      <c r="Q76" s="112">
        <v>4.3</v>
      </c>
    </row>
    <row r="77" spans="1:17" customFormat="1">
      <c r="A77" s="80">
        <v>45600.71875</v>
      </c>
      <c r="B77" s="112">
        <v>5.23</v>
      </c>
      <c r="C77" s="112">
        <v>8.07</v>
      </c>
      <c r="D77" s="112">
        <v>13.98</v>
      </c>
      <c r="E77" s="112">
        <v>10.29</v>
      </c>
      <c r="F77" s="112">
        <v>8.93</v>
      </c>
      <c r="G77" s="112">
        <v>64.349999999999994</v>
      </c>
      <c r="H77" s="112">
        <v>17.350000000000001</v>
      </c>
      <c r="I77" s="112">
        <v>7.3</v>
      </c>
      <c r="J77" s="112">
        <v>0.37</v>
      </c>
      <c r="K77" s="112">
        <v>159.41</v>
      </c>
      <c r="L77" s="112">
        <v>27.54</v>
      </c>
      <c r="M77" s="112">
        <v>56.92</v>
      </c>
      <c r="N77" s="112">
        <v>4.5</v>
      </c>
      <c r="O77" s="112">
        <v>0</v>
      </c>
      <c r="P77" s="112">
        <v>0.67</v>
      </c>
      <c r="Q77" s="112">
        <v>4.29</v>
      </c>
    </row>
    <row r="78" spans="1:17" customFormat="1">
      <c r="A78" s="80">
        <v>45600.729166666664</v>
      </c>
      <c r="B78" s="112">
        <v>5.24</v>
      </c>
      <c r="C78" s="112">
        <v>8.07</v>
      </c>
      <c r="D78" s="112">
        <v>13.99</v>
      </c>
      <c r="E78" s="112">
        <v>10.28</v>
      </c>
      <c r="F78" s="112">
        <v>7.97</v>
      </c>
      <c r="G78" s="112">
        <v>64.349999999999994</v>
      </c>
      <c r="H78" s="112">
        <v>17.350000000000001</v>
      </c>
      <c r="I78" s="112">
        <v>7.34</v>
      </c>
      <c r="J78" s="112">
        <v>0.33</v>
      </c>
      <c r="K78" s="112">
        <v>161.30000000000001</v>
      </c>
      <c r="L78" s="112">
        <v>26.9</v>
      </c>
      <c r="M78" s="112">
        <v>59.37</v>
      </c>
      <c r="N78" s="112">
        <v>2.5</v>
      </c>
      <c r="O78" s="112">
        <v>0</v>
      </c>
      <c r="P78" s="112">
        <v>0.68</v>
      </c>
      <c r="Q78" s="112">
        <v>4.28</v>
      </c>
    </row>
    <row r="79" spans="1:17" customFormat="1">
      <c r="A79" s="80">
        <v>45600.739583333336</v>
      </c>
      <c r="B79" s="112">
        <v>5.24</v>
      </c>
      <c r="C79" s="112">
        <v>8.07</v>
      </c>
      <c r="D79" s="112">
        <v>13.98</v>
      </c>
      <c r="E79" s="112">
        <v>9.52</v>
      </c>
      <c r="F79" s="112">
        <v>9.4700000000000006</v>
      </c>
      <c r="G79" s="112">
        <v>71.88</v>
      </c>
      <c r="H79" s="112">
        <v>21.57</v>
      </c>
      <c r="I79" s="112">
        <v>7.37</v>
      </c>
      <c r="J79" s="112">
        <v>0.28000000000000003</v>
      </c>
      <c r="K79" s="112">
        <v>161.51</v>
      </c>
      <c r="L79" s="112">
        <v>26.04</v>
      </c>
      <c r="M79" s="112">
        <v>66.540000000000006</v>
      </c>
      <c r="N79" s="112">
        <v>2.1</v>
      </c>
      <c r="O79" s="112">
        <v>0</v>
      </c>
      <c r="P79" s="112">
        <v>0.69</v>
      </c>
      <c r="Q79" s="112">
        <v>4.29</v>
      </c>
    </row>
    <row r="80" spans="1:17" customFormat="1">
      <c r="A80" s="80">
        <v>45600.75</v>
      </c>
      <c r="B80" s="112">
        <v>5.23</v>
      </c>
      <c r="C80" s="112">
        <v>8.1</v>
      </c>
      <c r="D80" s="112">
        <v>13.99</v>
      </c>
      <c r="E80" s="112">
        <v>9.6</v>
      </c>
      <c r="F80" s="112">
        <v>7.02</v>
      </c>
      <c r="G80" s="112">
        <v>74.94</v>
      </c>
      <c r="H80" s="112">
        <v>21.88</v>
      </c>
      <c r="I80" s="112">
        <v>7.41</v>
      </c>
      <c r="J80" s="112">
        <v>0.19</v>
      </c>
      <c r="K80" s="112">
        <v>187.46</v>
      </c>
      <c r="L80" s="112">
        <v>25.48</v>
      </c>
      <c r="M80" s="112">
        <v>68.98</v>
      </c>
      <c r="N80" s="112">
        <v>1.9</v>
      </c>
      <c r="O80" s="112">
        <v>0</v>
      </c>
      <c r="P80" s="112">
        <v>0.7</v>
      </c>
      <c r="Q80" s="112">
        <v>4.3</v>
      </c>
    </row>
    <row r="81" spans="1:17" customFormat="1">
      <c r="A81" s="80">
        <v>45600.760416666664</v>
      </c>
      <c r="B81" s="112">
        <v>5.24</v>
      </c>
      <c r="C81" s="112">
        <v>8.07</v>
      </c>
      <c r="D81" s="112">
        <v>13.99</v>
      </c>
      <c r="E81" s="112">
        <v>7.38</v>
      </c>
      <c r="F81" s="112">
        <v>6.38</v>
      </c>
      <c r="G81" s="112">
        <v>74.94</v>
      </c>
      <c r="H81" s="112">
        <v>21.88</v>
      </c>
      <c r="I81" s="112">
        <v>7.49</v>
      </c>
      <c r="J81" s="112">
        <v>0.17</v>
      </c>
      <c r="K81" s="112">
        <v>217.98</v>
      </c>
      <c r="L81" s="112">
        <v>25.17</v>
      </c>
      <c r="M81" s="112">
        <v>67.27</v>
      </c>
      <c r="N81" s="112">
        <v>1.8</v>
      </c>
      <c r="O81" s="112">
        <v>0</v>
      </c>
      <c r="P81" s="112">
        <v>0.71</v>
      </c>
      <c r="Q81" s="112">
        <v>4.28</v>
      </c>
    </row>
    <row r="82" spans="1:17" customFormat="1">
      <c r="A82" s="80">
        <v>45600.770833333336</v>
      </c>
      <c r="B82" s="112">
        <v>5.25</v>
      </c>
      <c r="C82" s="112">
        <v>8.0500000000000007</v>
      </c>
      <c r="D82" s="112">
        <v>13.99</v>
      </c>
      <c r="E82" s="112">
        <v>8.6300000000000008</v>
      </c>
      <c r="F82" s="112">
        <v>6.17</v>
      </c>
      <c r="G82" s="112">
        <v>74.94</v>
      </c>
      <c r="H82" s="112">
        <v>21.88</v>
      </c>
      <c r="I82" s="112">
        <v>7.61</v>
      </c>
      <c r="J82" s="112">
        <v>0.18</v>
      </c>
      <c r="K82" s="112">
        <v>209.88</v>
      </c>
      <c r="L82" s="112">
        <v>24.9</v>
      </c>
      <c r="M82" s="112">
        <v>70.42</v>
      </c>
      <c r="N82" s="112">
        <v>1.7</v>
      </c>
      <c r="O82" s="112">
        <v>0</v>
      </c>
      <c r="P82" s="112">
        <v>0.72</v>
      </c>
      <c r="Q82" s="112">
        <v>4.29</v>
      </c>
    </row>
    <row r="83" spans="1:17" customFormat="1">
      <c r="A83" s="80">
        <v>45600.78125</v>
      </c>
      <c r="B83" s="112">
        <v>5.26</v>
      </c>
      <c r="C83" s="112">
        <v>8.06</v>
      </c>
      <c r="D83" s="112">
        <v>14</v>
      </c>
      <c r="E83" s="112">
        <v>9.27</v>
      </c>
      <c r="F83" s="112">
        <v>6.23</v>
      </c>
      <c r="G83" s="112">
        <v>76.06</v>
      </c>
      <c r="H83" s="112">
        <v>23.85</v>
      </c>
      <c r="I83" s="112">
        <v>7.69</v>
      </c>
      <c r="J83" s="112">
        <v>0.15</v>
      </c>
      <c r="K83" s="112">
        <v>213.06</v>
      </c>
      <c r="L83" s="112">
        <v>24.5</v>
      </c>
      <c r="M83" s="112">
        <v>66.81</v>
      </c>
      <c r="N83" s="112">
        <v>1.6</v>
      </c>
      <c r="O83" s="112">
        <v>0</v>
      </c>
      <c r="P83" s="112">
        <v>0.72</v>
      </c>
      <c r="Q83" s="112">
        <v>4.29</v>
      </c>
    </row>
    <row r="84" spans="1:17" customFormat="1">
      <c r="A84" s="80">
        <v>45600.791666666664</v>
      </c>
      <c r="B84" s="112">
        <v>5.25</v>
      </c>
      <c r="C84" s="112">
        <v>8.07</v>
      </c>
      <c r="D84" s="112">
        <v>13.99</v>
      </c>
      <c r="E84" s="112">
        <v>9.36</v>
      </c>
      <c r="F84" s="112">
        <v>5.98</v>
      </c>
      <c r="G84" s="112">
        <v>76.489999999999995</v>
      </c>
      <c r="H84" s="112">
        <v>23.91</v>
      </c>
      <c r="I84" s="112">
        <v>7.7</v>
      </c>
      <c r="J84" s="112">
        <v>0.15</v>
      </c>
      <c r="K84" s="112">
        <v>211.22</v>
      </c>
      <c r="L84" s="112">
        <v>24.36</v>
      </c>
      <c r="M84" s="112">
        <v>66.41</v>
      </c>
      <c r="N84" s="112">
        <v>1.5</v>
      </c>
      <c r="O84" s="112">
        <v>0</v>
      </c>
      <c r="P84" s="112">
        <v>0.7</v>
      </c>
      <c r="Q84" s="112">
        <v>4.3</v>
      </c>
    </row>
    <row r="85" spans="1:17" customFormat="1">
      <c r="A85" s="80">
        <v>45600.802083333336</v>
      </c>
      <c r="B85" s="112">
        <v>5.24</v>
      </c>
      <c r="C85" s="112">
        <v>8.08</v>
      </c>
      <c r="D85" s="112">
        <v>13.99</v>
      </c>
      <c r="E85" s="112">
        <v>9.39</v>
      </c>
      <c r="F85" s="112">
        <v>6.19</v>
      </c>
      <c r="G85" s="112">
        <v>76.489999999999995</v>
      </c>
      <c r="H85" s="112">
        <v>23.91</v>
      </c>
      <c r="I85" s="112">
        <v>7.68</v>
      </c>
      <c r="J85" s="112">
        <v>0.16</v>
      </c>
      <c r="K85" s="112">
        <v>198.78</v>
      </c>
      <c r="L85" s="112">
        <v>24.32</v>
      </c>
      <c r="M85" s="112">
        <v>68.22</v>
      </c>
      <c r="N85" s="112">
        <v>1.4</v>
      </c>
      <c r="O85" s="112">
        <v>0</v>
      </c>
      <c r="P85" s="112">
        <v>0.69</v>
      </c>
      <c r="Q85" s="112">
        <v>4.3</v>
      </c>
    </row>
    <row r="86" spans="1:17" customFormat="1">
      <c r="A86" s="80">
        <v>45600.8125</v>
      </c>
      <c r="B86" s="112">
        <v>5.25</v>
      </c>
      <c r="C86" s="112">
        <v>8.06</v>
      </c>
      <c r="D86" s="112">
        <v>13.98</v>
      </c>
      <c r="E86" s="112">
        <v>9.6999999999999993</v>
      </c>
      <c r="F86" s="112">
        <v>5.78</v>
      </c>
      <c r="G86" s="112">
        <v>76.489999999999995</v>
      </c>
      <c r="H86" s="112">
        <v>23.91</v>
      </c>
      <c r="I86" s="112">
        <v>7.68</v>
      </c>
      <c r="J86" s="112">
        <v>0.16</v>
      </c>
      <c r="K86" s="112">
        <v>182.83</v>
      </c>
      <c r="L86" s="112">
        <v>24.02</v>
      </c>
      <c r="M86" s="112">
        <v>76.87</v>
      </c>
      <c r="N86" s="112">
        <v>1.6</v>
      </c>
      <c r="O86" s="112">
        <v>0</v>
      </c>
      <c r="P86" s="112">
        <v>0.7</v>
      </c>
      <c r="Q86" s="112">
        <v>4.28</v>
      </c>
    </row>
    <row r="87" spans="1:17" customFormat="1">
      <c r="A87" s="80">
        <v>45600.822916666664</v>
      </c>
      <c r="B87" s="112">
        <v>5.24</v>
      </c>
      <c r="C87" s="112">
        <v>8.07</v>
      </c>
      <c r="D87" s="112">
        <v>13.99</v>
      </c>
      <c r="E87" s="112">
        <v>9.15</v>
      </c>
      <c r="F87" s="112">
        <v>5.97</v>
      </c>
      <c r="G87" s="112">
        <v>77.64</v>
      </c>
      <c r="H87" s="112">
        <v>20.64</v>
      </c>
      <c r="I87" s="112">
        <v>7.69</v>
      </c>
      <c r="J87" s="112">
        <v>0.14000000000000001</v>
      </c>
      <c r="K87" s="112">
        <v>213.9</v>
      </c>
      <c r="L87" s="112">
        <v>23.8</v>
      </c>
      <c r="M87" s="112">
        <v>76.08</v>
      </c>
      <c r="N87" s="112">
        <v>1.6</v>
      </c>
      <c r="O87" s="112">
        <v>0</v>
      </c>
      <c r="P87" s="112">
        <v>0.7</v>
      </c>
      <c r="Q87" s="112">
        <v>4.29</v>
      </c>
    </row>
    <row r="88" spans="1:17" customFormat="1">
      <c r="A88" s="80">
        <v>45600.833333333336</v>
      </c>
      <c r="B88" s="112">
        <v>5.24</v>
      </c>
      <c r="C88" s="112">
        <v>8.07</v>
      </c>
      <c r="D88" s="112">
        <v>13.99</v>
      </c>
      <c r="E88" s="112">
        <v>9.8699999999999992</v>
      </c>
      <c r="F88" s="112">
        <v>5.61</v>
      </c>
      <c r="G88" s="112">
        <v>78.099999999999994</v>
      </c>
      <c r="H88" s="112">
        <v>20.49</v>
      </c>
      <c r="I88" s="112">
        <v>7.73</v>
      </c>
      <c r="J88" s="112">
        <v>0.15</v>
      </c>
      <c r="K88" s="112">
        <v>177.27</v>
      </c>
      <c r="L88" s="112">
        <v>23.81</v>
      </c>
      <c r="M88" s="112">
        <v>74.02</v>
      </c>
      <c r="N88" s="112">
        <v>1.4</v>
      </c>
      <c r="O88" s="112">
        <v>0</v>
      </c>
      <c r="P88" s="112">
        <v>0.71</v>
      </c>
      <c r="Q88" s="112">
        <v>4.3</v>
      </c>
    </row>
    <row r="89" spans="1:17" customFormat="1">
      <c r="A89" s="80">
        <v>45600.84375</v>
      </c>
      <c r="B89" s="112">
        <v>5.26</v>
      </c>
      <c r="C89" s="112">
        <v>8.0299999999999994</v>
      </c>
      <c r="D89" s="112">
        <v>13.98</v>
      </c>
      <c r="E89" s="112">
        <v>9.82</v>
      </c>
      <c r="F89" s="112">
        <v>5.89</v>
      </c>
      <c r="G89" s="112">
        <v>78.099999999999994</v>
      </c>
      <c r="H89" s="112">
        <v>20.49</v>
      </c>
      <c r="I89" s="112">
        <v>7.78</v>
      </c>
      <c r="J89" s="112">
        <v>0.24</v>
      </c>
      <c r="K89" s="112">
        <v>162.61000000000001</v>
      </c>
      <c r="L89" s="112">
        <v>23.75</v>
      </c>
      <c r="M89" s="112">
        <v>75</v>
      </c>
      <c r="N89" s="112">
        <v>1.5</v>
      </c>
      <c r="O89" s="112">
        <v>0</v>
      </c>
      <c r="P89" s="112">
        <v>0.7</v>
      </c>
      <c r="Q89" s="112">
        <v>4.29</v>
      </c>
    </row>
    <row r="90" spans="1:17" customFormat="1">
      <c r="A90" s="80">
        <v>45600.854166666664</v>
      </c>
      <c r="B90" s="112">
        <v>5.25</v>
      </c>
      <c r="C90" s="112">
        <v>8.0399999999999991</v>
      </c>
      <c r="D90" s="112">
        <v>13.98</v>
      </c>
      <c r="E90" s="112">
        <v>9.4499999999999993</v>
      </c>
      <c r="F90" s="112">
        <v>5.64</v>
      </c>
      <c r="G90" s="112">
        <v>78.099999999999994</v>
      </c>
      <c r="H90" s="112">
        <v>20.49</v>
      </c>
      <c r="I90" s="112">
        <v>7.85</v>
      </c>
      <c r="J90" s="112">
        <v>0.18</v>
      </c>
      <c r="K90" s="112">
        <v>227.64</v>
      </c>
      <c r="L90" s="112">
        <v>23.48</v>
      </c>
      <c r="M90" s="112">
        <v>72.12</v>
      </c>
      <c r="N90" s="112">
        <v>1.7</v>
      </c>
      <c r="O90" s="112">
        <v>0</v>
      </c>
      <c r="P90" s="112">
        <v>0.72</v>
      </c>
      <c r="Q90" s="112">
        <v>4.28</v>
      </c>
    </row>
    <row r="91" spans="1:17" customFormat="1">
      <c r="A91" s="80">
        <v>45600.864583333336</v>
      </c>
      <c r="B91" s="112">
        <v>5.25</v>
      </c>
      <c r="C91" s="112">
        <v>8.06</v>
      </c>
      <c r="D91" s="112">
        <v>13.99</v>
      </c>
      <c r="E91" s="112">
        <v>9.7200000000000006</v>
      </c>
      <c r="F91" s="112">
        <v>5.78</v>
      </c>
      <c r="G91" s="112">
        <v>77.63</v>
      </c>
      <c r="H91" s="112">
        <v>18.91</v>
      </c>
      <c r="I91" s="112">
        <v>7.89</v>
      </c>
      <c r="J91" s="112">
        <v>0.03</v>
      </c>
      <c r="K91" s="112">
        <v>75.3</v>
      </c>
      <c r="L91" s="112">
        <v>23.44</v>
      </c>
      <c r="M91" s="112">
        <v>73.06</v>
      </c>
      <c r="N91" s="112">
        <v>1.2</v>
      </c>
      <c r="O91" s="112">
        <v>0</v>
      </c>
      <c r="P91" s="112">
        <v>0.71</v>
      </c>
      <c r="Q91" s="112">
        <v>4.28</v>
      </c>
    </row>
    <row r="92" spans="1:17" customFormat="1">
      <c r="A92" s="80">
        <v>45600.875</v>
      </c>
      <c r="B92" s="112">
        <v>5.25</v>
      </c>
      <c r="C92" s="112">
        <v>8.08</v>
      </c>
      <c r="D92" s="112">
        <v>13.99</v>
      </c>
      <c r="E92" s="112">
        <v>10.07</v>
      </c>
      <c r="F92" s="112">
        <v>5.35</v>
      </c>
      <c r="G92" s="112">
        <v>77.45</v>
      </c>
      <c r="H92" s="112">
        <v>18.84</v>
      </c>
      <c r="I92" s="112">
        <v>7.94</v>
      </c>
      <c r="J92" s="112">
        <v>0.3</v>
      </c>
      <c r="K92" s="112">
        <v>255.66</v>
      </c>
      <c r="L92" s="112">
        <v>23.41</v>
      </c>
      <c r="M92" s="112">
        <v>72.209999999999994</v>
      </c>
      <c r="N92" s="112">
        <v>1.6</v>
      </c>
      <c r="O92" s="112">
        <v>0</v>
      </c>
      <c r="P92" s="112">
        <v>0.73</v>
      </c>
      <c r="Q92" s="112">
        <v>4.28</v>
      </c>
    </row>
    <row r="93" spans="1:17" customFormat="1">
      <c r="A93" s="80">
        <v>45600.885416666664</v>
      </c>
      <c r="B93" s="112">
        <v>5.26</v>
      </c>
      <c r="C93" s="112">
        <v>8.07</v>
      </c>
      <c r="D93" s="112">
        <v>14</v>
      </c>
      <c r="E93" s="112">
        <v>9.7200000000000006</v>
      </c>
      <c r="F93" s="112">
        <v>5.67</v>
      </c>
      <c r="G93" s="112">
        <v>77.45</v>
      </c>
      <c r="H93" s="112">
        <v>18.84</v>
      </c>
      <c r="I93" s="112">
        <v>8.01</v>
      </c>
      <c r="J93" s="112">
        <v>0.17</v>
      </c>
      <c r="K93" s="112">
        <v>184.95</v>
      </c>
      <c r="L93" s="112">
        <v>23.48</v>
      </c>
      <c r="M93" s="112">
        <v>69.37</v>
      </c>
      <c r="N93" s="112">
        <v>1.5</v>
      </c>
      <c r="O93" s="112">
        <v>0</v>
      </c>
      <c r="P93" s="112">
        <v>0.73</v>
      </c>
      <c r="Q93" s="112">
        <v>4.29</v>
      </c>
    </row>
    <row r="94" spans="1:17" customFormat="1">
      <c r="A94" s="80">
        <v>45600.895833333336</v>
      </c>
      <c r="B94" s="112">
        <v>5.26</v>
      </c>
      <c r="C94" s="112">
        <v>8.08</v>
      </c>
      <c r="D94" s="112">
        <v>14.01</v>
      </c>
      <c r="E94" s="112">
        <v>9.6999999999999993</v>
      </c>
      <c r="F94" s="112">
        <v>5.55</v>
      </c>
      <c r="G94" s="112">
        <v>77.45</v>
      </c>
      <c r="H94" s="112">
        <v>18.84</v>
      </c>
      <c r="I94" s="112">
        <v>8.1300000000000008</v>
      </c>
      <c r="J94" s="112">
        <v>0.1</v>
      </c>
      <c r="K94" s="112">
        <v>184.56</v>
      </c>
      <c r="L94" s="112">
        <v>23.56</v>
      </c>
      <c r="M94" s="112">
        <v>66.55</v>
      </c>
      <c r="N94" s="112">
        <v>1.4</v>
      </c>
      <c r="O94" s="112">
        <v>0</v>
      </c>
      <c r="P94" s="112">
        <v>0.75</v>
      </c>
      <c r="Q94" s="112">
        <v>4.3</v>
      </c>
    </row>
    <row r="95" spans="1:17" customFormat="1">
      <c r="A95" s="80">
        <v>45600.90625</v>
      </c>
      <c r="B95" s="112">
        <v>5.27</v>
      </c>
      <c r="C95" s="112">
        <v>8.08</v>
      </c>
      <c r="D95" s="112">
        <v>14.02</v>
      </c>
      <c r="E95" s="112">
        <v>10.31</v>
      </c>
      <c r="F95" s="112">
        <v>5.83</v>
      </c>
      <c r="G95" s="112">
        <v>81.17</v>
      </c>
      <c r="H95" s="112">
        <v>22.65</v>
      </c>
      <c r="I95" s="112">
        <v>8.27</v>
      </c>
      <c r="J95" s="112">
        <v>0.14000000000000001</v>
      </c>
      <c r="K95" s="112">
        <v>142.35</v>
      </c>
      <c r="L95" s="112">
        <v>23.53</v>
      </c>
      <c r="M95" s="112">
        <v>68.540000000000006</v>
      </c>
      <c r="N95" s="112">
        <v>1.6</v>
      </c>
      <c r="O95" s="112">
        <v>0</v>
      </c>
      <c r="P95" s="112">
        <v>0.75</v>
      </c>
      <c r="Q95" s="112">
        <v>4.29</v>
      </c>
    </row>
    <row r="96" spans="1:17" customFormat="1">
      <c r="A96" s="80">
        <v>45600.916666666664</v>
      </c>
      <c r="B96" s="112">
        <v>5.25</v>
      </c>
      <c r="C96" s="112">
        <v>8.08</v>
      </c>
      <c r="D96" s="112">
        <v>14</v>
      </c>
      <c r="E96" s="112">
        <v>9.84</v>
      </c>
      <c r="F96" s="112">
        <v>5.44</v>
      </c>
      <c r="G96" s="112">
        <v>82.61</v>
      </c>
      <c r="H96" s="112">
        <v>22.83</v>
      </c>
      <c r="I96" s="112">
        <v>8.41</v>
      </c>
      <c r="J96" s="112">
        <v>0.2</v>
      </c>
      <c r="K96" s="112">
        <v>165.26</v>
      </c>
      <c r="L96" s="112">
        <v>23.33</v>
      </c>
      <c r="M96" s="112">
        <v>71.97</v>
      </c>
      <c r="N96" s="112">
        <v>1.6</v>
      </c>
      <c r="O96" s="112">
        <v>0</v>
      </c>
      <c r="P96" s="112">
        <v>0.77</v>
      </c>
      <c r="Q96" s="112">
        <v>4.28</v>
      </c>
    </row>
    <row r="97" spans="1:22" customFormat="1">
      <c r="A97" s="80">
        <v>45600.927083333336</v>
      </c>
      <c r="B97" s="112">
        <v>5.25</v>
      </c>
      <c r="C97" s="112">
        <v>8.07</v>
      </c>
      <c r="D97" s="112">
        <v>14</v>
      </c>
      <c r="E97" s="112">
        <v>10</v>
      </c>
      <c r="F97" s="112">
        <v>5.98</v>
      </c>
      <c r="G97" s="112">
        <v>82.61</v>
      </c>
      <c r="H97" s="112">
        <v>22.83</v>
      </c>
      <c r="I97" s="112">
        <v>8.52</v>
      </c>
      <c r="J97" s="112">
        <v>0.22</v>
      </c>
      <c r="K97" s="112">
        <v>161.51</v>
      </c>
      <c r="L97" s="112">
        <v>23.24</v>
      </c>
      <c r="M97" s="112">
        <v>75.349999999999994</v>
      </c>
      <c r="N97" s="112">
        <v>1.6</v>
      </c>
      <c r="O97" s="112">
        <v>0</v>
      </c>
      <c r="P97" s="112">
        <v>0.78</v>
      </c>
      <c r="Q97" s="112">
        <v>4.3099999999999996</v>
      </c>
    </row>
    <row r="98" spans="1:22" customFormat="1">
      <c r="A98" s="80">
        <v>45600.9375</v>
      </c>
      <c r="B98" s="112">
        <v>5.26</v>
      </c>
      <c r="C98" s="112">
        <v>8.07</v>
      </c>
      <c r="D98" s="112">
        <v>14</v>
      </c>
      <c r="E98" s="112">
        <v>10.33</v>
      </c>
      <c r="F98" s="112">
        <v>5.59</v>
      </c>
      <c r="G98" s="112">
        <v>82.61</v>
      </c>
      <c r="H98" s="112">
        <v>22.83</v>
      </c>
      <c r="I98" s="112">
        <v>8.67</v>
      </c>
      <c r="J98" s="112">
        <v>0.19</v>
      </c>
      <c r="K98" s="112">
        <v>155.88</v>
      </c>
      <c r="L98" s="112">
        <v>23.09</v>
      </c>
      <c r="M98" s="112">
        <v>75.739999999999995</v>
      </c>
      <c r="N98" s="112">
        <v>1.6</v>
      </c>
      <c r="O98" s="112">
        <v>0</v>
      </c>
      <c r="P98" s="112">
        <v>0.8</v>
      </c>
      <c r="Q98" s="112">
        <v>4.3</v>
      </c>
    </row>
    <row r="99" spans="1:22" customFormat="1">
      <c r="A99" s="80">
        <v>45600.947916666664</v>
      </c>
      <c r="B99" s="112">
        <v>5.28</v>
      </c>
      <c r="C99" s="112">
        <v>8.0500000000000007</v>
      </c>
      <c r="D99" s="112">
        <v>14</v>
      </c>
      <c r="E99" s="112">
        <v>10.07</v>
      </c>
      <c r="F99" s="112">
        <v>5.84</v>
      </c>
      <c r="G99" s="112">
        <v>85.76</v>
      </c>
      <c r="H99" s="112">
        <v>24.12</v>
      </c>
      <c r="I99" s="112">
        <v>8.83</v>
      </c>
      <c r="J99" s="112">
        <v>0.23</v>
      </c>
      <c r="K99" s="112">
        <v>174.13</v>
      </c>
      <c r="L99" s="112">
        <v>22.92</v>
      </c>
      <c r="M99" s="112">
        <v>75.56</v>
      </c>
      <c r="N99" s="112">
        <v>1.7</v>
      </c>
      <c r="O99" s="112">
        <v>0</v>
      </c>
      <c r="P99" s="112">
        <v>0.8</v>
      </c>
      <c r="Q99" s="112">
        <v>4.29</v>
      </c>
    </row>
    <row r="100" spans="1:22" customFormat="1">
      <c r="A100" s="80">
        <v>45600.958333333336</v>
      </c>
      <c r="B100" s="112">
        <v>5.27</v>
      </c>
      <c r="C100" s="112">
        <v>8.0299999999999994</v>
      </c>
      <c r="D100" s="112">
        <v>13.99</v>
      </c>
      <c r="E100" s="112">
        <v>10.33</v>
      </c>
      <c r="F100" s="112">
        <v>5.35</v>
      </c>
      <c r="G100" s="112">
        <v>87.04</v>
      </c>
      <c r="H100" s="112">
        <v>24.18</v>
      </c>
      <c r="I100" s="112">
        <v>8.9600000000000009</v>
      </c>
      <c r="J100" s="112">
        <v>0.16</v>
      </c>
      <c r="K100" s="112">
        <v>176.46</v>
      </c>
      <c r="L100" s="112">
        <v>22.45</v>
      </c>
      <c r="M100" s="112">
        <v>81.180000000000007</v>
      </c>
      <c r="N100" s="112">
        <v>1.7</v>
      </c>
      <c r="O100" s="112">
        <v>0</v>
      </c>
      <c r="P100" s="112">
        <v>0.83</v>
      </c>
      <c r="Q100" s="112">
        <v>4.3099999999999996</v>
      </c>
    </row>
    <row r="101" spans="1:22" customFormat="1">
      <c r="A101" s="80">
        <v>45600.96875</v>
      </c>
      <c r="B101" s="112">
        <v>5.27</v>
      </c>
      <c r="C101" s="112">
        <v>8.06</v>
      </c>
      <c r="D101" s="112">
        <v>14</v>
      </c>
      <c r="E101" s="112">
        <v>10.59</v>
      </c>
      <c r="F101" s="112">
        <v>5.78</v>
      </c>
      <c r="G101" s="112">
        <v>87.04</v>
      </c>
      <c r="H101" s="112">
        <v>24.18</v>
      </c>
      <c r="I101" s="112">
        <v>9.1</v>
      </c>
      <c r="J101" s="112">
        <v>0.15</v>
      </c>
      <c r="K101" s="112">
        <v>192.61</v>
      </c>
      <c r="L101" s="112">
        <v>22.27</v>
      </c>
      <c r="M101" s="112">
        <v>81.89</v>
      </c>
      <c r="N101" s="112">
        <v>1.6</v>
      </c>
      <c r="O101" s="112">
        <v>0</v>
      </c>
      <c r="P101" s="112">
        <v>0.83</v>
      </c>
      <c r="Q101" s="112">
        <v>4.29</v>
      </c>
    </row>
    <row r="102" spans="1:22" customFormat="1">
      <c r="A102" s="80">
        <v>45600.979166666664</v>
      </c>
      <c r="B102" s="112">
        <v>5.26</v>
      </c>
      <c r="C102" s="112">
        <v>8.06</v>
      </c>
      <c r="D102" s="112">
        <v>14</v>
      </c>
      <c r="E102" s="112">
        <v>10.51</v>
      </c>
      <c r="F102" s="112">
        <v>5.34</v>
      </c>
      <c r="G102" s="112">
        <v>87.04</v>
      </c>
      <c r="H102" s="112">
        <v>24.18</v>
      </c>
      <c r="I102" s="112">
        <v>9.27</v>
      </c>
      <c r="J102" s="112">
        <v>0.08</v>
      </c>
      <c r="K102" s="112">
        <v>171.84</v>
      </c>
      <c r="L102" s="112">
        <v>22.14</v>
      </c>
      <c r="M102" s="112">
        <v>79.849999999999994</v>
      </c>
      <c r="N102" s="112">
        <v>1.5</v>
      </c>
      <c r="O102" s="112">
        <v>0</v>
      </c>
      <c r="P102" s="112">
        <v>0.85</v>
      </c>
      <c r="Q102" s="112">
        <v>4.28</v>
      </c>
    </row>
    <row r="103" spans="1:22" customFormat="1">
      <c r="A103" s="80">
        <v>45600.989583333336</v>
      </c>
      <c r="B103" s="112">
        <v>5.27</v>
      </c>
      <c r="C103" s="112">
        <v>8.08</v>
      </c>
      <c r="D103" s="112">
        <v>14.01</v>
      </c>
      <c r="E103" s="112">
        <v>10.06</v>
      </c>
      <c r="F103" s="112">
        <v>5.52</v>
      </c>
      <c r="G103" s="112">
        <v>83.67</v>
      </c>
      <c r="H103" s="112">
        <v>24.46</v>
      </c>
      <c r="I103" s="112">
        <v>9.3699999999999992</v>
      </c>
      <c r="J103" s="112">
        <v>0.21</v>
      </c>
      <c r="K103" s="112">
        <v>74.150000000000006</v>
      </c>
      <c r="L103" s="112">
        <v>22.58</v>
      </c>
      <c r="M103" s="112">
        <v>74.08</v>
      </c>
      <c r="N103" s="112">
        <v>1</v>
      </c>
      <c r="O103" s="112">
        <v>0</v>
      </c>
      <c r="P103" s="112">
        <v>0.85</v>
      </c>
      <c r="Q103" s="112">
        <v>4.29</v>
      </c>
    </row>
    <row r="104" spans="1:22" customFormat="1">
      <c r="A104" s="80">
        <v>45601</v>
      </c>
      <c r="B104" s="112">
        <v>5.26</v>
      </c>
      <c r="C104" s="112">
        <v>8.1</v>
      </c>
      <c r="D104" s="112">
        <v>14.02</v>
      </c>
      <c r="E104" s="112">
        <v>9.9499999999999993</v>
      </c>
      <c r="F104" s="112">
        <v>5.57</v>
      </c>
      <c r="G104" s="112">
        <v>82.3</v>
      </c>
      <c r="H104" s="112">
        <v>24.48</v>
      </c>
      <c r="I104" s="112">
        <v>9.4600000000000009</v>
      </c>
      <c r="J104" s="112">
        <v>0.46</v>
      </c>
      <c r="K104" s="112">
        <v>59.84</v>
      </c>
      <c r="L104" s="112">
        <v>23.28</v>
      </c>
      <c r="M104" s="112">
        <v>66.569999999999993</v>
      </c>
      <c r="N104" s="112">
        <v>0.9</v>
      </c>
      <c r="O104" s="112">
        <v>0</v>
      </c>
      <c r="P104" s="112">
        <v>0.85</v>
      </c>
      <c r="Q104" s="112">
        <v>4.3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</v>
      </c>
      <c r="C106" s="183">
        <f>MIN(C9:C104)</f>
        <v>8.01</v>
      </c>
      <c r="D106" s="183">
        <f t="shared" ref="D106:Q106" si="0">MIN(D9:D104)</f>
        <v>13.95</v>
      </c>
      <c r="E106" s="183">
        <f t="shared" si="0"/>
        <v>7.38</v>
      </c>
      <c r="F106" s="183">
        <f t="shared" si="0"/>
        <v>5.34</v>
      </c>
      <c r="G106" s="183">
        <f t="shared" si="0"/>
        <v>52.07</v>
      </c>
      <c r="H106" s="183">
        <f t="shared" si="0"/>
        <v>17.350000000000001</v>
      </c>
      <c r="I106" s="183">
        <f t="shared" si="0"/>
        <v>7.3</v>
      </c>
      <c r="J106" s="183">
        <f t="shared" si="0"/>
        <v>0.03</v>
      </c>
      <c r="K106" s="183">
        <f t="shared" si="0"/>
        <v>6.46</v>
      </c>
      <c r="L106" s="183">
        <f t="shared" si="0"/>
        <v>20.47</v>
      </c>
      <c r="M106" s="183">
        <f t="shared" si="0"/>
        <v>28.72</v>
      </c>
      <c r="N106" s="183">
        <f t="shared" si="0"/>
        <v>0.9</v>
      </c>
      <c r="O106" s="183">
        <f t="shared" si="0"/>
        <v>0</v>
      </c>
      <c r="P106" s="183">
        <f t="shared" si="0"/>
        <v>0.65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5.32</v>
      </c>
      <c r="C107" s="184">
        <f t="shared" ref="C107:Q107" si="1">MAX(C9:C104)</f>
        <v>8.11</v>
      </c>
      <c r="D107" s="184">
        <f t="shared" si="1"/>
        <v>14.03</v>
      </c>
      <c r="E107" s="184">
        <f t="shared" si="1"/>
        <v>14.37</v>
      </c>
      <c r="F107" s="184">
        <f t="shared" si="1"/>
        <v>22.78</v>
      </c>
      <c r="G107" s="184">
        <f t="shared" si="1"/>
        <v>111.49</v>
      </c>
      <c r="H107" s="184">
        <f t="shared" si="1"/>
        <v>43.74</v>
      </c>
      <c r="I107" s="184">
        <f t="shared" si="1"/>
        <v>11.75</v>
      </c>
      <c r="J107" s="184">
        <f t="shared" si="1"/>
        <v>0.67</v>
      </c>
      <c r="K107" s="184">
        <f t="shared" si="1"/>
        <v>359.3</v>
      </c>
      <c r="L107" s="184">
        <f t="shared" si="1"/>
        <v>32.69</v>
      </c>
      <c r="M107" s="184">
        <f t="shared" si="1"/>
        <v>94.45</v>
      </c>
      <c r="N107" s="184">
        <f t="shared" si="1"/>
        <v>603.70000000000005</v>
      </c>
      <c r="O107" s="184">
        <f t="shared" si="1"/>
        <v>0</v>
      </c>
      <c r="P107" s="184">
        <f t="shared" si="1"/>
        <v>0.96</v>
      </c>
      <c r="Q107" s="184">
        <f t="shared" si="1"/>
        <v>4.32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5.2482291666666683</v>
      </c>
      <c r="C108" s="183">
        <f t="shared" ref="C108:Q108" si="2">AVERAGE(C9:C104)</f>
        <v>8.0683333333333369</v>
      </c>
      <c r="D108" s="183">
        <f t="shared" si="2"/>
        <v>13.991875000000007</v>
      </c>
      <c r="E108" s="183">
        <f t="shared" si="2"/>
        <v>10.654375000000003</v>
      </c>
      <c r="F108" s="183">
        <f t="shared" si="2"/>
        <v>8.1388541666666683</v>
      </c>
      <c r="G108" s="183">
        <f t="shared" si="2"/>
        <v>83.60624999999996</v>
      </c>
      <c r="H108" s="183">
        <f t="shared" si="2"/>
        <v>29.10854166666665</v>
      </c>
      <c r="I108" s="183">
        <f t="shared" si="2"/>
        <v>9.4326041666666693</v>
      </c>
      <c r="J108" s="183">
        <f t="shared" si="2"/>
        <v>0.24364583333333337</v>
      </c>
      <c r="K108" s="183">
        <f t="shared" si="2"/>
        <v>181.83572916666665</v>
      </c>
      <c r="L108" s="183">
        <f t="shared" si="2"/>
        <v>25.683958333333326</v>
      </c>
      <c r="M108" s="183">
        <f t="shared" si="2"/>
        <v>65.376145833333354</v>
      </c>
      <c r="N108" s="183">
        <f t="shared" si="2"/>
        <v>123.93645833333339</v>
      </c>
      <c r="O108" s="183">
        <f t="shared" si="2"/>
        <v>0</v>
      </c>
      <c r="P108" s="183">
        <f t="shared" si="2"/>
        <v>0.80052083333333324</v>
      </c>
      <c r="Q108" s="183">
        <f t="shared" si="2"/>
        <v>4.290416666666669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2.1026038577097946E-2</v>
      </c>
      <c r="C109" s="183">
        <f t="shared" ref="C109:Q109" si="3">STDEV(C9:C104)</f>
        <v>1.7691310187217656E-2</v>
      </c>
      <c r="D109" s="183">
        <f t="shared" si="3"/>
        <v>1.8371173070873648E-2</v>
      </c>
      <c r="E109" s="183">
        <f t="shared" si="3"/>
        <v>1.0716203299578109</v>
      </c>
      <c r="F109" s="183">
        <f t="shared" si="3"/>
        <v>4.1664036921399248</v>
      </c>
      <c r="G109" s="183">
        <f t="shared" si="3"/>
        <v>16.191145484655163</v>
      </c>
      <c r="H109" s="183">
        <f t="shared" si="3"/>
        <v>8.6142850733280589</v>
      </c>
      <c r="I109" s="183">
        <f t="shared" si="3"/>
        <v>1.3950432891164066</v>
      </c>
      <c r="J109" s="183">
        <f t="shared" si="3"/>
        <v>0.14360120063760404</v>
      </c>
      <c r="K109" s="183">
        <f t="shared" si="3"/>
        <v>81.073259369078443</v>
      </c>
      <c r="L109" s="183">
        <f t="shared" si="3"/>
        <v>4.1852715384879717</v>
      </c>
      <c r="M109" s="183">
        <f t="shared" si="3"/>
        <v>22.535642943651951</v>
      </c>
      <c r="N109" s="183">
        <f t="shared" si="3"/>
        <v>195.56934864769175</v>
      </c>
      <c r="O109" s="183">
        <f t="shared" si="3"/>
        <v>0</v>
      </c>
      <c r="P109" s="183">
        <f t="shared" si="3"/>
        <v>9.9486786127785012E-2</v>
      </c>
      <c r="Q109" s="183">
        <f t="shared" si="3"/>
        <v>9.6154116058999404E-3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45601.010416666664</v>
      </c>
      <c r="B9" s="112">
        <v>5.27</v>
      </c>
      <c r="C9" s="112">
        <v>8.01</v>
      </c>
      <c r="D9" s="112">
        <v>13.98</v>
      </c>
      <c r="E9" s="112">
        <v>10.01</v>
      </c>
      <c r="F9" s="112">
        <v>5.72</v>
      </c>
      <c r="G9" s="112">
        <v>82.3</v>
      </c>
      <c r="H9" s="112">
        <v>24.48</v>
      </c>
      <c r="I9" s="112">
        <v>9.5</v>
      </c>
      <c r="J9" s="112">
        <v>0.25</v>
      </c>
      <c r="K9" s="112">
        <v>74.98</v>
      </c>
      <c r="L9" s="112">
        <v>23.36</v>
      </c>
      <c r="M9" s="112">
        <v>66.709999999999994</v>
      </c>
      <c r="N9" s="112">
        <v>1.5</v>
      </c>
      <c r="O9" s="112">
        <v>0</v>
      </c>
      <c r="P9" s="112">
        <v>0.86</v>
      </c>
      <c r="Q9" s="112">
        <v>4.29</v>
      </c>
    </row>
    <row r="10" spans="1:21" customFormat="1">
      <c r="A10" s="80">
        <v>45601.020833333336</v>
      </c>
      <c r="B10" s="112">
        <v>5.23</v>
      </c>
      <c r="C10" s="112">
        <v>8.07</v>
      </c>
      <c r="D10" s="112">
        <v>13.98</v>
      </c>
      <c r="E10" s="112">
        <v>10.08</v>
      </c>
      <c r="F10" s="112">
        <v>5.65</v>
      </c>
      <c r="G10" s="112">
        <v>82.3</v>
      </c>
      <c r="H10" s="112">
        <v>24.48</v>
      </c>
      <c r="I10" s="112">
        <v>9.5399999999999991</v>
      </c>
      <c r="J10" s="112">
        <v>0.42</v>
      </c>
      <c r="K10" s="112">
        <v>75.150000000000006</v>
      </c>
      <c r="L10" s="112">
        <v>23.47</v>
      </c>
      <c r="M10" s="112">
        <v>67.12</v>
      </c>
      <c r="N10" s="112">
        <v>1.3</v>
      </c>
      <c r="O10" s="112">
        <v>0</v>
      </c>
      <c r="P10" s="112">
        <v>0.86</v>
      </c>
      <c r="Q10" s="112">
        <v>4.3</v>
      </c>
    </row>
    <row r="11" spans="1:21" customFormat="1">
      <c r="A11" s="80">
        <v>45601.03125</v>
      </c>
      <c r="B11" s="112">
        <v>5.23</v>
      </c>
      <c r="C11" s="112">
        <v>8.07</v>
      </c>
      <c r="D11" s="112">
        <v>13.97</v>
      </c>
      <c r="E11" s="112">
        <v>10.25</v>
      </c>
      <c r="F11" s="112">
        <v>5.78</v>
      </c>
      <c r="G11" s="112">
        <v>79.41</v>
      </c>
      <c r="H11" s="112">
        <v>22.17</v>
      </c>
      <c r="I11" s="112">
        <v>9.49</v>
      </c>
      <c r="J11" s="112">
        <v>0.16</v>
      </c>
      <c r="K11" s="112">
        <v>110.67</v>
      </c>
      <c r="L11" s="112">
        <v>23.54</v>
      </c>
      <c r="M11" s="112">
        <v>67.27</v>
      </c>
      <c r="N11" s="112">
        <v>1.5</v>
      </c>
      <c r="O11" s="112">
        <v>0</v>
      </c>
      <c r="P11" s="112">
        <v>0.84</v>
      </c>
      <c r="Q11" s="112">
        <v>4.29</v>
      </c>
    </row>
    <row r="12" spans="1:21" customFormat="1">
      <c r="A12" s="80">
        <v>45601.041666666664</v>
      </c>
      <c r="B12" s="112">
        <v>5.21</v>
      </c>
      <c r="C12" s="112">
        <v>8.07</v>
      </c>
      <c r="D12" s="112">
        <v>13.96</v>
      </c>
      <c r="E12" s="112">
        <v>9.67</v>
      </c>
      <c r="F12" s="112">
        <v>5.82</v>
      </c>
      <c r="G12" s="112">
        <v>78.23</v>
      </c>
      <c r="H12" s="112">
        <v>22.06</v>
      </c>
      <c r="I12" s="112">
        <v>9.44</v>
      </c>
      <c r="J12" s="112">
        <v>0.21</v>
      </c>
      <c r="K12" s="112">
        <v>249.24</v>
      </c>
      <c r="L12" s="112">
        <v>22.97</v>
      </c>
      <c r="M12" s="112">
        <v>72.38</v>
      </c>
      <c r="N12" s="112">
        <v>2</v>
      </c>
      <c r="O12" s="112">
        <v>0</v>
      </c>
      <c r="P12" s="112">
        <v>0.84</v>
      </c>
      <c r="Q12" s="112">
        <v>4.29</v>
      </c>
    </row>
    <row r="13" spans="1:21" customFormat="1">
      <c r="A13" s="80">
        <v>45601.052083333336</v>
      </c>
      <c r="B13" s="112">
        <v>5.21</v>
      </c>
      <c r="C13" s="112">
        <v>8.07</v>
      </c>
      <c r="D13" s="112">
        <v>13.97</v>
      </c>
      <c r="E13" s="112">
        <v>10.01</v>
      </c>
      <c r="F13" s="112">
        <v>5.72</v>
      </c>
      <c r="G13" s="112">
        <v>78.23</v>
      </c>
      <c r="H13" s="112">
        <v>22.06</v>
      </c>
      <c r="I13" s="112">
        <v>9.48</v>
      </c>
      <c r="J13" s="112">
        <v>0.14000000000000001</v>
      </c>
      <c r="K13" s="112">
        <v>249.78</v>
      </c>
      <c r="L13" s="112">
        <v>21.93</v>
      </c>
      <c r="M13" s="112">
        <v>77.94</v>
      </c>
      <c r="N13" s="112">
        <v>2.1</v>
      </c>
      <c r="O13" s="112">
        <v>0</v>
      </c>
      <c r="P13" s="112">
        <v>0.82</v>
      </c>
      <c r="Q13" s="112">
        <v>4.29</v>
      </c>
    </row>
    <row r="14" spans="1:21" customFormat="1">
      <c r="A14" s="80">
        <v>45601.0625</v>
      </c>
      <c r="B14" s="112">
        <v>5.23</v>
      </c>
      <c r="C14" s="112">
        <v>8.0500000000000007</v>
      </c>
      <c r="D14" s="112">
        <v>13.97</v>
      </c>
      <c r="E14" s="112">
        <v>9.73</v>
      </c>
      <c r="F14" s="112">
        <v>5.75</v>
      </c>
      <c r="G14" s="112">
        <v>78.23</v>
      </c>
      <c r="H14" s="112">
        <v>22.06</v>
      </c>
      <c r="I14" s="112">
        <v>9.49</v>
      </c>
      <c r="J14" s="112">
        <v>0.22</v>
      </c>
      <c r="K14" s="112">
        <v>325.5</v>
      </c>
      <c r="L14" s="112">
        <v>21.94</v>
      </c>
      <c r="M14" s="112">
        <v>76.98</v>
      </c>
      <c r="N14" s="112">
        <v>1.7</v>
      </c>
      <c r="O14" s="112">
        <v>0</v>
      </c>
      <c r="P14" s="112">
        <v>0.82</v>
      </c>
      <c r="Q14" s="112">
        <v>4.3</v>
      </c>
    </row>
    <row r="15" spans="1:21" customFormat="1">
      <c r="A15" s="80">
        <v>45601.072916666664</v>
      </c>
      <c r="B15" s="112">
        <v>5.22</v>
      </c>
      <c r="C15" s="112">
        <v>8.06</v>
      </c>
      <c r="D15" s="112">
        <v>13.97</v>
      </c>
      <c r="E15" s="112">
        <v>9.6</v>
      </c>
      <c r="F15" s="112">
        <v>5.74</v>
      </c>
      <c r="G15" s="112">
        <v>77.94</v>
      </c>
      <c r="H15" s="112">
        <v>21.66</v>
      </c>
      <c r="I15" s="112">
        <v>9.42</v>
      </c>
      <c r="J15" s="112">
        <v>0.18</v>
      </c>
      <c r="K15" s="112">
        <v>64.08</v>
      </c>
      <c r="L15" s="112">
        <v>22.3</v>
      </c>
      <c r="M15" s="112">
        <v>74.52</v>
      </c>
      <c r="N15" s="112">
        <v>1.5</v>
      </c>
      <c r="O15" s="112">
        <v>0</v>
      </c>
      <c r="P15" s="112">
        <v>0.81</v>
      </c>
      <c r="Q15" s="112">
        <v>4.29</v>
      </c>
    </row>
    <row r="16" spans="1:21" customFormat="1">
      <c r="A16" s="80">
        <v>45601.083333333336</v>
      </c>
      <c r="B16" s="112">
        <v>5.22</v>
      </c>
      <c r="C16" s="112">
        <v>8.06</v>
      </c>
      <c r="D16" s="112">
        <v>13.96</v>
      </c>
      <c r="E16" s="112">
        <v>9.82</v>
      </c>
      <c r="F16" s="112">
        <v>5.73</v>
      </c>
      <c r="G16" s="112">
        <v>77.819999999999993</v>
      </c>
      <c r="H16" s="112">
        <v>21.64</v>
      </c>
      <c r="I16" s="112">
        <v>9.3699999999999992</v>
      </c>
      <c r="J16" s="112">
        <v>0.18</v>
      </c>
      <c r="K16" s="112">
        <v>44.36</v>
      </c>
      <c r="L16" s="112">
        <v>22.45</v>
      </c>
      <c r="M16" s="112">
        <v>72.709999999999994</v>
      </c>
      <c r="N16" s="112">
        <v>1.5</v>
      </c>
      <c r="O16" s="112">
        <v>0</v>
      </c>
      <c r="P16" s="112">
        <v>0.81</v>
      </c>
      <c r="Q16" s="112">
        <v>4.29</v>
      </c>
    </row>
    <row r="17" spans="1:17" customFormat="1">
      <c r="A17" s="80">
        <v>45601.09375</v>
      </c>
      <c r="B17" s="112">
        <v>5.22</v>
      </c>
      <c r="C17" s="112">
        <v>8.0500000000000007</v>
      </c>
      <c r="D17" s="112">
        <v>13.96</v>
      </c>
      <c r="E17" s="112">
        <v>8.15</v>
      </c>
      <c r="F17" s="112">
        <v>5.9</v>
      </c>
      <c r="G17" s="112">
        <v>77.819999999999993</v>
      </c>
      <c r="H17" s="112">
        <v>21.64</v>
      </c>
      <c r="I17" s="112">
        <v>9.3699999999999992</v>
      </c>
      <c r="J17" s="112">
        <v>0.13</v>
      </c>
      <c r="K17" s="112">
        <v>132.47</v>
      </c>
      <c r="L17" s="112">
        <v>22.6</v>
      </c>
      <c r="M17" s="112">
        <v>73.040000000000006</v>
      </c>
      <c r="N17" s="112">
        <v>1.6</v>
      </c>
      <c r="O17" s="112">
        <v>0</v>
      </c>
      <c r="P17" s="112">
        <v>0.8</v>
      </c>
      <c r="Q17" s="112">
        <v>4.29</v>
      </c>
    </row>
    <row r="18" spans="1:17" customFormat="1">
      <c r="A18" s="80">
        <v>45601.104166666664</v>
      </c>
      <c r="B18" s="112">
        <v>5.23</v>
      </c>
      <c r="C18" s="112">
        <v>8.06</v>
      </c>
      <c r="D18" s="112">
        <v>13.97</v>
      </c>
      <c r="E18" s="112">
        <v>9.2799999999999994</v>
      </c>
      <c r="F18" s="112">
        <v>5.77</v>
      </c>
      <c r="G18" s="112">
        <v>77.819999999999993</v>
      </c>
      <c r="H18" s="112">
        <v>21.64</v>
      </c>
      <c r="I18" s="112">
        <v>9.52</v>
      </c>
      <c r="J18" s="112">
        <v>0.22</v>
      </c>
      <c r="K18" s="112">
        <v>238.13</v>
      </c>
      <c r="L18" s="112">
        <v>21.8</v>
      </c>
      <c r="M18" s="112">
        <v>80.62</v>
      </c>
      <c r="N18" s="112">
        <v>2</v>
      </c>
      <c r="O18" s="112">
        <v>0</v>
      </c>
      <c r="P18" s="112">
        <v>0.79</v>
      </c>
      <c r="Q18" s="112">
        <v>4.29</v>
      </c>
    </row>
    <row r="19" spans="1:17" customFormat="1">
      <c r="A19" s="80">
        <v>45601.114583333336</v>
      </c>
      <c r="B19" s="112">
        <v>5.21</v>
      </c>
      <c r="C19" s="112">
        <v>8.1</v>
      </c>
      <c r="D19" s="112">
        <v>13.98</v>
      </c>
      <c r="E19" s="112">
        <v>9.2899999999999991</v>
      </c>
      <c r="F19" s="112">
        <v>5.78</v>
      </c>
      <c r="G19" s="112">
        <v>76.33</v>
      </c>
      <c r="H19" s="112">
        <v>24.49</v>
      </c>
      <c r="I19" s="112">
        <v>9.73</v>
      </c>
      <c r="J19" s="112">
        <v>0.26</v>
      </c>
      <c r="K19" s="112">
        <v>191.77</v>
      </c>
      <c r="L19" s="112">
        <v>21.35</v>
      </c>
      <c r="M19" s="112">
        <v>82.79</v>
      </c>
      <c r="N19" s="112">
        <v>1.8</v>
      </c>
      <c r="O19" s="112">
        <v>0</v>
      </c>
      <c r="P19" s="112">
        <v>0.79</v>
      </c>
      <c r="Q19" s="112">
        <v>4.3</v>
      </c>
    </row>
    <row r="20" spans="1:17" customFormat="1">
      <c r="A20" s="80">
        <v>45601.125</v>
      </c>
      <c r="B20" s="112">
        <v>5.22</v>
      </c>
      <c r="C20" s="112">
        <v>8.08</v>
      </c>
      <c r="D20" s="112">
        <v>13.97</v>
      </c>
      <c r="E20" s="112">
        <v>9.4499999999999993</v>
      </c>
      <c r="F20" s="112">
        <v>5.77</v>
      </c>
      <c r="G20" s="112">
        <v>75.72</v>
      </c>
      <c r="H20" s="112">
        <v>24.62</v>
      </c>
      <c r="I20" s="112">
        <v>9.8800000000000008</v>
      </c>
      <c r="J20" s="112">
        <v>0.1</v>
      </c>
      <c r="K20" s="112">
        <v>104.23</v>
      </c>
      <c r="L20" s="112">
        <v>21.3</v>
      </c>
      <c r="M20" s="112">
        <v>82.99</v>
      </c>
      <c r="N20" s="112">
        <v>1.7</v>
      </c>
      <c r="O20" s="112">
        <v>0</v>
      </c>
      <c r="P20" s="112">
        <v>0.78</v>
      </c>
      <c r="Q20" s="112">
        <v>4.3</v>
      </c>
    </row>
    <row r="21" spans="1:17" customFormat="1">
      <c r="A21" s="80">
        <v>45601.135416666664</v>
      </c>
      <c r="B21" s="112">
        <v>5.25</v>
      </c>
      <c r="C21" s="112">
        <v>8.0500000000000007</v>
      </c>
      <c r="D21" s="112">
        <v>13.98</v>
      </c>
      <c r="E21" s="112">
        <v>9.35</v>
      </c>
      <c r="F21" s="112">
        <v>5.66</v>
      </c>
      <c r="G21" s="112">
        <v>75.72</v>
      </c>
      <c r="H21" s="112">
        <v>24.62</v>
      </c>
      <c r="I21" s="112">
        <v>10.029999999999999</v>
      </c>
      <c r="J21" s="112">
        <v>0.19</v>
      </c>
      <c r="K21" s="112">
        <v>254.63</v>
      </c>
      <c r="L21" s="112">
        <v>21.11</v>
      </c>
      <c r="M21" s="112">
        <v>83.82</v>
      </c>
      <c r="N21" s="112">
        <v>1.6</v>
      </c>
      <c r="O21" s="112">
        <v>0</v>
      </c>
      <c r="P21" s="112">
        <v>0.78</v>
      </c>
      <c r="Q21" s="112">
        <v>4.29</v>
      </c>
    </row>
    <row r="22" spans="1:17" customFormat="1">
      <c r="A22" s="80">
        <v>45601.145833333336</v>
      </c>
      <c r="B22" s="112">
        <v>5.25</v>
      </c>
      <c r="C22" s="112">
        <v>8.06</v>
      </c>
      <c r="D22" s="112">
        <v>13.99</v>
      </c>
      <c r="E22" s="112">
        <v>9.23</v>
      </c>
      <c r="F22" s="112">
        <v>5.57</v>
      </c>
      <c r="G22" s="112">
        <v>75.72</v>
      </c>
      <c r="H22" s="112">
        <v>24.62</v>
      </c>
      <c r="I22" s="112">
        <v>10.09</v>
      </c>
      <c r="J22" s="112">
        <v>0.22</v>
      </c>
      <c r="K22" s="112">
        <v>317.63</v>
      </c>
      <c r="L22" s="112">
        <v>21.04</v>
      </c>
      <c r="M22" s="112">
        <v>84.05</v>
      </c>
      <c r="N22" s="112">
        <v>1.4</v>
      </c>
      <c r="O22" s="112">
        <v>0</v>
      </c>
      <c r="P22" s="112">
        <v>0.77</v>
      </c>
      <c r="Q22" s="112">
        <v>4.29</v>
      </c>
    </row>
    <row r="23" spans="1:17" customFormat="1">
      <c r="A23" s="80">
        <v>45601.15625</v>
      </c>
      <c r="B23" s="112">
        <v>5.23</v>
      </c>
      <c r="C23" s="112">
        <v>8.07</v>
      </c>
      <c r="D23" s="112">
        <v>13.98</v>
      </c>
      <c r="E23" s="112">
        <v>9.31</v>
      </c>
      <c r="F23" s="112">
        <v>5.63</v>
      </c>
      <c r="G23" s="112">
        <v>75.25</v>
      </c>
      <c r="H23" s="112">
        <v>21.62</v>
      </c>
      <c r="I23" s="112">
        <v>10.130000000000001</v>
      </c>
      <c r="J23" s="112">
        <v>0.04</v>
      </c>
      <c r="K23" s="112">
        <v>159.75</v>
      </c>
      <c r="L23" s="112">
        <v>21.15</v>
      </c>
      <c r="M23" s="112">
        <v>82.57</v>
      </c>
      <c r="N23" s="112">
        <v>1.3</v>
      </c>
      <c r="O23" s="112">
        <v>0</v>
      </c>
      <c r="P23" s="112">
        <v>0.77</v>
      </c>
      <c r="Q23" s="112">
        <v>4.29</v>
      </c>
    </row>
    <row r="24" spans="1:17" customFormat="1">
      <c r="A24" s="80">
        <v>45601.166666666664</v>
      </c>
      <c r="B24" s="112">
        <v>5.22</v>
      </c>
      <c r="C24" s="112">
        <v>8.0500000000000007</v>
      </c>
      <c r="D24" s="112">
        <v>13.96</v>
      </c>
      <c r="E24" s="112">
        <v>9.43</v>
      </c>
      <c r="F24" s="112">
        <v>5.72</v>
      </c>
      <c r="G24" s="112">
        <v>75.06</v>
      </c>
      <c r="H24" s="112">
        <v>21.48</v>
      </c>
      <c r="I24" s="112">
        <v>10.199999999999999</v>
      </c>
      <c r="J24" s="112">
        <v>0.11</v>
      </c>
      <c r="K24" s="112">
        <v>62.74</v>
      </c>
      <c r="L24" s="112">
        <v>21.28</v>
      </c>
      <c r="M24" s="112">
        <v>81.96</v>
      </c>
      <c r="N24" s="112">
        <v>1.4</v>
      </c>
      <c r="O24" s="112">
        <v>0</v>
      </c>
      <c r="P24" s="112">
        <v>0.77</v>
      </c>
      <c r="Q24" s="112">
        <v>4.3</v>
      </c>
    </row>
    <row r="25" spans="1:17" customFormat="1">
      <c r="A25" s="80">
        <v>45601.177083333336</v>
      </c>
      <c r="B25" s="112">
        <v>5.21</v>
      </c>
      <c r="C25" s="112">
        <v>8.09</v>
      </c>
      <c r="D25" s="112">
        <v>13.98</v>
      </c>
      <c r="E25" s="112">
        <v>9.2200000000000006</v>
      </c>
      <c r="F25" s="112">
        <v>5.8</v>
      </c>
      <c r="G25" s="112">
        <v>75.06</v>
      </c>
      <c r="H25" s="112">
        <v>21.48</v>
      </c>
      <c r="I25" s="112">
        <v>10.24</v>
      </c>
      <c r="J25" s="112">
        <v>0.14000000000000001</v>
      </c>
      <c r="K25" s="112">
        <v>72</v>
      </c>
      <c r="L25" s="112">
        <v>21.08</v>
      </c>
      <c r="M25" s="112">
        <v>82.87</v>
      </c>
      <c r="N25" s="112">
        <v>1.6</v>
      </c>
      <c r="O25" s="112">
        <v>0</v>
      </c>
      <c r="P25" s="112">
        <v>0.77</v>
      </c>
      <c r="Q25" s="112">
        <v>4.29</v>
      </c>
    </row>
    <row r="26" spans="1:17" customFormat="1">
      <c r="A26" s="80">
        <v>45601.1875</v>
      </c>
      <c r="B26" s="112">
        <v>5.21</v>
      </c>
      <c r="C26" s="112">
        <v>8.07</v>
      </c>
      <c r="D26" s="112">
        <v>13.96</v>
      </c>
      <c r="E26" s="112">
        <v>9.6</v>
      </c>
      <c r="F26" s="112">
        <v>5.79</v>
      </c>
      <c r="G26" s="112">
        <v>75.06</v>
      </c>
      <c r="H26" s="112">
        <v>21.48</v>
      </c>
      <c r="I26" s="112">
        <v>10.27</v>
      </c>
      <c r="J26" s="112">
        <v>0.15</v>
      </c>
      <c r="K26" s="112">
        <v>99.05</v>
      </c>
      <c r="L26" s="112">
        <v>21.06</v>
      </c>
      <c r="M26" s="112">
        <v>83.16</v>
      </c>
      <c r="N26" s="112">
        <v>1.6</v>
      </c>
      <c r="O26" s="112">
        <v>0</v>
      </c>
      <c r="P26" s="112">
        <v>0.77</v>
      </c>
      <c r="Q26" s="112">
        <v>4.29</v>
      </c>
    </row>
    <row r="27" spans="1:17" customFormat="1">
      <c r="A27" s="80">
        <v>45601.197916666664</v>
      </c>
      <c r="B27" s="112">
        <v>5.21</v>
      </c>
      <c r="C27" s="112">
        <v>8.08</v>
      </c>
      <c r="D27" s="112">
        <v>13.97</v>
      </c>
      <c r="E27" s="112">
        <v>9.08</v>
      </c>
      <c r="F27" s="112">
        <v>5.6</v>
      </c>
      <c r="G27" s="112">
        <v>73.39</v>
      </c>
      <c r="H27" s="112">
        <v>23.8</v>
      </c>
      <c r="I27" s="112">
        <v>10.24</v>
      </c>
      <c r="J27" s="112">
        <v>0.11</v>
      </c>
      <c r="K27" s="112">
        <v>69.819999999999993</v>
      </c>
      <c r="L27" s="112">
        <v>20.84</v>
      </c>
      <c r="M27" s="112">
        <v>84.41</v>
      </c>
      <c r="N27" s="112">
        <v>1.6</v>
      </c>
      <c r="O27" s="112">
        <v>0</v>
      </c>
      <c r="P27" s="112">
        <v>0.75</v>
      </c>
      <c r="Q27" s="112">
        <v>4.3</v>
      </c>
    </row>
    <row r="28" spans="1:17" customFormat="1">
      <c r="A28" s="80">
        <v>45601.208333333336</v>
      </c>
      <c r="B28" s="112">
        <v>5.23</v>
      </c>
      <c r="C28" s="112">
        <v>8.08</v>
      </c>
      <c r="D28" s="112">
        <v>13.98</v>
      </c>
      <c r="E28" s="112">
        <v>9.4700000000000006</v>
      </c>
      <c r="F28" s="112">
        <v>5.88</v>
      </c>
      <c r="G28" s="112">
        <v>72.72</v>
      </c>
      <c r="H28" s="112">
        <v>23.91</v>
      </c>
      <c r="I28" s="112">
        <v>10.19</v>
      </c>
      <c r="J28" s="112">
        <v>0.16</v>
      </c>
      <c r="K28" s="112">
        <v>64.58</v>
      </c>
      <c r="L28" s="112">
        <v>20.8</v>
      </c>
      <c r="M28" s="112">
        <v>84.38</v>
      </c>
      <c r="N28" s="112">
        <v>1.4</v>
      </c>
      <c r="O28" s="112">
        <v>0</v>
      </c>
      <c r="P28" s="112">
        <v>0.75</v>
      </c>
      <c r="Q28" s="112">
        <v>4.28</v>
      </c>
    </row>
    <row r="29" spans="1:17" customFormat="1">
      <c r="A29" s="80">
        <v>45601.21875</v>
      </c>
      <c r="B29" s="112">
        <v>5.24</v>
      </c>
      <c r="C29" s="112">
        <v>8.06</v>
      </c>
      <c r="D29" s="112">
        <v>13.99</v>
      </c>
      <c r="E29" s="112">
        <v>9.73</v>
      </c>
      <c r="F29" s="112">
        <v>5.71</v>
      </c>
      <c r="G29" s="112">
        <v>72.72</v>
      </c>
      <c r="H29" s="112">
        <v>23.91</v>
      </c>
      <c r="I29" s="112">
        <v>10.119999999999999</v>
      </c>
      <c r="J29" s="112">
        <v>0.11</v>
      </c>
      <c r="K29" s="112">
        <v>156.59</v>
      </c>
      <c r="L29" s="112">
        <v>20.66</v>
      </c>
      <c r="M29" s="112">
        <v>85.94</v>
      </c>
      <c r="N29" s="112">
        <v>1.6</v>
      </c>
      <c r="O29" s="112">
        <v>0</v>
      </c>
      <c r="P29" s="112">
        <v>0.73</v>
      </c>
      <c r="Q29" s="112">
        <v>4.29</v>
      </c>
    </row>
    <row r="30" spans="1:17" customFormat="1">
      <c r="A30" s="80">
        <v>45601.229166666664</v>
      </c>
      <c r="B30" s="112">
        <v>5.24</v>
      </c>
      <c r="C30" s="112">
        <v>8.06</v>
      </c>
      <c r="D30" s="112">
        <v>13.98</v>
      </c>
      <c r="E30" s="112">
        <v>9.84</v>
      </c>
      <c r="F30" s="112">
        <v>5.78</v>
      </c>
      <c r="G30" s="112">
        <v>72.72</v>
      </c>
      <c r="H30" s="112">
        <v>23.91</v>
      </c>
      <c r="I30" s="112">
        <v>10.050000000000001</v>
      </c>
      <c r="J30" s="112">
        <v>0.08</v>
      </c>
      <c r="K30" s="112">
        <v>152.76</v>
      </c>
      <c r="L30" s="112">
        <v>20.420000000000002</v>
      </c>
      <c r="M30" s="112">
        <v>87.19</v>
      </c>
      <c r="N30" s="112">
        <v>1.6</v>
      </c>
      <c r="O30" s="112">
        <v>0</v>
      </c>
      <c r="P30" s="112">
        <v>0.74</v>
      </c>
      <c r="Q30" s="112">
        <v>4.29</v>
      </c>
    </row>
    <row r="31" spans="1:17" customFormat="1">
      <c r="A31" s="80">
        <v>45601.239583333336</v>
      </c>
      <c r="B31" s="112">
        <v>5.24</v>
      </c>
      <c r="C31" s="112">
        <v>8.09</v>
      </c>
      <c r="D31" s="112">
        <v>13.99</v>
      </c>
      <c r="E31" s="112">
        <v>9.3000000000000007</v>
      </c>
      <c r="F31" s="112">
        <v>5.76</v>
      </c>
      <c r="G31" s="112">
        <v>69.69</v>
      </c>
      <c r="H31" s="112">
        <v>21.48</v>
      </c>
      <c r="I31" s="112">
        <v>9.9700000000000006</v>
      </c>
      <c r="J31" s="112">
        <v>0.12</v>
      </c>
      <c r="K31" s="112">
        <v>197.52</v>
      </c>
      <c r="L31" s="112">
        <v>20.18</v>
      </c>
      <c r="M31" s="112">
        <v>88.85</v>
      </c>
      <c r="N31" s="112">
        <v>1.8</v>
      </c>
      <c r="O31" s="112">
        <v>0</v>
      </c>
      <c r="P31" s="112">
        <v>0.73</v>
      </c>
      <c r="Q31" s="112">
        <v>4.3099999999999996</v>
      </c>
    </row>
    <row r="32" spans="1:17" customFormat="1">
      <c r="A32" s="80">
        <v>45601.25</v>
      </c>
      <c r="B32" s="112">
        <v>5.24</v>
      </c>
      <c r="C32" s="112">
        <v>8.0500000000000007</v>
      </c>
      <c r="D32" s="112">
        <v>13.97</v>
      </c>
      <c r="E32" s="112">
        <v>9.6999999999999993</v>
      </c>
      <c r="F32" s="112">
        <v>5.51</v>
      </c>
      <c r="G32" s="112">
        <v>68.459999999999994</v>
      </c>
      <c r="H32" s="112">
        <v>21.31</v>
      </c>
      <c r="I32" s="112">
        <v>9.8699999999999992</v>
      </c>
      <c r="J32" s="112">
        <v>0.16</v>
      </c>
      <c r="K32" s="112">
        <v>255.4</v>
      </c>
      <c r="L32" s="112">
        <v>20.010000000000002</v>
      </c>
      <c r="M32" s="112">
        <v>90.3</v>
      </c>
      <c r="N32" s="112">
        <v>3.4</v>
      </c>
      <c r="O32" s="112">
        <v>0</v>
      </c>
      <c r="P32" s="112">
        <v>0.72</v>
      </c>
      <c r="Q32" s="112">
        <v>4.3</v>
      </c>
    </row>
    <row r="33" spans="1:17" customFormat="1">
      <c r="A33" s="80">
        <v>45601.260416666664</v>
      </c>
      <c r="B33" s="112">
        <v>5.23</v>
      </c>
      <c r="C33" s="112">
        <v>8.06</v>
      </c>
      <c r="D33" s="112">
        <v>13.97</v>
      </c>
      <c r="E33" s="112">
        <v>9.6199999999999992</v>
      </c>
      <c r="F33" s="112">
        <v>5.67</v>
      </c>
      <c r="G33" s="112">
        <v>68.459999999999994</v>
      </c>
      <c r="H33" s="112">
        <v>21.31</v>
      </c>
      <c r="I33" s="112">
        <v>9.82</v>
      </c>
      <c r="J33" s="112">
        <v>0.18</v>
      </c>
      <c r="K33" s="112">
        <v>46.38</v>
      </c>
      <c r="L33" s="112">
        <v>20.079999999999998</v>
      </c>
      <c r="M33" s="112">
        <v>89.29</v>
      </c>
      <c r="N33" s="112">
        <v>8.6</v>
      </c>
      <c r="O33" s="112">
        <v>0</v>
      </c>
      <c r="P33" s="112">
        <v>0.73</v>
      </c>
      <c r="Q33" s="112">
        <v>4.3</v>
      </c>
    </row>
    <row r="34" spans="1:17" customFormat="1">
      <c r="A34" s="80">
        <v>45601.270833333336</v>
      </c>
      <c r="B34" s="112">
        <v>5.22</v>
      </c>
      <c r="C34" s="112">
        <v>8.07</v>
      </c>
      <c r="D34" s="112">
        <v>13.97</v>
      </c>
      <c r="E34" s="112">
        <v>9.8800000000000008</v>
      </c>
      <c r="F34" s="112">
        <v>5.29</v>
      </c>
      <c r="G34" s="112">
        <v>68.459999999999994</v>
      </c>
      <c r="H34" s="112">
        <v>21.31</v>
      </c>
      <c r="I34" s="112">
        <v>9.76</v>
      </c>
      <c r="J34" s="112">
        <v>0.33</v>
      </c>
      <c r="K34" s="112">
        <v>52.91</v>
      </c>
      <c r="L34" s="112">
        <v>20.46</v>
      </c>
      <c r="M34" s="112">
        <v>87.04</v>
      </c>
      <c r="N34" s="112">
        <v>17.600000000000001</v>
      </c>
      <c r="O34" s="112">
        <v>0</v>
      </c>
      <c r="P34" s="112">
        <v>0.73</v>
      </c>
      <c r="Q34" s="112">
        <v>4.3</v>
      </c>
    </row>
    <row r="35" spans="1:17" customFormat="1">
      <c r="A35" s="80">
        <v>45601.28125</v>
      </c>
      <c r="B35" s="112">
        <v>5.22</v>
      </c>
      <c r="C35" s="112">
        <v>8.06</v>
      </c>
      <c r="D35" s="112">
        <v>13.97</v>
      </c>
      <c r="E35" s="112">
        <v>9.9499999999999993</v>
      </c>
      <c r="F35" s="112">
        <v>5.87</v>
      </c>
      <c r="G35" s="112">
        <v>67.650000000000006</v>
      </c>
      <c r="H35" s="112">
        <v>18.920000000000002</v>
      </c>
      <c r="I35" s="112">
        <v>9.6999999999999993</v>
      </c>
      <c r="J35" s="112">
        <v>0.28999999999999998</v>
      </c>
      <c r="K35" s="112">
        <v>60.98</v>
      </c>
      <c r="L35" s="112">
        <v>20.78</v>
      </c>
      <c r="M35" s="112">
        <v>85.61</v>
      </c>
      <c r="N35" s="112">
        <v>29.1</v>
      </c>
      <c r="O35" s="112">
        <v>0</v>
      </c>
      <c r="P35" s="112">
        <v>0.73</v>
      </c>
      <c r="Q35" s="112">
        <v>4.29</v>
      </c>
    </row>
    <row r="36" spans="1:17" customFormat="1">
      <c r="A36" s="80">
        <v>45601.291666666664</v>
      </c>
      <c r="B36" s="112">
        <v>5.23</v>
      </c>
      <c r="C36" s="112">
        <v>8.06</v>
      </c>
      <c r="D36" s="112">
        <v>13.97</v>
      </c>
      <c r="E36" s="112">
        <v>9.31</v>
      </c>
      <c r="F36" s="112">
        <v>5.62</v>
      </c>
      <c r="G36" s="112">
        <v>67.319999999999993</v>
      </c>
      <c r="H36" s="112">
        <v>18.809999999999999</v>
      </c>
      <c r="I36" s="112">
        <v>9.68</v>
      </c>
      <c r="J36" s="112">
        <v>0.62</v>
      </c>
      <c r="K36" s="112">
        <v>49.24</v>
      </c>
      <c r="L36" s="112">
        <v>21.04</v>
      </c>
      <c r="M36" s="112">
        <v>84.92</v>
      </c>
      <c r="N36" s="112">
        <v>42.6</v>
      </c>
      <c r="O36" s="112">
        <v>0</v>
      </c>
      <c r="P36" s="112">
        <v>0.73</v>
      </c>
      <c r="Q36" s="112">
        <v>4.3</v>
      </c>
    </row>
    <row r="37" spans="1:17" customFormat="1">
      <c r="A37" s="80">
        <v>45601.302083333336</v>
      </c>
      <c r="B37" s="112">
        <v>5.23</v>
      </c>
      <c r="C37" s="112">
        <v>8.08</v>
      </c>
      <c r="D37" s="112">
        <v>13.98</v>
      </c>
      <c r="E37" s="112">
        <v>9.14</v>
      </c>
      <c r="F37" s="112">
        <v>5.89</v>
      </c>
      <c r="G37" s="112">
        <v>67.319999999999993</v>
      </c>
      <c r="H37" s="112">
        <v>18.809999999999999</v>
      </c>
      <c r="I37" s="112">
        <v>9.6300000000000008</v>
      </c>
      <c r="J37" s="112">
        <v>0.68</v>
      </c>
      <c r="K37" s="112">
        <v>52.69</v>
      </c>
      <c r="L37" s="112">
        <v>21.29</v>
      </c>
      <c r="M37" s="112">
        <v>84.94</v>
      </c>
      <c r="N37" s="112">
        <v>56.6</v>
      </c>
      <c r="O37" s="112">
        <v>0</v>
      </c>
      <c r="P37" s="112">
        <v>0.74</v>
      </c>
      <c r="Q37" s="112">
        <v>4.3</v>
      </c>
    </row>
    <row r="38" spans="1:17" customFormat="1">
      <c r="A38" s="80">
        <v>45601.3125</v>
      </c>
      <c r="B38" s="112">
        <v>5.23</v>
      </c>
      <c r="C38" s="112">
        <v>8.0500000000000007</v>
      </c>
      <c r="D38" s="112">
        <v>13.97</v>
      </c>
      <c r="E38" s="112">
        <v>9.4499999999999993</v>
      </c>
      <c r="F38" s="112">
        <v>5.76</v>
      </c>
      <c r="G38" s="112">
        <v>67.319999999999993</v>
      </c>
      <c r="H38" s="112">
        <v>18.809999999999999</v>
      </c>
      <c r="I38" s="112">
        <v>9.61</v>
      </c>
      <c r="J38" s="112">
        <v>0.75</v>
      </c>
      <c r="K38" s="112">
        <v>47.26</v>
      </c>
      <c r="L38" s="112">
        <v>21.6</v>
      </c>
      <c r="M38" s="112">
        <v>85.05</v>
      </c>
      <c r="N38" s="112">
        <v>82</v>
      </c>
      <c r="O38" s="112">
        <v>0</v>
      </c>
      <c r="P38" s="112">
        <v>0.73</v>
      </c>
      <c r="Q38" s="112">
        <v>4.28</v>
      </c>
    </row>
    <row r="39" spans="1:17" customFormat="1">
      <c r="A39" s="80">
        <v>45601.322916666664</v>
      </c>
      <c r="B39" s="112">
        <v>5.21</v>
      </c>
      <c r="C39" s="112">
        <v>8.09</v>
      </c>
      <c r="D39" s="112">
        <v>13.97</v>
      </c>
      <c r="E39" s="112">
        <v>9.98</v>
      </c>
      <c r="F39" s="112">
        <v>5.68</v>
      </c>
      <c r="G39" s="112">
        <v>70.23</v>
      </c>
      <c r="H39" s="112">
        <v>21.08</v>
      </c>
      <c r="I39" s="112">
        <v>9.6199999999999992</v>
      </c>
      <c r="J39" s="112">
        <v>0.79</v>
      </c>
      <c r="K39" s="112">
        <v>44.38</v>
      </c>
      <c r="L39" s="112">
        <v>22.13</v>
      </c>
      <c r="M39" s="112">
        <v>83.43</v>
      </c>
      <c r="N39" s="112">
        <v>159</v>
      </c>
      <c r="O39" s="112">
        <v>0</v>
      </c>
      <c r="P39" s="112">
        <v>0.75</v>
      </c>
      <c r="Q39" s="112">
        <v>4.2699999999999996</v>
      </c>
    </row>
    <row r="40" spans="1:17" customFormat="1">
      <c r="A40" s="80">
        <v>45601.333333333336</v>
      </c>
      <c r="B40" s="112">
        <v>5.22</v>
      </c>
      <c r="C40" s="112">
        <v>8.0500000000000007</v>
      </c>
      <c r="D40" s="112">
        <v>13.96</v>
      </c>
      <c r="E40" s="112">
        <v>9.93</v>
      </c>
      <c r="F40" s="112">
        <v>5.97</v>
      </c>
      <c r="G40" s="112">
        <v>71.41</v>
      </c>
      <c r="H40" s="112">
        <v>21.19</v>
      </c>
      <c r="I40" s="112">
        <v>9.65</v>
      </c>
      <c r="J40" s="112">
        <v>0.77</v>
      </c>
      <c r="K40" s="112">
        <v>46.97</v>
      </c>
      <c r="L40" s="112">
        <v>22.82</v>
      </c>
      <c r="M40" s="112">
        <v>80.180000000000007</v>
      </c>
      <c r="N40" s="112">
        <v>199.9</v>
      </c>
      <c r="O40" s="112">
        <v>0</v>
      </c>
      <c r="P40" s="112">
        <v>0.74</v>
      </c>
      <c r="Q40" s="112">
        <v>4.3</v>
      </c>
    </row>
    <row r="41" spans="1:17" customFormat="1">
      <c r="A41" s="80">
        <v>45601.34375</v>
      </c>
      <c r="B41" s="112">
        <v>5.21</v>
      </c>
      <c r="C41" s="112">
        <v>8.08</v>
      </c>
      <c r="D41" s="112">
        <v>13.97</v>
      </c>
      <c r="E41" s="112">
        <v>9.65</v>
      </c>
      <c r="F41" s="112">
        <v>5.87</v>
      </c>
      <c r="G41" s="112">
        <v>71.41</v>
      </c>
      <c r="H41" s="112">
        <v>21.19</v>
      </c>
      <c r="I41" s="112">
        <v>9.67</v>
      </c>
      <c r="J41" s="112">
        <v>0.69</v>
      </c>
      <c r="K41" s="112">
        <v>46.69</v>
      </c>
      <c r="L41" s="112">
        <v>23.53</v>
      </c>
      <c r="M41" s="112">
        <v>77.34</v>
      </c>
      <c r="N41" s="112">
        <v>236.8</v>
      </c>
      <c r="O41" s="112">
        <v>0</v>
      </c>
      <c r="P41" s="112">
        <v>0.75</v>
      </c>
      <c r="Q41" s="112">
        <v>4.28</v>
      </c>
    </row>
    <row r="42" spans="1:17" customFormat="1">
      <c r="A42" s="80">
        <v>45601.354166666664</v>
      </c>
      <c r="B42" s="112">
        <v>5.21</v>
      </c>
      <c r="C42" s="112">
        <v>8.07</v>
      </c>
      <c r="D42" s="112">
        <v>13.96</v>
      </c>
      <c r="E42" s="112">
        <v>10.24</v>
      </c>
      <c r="F42" s="112">
        <v>5.75</v>
      </c>
      <c r="G42" s="112">
        <v>71.41</v>
      </c>
      <c r="H42" s="112">
        <v>21.19</v>
      </c>
      <c r="I42" s="112">
        <v>9.68</v>
      </c>
      <c r="J42" s="112">
        <v>0.62</v>
      </c>
      <c r="K42" s="112">
        <v>50.34</v>
      </c>
      <c r="L42" s="112">
        <v>24.47</v>
      </c>
      <c r="M42" s="112">
        <v>73.010000000000005</v>
      </c>
      <c r="N42" s="112">
        <v>225.3</v>
      </c>
      <c r="O42" s="112">
        <v>0</v>
      </c>
      <c r="P42" s="112">
        <v>0.74</v>
      </c>
      <c r="Q42" s="112">
        <v>4.3</v>
      </c>
    </row>
    <row r="43" spans="1:17" customFormat="1">
      <c r="A43" s="80">
        <v>45601.364583333336</v>
      </c>
      <c r="B43" s="112">
        <v>5.21</v>
      </c>
      <c r="C43" s="112">
        <v>8.08</v>
      </c>
      <c r="D43" s="112">
        <v>13.96</v>
      </c>
      <c r="E43" s="112">
        <v>10.06</v>
      </c>
      <c r="F43" s="112">
        <v>5.96</v>
      </c>
      <c r="G43" s="112">
        <v>72.95</v>
      </c>
      <c r="H43" s="112">
        <v>23.41</v>
      </c>
      <c r="I43" s="112">
        <v>9.66</v>
      </c>
      <c r="J43" s="112">
        <v>0.65</v>
      </c>
      <c r="K43" s="112">
        <v>41.29</v>
      </c>
      <c r="L43" s="112">
        <v>25.22</v>
      </c>
      <c r="M43" s="112">
        <v>70.239999999999995</v>
      </c>
      <c r="N43" s="112">
        <v>317.3</v>
      </c>
      <c r="O43" s="112">
        <v>0</v>
      </c>
      <c r="P43" s="112">
        <v>0.75</v>
      </c>
      <c r="Q43" s="112">
        <v>4.29</v>
      </c>
    </row>
    <row r="44" spans="1:17" customFormat="1">
      <c r="A44" s="80">
        <v>45601.375</v>
      </c>
      <c r="B44" s="112">
        <v>5.22</v>
      </c>
      <c r="C44" s="112">
        <v>8.07</v>
      </c>
      <c r="D44" s="112">
        <v>13.97</v>
      </c>
      <c r="E44" s="112">
        <v>10.1</v>
      </c>
      <c r="F44" s="112">
        <v>6.08</v>
      </c>
      <c r="G44" s="112">
        <v>73.58</v>
      </c>
      <c r="H44" s="112">
        <v>23.52</v>
      </c>
      <c r="I44" s="112">
        <v>9.61</v>
      </c>
      <c r="J44" s="112">
        <v>0.55000000000000004</v>
      </c>
      <c r="K44" s="112">
        <v>55.74</v>
      </c>
      <c r="L44" s="112">
        <v>25.86</v>
      </c>
      <c r="M44" s="112">
        <v>67.11</v>
      </c>
      <c r="N44" s="112">
        <v>276.3</v>
      </c>
      <c r="O44" s="112">
        <v>0</v>
      </c>
      <c r="P44" s="112">
        <v>0.74</v>
      </c>
      <c r="Q44" s="112">
        <v>4.3</v>
      </c>
    </row>
    <row r="45" spans="1:17" customFormat="1">
      <c r="A45" s="80">
        <v>45601.385416666664</v>
      </c>
      <c r="B45" s="112">
        <v>5.21</v>
      </c>
      <c r="C45" s="112">
        <v>8.0399999999999991</v>
      </c>
      <c r="D45" s="112">
        <v>13.95</v>
      </c>
      <c r="E45" s="112">
        <v>9.24</v>
      </c>
      <c r="F45" s="112">
        <v>5.97</v>
      </c>
      <c r="G45" s="112">
        <v>73.58</v>
      </c>
      <c r="H45" s="112">
        <v>23.52</v>
      </c>
      <c r="I45" s="112">
        <v>9.58</v>
      </c>
      <c r="J45" s="112">
        <v>0.41</v>
      </c>
      <c r="K45" s="112">
        <v>76.849999999999994</v>
      </c>
      <c r="L45" s="112">
        <v>26.79</v>
      </c>
      <c r="M45" s="112">
        <v>62.38</v>
      </c>
      <c r="N45" s="112">
        <v>402.4</v>
      </c>
      <c r="O45" s="112">
        <v>0</v>
      </c>
      <c r="P45" s="112">
        <v>0.75</v>
      </c>
      <c r="Q45" s="112">
        <v>4.29</v>
      </c>
    </row>
    <row r="46" spans="1:17" customFormat="1">
      <c r="A46" s="80">
        <v>45601.395833333336</v>
      </c>
      <c r="B46" s="112">
        <v>5.22</v>
      </c>
      <c r="C46" s="112">
        <v>8.06</v>
      </c>
      <c r="D46" s="112">
        <v>13.97</v>
      </c>
      <c r="E46" s="112">
        <v>9.1999999999999993</v>
      </c>
      <c r="F46" s="112">
        <v>6.59</v>
      </c>
      <c r="G46" s="112">
        <v>73.58</v>
      </c>
      <c r="H46" s="112">
        <v>23.52</v>
      </c>
      <c r="I46" s="112">
        <v>9.56</v>
      </c>
      <c r="J46" s="112">
        <v>0.5</v>
      </c>
      <c r="K46" s="112">
        <v>55.59</v>
      </c>
      <c r="L46" s="112">
        <v>27.41</v>
      </c>
      <c r="M46" s="112">
        <v>60.27</v>
      </c>
      <c r="N46" s="112">
        <v>338.8</v>
      </c>
      <c r="O46" s="112">
        <v>0</v>
      </c>
      <c r="P46" s="112">
        <v>0.75</v>
      </c>
      <c r="Q46" s="112">
        <v>4.28</v>
      </c>
    </row>
    <row r="47" spans="1:17" customFormat="1">
      <c r="A47" s="80">
        <v>45601.40625</v>
      </c>
      <c r="B47" s="112">
        <v>5.23</v>
      </c>
      <c r="C47" s="112">
        <v>8.08</v>
      </c>
      <c r="D47" s="112">
        <v>13.99</v>
      </c>
      <c r="E47" s="112">
        <v>9.3800000000000008</v>
      </c>
      <c r="F47" s="112">
        <v>6.58</v>
      </c>
      <c r="G47" s="112">
        <v>69.94</v>
      </c>
      <c r="H47" s="112">
        <v>23.86</v>
      </c>
      <c r="I47" s="112">
        <v>9.4600000000000009</v>
      </c>
      <c r="J47" s="112">
        <v>0.25</v>
      </c>
      <c r="K47" s="112">
        <v>122.89</v>
      </c>
      <c r="L47" s="112">
        <v>28.3</v>
      </c>
      <c r="M47" s="112">
        <v>58</v>
      </c>
      <c r="N47" s="112">
        <v>463.3</v>
      </c>
      <c r="O47" s="112">
        <v>0</v>
      </c>
      <c r="P47" s="112">
        <v>0.75</v>
      </c>
      <c r="Q47" s="112">
        <v>4.29</v>
      </c>
    </row>
    <row r="48" spans="1:17" customFormat="1">
      <c r="A48" s="80">
        <v>45601.416666666664</v>
      </c>
      <c r="B48" s="112">
        <v>5.23</v>
      </c>
      <c r="C48" s="112">
        <v>8.07</v>
      </c>
      <c r="D48" s="112">
        <v>13.98</v>
      </c>
      <c r="E48" s="112">
        <v>9.2799999999999994</v>
      </c>
      <c r="F48" s="112">
        <v>6.64</v>
      </c>
      <c r="G48" s="112">
        <v>68.47</v>
      </c>
      <c r="H48" s="112">
        <v>23.88</v>
      </c>
      <c r="I48" s="112">
        <v>9.27</v>
      </c>
      <c r="J48" s="112">
        <v>0.23</v>
      </c>
      <c r="K48" s="112">
        <v>93.08</v>
      </c>
      <c r="L48" s="112">
        <v>28.87</v>
      </c>
      <c r="M48" s="112">
        <v>55.4</v>
      </c>
      <c r="N48" s="112">
        <v>507.9</v>
      </c>
      <c r="O48" s="112">
        <v>0</v>
      </c>
      <c r="P48" s="112">
        <v>0.74</v>
      </c>
      <c r="Q48" s="112">
        <v>4.3</v>
      </c>
    </row>
    <row r="49" spans="1:17" customFormat="1">
      <c r="A49" s="80">
        <v>45601.427083333336</v>
      </c>
      <c r="B49" s="112">
        <v>5.21</v>
      </c>
      <c r="C49" s="112">
        <v>8.09</v>
      </c>
      <c r="D49" s="112">
        <v>13.98</v>
      </c>
      <c r="E49" s="112">
        <v>6.95</v>
      </c>
      <c r="F49" s="112">
        <v>6.77</v>
      </c>
      <c r="G49" s="112">
        <v>68.47</v>
      </c>
      <c r="H49" s="112">
        <v>23.88</v>
      </c>
      <c r="I49" s="112">
        <v>9.1199999999999992</v>
      </c>
      <c r="J49" s="112">
        <v>0.54</v>
      </c>
      <c r="K49" s="112">
        <v>54.21</v>
      </c>
      <c r="L49" s="112">
        <v>29.1</v>
      </c>
      <c r="M49" s="112">
        <v>53.56</v>
      </c>
      <c r="N49" s="112">
        <v>533.5</v>
      </c>
      <c r="O49" s="112">
        <v>0</v>
      </c>
      <c r="P49" s="112">
        <v>0.73</v>
      </c>
      <c r="Q49" s="112">
        <v>4.3</v>
      </c>
    </row>
    <row r="50" spans="1:17" customFormat="1">
      <c r="A50" s="80">
        <v>45601.4375</v>
      </c>
      <c r="B50" s="112">
        <v>5.21</v>
      </c>
      <c r="C50" s="112">
        <v>8.07</v>
      </c>
      <c r="D50" s="112">
        <v>13.96</v>
      </c>
      <c r="E50" s="112">
        <v>8.39</v>
      </c>
      <c r="F50" s="112">
        <v>6.91</v>
      </c>
      <c r="G50" s="112">
        <v>68.47</v>
      </c>
      <c r="H50" s="112">
        <v>23.88</v>
      </c>
      <c r="I50" s="112">
        <v>8.99</v>
      </c>
      <c r="J50" s="112">
        <v>0.16</v>
      </c>
      <c r="K50" s="112">
        <v>110.31</v>
      </c>
      <c r="L50" s="112">
        <v>29.4</v>
      </c>
      <c r="M50" s="112">
        <v>51.2</v>
      </c>
      <c r="N50" s="112">
        <v>544</v>
      </c>
      <c r="O50" s="112">
        <v>0</v>
      </c>
      <c r="P50" s="112">
        <v>0.72</v>
      </c>
      <c r="Q50" s="112">
        <v>4.29</v>
      </c>
    </row>
    <row r="51" spans="1:17" customFormat="1">
      <c r="A51" s="80">
        <v>45601.447916666664</v>
      </c>
      <c r="B51" s="112">
        <v>5.22</v>
      </c>
      <c r="C51" s="112">
        <v>8.0399999999999991</v>
      </c>
      <c r="D51" s="112">
        <v>13.96</v>
      </c>
      <c r="E51" s="112">
        <v>8.3800000000000008</v>
      </c>
      <c r="F51" s="112">
        <v>7.31</v>
      </c>
      <c r="G51" s="112">
        <v>68.16</v>
      </c>
      <c r="H51" s="112">
        <v>23.48</v>
      </c>
      <c r="I51" s="112">
        <v>8.86</v>
      </c>
      <c r="J51" s="112">
        <v>0.28000000000000003</v>
      </c>
      <c r="K51" s="112">
        <v>88.45</v>
      </c>
      <c r="L51" s="112">
        <v>30.22</v>
      </c>
      <c r="M51" s="112">
        <v>49.64</v>
      </c>
      <c r="N51" s="112">
        <v>505.8</v>
      </c>
      <c r="O51" s="112">
        <v>0</v>
      </c>
      <c r="P51" s="112">
        <v>0.71</v>
      </c>
      <c r="Q51" s="112">
        <v>4.29</v>
      </c>
    </row>
    <row r="52" spans="1:17" customFormat="1">
      <c r="A52" s="80">
        <v>45601.458333333336</v>
      </c>
      <c r="B52" s="112">
        <v>5.23</v>
      </c>
      <c r="C52" s="112">
        <v>8.0500000000000007</v>
      </c>
      <c r="D52" s="112">
        <v>13.97</v>
      </c>
      <c r="E52" s="112">
        <v>8.75</v>
      </c>
      <c r="F52" s="112">
        <v>7.59</v>
      </c>
      <c r="G52" s="112">
        <v>68.03</v>
      </c>
      <c r="H52" s="112">
        <v>23.46</v>
      </c>
      <c r="I52" s="112">
        <v>8.73</v>
      </c>
      <c r="J52" s="112">
        <v>0.26</v>
      </c>
      <c r="K52" s="112">
        <v>158.28</v>
      </c>
      <c r="L52" s="112">
        <v>30.72</v>
      </c>
      <c r="M52" s="112">
        <v>47.78</v>
      </c>
      <c r="N52" s="112">
        <v>585.79999999999995</v>
      </c>
      <c r="O52" s="112">
        <v>0</v>
      </c>
      <c r="P52" s="112">
        <v>0.7</v>
      </c>
      <c r="Q52" s="112">
        <v>4.3</v>
      </c>
    </row>
    <row r="53" spans="1:17" customFormat="1">
      <c r="A53" s="80">
        <v>45601.46875</v>
      </c>
      <c r="B53" s="112">
        <v>5.24</v>
      </c>
      <c r="C53" s="112">
        <v>8.06</v>
      </c>
      <c r="D53" s="112">
        <v>13.98</v>
      </c>
      <c r="E53" s="112">
        <v>9.2200000000000006</v>
      </c>
      <c r="F53" s="112">
        <v>8.1</v>
      </c>
      <c r="G53" s="112">
        <v>68.03</v>
      </c>
      <c r="H53" s="112">
        <v>23.46</v>
      </c>
      <c r="I53" s="112">
        <v>8.5299999999999994</v>
      </c>
      <c r="J53" s="112">
        <v>0.67</v>
      </c>
      <c r="K53" s="112">
        <v>46.56</v>
      </c>
      <c r="L53" s="112">
        <v>30.34</v>
      </c>
      <c r="M53" s="112">
        <v>47.21</v>
      </c>
      <c r="N53" s="112">
        <v>594.79999999999995</v>
      </c>
      <c r="O53" s="112">
        <v>0</v>
      </c>
      <c r="P53" s="112">
        <v>0.69</v>
      </c>
      <c r="Q53" s="112">
        <v>4.29</v>
      </c>
    </row>
    <row r="54" spans="1:17" customFormat="1">
      <c r="A54" s="80">
        <v>45601.479166666664</v>
      </c>
      <c r="B54" s="112">
        <v>5.24</v>
      </c>
      <c r="C54" s="112">
        <v>8.0500000000000007</v>
      </c>
      <c r="D54" s="112">
        <v>13.98</v>
      </c>
      <c r="E54" s="112">
        <v>8.58</v>
      </c>
      <c r="F54" s="112">
        <v>9.61</v>
      </c>
      <c r="G54" s="112">
        <v>68.03</v>
      </c>
      <c r="H54" s="112">
        <v>23.46</v>
      </c>
      <c r="I54" s="112">
        <v>8.33</v>
      </c>
      <c r="J54" s="112">
        <v>0.56000000000000005</v>
      </c>
      <c r="K54" s="112">
        <v>13.49</v>
      </c>
      <c r="L54" s="112">
        <v>30.61</v>
      </c>
      <c r="M54" s="112">
        <v>45.21</v>
      </c>
      <c r="N54" s="112">
        <v>585</v>
      </c>
      <c r="O54" s="112">
        <v>0</v>
      </c>
      <c r="P54" s="112">
        <v>0.68</v>
      </c>
      <c r="Q54" s="112">
        <v>4.3099999999999996</v>
      </c>
    </row>
    <row r="55" spans="1:17" customFormat="1">
      <c r="A55" s="80">
        <v>45601.489583333336</v>
      </c>
      <c r="B55" s="112">
        <v>5.23</v>
      </c>
      <c r="C55" s="112">
        <v>8.0500000000000007</v>
      </c>
      <c r="D55" s="112">
        <v>13.97</v>
      </c>
      <c r="E55" s="112">
        <v>8.7799999999999994</v>
      </c>
      <c r="F55" s="112">
        <v>11.56</v>
      </c>
      <c r="G55" s="112">
        <v>65.05</v>
      </c>
      <c r="H55" s="112">
        <v>21.27</v>
      </c>
      <c r="I55" s="112">
        <v>8.1199999999999992</v>
      </c>
      <c r="J55" s="112">
        <v>0.34</v>
      </c>
      <c r="K55" s="112">
        <v>30.5</v>
      </c>
      <c r="L55" s="112">
        <v>30.9</v>
      </c>
      <c r="M55" s="112">
        <v>44.09</v>
      </c>
      <c r="N55" s="112">
        <v>591.9</v>
      </c>
      <c r="O55" s="112">
        <v>0</v>
      </c>
      <c r="P55" s="112">
        <v>0.67</v>
      </c>
      <c r="Q55" s="112">
        <v>4.3099999999999996</v>
      </c>
    </row>
    <row r="56" spans="1:17" customFormat="1">
      <c r="A56" s="80">
        <v>45601.5</v>
      </c>
      <c r="B56" s="112">
        <v>5.24</v>
      </c>
      <c r="C56" s="112">
        <v>8.06</v>
      </c>
      <c r="D56" s="112">
        <v>13.98</v>
      </c>
      <c r="E56" s="112">
        <v>8.94</v>
      </c>
      <c r="F56" s="112">
        <v>10.93</v>
      </c>
      <c r="G56" s="112">
        <v>63.85</v>
      </c>
      <c r="H56" s="112">
        <v>21.11</v>
      </c>
      <c r="I56" s="112">
        <v>7.88</v>
      </c>
      <c r="J56" s="112">
        <v>0.56000000000000005</v>
      </c>
      <c r="K56" s="112">
        <v>18.32</v>
      </c>
      <c r="L56" s="112">
        <v>30.76</v>
      </c>
      <c r="M56" s="112">
        <v>44.13</v>
      </c>
      <c r="N56" s="112">
        <v>582</v>
      </c>
      <c r="O56" s="112">
        <v>0</v>
      </c>
      <c r="P56" s="112">
        <v>0.66</v>
      </c>
      <c r="Q56" s="112">
        <v>4.29</v>
      </c>
    </row>
    <row r="57" spans="1:17" customFormat="1">
      <c r="A57" s="80">
        <v>45601.510416666664</v>
      </c>
      <c r="B57" s="112">
        <v>5.25</v>
      </c>
      <c r="C57" s="112">
        <v>8.08</v>
      </c>
      <c r="D57" s="112">
        <v>14</v>
      </c>
      <c r="E57" s="112">
        <v>9.09</v>
      </c>
      <c r="F57" s="112">
        <v>10.4</v>
      </c>
      <c r="G57" s="112">
        <v>63.85</v>
      </c>
      <c r="H57" s="112">
        <v>21.11</v>
      </c>
      <c r="I57" s="112">
        <v>7.69</v>
      </c>
      <c r="J57" s="112">
        <v>0.7</v>
      </c>
      <c r="K57" s="112">
        <v>33.08</v>
      </c>
      <c r="L57" s="112">
        <v>30.79</v>
      </c>
      <c r="M57" s="112">
        <v>41.08</v>
      </c>
      <c r="N57" s="112">
        <v>504.3</v>
      </c>
      <c r="O57" s="112">
        <v>0</v>
      </c>
      <c r="P57" s="112">
        <v>0.66</v>
      </c>
      <c r="Q57" s="112">
        <v>4.29</v>
      </c>
    </row>
    <row r="58" spans="1:17" customFormat="1">
      <c r="A58" s="80">
        <v>45601.520833333336</v>
      </c>
      <c r="B58" s="112">
        <v>5.26</v>
      </c>
      <c r="C58" s="112">
        <v>8.1</v>
      </c>
      <c r="D58" s="112">
        <v>14.01</v>
      </c>
      <c r="E58" s="112">
        <v>9.58</v>
      </c>
      <c r="F58" s="112">
        <v>11.75</v>
      </c>
      <c r="G58" s="112">
        <v>63.85</v>
      </c>
      <c r="H58" s="112">
        <v>21.11</v>
      </c>
      <c r="I58" s="112">
        <v>7.63</v>
      </c>
      <c r="J58" s="112">
        <v>0.75</v>
      </c>
      <c r="K58" s="112">
        <v>43.95</v>
      </c>
      <c r="L58" s="112">
        <v>30.9</v>
      </c>
      <c r="M58" s="112">
        <v>41.6</v>
      </c>
      <c r="N58" s="112">
        <v>548.79999999999995</v>
      </c>
      <c r="O58" s="112">
        <v>0</v>
      </c>
      <c r="P58" s="112">
        <v>0.65</v>
      </c>
      <c r="Q58" s="112">
        <v>4.3</v>
      </c>
    </row>
    <row r="59" spans="1:17" customFormat="1">
      <c r="A59" s="80">
        <v>45601.53125</v>
      </c>
      <c r="B59" s="112">
        <v>5.25</v>
      </c>
      <c r="C59" s="112">
        <v>8.1</v>
      </c>
      <c r="D59" s="112">
        <v>14.01</v>
      </c>
      <c r="E59" s="112">
        <v>8.7100000000000009</v>
      </c>
      <c r="F59" s="112">
        <v>11.34</v>
      </c>
      <c r="G59" s="112">
        <v>60.7</v>
      </c>
      <c r="H59" s="112">
        <v>17.88</v>
      </c>
      <c r="I59" s="112">
        <v>7.57</v>
      </c>
      <c r="J59" s="112">
        <v>0.39</v>
      </c>
      <c r="K59" s="112">
        <v>46.53</v>
      </c>
      <c r="L59" s="112">
        <v>31.27</v>
      </c>
      <c r="M59" s="112">
        <v>39.409999999999997</v>
      </c>
      <c r="N59" s="112">
        <v>514.9</v>
      </c>
      <c r="O59" s="112">
        <v>0</v>
      </c>
      <c r="P59" s="112">
        <v>0.64</v>
      </c>
      <c r="Q59" s="112">
        <v>4.3099999999999996</v>
      </c>
    </row>
    <row r="60" spans="1:17" customFormat="1">
      <c r="A60" s="80">
        <v>45601.541666666664</v>
      </c>
      <c r="B60" s="112">
        <v>5.25</v>
      </c>
      <c r="C60" s="112">
        <v>8.06</v>
      </c>
      <c r="D60" s="112">
        <v>13.99</v>
      </c>
      <c r="E60" s="112">
        <v>9.3000000000000007</v>
      </c>
      <c r="F60" s="112">
        <v>13.68</v>
      </c>
      <c r="G60" s="112">
        <v>59.42</v>
      </c>
      <c r="H60" s="112">
        <v>17.72</v>
      </c>
      <c r="I60" s="112">
        <v>7.42</v>
      </c>
      <c r="J60" s="112">
        <v>0.71</v>
      </c>
      <c r="K60" s="112">
        <v>11.8</v>
      </c>
      <c r="L60" s="112">
        <v>31.38</v>
      </c>
      <c r="M60" s="112">
        <v>37.99</v>
      </c>
      <c r="N60" s="112">
        <v>500.1</v>
      </c>
      <c r="O60" s="112">
        <v>0</v>
      </c>
      <c r="P60" s="112">
        <v>0.63</v>
      </c>
      <c r="Q60" s="112">
        <v>4.3099999999999996</v>
      </c>
    </row>
    <row r="61" spans="1:17" customFormat="1">
      <c r="A61" s="80">
        <v>45601.552083333336</v>
      </c>
      <c r="B61" s="112">
        <v>5.22</v>
      </c>
      <c r="C61" s="112">
        <v>8.0500000000000007</v>
      </c>
      <c r="D61" s="112">
        <v>13.96</v>
      </c>
      <c r="E61" s="112">
        <v>8.9</v>
      </c>
      <c r="F61" s="112">
        <v>10.71</v>
      </c>
      <c r="G61" s="112">
        <v>59.42</v>
      </c>
      <c r="H61" s="112">
        <v>17.72</v>
      </c>
      <c r="I61" s="112">
        <v>7.23</v>
      </c>
      <c r="J61" s="112">
        <v>0.14000000000000001</v>
      </c>
      <c r="K61" s="112">
        <v>308.45999999999998</v>
      </c>
      <c r="L61" s="112">
        <v>31.76</v>
      </c>
      <c r="M61" s="112">
        <v>38.64</v>
      </c>
      <c r="N61" s="112">
        <v>510.4</v>
      </c>
      <c r="O61" s="112">
        <v>0</v>
      </c>
      <c r="P61" s="112">
        <v>0.62</v>
      </c>
      <c r="Q61" s="112">
        <v>4.3099999999999996</v>
      </c>
    </row>
    <row r="62" spans="1:17" customFormat="1">
      <c r="A62" s="80">
        <v>45601.5625</v>
      </c>
      <c r="B62" s="112">
        <v>5.24</v>
      </c>
      <c r="C62" s="112">
        <v>8.0299999999999994</v>
      </c>
      <c r="D62" s="112">
        <v>13.96</v>
      </c>
      <c r="E62" s="112">
        <v>9.0399999999999991</v>
      </c>
      <c r="F62" s="112">
        <v>11.99</v>
      </c>
      <c r="G62" s="112">
        <v>59.42</v>
      </c>
      <c r="H62" s="112">
        <v>17.72</v>
      </c>
      <c r="I62" s="112">
        <v>7.08</v>
      </c>
      <c r="J62" s="112">
        <v>0.61</v>
      </c>
      <c r="K62" s="112">
        <v>41.96</v>
      </c>
      <c r="L62" s="112">
        <v>31.8</v>
      </c>
      <c r="M62" s="112">
        <v>37.97</v>
      </c>
      <c r="N62" s="112">
        <v>469.4</v>
      </c>
      <c r="O62" s="112">
        <v>0</v>
      </c>
      <c r="P62" s="112">
        <v>0.62</v>
      </c>
      <c r="Q62" s="112">
        <v>4.29</v>
      </c>
    </row>
    <row r="63" spans="1:17" customFormat="1">
      <c r="A63" s="80">
        <v>45601.572916666664</v>
      </c>
      <c r="B63" s="112">
        <v>5.23</v>
      </c>
      <c r="C63" s="112">
        <v>8.0399999999999991</v>
      </c>
      <c r="D63" s="112">
        <v>13.96</v>
      </c>
      <c r="E63" s="112">
        <v>8.73</v>
      </c>
      <c r="F63" s="112">
        <v>11.97</v>
      </c>
      <c r="G63" s="112">
        <v>59.53</v>
      </c>
      <c r="H63" s="112">
        <v>18.28</v>
      </c>
      <c r="I63" s="112">
        <v>7.01</v>
      </c>
      <c r="J63" s="112">
        <v>0.63</v>
      </c>
      <c r="K63" s="112">
        <v>73.41</v>
      </c>
      <c r="L63" s="112">
        <v>31.1</v>
      </c>
      <c r="M63" s="112">
        <v>39.01</v>
      </c>
      <c r="N63" s="112">
        <v>313.10000000000002</v>
      </c>
      <c r="O63" s="112">
        <v>0</v>
      </c>
      <c r="P63" s="112">
        <v>0.6</v>
      </c>
      <c r="Q63" s="112">
        <v>4.29</v>
      </c>
    </row>
    <row r="64" spans="1:17" customFormat="1">
      <c r="A64" s="80">
        <v>45601.583333333336</v>
      </c>
      <c r="B64" s="112">
        <v>5.22</v>
      </c>
      <c r="C64" s="112">
        <v>8.0500000000000007</v>
      </c>
      <c r="D64" s="112">
        <v>13.96</v>
      </c>
      <c r="E64" s="112">
        <v>9.1999999999999993</v>
      </c>
      <c r="F64" s="112">
        <v>12.9</v>
      </c>
      <c r="G64" s="112">
        <v>59.58</v>
      </c>
      <c r="H64" s="112">
        <v>18.309999999999999</v>
      </c>
      <c r="I64" s="112">
        <v>6.92</v>
      </c>
      <c r="J64" s="112">
        <v>0.19</v>
      </c>
      <c r="K64" s="112">
        <v>61.83</v>
      </c>
      <c r="L64" s="112">
        <v>31.36</v>
      </c>
      <c r="M64" s="112">
        <v>37.979999999999997</v>
      </c>
      <c r="N64" s="112">
        <v>276.89999999999998</v>
      </c>
      <c r="O64" s="112">
        <v>0</v>
      </c>
      <c r="P64" s="112">
        <v>0.61</v>
      </c>
      <c r="Q64" s="112">
        <v>4.28</v>
      </c>
    </row>
    <row r="65" spans="1:17" customFormat="1">
      <c r="A65" s="80">
        <v>45601.59375</v>
      </c>
      <c r="B65" s="112">
        <v>5.23</v>
      </c>
      <c r="C65" s="112">
        <v>8.0500000000000007</v>
      </c>
      <c r="D65" s="112">
        <v>13.97</v>
      </c>
      <c r="E65" s="112">
        <v>9.1</v>
      </c>
      <c r="F65" s="112">
        <v>11.83</v>
      </c>
      <c r="G65" s="112">
        <v>59.58</v>
      </c>
      <c r="H65" s="112">
        <v>18.309999999999999</v>
      </c>
      <c r="I65" s="112">
        <v>6.83</v>
      </c>
      <c r="J65" s="112">
        <v>0.4</v>
      </c>
      <c r="K65" s="112">
        <v>67.739999999999995</v>
      </c>
      <c r="L65" s="112">
        <v>31.29</v>
      </c>
      <c r="M65" s="112">
        <v>37.770000000000003</v>
      </c>
      <c r="N65" s="112">
        <v>135</v>
      </c>
      <c r="O65" s="112">
        <v>0</v>
      </c>
      <c r="P65" s="112">
        <v>0.51</v>
      </c>
      <c r="Q65" s="112">
        <v>4.29</v>
      </c>
    </row>
    <row r="66" spans="1:17" customFormat="1">
      <c r="A66" s="80">
        <v>45601.604166666664</v>
      </c>
      <c r="B66" s="112">
        <v>5.21</v>
      </c>
      <c r="C66" s="112">
        <v>8.0399999999999991</v>
      </c>
      <c r="D66" s="112">
        <v>13.94</v>
      </c>
      <c r="E66" s="112">
        <v>9.7799999999999994</v>
      </c>
      <c r="F66" s="112">
        <v>14.68</v>
      </c>
      <c r="G66" s="112">
        <v>59.58</v>
      </c>
      <c r="H66" s="112">
        <v>18.309999999999999</v>
      </c>
      <c r="I66" s="112">
        <v>6.7</v>
      </c>
      <c r="J66" s="112">
        <v>0.41</v>
      </c>
      <c r="K66" s="112">
        <v>48.7</v>
      </c>
      <c r="L66" s="112">
        <v>30.8</v>
      </c>
      <c r="M66" s="112">
        <v>38.96</v>
      </c>
      <c r="N66" s="112">
        <v>111.4</v>
      </c>
      <c r="O66" s="112">
        <v>0</v>
      </c>
      <c r="P66" s="112">
        <v>0.52</v>
      </c>
      <c r="Q66" s="112">
        <v>4.29</v>
      </c>
    </row>
    <row r="67" spans="1:17" customFormat="1">
      <c r="A67" s="80">
        <v>45601.614583333336</v>
      </c>
      <c r="B67" s="112">
        <v>5.22</v>
      </c>
      <c r="C67" s="112">
        <v>8.0299999999999994</v>
      </c>
      <c r="D67" s="112">
        <v>13.95</v>
      </c>
      <c r="E67" s="112">
        <v>10.11</v>
      </c>
      <c r="F67" s="112">
        <v>19.010000000000002</v>
      </c>
      <c r="G67" s="112">
        <v>56.61</v>
      </c>
      <c r="H67" s="112">
        <v>19.059999999999999</v>
      </c>
      <c r="I67" s="112">
        <v>6.49</v>
      </c>
      <c r="J67" s="112">
        <v>0.28999999999999998</v>
      </c>
      <c r="K67" s="112">
        <v>345.56</v>
      </c>
      <c r="L67" s="112">
        <v>30.41</v>
      </c>
      <c r="M67" s="112">
        <v>39.96</v>
      </c>
      <c r="N67" s="112">
        <v>112.1</v>
      </c>
      <c r="O67" s="112">
        <v>0</v>
      </c>
      <c r="P67" s="112">
        <v>0.51</v>
      </c>
      <c r="Q67" s="112">
        <v>4.3</v>
      </c>
    </row>
    <row r="68" spans="1:17" customFormat="1">
      <c r="A68" s="80">
        <v>45601.625</v>
      </c>
      <c r="B68" s="112">
        <v>5.22</v>
      </c>
      <c r="C68" s="112">
        <v>8.06</v>
      </c>
      <c r="D68" s="112">
        <v>13.97</v>
      </c>
      <c r="E68" s="112">
        <v>11.07</v>
      </c>
      <c r="F68" s="112">
        <v>20.39</v>
      </c>
      <c r="G68" s="112">
        <v>55.47</v>
      </c>
      <c r="H68" s="112">
        <v>19.100000000000001</v>
      </c>
      <c r="I68" s="112">
        <v>6.36</v>
      </c>
      <c r="J68" s="112">
        <v>0.47</v>
      </c>
      <c r="K68" s="112">
        <v>44.57</v>
      </c>
      <c r="L68" s="112">
        <v>30.4</v>
      </c>
      <c r="M68" s="112">
        <v>39.14</v>
      </c>
      <c r="N68" s="112">
        <v>83</v>
      </c>
      <c r="O68" s="112">
        <v>0</v>
      </c>
      <c r="P68" s="112">
        <v>0.49</v>
      </c>
      <c r="Q68" s="112">
        <v>4.3</v>
      </c>
    </row>
    <row r="69" spans="1:17" customFormat="1">
      <c r="A69" s="80">
        <v>45601.635416666664</v>
      </c>
      <c r="B69" s="112">
        <v>5.23</v>
      </c>
      <c r="C69" s="112">
        <v>8.0399999999999991</v>
      </c>
      <c r="D69" s="112">
        <v>13.96</v>
      </c>
      <c r="E69" s="112">
        <v>10.43</v>
      </c>
      <c r="F69" s="112">
        <v>14.96</v>
      </c>
      <c r="G69" s="112">
        <v>55.47</v>
      </c>
      <c r="H69" s="112">
        <v>19.100000000000001</v>
      </c>
      <c r="I69" s="112">
        <v>6.29</v>
      </c>
      <c r="J69" s="112">
        <v>0.24</v>
      </c>
      <c r="K69" s="112">
        <v>130.51</v>
      </c>
      <c r="L69" s="112">
        <v>30.1</v>
      </c>
      <c r="M69" s="112">
        <v>42.64</v>
      </c>
      <c r="N69" s="112">
        <v>76.3</v>
      </c>
      <c r="O69" s="112">
        <v>0</v>
      </c>
      <c r="P69" s="112">
        <v>0.49</v>
      </c>
      <c r="Q69" s="112">
        <v>4.3</v>
      </c>
    </row>
    <row r="70" spans="1:17" customFormat="1">
      <c r="A70" s="80">
        <v>45601.645833333336</v>
      </c>
      <c r="B70" s="112">
        <v>5.22</v>
      </c>
      <c r="C70" s="112">
        <v>8.06</v>
      </c>
      <c r="D70" s="112">
        <v>13.97</v>
      </c>
      <c r="E70" s="112">
        <v>10.039999999999999</v>
      </c>
      <c r="F70" s="112">
        <v>15.86</v>
      </c>
      <c r="G70" s="112">
        <v>55.47</v>
      </c>
      <c r="H70" s="112">
        <v>19.100000000000001</v>
      </c>
      <c r="I70" s="112">
        <v>6.26</v>
      </c>
      <c r="J70" s="112">
        <v>0.3</v>
      </c>
      <c r="K70" s="112">
        <v>84.71</v>
      </c>
      <c r="L70" s="112">
        <v>30.07</v>
      </c>
      <c r="M70" s="112">
        <v>41.79</v>
      </c>
      <c r="N70" s="112">
        <v>67.900000000000006</v>
      </c>
      <c r="O70" s="112">
        <v>0</v>
      </c>
      <c r="P70" s="112">
        <v>0.48</v>
      </c>
      <c r="Q70" s="112">
        <v>4.3099999999999996</v>
      </c>
    </row>
    <row r="71" spans="1:17" customFormat="1">
      <c r="A71" s="80">
        <v>45601.65625</v>
      </c>
      <c r="B71" s="112">
        <v>5.23</v>
      </c>
      <c r="C71" s="112">
        <v>8.0500000000000007</v>
      </c>
      <c r="D71" s="112">
        <v>13.97</v>
      </c>
      <c r="E71" s="112">
        <v>9.82</v>
      </c>
      <c r="F71" s="112">
        <v>14.97</v>
      </c>
      <c r="G71" s="112">
        <v>58.27</v>
      </c>
      <c r="H71" s="112">
        <v>18.88</v>
      </c>
      <c r="I71" s="112">
        <v>6.27</v>
      </c>
      <c r="J71" s="112">
        <v>0.34</v>
      </c>
      <c r="K71" s="112">
        <v>68.28</v>
      </c>
      <c r="L71" s="112">
        <v>29.98</v>
      </c>
      <c r="M71" s="112">
        <v>42.36</v>
      </c>
      <c r="N71" s="112">
        <v>57.1</v>
      </c>
      <c r="O71" s="112">
        <v>0</v>
      </c>
      <c r="P71" s="112">
        <v>0.49</v>
      </c>
      <c r="Q71" s="112">
        <v>4.3</v>
      </c>
    </row>
    <row r="72" spans="1:17" customFormat="1">
      <c r="A72" s="80">
        <v>45601.666666666664</v>
      </c>
      <c r="B72" s="112">
        <v>5.23</v>
      </c>
      <c r="C72" s="112">
        <v>8.0299999999999994</v>
      </c>
      <c r="D72" s="112">
        <v>13.96</v>
      </c>
      <c r="E72" s="112">
        <v>10.23</v>
      </c>
      <c r="F72" s="112">
        <v>14.72</v>
      </c>
      <c r="G72" s="112">
        <v>59.4</v>
      </c>
      <c r="H72" s="112">
        <v>18.86</v>
      </c>
      <c r="I72" s="112">
        <v>6.24</v>
      </c>
      <c r="J72" s="112">
        <v>0.22</v>
      </c>
      <c r="K72" s="112">
        <v>85.93</v>
      </c>
      <c r="L72" s="112">
        <v>29.72</v>
      </c>
      <c r="M72" s="112">
        <v>43.75</v>
      </c>
      <c r="N72" s="112">
        <v>46.6</v>
      </c>
      <c r="O72" s="112">
        <v>0</v>
      </c>
      <c r="P72" s="112">
        <v>0.5</v>
      </c>
      <c r="Q72" s="112">
        <v>4.3</v>
      </c>
    </row>
    <row r="73" spans="1:17" customFormat="1">
      <c r="A73" s="80">
        <v>45601.677083333336</v>
      </c>
      <c r="B73" s="112">
        <v>5.23</v>
      </c>
      <c r="C73" s="112">
        <v>8.0399999999999991</v>
      </c>
      <c r="D73" s="112">
        <v>13.97</v>
      </c>
      <c r="E73" s="112">
        <v>9.7899999999999991</v>
      </c>
      <c r="F73" s="112">
        <v>16.690000000000001</v>
      </c>
      <c r="G73" s="112">
        <v>59.4</v>
      </c>
      <c r="H73" s="112">
        <v>18.86</v>
      </c>
      <c r="I73" s="112">
        <v>6.26</v>
      </c>
      <c r="J73" s="112">
        <v>0.41</v>
      </c>
      <c r="K73" s="112">
        <v>58.86</v>
      </c>
      <c r="L73" s="112">
        <v>29.58</v>
      </c>
      <c r="M73" s="112">
        <v>43.82</v>
      </c>
      <c r="N73" s="112">
        <v>36.299999999999997</v>
      </c>
      <c r="O73" s="112">
        <v>0</v>
      </c>
      <c r="P73" s="112">
        <v>0.49</v>
      </c>
      <c r="Q73" s="112">
        <v>4.29</v>
      </c>
    </row>
    <row r="74" spans="1:17" customFormat="1">
      <c r="A74" s="80">
        <v>45601.6875</v>
      </c>
      <c r="B74" s="112">
        <v>5.21</v>
      </c>
      <c r="C74" s="112">
        <v>8.09</v>
      </c>
      <c r="D74" s="112">
        <v>13.97</v>
      </c>
      <c r="E74" s="112">
        <v>9.85</v>
      </c>
      <c r="F74" s="112">
        <v>12.45</v>
      </c>
      <c r="G74" s="112">
        <v>59.4</v>
      </c>
      <c r="H74" s="112">
        <v>18.86</v>
      </c>
      <c r="I74" s="112">
        <v>6.26</v>
      </c>
      <c r="J74" s="112">
        <v>0.31</v>
      </c>
      <c r="K74" s="112">
        <v>68.45</v>
      </c>
      <c r="L74" s="112">
        <v>29.26</v>
      </c>
      <c r="M74" s="112">
        <v>45.61</v>
      </c>
      <c r="N74" s="112">
        <v>25.6</v>
      </c>
      <c r="O74" s="112">
        <v>0</v>
      </c>
      <c r="P74" s="112">
        <v>0.5</v>
      </c>
      <c r="Q74" s="112">
        <v>4.29</v>
      </c>
    </row>
    <row r="75" spans="1:17" customFormat="1">
      <c r="A75" s="80">
        <v>45601.697916666664</v>
      </c>
      <c r="B75" s="112">
        <v>5.21</v>
      </c>
      <c r="C75" s="112">
        <v>8.1</v>
      </c>
      <c r="D75" s="112">
        <v>13.98</v>
      </c>
      <c r="E75" s="112">
        <v>9.66</v>
      </c>
      <c r="F75" s="112">
        <v>18.25</v>
      </c>
      <c r="G75" s="112">
        <v>57.17</v>
      </c>
      <c r="H75" s="112">
        <v>19.07</v>
      </c>
      <c r="I75" s="112">
        <v>6.16</v>
      </c>
      <c r="J75" s="112">
        <v>0.18</v>
      </c>
      <c r="K75" s="112">
        <v>88.61</v>
      </c>
      <c r="L75" s="112">
        <v>28.78</v>
      </c>
      <c r="M75" s="112">
        <v>48.24</v>
      </c>
      <c r="N75" s="112">
        <v>16.7</v>
      </c>
      <c r="O75" s="112">
        <v>0</v>
      </c>
      <c r="P75" s="112">
        <v>0.49</v>
      </c>
      <c r="Q75" s="112">
        <v>4.28</v>
      </c>
    </row>
    <row r="76" spans="1:17" customFormat="1">
      <c r="A76" s="80">
        <v>45601.708333333336</v>
      </c>
      <c r="B76" s="112">
        <v>5.21</v>
      </c>
      <c r="C76" s="112">
        <v>8.09</v>
      </c>
      <c r="D76" s="112">
        <v>13.97</v>
      </c>
      <c r="E76" s="112">
        <v>9.42</v>
      </c>
      <c r="F76" s="112">
        <v>16.34</v>
      </c>
      <c r="G76" s="112">
        <v>56.32</v>
      </c>
      <c r="H76" s="112">
        <v>19.079999999999998</v>
      </c>
      <c r="I76" s="112">
        <v>6.12</v>
      </c>
      <c r="J76" s="112">
        <v>0.14000000000000001</v>
      </c>
      <c r="K76" s="112">
        <v>130.08000000000001</v>
      </c>
      <c r="L76" s="112">
        <v>28.23</v>
      </c>
      <c r="M76" s="112">
        <v>50.41</v>
      </c>
      <c r="N76" s="112">
        <v>9.1</v>
      </c>
      <c r="O76" s="112">
        <v>0</v>
      </c>
      <c r="P76" s="112">
        <v>0.49</v>
      </c>
      <c r="Q76" s="112">
        <v>4.3</v>
      </c>
    </row>
    <row r="77" spans="1:17" customFormat="1">
      <c r="A77" s="80">
        <v>45601.71875</v>
      </c>
      <c r="B77" s="112">
        <v>5.21</v>
      </c>
      <c r="C77" s="112">
        <v>8.06</v>
      </c>
      <c r="D77" s="112">
        <v>13.96</v>
      </c>
      <c r="E77" s="112">
        <v>9.1</v>
      </c>
      <c r="F77" s="112">
        <v>8.6300000000000008</v>
      </c>
      <c r="G77" s="112">
        <v>56.32</v>
      </c>
      <c r="H77" s="112">
        <v>19.079999999999998</v>
      </c>
      <c r="I77" s="112">
        <v>6.17</v>
      </c>
      <c r="J77" s="112">
        <v>0.14000000000000001</v>
      </c>
      <c r="K77" s="112">
        <v>129.97999999999999</v>
      </c>
      <c r="L77" s="112">
        <v>27.9</v>
      </c>
      <c r="M77" s="112">
        <v>52.26</v>
      </c>
      <c r="N77" s="112">
        <v>4.0999999999999996</v>
      </c>
      <c r="O77" s="112">
        <v>0</v>
      </c>
      <c r="P77" s="112">
        <v>0.5</v>
      </c>
      <c r="Q77" s="112">
        <v>4.29</v>
      </c>
    </row>
    <row r="78" spans="1:17" customFormat="1">
      <c r="A78" s="80">
        <v>45601.729166666664</v>
      </c>
      <c r="B78" s="112">
        <v>5.21</v>
      </c>
      <c r="C78" s="112">
        <v>8.09</v>
      </c>
      <c r="D78" s="112">
        <v>13.97</v>
      </c>
      <c r="E78" s="112">
        <v>9.26</v>
      </c>
      <c r="F78" s="112">
        <v>10.42</v>
      </c>
      <c r="G78" s="112">
        <v>56.32</v>
      </c>
      <c r="H78" s="112">
        <v>19.079999999999998</v>
      </c>
      <c r="I78" s="112">
        <v>6.25</v>
      </c>
      <c r="J78" s="112">
        <v>0.21</v>
      </c>
      <c r="K78" s="112">
        <v>155.44999999999999</v>
      </c>
      <c r="L78" s="112">
        <v>27.46</v>
      </c>
      <c r="M78" s="112">
        <v>54.25</v>
      </c>
      <c r="N78" s="112">
        <v>2.2999999999999998</v>
      </c>
      <c r="O78" s="112">
        <v>0</v>
      </c>
      <c r="P78" s="112">
        <v>0.51</v>
      </c>
      <c r="Q78" s="112">
        <v>4.28</v>
      </c>
    </row>
    <row r="79" spans="1:17" customFormat="1">
      <c r="A79" s="80">
        <v>45601.739583333336</v>
      </c>
      <c r="B79" s="112">
        <v>5.21</v>
      </c>
      <c r="C79" s="112">
        <v>8.08</v>
      </c>
      <c r="D79" s="112">
        <v>13.97</v>
      </c>
      <c r="E79" s="112">
        <v>9.36</v>
      </c>
      <c r="F79" s="112">
        <v>10.77</v>
      </c>
      <c r="G79" s="112">
        <v>56.33</v>
      </c>
      <c r="H79" s="112">
        <v>21.85</v>
      </c>
      <c r="I79" s="112">
        <v>6.31</v>
      </c>
      <c r="J79" s="112">
        <v>0.14000000000000001</v>
      </c>
      <c r="K79" s="112">
        <v>147.86000000000001</v>
      </c>
      <c r="L79" s="112">
        <v>27.01</v>
      </c>
      <c r="M79" s="112">
        <v>55.37</v>
      </c>
      <c r="N79" s="112">
        <v>1.8</v>
      </c>
      <c r="O79" s="112">
        <v>0</v>
      </c>
      <c r="P79" s="112">
        <v>0.51</v>
      </c>
      <c r="Q79" s="112">
        <v>4.28</v>
      </c>
    </row>
    <row r="80" spans="1:17" customFormat="1">
      <c r="A80" s="80">
        <v>45601.75</v>
      </c>
      <c r="B80" s="112">
        <v>5.2</v>
      </c>
      <c r="C80" s="112">
        <v>8.1</v>
      </c>
      <c r="D80" s="112">
        <v>13.97</v>
      </c>
      <c r="E80" s="112">
        <v>9.36</v>
      </c>
      <c r="F80" s="112">
        <v>7.45</v>
      </c>
      <c r="G80" s="112">
        <v>56.33</v>
      </c>
      <c r="H80" s="112">
        <v>22.05</v>
      </c>
      <c r="I80" s="112">
        <v>6.36</v>
      </c>
      <c r="J80" s="112">
        <v>0.14000000000000001</v>
      </c>
      <c r="K80" s="112">
        <v>158.84</v>
      </c>
      <c r="L80" s="112">
        <v>26.69</v>
      </c>
      <c r="M80" s="112">
        <v>57.86</v>
      </c>
      <c r="N80" s="112">
        <v>1.9</v>
      </c>
      <c r="O80" s="112">
        <v>0</v>
      </c>
      <c r="P80" s="112">
        <v>0.52</v>
      </c>
      <c r="Q80" s="112">
        <v>4.28</v>
      </c>
    </row>
    <row r="81" spans="1:17" customFormat="1">
      <c r="A81" s="80">
        <v>45601.760416666664</v>
      </c>
      <c r="B81" s="112">
        <v>5.2</v>
      </c>
      <c r="C81" s="112">
        <v>8.1</v>
      </c>
      <c r="D81" s="112">
        <v>13.97</v>
      </c>
      <c r="E81" s="112">
        <v>8.6</v>
      </c>
      <c r="F81" s="112">
        <v>7.11</v>
      </c>
      <c r="G81" s="112">
        <v>56.33</v>
      </c>
      <c r="H81" s="112">
        <v>22.05</v>
      </c>
      <c r="I81" s="112">
        <v>6.39</v>
      </c>
      <c r="J81" s="112">
        <v>0.13</v>
      </c>
      <c r="K81" s="112">
        <v>153.37</v>
      </c>
      <c r="L81" s="112">
        <v>26.16</v>
      </c>
      <c r="M81" s="112">
        <v>61.56</v>
      </c>
      <c r="N81" s="112">
        <v>1.9</v>
      </c>
      <c r="O81" s="112">
        <v>0</v>
      </c>
      <c r="P81" s="112">
        <v>0.51</v>
      </c>
      <c r="Q81" s="112">
        <v>4.3</v>
      </c>
    </row>
    <row r="82" spans="1:17" customFormat="1">
      <c r="A82" s="80">
        <v>45601.770833333336</v>
      </c>
      <c r="B82" s="112">
        <v>5.23</v>
      </c>
      <c r="C82" s="112">
        <v>8.06</v>
      </c>
      <c r="D82" s="112">
        <v>13.97</v>
      </c>
      <c r="E82" s="112">
        <v>10.36</v>
      </c>
      <c r="F82" s="112">
        <v>6.18</v>
      </c>
      <c r="G82" s="112">
        <v>56.33</v>
      </c>
      <c r="H82" s="112">
        <v>22.05</v>
      </c>
      <c r="I82" s="112">
        <v>6.51</v>
      </c>
      <c r="J82" s="112">
        <v>0.09</v>
      </c>
      <c r="K82" s="112">
        <v>93.34</v>
      </c>
      <c r="L82" s="112">
        <v>25.91</v>
      </c>
      <c r="M82" s="112">
        <v>62.55</v>
      </c>
      <c r="N82" s="112">
        <v>1.7</v>
      </c>
      <c r="O82" s="112">
        <v>0</v>
      </c>
      <c r="P82" s="112">
        <v>0.56000000000000005</v>
      </c>
      <c r="Q82" s="112">
        <v>4.29</v>
      </c>
    </row>
    <row r="83" spans="1:17" customFormat="1">
      <c r="A83" s="80">
        <v>45601.78125</v>
      </c>
      <c r="B83" s="112">
        <v>5.22</v>
      </c>
      <c r="C83" s="112">
        <v>8.0500000000000007</v>
      </c>
      <c r="D83" s="112">
        <v>13.96</v>
      </c>
      <c r="E83" s="112">
        <v>10.48</v>
      </c>
      <c r="F83" s="112">
        <v>6.09</v>
      </c>
      <c r="G83" s="112">
        <v>58.3</v>
      </c>
      <c r="H83" s="112">
        <v>25.35</v>
      </c>
      <c r="I83" s="112">
        <v>6.56</v>
      </c>
      <c r="J83" s="112">
        <v>0.12</v>
      </c>
      <c r="K83" s="112">
        <v>128.36000000000001</v>
      </c>
      <c r="L83" s="112">
        <v>25.76</v>
      </c>
      <c r="M83" s="112">
        <v>63.57</v>
      </c>
      <c r="N83" s="112">
        <v>1.7</v>
      </c>
      <c r="O83" s="112">
        <v>0</v>
      </c>
      <c r="P83" s="112">
        <v>0.57999999999999996</v>
      </c>
      <c r="Q83" s="112">
        <v>4.29</v>
      </c>
    </row>
    <row r="84" spans="1:17" customFormat="1">
      <c r="A84" s="80">
        <v>45601.791666666664</v>
      </c>
      <c r="B84" s="112">
        <v>5.22</v>
      </c>
      <c r="C84" s="112">
        <v>8.06</v>
      </c>
      <c r="D84" s="112">
        <v>13.96</v>
      </c>
      <c r="E84" s="112">
        <v>11.03</v>
      </c>
      <c r="F84" s="112">
        <v>5.88</v>
      </c>
      <c r="G84" s="112">
        <v>59.05</v>
      </c>
      <c r="H84" s="112">
        <v>25.51</v>
      </c>
      <c r="I84" s="112">
        <v>6.73</v>
      </c>
      <c r="J84" s="112">
        <v>0.13</v>
      </c>
      <c r="K84" s="112">
        <v>140.09</v>
      </c>
      <c r="L84" s="112">
        <v>25.54</v>
      </c>
      <c r="M84" s="112">
        <v>64.87</v>
      </c>
      <c r="N84" s="112">
        <v>1.7</v>
      </c>
      <c r="O84" s="112">
        <v>0</v>
      </c>
      <c r="P84" s="112">
        <v>0.56999999999999995</v>
      </c>
      <c r="Q84" s="112">
        <v>4.28</v>
      </c>
    </row>
    <row r="85" spans="1:17" customFormat="1">
      <c r="A85" s="80">
        <v>45601.802083333336</v>
      </c>
      <c r="B85" s="112">
        <v>5.23</v>
      </c>
      <c r="C85" s="112">
        <v>8.06</v>
      </c>
      <c r="D85" s="112">
        <v>13.97</v>
      </c>
      <c r="E85" s="112">
        <v>10.6</v>
      </c>
      <c r="F85" s="112">
        <v>6.61</v>
      </c>
      <c r="G85" s="112">
        <v>59.05</v>
      </c>
      <c r="H85" s="112">
        <v>25.51</v>
      </c>
      <c r="I85" s="112">
        <v>6.87</v>
      </c>
      <c r="J85" s="112">
        <v>0.28000000000000003</v>
      </c>
      <c r="K85" s="112">
        <v>56.12</v>
      </c>
      <c r="L85" s="112">
        <v>25.87</v>
      </c>
      <c r="M85" s="112">
        <v>60.3</v>
      </c>
      <c r="N85" s="112">
        <v>1.1000000000000001</v>
      </c>
      <c r="O85" s="112">
        <v>0</v>
      </c>
      <c r="P85" s="112">
        <v>0.6</v>
      </c>
      <c r="Q85" s="112">
        <v>4.29</v>
      </c>
    </row>
    <row r="86" spans="1:17" customFormat="1">
      <c r="A86" s="80">
        <v>45601.8125</v>
      </c>
      <c r="B86" s="112">
        <v>5.24</v>
      </c>
      <c r="C86" s="112">
        <v>8.0500000000000007</v>
      </c>
      <c r="D86" s="112">
        <v>13.97</v>
      </c>
      <c r="E86" s="112">
        <v>9.75</v>
      </c>
      <c r="F86" s="112">
        <v>7.36</v>
      </c>
      <c r="G86" s="112">
        <v>59.05</v>
      </c>
      <c r="H86" s="112">
        <v>25.51</v>
      </c>
      <c r="I86" s="112">
        <v>6.96</v>
      </c>
      <c r="J86" s="112">
        <v>0.34</v>
      </c>
      <c r="K86" s="112">
        <v>45.36</v>
      </c>
      <c r="L86" s="112">
        <v>25.71</v>
      </c>
      <c r="M86" s="112">
        <v>60.37</v>
      </c>
      <c r="N86" s="112">
        <v>1.6</v>
      </c>
      <c r="O86" s="112">
        <v>0</v>
      </c>
      <c r="P86" s="112">
        <v>0.62</v>
      </c>
      <c r="Q86" s="112">
        <v>4.28</v>
      </c>
    </row>
    <row r="87" spans="1:17" customFormat="1">
      <c r="A87" s="80">
        <v>45601.822916666664</v>
      </c>
      <c r="B87" s="112">
        <v>5.23</v>
      </c>
      <c r="C87" s="112">
        <v>8.07</v>
      </c>
      <c r="D87" s="112">
        <v>13.97</v>
      </c>
      <c r="E87" s="112">
        <v>9.9499999999999993</v>
      </c>
      <c r="F87" s="112">
        <v>6.31</v>
      </c>
      <c r="G87" s="112">
        <v>70.510000000000005</v>
      </c>
      <c r="H87" s="112">
        <v>22.5</v>
      </c>
      <c r="I87" s="112">
        <v>7.19</v>
      </c>
      <c r="J87" s="112">
        <v>0.35</v>
      </c>
      <c r="K87" s="112">
        <v>57.43</v>
      </c>
      <c r="L87" s="112">
        <v>25.58</v>
      </c>
      <c r="M87" s="112">
        <v>61.57</v>
      </c>
      <c r="N87" s="112">
        <v>1.6</v>
      </c>
      <c r="O87" s="112">
        <v>0</v>
      </c>
      <c r="P87" s="112">
        <v>0.64</v>
      </c>
      <c r="Q87" s="112">
        <v>4.29</v>
      </c>
    </row>
    <row r="88" spans="1:17" customFormat="1">
      <c r="A88" s="80">
        <v>45601.833333333336</v>
      </c>
      <c r="B88" s="112">
        <v>5.23</v>
      </c>
      <c r="C88" s="112">
        <v>8.08</v>
      </c>
      <c r="D88" s="112">
        <v>13.98</v>
      </c>
      <c r="E88" s="112">
        <v>9.92</v>
      </c>
      <c r="F88" s="112">
        <v>6.18</v>
      </c>
      <c r="G88" s="112">
        <v>75.17</v>
      </c>
      <c r="H88" s="112">
        <v>22.35</v>
      </c>
      <c r="I88" s="112">
        <v>7.43</v>
      </c>
      <c r="J88" s="112">
        <v>0.3</v>
      </c>
      <c r="K88" s="112">
        <v>54.89</v>
      </c>
      <c r="L88" s="112">
        <v>25.48</v>
      </c>
      <c r="M88" s="112">
        <v>61.66</v>
      </c>
      <c r="N88" s="112">
        <v>1.6</v>
      </c>
      <c r="O88" s="112">
        <v>0</v>
      </c>
      <c r="P88" s="112">
        <v>0.65</v>
      </c>
      <c r="Q88" s="112">
        <v>4.3</v>
      </c>
    </row>
    <row r="89" spans="1:17" customFormat="1">
      <c r="A89" s="80">
        <v>45601.84375</v>
      </c>
      <c r="B89" s="112">
        <v>5.23</v>
      </c>
      <c r="C89" s="112">
        <v>8.07</v>
      </c>
      <c r="D89" s="112">
        <v>13.98</v>
      </c>
      <c r="E89" s="112">
        <v>9.7899999999999991</v>
      </c>
      <c r="F89" s="112">
        <v>6.27</v>
      </c>
      <c r="G89" s="112">
        <v>75.17</v>
      </c>
      <c r="H89" s="112">
        <v>22.35</v>
      </c>
      <c r="I89" s="112">
        <v>7.59</v>
      </c>
      <c r="J89" s="112">
        <v>0.26</v>
      </c>
      <c r="K89" s="112">
        <v>74.88</v>
      </c>
      <c r="L89" s="112">
        <v>25.47</v>
      </c>
      <c r="M89" s="112">
        <v>62.7</v>
      </c>
      <c r="N89" s="112">
        <v>1.7</v>
      </c>
      <c r="O89" s="112">
        <v>0</v>
      </c>
      <c r="P89" s="112">
        <v>0.66</v>
      </c>
      <c r="Q89" s="112">
        <v>4.3099999999999996</v>
      </c>
    </row>
    <row r="90" spans="1:17" customFormat="1">
      <c r="A90" s="80">
        <v>45601.854166666664</v>
      </c>
      <c r="B90" s="112">
        <v>5.23</v>
      </c>
      <c r="C90" s="112">
        <v>8.0500000000000007</v>
      </c>
      <c r="D90" s="112">
        <v>13.97</v>
      </c>
      <c r="E90" s="112">
        <v>9.64</v>
      </c>
      <c r="F90" s="112">
        <v>6.34</v>
      </c>
      <c r="G90" s="112">
        <v>75.17</v>
      </c>
      <c r="H90" s="112">
        <v>22.35</v>
      </c>
      <c r="I90" s="112">
        <v>7.72</v>
      </c>
      <c r="J90" s="112">
        <v>0.25</v>
      </c>
      <c r="K90" s="112">
        <v>74.94</v>
      </c>
      <c r="L90" s="112">
        <v>25.26</v>
      </c>
      <c r="M90" s="112">
        <v>63.97</v>
      </c>
      <c r="N90" s="112">
        <v>1.7</v>
      </c>
      <c r="O90" s="112">
        <v>0</v>
      </c>
      <c r="P90" s="112">
        <v>0.66</v>
      </c>
      <c r="Q90" s="112">
        <v>4.29</v>
      </c>
    </row>
    <row r="91" spans="1:17" customFormat="1">
      <c r="A91" s="80">
        <v>45601.864583333336</v>
      </c>
      <c r="B91" s="112">
        <v>5.22</v>
      </c>
      <c r="C91" s="112">
        <v>8.07</v>
      </c>
      <c r="D91" s="112">
        <v>13.97</v>
      </c>
      <c r="E91" s="112">
        <v>9.94</v>
      </c>
      <c r="F91" s="112">
        <v>6.2</v>
      </c>
      <c r="G91" s="112">
        <v>79.97</v>
      </c>
      <c r="H91" s="112">
        <v>25.8</v>
      </c>
      <c r="I91" s="112">
        <v>7.79</v>
      </c>
      <c r="J91" s="112">
        <v>0.38</v>
      </c>
      <c r="K91" s="112">
        <v>64.81</v>
      </c>
      <c r="L91" s="112">
        <v>24.92</v>
      </c>
      <c r="M91" s="112">
        <v>64.98</v>
      </c>
      <c r="N91" s="112">
        <v>1.7</v>
      </c>
      <c r="O91" s="112">
        <v>0</v>
      </c>
      <c r="P91" s="112">
        <v>0.67</v>
      </c>
      <c r="Q91" s="112">
        <v>4.29</v>
      </c>
    </row>
    <row r="92" spans="1:17" customFormat="1">
      <c r="A92" s="80">
        <v>45601.875</v>
      </c>
      <c r="B92" s="112">
        <v>5.23</v>
      </c>
      <c r="C92" s="112">
        <v>8.07</v>
      </c>
      <c r="D92" s="112">
        <v>13.98</v>
      </c>
      <c r="E92" s="112">
        <v>9.7899999999999991</v>
      </c>
      <c r="F92" s="112">
        <v>6.29</v>
      </c>
      <c r="G92" s="112">
        <v>81.92</v>
      </c>
      <c r="H92" s="112">
        <v>25.96</v>
      </c>
      <c r="I92" s="112">
        <v>7.82</v>
      </c>
      <c r="J92" s="112">
        <v>0.35</v>
      </c>
      <c r="K92" s="112">
        <v>62.06</v>
      </c>
      <c r="L92" s="112">
        <v>24.76</v>
      </c>
      <c r="M92" s="112">
        <v>66.11</v>
      </c>
      <c r="N92" s="112">
        <v>1.7</v>
      </c>
      <c r="O92" s="112">
        <v>0</v>
      </c>
      <c r="P92" s="112">
        <v>0.68</v>
      </c>
      <c r="Q92" s="112">
        <v>4.29</v>
      </c>
    </row>
    <row r="93" spans="1:17" customFormat="1">
      <c r="A93" s="80">
        <v>45601.885416666664</v>
      </c>
      <c r="B93" s="112">
        <v>5.24</v>
      </c>
      <c r="C93" s="112">
        <v>8.0500000000000007</v>
      </c>
      <c r="D93" s="112">
        <v>13.98</v>
      </c>
      <c r="E93" s="112">
        <v>9.74</v>
      </c>
      <c r="F93" s="112">
        <v>6.55</v>
      </c>
      <c r="G93" s="112">
        <v>81.92</v>
      </c>
      <c r="H93" s="112">
        <v>25.96</v>
      </c>
      <c r="I93" s="112">
        <v>7.84</v>
      </c>
      <c r="J93" s="112">
        <v>0.48</v>
      </c>
      <c r="K93" s="112">
        <v>59.65</v>
      </c>
      <c r="L93" s="112">
        <v>24.76</v>
      </c>
      <c r="M93" s="112">
        <v>66.760000000000005</v>
      </c>
      <c r="N93" s="112">
        <v>1.6</v>
      </c>
      <c r="O93" s="112">
        <v>0</v>
      </c>
      <c r="P93" s="112">
        <v>0.67</v>
      </c>
      <c r="Q93" s="112">
        <v>4.3099999999999996</v>
      </c>
    </row>
    <row r="94" spans="1:17" customFormat="1">
      <c r="A94" s="80">
        <v>45601.895833333336</v>
      </c>
      <c r="B94" s="112">
        <v>5.23</v>
      </c>
      <c r="C94" s="112">
        <v>8.08</v>
      </c>
      <c r="D94" s="112">
        <v>13.98</v>
      </c>
      <c r="E94" s="112">
        <v>9.8000000000000007</v>
      </c>
      <c r="F94" s="112">
        <v>6.35</v>
      </c>
      <c r="G94" s="112">
        <v>81.92</v>
      </c>
      <c r="H94" s="112">
        <v>25.96</v>
      </c>
      <c r="I94" s="112">
        <v>7.84</v>
      </c>
      <c r="J94" s="112">
        <v>0.56000000000000005</v>
      </c>
      <c r="K94" s="112">
        <v>56.6</v>
      </c>
      <c r="L94" s="112">
        <v>24.42</v>
      </c>
      <c r="M94" s="112">
        <v>69.069999999999993</v>
      </c>
      <c r="N94" s="112">
        <v>1.7</v>
      </c>
      <c r="O94" s="112">
        <v>0</v>
      </c>
      <c r="P94" s="112">
        <v>0.67</v>
      </c>
      <c r="Q94" s="112">
        <v>4.3099999999999996</v>
      </c>
    </row>
    <row r="95" spans="1:17" customFormat="1">
      <c r="A95" s="80">
        <v>45601.90625</v>
      </c>
      <c r="B95" s="112">
        <v>5.21</v>
      </c>
      <c r="C95" s="112">
        <v>8.1</v>
      </c>
      <c r="D95" s="112">
        <v>13.98</v>
      </c>
      <c r="E95" s="112">
        <v>9.5</v>
      </c>
      <c r="F95" s="112">
        <v>6.1</v>
      </c>
      <c r="G95" s="112">
        <v>81.56</v>
      </c>
      <c r="H95" s="112">
        <v>27.2</v>
      </c>
      <c r="I95" s="112">
        <v>7.8</v>
      </c>
      <c r="J95" s="112">
        <v>0.5</v>
      </c>
      <c r="K95" s="112">
        <v>55.22</v>
      </c>
      <c r="L95" s="112">
        <v>24.25</v>
      </c>
      <c r="M95" s="112">
        <v>70.16</v>
      </c>
      <c r="N95" s="112">
        <v>1.7</v>
      </c>
      <c r="O95" s="112">
        <v>0</v>
      </c>
      <c r="P95" s="112">
        <v>0.67</v>
      </c>
      <c r="Q95" s="112">
        <v>4.3</v>
      </c>
    </row>
    <row r="96" spans="1:17" customFormat="1">
      <c r="A96" s="80">
        <v>45601.916666666664</v>
      </c>
      <c r="B96" s="112">
        <v>5.21</v>
      </c>
      <c r="C96" s="112">
        <v>8.1</v>
      </c>
      <c r="D96" s="112">
        <v>13.97</v>
      </c>
      <c r="E96" s="112">
        <v>9.43</v>
      </c>
      <c r="F96" s="112">
        <v>5.95</v>
      </c>
      <c r="G96" s="112">
        <v>81.42</v>
      </c>
      <c r="H96" s="112">
        <v>27.26</v>
      </c>
      <c r="I96" s="112">
        <v>7.73</v>
      </c>
      <c r="J96" s="112">
        <v>0.22</v>
      </c>
      <c r="K96" s="112">
        <v>69.650000000000006</v>
      </c>
      <c r="L96" s="112">
        <v>24.26</v>
      </c>
      <c r="M96" s="112">
        <v>70.959999999999994</v>
      </c>
      <c r="N96" s="112">
        <v>1.6</v>
      </c>
      <c r="O96" s="112">
        <v>0</v>
      </c>
      <c r="P96" s="112">
        <v>0.67</v>
      </c>
      <c r="Q96" s="112">
        <v>4.29</v>
      </c>
    </row>
    <row r="97" spans="1:22" customFormat="1">
      <c r="A97" s="80">
        <v>45601.927083333336</v>
      </c>
      <c r="B97" s="112">
        <v>5.21</v>
      </c>
      <c r="C97" s="112">
        <v>8.1</v>
      </c>
      <c r="D97" s="112">
        <v>13.98</v>
      </c>
      <c r="E97" s="112">
        <v>9.57</v>
      </c>
      <c r="F97" s="112">
        <v>6.29</v>
      </c>
      <c r="G97" s="112">
        <v>81.42</v>
      </c>
      <c r="H97" s="112">
        <v>27.26</v>
      </c>
      <c r="I97" s="112">
        <v>7.69</v>
      </c>
      <c r="J97" s="112">
        <v>0.21</v>
      </c>
      <c r="K97" s="112">
        <v>172.49</v>
      </c>
      <c r="L97" s="112">
        <v>24.2</v>
      </c>
      <c r="M97" s="112">
        <v>71.78</v>
      </c>
      <c r="N97" s="112">
        <v>1.7</v>
      </c>
      <c r="O97" s="112">
        <v>0</v>
      </c>
      <c r="P97" s="112">
        <v>0.67</v>
      </c>
      <c r="Q97" s="112">
        <v>4.28</v>
      </c>
    </row>
    <row r="98" spans="1:22" customFormat="1">
      <c r="A98" s="80">
        <v>45601.9375</v>
      </c>
      <c r="B98" s="112">
        <v>5.24</v>
      </c>
      <c r="C98" s="112">
        <v>8.07</v>
      </c>
      <c r="D98" s="112">
        <v>13.98</v>
      </c>
      <c r="E98" s="112">
        <v>9.7899999999999991</v>
      </c>
      <c r="F98" s="112">
        <v>6.46</v>
      </c>
      <c r="G98" s="112">
        <v>81.42</v>
      </c>
      <c r="H98" s="112">
        <v>27.26</v>
      </c>
      <c r="I98" s="112">
        <v>7.66</v>
      </c>
      <c r="J98" s="112">
        <v>0.15</v>
      </c>
      <c r="K98" s="112">
        <v>167.57</v>
      </c>
      <c r="L98" s="112">
        <v>23.82</v>
      </c>
      <c r="M98" s="112">
        <v>73.27</v>
      </c>
      <c r="N98" s="112">
        <v>1.9</v>
      </c>
      <c r="O98" s="112">
        <v>0</v>
      </c>
      <c r="P98" s="112">
        <v>0.66</v>
      </c>
      <c r="Q98" s="112">
        <v>4.3</v>
      </c>
    </row>
    <row r="99" spans="1:22" customFormat="1">
      <c r="A99" s="80">
        <v>45601.947916666664</v>
      </c>
      <c r="B99" s="112">
        <v>5.24</v>
      </c>
      <c r="C99" s="112">
        <v>8.07</v>
      </c>
      <c r="D99" s="112">
        <v>13.99</v>
      </c>
      <c r="E99" s="112">
        <v>9.6</v>
      </c>
      <c r="F99" s="112">
        <v>6.48</v>
      </c>
      <c r="G99" s="112">
        <v>77.52</v>
      </c>
      <c r="H99" s="112">
        <v>26.98</v>
      </c>
      <c r="I99" s="112">
        <v>7.63</v>
      </c>
      <c r="J99" s="112">
        <v>0.12</v>
      </c>
      <c r="K99" s="112">
        <v>180.27</v>
      </c>
      <c r="L99" s="112">
        <v>23.47</v>
      </c>
      <c r="M99" s="112">
        <v>74.739999999999995</v>
      </c>
      <c r="N99" s="112">
        <v>1.7</v>
      </c>
      <c r="O99" s="112">
        <v>0</v>
      </c>
      <c r="P99" s="112">
        <v>0.65</v>
      </c>
      <c r="Q99" s="112">
        <v>4.29</v>
      </c>
    </row>
    <row r="100" spans="1:22" customFormat="1">
      <c r="A100" s="80">
        <v>45601.958333333336</v>
      </c>
      <c r="B100" s="112">
        <v>5.22</v>
      </c>
      <c r="C100" s="112">
        <v>8.07</v>
      </c>
      <c r="D100" s="112">
        <v>13.97</v>
      </c>
      <c r="E100" s="112">
        <v>9.5500000000000007</v>
      </c>
      <c r="F100" s="112">
        <v>6.4</v>
      </c>
      <c r="G100" s="112">
        <v>75.930000000000007</v>
      </c>
      <c r="H100" s="112">
        <v>26.96</v>
      </c>
      <c r="I100" s="112">
        <v>7.57</v>
      </c>
      <c r="J100" s="112">
        <v>0.11</v>
      </c>
      <c r="K100" s="112">
        <v>209.38</v>
      </c>
      <c r="L100" s="112">
        <v>23</v>
      </c>
      <c r="M100" s="112">
        <v>78.27</v>
      </c>
      <c r="N100" s="112">
        <v>1.7</v>
      </c>
      <c r="O100" s="112">
        <v>0</v>
      </c>
      <c r="P100" s="112">
        <v>0.64</v>
      </c>
      <c r="Q100" s="112">
        <v>4.29</v>
      </c>
    </row>
    <row r="101" spans="1:22" customFormat="1">
      <c r="A101" s="80">
        <v>45601.96875</v>
      </c>
      <c r="B101" s="112">
        <v>5.23</v>
      </c>
      <c r="C101" s="112">
        <v>8.0500000000000007</v>
      </c>
      <c r="D101" s="112">
        <v>13.97</v>
      </c>
      <c r="E101" s="112">
        <v>9.8800000000000008</v>
      </c>
      <c r="F101" s="112">
        <v>6.4</v>
      </c>
      <c r="G101" s="112">
        <v>75.930000000000007</v>
      </c>
      <c r="H101" s="112">
        <v>26.96</v>
      </c>
      <c r="I101" s="112">
        <v>7.47</v>
      </c>
      <c r="J101" s="112">
        <v>0.19</v>
      </c>
      <c r="K101" s="112">
        <v>192.11</v>
      </c>
      <c r="L101" s="112">
        <v>22.86</v>
      </c>
      <c r="M101" s="112">
        <v>79.14</v>
      </c>
      <c r="N101" s="112">
        <v>1.6</v>
      </c>
      <c r="O101" s="112">
        <v>0</v>
      </c>
      <c r="P101" s="112">
        <v>0.64</v>
      </c>
      <c r="Q101" s="112">
        <v>4.3</v>
      </c>
    </row>
    <row r="102" spans="1:22" customFormat="1">
      <c r="A102" s="80">
        <v>45601.979166666664</v>
      </c>
      <c r="B102" s="112">
        <v>5.23</v>
      </c>
      <c r="C102" s="112">
        <v>8.07</v>
      </c>
      <c r="D102" s="112">
        <v>13.98</v>
      </c>
      <c r="E102" s="112">
        <v>9.84</v>
      </c>
      <c r="F102" s="112">
        <v>6.3</v>
      </c>
      <c r="G102" s="112">
        <v>75.930000000000007</v>
      </c>
      <c r="H102" s="112">
        <v>26.96</v>
      </c>
      <c r="I102" s="112">
        <v>7.39</v>
      </c>
      <c r="J102" s="112">
        <v>0.22</v>
      </c>
      <c r="K102" s="112">
        <v>216.69</v>
      </c>
      <c r="L102" s="112">
        <v>22.53</v>
      </c>
      <c r="M102" s="112">
        <v>84.16</v>
      </c>
      <c r="N102" s="112">
        <v>1.8</v>
      </c>
      <c r="O102" s="112">
        <v>0</v>
      </c>
      <c r="P102" s="112">
        <v>0.62</v>
      </c>
      <c r="Q102" s="112">
        <v>4.29</v>
      </c>
    </row>
    <row r="103" spans="1:22" customFormat="1">
      <c r="A103" s="80">
        <v>45601.989583333336</v>
      </c>
      <c r="B103" s="112">
        <v>5.25</v>
      </c>
      <c r="C103" s="112">
        <v>8.02</v>
      </c>
      <c r="D103" s="112">
        <v>13.97</v>
      </c>
      <c r="E103" s="112">
        <v>9.6199999999999992</v>
      </c>
      <c r="F103" s="112">
        <v>6.08</v>
      </c>
      <c r="G103" s="112">
        <v>72</v>
      </c>
      <c r="H103" s="112">
        <v>26.71</v>
      </c>
      <c r="I103" s="112">
        <v>7.31</v>
      </c>
      <c r="J103" s="112">
        <v>0.17</v>
      </c>
      <c r="K103" s="112">
        <v>225.09</v>
      </c>
      <c r="L103" s="112">
        <v>22.26</v>
      </c>
      <c r="M103" s="112">
        <v>85.97</v>
      </c>
      <c r="N103" s="112">
        <v>1.7</v>
      </c>
      <c r="O103" s="112">
        <v>0</v>
      </c>
      <c r="P103" s="112">
        <v>0.62</v>
      </c>
      <c r="Q103" s="112">
        <v>4.28</v>
      </c>
    </row>
    <row r="104" spans="1:22" customFormat="1">
      <c r="A104" s="80">
        <v>45602</v>
      </c>
      <c r="B104" s="112">
        <v>5.23</v>
      </c>
      <c r="C104" s="112">
        <v>8.0500000000000007</v>
      </c>
      <c r="D104" s="112">
        <v>13.97</v>
      </c>
      <c r="E104" s="112">
        <v>10.02</v>
      </c>
      <c r="F104" s="112">
        <v>6.03</v>
      </c>
      <c r="G104" s="112">
        <v>70.41</v>
      </c>
      <c r="H104" s="112">
        <v>26.69</v>
      </c>
      <c r="I104" s="112">
        <v>7.22</v>
      </c>
      <c r="J104" s="112">
        <v>0.14000000000000001</v>
      </c>
      <c r="K104" s="112">
        <v>179.15</v>
      </c>
      <c r="L104" s="112">
        <v>22.25</v>
      </c>
      <c r="M104" s="112">
        <v>83.92</v>
      </c>
      <c r="N104" s="112">
        <v>1.5</v>
      </c>
      <c r="O104" s="112">
        <v>0</v>
      </c>
      <c r="P104" s="112">
        <v>0.61</v>
      </c>
      <c r="Q104" s="112">
        <v>4.2699999999999996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</v>
      </c>
      <c r="C106" s="183">
        <f>MIN(C9:C104)</f>
        <v>8.01</v>
      </c>
      <c r="D106" s="183">
        <f t="shared" ref="D106:Q106" si="0">MIN(D9:D104)</f>
        <v>13.94</v>
      </c>
      <c r="E106" s="183">
        <f t="shared" si="0"/>
        <v>6.95</v>
      </c>
      <c r="F106" s="183">
        <f t="shared" si="0"/>
        <v>5.29</v>
      </c>
      <c r="G106" s="183">
        <f t="shared" si="0"/>
        <v>55.47</v>
      </c>
      <c r="H106" s="183">
        <f t="shared" si="0"/>
        <v>17.72</v>
      </c>
      <c r="I106" s="183">
        <f t="shared" si="0"/>
        <v>6.12</v>
      </c>
      <c r="J106" s="183">
        <f t="shared" si="0"/>
        <v>0.04</v>
      </c>
      <c r="K106" s="183">
        <f t="shared" si="0"/>
        <v>11.8</v>
      </c>
      <c r="L106" s="183">
        <f t="shared" si="0"/>
        <v>20.010000000000002</v>
      </c>
      <c r="M106" s="183">
        <f t="shared" si="0"/>
        <v>37.770000000000003</v>
      </c>
      <c r="N106" s="183">
        <f t="shared" si="0"/>
        <v>1.1000000000000001</v>
      </c>
      <c r="O106" s="183">
        <f t="shared" si="0"/>
        <v>0</v>
      </c>
      <c r="P106" s="183">
        <f t="shared" si="0"/>
        <v>0.48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5.27</v>
      </c>
      <c r="C107" s="184">
        <f t="shared" ref="C107:Q107" si="1">MAX(C9:C104)</f>
        <v>8.1</v>
      </c>
      <c r="D107" s="184">
        <f t="shared" si="1"/>
        <v>14.01</v>
      </c>
      <c r="E107" s="184">
        <f t="shared" si="1"/>
        <v>11.07</v>
      </c>
      <c r="F107" s="184">
        <f t="shared" si="1"/>
        <v>20.39</v>
      </c>
      <c r="G107" s="184">
        <f t="shared" si="1"/>
        <v>82.3</v>
      </c>
      <c r="H107" s="184">
        <f t="shared" si="1"/>
        <v>27.26</v>
      </c>
      <c r="I107" s="184">
        <f t="shared" si="1"/>
        <v>10.27</v>
      </c>
      <c r="J107" s="184">
        <f t="shared" si="1"/>
        <v>0.79</v>
      </c>
      <c r="K107" s="184">
        <f t="shared" si="1"/>
        <v>345.56</v>
      </c>
      <c r="L107" s="184">
        <f t="shared" si="1"/>
        <v>31.8</v>
      </c>
      <c r="M107" s="184">
        <f t="shared" si="1"/>
        <v>90.3</v>
      </c>
      <c r="N107" s="184">
        <f t="shared" si="1"/>
        <v>594.79999999999995</v>
      </c>
      <c r="O107" s="184">
        <f t="shared" si="1"/>
        <v>0</v>
      </c>
      <c r="P107" s="184">
        <f t="shared" si="1"/>
        <v>0.86</v>
      </c>
      <c r="Q107" s="184">
        <f t="shared" si="1"/>
        <v>4.3099999999999996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5.2257291666666701</v>
      </c>
      <c r="C108" s="183">
        <f t="shared" ref="C108:Q108" si="2">AVERAGE(C9:C104)</f>
        <v>8.0650000000000031</v>
      </c>
      <c r="D108" s="183">
        <f t="shared" si="2"/>
        <v>13.972187500000018</v>
      </c>
      <c r="E108" s="183">
        <f t="shared" si="2"/>
        <v>9.5429166666666649</v>
      </c>
      <c r="F108" s="183">
        <f t="shared" si="2"/>
        <v>8.0820833333333333</v>
      </c>
      <c r="G108" s="183">
        <f t="shared" si="2"/>
        <v>69.078229166666688</v>
      </c>
      <c r="H108" s="183">
        <f t="shared" si="2"/>
        <v>22.321874999999981</v>
      </c>
      <c r="I108" s="183">
        <f t="shared" si="2"/>
        <v>8.2785416666666674</v>
      </c>
      <c r="J108" s="183">
        <f t="shared" si="2"/>
        <v>0.31510416666666669</v>
      </c>
      <c r="K108" s="183">
        <f t="shared" si="2"/>
        <v>108.44687499999998</v>
      </c>
      <c r="L108" s="183">
        <f t="shared" si="2"/>
        <v>25.498750000000012</v>
      </c>
      <c r="M108" s="183">
        <f t="shared" si="2"/>
        <v>64.707083333333316</v>
      </c>
      <c r="N108" s="183">
        <f t="shared" si="2"/>
        <v>129.0812500000001</v>
      </c>
      <c r="O108" s="183">
        <f t="shared" si="2"/>
        <v>0</v>
      </c>
      <c r="P108" s="183">
        <f t="shared" si="2"/>
        <v>0.67187499999999989</v>
      </c>
      <c r="Q108" s="183">
        <f t="shared" si="2"/>
        <v>4.2933333333333357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1.3513719474485543E-2</v>
      </c>
      <c r="C109" s="183">
        <f t="shared" ref="C109:Q109" si="3">STDEV(C9:C104)</f>
        <v>1.9412421416792777E-2</v>
      </c>
      <c r="D109" s="183">
        <f t="shared" si="3"/>
        <v>1.1258038064095767E-2</v>
      </c>
      <c r="E109" s="183">
        <f t="shared" si="3"/>
        <v>0.5881280144692087</v>
      </c>
      <c r="F109" s="183">
        <f t="shared" si="3"/>
        <v>3.6079097073153488</v>
      </c>
      <c r="G109" s="183">
        <f t="shared" si="3"/>
        <v>8.3950536808778597</v>
      </c>
      <c r="H109" s="183">
        <f t="shared" si="3"/>
        <v>2.7547991855364287</v>
      </c>
      <c r="I109" s="183">
        <f t="shared" si="3"/>
        <v>1.394074663232447</v>
      </c>
      <c r="J109" s="183">
        <f t="shared" si="3"/>
        <v>0.1984147426168715</v>
      </c>
      <c r="K109" s="183">
        <f t="shared" si="3"/>
        <v>76.097166602104309</v>
      </c>
      <c r="L109" s="183">
        <f t="shared" si="3"/>
        <v>3.7409853050541257</v>
      </c>
      <c r="M109" s="183">
        <f t="shared" si="3"/>
        <v>16.595093752873801</v>
      </c>
      <c r="N109" s="183">
        <f t="shared" si="3"/>
        <v>201.86511667186903</v>
      </c>
      <c r="O109" s="183">
        <f t="shared" si="3"/>
        <v>0</v>
      </c>
      <c r="P109" s="183">
        <f t="shared" si="3"/>
        <v>0.10301060241803536</v>
      </c>
      <c r="Q109" s="183">
        <f t="shared" si="3"/>
        <v>9.1383134072881237E-3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45602.010416666664</v>
      </c>
      <c r="B9" s="112">
        <v>5.16</v>
      </c>
      <c r="C9" s="112">
        <v>8.17</v>
      </c>
      <c r="D9" s="112">
        <v>13.97</v>
      </c>
      <c r="E9" s="112">
        <v>10.220000000000001</v>
      </c>
      <c r="F9" s="112">
        <v>6</v>
      </c>
      <c r="G9" s="112">
        <v>70.41</v>
      </c>
      <c r="H9" s="112">
        <v>26.69</v>
      </c>
      <c r="I9" s="112">
        <v>7.18</v>
      </c>
      <c r="J9" s="112">
        <v>0.14000000000000001</v>
      </c>
      <c r="K9" s="112">
        <v>174.37</v>
      </c>
      <c r="L9" s="112">
        <v>22.31</v>
      </c>
      <c r="M9" s="112">
        <v>82.23</v>
      </c>
      <c r="N9" s="112">
        <v>1.4</v>
      </c>
      <c r="O9" s="112">
        <v>0</v>
      </c>
      <c r="P9" s="112">
        <v>0.61</v>
      </c>
      <c r="Q9" s="112">
        <v>4.29</v>
      </c>
    </row>
    <row r="10" spans="1:21" customFormat="1">
      <c r="A10" s="80">
        <v>45602.020833333336</v>
      </c>
      <c r="B10" s="112">
        <v>5.2</v>
      </c>
      <c r="C10" s="112">
        <v>8.1199999999999992</v>
      </c>
      <c r="D10" s="112">
        <v>13.98</v>
      </c>
      <c r="E10" s="112">
        <v>9.99</v>
      </c>
      <c r="F10" s="112">
        <v>5.93</v>
      </c>
      <c r="G10" s="112">
        <v>70.41</v>
      </c>
      <c r="H10" s="112">
        <v>26.69</v>
      </c>
      <c r="I10" s="112">
        <v>7.16</v>
      </c>
      <c r="J10" s="112">
        <v>0.15</v>
      </c>
      <c r="K10" s="112">
        <v>208.88</v>
      </c>
      <c r="L10" s="112">
        <v>22.07</v>
      </c>
      <c r="M10" s="112">
        <v>85.34</v>
      </c>
      <c r="N10" s="112">
        <v>1.7</v>
      </c>
      <c r="O10" s="112">
        <v>0</v>
      </c>
      <c r="P10" s="112">
        <v>0.59</v>
      </c>
      <c r="Q10" s="112">
        <v>4.3099999999999996</v>
      </c>
    </row>
    <row r="11" spans="1:21" customFormat="1">
      <c r="A11" s="80">
        <v>45602.03125</v>
      </c>
      <c r="B11" s="112">
        <v>5.22</v>
      </c>
      <c r="C11" s="112">
        <v>8.08</v>
      </c>
      <c r="D11" s="112">
        <v>13.97</v>
      </c>
      <c r="E11" s="112">
        <v>10.08</v>
      </c>
      <c r="F11" s="112">
        <v>5.83</v>
      </c>
      <c r="G11" s="112">
        <v>64.52</v>
      </c>
      <c r="H11" s="112">
        <v>25.19</v>
      </c>
      <c r="I11" s="112">
        <v>7.12</v>
      </c>
      <c r="J11" s="112">
        <v>0.11</v>
      </c>
      <c r="K11" s="112">
        <v>213.7</v>
      </c>
      <c r="L11" s="112">
        <v>21.67</v>
      </c>
      <c r="M11" s="112">
        <v>87.15</v>
      </c>
      <c r="N11" s="112">
        <v>1.7</v>
      </c>
      <c r="O11" s="112">
        <v>0</v>
      </c>
      <c r="P11" s="112">
        <v>0.59</v>
      </c>
      <c r="Q11" s="112">
        <v>4.3</v>
      </c>
    </row>
    <row r="12" spans="1:21" customFormat="1">
      <c r="A12" s="80">
        <v>45602.041666666664</v>
      </c>
      <c r="B12" s="112">
        <v>5.22</v>
      </c>
      <c r="C12" s="112">
        <v>8.07</v>
      </c>
      <c r="D12" s="112">
        <v>13.97</v>
      </c>
      <c r="E12" s="112">
        <v>10.15</v>
      </c>
      <c r="F12" s="112">
        <v>5.86</v>
      </c>
      <c r="G12" s="112">
        <v>62.26</v>
      </c>
      <c r="H12" s="112">
        <v>25.12</v>
      </c>
      <c r="I12" s="112">
        <v>7.1</v>
      </c>
      <c r="J12" s="112">
        <v>0.08</v>
      </c>
      <c r="K12" s="112">
        <v>189.03</v>
      </c>
      <c r="L12" s="112">
        <v>21.66</v>
      </c>
      <c r="M12" s="112">
        <v>86.89</v>
      </c>
      <c r="N12" s="112">
        <v>1.4</v>
      </c>
      <c r="O12" s="112">
        <v>0</v>
      </c>
      <c r="P12" s="112">
        <v>0.57999999999999996</v>
      </c>
      <c r="Q12" s="112">
        <v>4.29</v>
      </c>
    </row>
    <row r="13" spans="1:21" customFormat="1">
      <c r="A13" s="80">
        <v>45602.052083333336</v>
      </c>
      <c r="B13" s="112">
        <v>5.23</v>
      </c>
      <c r="C13" s="112">
        <v>8.0500000000000007</v>
      </c>
      <c r="D13" s="112">
        <v>13.97</v>
      </c>
      <c r="E13" s="112">
        <v>10.5</v>
      </c>
      <c r="F13" s="112">
        <v>5.79</v>
      </c>
      <c r="G13" s="112">
        <v>62.26</v>
      </c>
      <c r="H13" s="112">
        <v>25.12</v>
      </c>
      <c r="I13" s="112">
        <v>7.11</v>
      </c>
      <c r="J13" s="112">
        <v>7.0000000000000007E-2</v>
      </c>
      <c r="K13" s="112">
        <v>178.39</v>
      </c>
      <c r="L13" s="112">
        <v>21.59</v>
      </c>
      <c r="M13" s="112">
        <v>86.63</v>
      </c>
      <c r="N13" s="112">
        <v>1.4</v>
      </c>
      <c r="O13" s="112">
        <v>0</v>
      </c>
      <c r="P13" s="112">
        <v>0.59</v>
      </c>
      <c r="Q13" s="112">
        <v>4.29</v>
      </c>
    </row>
    <row r="14" spans="1:21" customFormat="1">
      <c r="A14" s="80">
        <v>45602.0625</v>
      </c>
      <c r="B14" s="112">
        <v>5.23</v>
      </c>
      <c r="C14" s="112">
        <v>8.08</v>
      </c>
      <c r="D14" s="112">
        <v>13.98</v>
      </c>
      <c r="E14" s="112">
        <v>10.55</v>
      </c>
      <c r="F14" s="112">
        <v>5.95</v>
      </c>
      <c r="G14" s="112">
        <v>62.26</v>
      </c>
      <c r="H14" s="112">
        <v>25.12</v>
      </c>
      <c r="I14" s="112">
        <v>7.11</v>
      </c>
      <c r="J14" s="112">
        <v>0.17</v>
      </c>
      <c r="K14" s="112">
        <v>251.84</v>
      </c>
      <c r="L14" s="112">
        <v>21.32</v>
      </c>
      <c r="M14" s="112">
        <v>88.15</v>
      </c>
      <c r="N14" s="112">
        <v>1.7</v>
      </c>
      <c r="O14" s="112">
        <v>0</v>
      </c>
      <c r="P14" s="112">
        <v>0.56999999999999995</v>
      </c>
      <c r="Q14" s="112">
        <v>4.3099999999999996</v>
      </c>
    </row>
    <row r="15" spans="1:21" customFormat="1">
      <c r="A15" s="80">
        <v>45602.072916666664</v>
      </c>
      <c r="B15" s="112">
        <v>5.23</v>
      </c>
      <c r="C15" s="112">
        <v>8.07</v>
      </c>
      <c r="D15" s="112">
        <v>13.98</v>
      </c>
      <c r="E15" s="112">
        <v>10.35</v>
      </c>
      <c r="F15" s="112">
        <v>5.64</v>
      </c>
      <c r="G15" s="112">
        <v>59.17</v>
      </c>
      <c r="H15" s="112">
        <v>23.93</v>
      </c>
      <c r="I15" s="112">
        <v>7.08</v>
      </c>
      <c r="J15" s="112">
        <v>0.11</v>
      </c>
      <c r="K15" s="112">
        <v>231.23</v>
      </c>
      <c r="L15" s="112">
        <v>21.2</v>
      </c>
      <c r="M15" s="112">
        <v>88.68</v>
      </c>
      <c r="N15" s="112">
        <v>1.6</v>
      </c>
      <c r="O15" s="112">
        <v>0</v>
      </c>
      <c r="P15" s="112">
        <v>0.56999999999999995</v>
      </c>
      <c r="Q15" s="112">
        <v>4.3099999999999996</v>
      </c>
    </row>
    <row r="16" spans="1:21" customFormat="1">
      <c r="A16" s="80">
        <v>45602.083333333336</v>
      </c>
      <c r="B16" s="112">
        <v>5.22</v>
      </c>
      <c r="C16" s="112">
        <v>8.08</v>
      </c>
      <c r="D16" s="112">
        <v>13.97</v>
      </c>
      <c r="E16" s="112">
        <v>9.89</v>
      </c>
      <c r="F16" s="112">
        <v>5.9</v>
      </c>
      <c r="G16" s="112">
        <v>57.91</v>
      </c>
      <c r="H16" s="112">
        <v>23.88</v>
      </c>
      <c r="I16" s="112">
        <v>7.04</v>
      </c>
      <c r="J16" s="112">
        <v>0.11</v>
      </c>
      <c r="K16" s="112">
        <v>215.39</v>
      </c>
      <c r="L16" s="112">
        <v>21.17</v>
      </c>
      <c r="M16" s="112">
        <v>90.03</v>
      </c>
      <c r="N16" s="112">
        <v>1.4</v>
      </c>
      <c r="O16" s="112">
        <v>0</v>
      </c>
      <c r="P16" s="112">
        <v>0.56000000000000005</v>
      </c>
      <c r="Q16" s="112">
        <v>4.3099999999999996</v>
      </c>
    </row>
    <row r="17" spans="1:17" customFormat="1">
      <c r="A17" s="80">
        <v>45602.09375</v>
      </c>
      <c r="B17" s="112">
        <v>5.21</v>
      </c>
      <c r="C17" s="112">
        <v>8.06</v>
      </c>
      <c r="D17" s="112">
        <v>13.96</v>
      </c>
      <c r="E17" s="112">
        <v>7.61</v>
      </c>
      <c r="F17" s="112">
        <v>5.47</v>
      </c>
      <c r="G17" s="112">
        <v>57.91</v>
      </c>
      <c r="H17" s="112">
        <v>23.88</v>
      </c>
      <c r="I17" s="112">
        <v>7.02</v>
      </c>
      <c r="J17" s="112">
        <v>0.12</v>
      </c>
      <c r="K17" s="112">
        <v>218.24</v>
      </c>
      <c r="L17" s="112">
        <v>21.05</v>
      </c>
      <c r="M17" s="112">
        <v>90.72</v>
      </c>
      <c r="N17" s="112">
        <v>1.5</v>
      </c>
      <c r="O17" s="112">
        <v>0</v>
      </c>
      <c r="P17" s="112">
        <v>0.56000000000000005</v>
      </c>
      <c r="Q17" s="112">
        <v>4.3099999999999996</v>
      </c>
    </row>
    <row r="18" spans="1:17" customFormat="1">
      <c r="A18" s="80">
        <v>45602.104166666664</v>
      </c>
      <c r="B18" s="112">
        <v>5.21</v>
      </c>
      <c r="C18" s="112">
        <v>8.09</v>
      </c>
      <c r="D18" s="112">
        <v>13.97</v>
      </c>
      <c r="E18" s="112">
        <v>9.58</v>
      </c>
      <c r="F18" s="112">
        <v>6.08</v>
      </c>
      <c r="G18" s="112">
        <v>57.91</v>
      </c>
      <c r="H18" s="112">
        <v>23.88</v>
      </c>
      <c r="I18" s="112">
        <v>7</v>
      </c>
      <c r="J18" s="112">
        <v>0.1</v>
      </c>
      <c r="K18" s="112">
        <v>219.55</v>
      </c>
      <c r="L18" s="112">
        <v>21.05</v>
      </c>
      <c r="M18" s="112">
        <v>91.85</v>
      </c>
      <c r="N18" s="112">
        <v>1.4</v>
      </c>
      <c r="O18" s="112">
        <v>0</v>
      </c>
      <c r="P18" s="112">
        <v>0.55000000000000004</v>
      </c>
      <c r="Q18" s="112">
        <v>4.3099999999999996</v>
      </c>
    </row>
    <row r="19" spans="1:17" customFormat="1">
      <c r="A19" s="80">
        <v>45602.114583333336</v>
      </c>
      <c r="B19" s="112">
        <v>5.2</v>
      </c>
      <c r="C19" s="112">
        <v>8.07</v>
      </c>
      <c r="D19" s="112">
        <v>13.95</v>
      </c>
      <c r="E19" s="112">
        <v>9.36</v>
      </c>
      <c r="F19" s="112">
        <v>5.65</v>
      </c>
      <c r="G19" s="112">
        <v>56.03</v>
      </c>
      <c r="H19" s="112">
        <v>24.08</v>
      </c>
      <c r="I19" s="112">
        <v>6.96</v>
      </c>
      <c r="J19" s="112">
        <v>0.1</v>
      </c>
      <c r="K19" s="112">
        <v>227.11</v>
      </c>
      <c r="L19" s="112">
        <v>21</v>
      </c>
      <c r="M19" s="112">
        <v>91.31</v>
      </c>
      <c r="N19" s="112">
        <v>1.3</v>
      </c>
      <c r="O19" s="112">
        <v>0</v>
      </c>
      <c r="P19" s="112">
        <v>0.56000000000000005</v>
      </c>
      <c r="Q19" s="112">
        <v>4.28</v>
      </c>
    </row>
    <row r="20" spans="1:17" customFormat="1">
      <c r="A20" s="80">
        <v>45602.125</v>
      </c>
      <c r="B20" s="112">
        <v>5.21</v>
      </c>
      <c r="C20" s="112">
        <v>8.08</v>
      </c>
      <c r="D20" s="112">
        <v>13.96</v>
      </c>
      <c r="E20" s="112">
        <v>9.27</v>
      </c>
      <c r="F20" s="112">
        <v>5.8</v>
      </c>
      <c r="G20" s="112">
        <v>55.26</v>
      </c>
      <c r="H20" s="112">
        <v>24.09</v>
      </c>
      <c r="I20" s="112">
        <v>6.95</v>
      </c>
      <c r="J20" s="112">
        <v>0.11</v>
      </c>
      <c r="K20" s="112">
        <v>172.32</v>
      </c>
      <c r="L20" s="112">
        <v>20.95</v>
      </c>
      <c r="M20" s="112">
        <v>90.09</v>
      </c>
      <c r="N20" s="112">
        <v>1.4</v>
      </c>
      <c r="O20" s="112">
        <v>0</v>
      </c>
      <c r="P20" s="112">
        <v>0.54</v>
      </c>
      <c r="Q20" s="112">
        <v>4.3</v>
      </c>
    </row>
    <row r="21" spans="1:17" customFormat="1">
      <c r="A21" s="80">
        <v>45602.135416666664</v>
      </c>
      <c r="B21" s="112">
        <v>5.18</v>
      </c>
      <c r="C21" s="112">
        <v>8.08</v>
      </c>
      <c r="D21" s="112">
        <v>13.95</v>
      </c>
      <c r="E21" s="112">
        <v>9.3000000000000007</v>
      </c>
      <c r="F21" s="112">
        <v>5.48</v>
      </c>
      <c r="G21" s="112">
        <v>55.26</v>
      </c>
      <c r="H21" s="112">
        <v>24.09</v>
      </c>
      <c r="I21" s="112">
        <v>6.97</v>
      </c>
      <c r="J21" s="112">
        <v>0.13</v>
      </c>
      <c r="K21" s="112">
        <v>231.52</v>
      </c>
      <c r="L21" s="112">
        <v>20.83</v>
      </c>
      <c r="M21" s="112">
        <v>90.8</v>
      </c>
      <c r="N21" s="112">
        <v>1.4</v>
      </c>
      <c r="O21" s="112">
        <v>0</v>
      </c>
      <c r="P21" s="112">
        <v>0.55000000000000004</v>
      </c>
      <c r="Q21" s="112">
        <v>4.29</v>
      </c>
    </row>
    <row r="22" spans="1:17" customFormat="1">
      <c r="A22" s="80">
        <v>45602.145833333336</v>
      </c>
      <c r="B22" s="112">
        <v>5.21</v>
      </c>
      <c r="C22" s="112">
        <v>8.06</v>
      </c>
      <c r="D22" s="112">
        <v>13.95</v>
      </c>
      <c r="E22" s="112">
        <v>9.9</v>
      </c>
      <c r="F22" s="112">
        <v>5.77</v>
      </c>
      <c r="G22" s="112">
        <v>55.26</v>
      </c>
      <c r="H22" s="112">
        <v>24.09</v>
      </c>
      <c r="I22" s="112">
        <v>6.94</v>
      </c>
      <c r="J22" s="112">
        <v>0.15</v>
      </c>
      <c r="K22" s="112">
        <v>246.67</v>
      </c>
      <c r="L22" s="112">
        <v>20.61</v>
      </c>
      <c r="M22" s="112">
        <v>91.39</v>
      </c>
      <c r="N22" s="112">
        <v>1.7</v>
      </c>
      <c r="O22" s="112">
        <v>0</v>
      </c>
      <c r="P22" s="112">
        <v>0.54</v>
      </c>
      <c r="Q22" s="112">
        <v>4.3</v>
      </c>
    </row>
    <row r="23" spans="1:17" customFormat="1">
      <c r="A23" s="80">
        <v>45602.15625</v>
      </c>
      <c r="B23" s="112">
        <v>5.18</v>
      </c>
      <c r="C23" s="112">
        <v>8.1</v>
      </c>
      <c r="D23" s="112">
        <v>13.95</v>
      </c>
      <c r="E23" s="112">
        <v>9.44</v>
      </c>
      <c r="F23" s="112">
        <v>5.28</v>
      </c>
      <c r="G23" s="112">
        <v>52.52</v>
      </c>
      <c r="H23" s="112">
        <v>20.34</v>
      </c>
      <c r="I23" s="112">
        <v>6.91</v>
      </c>
      <c r="J23" s="112">
        <v>0.14000000000000001</v>
      </c>
      <c r="K23" s="112">
        <v>235.95</v>
      </c>
      <c r="L23" s="112">
        <v>20.49</v>
      </c>
      <c r="M23" s="112">
        <v>90.84</v>
      </c>
      <c r="N23" s="112">
        <v>1.6</v>
      </c>
      <c r="O23" s="112">
        <v>0</v>
      </c>
      <c r="P23" s="112">
        <v>0.55000000000000004</v>
      </c>
      <c r="Q23" s="112">
        <v>4.29</v>
      </c>
    </row>
    <row r="24" spans="1:17" customFormat="1">
      <c r="A24" s="80">
        <v>45602.166666666664</v>
      </c>
      <c r="B24" s="112">
        <v>5.2</v>
      </c>
      <c r="C24" s="112">
        <v>8.08</v>
      </c>
      <c r="D24" s="112">
        <v>13.96</v>
      </c>
      <c r="E24" s="112">
        <v>9.17</v>
      </c>
      <c r="F24" s="112">
        <v>5.44</v>
      </c>
      <c r="G24" s="112">
        <v>51.41</v>
      </c>
      <c r="H24" s="112">
        <v>20.16</v>
      </c>
      <c r="I24" s="112">
        <v>6.91</v>
      </c>
      <c r="J24" s="112">
        <v>7.0000000000000007E-2</v>
      </c>
      <c r="K24" s="112">
        <v>181.69</v>
      </c>
      <c r="L24" s="112">
        <v>20.57</v>
      </c>
      <c r="M24" s="112">
        <v>90.04</v>
      </c>
      <c r="N24" s="112">
        <v>1.3</v>
      </c>
      <c r="O24" s="112">
        <v>0</v>
      </c>
      <c r="P24" s="112">
        <v>0.54</v>
      </c>
      <c r="Q24" s="112">
        <v>4.3099999999999996</v>
      </c>
    </row>
    <row r="25" spans="1:17" customFormat="1">
      <c r="A25" s="80">
        <v>45602.177083333336</v>
      </c>
      <c r="B25" s="112">
        <v>5.19</v>
      </c>
      <c r="C25" s="112">
        <v>8.1</v>
      </c>
      <c r="D25" s="112">
        <v>13.96</v>
      </c>
      <c r="E25" s="112">
        <v>9.6199999999999992</v>
      </c>
      <c r="F25" s="112">
        <v>5.35</v>
      </c>
      <c r="G25" s="112">
        <v>51.41</v>
      </c>
      <c r="H25" s="112">
        <v>20.16</v>
      </c>
      <c r="I25" s="112">
        <v>6.91</v>
      </c>
      <c r="J25" s="112">
        <v>0.13</v>
      </c>
      <c r="K25" s="112">
        <v>71.239999999999995</v>
      </c>
      <c r="L25" s="112">
        <v>20.78</v>
      </c>
      <c r="M25" s="112">
        <v>88.08</v>
      </c>
      <c r="N25" s="112">
        <v>1.2</v>
      </c>
      <c r="O25" s="112">
        <v>0</v>
      </c>
      <c r="P25" s="112">
        <v>0.54</v>
      </c>
      <c r="Q25" s="112">
        <v>4.29</v>
      </c>
    </row>
    <row r="26" spans="1:17" customFormat="1">
      <c r="A26" s="80">
        <v>45602.1875</v>
      </c>
      <c r="B26" s="112">
        <v>5.2</v>
      </c>
      <c r="C26" s="112">
        <v>8.06</v>
      </c>
      <c r="D26" s="112">
        <v>13.95</v>
      </c>
      <c r="E26" s="112">
        <v>9.68</v>
      </c>
      <c r="F26" s="112">
        <v>5.72</v>
      </c>
      <c r="G26" s="112">
        <v>51.41</v>
      </c>
      <c r="H26" s="112">
        <v>20.16</v>
      </c>
      <c r="I26" s="112">
        <v>6.91</v>
      </c>
      <c r="J26" s="112">
        <v>0.17</v>
      </c>
      <c r="K26" s="112">
        <v>68.400000000000006</v>
      </c>
      <c r="L26" s="112">
        <v>20.93</v>
      </c>
      <c r="M26" s="112">
        <v>87.21</v>
      </c>
      <c r="N26" s="112">
        <v>1.4</v>
      </c>
      <c r="O26" s="112">
        <v>0</v>
      </c>
      <c r="P26" s="112">
        <v>0.54</v>
      </c>
      <c r="Q26" s="112">
        <v>4.3</v>
      </c>
    </row>
    <row r="27" spans="1:17" customFormat="1">
      <c r="A27" s="80">
        <v>45602.197916666664</v>
      </c>
      <c r="B27" s="112">
        <v>5.21</v>
      </c>
      <c r="C27" s="112">
        <v>8.0399999999999991</v>
      </c>
      <c r="D27" s="112">
        <v>13.95</v>
      </c>
      <c r="E27" s="112">
        <v>9.68</v>
      </c>
      <c r="F27" s="112">
        <v>5.36</v>
      </c>
      <c r="G27" s="112">
        <v>52.98</v>
      </c>
      <c r="H27" s="112">
        <v>22.21</v>
      </c>
      <c r="I27" s="112">
        <v>6.92</v>
      </c>
      <c r="J27" s="112">
        <v>0.25</v>
      </c>
      <c r="K27" s="112">
        <v>34.79</v>
      </c>
      <c r="L27" s="112">
        <v>20.95</v>
      </c>
      <c r="M27" s="112">
        <v>86.86</v>
      </c>
      <c r="N27" s="112">
        <v>1.2</v>
      </c>
      <c r="O27" s="112">
        <v>0</v>
      </c>
      <c r="P27" s="112">
        <v>0.54</v>
      </c>
      <c r="Q27" s="112">
        <v>4.3</v>
      </c>
    </row>
    <row r="28" spans="1:17" customFormat="1">
      <c r="A28" s="80">
        <v>45602.208333333336</v>
      </c>
      <c r="B28" s="112">
        <v>5.19</v>
      </c>
      <c r="C28" s="112">
        <v>8.1</v>
      </c>
      <c r="D28" s="112">
        <v>13.96</v>
      </c>
      <c r="E28" s="112">
        <v>9.4600000000000009</v>
      </c>
      <c r="F28" s="112">
        <v>5.6</v>
      </c>
      <c r="G28" s="112">
        <v>53.62</v>
      </c>
      <c r="H28" s="112">
        <v>22.31</v>
      </c>
      <c r="I28" s="112">
        <v>6.93</v>
      </c>
      <c r="J28" s="112">
        <v>0.25</v>
      </c>
      <c r="K28" s="112">
        <v>44.45</v>
      </c>
      <c r="L28" s="112">
        <v>20.9</v>
      </c>
      <c r="M28" s="112">
        <v>86.75</v>
      </c>
      <c r="N28" s="112">
        <v>1.4</v>
      </c>
      <c r="O28" s="112">
        <v>0</v>
      </c>
      <c r="P28" s="112">
        <v>0.53</v>
      </c>
      <c r="Q28" s="112">
        <v>4.3</v>
      </c>
    </row>
    <row r="29" spans="1:17" customFormat="1">
      <c r="A29" s="80">
        <v>45602.21875</v>
      </c>
      <c r="B29" s="112">
        <v>5.2</v>
      </c>
      <c r="C29" s="112">
        <v>8.07</v>
      </c>
      <c r="D29" s="112">
        <v>13.95</v>
      </c>
      <c r="E29" s="112">
        <v>9.0299999999999994</v>
      </c>
      <c r="F29" s="112">
        <v>5.53</v>
      </c>
      <c r="G29" s="112">
        <v>53.62</v>
      </c>
      <c r="H29" s="112">
        <v>22.31</v>
      </c>
      <c r="I29" s="112">
        <v>7</v>
      </c>
      <c r="J29" s="112">
        <v>0.34</v>
      </c>
      <c r="K29" s="112">
        <v>50.59</v>
      </c>
      <c r="L29" s="112">
        <v>20.89</v>
      </c>
      <c r="M29" s="112">
        <v>86.62</v>
      </c>
      <c r="N29" s="112">
        <v>1.4</v>
      </c>
      <c r="O29" s="112">
        <v>0</v>
      </c>
      <c r="P29" s="112">
        <v>0.55000000000000004</v>
      </c>
      <c r="Q29" s="112">
        <v>4.3</v>
      </c>
    </row>
    <row r="30" spans="1:17" customFormat="1">
      <c r="A30" s="80">
        <v>45602.229166666664</v>
      </c>
      <c r="B30" s="112">
        <v>5.2</v>
      </c>
      <c r="C30" s="112">
        <v>8.07</v>
      </c>
      <c r="D30" s="112">
        <v>13.95</v>
      </c>
      <c r="E30" s="112">
        <v>8.65</v>
      </c>
      <c r="F30" s="112">
        <v>5.6</v>
      </c>
      <c r="G30" s="112">
        <v>53.62</v>
      </c>
      <c r="H30" s="112">
        <v>22.31</v>
      </c>
      <c r="I30" s="112">
        <v>7.04</v>
      </c>
      <c r="J30" s="112">
        <v>0.37</v>
      </c>
      <c r="K30" s="112">
        <v>33.99</v>
      </c>
      <c r="L30" s="112">
        <v>20.76</v>
      </c>
      <c r="M30" s="112">
        <v>87.75</v>
      </c>
      <c r="N30" s="112">
        <v>1.6</v>
      </c>
      <c r="O30" s="112">
        <v>0</v>
      </c>
      <c r="P30" s="112">
        <v>0.56999999999999995</v>
      </c>
      <c r="Q30" s="112">
        <v>4.29</v>
      </c>
    </row>
    <row r="31" spans="1:17" customFormat="1">
      <c r="A31" s="80">
        <v>45602.239583333336</v>
      </c>
      <c r="B31" s="112">
        <v>5.19</v>
      </c>
      <c r="C31" s="112">
        <v>8.08</v>
      </c>
      <c r="D31" s="112">
        <v>13.95</v>
      </c>
      <c r="E31" s="112">
        <v>8.41</v>
      </c>
      <c r="F31" s="112">
        <v>5.66</v>
      </c>
      <c r="G31" s="112">
        <v>62.79</v>
      </c>
      <c r="H31" s="112">
        <v>26.88</v>
      </c>
      <c r="I31" s="112">
        <v>7.13</v>
      </c>
      <c r="J31" s="112">
        <v>0.38</v>
      </c>
      <c r="K31" s="112">
        <v>30.14</v>
      </c>
      <c r="L31" s="112">
        <v>20.53</v>
      </c>
      <c r="M31" s="112">
        <v>89.32</v>
      </c>
      <c r="N31" s="112">
        <v>1.9</v>
      </c>
      <c r="O31" s="112">
        <v>0</v>
      </c>
      <c r="P31" s="112">
        <v>0.57999999999999996</v>
      </c>
      <c r="Q31" s="112">
        <v>4.3</v>
      </c>
    </row>
    <row r="32" spans="1:17" customFormat="1">
      <c r="A32" s="80">
        <v>45602.25</v>
      </c>
      <c r="B32" s="112">
        <v>5.19</v>
      </c>
      <c r="C32" s="112">
        <v>8.07</v>
      </c>
      <c r="D32" s="112">
        <v>13.95</v>
      </c>
      <c r="E32" s="112">
        <v>8.69</v>
      </c>
      <c r="F32" s="112">
        <v>5.52</v>
      </c>
      <c r="G32" s="112">
        <v>66.52</v>
      </c>
      <c r="H32" s="112">
        <v>27.21</v>
      </c>
      <c r="I32" s="112">
        <v>7.26</v>
      </c>
      <c r="J32" s="112">
        <v>0.39</v>
      </c>
      <c r="K32" s="112">
        <v>37</v>
      </c>
      <c r="L32" s="112">
        <v>20.38</v>
      </c>
      <c r="M32" s="112">
        <v>89.93</v>
      </c>
      <c r="N32" s="112">
        <v>3.4</v>
      </c>
      <c r="O32" s="112">
        <v>0</v>
      </c>
      <c r="P32" s="112">
        <v>0.61</v>
      </c>
      <c r="Q32" s="112">
        <v>4.3</v>
      </c>
    </row>
    <row r="33" spans="1:17" customFormat="1">
      <c r="A33" s="80">
        <v>45602.260416666664</v>
      </c>
      <c r="B33" s="112">
        <v>5.21</v>
      </c>
      <c r="C33" s="112">
        <v>8.06</v>
      </c>
      <c r="D33" s="112">
        <v>13.96</v>
      </c>
      <c r="E33" s="112">
        <v>8.8699999999999992</v>
      </c>
      <c r="F33" s="112">
        <v>5.57</v>
      </c>
      <c r="G33" s="112">
        <v>66.52</v>
      </c>
      <c r="H33" s="112">
        <v>27.21</v>
      </c>
      <c r="I33" s="112">
        <v>7.45</v>
      </c>
      <c r="J33" s="112">
        <v>0.33</v>
      </c>
      <c r="K33" s="112">
        <v>37.049999999999997</v>
      </c>
      <c r="L33" s="112">
        <v>20.38</v>
      </c>
      <c r="M33" s="112">
        <v>89.28</v>
      </c>
      <c r="N33" s="112">
        <v>8.6</v>
      </c>
      <c r="O33" s="112">
        <v>0</v>
      </c>
      <c r="P33" s="112">
        <v>0.64</v>
      </c>
      <c r="Q33" s="112">
        <v>4.3</v>
      </c>
    </row>
    <row r="34" spans="1:17" customFormat="1">
      <c r="A34" s="80">
        <v>45602.270833333336</v>
      </c>
      <c r="B34" s="112">
        <v>5.22</v>
      </c>
      <c r="C34" s="112">
        <v>8.06</v>
      </c>
      <c r="D34" s="112">
        <v>13.97</v>
      </c>
      <c r="E34" s="112">
        <v>8.43</v>
      </c>
      <c r="F34" s="112">
        <v>5.56</v>
      </c>
      <c r="G34" s="112">
        <v>66.52</v>
      </c>
      <c r="H34" s="112">
        <v>27.21</v>
      </c>
      <c r="I34" s="112">
        <v>7.75</v>
      </c>
      <c r="J34" s="112">
        <v>0.28999999999999998</v>
      </c>
      <c r="K34" s="112">
        <v>40.369999999999997</v>
      </c>
      <c r="L34" s="112">
        <v>20.420000000000002</v>
      </c>
      <c r="M34" s="112">
        <v>88.98</v>
      </c>
      <c r="N34" s="112">
        <v>17.600000000000001</v>
      </c>
      <c r="O34" s="112">
        <v>0</v>
      </c>
      <c r="P34" s="112">
        <v>0.66</v>
      </c>
      <c r="Q34" s="112">
        <v>4.3099999999999996</v>
      </c>
    </row>
    <row r="35" spans="1:17" customFormat="1">
      <c r="A35" s="80">
        <v>45602.28125</v>
      </c>
      <c r="B35" s="112">
        <v>5.21</v>
      </c>
      <c r="C35" s="112">
        <v>8.1</v>
      </c>
      <c r="D35" s="112">
        <v>13.98</v>
      </c>
      <c r="E35" s="112">
        <v>8.67</v>
      </c>
      <c r="F35" s="112">
        <v>5.62</v>
      </c>
      <c r="G35" s="112">
        <v>81.05</v>
      </c>
      <c r="H35" s="112">
        <v>28.36</v>
      </c>
      <c r="I35" s="112">
        <v>8.15</v>
      </c>
      <c r="J35" s="112">
        <v>0.21</v>
      </c>
      <c r="K35" s="112">
        <v>43.68</v>
      </c>
      <c r="L35" s="112">
        <v>20.66</v>
      </c>
      <c r="M35" s="112">
        <v>88.28</v>
      </c>
      <c r="N35" s="112">
        <v>29.2</v>
      </c>
      <c r="O35" s="112">
        <v>0</v>
      </c>
      <c r="P35" s="112">
        <v>0.66</v>
      </c>
      <c r="Q35" s="112">
        <v>4.29</v>
      </c>
    </row>
    <row r="36" spans="1:17" customFormat="1">
      <c r="A36" s="80">
        <v>45602.291666666664</v>
      </c>
      <c r="B36" s="112">
        <v>5.22</v>
      </c>
      <c r="C36" s="112">
        <v>8.1</v>
      </c>
      <c r="D36" s="112">
        <v>13.98</v>
      </c>
      <c r="E36" s="112">
        <v>8.25</v>
      </c>
      <c r="F36" s="112">
        <v>5.68</v>
      </c>
      <c r="G36" s="112">
        <v>86.95</v>
      </c>
      <c r="H36" s="112">
        <v>28.41</v>
      </c>
      <c r="I36" s="112">
        <v>8.48</v>
      </c>
      <c r="J36" s="112">
        <v>0.3</v>
      </c>
      <c r="K36" s="112">
        <v>42.03</v>
      </c>
      <c r="L36" s="112">
        <v>20.9</v>
      </c>
      <c r="M36" s="112">
        <v>87.35</v>
      </c>
      <c r="N36" s="112">
        <v>43.1</v>
      </c>
      <c r="O36" s="112">
        <v>0</v>
      </c>
      <c r="P36" s="112">
        <v>0.68</v>
      </c>
      <c r="Q36" s="112">
        <v>4.3</v>
      </c>
    </row>
    <row r="37" spans="1:17" customFormat="1">
      <c r="A37" s="80">
        <v>45602.302083333336</v>
      </c>
      <c r="B37" s="112">
        <v>5.23</v>
      </c>
      <c r="C37" s="112">
        <v>8.08</v>
      </c>
      <c r="D37" s="112">
        <v>13.98</v>
      </c>
      <c r="E37" s="112">
        <v>8.1300000000000008</v>
      </c>
      <c r="F37" s="112">
        <v>5.74</v>
      </c>
      <c r="G37" s="112">
        <v>86.95</v>
      </c>
      <c r="H37" s="112">
        <v>28.41</v>
      </c>
      <c r="I37" s="112">
        <v>8.6199999999999992</v>
      </c>
      <c r="J37" s="112">
        <v>0.39</v>
      </c>
      <c r="K37" s="112">
        <v>51.96</v>
      </c>
      <c r="L37" s="112">
        <v>21.27</v>
      </c>
      <c r="M37" s="112">
        <v>85.76</v>
      </c>
      <c r="N37" s="112">
        <v>58.4</v>
      </c>
      <c r="O37" s="112">
        <v>0</v>
      </c>
      <c r="P37" s="112">
        <v>0.69</v>
      </c>
      <c r="Q37" s="112">
        <v>4.3</v>
      </c>
    </row>
    <row r="38" spans="1:17" customFormat="1">
      <c r="A38" s="80">
        <v>45602.3125</v>
      </c>
      <c r="B38" s="112">
        <v>5.21</v>
      </c>
      <c r="C38" s="112">
        <v>8.1</v>
      </c>
      <c r="D38" s="112">
        <v>13.98</v>
      </c>
      <c r="E38" s="112">
        <v>8.2100000000000009</v>
      </c>
      <c r="F38" s="112">
        <v>5.85</v>
      </c>
      <c r="G38" s="112">
        <v>86.95</v>
      </c>
      <c r="H38" s="112">
        <v>28.41</v>
      </c>
      <c r="I38" s="112">
        <v>8.7899999999999991</v>
      </c>
      <c r="J38" s="112">
        <v>0.55000000000000004</v>
      </c>
      <c r="K38" s="112">
        <v>55.5</v>
      </c>
      <c r="L38" s="112">
        <v>21.73</v>
      </c>
      <c r="M38" s="112">
        <v>83.55</v>
      </c>
      <c r="N38" s="112">
        <v>79.3</v>
      </c>
      <c r="O38" s="112">
        <v>0</v>
      </c>
      <c r="P38" s="112">
        <v>0.71</v>
      </c>
      <c r="Q38" s="112">
        <v>4.3</v>
      </c>
    </row>
    <row r="39" spans="1:17" customFormat="1">
      <c r="A39" s="80">
        <v>45602.322916666664</v>
      </c>
      <c r="B39" s="112">
        <v>5.21</v>
      </c>
      <c r="C39" s="112">
        <v>8.08</v>
      </c>
      <c r="D39" s="112">
        <v>13.97</v>
      </c>
      <c r="E39" s="112">
        <v>8.5500000000000007</v>
      </c>
      <c r="F39" s="112">
        <v>5.76</v>
      </c>
      <c r="G39" s="112">
        <v>97.27</v>
      </c>
      <c r="H39" s="112">
        <v>32.869999999999997</v>
      </c>
      <c r="I39" s="112">
        <v>9.06</v>
      </c>
      <c r="J39" s="112">
        <v>0.64</v>
      </c>
      <c r="K39" s="112">
        <v>53.1</v>
      </c>
      <c r="L39" s="112">
        <v>22.09</v>
      </c>
      <c r="M39" s="112">
        <v>82.21</v>
      </c>
      <c r="N39" s="112">
        <v>137.1</v>
      </c>
      <c r="O39" s="112">
        <v>0</v>
      </c>
      <c r="P39" s="112">
        <v>0.72</v>
      </c>
      <c r="Q39" s="112">
        <v>4.3</v>
      </c>
    </row>
    <row r="40" spans="1:17" customFormat="1">
      <c r="A40" s="80">
        <v>45602.333333333336</v>
      </c>
      <c r="B40" s="112">
        <v>5.2</v>
      </c>
      <c r="C40" s="112">
        <v>8.09</v>
      </c>
      <c r="D40" s="112">
        <v>13.97</v>
      </c>
      <c r="E40" s="112">
        <v>7.87</v>
      </c>
      <c r="F40" s="112">
        <v>5.73</v>
      </c>
      <c r="G40" s="112">
        <v>101.46</v>
      </c>
      <c r="H40" s="112">
        <v>33.08</v>
      </c>
      <c r="I40" s="112">
        <v>9.3800000000000008</v>
      </c>
      <c r="J40" s="112">
        <v>0.54</v>
      </c>
      <c r="K40" s="112">
        <v>56.96</v>
      </c>
      <c r="L40" s="112">
        <v>22.82</v>
      </c>
      <c r="M40" s="112">
        <v>79.61</v>
      </c>
      <c r="N40" s="112">
        <v>172.9</v>
      </c>
      <c r="O40" s="112">
        <v>0</v>
      </c>
      <c r="P40" s="112">
        <v>0.74</v>
      </c>
      <c r="Q40" s="112">
        <v>4.29</v>
      </c>
    </row>
    <row r="41" spans="1:17" customFormat="1">
      <c r="A41" s="80">
        <v>45602.34375</v>
      </c>
      <c r="B41" s="112">
        <v>5.2</v>
      </c>
      <c r="C41" s="112">
        <v>8.08</v>
      </c>
      <c r="D41" s="112">
        <v>13.96</v>
      </c>
      <c r="E41" s="112">
        <v>8.4</v>
      </c>
      <c r="F41" s="112">
        <v>5.7</v>
      </c>
      <c r="G41" s="112">
        <v>101.46</v>
      </c>
      <c r="H41" s="112">
        <v>33.08</v>
      </c>
      <c r="I41" s="112">
        <v>9.6</v>
      </c>
      <c r="J41" s="112">
        <v>0.5</v>
      </c>
      <c r="K41" s="112">
        <v>45.22</v>
      </c>
      <c r="L41" s="112">
        <v>23.64</v>
      </c>
      <c r="M41" s="112">
        <v>76.92</v>
      </c>
      <c r="N41" s="112">
        <v>208.2</v>
      </c>
      <c r="O41" s="112">
        <v>0</v>
      </c>
      <c r="P41" s="112">
        <v>0.75</v>
      </c>
      <c r="Q41" s="112">
        <v>4.3</v>
      </c>
    </row>
    <row r="42" spans="1:17" customFormat="1">
      <c r="A42" s="80">
        <v>45602.354166666664</v>
      </c>
      <c r="B42" s="112">
        <v>5.2</v>
      </c>
      <c r="C42" s="112">
        <v>8.07</v>
      </c>
      <c r="D42" s="112">
        <v>13.96</v>
      </c>
      <c r="E42" s="112">
        <v>8.6199999999999992</v>
      </c>
      <c r="F42" s="112">
        <v>5.89</v>
      </c>
      <c r="G42" s="112">
        <v>101.46</v>
      </c>
      <c r="H42" s="112">
        <v>33.08</v>
      </c>
      <c r="I42" s="112">
        <v>9.75</v>
      </c>
      <c r="J42" s="112">
        <v>0.52</v>
      </c>
      <c r="K42" s="112">
        <v>40.81</v>
      </c>
      <c r="L42" s="112">
        <v>24.49</v>
      </c>
      <c r="M42" s="112">
        <v>72.900000000000006</v>
      </c>
      <c r="N42" s="112">
        <v>207.9</v>
      </c>
      <c r="O42" s="112">
        <v>0</v>
      </c>
      <c r="P42" s="112">
        <v>0.75</v>
      </c>
      <c r="Q42" s="112">
        <v>4.28</v>
      </c>
    </row>
    <row r="43" spans="1:17" customFormat="1">
      <c r="A43" s="80">
        <v>45602.364583333336</v>
      </c>
      <c r="B43" s="112">
        <v>5.2</v>
      </c>
      <c r="C43" s="112">
        <v>8.1</v>
      </c>
      <c r="D43" s="112">
        <v>13.97</v>
      </c>
      <c r="E43" s="112">
        <v>8.8000000000000007</v>
      </c>
      <c r="F43" s="112">
        <v>6.16</v>
      </c>
      <c r="G43" s="112">
        <v>104.8</v>
      </c>
      <c r="H43" s="112">
        <v>36.76</v>
      </c>
      <c r="I43" s="112">
        <v>9.83</v>
      </c>
      <c r="J43" s="112">
        <v>0.54</v>
      </c>
      <c r="K43" s="112">
        <v>40.200000000000003</v>
      </c>
      <c r="L43" s="112">
        <v>25.29</v>
      </c>
      <c r="M43" s="112">
        <v>69.069999999999993</v>
      </c>
      <c r="N43" s="112">
        <v>277</v>
      </c>
      <c r="O43" s="112">
        <v>0</v>
      </c>
      <c r="P43" s="112">
        <v>0.75</v>
      </c>
      <c r="Q43" s="112">
        <v>4.29</v>
      </c>
    </row>
    <row r="44" spans="1:17" customFormat="1">
      <c r="A44" s="80">
        <v>45602.375</v>
      </c>
      <c r="B44" s="112">
        <v>5.21</v>
      </c>
      <c r="C44" s="112">
        <v>8.09</v>
      </c>
      <c r="D44" s="112">
        <v>13.97</v>
      </c>
      <c r="E44" s="112">
        <v>8.34</v>
      </c>
      <c r="F44" s="112">
        <v>6.23</v>
      </c>
      <c r="G44" s="112">
        <v>106.15</v>
      </c>
      <c r="H44" s="112">
        <v>36.94</v>
      </c>
      <c r="I44" s="112">
        <v>9.92</v>
      </c>
      <c r="J44" s="112">
        <v>0.55000000000000004</v>
      </c>
      <c r="K44" s="112">
        <v>39.97</v>
      </c>
      <c r="L44" s="112">
        <v>25.79</v>
      </c>
      <c r="M44" s="112">
        <v>66.48</v>
      </c>
      <c r="N44" s="112">
        <v>256.60000000000002</v>
      </c>
      <c r="O44" s="112">
        <v>0</v>
      </c>
      <c r="P44" s="112">
        <v>0.76</v>
      </c>
      <c r="Q44" s="112">
        <v>4.3099999999999996</v>
      </c>
    </row>
    <row r="45" spans="1:17" customFormat="1">
      <c r="A45" s="80">
        <v>45602.385416666664</v>
      </c>
      <c r="B45" s="112">
        <v>5.2</v>
      </c>
      <c r="C45" s="112">
        <v>8.06</v>
      </c>
      <c r="D45" s="112">
        <v>13.95</v>
      </c>
      <c r="E45" s="112">
        <v>9.0299999999999994</v>
      </c>
      <c r="F45" s="112">
        <v>6.2</v>
      </c>
      <c r="G45" s="112">
        <v>106.15</v>
      </c>
      <c r="H45" s="112">
        <v>36.94</v>
      </c>
      <c r="I45" s="112">
        <v>9.9700000000000006</v>
      </c>
      <c r="J45" s="112">
        <v>0.55000000000000004</v>
      </c>
      <c r="K45" s="112">
        <v>39.020000000000003</v>
      </c>
      <c r="L45" s="112">
        <v>26.45</v>
      </c>
      <c r="M45" s="112">
        <v>63.55</v>
      </c>
      <c r="N45" s="112">
        <v>352.7</v>
      </c>
      <c r="O45" s="112">
        <v>0</v>
      </c>
      <c r="P45" s="112">
        <v>0.77</v>
      </c>
      <c r="Q45" s="112">
        <v>4.3099999999999996</v>
      </c>
    </row>
    <row r="46" spans="1:17" customFormat="1">
      <c r="A46" s="80">
        <v>45602.395833333336</v>
      </c>
      <c r="B46" s="112">
        <v>5.2</v>
      </c>
      <c r="C46" s="112">
        <v>8.08</v>
      </c>
      <c r="D46" s="112">
        <v>13.96</v>
      </c>
      <c r="E46" s="112">
        <v>8.9499999999999993</v>
      </c>
      <c r="F46" s="112">
        <v>6.27</v>
      </c>
      <c r="G46" s="112">
        <v>106.15</v>
      </c>
      <c r="H46" s="112">
        <v>36.94</v>
      </c>
      <c r="I46" s="112">
        <v>9.9600000000000009</v>
      </c>
      <c r="J46" s="112">
        <v>0.34</v>
      </c>
      <c r="K46" s="112">
        <v>54.85</v>
      </c>
      <c r="L46" s="112">
        <v>27.46</v>
      </c>
      <c r="M46" s="112">
        <v>58.71</v>
      </c>
      <c r="N46" s="112">
        <v>313.8</v>
      </c>
      <c r="O46" s="112">
        <v>0</v>
      </c>
      <c r="P46" s="112">
        <v>0.77</v>
      </c>
      <c r="Q46" s="112">
        <v>4.3099999999999996</v>
      </c>
    </row>
    <row r="47" spans="1:17" customFormat="1">
      <c r="A47" s="80">
        <v>45602.40625</v>
      </c>
      <c r="B47" s="112">
        <v>5.21</v>
      </c>
      <c r="C47" s="112">
        <v>8.07</v>
      </c>
      <c r="D47" s="112">
        <v>13.96</v>
      </c>
      <c r="E47" s="112">
        <v>9.92</v>
      </c>
      <c r="F47" s="112">
        <v>9.07</v>
      </c>
      <c r="G47" s="112">
        <v>100.92</v>
      </c>
      <c r="H47" s="112">
        <v>38.39</v>
      </c>
      <c r="I47" s="112">
        <v>9.92</v>
      </c>
      <c r="J47" s="112">
        <v>0.55000000000000004</v>
      </c>
      <c r="K47" s="112">
        <v>57.62</v>
      </c>
      <c r="L47" s="112">
        <v>27.59</v>
      </c>
      <c r="M47" s="112">
        <v>57.63</v>
      </c>
      <c r="N47" s="112">
        <v>418.1</v>
      </c>
      <c r="O47" s="112">
        <v>0</v>
      </c>
      <c r="P47" s="112">
        <v>0.76</v>
      </c>
      <c r="Q47" s="112">
        <v>4.3099999999999996</v>
      </c>
    </row>
    <row r="48" spans="1:17" customFormat="1">
      <c r="A48" s="80">
        <v>45602.416666666664</v>
      </c>
      <c r="B48" s="112">
        <v>5.2</v>
      </c>
      <c r="C48" s="112">
        <v>8.07</v>
      </c>
      <c r="D48" s="112">
        <v>13.95</v>
      </c>
      <c r="E48" s="112">
        <v>9.59</v>
      </c>
      <c r="F48" s="112">
        <v>7.43</v>
      </c>
      <c r="G48" s="112">
        <v>98.79</v>
      </c>
      <c r="H48" s="112">
        <v>38.46</v>
      </c>
      <c r="I48" s="112">
        <v>9.83</v>
      </c>
      <c r="J48" s="112">
        <v>0.39</v>
      </c>
      <c r="K48" s="112">
        <v>55.68</v>
      </c>
      <c r="L48" s="112">
        <v>27.94</v>
      </c>
      <c r="M48" s="112">
        <v>54.6</v>
      </c>
      <c r="N48" s="112">
        <v>451.3</v>
      </c>
      <c r="O48" s="112">
        <v>0</v>
      </c>
      <c r="P48" s="112">
        <v>0.78</v>
      </c>
      <c r="Q48" s="112">
        <v>4.29</v>
      </c>
    </row>
    <row r="49" spans="1:17" customFormat="1">
      <c r="A49" s="80">
        <v>45602.427083333336</v>
      </c>
      <c r="B49" s="112">
        <v>5.21</v>
      </c>
      <c r="C49" s="112">
        <v>8.06</v>
      </c>
      <c r="D49" s="112">
        <v>13.96</v>
      </c>
      <c r="E49" s="112">
        <v>9.6</v>
      </c>
      <c r="F49" s="112">
        <v>6.43</v>
      </c>
      <c r="G49" s="112">
        <v>98.79</v>
      </c>
      <c r="H49" s="112">
        <v>38.46</v>
      </c>
      <c r="I49" s="112">
        <v>9.75</v>
      </c>
      <c r="J49" s="112">
        <v>0.34</v>
      </c>
      <c r="K49" s="112">
        <v>81.489999999999995</v>
      </c>
      <c r="L49" s="112">
        <v>28.64</v>
      </c>
      <c r="M49" s="112">
        <v>51.96</v>
      </c>
      <c r="N49" s="112">
        <v>474.5</v>
      </c>
      <c r="O49" s="112">
        <v>0</v>
      </c>
      <c r="P49" s="112">
        <v>0.76</v>
      </c>
      <c r="Q49" s="112">
        <v>4.3</v>
      </c>
    </row>
    <row r="50" spans="1:17" customFormat="1">
      <c r="A50" s="80">
        <v>45602.4375</v>
      </c>
      <c r="B50" s="112">
        <v>5.23</v>
      </c>
      <c r="C50" s="112">
        <v>8.02</v>
      </c>
      <c r="D50" s="112">
        <v>13.95</v>
      </c>
      <c r="E50" s="112">
        <v>10.91</v>
      </c>
      <c r="F50" s="112">
        <v>6.89</v>
      </c>
      <c r="G50" s="112">
        <v>98.79</v>
      </c>
      <c r="H50" s="112">
        <v>38.46</v>
      </c>
      <c r="I50" s="112">
        <v>9.7100000000000009</v>
      </c>
      <c r="J50" s="112">
        <v>0.43</v>
      </c>
      <c r="K50" s="112">
        <v>53.76</v>
      </c>
      <c r="L50" s="112">
        <v>28.77</v>
      </c>
      <c r="M50" s="112">
        <v>50.87</v>
      </c>
      <c r="N50" s="112">
        <v>494.5</v>
      </c>
      <c r="O50" s="112">
        <v>0</v>
      </c>
      <c r="P50" s="112">
        <v>0.75</v>
      </c>
      <c r="Q50" s="112">
        <v>4.3</v>
      </c>
    </row>
    <row r="51" spans="1:17" customFormat="1">
      <c r="A51" s="80">
        <v>45602.447916666664</v>
      </c>
      <c r="B51" s="112">
        <v>5.21</v>
      </c>
      <c r="C51" s="112">
        <v>8.0399999999999991</v>
      </c>
      <c r="D51" s="112">
        <v>13.95</v>
      </c>
      <c r="E51" s="112">
        <v>11.24</v>
      </c>
      <c r="F51" s="112">
        <v>7.31</v>
      </c>
      <c r="G51" s="112">
        <v>95.39</v>
      </c>
      <c r="H51" s="112">
        <v>36.76</v>
      </c>
      <c r="I51" s="112">
        <v>9.67</v>
      </c>
      <c r="J51" s="112">
        <v>0.16</v>
      </c>
      <c r="K51" s="112">
        <v>356.64</v>
      </c>
      <c r="L51" s="112">
        <v>29.21</v>
      </c>
      <c r="M51" s="112">
        <v>48.62</v>
      </c>
      <c r="N51" s="112">
        <v>471.2</v>
      </c>
      <c r="O51" s="112">
        <v>0</v>
      </c>
      <c r="P51" s="112">
        <v>0.73</v>
      </c>
      <c r="Q51" s="112">
        <v>4.3099999999999996</v>
      </c>
    </row>
    <row r="52" spans="1:17" customFormat="1">
      <c r="A52" s="80">
        <v>45602.458333333336</v>
      </c>
      <c r="B52" s="112">
        <v>5.21</v>
      </c>
      <c r="C52" s="112">
        <v>8.07</v>
      </c>
      <c r="D52" s="112">
        <v>13.96</v>
      </c>
      <c r="E52" s="112">
        <v>11.01</v>
      </c>
      <c r="F52" s="112">
        <v>8.11</v>
      </c>
      <c r="G52" s="112">
        <v>94.01</v>
      </c>
      <c r="H52" s="112">
        <v>36.68</v>
      </c>
      <c r="I52" s="112">
        <v>9.59</v>
      </c>
      <c r="J52" s="112">
        <v>0.33</v>
      </c>
      <c r="K52" s="112">
        <v>81.5</v>
      </c>
      <c r="L52" s="112">
        <v>29.68</v>
      </c>
      <c r="M52" s="112">
        <v>46.12</v>
      </c>
      <c r="N52" s="112">
        <v>536.4</v>
      </c>
      <c r="O52" s="112">
        <v>0</v>
      </c>
      <c r="P52" s="112">
        <v>0.71</v>
      </c>
      <c r="Q52" s="112">
        <v>4.3099999999999996</v>
      </c>
    </row>
    <row r="53" spans="1:17" customFormat="1">
      <c r="A53" s="80">
        <v>45602.46875</v>
      </c>
      <c r="B53" s="112">
        <v>5.24</v>
      </c>
      <c r="C53" s="112">
        <v>8.02</v>
      </c>
      <c r="D53" s="112">
        <v>13.96</v>
      </c>
      <c r="E53" s="112">
        <v>12.08</v>
      </c>
      <c r="F53" s="112">
        <v>9.84</v>
      </c>
      <c r="G53" s="112">
        <v>94.01</v>
      </c>
      <c r="H53" s="112">
        <v>36.68</v>
      </c>
      <c r="I53" s="112">
        <v>9.51</v>
      </c>
      <c r="J53" s="112">
        <v>0.46</v>
      </c>
      <c r="K53" s="112">
        <v>8</v>
      </c>
      <c r="L53" s="112">
        <v>29.91</v>
      </c>
      <c r="M53" s="112">
        <v>44.65</v>
      </c>
      <c r="N53" s="112">
        <v>538.20000000000005</v>
      </c>
      <c r="O53" s="112">
        <v>0</v>
      </c>
      <c r="P53" s="112">
        <v>0.7</v>
      </c>
      <c r="Q53" s="112">
        <v>4.3</v>
      </c>
    </row>
    <row r="54" spans="1:17" customFormat="1">
      <c r="A54" s="80">
        <v>45602.479166666664</v>
      </c>
      <c r="B54" s="112">
        <v>5.26</v>
      </c>
      <c r="C54" s="112">
        <v>8.0299999999999994</v>
      </c>
      <c r="D54" s="112">
        <v>13.98</v>
      </c>
      <c r="E54" s="112">
        <v>11.92</v>
      </c>
      <c r="F54" s="112">
        <v>8.66</v>
      </c>
      <c r="G54" s="112">
        <v>94.01</v>
      </c>
      <c r="H54" s="112">
        <v>36.68</v>
      </c>
      <c r="I54" s="112">
        <v>9.43</v>
      </c>
      <c r="J54" s="112">
        <v>0.54</v>
      </c>
      <c r="K54" s="112">
        <v>51.89</v>
      </c>
      <c r="L54" s="112">
        <v>29.96</v>
      </c>
      <c r="M54" s="112">
        <v>45.42</v>
      </c>
      <c r="N54" s="112">
        <v>533.70000000000005</v>
      </c>
      <c r="O54" s="112">
        <v>0</v>
      </c>
      <c r="P54" s="112">
        <v>0.71</v>
      </c>
      <c r="Q54" s="112">
        <v>4.2699999999999996</v>
      </c>
    </row>
    <row r="55" spans="1:17" customFormat="1">
      <c r="A55" s="80">
        <v>45602.489583333336</v>
      </c>
      <c r="B55" s="112">
        <v>5.23</v>
      </c>
      <c r="C55" s="112">
        <v>8.09</v>
      </c>
      <c r="D55" s="112">
        <v>13.99</v>
      </c>
      <c r="E55" s="112">
        <v>11.56</v>
      </c>
      <c r="F55" s="112">
        <v>9.66</v>
      </c>
      <c r="G55" s="112">
        <v>88.39</v>
      </c>
      <c r="H55" s="112">
        <v>33.51</v>
      </c>
      <c r="I55" s="112">
        <v>9.3699999999999992</v>
      </c>
      <c r="J55" s="112">
        <v>0.25</v>
      </c>
      <c r="K55" s="112">
        <v>66.64</v>
      </c>
      <c r="L55" s="112">
        <v>30.83</v>
      </c>
      <c r="M55" s="112">
        <v>43.06</v>
      </c>
      <c r="N55" s="112">
        <v>543.9</v>
      </c>
      <c r="O55" s="112">
        <v>0</v>
      </c>
      <c r="P55" s="112">
        <v>0.71</v>
      </c>
      <c r="Q55" s="112">
        <v>4.29</v>
      </c>
    </row>
    <row r="56" spans="1:17" customFormat="1">
      <c r="A56" s="80">
        <v>45602.5</v>
      </c>
      <c r="B56" s="112">
        <v>5.25</v>
      </c>
      <c r="C56" s="112">
        <v>8.08</v>
      </c>
      <c r="D56" s="112">
        <v>14</v>
      </c>
      <c r="E56" s="112">
        <v>10.89</v>
      </c>
      <c r="F56" s="112">
        <v>8.1</v>
      </c>
      <c r="G56" s="112">
        <v>86.11</v>
      </c>
      <c r="H56" s="112">
        <v>33.270000000000003</v>
      </c>
      <c r="I56" s="112">
        <v>9.31</v>
      </c>
      <c r="J56" s="112">
        <v>0.25</v>
      </c>
      <c r="K56" s="112">
        <v>81.150000000000006</v>
      </c>
      <c r="L56" s="112">
        <v>31.24</v>
      </c>
      <c r="M56" s="112">
        <v>43.14</v>
      </c>
      <c r="N56" s="112">
        <v>471.3</v>
      </c>
      <c r="O56" s="112">
        <v>0</v>
      </c>
      <c r="P56" s="112">
        <v>0.7</v>
      </c>
      <c r="Q56" s="112">
        <v>4.3</v>
      </c>
    </row>
    <row r="57" spans="1:17" customFormat="1">
      <c r="A57" s="80">
        <v>45602.510416666664</v>
      </c>
      <c r="B57" s="112">
        <v>5.24</v>
      </c>
      <c r="C57" s="112">
        <v>8.09</v>
      </c>
      <c r="D57" s="112">
        <v>14</v>
      </c>
      <c r="E57" s="112">
        <v>11.8</v>
      </c>
      <c r="F57" s="112">
        <v>11.38</v>
      </c>
      <c r="G57" s="112">
        <v>86.11</v>
      </c>
      <c r="H57" s="112">
        <v>33.270000000000003</v>
      </c>
      <c r="I57" s="112">
        <v>9.26</v>
      </c>
      <c r="J57" s="112">
        <v>0.75</v>
      </c>
      <c r="K57" s="112">
        <v>44.27</v>
      </c>
      <c r="L57" s="112">
        <v>30.19</v>
      </c>
      <c r="M57" s="112">
        <v>44.43</v>
      </c>
      <c r="N57" s="112">
        <v>481.6</v>
      </c>
      <c r="O57" s="112">
        <v>0</v>
      </c>
      <c r="P57" s="112">
        <v>0.68</v>
      </c>
      <c r="Q57" s="112">
        <v>4.29</v>
      </c>
    </row>
    <row r="58" spans="1:17" customFormat="1">
      <c r="A58" s="80">
        <v>45602.520833333336</v>
      </c>
      <c r="B58" s="112">
        <v>5.25</v>
      </c>
      <c r="C58" s="112">
        <v>8.0399999999999991</v>
      </c>
      <c r="D58" s="112">
        <v>13.98</v>
      </c>
      <c r="E58" s="112">
        <v>12.21</v>
      </c>
      <c r="F58" s="112">
        <v>11.03</v>
      </c>
      <c r="G58" s="112">
        <v>86.11</v>
      </c>
      <c r="H58" s="112">
        <v>33.270000000000003</v>
      </c>
      <c r="I58" s="112">
        <v>9.16</v>
      </c>
      <c r="J58" s="112">
        <v>0.68</v>
      </c>
      <c r="K58" s="112">
        <v>56.27</v>
      </c>
      <c r="L58" s="112">
        <v>30.26</v>
      </c>
      <c r="M58" s="112">
        <v>43.69</v>
      </c>
      <c r="N58" s="112">
        <v>513.4</v>
      </c>
      <c r="O58" s="112">
        <v>0</v>
      </c>
      <c r="P58" s="112">
        <v>0.67</v>
      </c>
      <c r="Q58" s="112">
        <v>4.3</v>
      </c>
    </row>
    <row r="59" spans="1:17" customFormat="1">
      <c r="A59" s="80">
        <v>45602.53125</v>
      </c>
      <c r="B59" s="112">
        <v>5.25</v>
      </c>
      <c r="C59" s="112">
        <v>8.06</v>
      </c>
      <c r="D59" s="112">
        <v>13.99</v>
      </c>
      <c r="E59" s="112">
        <v>12.59</v>
      </c>
      <c r="F59" s="112">
        <v>11.64</v>
      </c>
      <c r="G59" s="112">
        <v>81.16</v>
      </c>
      <c r="H59" s="112">
        <v>31.14</v>
      </c>
      <c r="I59" s="112">
        <v>8.98</v>
      </c>
      <c r="J59" s="112">
        <v>0.35</v>
      </c>
      <c r="K59" s="112">
        <v>57.48</v>
      </c>
      <c r="L59" s="112">
        <v>30.64</v>
      </c>
      <c r="M59" s="112">
        <v>42.35</v>
      </c>
      <c r="N59" s="112">
        <v>453.9</v>
      </c>
      <c r="O59" s="112">
        <v>0</v>
      </c>
      <c r="P59" s="112">
        <v>0.67</v>
      </c>
      <c r="Q59" s="112">
        <v>4.3</v>
      </c>
    </row>
    <row r="60" spans="1:17" customFormat="1">
      <c r="A60" s="80">
        <v>45602.541666666664</v>
      </c>
      <c r="B60" s="112">
        <v>5.25</v>
      </c>
      <c r="C60" s="112">
        <v>8.06</v>
      </c>
      <c r="D60" s="112">
        <v>13.99</v>
      </c>
      <c r="E60" s="112">
        <v>13.04</v>
      </c>
      <c r="F60" s="112">
        <v>10.6</v>
      </c>
      <c r="G60" s="112">
        <v>79.16</v>
      </c>
      <c r="H60" s="112">
        <v>31.04</v>
      </c>
      <c r="I60" s="112">
        <v>8.84</v>
      </c>
      <c r="J60" s="112">
        <v>0.53</v>
      </c>
      <c r="K60" s="112">
        <v>67.709999999999994</v>
      </c>
      <c r="L60" s="112">
        <v>30.76</v>
      </c>
      <c r="M60" s="112">
        <v>40.729999999999997</v>
      </c>
      <c r="N60" s="112">
        <v>457.9</v>
      </c>
      <c r="O60" s="112">
        <v>0</v>
      </c>
      <c r="P60" s="112">
        <v>0.67</v>
      </c>
      <c r="Q60" s="112">
        <v>4.3</v>
      </c>
    </row>
    <row r="61" spans="1:17" customFormat="1">
      <c r="A61" s="80">
        <v>45602.552083333336</v>
      </c>
      <c r="B61" s="112">
        <v>5.24</v>
      </c>
      <c r="C61" s="112">
        <v>8.06</v>
      </c>
      <c r="D61" s="112">
        <v>13.98</v>
      </c>
      <c r="E61" s="112">
        <v>13.34</v>
      </c>
      <c r="F61" s="112">
        <v>13.04</v>
      </c>
      <c r="G61" s="112">
        <v>79.16</v>
      </c>
      <c r="H61" s="112">
        <v>31.04</v>
      </c>
      <c r="I61" s="112">
        <v>8.74</v>
      </c>
      <c r="J61" s="112">
        <v>0.69</v>
      </c>
      <c r="K61" s="112">
        <v>48.88</v>
      </c>
      <c r="L61" s="112">
        <v>30.62</v>
      </c>
      <c r="M61" s="112">
        <v>40.840000000000003</v>
      </c>
      <c r="N61" s="112">
        <v>303.39999999999998</v>
      </c>
      <c r="O61" s="112">
        <v>0</v>
      </c>
      <c r="P61" s="112">
        <v>0.66</v>
      </c>
      <c r="Q61" s="112">
        <v>4.3</v>
      </c>
    </row>
    <row r="62" spans="1:17" customFormat="1">
      <c r="A62" s="80">
        <v>45602.5625</v>
      </c>
      <c r="B62" s="112">
        <v>5.24</v>
      </c>
      <c r="C62" s="112">
        <v>8.06</v>
      </c>
      <c r="D62" s="112">
        <v>13.98</v>
      </c>
      <c r="E62" s="112">
        <v>14.77</v>
      </c>
      <c r="F62" s="112">
        <v>15.21</v>
      </c>
      <c r="G62" s="112">
        <v>79.16</v>
      </c>
      <c r="H62" s="112">
        <v>31.04</v>
      </c>
      <c r="I62" s="112">
        <v>8.68</v>
      </c>
      <c r="J62" s="112">
        <v>0.52</v>
      </c>
      <c r="K62" s="112">
        <v>39.93</v>
      </c>
      <c r="L62" s="112">
        <v>30.51</v>
      </c>
      <c r="M62" s="112">
        <v>42.31</v>
      </c>
      <c r="N62" s="112">
        <v>355.3</v>
      </c>
      <c r="O62" s="112">
        <v>0</v>
      </c>
      <c r="P62" s="112">
        <v>0.65</v>
      </c>
      <c r="Q62" s="112">
        <v>4.3</v>
      </c>
    </row>
    <row r="63" spans="1:17" customFormat="1">
      <c r="A63" s="80">
        <v>45602.572916666664</v>
      </c>
      <c r="B63" s="112">
        <v>5.24</v>
      </c>
      <c r="C63" s="112">
        <v>8.0500000000000007</v>
      </c>
      <c r="D63" s="112">
        <v>13.98</v>
      </c>
      <c r="E63" s="112">
        <v>15.57</v>
      </c>
      <c r="F63" s="112">
        <v>16.96</v>
      </c>
      <c r="G63" s="112">
        <v>76.39</v>
      </c>
      <c r="H63" s="112">
        <v>34.22</v>
      </c>
      <c r="I63" s="112">
        <v>8.5500000000000007</v>
      </c>
      <c r="J63" s="112">
        <v>0.9</v>
      </c>
      <c r="K63" s="112">
        <v>44.24</v>
      </c>
      <c r="L63" s="112">
        <v>30.61</v>
      </c>
      <c r="M63" s="112">
        <v>40.869999999999997</v>
      </c>
      <c r="N63" s="112">
        <v>344.4</v>
      </c>
      <c r="O63" s="112">
        <v>0</v>
      </c>
      <c r="P63" s="112">
        <v>0.64</v>
      </c>
      <c r="Q63" s="112">
        <v>4.3099999999999996</v>
      </c>
    </row>
    <row r="64" spans="1:17" customFormat="1">
      <c r="A64" s="80">
        <v>45602.583333333336</v>
      </c>
      <c r="B64" s="112">
        <v>5.23</v>
      </c>
      <c r="C64" s="112">
        <v>8.0500000000000007</v>
      </c>
      <c r="D64" s="112">
        <v>13.97</v>
      </c>
      <c r="E64" s="112">
        <v>18.670000000000002</v>
      </c>
      <c r="F64" s="112">
        <v>20.04</v>
      </c>
      <c r="G64" s="112">
        <v>75.27</v>
      </c>
      <c r="H64" s="112">
        <v>34.369999999999997</v>
      </c>
      <c r="I64" s="112">
        <v>8.4</v>
      </c>
      <c r="J64" s="112">
        <v>0.64</v>
      </c>
      <c r="K64" s="112">
        <v>40.869999999999997</v>
      </c>
      <c r="L64" s="112">
        <v>30.4</v>
      </c>
      <c r="M64" s="112">
        <v>39.86</v>
      </c>
      <c r="N64" s="112">
        <v>241.9</v>
      </c>
      <c r="O64" s="112">
        <v>0</v>
      </c>
      <c r="P64" s="112">
        <v>0.64</v>
      </c>
      <c r="Q64" s="112">
        <v>4.3</v>
      </c>
    </row>
    <row r="65" spans="1:17" customFormat="1">
      <c r="A65" s="80">
        <v>45602.59375</v>
      </c>
      <c r="B65" s="112">
        <v>5.25</v>
      </c>
      <c r="C65" s="112">
        <v>8.0500000000000007</v>
      </c>
      <c r="D65" s="112">
        <v>13.98</v>
      </c>
      <c r="E65" s="112">
        <v>15.92</v>
      </c>
      <c r="F65" s="112">
        <v>13.54</v>
      </c>
      <c r="G65" s="112">
        <v>75.27</v>
      </c>
      <c r="H65" s="112">
        <v>34.369999999999997</v>
      </c>
      <c r="I65" s="112">
        <v>8.2899999999999991</v>
      </c>
      <c r="J65" s="112">
        <v>0.25</v>
      </c>
      <c r="K65" s="112">
        <v>86.17</v>
      </c>
      <c r="L65" s="112">
        <v>30.68</v>
      </c>
      <c r="M65" s="112">
        <v>41.52</v>
      </c>
      <c r="N65" s="112">
        <v>170.3</v>
      </c>
      <c r="O65" s="112">
        <v>0</v>
      </c>
      <c r="P65" s="112">
        <v>0.59</v>
      </c>
      <c r="Q65" s="112">
        <v>4.32</v>
      </c>
    </row>
    <row r="66" spans="1:17" customFormat="1">
      <c r="A66" s="80">
        <v>45602.604166666664</v>
      </c>
      <c r="B66" s="112">
        <v>5.23</v>
      </c>
      <c r="C66" s="112">
        <v>8.08</v>
      </c>
      <c r="D66" s="112">
        <v>13.98</v>
      </c>
      <c r="E66" s="112">
        <v>14.84</v>
      </c>
      <c r="F66" s="112">
        <v>13.15</v>
      </c>
      <c r="G66" s="112">
        <v>75.27</v>
      </c>
      <c r="H66" s="112">
        <v>34.369999999999997</v>
      </c>
      <c r="I66" s="112">
        <v>8.2100000000000009</v>
      </c>
      <c r="J66" s="112">
        <v>0.75</v>
      </c>
      <c r="K66" s="112">
        <v>57.25</v>
      </c>
      <c r="L66" s="112">
        <v>30.17</v>
      </c>
      <c r="M66" s="112">
        <v>42.52</v>
      </c>
      <c r="N66" s="112">
        <v>93.8</v>
      </c>
      <c r="O66" s="112">
        <v>0</v>
      </c>
      <c r="P66" s="112">
        <v>0.64</v>
      </c>
      <c r="Q66" s="112">
        <v>4.3</v>
      </c>
    </row>
    <row r="67" spans="1:17" customFormat="1">
      <c r="A67" s="80">
        <v>45602.614583333336</v>
      </c>
      <c r="B67" s="112">
        <v>5.22</v>
      </c>
      <c r="C67" s="112">
        <v>8.07</v>
      </c>
      <c r="D67" s="112">
        <v>13.96</v>
      </c>
      <c r="E67" s="112">
        <v>15.63</v>
      </c>
      <c r="F67" s="112">
        <v>12.56</v>
      </c>
      <c r="G67" s="112">
        <v>75.31</v>
      </c>
      <c r="H67" s="112">
        <v>32.270000000000003</v>
      </c>
      <c r="I67" s="112">
        <v>8.18</v>
      </c>
      <c r="J67" s="112">
        <v>0.55000000000000004</v>
      </c>
      <c r="K67" s="112">
        <v>51.73</v>
      </c>
      <c r="L67" s="112">
        <v>29.85</v>
      </c>
      <c r="M67" s="112">
        <v>43.1</v>
      </c>
      <c r="N67" s="112">
        <v>119.3</v>
      </c>
      <c r="O67" s="112">
        <v>0</v>
      </c>
      <c r="P67" s="112">
        <v>0.64</v>
      </c>
      <c r="Q67" s="112">
        <v>4.3</v>
      </c>
    </row>
    <row r="68" spans="1:17" customFormat="1">
      <c r="A68" s="80">
        <v>45602.625</v>
      </c>
      <c r="B68" s="112">
        <v>5.23</v>
      </c>
      <c r="C68" s="112">
        <v>8.07</v>
      </c>
      <c r="D68" s="112">
        <v>13.98</v>
      </c>
      <c r="E68" s="112">
        <v>14.59</v>
      </c>
      <c r="F68" s="112">
        <v>15.16</v>
      </c>
      <c r="G68" s="112">
        <v>75.319999999999993</v>
      </c>
      <c r="H68" s="112">
        <v>32.17</v>
      </c>
      <c r="I68" s="112">
        <v>8.15</v>
      </c>
      <c r="J68" s="112">
        <v>0.46</v>
      </c>
      <c r="K68" s="112">
        <v>62.36</v>
      </c>
      <c r="L68" s="112">
        <v>30.19</v>
      </c>
      <c r="M68" s="112">
        <v>42.75</v>
      </c>
      <c r="N68" s="112">
        <v>118</v>
      </c>
      <c r="O68" s="112">
        <v>0</v>
      </c>
      <c r="P68" s="112">
        <v>0.64</v>
      </c>
      <c r="Q68" s="112">
        <v>4.28</v>
      </c>
    </row>
    <row r="69" spans="1:17" customFormat="1">
      <c r="A69" s="80">
        <v>45602.635416666664</v>
      </c>
      <c r="B69" s="112">
        <v>5.22</v>
      </c>
      <c r="C69" s="112">
        <v>8.09</v>
      </c>
      <c r="D69" s="112">
        <v>13.98</v>
      </c>
      <c r="E69" s="112">
        <v>14.16</v>
      </c>
      <c r="F69" s="112">
        <v>15</v>
      </c>
      <c r="G69" s="112">
        <v>75.319999999999993</v>
      </c>
      <c r="H69" s="112">
        <v>32.17</v>
      </c>
      <c r="I69" s="112">
        <v>8.0299999999999994</v>
      </c>
      <c r="J69" s="112">
        <v>0.73</v>
      </c>
      <c r="K69" s="112">
        <v>46.52</v>
      </c>
      <c r="L69" s="112">
        <v>29.75</v>
      </c>
      <c r="M69" s="112">
        <v>43.42</v>
      </c>
      <c r="N69" s="112">
        <v>71.3</v>
      </c>
      <c r="O69" s="112">
        <v>0</v>
      </c>
      <c r="P69" s="112">
        <v>0.64</v>
      </c>
      <c r="Q69" s="112">
        <v>4.3099999999999996</v>
      </c>
    </row>
    <row r="70" spans="1:17" customFormat="1">
      <c r="A70" s="80">
        <v>45602.645833333336</v>
      </c>
      <c r="B70" s="112">
        <v>5.23</v>
      </c>
      <c r="C70" s="112">
        <v>8.06</v>
      </c>
      <c r="D70" s="112">
        <v>13.97</v>
      </c>
      <c r="E70" s="112">
        <v>14.34</v>
      </c>
      <c r="F70" s="112">
        <v>14.02</v>
      </c>
      <c r="G70" s="112">
        <v>75.319999999999993</v>
      </c>
      <c r="H70" s="112">
        <v>32.17</v>
      </c>
      <c r="I70" s="112">
        <v>7.89</v>
      </c>
      <c r="J70" s="112">
        <v>0.46</v>
      </c>
      <c r="K70" s="112">
        <v>57.1</v>
      </c>
      <c r="L70" s="112">
        <v>29.62</v>
      </c>
      <c r="M70" s="112">
        <v>44.39</v>
      </c>
      <c r="N70" s="112">
        <v>76.8</v>
      </c>
      <c r="O70" s="112">
        <v>0</v>
      </c>
      <c r="P70" s="112">
        <v>0.64</v>
      </c>
      <c r="Q70" s="112">
        <v>4.29</v>
      </c>
    </row>
    <row r="71" spans="1:17" customFormat="1">
      <c r="A71" s="80">
        <v>45602.65625</v>
      </c>
      <c r="B71" s="112">
        <v>5.23</v>
      </c>
      <c r="C71" s="112">
        <v>8.06</v>
      </c>
      <c r="D71" s="112">
        <v>13.97</v>
      </c>
      <c r="E71" s="112">
        <v>13.4</v>
      </c>
      <c r="F71" s="112">
        <v>15.61</v>
      </c>
      <c r="G71" s="112">
        <v>76.59</v>
      </c>
      <c r="H71" s="112">
        <v>32.6</v>
      </c>
      <c r="I71" s="112">
        <v>7.82</v>
      </c>
      <c r="J71" s="112">
        <v>0.32</v>
      </c>
      <c r="K71" s="112">
        <v>75.069999999999993</v>
      </c>
      <c r="L71" s="112">
        <v>29.53</v>
      </c>
      <c r="M71" s="112">
        <v>45.23</v>
      </c>
      <c r="N71" s="112">
        <v>59.6</v>
      </c>
      <c r="O71" s="112">
        <v>0</v>
      </c>
      <c r="P71" s="112">
        <v>0.63</v>
      </c>
      <c r="Q71" s="112">
        <v>4.28</v>
      </c>
    </row>
    <row r="72" spans="1:17" customFormat="1">
      <c r="A72" s="80">
        <v>45602.666666666664</v>
      </c>
      <c r="B72" s="112">
        <v>5.24</v>
      </c>
      <c r="C72" s="112">
        <v>8.06</v>
      </c>
      <c r="D72" s="112">
        <v>13.98</v>
      </c>
      <c r="E72" s="112">
        <v>12.53</v>
      </c>
      <c r="F72" s="112">
        <v>13.49</v>
      </c>
      <c r="G72" s="112">
        <v>77.099999999999994</v>
      </c>
      <c r="H72" s="112">
        <v>32.619999999999997</v>
      </c>
      <c r="I72" s="112">
        <v>7.71</v>
      </c>
      <c r="J72" s="112">
        <v>0.34</v>
      </c>
      <c r="K72" s="112">
        <v>78.62</v>
      </c>
      <c r="L72" s="112">
        <v>29.28</v>
      </c>
      <c r="M72" s="112">
        <v>45.26</v>
      </c>
      <c r="N72" s="112">
        <v>48.5</v>
      </c>
      <c r="O72" s="112">
        <v>0</v>
      </c>
      <c r="P72" s="112">
        <v>0.63</v>
      </c>
      <c r="Q72" s="112">
        <v>4.29</v>
      </c>
    </row>
    <row r="73" spans="1:17" customFormat="1">
      <c r="A73" s="80">
        <v>45602.677083333336</v>
      </c>
      <c r="B73" s="112">
        <v>5.22</v>
      </c>
      <c r="C73" s="112">
        <v>8.09</v>
      </c>
      <c r="D73" s="112">
        <v>13.98</v>
      </c>
      <c r="E73" s="112">
        <v>11.99</v>
      </c>
      <c r="F73" s="112">
        <v>13.23</v>
      </c>
      <c r="G73" s="112">
        <v>77.099999999999994</v>
      </c>
      <c r="H73" s="112">
        <v>32.619999999999997</v>
      </c>
      <c r="I73" s="112">
        <v>7.62</v>
      </c>
      <c r="J73" s="112">
        <v>0.25</v>
      </c>
      <c r="K73" s="112">
        <v>88.19</v>
      </c>
      <c r="L73" s="112">
        <v>29.1</v>
      </c>
      <c r="M73" s="112">
        <v>47.02</v>
      </c>
      <c r="N73" s="112">
        <v>36.799999999999997</v>
      </c>
      <c r="O73" s="112">
        <v>0</v>
      </c>
      <c r="P73" s="112">
        <v>0.63</v>
      </c>
      <c r="Q73" s="112">
        <v>4.3</v>
      </c>
    </row>
    <row r="74" spans="1:17" customFormat="1">
      <c r="A74" s="80">
        <v>45602.6875</v>
      </c>
      <c r="B74" s="112">
        <v>5.23</v>
      </c>
      <c r="C74" s="112">
        <v>8.08</v>
      </c>
      <c r="D74" s="112">
        <v>13.98</v>
      </c>
      <c r="E74" s="112">
        <v>11.81</v>
      </c>
      <c r="F74" s="112">
        <v>14.34</v>
      </c>
      <c r="G74" s="112">
        <v>77.099999999999994</v>
      </c>
      <c r="H74" s="112">
        <v>32.619999999999997</v>
      </c>
      <c r="I74" s="112">
        <v>7.61</v>
      </c>
      <c r="J74" s="112">
        <v>0.24</v>
      </c>
      <c r="K74" s="112">
        <v>146.80000000000001</v>
      </c>
      <c r="L74" s="112">
        <v>28.78</v>
      </c>
      <c r="M74" s="112">
        <v>48.94</v>
      </c>
      <c r="N74" s="112">
        <v>26.9</v>
      </c>
      <c r="O74" s="112">
        <v>0</v>
      </c>
      <c r="P74" s="112">
        <v>0.62</v>
      </c>
      <c r="Q74" s="112">
        <v>4.3</v>
      </c>
    </row>
    <row r="75" spans="1:17" customFormat="1">
      <c r="A75" s="80">
        <v>45602.697916666664</v>
      </c>
      <c r="B75" s="112">
        <v>5.26</v>
      </c>
      <c r="C75" s="112">
        <v>8.06</v>
      </c>
      <c r="D75" s="112">
        <v>14</v>
      </c>
      <c r="E75" s="112">
        <v>12.5</v>
      </c>
      <c r="F75" s="112">
        <v>14.14</v>
      </c>
      <c r="G75" s="112">
        <v>77.3</v>
      </c>
      <c r="H75" s="112">
        <v>35.880000000000003</v>
      </c>
      <c r="I75" s="112">
        <v>7.52</v>
      </c>
      <c r="J75" s="112">
        <v>0.2</v>
      </c>
      <c r="K75" s="112">
        <v>138.58000000000001</v>
      </c>
      <c r="L75" s="112">
        <v>28.38</v>
      </c>
      <c r="M75" s="112">
        <v>50.2</v>
      </c>
      <c r="N75" s="112">
        <v>17.100000000000001</v>
      </c>
      <c r="O75" s="112">
        <v>0</v>
      </c>
      <c r="P75" s="112">
        <v>0.61</v>
      </c>
      <c r="Q75" s="112">
        <v>4.3</v>
      </c>
    </row>
    <row r="76" spans="1:17" customFormat="1">
      <c r="A76" s="80">
        <v>45602.708333333336</v>
      </c>
      <c r="B76" s="112">
        <v>5.24</v>
      </c>
      <c r="C76" s="112">
        <v>8.08</v>
      </c>
      <c r="D76" s="112">
        <v>13.99</v>
      </c>
      <c r="E76" s="112">
        <v>11.78</v>
      </c>
      <c r="F76" s="112">
        <v>13.85</v>
      </c>
      <c r="G76" s="112">
        <v>77.37</v>
      </c>
      <c r="H76" s="112">
        <v>36.03</v>
      </c>
      <c r="I76" s="112">
        <v>7.39</v>
      </c>
      <c r="J76" s="112">
        <v>0.22</v>
      </c>
      <c r="K76" s="112">
        <v>150.02000000000001</v>
      </c>
      <c r="L76" s="112">
        <v>27.92</v>
      </c>
      <c r="M76" s="112">
        <v>52.72</v>
      </c>
      <c r="N76" s="112">
        <v>8.6999999999999993</v>
      </c>
      <c r="O76" s="112">
        <v>0</v>
      </c>
      <c r="P76" s="112">
        <v>0.62</v>
      </c>
      <c r="Q76" s="112">
        <v>4.28</v>
      </c>
    </row>
    <row r="77" spans="1:17" customFormat="1">
      <c r="A77" s="80">
        <v>45602.71875</v>
      </c>
      <c r="B77" s="112">
        <v>5.24</v>
      </c>
      <c r="C77" s="112">
        <v>8.07</v>
      </c>
      <c r="D77" s="112">
        <v>13.98</v>
      </c>
      <c r="E77" s="112">
        <v>11.62</v>
      </c>
      <c r="F77" s="112">
        <v>11.08</v>
      </c>
      <c r="G77" s="112">
        <v>77.37</v>
      </c>
      <c r="H77" s="112">
        <v>36.03</v>
      </c>
      <c r="I77" s="112">
        <v>7.29</v>
      </c>
      <c r="J77" s="112">
        <v>0.23</v>
      </c>
      <c r="K77" s="112">
        <v>161.03</v>
      </c>
      <c r="L77" s="112">
        <v>27.15</v>
      </c>
      <c r="M77" s="112">
        <v>56.15</v>
      </c>
      <c r="N77" s="112">
        <v>4.2</v>
      </c>
      <c r="O77" s="112">
        <v>0</v>
      </c>
      <c r="P77" s="112">
        <v>0.62</v>
      </c>
      <c r="Q77" s="112">
        <v>4.28</v>
      </c>
    </row>
    <row r="78" spans="1:17" customFormat="1">
      <c r="A78" s="80">
        <v>45602.729166666664</v>
      </c>
      <c r="B78" s="112">
        <v>5.25</v>
      </c>
      <c r="C78" s="112">
        <v>8.0500000000000007</v>
      </c>
      <c r="D78" s="112">
        <v>13.98</v>
      </c>
      <c r="E78" s="112">
        <v>11.23</v>
      </c>
      <c r="F78" s="112">
        <v>9.39</v>
      </c>
      <c r="G78" s="112">
        <v>77.37</v>
      </c>
      <c r="H78" s="112">
        <v>36.03</v>
      </c>
      <c r="I78" s="112">
        <v>7.32</v>
      </c>
      <c r="J78" s="112">
        <v>0.22</v>
      </c>
      <c r="K78" s="112">
        <v>170.79</v>
      </c>
      <c r="L78" s="112">
        <v>26.56</v>
      </c>
      <c r="M78" s="112">
        <v>58.83</v>
      </c>
      <c r="N78" s="112">
        <v>2.4</v>
      </c>
      <c r="O78" s="112">
        <v>0</v>
      </c>
      <c r="P78" s="112">
        <v>0.61</v>
      </c>
      <c r="Q78" s="112">
        <v>4.3</v>
      </c>
    </row>
    <row r="79" spans="1:17" customFormat="1">
      <c r="A79" s="80">
        <v>45602.739583333336</v>
      </c>
      <c r="B79" s="112">
        <v>5.25</v>
      </c>
      <c r="C79" s="112">
        <v>8.0500000000000007</v>
      </c>
      <c r="D79" s="112">
        <v>13.98</v>
      </c>
      <c r="E79" s="112">
        <v>11.02</v>
      </c>
      <c r="F79" s="112">
        <v>11</v>
      </c>
      <c r="G79" s="112">
        <v>83.79</v>
      </c>
      <c r="H79" s="112">
        <v>34.01</v>
      </c>
      <c r="I79" s="112">
        <v>7.52</v>
      </c>
      <c r="J79" s="112">
        <v>0.21</v>
      </c>
      <c r="K79" s="112">
        <v>165.75</v>
      </c>
      <c r="L79" s="112">
        <v>26.24</v>
      </c>
      <c r="M79" s="112">
        <v>59.88</v>
      </c>
      <c r="N79" s="112">
        <v>1.9</v>
      </c>
      <c r="O79" s="112">
        <v>0</v>
      </c>
      <c r="P79" s="112">
        <v>0.61</v>
      </c>
      <c r="Q79" s="112">
        <v>4.3</v>
      </c>
    </row>
    <row r="80" spans="1:17" customFormat="1">
      <c r="A80" s="80">
        <v>45602.75</v>
      </c>
      <c r="B80" s="112">
        <v>5.23</v>
      </c>
      <c r="C80" s="112">
        <v>8.07</v>
      </c>
      <c r="D80" s="112">
        <v>13.98</v>
      </c>
      <c r="E80" s="112">
        <v>11.54</v>
      </c>
      <c r="F80" s="112">
        <v>11.51</v>
      </c>
      <c r="G80" s="112">
        <v>86.39</v>
      </c>
      <c r="H80" s="112">
        <v>33.86</v>
      </c>
      <c r="I80" s="112">
        <v>8.02</v>
      </c>
      <c r="J80" s="112">
        <v>0.22</v>
      </c>
      <c r="K80" s="112">
        <v>165.38</v>
      </c>
      <c r="L80" s="112">
        <v>26.13</v>
      </c>
      <c r="M80" s="112">
        <v>60.14</v>
      </c>
      <c r="N80" s="112">
        <v>1.6</v>
      </c>
      <c r="O80" s="112">
        <v>0</v>
      </c>
      <c r="P80" s="112">
        <v>0.61</v>
      </c>
      <c r="Q80" s="112">
        <v>4.3</v>
      </c>
    </row>
    <row r="81" spans="1:17" customFormat="1">
      <c r="A81" s="80">
        <v>45602.760416666664</v>
      </c>
      <c r="B81" s="112">
        <v>5.22</v>
      </c>
      <c r="C81" s="112">
        <v>8.09</v>
      </c>
      <c r="D81" s="112">
        <v>13.98</v>
      </c>
      <c r="E81" s="112">
        <v>9.02</v>
      </c>
      <c r="F81" s="112">
        <v>10.15</v>
      </c>
      <c r="G81" s="112">
        <v>86.39</v>
      </c>
      <c r="H81" s="112">
        <v>33.86</v>
      </c>
      <c r="I81" s="112">
        <v>8.64</v>
      </c>
      <c r="J81" s="112">
        <v>0.24</v>
      </c>
      <c r="K81" s="112">
        <v>165.94</v>
      </c>
      <c r="L81" s="112">
        <v>26.24</v>
      </c>
      <c r="M81" s="112">
        <v>59.43</v>
      </c>
      <c r="N81" s="112">
        <v>1.5</v>
      </c>
      <c r="O81" s="112">
        <v>0</v>
      </c>
      <c r="P81" s="112">
        <v>0.61</v>
      </c>
      <c r="Q81" s="112">
        <v>4.29</v>
      </c>
    </row>
    <row r="82" spans="1:17" customFormat="1">
      <c r="A82" s="80">
        <v>45602.770833333336</v>
      </c>
      <c r="B82" s="112">
        <v>5.22</v>
      </c>
      <c r="C82" s="112">
        <v>8.11</v>
      </c>
      <c r="D82" s="112">
        <v>13.99</v>
      </c>
      <c r="E82" s="112">
        <v>9.74</v>
      </c>
      <c r="F82" s="112">
        <v>8.52</v>
      </c>
      <c r="G82" s="112">
        <v>86.39</v>
      </c>
      <c r="H82" s="112">
        <v>33.86</v>
      </c>
      <c r="I82" s="112">
        <v>8.93</v>
      </c>
      <c r="J82" s="112">
        <v>0.23</v>
      </c>
      <c r="K82" s="112">
        <v>161.24</v>
      </c>
      <c r="L82" s="112">
        <v>25.89</v>
      </c>
      <c r="M82" s="112">
        <v>62.51</v>
      </c>
      <c r="N82" s="112">
        <v>1.8</v>
      </c>
      <c r="O82" s="112">
        <v>0</v>
      </c>
      <c r="P82" s="112">
        <v>0.61</v>
      </c>
      <c r="Q82" s="112">
        <v>4.29</v>
      </c>
    </row>
    <row r="83" spans="1:17" customFormat="1">
      <c r="A83" s="80">
        <v>45602.78125</v>
      </c>
      <c r="B83" s="112">
        <v>5.23</v>
      </c>
      <c r="C83" s="112">
        <v>8.09</v>
      </c>
      <c r="D83" s="112">
        <v>13.99</v>
      </c>
      <c r="E83" s="112">
        <v>9.68</v>
      </c>
      <c r="F83" s="112">
        <v>7.87</v>
      </c>
      <c r="G83" s="112">
        <v>88.33</v>
      </c>
      <c r="H83" s="112">
        <v>36.380000000000003</v>
      </c>
      <c r="I83" s="112">
        <v>8.86</v>
      </c>
      <c r="J83" s="112">
        <v>0.15</v>
      </c>
      <c r="K83" s="112">
        <v>171.62</v>
      </c>
      <c r="L83" s="112">
        <v>25.48</v>
      </c>
      <c r="M83" s="112">
        <v>64.08</v>
      </c>
      <c r="N83" s="112">
        <v>1.8</v>
      </c>
      <c r="O83" s="112">
        <v>0</v>
      </c>
      <c r="P83" s="112">
        <v>0.62</v>
      </c>
      <c r="Q83" s="112">
        <v>4.3</v>
      </c>
    </row>
    <row r="84" spans="1:17" customFormat="1">
      <c r="A84" s="80">
        <v>45602.791666666664</v>
      </c>
      <c r="B84" s="112">
        <v>5.24</v>
      </c>
      <c r="C84" s="112">
        <v>8.0399999999999991</v>
      </c>
      <c r="D84" s="112">
        <v>13.97</v>
      </c>
      <c r="E84" s="112">
        <v>9.51</v>
      </c>
      <c r="F84" s="112">
        <v>7.63</v>
      </c>
      <c r="G84" s="112">
        <v>89.07</v>
      </c>
      <c r="H84" s="112">
        <v>36.5</v>
      </c>
      <c r="I84" s="112">
        <v>8.8000000000000007</v>
      </c>
      <c r="J84" s="112">
        <v>0.17</v>
      </c>
      <c r="K84" s="112">
        <v>166.39</v>
      </c>
      <c r="L84" s="112">
        <v>25.15</v>
      </c>
      <c r="M84" s="112">
        <v>66.41</v>
      </c>
      <c r="N84" s="112">
        <v>1.7</v>
      </c>
      <c r="O84" s="112">
        <v>0</v>
      </c>
      <c r="P84" s="112">
        <v>0.61</v>
      </c>
      <c r="Q84" s="112">
        <v>4.3</v>
      </c>
    </row>
    <row r="85" spans="1:17" customFormat="1">
      <c r="A85" s="80">
        <v>45602.802083333336</v>
      </c>
      <c r="B85" s="112">
        <v>5.24</v>
      </c>
      <c r="C85" s="112">
        <v>8.0299999999999994</v>
      </c>
      <c r="D85" s="112">
        <v>13.97</v>
      </c>
      <c r="E85" s="112">
        <v>9.75</v>
      </c>
      <c r="F85" s="112">
        <v>7.19</v>
      </c>
      <c r="G85" s="112">
        <v>89.07</v>
      </c>
      <c r="H85" s="112">
        <v>36.5</v>
      </c>
      <c r="I85" s="112">
        <v>8.75</v>
      </c>
      <c r="J85" s="112">
        <v>0.18</v>
      </c>
      <c r="K85" s="112">
        <v>167.89</v>
      </c>
      <c r="L85" s="112">
        <v>24.91</v>
      </c>
      <c r="M85" s="112">
        <v>68.17</v>
      </c>
      <c r="N85" s="112">
        <v>1.7</v>
      </c>
      <c r="O85" s="112">
        <v>0</v>
      </c>
      <c r="P85" s="112">
        <v>0.63</v>
      </c>
      <c r="Q85" s="112">
        <v>4.29</v>
      </c>
    </row>
    <row r="86" spans="1:17" customFormat="1">
      <c r="A86" s="80">
        <v>45602.8125</v>
      </c>
      <c r="B86" s="112">
        <v>5.24</v>
      </c>
      <c r="C86" s="112">
        <v>8.07</v>
      </c>
      <c r="D86" s="112">
        <v>13.98</v>
      </c>
      <c r="E86" s="112">
        <v>9.68</v>
      </c>
      <c r="F86" s="112">
        <v>6.84</v>
      </c>
      <c r="G86" s="112">
        <v>89.07</v>
      </c>
      <c r="H86" s="112">
        <v>36.5</v>
      </c>
      <c r="I86" s="112">
        <v>8.6999999999999993</v>
      </c>
      <c r="J86" s="112">
        <v>0.19</v>
      </c>
      <c r="K86" s="112">
        <v>169.1</v>
      </c>
      <c r="L86" s="112">
        <v>24.7</v>
      </c>
      <c r="M86" s="112">
        <v>71.58</v>
      </c>
      <c r="N86" s="112">
        <v>1.7</v>
      </c>
      <c r="O86" s="112">
        <v>0</v>
      </c>
      <c r="P86" s="112">
        <v>0.64</v>
      </c>
      <c r="Q86" s="112">
        <v>4.29</v>
      </c>
    </row>
    <row r="87" spans="1:17" customFormat="1">
      <c r="A87" s="80">
        <v>45602.822916666664</v>
      </c>
      <c r="B87" s="112">
        <v>5.24</v>
      </c>
      <c r="C87" s="112">
        <v>8.06</v>
      </c>
      <c r="D87" s="112">
        <v>13.98</v>
      </c>
      <c r="E87" s="112">
        <v>9.5299999999999994</v>
      </c>
      <c r="F87" s="112">
        <v>7.54</v>
      </c>
      <c r="G87" s="112">
        <v>91.92</v>
      </c>
      <c r="H87" s="112">
        <v>38.9</v>
      </c>
      <c r="I87" s="112">
        <v>8.68</v>
      </c>
      <c r="J87" s="112">
        <v>0.25</v>
      </c>
      <c r="K87" s="112">
        <v>169.76</v>
      </c>
      <c r="L87" s="112">
        <v>24.69</v>
      </c>
      <c r="M87" s="112">
        <v>67.75</v>
      </c>
      <c r="N87" s="112">
        <v>1.5</v>
      </c>
      <c r="O87" s="112">
        <v>0</v>
      </c>
      <c r="P87" s="112">
        <v>0.64</v>
      </c>
      <c r="Q87" s="112">
        <v>4.28</v>
      </c>
    </row>
    <row r="88" spans="1:17" customFormat="1">
      <c r="A88" s="80">
        <v>45602.833333333336</v>
      </c>
      <c r="B88" s="112">
        <v>5.23</v>
      </c>
      <c r="C88" s="112">
        <v>8.07</v>
      </c>
      <c r="D88" s="112">
        <v>13.98</v>
      </c>
      <c r="E88" s="112">
        <v>9.66</v>
      </c>
      <c r="F88" s="112">
        <v>7.11</v>
      </c>
      <c r="G88" s="112">
        <v>93.07</v>
      </c>
      <c r="H88" s="112">
        <v>39.01</v>
      </c>
      <c r="I88" s="112">
        <v>8.6300000000000008</v>
      </c>
      <c r="J88" s="112">
        <v>0.16</v>
      </c>
      <c r="K88" s="112">
        <v>176.92</v>
      </c>
      <c r="L88" s="112">
        <v>24.19</v>
      </c>
      <c r="M88" s="112">
        <v>73.72</v>
      </c>
      <c r="N88" s="112">
        <v>1.8</v>
      </c>
      <c r="O88" s="112">
        <v>0</v>
      </c>
      <c r="P88" s="112">
        <v>0.63</v>
      </c>
      <c r="Q88" s="112">
        <v>4.28</v>
      </c>
    </row>
    <row r="89" spans="1:17" customFormat="1">
      <c r="A89" s="80">
        <v>45602.84375</v>
      </c>
      <c r="B89" s="112">
        <v>5.24</v>
      </c>
      <c r="C89" s="112">
        <v>8.06</v>
      </c>
      <c r="D89" s="112">
        <v>13.98</v>
      </c>
      <c r="E89" s="112">
        <v>9.64</v>
      </c>
      <c r="F89" s="112">
        <v>6.5</v>
      </c>
      <c r="G89" s="112">
        <v>93.07</v>
      </c>
      <c r="H89" s="112">
        <v>39.01</v>
      </c>
      <c r="I89" s="112">
        <v>8.6</v>
      </c>
      <c r="J89" s="112">
        <v>0.16</v>
      </c>
      <c r="K89" s="112">
        <v>176.07</v>
      </c>
      <c r="L89" s="112">
        <v>23.71</v>
      </c>
      <c r="M89" s="112">
        <v>77.77</v>
      </c>
      <c r="N89" s="112">
        <v>1.8</v>
      </c>
      <c r="O89" s="112">
        <v>0</v>
      </c>
      <c r="P89" s="112">
        <v>0.63</v>
      </c>
      <c r="Q89" s="112">
        <v>4.29</v>
      </c>
    </row>
    <row r="90" spans="1:17" customFormat="1">
      <c r="A90" s="80">
        <v>45602.854166666664</v>
      </c>
      <c r="B90" s="112">
        <v>5.23</v>
      </c>
      <c r="C90" s="112">
        <v>8.06</v>
      </c>
      <c r="D90" s="112">
        <v>13.98</v>
      </c>
      <c r="E90" s="112">
        <v>9.43</v>
      </c>
      <c r="F90" s="112">
        <v>5.93</v>
      </c>
      <c r="G90" s="112">
        <v>93.07</v>
      </c>
      <c r="H90" s="112">
        <v>39.01</v>
      </c>
      <c r="I90" s="112">
        <v>8.57</v>
      </c>
      <c r="J90" s="112">
        <v>0.11</v>
      </c>
      <c r="K90" s="112">
        <v>188.4</v>
      </c>
      <c r="L90" s="112">
        <v>23.47</v>
      </c>
      <c r="M90" s="112">
        <v>77.55</v>
      </c>
      <c r="N90" s="112">
        <v>1.7</v>
      </c>
      <c r="O90" s="112">
        <v>0</v>
      </c>
      <c r="P90" s="112">
        <v>0.63</v>
      </c>
      <c r="Q90" s="112">
        <v>4.28</v>
      </c>
    </row>
    <row r="91" spans="1:17" customFormat="1">
      <c r="A91" s="80">
        <v>45602.864583333336</v>
      </c>
      <c r="B91" s="112">
        <v>5.25</v>
      </c>
      <c r="C91" s="112">
        <v>8.0500000000000007</v>
      </c>
      <c r="D91" s="112">
        <v>13.99</v>
      </c>
      <c r="E91" s="112">
        <v>10.119999999999999</v>
      </c>
      <c r="F91" s="112">
        <v>6.13</v>
      </c>
      <c r="G91" s="112">
        <v>96.36</v>
      </c>
      <c r="H91" s="112">
        <v>38.630000000000003</v>
      </c>
      <c r="I91" s="112">
        <v>8.57</v>
      </c>
      <c r="J91" s="112">
        <v>0.15</v>
      </c>
      <c r="K91" s="112">
        <v>175.53</v>
      </c>
      <c r="L91" s="112">
        <v>23.22</v>
      </c>
      <c r="M91" s="112">
        <v>79.099999999999994</v>
      </c>
      <c r="N91" s="112">
        <v>1.7</v>
      </c>
      <c r="O91" s="112">
        <v>0</v>
      </c>
      <c r="P91" s="112">
        <v>0.62</v>
      </c>
      <c r="Q91" s="112">
        <v>4.29</v>
      </c>
    </row>
    <row r="92" spans="1:17" customFormat="1">
      <c r="A92" s="80">
        <v>45602.875</v>
      </c>
      <c r="B92" s="112">
        <v>5.24</v>
      </c>
      <c r="C92" s="112">
        <v>8.06</v>
      </c>
      <c r="D92" s="112">
        <v>13.98</v>
      </c>
      <c r="E92" s="112">
        <v>9.99</v>
      </c>
      <c r="F92" s="112">
        <v>5.8</v>
      </c>
      <c r="G92" s="112">
        <v>97.63</v>
      </c>
      <c r="H92" s="112">
        <v>38.61</v>
      </c>
      <c r="I92" s="112">
        <v>8.59</v>
      </c>
      <c r="J92" s="112">
        <v>0.14000000000000001</v>
      </c>
      <c r="K92" s="112">
        <v>166.45</v>
      </c>
      <c r="L92" s="112">
        <v>23.08</v>
      </c>
      <c r="M92" s="112">
        <v>79.099999999999994</v>
      </c>
      <c r="N92" s="112">
        <v>1.6</v>
      </c>
      <c r="O92" s="112">
        <v>0</v>
      </c>
      <c r="P92" s="112">
        <v>0.64</v>
      </c>
      <c r="Q92" s="112">
        <v>4.29</v>
      </c>
    </row>
    <row r="93" spans="1:17" customFormat="1">
      <c r="A93" s="80">
        <v>45602.885416666664</v>
      </c>
      <c r="B93" s="112">
        <v>5.25</v>
      </c>
      <c r="C93" s="112">
        <v>8.1</v>
      </c>
      <c r="D93" s="112">
        <v>14</v>
      </c>
      <c r="E93" s="112">
        <v>9.8699999999999992</v>
      </c>
      <c r="F93" s="112">
        <v>6.07</v>
      </c>
      <c r="G93" s="112">
        <v>97.63</v>
      </c>
      <c r="H93" s="112">
        <v>38.61</v>
      </c>
      <c r="I93" s="112">
        <v>8.6</v>
      </c>
      <c r="J93" s="112">
        <v>0.16</v>
      </c>
      <c r="K93" s="112">
        <v>198.05</v>
      </c>
      <c r="L93" s="112">
        <v>23.08</v>
      </c>
      <c r="M93" s="112">
        <v>77.040000000000006</v>
      </c>
      <c r="N93" s="112">
        <v>1.5</v>
      </c>
      <c r="O93" s="112">
        <v>0</v>
      </c>
      <c r="P93" s="112">
        <v>0.63</v>
      </c>
      <c r="Q93" s="112">
        <v>4.29</v>
      </c>
    </row>
    <row r="94" spans="1:17" customFormat="1">
      <c r="A94" s="80">
        <v>45602.895833333336</v>
      </c>
      <c r="B94" s="112">
        <v>5.24</v>
      </c>
      <c r="C94" s="112">
        <v>8.07</v>
      </c>
      <c r="D94" s="112">
        <v>13.99</v>
      </c>
      <c r="E94" s="112">
        <v>9.81</v>
      </c>
      <c r="F94" s="112">
        <v>5.84</v>
      </c>
      <c r="G94" s="112">
        <v>97.63</v>
      </c>
      <c r="H94" s="112">
        <v>38.61</v>
      </c>
      <c r="I94" s="112">
        <v>8.6199999999999992</v>
      </c>
      <c r="J94" s="112">
        <v>0.21</v>
      </c>
      <c r="K94" s="112">
        <v>217.24</v>
      </c>
      <c r="L94" s="112">
        <v>22.84</v>
      </c>
      <c r="M94" s="112">
        <v>80.56</v>
      </c>
      <c r="N94" s="112">
        <v>1.7</v>
      </c>
      <c r="O94" s="112">
        <v>0</v>
      </c>
      <c r="P94" s="112">
        <v>0.64</v>
      </c>
      <c r="Q94" s="112">
        <v>4.29</v>
      </c>
    </row>
    <row r="95" spans="1:17" customFormat="1">
      <c r="A95" s="80">
        <v>45602.90625</v>
      </c>
      <c r="B95" s="112">
        <v>5.24</v>
      </c>
      <c r="C95" s="112">
        <v>8.0500000000000007</v>
      </c>
      <c r="D95" s="112">
        <v>13.98</v>
      </c>
      <c r="E95" s="112">
        <v>9.74</v>
      </c>
      <c r="F95" s="112">
        <v>6.04</v>
      </c>
      <c r="G95" s="112">
        <v>97.05</v>
      </c>
      <c r="H95" s="112">
        <v>40.049999999999997</v>
      </c>
      <c r="I95" s="112">
        <v>8.6</v>
      </c>
      <c r="J95" s="112">
        <v>0.13</v>
      </c>
      <c r="K95" s="112">
        <v>196.76</v>
      </c>
      <c r="L95" s="112">
        <v>22.43</v>
      </c>
      <c r="M95" s="112">
        <v>84.9</v>
      </c>
      <c r="N95" s="112">
        <v>1.7</v>
      </c>
      <c r="O95" s="112">
        <v>0</v>
      </c>
      <c r="P95" s="112">
        <v>0.64</v>
      </c>
      <c r="Q95" s="112">
        <v>4.3</v>
      </c>
    </row>
    <row r="96" spans="1:17" customFormat="1">
      <c r="A96" s="80">
        <v>45602.916666666664</v>
      </c>
      <c r="B96" s="112">
        <v>5.24</v>
      </c>
      <c r="C96" s="112">
        <v>8.07</v>
      </c>
      <c r="D96" s="112">
        <v>13.98</v>
      </c>
      <c r="E96" s="112">
        <v>10.25</v>
      </c>
      <c r="F96" s="112">
        <v>5.7</v>
      </c>
      <c r="G96" s="112">
        <v>96.81</v>
      </c>
      <c r="H96" s="112">
        <v>40.119999999999997</v>
      </c>
      <c r="I96" s="112">
        <v>8.6</v>
      </c>
      <c r="J96" s="112">
        <v>0.15</v>
      </c>
      <c r="K96" s="112">
        <v>206.03</v>
      </c>
      <c r="L96" s="112">
        <v>22.35</v>
      </c>
      <c r="M96" s="112">
        <v>83.1</v>
      </c>
      <c r="N96" s="112">
        <v>1.6</v>
      </c>
      <c r="O96" s="112">
        <v>0</v>
      </c>
      <c r="P96" s="112">
        <v>0.65</v>
      </c>
      <c r="Q96" s="112">
        <v>4.29</v>
      </c>
    </row>
    <row r="97" spans="1:22" customFormat="1">
      <c r="A97" s="80">
        <v>45602.927083333336</v>
      </c>
      <c r="B97" s="112">
        <v>5.23</v>
      </c>
      <c r="C97" s="112">
        <v>8.08</v>
      </c>
      <c r="D97" s="112">
        <v>13.98</v>
      </c>
      <c r="E97" s="112">
        <v>10.17</v>
      </c>
      <c r="F97" s="112">
        <v>6.09</v>
      </c>
      <c r="G97" s="112">
        <v>96.81</v>
      </c>
      <c r="H97" s="112">
        <v>40.119999999999997</v>
      </c>
      <c r="I97" s="112">
        <v>8.6</v>
      </c>
      <c r="J97" s="112">
        <v>0.14000000000000001</v>
      </c>
      <c r="K97" s="112">
        <v>212.45</v>
      </c>
      <c r="L97" s="112">
        <v>22.25</v>
      </c>
      <c r="M97" s="112">
        <v>85.44</v>
      </c>
      <c r="N97" s="112">
        <v>1.6</v>
      </c>
      <c r="O97" s="112">
        <v>0</v>
      </c>
      <c r="P97" s="112">
        <v>0.66</v>
      </c>
      <c r="Q97" s="112">
        <v>4.3099999999999996</v>
      </c>
    </row>
    <row r="98" spans="1:22" customFormat="1">
      <c r="A98" s="80">
        <v>45602.9375</v>
      </c>
      <c r="B98" s="112">
        <v>5.24</v>
      </c>
      <c r="C98" s="112">
        <v>8.07</v>
      </c>
      <c r="D98" s="112">
        <v>13.98</v>
      </c>
      <c r="E98" s="112">
        <v>9.74</v>
      </c>
      <c r="F98" s="112">
        <v>5.83</v>
      </c>
      <c r="G98" s="112">
        <v>96.81</v>
      </c>
      <c r="H98" s="112">
        <v>40.119999999999997</v>
      </c>
      <c r="I98" s="112">
        <v>8.61</v>
      </c>
      <c r="J98" s="112">
        <v>0.16</v>
      </c>
      <c r="K98" s="112">
        <v>217.13</v>
      </c>
      <c r="L98" s="112">
        <v>22.11</v>
      </c>
      <c r="M98" s="112">
        <v>85.87</v>
      </c>
      <c r="N98" s="112">
        <v>1.6</v>
      </c>
      <c r="O98" s="112">
        <v>0</v>
      </c>
      <c r="P98" s="112">
        <v>0.66</v>
      </c>
      <c r="Q98" s="112">
        <v>4.3</v>
      </c>
    </row>
    <row r="99" spans="1:22" customFormat="1">
      <c r="A99" s="80">
        <v>45602.947916666664</v>
      </c>
      <c r="B99" s="112">
        <v>5.24</v>
      </c>
      <c r="C99" s="112">
        <v>8.07</v>
      </c>
      <c r="D99" s="112">
        <v>13.98</v>
      </c>
      <c r="E99" s="112">
        <v>9.99</v>
      </c>
      <c r="F99" s="112">
        <v>6.03</v>
      </c>
      <c r="G99" s="112">
        <v>96.38</v>
      </c>
      <c r="H99" s="112">
        <v>40.049999999999997</v>
      </c>
      <c r="I99" s="112">
        <v>8.61</v>
      </c>
      <c r="J99" s="112">
        <v>0.18</v>
      </c>
      <c r="K99" s="112">
        <v>221.53</v>
      </c>
      <c r="L99" s="112">
        <v>21.98</v>
      </c>
      <c r="M99" s="112">
        <v>84.76</v>
      </c>
      <c r="N99" s="112">
        <v>1.5</v>
      </c>
      <c r="O99" s="112">
        <v>0</v>
      </c>
      <c r="P99" s="112">
        <v>0.66</v>
      </c>
      <c r="Q99" s="112">
        <v>4.3</v>
      </c>
    </row>
    <row r="100" spans="1:22" customFormat="1">
      <c r="A100" s="80">
        <v>45602.958333333336</v>
      </c>
      <c r="B100" s="112">
        <v>5.24</v>
      </c>
      <c r="C100" s="112">
        <v>8.07</v>
      </c>
      <c r="D100" s="112">
        <v>13.99</v>
      </c>
      <c r="E100" s="112">
        <v>9.99</v>
      </c>
      <c r="F100" s="112">
        <v>5.54</v>
      </c>
      <c r="G100" s="112">
        <v>96.22</v>
      </c>
      <c r="H100" s="112">
        <v>40.049999999999997</v>
      </c>
      <c r="I100" s="112">
        <v>8.65</v>
      </c>
      <c r="J100" s="112">
        <v>0.19</v>
      </c>
      <c r="K100" s="112">
        <v>214.83</v>
      </c>
      <c r="L100" s="112">
        <v>21.8</v>
      </c>
      <c r="M100" s="112">
        <v>87.06</v>
      </c>
      <c r="N100" s="112">
        <v>1.7</v>
      </c>
      <c r="O100" s="112">
        <v>0</v>
      </c>
      <c r="P100" s="112">
        <v>0.66</v>
      </c>
      <c r="Q100" s="112">
        <v>4.3</v>
      </c>
    </row>
    <row r="101" spans="1:22" customFormat="1">
      <c r="A101" s="80">
        <v>45602.96875</v>
      </c>
      <c r="B101" s="112">
        <v>5.24</v>
      </c>
      <c r="C101" s="112">
        <v>8.07</v>
      </c>
      <c r="D101" s="112">
        <v>13.98</v>
      </c>
      <c r="E101" s="112">
        <v>10.029999999999999</v>
      </c>
      <c r="F101" s="112">
        <v>6.11</v>
      </c>
      <c r="G101" s="112">
        <v>96.22</v>
      </c>
      <c r="H101" s="112">
        <v>40.049999999999997</v>
      </c>
      <c r="I101" s="112">
        <v>8.64</v>
      </c>
      <c r="J101" s="112">
        <v>0.17</v>
      </c>
      <c r="K101" s="112">
        <v>232.51</v>
      </c>
      <c r="L101" s="112">
        <v>21.58</v>
      </c>
      <c r="M101" s="112">
        <v>88.7</v>
      </c>
      <c r="N101" s="112">
        <v>1.6</v>
      </c>
      <c r="O101" s="112">
        <v>0</v>
      </c>
      <c r="P101" s="112">
        <v>0.66</v>
      </c>
      <c r="Q101" s="112">
        <v>4.3</v>
      </c>
    </row>
    <row r="102" spans="1:22" customFormat="1">
      <c r="A102" s="80">
        <v>45602.979166666664</v>
      </c>
      <c r="B102" s="112">
        <v>5.24</v>
      </c>
      <c r="C102" s="112">
        <v>8.0500000000000007</v>
      </c>
      <c r="D102" s="112">
        <v>13.97</v>
      </c>
      <c r="E102" s="112">
        <v>10.46</v>
      </c>
      <c r="F102" s="112">
        <v>5.68</v>
      </c>
      <c r="G102" s="112">
        <v>96.22</v>
      </c>
      <c r="H102" s="112">
        <v>40.049999999999997</v>
      </c>
      <c r="I102" s="112">
        <v>8.6</v>
      </c>
      <c r="J102" s="112">
        <v>0.13</v>
      </c>
      <c r="K102" s="112">
        <v>241.95</v>
      </c>
      <c r="L102" s="112">
        <v>21.5</v>
      </c>
      <c r="M102" s="112">
        <v>88.99</v>
      </c>
      <c r="N102" s="112">
        <v>1.4</v>
      </c>
      <c r="O102" s="112">
        <v>0</v>
      </c>
      <c r="P102" s="112">
        <v>0.66</v>
      </c>
      <c r="Q102" s="112">
        <v>4.3099999999999996</v>
      </c>
    </row>
    <row r="103" spans="1:22" customFormat="1">
      <c r="A103" s="80">
        <v>45602.989583333336</v>
      </c>
      <c r="B103" s="112">
        <v>5.23</v>
      </c>
      <c r="C103" s="112">
        <v>8.07</v>
      </c>
      <c r="D103" s="112">
        <v>13.98</v>
      </c>
      <c r="E103" s="112">
        <v>10.07</v>
      </c>
      <c r="F103" s="112">
        <v>5.84</v>
      </c>
      <c r="G103" s="112">
        <v>94.09</v>
      </c>
      <c r="H103" s="112">
        <v>42.22</v>
      </c>
      <c r="I103" s="112">
        <v>8.6</v>
      </c>
      <c r="J103" s="112">
        <v>0.12</v>
      </c>
      <c r="K103" s="112">
        <v>222.28</v>
      </c>
      <c r="L103" s="112">
        <v>21.46</v>
      </c>
      <c r="M103" s="112">
        <v>88</v>
      </c>
      <c r="N103" s="112">
        <v>1.4</v>
      </c>
      <c r="O103" s="112">
        <v>0</v>
      </c>
      <c r="P103" s="112">
        <v>0.67</v>
      </c>
      <c r="Q103" s="112">
        <v>4.29</v>
      </c>
    </row>
    <row r="104" spans="1:22" customFormat="1">
      <c r="A104" s="80">
        <v>45603</v>
      </c>
      <c r="B104" s="112">
        <v>5.23</v>
      </c>
      <c r="C104" s="112">
        <v>8.07</v>
      </c>
      <c r="D104" s="112">
        <v>13.98</v>
      </c>
      <c r="E104" s="112">
        <v>10.45</v>
      </c>
      <c r="F104" s="112">
        <v>5.65</v>
      </c>
      <c r="G104" s="112">
        <v>93.23</v>
      </c>
      <c r="H104" s="112">
        <v>42.38</v>
      </c>
      <c r="I104" s="112">
        <v>8.6199999999999992</v>
      </c>
      <c r="J104" s="112">
        <v>0.15</v>
      </c>
      <c r="K104" s="112">
        <v>234.04</v>
      </c>
      <c r="L104" s="112">
        <v>21.4</v>
      </c>
      <c r="M104" s="112">
        <v>86.42</v>
      </c>
      <c r="N104" s="112">
        <v>1.4</v>
      </c>
      <c r="O104" s="112">
        <v>0</v>
      </c>
      <c r="P104" s="112">
        <v>0.65</v>
      </c>
      <c r="Q104" s="112">
        <v>4.32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5.16</v>
      </c>
      <c r="C106" s="183">
        <f>MIN(C9:C104)</f>
        <v>8.02</v>
      </c>
      <c r="D106" s="183">
        <f t="shared" ref="D106:Q106" si="0">MIN(D9:D104)</f>
        <v>13.95</v>
      </c>
      <c r="E106" s="183">
        <f t="shared" si="0"/>
        <v>7.61</v>
      </c>
      <c r="F106" s="183">
        <f t="shared" si="0"/>
        <v>5.28</v>
      </c>
      <c r="G106" s="183">
        <f t="shared" si="0"/>
        <v>51.41</v>
      </c>
      <c r="H106" s="183">
        <f t="shared" si="0"/>
        <v>20.16</v>
      </c>
      <c r="I106" s="183">
        <f t="shared" si="0"/>
        <v>6.91</v>
      </c>
      <c r="J106" s="183">
        <f t="shared" si="0"/>
        <v>7.0000000000000007E-2</v>
      </c>
      <c r="K106" s="183">
        <f t="shared" si="0"/>
        <v>8</v>
      </c>
      <c r="L106" s="183">
        <f t="shared" si="0"/>
        <v>20.38</v>
      </c>
      <c r="M106" s="183">
        <f t="shared" si="0"/>
        <v>39.86</v>
      </c>
      <c r="N106" s="183">
        <f t="shared" si="0"/>
        <v>1.2</v>
      </c>
      <c r="O106" s="183">
        <f t="shared" si="0"/>
        <v>0</v>
      </c>
      <c r="P106" s="183">
        <f t="shared" si="0"/>
        <v>0.53</v>
      </c>
      <c r="Q106" s="183">
        <f t="shared" si="0"/>
        <v>4.2699999999999996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5.26</v>
      </c>
      <c r="C107" s="184">
        <f t="shared" ref="C107:Q107" si="1">MAX(C9:C104)</f>
        <v>8.17</v>
      </c>
      <c r="D107" s="184">
        <f t="shared" si="1"/>
        <v>14</v>
      </c>
      <c r="E107" s="184">
        <f t="shared" si="1"/>
        <v>18.670000000000002</v>
      </c>
      <c r="F107" s="184">
        <f t="shared" si="1"/>
        <v>20.04</v>
      </c>
      <c r="G107" s="184">
        <f t="shared" si="1"/>
        <v>106.15</v>
      </c>
      <c r="H107" s="184">
        <f t="shared" si="1"/>
        <v>42.38</v>
      </c>
      <c r="I107" s="184">
        <f t="shared" si="1"/>
        <v>9.9700000000000006</v>
      </c>
      <c r="J107" s="184">
        <f t="shared" si="1"/>
        <v>0.9</v>
      </c>
      <c r="K107" s="184">
        <f t="shared" si="1"/>
        <v>356.64</v>
      </c>
      <c r="L107" s="184">
        <f t="shared" si="1"/>
        <v>31.24</v>
      </c>
      <c r="M107" s="184">
        <f t="shared" si="1"/>
        <v>91.85</v>
      </c>
      <c r="N107" s="184">
        <f t="shared" si="1"/>
        <v>543.9</v>
      </c>
      <c r="O107" s="184">
        <f t="shared" si="1"/>
        <v>0</v>
      </c>
      <c r="P107" s="184">
        <f t="shared" si="1"/>
        <v>0.78</v>
      </c>
      <c r="Q107" s="184">
        <f t="shared" si="1"/>
        <v>4.32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5.2233333333333389</v>
      </c>
      <c r="C108" s="183">
        <f t="shared" ref="C108:Q108" si="2">AVERAGE(C9:C104)</f>
        <v>8.0710416666666678</v>
      </c>
      <c r="D108" s="183">
        <f t="shared" si="2"/>
        <v>13.972708333333346</v>
      </c>
      <c r="E108" s="183">
        <f t="shared" si="2"/>
        <v>10.558645833333328</v>
      </c>
      <c r="F108" s="183">
        <f t="shared" si="2"/>
        <v>8.1069791666666671</v>
      </c>
      <c r="G108" s="183">
        <f t="shared" si="2"/>
        <v>81.001354166666701</v>
      </c>
      <c r="H108" s="183">
        <f t="shared" si="2"/>
        <v>32.430833333333361</v>
      </c>
      <c r="I108" s="183">
        <f t="shared" si="2"/>
        <v>8.2740625000000012</v>
      </c>
      <c r="J108" s="183">
        <f t="shared" si="2"/>
        <v>0.30020833333333335</v>
      </c>
      <c r="K108" s="183">
        <f t="shared" si="2"/>
        <v>125.75718750000006</v>
      </c>
      <c r="L108" s="183">
        <f t="shared" si="2"/>
        <v>24.850520833333334</v>
      </c>
      <c r="M108" s="183">
        <f t="shared" si="2"/>
        <v>69.672291666666709</v>
      </c>
      <c r="N108" s="183">
        <f t="shared" si="2"/>
        <v>116.46770833333331</v>
      </c>
      <c r="O108" s="183">
        <f t="shared" si="2"/>
        <v>0</v>
      </c>
      <c r="P108" s="183">
        <f t="shared" si="2"/>
        <v>0.64041666666666663</v>
      </c>
      <c r="Q108" s="183">
        <f t="shared" si="2"/>
        <v>4.2973958333333373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1.9982448438918495E-2</v>
      </c>
      <c r="C109" s="183">
        <f t="shared" ref="C109:Q109" si="3">STDEV(C9:C104)</f>
        <v>2.1446588081810887E-2</v>
      </c>
      <c r="D109" s="183">
        <f t="shared" si="3"/>
        <v>1.349301313675993E-2</v>
      </c>
      <c r="E109" s="183">
        <f t="shared" si="3"/>
        <v>2.0290566227951463</v>
      </c>
      <c r="F109" s="183">
        <f t="shared" si="3"/>
        <v>3.4076409867088722</v>
      </c>
      <c r="G109" s="183">
        <f t="shared" si="3"/>
        <v>16.077829299660802</v>
      </c>
      <c r="H109" s="183">
        <f t="shared" si="3"/>
        <v>6.0455378354036373</v>
      </c>
      <c r="I109" s="183">
        <f t="shared" si="3"/>
        <v>0.95103221277557137</v>
      </c>
      <c r="J109" s="183">
        <f t="shared" si="3"/>
        <v>0.19007466215406651</v>
      </c>
      <c r="K109" s="183">
        <f t="shared" si="3"/>
        <v>78.511162930109123</v>
      </c>
      <c r="L109" s="183">
        <f t="shared" si="3"/>
        <v>3.7294338133264162</v>
      </c>
      <c r="M109" s="183">
        <f t="shared" si="3"/>
        <v>18.624798719034679</v>
      </c>
      <c r="N109" s="183">
        <f t="shared" si="3"/>
        <v>179.28858037124135</v>
      </c>
      <c r="O109" s="183">
        <f t="shared" si="3"/>
        <v>0</v>
      </c>
      <c r="P109" s="183">
        <f t="shared" si="3"/>
        <v>6.2910406915277606E-2</v>
      </c>
      <c r="Q109" s="183">
        <f t="shared" si="3"/>
        <v>9.7597229972194079E-3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45603.010416666664</v>
      </c>
      <c r="B9" s="112">
        <v>5.25</v>
      </c>
      <c r="C9" s="112">
        <v>8.02</v>
      </c>
      <c r="D9" s="112">
        <v>13.97</v>
      </c>
      <c r="E9" s="112">
        <v>10.02</v>
      </c>
      <c r="F9" s="112">
        <v>5.73</v>
      </c>
      <c r="G9" s="112">
        <v>93.23</v>
      </c>
      <c r="H9" s="112">
        <v>42.38</v>
      </c>
      <c r="I9" s="112">
        <v>8.59</v>
      </c>
      <c r="J9" s="112">
        <v>0.1</v>
      </c>
      <c r="K9" s="112">
        <v>211.38</v>
      </c>
      <c r="L9" s="112">
        <v>21.37</v>
      </c>
      <c r="M9" s="112">
        <v>87.43</v>
      </c>
      <c r="N9" s="112">
        <v>1.4</v>
      </c>
      <c r="O9" s="112">
        <v>0</v>
      </c>
      <c r="P9" s="112">
        <v>0.66</v>
      </c>
      <c r="Q9" s="112">
        <v>4.3099999999999996</v>
      </c>
    </row>
    <row r="10" spans="1:21" customFormat="1">
      <c r="A10" s="80">
        <v>45603.020833333336</v>
      </c>
      <c r="B10" s="112">
        <v>5.24</v>
      </c>
      <c r="C10" s="112">
        <v>8.08</v>
      </c>
      <c r="D10" s="112">
        <v>13.99</v>
      </c>
      <c r="E10" s="112">
        <v>10.1</v>
      </c>
      <c r="F10" s="112">
        <v>5.77</v>
      </c>
      <c r="G10" s="112">
        <v>93.23</v>
      </c>
      <c r="H10" s="112">
        <v>42.38</v>
      </c>
      <c r="I10" s="112">
        <v>8.5500000000000007</v>
      </c>
      <c r="J10" s="112">
        <v>0.16</v>
      </c>
      <c r="K10" s="112">
        <v>233.41</v>
      </c>
      <c r="L10" s="112">
        <v>21.32</v>
      </c>
      <c r="M10" s="112">
        <v>87.49</v>
      </c>
      <c r="N10" s="112">
        <v>1.4</v>
      </c>
      <c r="O10" s="112">
        <v>0</v>
      </c>
      <c r="P10" s="112">
        <v>0.65</v>
      </c>
      <c r="Q10" s="112">
        <v>4.3099999999999996</v>
      </c>
    </row>
    <row r="11" spans="1:21" customFormat="1">
      <c r="A11" s="80">
        <v>45603.03125</v>
      </c>
      <c r="B11" s="112">
        <v>5.25</v>
      </c>
      <c r="C11" s="112">
        <v>8.06</v>
      </c>
      <c r="D11" s="112">
        <v>13.99</v>
      </c>
      <c r="E11" s="112">
        <v>9.57</v>
      </c>
      <c r="F11" s="112">
        <v>6.11</v>
      </c>
      <c r="G11" s="112">
        <v>92.47</v>
      </c>
      <c r="H11" s="112">
        <v>39.03</v>
      </c>
      <c r="I11" s="112">
        <v>8.49</v>
      </c>
      <c r="J11" s="112">
        <v>0.15</v>
      </c>
      <c r="K11" s="112">
        <v>217.72</v>
      </c>
      <c r="L11" s="112">
        <v>21.35</v>
      </c>
      <c r="M11" s="112">
        <v>89.27</v>
      </c>
      <c r="N11" s="112">
        <v>1.4</v>
      </c>
      <c r="O11" s="112">
        <v>0</v>
      </c>
      <c r="P11" s="112">
        <v>0.65</v>
      </c>
      <c r="Q11" s="112">
        <v>4.29</v>
      </c>
    </row>
    <row r="12" spans="1:21" customFormat="1">
      <c r="A12" s="80">
        <v>45603.041666666664</v>
      </c>
      <c r="B12" s="112">
        <v>5.26</v>
      </c>
      <c r="C12" s="112">
        <v>8.06</v>
      </c>
      <c r="D12" s="112">
        <v>14</v>
      </c>
      <c r="E12" s="112">
        <v>9.4700000000000006</v>
      </c>
      <c r="F12" s="112">
        <v>6</v>
      </c>
      <c r="G12" s="112">
        <v>92.18</v>
      </c>
      <c r="H12" s="112">
        <v>38.880000000000003</v>
      </c>
      <c r="I12" s="112">
        <v>8.41</v>
      </c>
      <c r="J12" s="112">
        <v>0.1</v>
      </c>
      <c r="K12" s="112">
        <v>226.52</v>
      </c>
      <c r="L12" s="112">
        <v>21.27</v>
      </c>
      <c r="M12" s="112">
        <v>90.37</v>
      </c>
      <c r="N12" s="112">
        <v>1.5</v>
      </c>
      <c r="O12" s="112">
        <v>0</v>
      </c>
      <c r="P12" s="112">
        <v>0.66</v>
      </c>
      <c r="Q12" s="112">
        <v>4.28</v>
      </c>
    </row>
    <row r="13" spans="1:21" customFormat="1">
      <c r="A13" s="80">
        <v>45603.052083333336</v>
      </c>
      <c r="B13" s="112">
        <v>5.26</v>
      </c>
      <c r="C13" s="112">
        <v>8.0500000000000007</v>
      </c>
      <c r="D13" s="112">
        <v>14</v>
      </c>
      <c r="E13" s="112">
        <v>9.2899999999999991</v>
      </c>
      <c r="F13" s="112">
        <v>5.93</v>
      </c>
      <c r="G13" s="112">
        <v>92.18</v>
      </c>
      <c r="H13" s="112">
        <v>38.880000000000003</v>
      </c>
      <c r="I13" s="112">
        <v>8.32</v>
      </c>
      <c r="J13" s="112">
        <v>0.14000000000000001</v>
      </c>
      <c r="K13" s="112">
        <v>196.09</v>
      </c>
      <c r="L13" s="112">
        <v>21.25</v>
      </c>
      <c r="M13" s="112">
        <v>90.11</v>
      </c>
      <c r="N13" s="112">
        <v>1.4</v>
      </c>
      <c r="O13" s="112">
        <v>0</v>
      </c>
      <c r="P13" s="112">
        <v>0.66</v>
      </c>
      <c r="Q13" s="112">
        <v>4.3</v>
      </c>
    </row>
    <row r="14" spans="1:21" customFormat="1">
      <c r="A14" s="80">
        <v>45603.0625</v>
      </c>
      <c r="B14" s="112">
        <v>5.25</v>
      </c>
      <c r="C14" s="112">
        <v>8.07</v>
      </c>
      <c r="D14" s="112">
        <v>14</v>
      </c>
      <c r="E14" s="112">
        <v>9.3800000000000008</v>
      </c>
      <c r="F14" s="112">
        <v>6.09</v>
      </c>
      <c r="G14" s="112">
        <v>92.18</v>
      </c>
      <c r="H14" s="112">
        <v>38.880000000000003</v>
      </c>
      <c r="I14" s="112">
        <v>8.25</v>
      </c>
      <c r="J14" s="112">
        <v>0.14000000000000001</v>
      </c>
      <c r="K14" s="112">
        <v>232.59</v>
      </c>
      <c r="L14" s="112">
        <v>21.21</v>
      </c>
      <c r="M14" s="112">
        <v>91.89</v>
      </c>
      <c r="N14" s="112">
        <v>1.5</v>
      </c>
      <c r="O14" s="112">
        <v>0</v>
      </c>
      <c r="P14" s="112">
        <v>0.65</v>
      </c>
      <c r="Q14" s="112">
        <v>4.28</v>
      </c>
    </row>
    <row r="15" spans="1:21" customFormat="1">
      <c r="A15" s="80">
        <v>45603.072916666664</v>
      </c>
      <c r="B15" s="112">
        <v>5.27</v>
      </c>
      <c r="C15" s="112">
        <v>8.07</v>
      </c>
      <c r="D15" s="112">
        <v>14.02</v>
      </c>
      <c r="E15" s="112">
        <v>8.9499999999999993</v>
      </c>
      <c r="F15" s="112">
        <v>5.97</v>
      </c>
      <c r="G15" s="112">
        <v>92.85</v>
      </c>
      <c r="H15" s="112">
        <v>43.86</v>
      </c>
      <c r="I15" s="112">
        <v>8.15</v>
      </c>
      <c r="J15" s="112">
        <v>0.1</v>
      </c>
      <c r="K15" s="112">
        <v>204.62</v>
      </c>
      <c r="L15" s="112">
        <v>20.83</v>
      </c>
      <c r="M15" s="112">
        <v>91.28</v>
      </c>
      <c r="N15" s="112">
        <v>1.7</v>
      </c>
      <c r="O15" s="112">
        <v>0</v>
      </c>
      <c r="P15" s="112">
        <v>0.65</v>
      </c>
      <c r="Q15" s="112">
        <v>4.29</v>
      </c>
    </row>
    <row r="16" spans="1:21" customFormat="1">
      <c r="A16" s="80">
        <v>45603.083333333336</v>
      </c>
      <c r="B16" s="112">
        <v>5.27</v>
      </c>
      <c r="C16" s="112">
        <v>8.09</v>
      </c>
      <c r="D16" s="112">
        <v>14.02</v>
      </c>
      <c r="E16" s="112">
        <v>8.99</v>
      </c>
      <c r="F16" s="112">
        <v>5.8</v>
      </c>
      <c r="G16" s="112">
        <v>93.12</v>
      </c>
      <c r="H16" s="112">
        <v>44.09</v>
      </c>
      <c r="I16" s="112">
        <v>8.06</v>
      </c>
      <c r="J16" s="112">
        <v>0.15</v>
      </c>
      <c r="K16" s="112">
        <v>162.99</v>
      </c>
      <c r="L16" s="112">
        <v>20.86</v>
      </c>
      <c r="M16" s="112">
        <v>92.04</v>
      </c>
      <c r="N16" s="112">
        <v>1.4</v>
      </c>
      <c r="O16" s="112">
        <v>0</v>
      </c>
      <c r="P16" s="112">
        <v>0.66</v>
      </c>
      <c r="Q16" s="112">
        <v>4.29</v>
      </c>
    </row>
    <row r="17" spans="1:17" customFormat="1">
      <c r="A17" s="80">
        <v>45603.09375</v>
      </c>
      <c r="B17" s="112">
        <v>5.28</v>
      </c>
      <c r="C17" s="112">
        <v>8.09</v>
      </c>
      <c r="D17" s="112">
        <v>14.03</v>
      </c>
      <c r="E17" s="112">
        <v>8.52</v>
      </c>
      <c r="F17" s="112">
        <v>5.89</v>
      </c>
      <c r="G17" s="112">
        <v>93.12</v>
      </c>
      <c r="H17" s="112">
        <v>44.09</v>
      </c>
      <c r="I17" s="112">
        <v>7.99</v>
      </c>
      <c r="J17" s="112">
        <v>0.09</v>
      </c>
      <c r="K17" s="112">
        <v>212.86</v>
      </c>
      <c r="L17" s="112">
        <v>20.85</v>
      </c>
      <c r="M17" s="112">
        <v>91.81</v>
      </c>
      <c r="N17" s="112">
        <v>1.4</v>
      </c>
      <c r="O17" s="112">
        <v>0</v>
      </c>
      <c r="P17" s="112">
        <v>0.64</v>
      </c>
      <c r="Q17" s="112">
        <v>4.3</v>
      </c>
    </row>
    <row r="18" spans="1:17" customFormat="1">
      <c r="A18" s="80">
        <v>45603.104166666664</v>
      </c>
      <c r="B18" s="112">
        <v>5.29</v>
      </c>
      <c r="C18" s="112">
        <v>8.09</v>
      </c>
      <c r="D18" s="112">
        <v>14.03</v>
      </c>
      <c r="E18" s="112">
        <v>9.81</v>
      </c>
      <c r="F18" s="112">
        <v>6.12</v>
      </c>
      <c r="G18" s="112">
        <v>93.12</v>
      </c>
      <c r="H18" s="112">
        <v>44.09</v>
      </c>
      <c r="I18" s="112">
        <v>7.92</v>
      </c>
      <c r="J18" s="112">
        <v>0.09</v>
      </c>
      <c r="K18" s="112">
        <v>201.62</v>
      </c>
      <c r="L18" s="112">
        <v>20.84</v>
      </c>
      <c r="M18" s="112">
        <v>90.85</v>
      </c>
      <c r="N18" s="112">
        <v>1.4</v>
      </c>
      <c r="O18" s="112">
        <v>0</v>
      </c>
      <c r="P18" s="112">
        <v>0.64</v>
      </c>
      <c r="Q18" s="112">
        <v>4.29</v>
      </c>
    </row>
    <row r="19" spans="1:17" customFormat="1">
      <c r="A19" s="80">
        <v>45603.114583333336</v>
      </c>
      <c r="B19" s="112">
        <v>5.29</v>
      </c>
      <c r="C19" s="112">
        <v>8.1</v>
      </c>
      <c r="D19" s="112">
        <v>14.04</v>
      </c>
      <c r="E19" s="112">
        <v>9.94</v>
      </c>
      <c r="F19" s="112">
        <v>6.24</v>
      </c>
      <c r="G19" s="112">
        <v>92.19</v>
      </c>
      <c r="H19" s="112">
        <v>40.35</v>
      </c>
      <c r="I19" s="112">
        <v>7.89</v>
      </c>
      <c r="J19" s="112">
        <v>0.14000000000000001</v>
      </c>
      <c r="K19" s="112">
        <v>235.71</v>
      </c>
      <c r="L19" s="112">
        <v>20.72</v>
      </c>
      <c r="M19" s="112">
        <v>91.85</v>
      </c>
      <c r="N19" s="112">
        <v>1.4</v>
      </c>
      <c r="O19" s="112">
        <v>0</v>
      </c>
      <c r="P19" s="112">
        <v>0.63</v>
      </c>
      <c r="Q19" s="112">
        <v>4.29</v>
      </c>
    </row>
    <row r="20" spans="1:17" customFormat="1">
      <c r="A20" s="80">
        <v>45603.125</v>
      </c>
      <c r="B20" s="112">
        <v>5.29</v>
      </c>
      <c r="C20" s="112">
        <v>8.1</v>
      </c>
      <c r="D20" s="112">
        <v>14.04</v>
      </c>
      <c r="E20" s="112">
        <v>10.130000000000001</v>
      </c>
      <c r="F20" s="112">
        <v>5.91</v>
      </c>
      <c r="G20" s="112">
        <v>91.82</v>
      </c>
      <c r="H20" s="112">
        <v>40.18</v>
      </c>
      <c r="I20" s="112">
        <v>7.82</v>
      </c>
      <c r="J20" s="112">
        <v>0.17</v>
      </c>
      <c r="K20" s="112">
        <v>247.45</v>
      </c>
      <c r="L20" s="112">
        <v>20.57</v>
      </c>
      <c r="M20" s="112">
        <v>92.44</v>
      </c>
      <c r="N20" s="112">
        <v>1.6</v>
      </c>
      <c r="O20" s="112">
        <v>0</v>
      </c>
      <c r="P20" s="112">
        <v>0.64</v>
      </c>
      <c r="Q20" s="112">
        <v>4.29</v>
      </c>
    </row>
    <row r="21" spans="1:17" customFormat="1">
      <c r="A21" s="80">
        <v>45603.135416666664</v>
      </c>
      <c r="B21" s="112">
        <v>5.29</v>
      </c>
      <c r="C21" s="112">
        <v>8.07</v>
      </c>
      <c r="D21" s="112">
        <v>14.03</v>
      </c>
      <c r="E21" s="112">
        <v>10.14</v>
      </c>
      <c r="F21" s="112">
        <v>5.86</v>
      </c>
      <c r="G21" s="112">
        <v>91.82</v>
      </c>
      <c r="H21" s="112">
        <v>40.18</v>
      </c>
      <c r="I21" s="112">
        <v>7.78</v>
      </c>
      <c r="J21" s="112">
        <v>0.21</v>
      </c>
      <c r="K21" s="112">
        <v>275.47000000000003</v>
      </c>
      <c r="L21" s="112">
        <v>20.21</v>
      </c>
      <c r="M21" s="112">
        <v>91.86</v>
      </c>
      <c r="N21" s="112">
        <v>1.7</v>
      </c>
      <c r="O21" s="112">
        <v>0</v>
      </c>
      <c r="P21" s="112">
        <v>0.64</v>
      </c>
      <c r="Q21" s="112">
        <v>4.3</v>
      </c>
    </row>
    <row r="22" spans="1:17" customFormat="1">
      <c r="A22" s="80">
        <v>45603.145833333336</v>
      </c>
      <c r="B22" s="112">
        <v>5.27</v>
      </c>
      <c r="C22" s="112">
        <v>8.11</v>
      </c>
      <c r="D22" s="112">
        <v>14.03</v>
      </c>
      <c r="E22" s="112">
        <v>10.01</v>
      </c>
      <c r="F22" s="112">
        <v>5.67</v>
      </c>
      <c r="G22" s="112">
        <v>91.82</v>
      </c>
      <c r="H22" s="112">
        <v>40.18</v>
      </c>
      <c r="I22" s="112">
        <v>7.76</v>
      </c>
      <c r="J22" s="112">
        <v>0.3</v>
      </c>
      <c r="K22" s="112">
        <v>24.64</v>
      </c>
      <c r="L22" s="112">
        <v>20.260000000000002</v>
      </c>
      <c r="M22" s="112">
        <v>91.76</v>
      </c>
      <c r="N22" s="112">
        <v>1.3</v>
      </c>
      <c r="O22" s="112">
        <v>0</v>
      </c>
      <c r="P22" s="112">
        <v>0.65</v>
      </c>
      <c r="Q22" s="112">
        <v>4.3</v>
      </c>
    </row>
    <row r="23" spans="1:17" customFormat="1">
      <c r="A23" s="80">
        <v>45603.15625</v>
      </c>
      <c r="B23" s="112">
        <v>5.28</v>
      </c>
      <c r="C23" s="112">
        <v>8.1</v>
      </c>
      <c r="D23" s="112">
        <v>14.03</v>
      </c>
      <c r="E23" s="112">
        <v>9.9700000000000006</v>
      </c>
      <c r="F23" s="112">
        <v>5.72</v>
      </c>
      <c r="G23" s="112">
        <v>88.06</v>
      </c>
      <c r="H23" s="112">
        <v>39.51</v>
      </c>
      <c r="I23" s="112">
        <v>7.74</v>
      </c>
      <c r="J23" s="112">
        <v>0.34</v>
      </c>
      <c r="K23" s="112">
        <v>38.46</v>
      </c>
      <c r="L23" s="112">
        <v>20.71</v>
      </c>
      <c r="M23" s="112">
        <v>89.2</v>
      </c>
      <c r="N23" s="112">
        <v>1.1000000000000001</v>
      </c>
      <c r="O23" s="112">
        <v>0</v>
      </c>
      <c r="P23" s="112">
        <v>0.64</v>
      </c>
      <c r="Q23" s="112">
        <v>4.3</v>
      </c>
    </row>
    <row r="24" spans="1:17" customFormat="1">
      <c r="A24" s="80">
        <v>45603.166666666664</v>
      </c>
      <c r="B24" s="112">
        <v>5.28</v>
      </c>
      <c r="C24" s="112">
        <v>8.09</v>
      </c>
      <c r="D24" s="112">
        <v>14.03</v>
      </c>
      <c r="E24" s="112">
        <v>10.23</v>
      </c>
      <c r="F24" s="112">
        <v>5.83</v>
      </c>
      <c r="G24" s="112">
        <v>86.53</v>
      </c>
      <c r="H24" s="112">
        <v>39.479999999999997</v>
      </c>
      <c r="I24" s="112">
        <v>7.73</v>
      </c>
      <c r="J24" s="112">
        <v>0.31</v>
      </c>
      <c r="K24" s="112">
        <v>35.06</v>
      </c>
      <c r="L24" s="112">
        <v>20.82</v>
      </c>
      <c r="M24" s="112">
        <v>88.43</v>
      </c>
      <c r="N24" s="112">
        <v>1.3</v>
      </c>
      <c r="O24" s="112">
        <v>0</v>
      </c>
      <c r="P24" s="112">
        <v>0.65</v>
      </c>
      <c r="Q24" s="112">
        <v>4.3</v>
      </c>
    </row>
    <row r="25" spans="1:17" customFormat="1">
      <c r="A25" s="80">
        <v>45603.177083333336</v>
      </c>
      <c r="B25" s="112">
        <v>5.27</v>
      </c>
      <c r="C25" s="112">
        <v>8.09</v>
      </c>
      <c r="D25" s="112">
        <v>14.02</v>
      </c>
      <c r="E25" s="112">
        <v>10.11</v>
      </c>
      <c r="F25" s="112">
        <v>5.87</v>
      </c>
      <c r="G25" s="112">
        <v>86.53</v>
      </c>
      <c r="H25" s="112">
        <v>39.479999999999997</v>
      </c>
      <c r="I25" s="112">
        <v>7.72</v>
      </c>
      <c r="J25" s="112">
        <v>0.27</v>
      </c>
      <c r="K25" s="112">
        <v>46.26</v>
      </c>
      <c r="L25" s="112">
        <v>20.85</v>
      </c>
      <c r="M25" s="112">
        <v>87.73</v>
      </c>
      <c r="N25" s="112">
        <v>1.4</v>
      </c>
      <c r="O25" s="112">
        <v>0</v>
      </c>
      <c r="P25" s="112">
        <v>0.64</v>
      </c>
      <c r="Q25" s="112">
        <v>4.3</v>
      </c>
    </row>
    <row r="26" spans="1:17" customFormat="1">
      <c r="A26" s="80">
        <v>45603.1875</v>
      </c>
      <c r="B26" s="112">
        <v>5.27</v>
      </c>
      <c r="C26" s="112">
        <v>8.06</v>
      </c>
      <c r="D26" s="112">
        <v>14.01</v>
      </c>
      <c r="E26" s="112">
        <v>10.220000000000001</v>
      </c>
      <c r="F26" s="112">
        <v>5.95</v>
      </c>
      <c r="G26" s="112">
        <v>86.53</v>
      </c>
      <c r="H26" s="112">
        <v>39.479999999999997</v>
      </c>
      <c r="I26" s="112">
        <v>7.71</v>
      </c>
      <c r="J26" s="112">
        <v>0.2</v>
      </c>
      <c r="K26" s="112">
        <v>51.48</v>
      </c>
      <c r="L26" s="112">
        <v>20.91</v>
      </c>
      <c r="M26" s="112">
        <v>87.2</v>
      </c>
      <c r="N26" s="112">
        <v>1.4</v>
      </c>
      <c r="O26" s="112">
        <v>0</v>
      </c>
      <c r="P26" s="112">
        <v>0.64</v>
      </c>
      <c r="Q26" s="112">
        <v>4.3</v>
      </c>
    </row>
    <row r="27" spans="1:17" customFormat="1">
      <c r="A27" s="80">
        <v>45603.197916666664</v>
      </c>
      <c r="B27" s="112">
        <v>5.25</v>
      </c>
      <c r="C27" s="112">
        <v>8.1</v>
      </c>
      <c r="D27" s="112">
        <v>14.01</v>
      </c>
      <c r="E27" s="112">
        <v>10.24</v>
      </c>
      <c r="F27" s="112">
        <v>5.7</v>
      </c>
      <c r="G27" s="112">
        <v>88.08</v>
      </c>
      <c r="H27" s="112">
        <v>43.14</v>
      </c>
      <c r="I27" s="112">
        <v>7.68</v>
      </c>
      <c r="J27" s="112">
        <v>0.13</v>
      </c>
      <c r="K27" s="112">
        <v>41.02</v>
      </c>
      <c r="L27" s="112">
        <v>20.83</v>
      </c>
      <c r="M27" s="112">
        <v>87.85</v>
      </c>
      <c r="N27" s="112">
        <v>1.5</v>
      </c>
      <c r="O27" s="112">
        <v>0</v>
      </c>
      <c r="P27" s="112">
        <v>0.65</v>
      </c>
      <c r="Q27" s="112">
        <v>4.3</v>
      </c>
    </row>
    <row r="28" spans="1:17" customFormat="1">
      <c r="A28" s="80">
        <v>45603.208333333336</v>
      </c>
      <c r="B28" s="112">
        <v>5.24</v>
      </c>
      <c r="C28" s="112">
        <v>8.11</v>
      </c>
      <c r="D28" s="112">
        <v>14.01</v>
      </c>
      <c r="E28" s="112">
        <v>10.07</v>
      </c>
      <c r="F28" s="112">
        <v>5.59</v>
      </c>
      <c r="G28" s="112">
        <v>88.71</v>
      </c>
      <c r="H28" s="112">
        <v>43.31</v>
      </c>
      <c r="I28" s="112">
        <v>7.68</v>
      </c>
      <c r="J28" s="112">
        <v>0.11</v>
      </c>
      <c r="K28" s="112">
        <v>55.51</v>
      </c>
      <c r="L28" s="112">
        <v>20.84</v>
      </c>
      <c r="M28" s="112">
        <v>88.06</v>
      </c>
      <c r="N28" s="112">
        <v>1.5</v>
      </c>
      <c r="O28" s="112">
        <v>0</v>
      </c>
      <c r="P28" s="112">
        <v>0.65</v>
      </c>
      <c r="Q28" s="112">
        <v>4.28</v>
      </c>
    </row>
    <row r="29" spans="1:17" customFormat="1">
      <c r="A29" s="80">
        <v>45603.21875</v>
      </c>
      <c r="B29" s="112">
        <v>5.25</v>
      </c>
      <c r="C29" s="112">
        <v>8.09</v>
      </c>
      <c r="D29" s="112">
        <v>14</v>
      </c>
      <c r="E29" s="112">
        <v>10.39</v>
      </c>
      <c r="F29" s="112">
        <v>5.54</v>
      </c>
      <c r="G29" s="112">
        <v>88.71</v>
      </c>
      <c r="H29" s="112">
        <v>43.31</v>
      </c>
      <c r="I29" s="112">
        <v>7.71</v>
      </c>
      <c r="J29" s="112">
        <v>0.16</v>
      </c>
      <c r="K29" s="112">
        <v>18.04</v>
      </c>
      <c r="L29" s="112">
        <v>20.82</v>
      </c>
      <c r="M29" s="112">
        <v>88.4</v>
      </c>
      <c r="N29" s="112">
        <v>1.4</v>
      </c>
      <c r="O29" s="112">
        <v>0</v>
      </c>
      <c r="P29" s="112">
        <v>0.66</v>
      </c>
      <c r="Q29" s="112">
        <v>4.28</v>
      </c>
    </row>
    <row r="30" spans="1:17" customFormat="1">
      <c r="A30" s="80">
        <v>45603.229166666664</v>
      </c>
      <c r="B30" s="112">
        <v>5.25</v>
      </c>
      <c r="C30" s="112">
        <v>8.07</v>
      </c>
      <c r="D30" s="112">
        <v>14</v>
      </c>
      <c r="E30" s="112">
        <v>10.46</v>
      </c>
      <c r="F30" s="112">
        <v>5.82</v>
      </c>
      <c r="G30" s="112">
        <v>88.71</v>
      </c>
      <c r="H30" s="112">
        <v>43.31</v>
      </c>
      <c r="I30" s="112">
        <v>7.8</v>
      </c>
      <c r="J30" s="112">
        <v>0.14000000000000001</v>
      </c>
      <c r="K30" s="112">
        <v>157.68</v>
      </c>
      <c r="L30" s="112">
        <v>20.7</v>
      </c>
      <c r="M30" s="112">
        <v>89.21</v>
      </c>
      <c r="N30" s="112">
        <v>1.7</v>
      </c>
      <c r="O30" s="112">
        <v>0</v>
      </c>
      <c r="P30" s="112">
        <v>0.67</v>
      </c>
      <c r="Q30" s="112">
        <v>4.29</v>
      </c>
    </row>
    <row r="31" spans="1:17" customFormat="1">
      <c r="A31" s="80">
        <v>45603.239583333336</v>
      </c>
      <c r="B31" s="112">
        <v>5.25</v>
      </c>
      <c r="C31" s="112">
        <v>8.07</v>
      </c>
      <c r="D31" s="112">
        <v>13.99</v>
      </c>
      <c r="E31" s="112">
        <v>10.65</v>
      </c>
      <c r="F31" s="112">
        <v>5.7</v>
      </c>
      <c r="G31" s="112">
        <v>95.61</v>
      </c>
      <c r="H31" s="112">
        <v>44.04</v>
      </c>
      <c r="I31" s="112">
        <v>7.86</v>
      </c>
      <c r="J31" s="112">
        <v>0.15</v>
      </c>
      <c r="K31" s="112">
        <v>194.01</v>
      </c>
      <c r="L31" s="112">
        <v>20.49</v>
      </c>
      <c r="M31" s="112">
        <v>90.92</v>
      </c>
      <c r="N31" s="112">
        <v>1.9</v>
      </c>
      <c r="O31" s="112">
        <v>0</v>
      </c>
      <c r="P31" s="112">
        <v>0.68</v>
      </c>
      <c r="Q31" s="112">
        <v>4.29</v>
      </c>
    </row>
    <row r="32" spans="1:17" customFormat="1">
      <c r="A32" s="80">
        <v>45603.25</v>
      </c>
      <c r="B32" s="112">
        <v>5.26</v>
      </c>
      <c r="C32" s="112">
        <v>8.08</v>
      </c>
      <c r="D32" s="112">
        <v>14.01</v>
      </c>
      <c r="E32" s="112">
        <v>10.68</v>
      </c>
      <c r="F32" s="112">
        <v>5.68</v>
      </c>
      <c r="G32" s="112">
        <v>98.42</v>
      </c>
      <c r="H32" s="112">
        <v>44.09</v>
      </c>
      <c r="I32" s="112">
        <v>7.9</v>
      </c>
      <c r="J32" s="112">
        <v>0.17</v>
      </c>
      <c r="K32" s="112">
        <v>227.35</v>
      </c>
      <c r="L32" s="112">
        <v>20.239999999999998</v>
      </c>
      <c r="M32" s="112">
        <v>94.25</v>
      </c>
      <c r="N32" s="112">
        <v>3.3</v>
      </c>
      <c r="O32" s="112">
        <v>0</v>
      </c>
      <c r="P32" s="112">
        <v>0.66</v>
      </c>
      <c r="Q32" s="112">
        <v>4.3</v>
      </c>
    </row>
    <row r="33" spans="1:17" customFormat="1">
      <c r="A33" s="80">
        <v>45603.260416666664</v>
      </c>
      <c r="B33" s="112">
        <v>5.25</v>
      </c>
      <c r="C33" s="112">
        <v>8.1199999999999992</v>
      </c>
      <c r="D33" s="112">
        <v>14.02</v>
      </c>
      <c r="E33" s="112">
        <v>11.15</v>
      </c>
      <c r="F33" s="112">
        <v>5.67</v>
      </c>
      <c r="G33" s="112">
        <v>98.42</v>
      </c>
      <c r="H33" s="112">
        <v>44.09</v>
      </c>
      <c r="I33" s="112">
        <v>7.95</v>
      </c>
      <c r="J33" s="112">
        <v>0.13</v>
      </c>
      <c r="K33" s="112">
        <v>225.24</v>
      </c>
      <c r="L33" s="112">
        <v>20.07</v>
      </c>
      <c r="M33" s="112">
        <v>95.27</v>
      </c>
      <c r="N33" s="112">
        <v>8.5</v>
      </c>
      <c r="O33" s="112">
        <v>0</v>
      </c>
      <c r="P33" s="112">
        <v>0.66</v>
      </c>
      <c r="Q33" s="112">
        <v>4.29</v>
      </c>
    </row>
    <row r="34" spans="1:17" customFormat="1">
      <c r="A34" s="80">
        <v>45603.270833333336</v>
      </c>
      <c r="B34" s="112">
        <v>5.25</v>
      </c>
      <c r="C34" s="112">
        <v>8.1</v>
      </c>
      <c r="D34" s="112">
        <v>14.01</v>
      </c>
      <c r="E34" s="112">
        <v>10.83</v>
      </c>
      <c r="F34" s="112">
        <v>5.65</v>
      </c>
      <c r="G34" s="112">
        <v>98.42</v>
      </c>
      <c r="H34" s="112">
        <v>44.09</v>
      </c>
      <c r="I34" s="112">
        <v>8.01</v>
      </c>
      <c r="J34" s="112">
        <v>0.15</v>
      </c>
      <c r="K34" s="112">
        <v>228.74</v>
      </c>
      <c r="L34" s="112">
        <v>20.14</v>
      </c>
      <c r="M34" s="112">
        <v>95.39</v>
      </c>
      <c r="N34" s="112">
        <v>17.600000000000001</v>
      </c>
      <c r="O34" s="112">
        <v>0</v>
      </c>
      <c r="P34" s="112">
        <v>0.67</v>
      </c>
      <c r="Q34" s="112">
        <v>4.3099999999999996</v>
      </c>
    </row>
    <row r="35" spans="1:17" customFormat="1">
      <c r="A35" s="80">
        <v>45603.28125</v>
      </c>
      <c r="B35" s="112">
        <v>5.26</v>
      </c>
      <c r="C35" s="112">
        <v>8.0399999999999991</v>
      </c>
      <c r="D35" s="112">
        <v>13.98</v>
      </c>
      <c r="E35" s="112">
        <v>11.16</v>
      </c>
      <c r="F35" s="112">
        <v>5.4</v>
      </c>
      <c r="G35" s="112">
        <v>98.14</v>
      </c>
      <c r="H35" s="112">
        <v>43.69</v>
      </c>
      <c r="I35" s="112">
        <v>8.06</v>
      </c>
      <c r="J35" s="112">
        <v>0.12</v>
      </c>
      <c r="K35" s="112">
        <v>162.29</v>
      </c>
      <c r="L35" s="112">
        <v>20.45</v>
      </c>
      <c r="M35" s="112">
        <v>94.55</v>
      </c>
      <c r="N35" s="112">
        <v>29.2</v>
      </c>
      <c r="O35" s="112">
        <v>0</v>
      </c>
      <c r="P35" s="112">
        <v>0.68</v>
      </c>
      <c r="Q35" s="112">
        <v>4.3099999999999996</v>
      </c>
    </row>
    <row r="36" spans="1:17" customFormat="1">
      <c r="A36" s="80">
        <v>45603.291666666664</v>
      </c>
      <c r="B36" s="112">
        <v>5.28</v>
      </c>
      <c r="C36" s="112">
        <v>8.06</v>
      </c>
      <c r="D36" s="112">
        <v>14.01</v>
      </c>
      <c r="E36" s="112">
        <v>10.92</v>
      </c>
      <c r="F36" s="112">
        <v>5.76</v>
      </c>
      <c r="G36" s="112">
        <v>98.03</v>
      </c>
      <c r="H36" s="112">
        <v>43.68</v>
      </c>
      <c r="I36" s="112">
        <v>8.1199999999999992</v>
      </c>
      <c r="J36" s="112">
        <v>0.1</v>
      </c>
      <c r="K36" s="112">
        <v>137.07</v>
      </c>
      <c r="L36" s="112">
        <v>21.04</v>
      </c>
      <c r="M36" s="112">
        <v>93.59</v>
      </c>
      <c r="N36" s="112">
        <v>43.7</v>
      </c>
      <c r="O36" s="112">
        <v>0</v>
      </c>
      <c r="P36" s="112">
        <v>0.68</v>
      </c>
      <c r="Q36" s="112">
        <v>4.3099999999999996</v>
      </c>
    </row>
    <row r="37" spans="1:17" customFormat="1">
      <c r="A37" s="80">
        <v>45603.302083333336</v>
      </c>
      <c r="B37" s="112">
        <v>5.26</v>
      </c>
      <c r="C37" s="112">
        <v>8.08</v>
      </c>
      <c r="D37" s="112">
        <v>14.01</v>
      </c>
      <c r="E37" s="112">
        <v>11.11</v>
      </c>
      <c r="F37" s="112">
        <v>5.54</v>
      </c>
      <c r="G37" s="112">
        <v>98.03</v>
      </c>
      <c r="H37" s="112">
        <v>43.68</v>
      </c>
      <c r="I37" s="112">
        <v>8.2100000000000009</v>
      </c>
      <c r="J37" s="112">
        <v>0.31</v>
      </c>
      <c r="K37" s="112">
        <v>43.71</v>
      </c>
      <c r="L37" s="112">
        <v>21.81</v>
      </c>
      <c r="M37" s="112">
        <v>85.39</v>
      </c>
      <c r="N37" s="112">
        <v>59.1</v>
      </c>
      <c r="O37" s="112">
        <v>0</v>
      </c>
      <c r="P37" s="112">
        <v>0.69</v>
      </c>
      <c r="Q37" s="112">
        <v>4.3</v>
      </c>
    </row>
    <row r="38" spans="1:17" customFormat="1">
      <c r="A38" s="80">
        <v>45603.3125</v>
      </c>
      <c r="B38" s="112">
        <v>5.27</v>
      </c>
      <c r="C38" s="112">
        <v>8.0500000000000007</v>
      </c>
      <c r="D38" s="112">
        <v>14</v>
      </c>
      <c r="E38" s="112">
        <v>10.85</v>
      </c>
      <c r="F38" s="112">
        <v>5.81</v>
      </c>
      <c r="G38" s="112">
        <v>98.03</v>
      </c>
      <c r="H38" s="112">
        <v>43.68</v>
      </c>
      <c r="I38" s="112">
        <v>8.27</v>
      </c>
      <c r="J38" s="112">
        <v>0.48</v>
      </c>
      <c r="K38" s="112">
        <v>40.97</v>
      </c>
      <c r="L38" s="112">
        <v>22.3</v>
      </c>
      <c r="M38" s="112">
        <v>81.66</v>
      </c>
      <c r="N38" s="112">
        <v>79.3</v>
      </c>
      <c r="O38" s="112">
        <v>0</v>
      </c>
      <c r="P38" s="112">
        <v>0.69</v>
      </c>
      <c r="Q38" s="112">
        <v>4.32</v>
      </c>
    </row>
    <row r="39" spans="1:17" customFormat="1">
      <c r="A39" s="80">
        <v>45603.322916666664</v>
      </c>
      <c r="B39" s="112">
        <v>5.25</v>
      </c>
      <c r="C39" s="112">
        <v>8.06</v>
      </c>
      <c r="D39" s="112">
        <v>13.99</v>
      </c>
      <c r="E39" s="112">
        <v>10.86</v>
      </c>
      <c r="F39" s="112">
        <v>5.57</v>
      </c>
      <c r="G39" s="112">
        <v>102.11</v>
      </c>
      <c r="H39" s="112">
        <v>45.2</v>
      </c>
      <c r="I39" s="112">
        <v>8.3699999999999992</v>
      </c>
      <c r="J39" s="112">
        <v>0.42</v>
      </c>
      <c r="K39" s="112">
        <v>43.82</v>
      </c>
      <c r="L39" s="112">
        <v>22.7</v>
      </c>
      <c r="M39" s="112">
        <v>80.72</v>
      </c>
      <c r="N39" s="112">
        <v>139.1</v>
      </c>
      <c r="O39" s="112">
        <v>0</v>
      </c>
      <c r="P39" s="112">
        <v>0.7</v>
      </c>
      <c r="Q39" s="112">
        <v>4.3</v>
      </c>
    </row>
    <row r="40" spans="1:17" customFormat="1">
      <c r="A40" s="80">
        <v>45603.333333333336</v>
      </c>
      <c r="B40" s="112">
        <v>5.26</v>
      </c>
      <c r="C40" s="112">
        <v>8.06</v>
      </c>
      <c r="D40" s="112">
        <v>13.99</v>
      </c>
      <c r="E40" s="112">
        <v>11.17</v>
      </c>
      <c r="F40" s="112">
        <v>5.95</v>
      </c>
      <c r="G40" s="112">
        <v>103.77</v>
      </c>
      <c r="H40" s="112">
        <v>45.27</v>
      </c>
      <c r="I40" s="112">
        <v>8.5299999999999994</v>
      </c>
      <c r="J40" s="112">
        <v>0.49</v>
      </c>
      <c r="K40" s="112">
        <v>39.799999999999997</v>
      </c>
      <c r="L40" s="112">
        <v>23.28</v>
      </c>
      <c r="M40" s="112">
        <v>78.900000000000006</v>
      </c>
      <c r="N40" s="112">
        <v>172.7</v>
      </c>
      <c r="O40" s="112">
        <v>0</v>
      </c>
      <c r="P40" s="112">
        <v>0.71</v>
      </c>
      <c r="Q40" s="112">
        <v>4.29</v>
      </c>
    </row>
    <row r="41" spans="1:17" customFormat="1">
      <c r="A41" s="80">
        <v>45603.34375</v>
      </c>
      <c r="B41" s="112">
        <v>5.25</v>
      </c>
      <c r="C41" s="112">
        <v>8.06</v>
      </c>
      <c r="D41" s="112">
        <v>13.99</v>
      </c>
      <c r="E41" s="112">
        <v>11.03</v>
      </c>
      <c r="F41" s="112">
        <v>5.71</v>
      </c>
      <c r="G41" s="112">
        <v>103.77</v>
      </c>
      <c r="H41" s="112">
        <v>45.27</v>
      </c>
      <c r="I41" s="112">
        <v>8.68</v>
      </c>
      <c r="J41" s="112">
        <v>0.57999999999999996</v>
      </c>
      <c r="K41" s="112">
        <v>37.880000000000003</v>
      </c>
      <c r="L41" s="112">
        <v>24</v>
      </c>
      <c r="M41" s="112">
        <v>75.66</v>
      </c>
      <c r="N41" s="112">
        <v>203.9</v>
      </c>
      <c r="O41" s="112">
        <v>0</v>
      </c>
      <c r="P41" s="112">
        <v>0.72</v>
      </c>
      <c r="Q41" s="112">
        <v>4.3</v>
      </c>
    </row>
    <row r="42" spans="1:17" customFormat="1">
      <c r="A42" s="80">
        <v>45603.354166666664</v>
      </c>
      <c r="B42" s="112">
        <v>5.24</v>
      </c>
      <c r="C42" s="112">
        <v>8.06</v>
      </c>
      <c r="D42" s="112">
        <v>13.98</v>
      </c>
      <c r="E42" s="112">
        <v>11.34</v>
      </c>
      <c r="F42" s="112">
        <v>6.04</v>
      </c>
      <c r="G42" s="112">
        <v>103.77</v>
      </c>
      <c r="H42" s="112">
        <v>45.27</v>
      </c>
      <c r="I42" s="112">
        <v>8.81</v>
      </c>
      <c r="J42" s="112">
        <v>0.48</v>
      </c>
      <c r="K42" s="112">
        <v>47.58</v>
      </c>
      <c r="L42" s="112">
        <v>24.72</v>
      </c>
      <c r="M42" s="112">
        <v>73.180000000000007</v>
      </c>
      <c r="N42" s="112">
        <v>208.1</v>
      </c>
      <c r="O42" s="112">
        <v>0</v>
      </c>
      <c r="P42" s="112">
        <v>0.72</v>
      </c>
      <c r="Q42" s="112">
        <v>4.3099999999999996</v>
      </c>
    </row>
    <row r="43" spans="1:17" customFormat="1">
      <c r="A43" s="80">
        <v>45603.364583333336</v>
      </c>
      <c r="B43" s="112">
        <v>5.25</v>
      </c>
      <c r="C43" s="112">
        <v>8.07</v>
      </c>
      <c r="D43" s="112">
        <v>13.99</v>
      </c>
      <c r="E43" s="112">
        <v>11.59</v>
      </c>
      <c r="F43" s="112">
        <v>5.78</v>
      </c>
      <c r="G43" s="112">
        <v>106.83</v>
      </c>
      <c r="H43" s="112">
        <v>43.09</v>
      </c>
      <c r="I43" s="112">
        <v>8.9600000000000009</v>
      </c>
      <c r="J43" s="112">
        <v>0.66</v>
      </c>
      <c r="K43" s="112">
        <v>44.94</v>
      </c>
      <c r="L43" s="112">
        <v>25.43</v>
      </c>
      <c r="M43" s="112">
        <v>69.53</v>
      </c>
      <c r="N43" s="112">
        <v>274.3</v>
      </c>
      <c r="O43" s="112">
        <v>0</v>
      </c>
      <c r="P43" s="112">
        <v>0.74</v>
      </c>
      <c r="Q43" s="112">
        <v>4.3</v>
      </c>
    </row>
    <row r="44" spans="1:17" customFormat="1">
      <c r="A44" s="80">
        <v>45603.375</v>
      </c>
      <c r="B44" s="112">
        <v>5.25</v>
      </c>
      <c r="C44" s="112">
        <v>8.08</v>
      </c>
      <c r="D44" s="112">
        <v>14</v>
      </c>
      <c r="E44" s="112">
        <v>12.42</v>
      </c>
      <c r="F44" s="112">
        <v>6.79</v>
      </c>
      <c r="G44" s="112">
        <v>108.07</v>
      </c>
      <c r="H44" s="112">
        <v>42.99</v>
      </c>
      <c r="I44" s="112">
        <v>9.0500000000000007</v>
      </c>
      <c r="J44" s="112">
        <v>0.51</v>
      </c>
      <c r="K44" s="112">
        <v>18.61</v>
      </c>
      <c r="L44" s="112">
        <v>26.16</v>
      </c>
      <c r="M44" s="112">
        <v>66.34</v>
      </c>
      <c r="N44" s="112">
        <v>260.2</v>
      </c>
      <c r="O44" s="112">
        <v>0</v>
      </c>
      <c r="P44" s="112">
        <v>0.73</v>
      </c>
      <c r="Q44" s="112">
        <v>4.3099999999999996</v>
      </c>
    </row>
    <row r="45" spans="1:17" customFormat="1">
      <c r="A45" s="80">
        <v>45603.385416666664</v>
      </c>
      <c r="B45" s="112">
        <v>5.26</v>
      </c>
      <c r="C45" s="112">
        <v>8.08</v>
      </c>
      <c r="D45" s="112">
        <v>14.01</v>
      </c>
      <c r="E45" s="112">
        <v>12.27</v>
      </c>
      <c r="F45" s="112">
        <v>7.52</v>
      </c>
      <c r="G45" s="112">
        <v>108.07</v>
      </c>
      <c r="H45" s="112">
        <v>42.99</v>
      </c>
      <c r="I45" s="112">
        <v>9.15</v>
      </c>
      <c r="J45" s="112">
        <v>0.46</v>
      </c>
      <c r="K45" s="112">
        <v>43.81</v>
      </c>
      <c r="L45" s="112">
        <v>26.79</v>
      </c>
      <c r="M45" s="112">
        <v>62.44</v>
      </c>
      <c r="N45" s="112">
        <v>348.1</v>
      </c>
      <c r="O45" s="112">
        <v>0</v>
      </c>
      <c r="P45" s="112">
        <v>0.74</v>
      </c>
      <c r="Q45" s="112">
        <v>4.3</v>
      </c>
    </row>
    <row r="46" spans="1:17" customFormat="1">
      <c r="A46" s="80">
        <v>45603.395833333336</v>
      </c>
      <c r="B46" s="112">
        <v>5.28</v>
      </c>
      <c r="C46" s="112">
        <v>8.06</v>
      </c>
      <c r="D46" s="112">
        <v>14.01</v>
      </c>
      <c r="E46" s="112">
        <v>12.21</v>
      </c>
      <c r="F46" s="112">
        <v>7.69</v>
      </c>
      <c r="G46" s="112">
        <v>108.07</v>
      </c>
      <c r="H46" s="112">
        <v>42.99</v>
      </c>
      <c r="I46" s="112">
        <v>9.1999999999999993</v>
      </c>
      <c r="J46" s="112">
        <v>0.76</v>
      </c>
      <c r="K46" s="112">
        <v>49.73</v>
      </c>
      <c r="L46" s="112">
        <v>27.18</v>
      </c>
      <c r="M46" s="112">
        <v>59.69</v>
      </c>
      <c r="N46" s="112">
        <v>311.8</v>
      </c>
      <c r="O46" s="112">
        <v>0</v>
      </c>
      <c r="P46" s="112">
        <v>0.74</v>
      </c>
      <c r="Q46" s="112">
        <v>4.3099999999999996</v>
      </c>
    </row>
    <row r="47" spans="1:17" customFormat="1">
      <c r="A47" s="80">
        <v>45603.40625</v>
      </c>
      <c r="B47" s="112">
        <v>5.26</v>
      </c>
      <c r="C47" s="112">
        <v>8.09</v>
      </c>
      <c r="D47" s="112">
        <v>14.01</v>
      </c>
      <c r="E47" s="112">
        <v>11.97</v>
      </c>
      <c r="F47" s="112">
        <v>8.0399999999999991</v>
      </c>
      <c r="G47" s="112">
        <v>108.98</v>
      </c>
      <c r="H47" s="112">
        <v>44.36</v>
      </c>
      <c r="I47" s="112">
        <v>9.2100000000000009</v>
      </c>
      <c r="J47" s="112">
        <v>0.28000000000000003</v>
      </c>
      <c r="K47" s="112">
        <v>93.27</v>
      </c>
      <c r="L47" s="112">
        <v>27.9</v>
      </c>
      <c r="M47" s="112">
        <v>57.35</v>
      </c>
      <c r="N47" s="112">
        <v>381.9</v>
      </c>
      <c r="O47" s="112">
        <v>0</v>
      </c>
      <c r="P47" s="112">
        <v>0.73</v>
      </c>
      <c r="Q47" s="112">
        <v>4.3</v>
      </c>
    </row>
    <row r="48" spans="1:17" customFormat="1">
      <c r="A48" s="80">
        <v>45603.416666666664</v>
      </c>
      <c r="B48" s="112">
        <v>5.26</v>
      </c>
      <c r="C48" s="112">
        <v>8.08</v>
      </c>
      <c r="D48" s="112">
        <v>14</v>
      </c>
      <c r="E48" s="112">
        <v>11.56</v>
      </c>
      <c r="F48" s="112">
        <v>7.55</v>
      </c>
      <c r="G48" s="112">
        <v>109.35</v>
      </c>
      <c r="H48" s="112">
        <v>44.42</v>
      </c>
      <c r="I48" s="112">
        <v>9.2200000000000006</v>
      </c>
      <c r="J48" s="112">
        <v>0.44</v>
      </c>
      <c r="K48" s="112">
        <v>76.430000000000007</v>
      </c>
      <c r="L48" s="112">
        <v>28.44</v>
      </c>
      <c r="M48" s="112">
        <v>55.13</v>
      </c>
      <c r="N48" s="112">
        <v>410.8</v>
      </c>
      <c r="O48" s="112">
        <v>0</v>
      </c>
      <c r="P48" s="112">
        <v>0.73</v>
      </c>
      <c r="Q48" s="112">
        <v>4.29</v>
      </c>
    </row>
    <row r="49" spans="1:17" customFormat="1">
      <c r="A49" s="80">
        <v>45603.427083333336</v>
      </c>
      <c r="B49" s="112">
        <v>5.26</v>
      </c>
      <c r="C49" s="112">
        <v>8.06</v>
      </c>
      <c r="D49" s="112">
        <v>13.99</v>
      </c>
      <c r="E49" s="112">
        <v>10.34</v>
      </c>
      <c r="F49" s="112">
        <v>7.03</v>
      </c>
      <c r="G49" s="112">
        <v>109.35</v>
      </c>
      <c r="H49" s="112">
        <v>44.42</v>
      </c>
      <c r="I49" s="112">
        <v>9.17</v>
      </c>
      <c r="J49" s="112">
        <v>0.35</v>
      </c>
      <c r="K49" s="112">
        <v>72.5</v>
      </c>
      <c r="L49" s="112">
        <v>28.73</v>
      </c>
      <c r="M49" s="112">
        <v>54.51</v>
      </c>
      <c r="N49" s="112">
        <v>463.3</v>
      </c>
      <c r="O49" s="112">
        <v>0</v>
      </c>
      <c r="P49" s="112">
        <v>0.74</v>
      </c>
      <c r="Q49" s="112">
        <v>4.3099999999999996</v>
      </c>
    </row>
    <row r="50" spans="1:17" customFormat="1">
      <c r="A50" s="80">
        <v>45603.4375</v>
      </c>
      <c r="B50" s="112">
        <v>5.23</v>
      </c>
      <c r="C50" s="112">
        <v>8.09</v>
      </c>
      <c r="D50" s="112">
        <v>13.99</v>
      </c>
      <c r="E50" s="112">
        <v>13.53</v>
      </c>
      <c r="F50" s="112">
        <v>8.2899999999999991</v>
      </c>
      <c r="G50" s="112">
        <v>109.35</v>
      </c>
      <c r="H50" s="112">
        <v>44.42</v>
      </c>
      <c r="I50" s="112">
        <v>9.1199999999999992</v>
      </c>
      <c r="J50" s="112">
        <v>0.34</v>
      </c>
      <c r="K50" s="112">
        <v>95.28</v>
      </c>
      <c r="L50" s="112">
        <v>29.83</v>
      </c>
      <c r="M50" s="112">
        <v>50.97</v>
      </c>
      <c r="N50" s="112">
        <v>491</v>
      </c>
      <c r="O50" s="112">
        <v>0</v>
      </c>
      <c r="P50" s="112">
        <v>0.73</v>
      </c>
      <c r="Q50" s="112">
        <v>4.3</v>
      </c>
    </row>
    <row r="51" spans="1:17" customFormat="1">
      <c r="A51" s="80">
        <v>45603.447916666664</v>
      </c>
      <c r="B51" s="112">
        <v>5.25</v>
      </c>
      <c r="C51" s="112">
        <v>8.07</v>
      </c>
      <c r="D51" s="112">
        <v>13.99</v>
      </c>
      <c r="E51" s="112">
        <v>14.04</v>
      </c>
      <c r="F51" s="112">
        <v>10.24</v>
      </c>
      <c r="G51" s="112">
        <v>105.48</v>
      </c>
      <c r="H51" s="112">
        <v>42.99</v>
      </c>
      <c r="I51" s="112">
        <v>9.09</v>
      </c>
      <c r="J51" s="112">
        <v>0.16</v>
      </c>
      <c r="K51" s="112">
        <v>118.52</v>
      </c>
      <c r="L51" s="112">
        <v>29.82</v>
      </c>
      <c r="M51" s="112">
        <v>50.65</v>
      </c>
      <c r="N51" s="112">
        <v>342.4</v>
      </c>
      <c r="O51" s="112">
        <v>0</v>
      </c>
      <c r="P51" s="112">
        <v>0.73</v>
      </c>
      <c r="Q51" s="112">
        <v>4.3</v>
      </c>
    </row>
    <row r="52" spans="1:17" customFormat="1">
      <c r="A52" s="80">
        <v>45603.458333333336</v>
      </c>
      <c r="B52" s="112">
        <v>5.23</v>
      </c>
      <c r="C52" s="112">
        <v>8.09</v>
      </c>
      <c r="D52" s="112">
        <v>13.99</v>
      </c>
      <c r="E52" s="112">
        <v>13.07</v>
      </c>
      <c r="F52" s="112">
        <v>9.19</v>
      </c>
      <c r="G52" s="112">
        <v>103.91</v>
      </c>
      <c r="H52" s="112">
        <v>42.92</v>
      </c>
      <c r="I52" s="112">
        <v>8.93</v>
      </c>
      <c r="J52" s="112">
        <v>0.33</v>
      </c>
      <c r="K52" s="112">
        <v>71.92</v>
      </c>
      <c r="L52" s="112">
        <v>29.19</v>
      </c>
      <c r="M52" s="112">
        <v>53.13</v>
      </c>
      <c r="N52" s="112">
        <v>332</v>
      </c>
      <c r="O52" s="112">
        <v>0</v>
      </c>
      <c r="P52" s="112">
        <v>0.72</v>
      </c>
      <c r="Q52" s="112">
        <v>4.3099999999999996</v>
      </c>
    </row>
    <row r="53" spans="1:17" customFormat="1">
      <c r="A53" s="80">
        <v>45603.46875</v>
      </c>
      <c r="B53" s="112">
        <v>5.25</v>
      </c>
      <c r="C53" s="112">
        <v>8.09</v>
      </c>
      <c r="D53" s="112">
        <v>14</v>
      </c>
      <c r="E53" s="112">
        <v>12.38</v>
      </c>
      <c r="F53" s="112">
        <v>8.81</v>
      </c>
      <c r="G53" s="112">
        <v>103.91</v>
      </c>
      <c r="H53" s="112">
        <v>42.92</v>
      </c>
      <c r="I53" s="112">
        <v>8.7799999999999994</v>
      </c>
      <c r="J53" s="112">
        <v>0.3</v>
      </c>
      <c r="K53" s="112">
        <v>72.03</v>
      </c>
      <c r="L53" s="112">
        <v>29.4</v>
      </c>
      <c r="M53" s="112">
        <v>51.61</v>
      </c>
      <c r="N53" s="112">
        <v>379.3</v>
      </c>
      <c r="O53" s="112">
        <v>0</v>
      </c>
      <c r="P53" s="112">
        <v>0.71</v>
      </c>
      <c r="Q53" s="112">
        <v>4.3</v>
      </c>
    </row>
    <row r="54" spans="1:17" customFormat="1">
      <c r="A54" s="80">
        <v>45603.479166666664</v>
      </c>
      <c r="B54" s="112">
        <v>5.24</v>
      </c>
      <c r="C54" s="112">
        <v>8.09</v>
      </c>
      <c r="D54" s="112">
        <v>13.99</v>
      </c>
      <c r="E54" s="112">
        <v>12.34</v>
      </c>
      <c r="F54" s="112">
        <v>10.19</v>
      </c>
      <c r="G54" s="112">
        <v>103.91</v>
      </c>
      <c r="H54" s="112">
        <v>42.92</v>
      </c>
      <c r="I54" s="112">
        <v>8.68</v>
      </c>
      <c r="J54" s="112">
        <v>0.27</v>
      </c>
      <c r="K54" s="112">
        <v>111.41</v>
      </c>
      <c r="L54" s="112">
        <v>29.64</v>
      </c>
      <c r="M54" s="112">
        <v>50.83</v>
      </c>
      <c r="N54" s="112">
        <v>471.3</v>
      </c>
      <c r="O54" s="112">
        <v>0</v>
      </c>
      <c r="P54" s="112">
        <v>0.69</v>
      </c>
      <c r="Q54" s="112">
        <v>4.3</v>
      </c>
    </row>
    <row r="55" spans="1:17" customFormat="1">
      <c r="A55" s="80">
        <v>45603.489583333336</v>
      </c>
      <c r="B55" s="112">
        <v>5.23</v>
      </c>
      <c r="C55" s="112">
        <v>8.07</v>
      </c>
      <c r="D55" s="112">
        <v>13.98</v>
      </c>
      <c r="E55" s="112">
        <v>12.69</v>
      </c>
      <c r="F55" s="112">
        <v>13.02</v>
      </c>
      <c r="G55" s="112">
        <v>95.29</v>
      </c>
      <c r="H55" s="112">
        <v>39.85</v>
      </c>
      <c r="I55" s="112">
        <v>8.5</v>
      </c>
      <c r="J55" s="112">
        <v>0.56000000000000005</v>
      </c>
      <c r="K55" s="112">
        <v>45.03</v>
      </c>
      <c r="L55" s="112">
        <v>29.22</v>
      </c>
      <c r="M55" s="112">
        <v>51.91</v>
      </c>
      <c r="N55" s="112">
        <v>267.7</v>
      </c>
      <c r="O55" s="112">
        <v>0</v>
      </c>
      <c r="P55" s="112">
        <v>0.67</v>
      </c>
      <c r="Q55" s="112">
        <v>4.29</v>
      </c>
    </row>
    <row r="56" spans="1:17" customFormat="1">
      <c r="A56" s="80">
        <v>45603.5</v>
      </c>
      <c r="B56" s="112">
        <v>5.27</v>
      </c>
      <c r="C56" s="112">
        <v>8.08</v>
      </c>
      <c r="D56" s="112">
        <v>14.01</v>
      </c>
      <c r="E56" s="112">
        <v>13.34</v>
      </c>
      <c r="F56" s="112">
        <v>10.89</v>
      </c>
      <c r="G56" s="112">
        <v>91.79</v>
      </c>
      <c r="H56" s="112">
        <v>39.619999999999997</v>
      </c>
      <c r="I56" s="112">
        <v>8.31</v>
      </c>
      <c r="J56" s="112">
        <v>0.32</v>
      </c>
      <c r="K56" s="112">
        <v>43.51</v>
      </c>
      <c r="L56" s="112">
        <v>29.45</v>
      </c>
      <c r="M56" s="112">
        <v>51.06</v>
      </c>
      <c r="N56" s="112">
        <v>242.4</v>
      </c>
      <c r="O56" s="112">
        <v>0</v>
      </c>
      <c r="P56" s="112">
        <v>0.67</v>
      </c>
      <c r="Q56" s="112">
        <v>4.3</v>
      </c>
    </row>
    <row r="57" spans="1:17" customFormat="1">
      <c r="A57" s="80">
        <v>45603.510416666664</v>
      </c>
      <c r="B57" s="112">
        <v>5.29</v>
      </c>
      <c r="C57" s="112">
        <v>8.06</v>
      </c>
      <c r="D57" s="112">
        <v>14.03</v>
      </c>
      <c r="E57" s="112">
        <v>12.87</v>
      </c>
      <c r="F57" s="112">
        <v>10.33</v>
      </c>
      <c r="G57" s="112">
        <v>91.79</v>
      </c>
      <c r="H57" s="112">
        <v>39.619999999999997</v>
      </c>
      <c r="I57" s="112">
        <v>8.11</v>
      </c>
      <c r="J57" s="112">
        <v>0.36</v>
      </c>
      <c r="K57" s="112">
        <v>58.28</v>
      </c>
      <c r="L57" s="112">
        <v>29.7</v>
      </c>
      <c r="M57" s="112">
        <v>48.98</v>
      </c>
      <c r="N57" s="112">
        <v>394.7</v>
      </c>
      <c r="O57" s="112">
        <v>0</v>
      </c>
      <c r="P57" s="112">
        <v>0.67</v>
      </c>
      <c r="Q57" s="112">
        <v>4.29</v>
      </c>
    </row>
    <row r="58" spans="1:17" customFormat="1">
      <c r="A58" s="80">
        <v>45603.520833333336</v>
      </c>
      <c r="B58" s="112">
        <v>5.29</v>
      </c>
      <c r="C58" s="112">
        <v>8.09</v>
      </c>
      <c r="D58" s="112">
        <v>14.04</v>
      </c>
      <c r="E58" s="112">
        <v>12.7</v>
      </c>
      <c r="F58" s="112">
        <v>10.37</v>
      </c>
      <c r="G58" s="112">
        <v>91.79</v>
      </c>
      <c r="H58" s="112">
        <v>39.619999999999997</v>
      </c>
      <c r="I58" s="112">
        <v>8.02</v>
      </c>
      <c r="J58" s="112">
        <v>0.38</v>
      </c>
      <c r="K58" s="112">
        <v>38.659999999999997</v>
      </c>
      <c r="L58" s="112">
        <v>29.94</v>
      </c>
      <c r="M58" s="112">
        <v>47.92</v>
      </c>
      <c r="N58" s="112">
        <v>392.6</v>
      </c>
      <c r="O58" s="112">
        <v>0</v>
      </c>
      <c r="P58" s="112">
        <v>0.66</v>
      </c>
      <c r="Q58" s="112">
        <v>4.28</v>
      </c>
    </row>
    <row r="59" spans="1:17" customFormat="1">
      <c r="A59" s="80">
        <v>45603.53125</v>
      </c>
      <c r="B59" s="112">
        <v>5.28</v>
      </c>
      <c r="C59" s="112">
        <v>8.08</v>
      </c>
      <c r="D59" s="112">
        <v>14.03</v>
      </c>
      <c r="E59" s="112">
        <v>13.05</v>
      </c>
      <c r="F59" s="112">
        <v>12.61</v>
      </c>
      <c r="G59" s="112">
        <v>83.44</v>
      </c>
      <c r="H59" s="112">
        <v>32.630000000000003</v>
      </c>
      <c r="I59" s="112">
        <v>7.96</v>
      </c>
      <c r="J59" s="112">
        <v>0.78</v>
      </c>
      <c r="K59" s="112">
        <v>39.71</v>
      </c>
      <c r="L59" s="112">
        <v>30.4</v>
      </c>
      <c r="M59" s="112">
        <v>45.49</v>
      </c>
      <c r="N59" s="112">
        <v>435.8</v>
      </c>
      <c r="O59" s="112">
        <v>0</v>
      </c>
      <c r="P59" s="112">
        <v>0.66</v>
      </c>
      <c r="Q59" s="112">
        <v>4.29</v>
      </c>
    </row>
    <row r="60" spans="1:17" customFormat="1">
      <c r="A60" s="80">
        <v>45603.541666666664</v>
      </c>
      <c r="B60" s="112">
        <v>5.28</v>
      </c>
      <c r="C60" s="112">
        <v>8.08</v>
      </c>
      <c r="D60" s="112">
        <v>14.03</v>
      </c>
      <c r="E60" s="112">
        <v>14.26</v>
      </c>
      <c r="F60" s="112">
        <v>18.95</v>
      </c>
      <c r="G60" s="112">
        <v>80.05</v>
      </c>
      <c r="H60" s="112">
        <v>32.299999999999997</v>
      </c>
      <c r="I60" s="112">
        <v>7.75</v>
      </c>
      <c r="J60" s="112">
        <v>0.53</v>
      </c>
      <c r="K60" s="112">
        <v>60.32</v>
      </c>
      <c r="L60" s="112">
        <v>30.4</v>
      </c>
      <c r="M60" s="112">
        <v>45.48</v>
      </c>
      <c r="N60" s="112">
        <v>303.39999999999998</v>
      </c>
      <c r="O60" s="112">
        <v>0</v>
      </c>
      <c r="P60" s="112">
        <v>0.65</v>
      </c>
      <c r="Q60" s="112">
        <v>4.32</v>
      </c>
    </row>
    <row r="61" spans="1:17" customFormat="1">
      <c r="A61" s="80">
        <v>45603.552083333336</v>
      </c>
      <c r="B61" s="112">
        <v>5.31</v>
      </c>
      <c r="C61" s="112">
        <v>8.07</v>
      </c>
      <c r="D61" s="112">
        <v>14.05</v>
      </c>
      <c r="E61" s="112">
        <v>13.72</v>
      </c>
      <c r="F61" s="112">
        <v>21.53</v>
      </c>
      <c r="G61" s="112">
        <v>80.05</v>
      </c>
      <c r="H61" s="112">
        <v>32.299999999999997</v>
      </c>
      <c r="I61" s="112">
        <v>7.67</v>
      </c>
      <c r="J61" s="112">
        <v>0.61</v>
      </c>
      <c r="K61" s="112">
        <v>45.19</v>
      </c>
      <c r="L61" s="112">
        <v>30.15</v>
      </c>
      <c r="M61" s="112">
        <v>45.19</v>
      </c>
      <c r="N61" s="112">
        <v>327.3</v>
      </c>
      <c r="O61" s="112">
        <v>0</v>
      </c>
      <c r="P61" s="112">
        <v>0.63</v>
      </c>
      <c r="Q61" s="112">
        <v>4.3</v>
      </c>
    </row>
    <row r="62" spans="1:17" customFormat="1">
      <c r="A62" s="80">
        <v>45603.5625</v>
      </c>
      <c r="B62" s="112">
        <v>5.39</v>
      </c>
      <c r="C62" s="112">
        <v>8.08</v>
      </c>
      <c r="D62" s="112">
        <v>14.11</v>
      </c>
      <c r="E62" s="112">
        <v>15.07</v>
      </c>
      <c r="F62" s="112">
        <v>27.69</v>
      </c>
      <c r="G62" s="151" t="s">
        <v>12</v>
      </c>
      <c r="H62" s="151" t="s">
        <v>12</v>
      </c>
      <c r="I62" s="112">
        <v>7.83</v>
      </c>
      <c r="J62" s="112">
        <v>0.6</v>
      </c>
      <c r="K62" s="112">
        <v>20.83</v>
      </c>
      <c r="L62" s="112">
        <v>30.38</v>
      </c>
      <c r="M62" s="112">
        <v>43.22</v>
      </c>
      <c r="N62" s="112">
        <v>403.7</v>
      </c>
      <c r="O62" s="112">
        <v>0</v>
      </c>
      <c r="P62" s="112">
        <v>0.59</v>
      </c>
      <c r="Q62" s="112">
        <v>4.3</v>
      </c>
    </row>
    <row r="63" spans="1:17" customFormat="1">
      <c r="A63" s="80">
        <v>45603.572916666664</v>
      </c>
      <c r="B63" s="112">
        <v>5.32</v>
      </c>
      <c r="C63" s="112">
        <v>8.09</v>
      </c>
      <c r="D63" s="112">
        <v>14.06</v>
      </c>
      <c r="E63" s="112">
        <v>14.57</v>
      </c>
      <c r="F63" s="112">
        <v>20.43</v>
      </c>
      <c r="G63" s="151" t="s">
        <v>12</v>
      </c>
      <c r="H63" s="151" t="s">
        <v>12</v>
      </c>
      <c r="I63" s="112">
        <v>7.68</v>
      </c>
      <c r="J63" s="112">
        <v>0.55000000000000004</v>
      </c>
      <c r="K63" s="112">
        <v>64.16</v>
      </c>
      <c r="L63" s="112">
        <v>30.68</v>
      </c>
      <c r="M63" s="112">
        <v>42.84</v>
      </c>
      <c r="N63" s="112">
        <v>363.1</v>
      </c>
      <c r="O63" s="112">
        <v>0</v>
      </c>
      <c r="P63" s="112">
        <v>0.57999999999999996</v>
      </c>
      <c r="Q63" s="112">
        <v>4.28</v>
      </c>
    </row>
    <row r="64" spans="1:17" customFormat="1">
      <c r="A64" s="80">
        <v>45603.583333333336</v>
      </c>
      <c r="B64" s="112">
        <v>5.23</v>
      </c>
      <c r="C64" s="112">
        <v>8.07</v>
      </c>
      <c r="D64" s="112">
        <v>13.98</v>
      </c>
      <c r="E64" s="112">
        <v>13.35</v>
      </c>
      <c r="F64" s="112">
        <v>15.08</v>
      </c>
      <c r="G64" s="151" t="s">
        <v>12</v>
      </c>
      <c r="H64" s="151" t="s">
        <v>12</v>
      </c>
      <c r="I64" s="112">
        <v>7.31</v>
      </c>
      <c r="J64" s="112">
        <v>0.49</v>
      </c>
      <c r="K64" s="112">
        <v>55.15</v>
      </c>
      <c r="L64" s="112">
        <v>30.33</v>
      </c>
      <c r="M64" s="112">
        <v>44.04</v>
      </c>
      <c r="N64" s="112">
        <v>168.5</v>
      </c>
      <c r="O64" s="112">
        <v>0</v>
      </c>
      <c r="P64" s="112">
        <v>0.59</v>
      </c>
      <c r="Q64" s="112">
        <v>4.3</v>
      </c>
    </row>
    <row r="65" spans="1:17" customFormat="1">
      <c r="A65" s="80">
        <v>45603.59375</v>
      </c>
      <c r="B65" s="112">
        <v>5.22</v>
      </c>
      <c r="C65" s="112">
        <v>8.0500000000000007</v>
      </c>
      <c r="D65" s="112">
        <v>13.95</v>
      </c>
      <c r="E65" s="112">
        <v>12.72</v>
      </c>
      <c r="F65" s="112">
        <v>17.28</v>
      </c>
      <c r="G65" s="151" t="s">
        <v>12</v>
      </c>
      <c r="H65" s="151" t="s">
        <v>12</v>
      </c>
      <c r="I65" s="112">
        <v>7.32</v>
      </c>
      <c r="J65" s="112">
        <v>0.23</v>
      </c>
      <c r="K65" s="112">
        <v>103.66</v>
      </c>
      <c r="L65" s="112">
        <v>30.04</v>
      </c>
      <c r="M65" s="112">
        <v>45.14</v>
      </c>
      <c r="N65" s="112">
        <v>98.4</v>
      </c>
      <c r="O65" s="112">
        <v>0</v>
      </c>
      <c r="P65" s="112">
        <v>0.57999999999999996</v>
      </c>
      <c r="Q65" s="112">
        <v>4.3</v>
      </c>
    </row>
    <row r="66" spans="1:17" customFormat="1">
      <c r="A66" s="80">
        <v>45603.604166666664</v>
      </c>
      <c r="B66" s="112">
        <v>5.2</v>
      </c>
      <c r="C66" s="112">
        <v>8.06</v>
      </c>
      <c r="D66" s="112">
        <v>13.94</v>
      </c>
      <c r="E66" s="112">
        <v>14.62</v>
      </c>
      <c r="F66" s="112">
        <v>33.65</v>
      </c>
      <c r="G66" s="151" t="s">
        <v>12</v>
      </c>
      <c r="H66" s="151" t="s">
        <v>12</v>
      </c>
      <c r="I66" s="112">
        <v>7.26</v>
      </c>
      <c r="J66" s="112">
        <v>0.27</v>
      </c>
      <c r="K66" s="112">
        <v>169.19</v>
      </c>
      <c r="L66" s="112">
        <v>29.87</v>
      </c>
      <c r="M66" s="112">
        <v>47.43</v>
      </c>
      <c r="N66" s="112">
        <v>122</v>
      </c>
      <c r="O66" s="112">
        <v>0</v>
      </c>
      <c r="P66" s="112">
        <v>0.56999999999999995</v>
      </c>
      <c r="Q66" s="112">
        <v>4.3</v>
      </c>
    </row>
    <row r="67" spans="1:17" customFormat="1">
      <c r="A67" s="80">
        <v>45603.614583333336</v>
      </c>
      <c r="B67" s="112">
        <v>5.19</v>
      </c>
      <c r="C67" s="112">
        <v>8.07</v>
      </c>
      <c r="D67" s="112">
        <v>13.94</v>
      </c>
      <c r="E67" s="112">
        <v>17.16</v>
      </c>
      <c r="F67" s="112">
        <v>38.090000000000003</v>
      </c>
      <c r="G67" s="112">
        <v>41.99</v>
      </c>
      <c r="H67" s="112">
        <v>18.12</v>
      </c>
      <c r="I67" s="112">
        <v>6.71</v>
      </c>
      <c r="J67" s="112">
        <v>0.28999999999999998</v>
      </c>
      <c r="K67" s="112">
        <v>163.22</v>
      </c>
      <c r="L67" s="112">
        <v>30.06</v>
      </c>
      <c r="M67" s="112">
        <v>45.35</v>
      </c>
      <c r="N67" s="112">
        <v>106.4</v>
      </c>
      <c r="O67" s="112">
        <v>0</v>
      </c>
      <c r="P67" s="112">
        <v>0.54</v>
      </c>
      <c r="Q67" s="112">
        <v>4.29</v>
      </c>
    </row>
    <row r="68" spans="1:17" customFormat="1">
      <c r="A68" s="80">
        <v>45603.625</v>
      </c>
      <c r="B68" s="112">
        <v>5.19</v>
      </c>
      <c r="C68" s="112">
        <v>8.06</v>
      </c>
      <c r="D68" s="112">
        <v>13.94</v>
      </c>
      <c r="E68" s="112">
        <v>16.64</v>
      </c>
      <c r="F68" s="112">
        <v>44.77</v>
      </c>
      <c r="G68" s="112">
        <v>42.95</v>
      </c>
      <c r="H68" s="112">
        <v>18.12</v>
      </c>
      <c r="I68" s="112">
        <v>5.96</v>
      </c>
      <c r="J68" s="112">
        <v>0.12</v>
      </c>
      <c r="K68" s="112">
        <v>188.02</v>
      </c>
      <c r="L68" s="112">
        <v>29.73</v>
      </c>
      <c r="M68" s="112">
        <v>45.21</v>
      </c>
      <c r="N68" s="112">
        <v>99.7</v>
      </c>
      <c r="O68" s="112">
        <v>0</v>
      </c>
      <c r="P68" s="112">
        <v>0.5</v>
      </c>
      <c r="Q68" s="112">
        <v>4.29</v>
      </c>
    </row>
    <row r="69" spans="1:17" customFormat="1">
      <c r="A69" s="80">
        <v>45603.635416666664</v>
      </c>
      <c r="B69" s="112">
        <v>5.16</v>
      </c>
      <c r="C69" s="112">
        <v>8.08</v>
      </c>
      <c r="D69" s="112">
        <v>13.93</v>
      </c>
      <c r="E69" s="112">
        <v>15.23</v>
      </c>
      <c r="F69" s="112">
        <v>28.44</v>
      </c>
      <c r="G69" s="112">
        <v>42.95</v>
      </c>
      <c r="H69" s="112">
        <v>18.12</v>
      </c>
      <c r="I69" s="112">
        <v>5.67</v>
      </c>
      <c r="J69" s="112">
        <v>0.17</v>
      </c>
      <c r="K69" s="112">
        <v>72.72</v>
      </c>
      <c r="L69" s="112">
        <v>29.78</v>
      </c>
      <c r="M69" s="112">
        <v>46.31</v>
      </c>
      <c r="N69" s="112">
        <v>86.4</v>
      </c>
      <c r="O69" s="112">
        <v>0</v>
      </c>
      <c r="P69" s="112">
        <v>0.52</v>
      </c>
      <c r="Q69" s="112">
        <v>4.3</v>
      </c>
    </row>
    <row r="70" spans="1:17" customFormat="1">
      <c r="A70" s="80">
        <v>45603.645833333336</v>
      </c>
      <c r="B70" s="112">
        <v>5.2</v>
      </c>
      <c r="C70" s="112">
        <v>8.06</v>
      </c>
      <c r="D70" s="112">
        <v>13.95</v>
      </c>
      <c r="E70" s="112">
        <v>15.7</v>
      </c>
      <c r="F70" s="112">
        <v>27.65</v>
      </c>
      <c r="G70" s="112">
        <v>42.95</v>
      </c>
      <c r="H70" s="112">
        <v>18.12</v>
      </c>
      <c r="I70" s="112">
        <v>5.41</v>
      </c>
      <c r="J70" s="112">
        <v>0.38</v>
      </c>
      <c r="K70" s="112">
        <v>38.590000000000003</v>
      </c>
      <c r="L70" s="112">
        <v>29.79</v>
      </c>
      <c r="M70" s="112">
        <v>44.06</v>
      </c>
      <c r="N70" s="112">
        <v>81.8</v>
      </c>
      <c r="O70" s="112">
        <v>0</v>
      </c>
      <c r="P70" s="112">
        <v>0.53</v>
      </c>
      <c r="Q70" s="112">
        <v>4.3099999999999996</v>
      </c>
    </row>
    <row r="71" spans="1:17" customFormat="1">
      <c r="A71" s="80">
        <v>45603.65625</v>
      </c>
      <c r="B71" s="112">
        <v>5.29</v>
      </c>
      <c r="C71" s="112">
        <v>8.07</v>
      </c>
      <c r="D71" s="112">
        <v>14.03</v>
      </c>
      <c r="E71" s="112">
        <v>16.649999999999999</v>
      </c>
      <c r="F71" s="112">
        <v>27.52</v>
      </c>
      <c r="G71" s="112">
        <v>45.03</v>
      </c>
      <c r="H71" s="112">
        <v>17.47</v>
      </c>
      <c r="I71" s="112">
        <v>5.21</v>
      </c>
      <c r="J71" s="112">
        <v>0.34</v>
      </c>
      <c r="K71" s="112">
        <v>71.88</v>
      </c>
      <c r="L71" s="112">
        <v>29.7</v>
      </c>
      <c r="M71" s="112">
        <v>44.89</v>
      </c>
      <c r="N71" s="112">
        <v>69.2</v>
      </c>
      <c r="O71" s="112">
        <v>0</v>
      </c>
      <c r="P71" s="112">
        <v>0.52</v>
      </c>
      <c r="Q71" s="112">
        <v>4.3099999999999996</v>
      </c>
    </row>
    <row r="72" spans="1:17" customFormat="1">
      <c r="A72" s="80">
        <v>45603.666666666664</v>
      </c>
      <c r="B72" s="112">
        <v>5.29</v>
      </c>
      <c r="C72" s="112">
        <v>8.07</v>
      </c>
      <c r="D72" s="112">
        <v>14.03</v>
      </c>
      <c r="E72" s="112">
        <v>17.2</v>
      </c>
      <c r="F72" s="112">
        <v>31.69</v>
      </c>
      <c r="G72" s="112">
        <v>45.07</v>
      </c>
      <c r="H72" s="112">
        <v>17.47</v>
      </c>
      <c r="I72" s="112">
        <v>5.24</v>
      </c>
      <c r="J72" s="112">
        <v>0.25</v>
      </c>
      <c r="K72" s="112">
        <v>97.8</v>
      </c>
      <c r="L72" s="112">
        <v>29.4</v>
      </c>
      <c r="M72" s="112">
        <v>46.57</v>
      </c>
      <c r="N72" s="112">
        <v>52.7</v>
      </c>
      <c r="O72" s="112">
        <v>0</v>
      </c>
      <c r="P72" s="112">
        <v>0.5</v>
      </c>
      <c r="Q72" s="112">
        <v>4.3099999999999996</v>
      </c>
    </row>
    <row r="73" spans="1:17" customFormat="1">
      <c r="A73" s="80">
        <v>45603.677083333336</v>
      </c>
      <c r="B73" s="112">
        <v>5.28</v>
      </c>
      <c r="C73" s="112">
        <v>8.1</v>
      </c>
      <c r="D73" s="112">
        <v>14.03</v>
      </c>
      <c r="E73" s="112">
        <v>15.45</v>
      </c>
      <c r="F73" s="112">
        <v>28.56</v>
      </c>
      <c r="G73" s="112">
        <v>45.07</v>
      </c>
      <c r="H73" s="112">
        <v>17.47</v>
      </c>
      <c r="I73" s="112">
        <v>5.0999999999999996</v>
      </c>
      <c r="J73" s="112">
        <v>0.27</v>
      </c>
      <c r="K73" s="112">
        <v>71.77</v>
      </c>
      <c r="L73" s="112">
        <v>29.12</v>
      </c>
      <c r="M73" s="112">
        <v>47.73</v>
      </c>
      <c r="N73" s="112">
        <v>37.299999999999997</v>
      </c>
      <c r="O73" s="112">
        <v>0</v>
      </c>
      <c r="P73" s="112">
        <v>0.51</v>
      </c>
      <c r="Q73" s="112">
        <v>4.3</v>
      </c>
    </row>
    <row r="74" spans="1:17" customFormat="1">
      <c r="A74" s="80">
        <v>45603.6875</v>
      </c>
      <c r="B74" s="112">
        <v>5.25</v>
      </c>
      <c r="C74" s="112">
        <v>8.08</v>
      </c>
      <c r="D74" s="112">
        <v>13.99</v>
      </c>
      <c r="E74" s="112">
        <v>14.43</v>
      </c>
      <c r="F74" s="112">
        <v>25.52</v>
      </c>
      <c r="G74" s="112">
        <v>45.07</v>
      </c>
      <c r="H74" s="112">
        <v>17.47</v>
      </c>
      <c r="I74" s="112">
        <v>5.01</v>
      </c>
      <c r="J74" s="112">
        <v>0.19</v>
      </c>
      <c r="K74" s="112">
        <v>91.5</v>
      </c>
      <c r="L74" s="112">
        <v>28.75</v>
      </c>
      <c r="M74" s="112">
        <v>51.42</v>
      </c>
      <c r="N74" s="112">
        <v>26.7</v>
      </c>
      <c r="O74" s="112">
        <v>0</v>
      </c>
      <c r="P74" s="112">
        <v>0.51</v>
      </c>
      <c r="Q74" s="112">
        <v>4.29</v>
      </c>
    </row>
    <row r="75" spans="1:17" customFormat="1">
      <c r="A75" s="80">
        <v>45603.697916666664</v>
      </c>
      <c r="B75" s="112">
        <v>5.22</v>
      </c>
      <c r="C75" s="112">
        <v>8.07</v>
      </c>
      <c r="D75" s="112">
        <v>13.97</v>
      </c>
      <c r="E75" s="112">
        <v>13.53</v>
      </c>
      <c r="F75" s="112">
        <v>25.76</v>
      </c>
      <c r="G75" s="112">
        <v>49.89</v>
      </c>
      <c r="H75" s="112">
        <v>21.23</v>
      </c>
      <c r="I75" s="112">
        <v>5.0199999999999996</v>
      </c>
      <c r="J75" s="112">
        <v>0.17</v>
      </c>
      <c r="K75" s="112">
        <v>148.47999999999999</v>
      </c>
      <c r="L75" s="112">
        <v>27.78</v>
      </c>
      <c r="M75" s="112">
        <v>56.97</v>
      </c>
      <c r="N75" s="112">
        <v>17.100000000000001</v>
      </c>
      <c r="O75" s="112">
        <v>0</v>
      </c>
      <c r="P75" s="112">
        <v>0.52</v>
      </c>
      <c r="Q75" s="112">
        <v>4.29</v>
      </c>
    </row>
    <row r="76" spans="1:17" customFormat="1">
      <c r="A76" s="80">
        <v>45603.708333333336</v>
      </c>
      <c r="B76" s="112">
        <v>5.23</v>
      </c>
      <c r="C76" s="112">
        <v>8.06</v>
      </c>
      <c r="D76" s="112">
        <v>13.98</v>
      </c>
      <c r="E76" s="112">
        <v>12.78</v>
      </c>
      <c r="F76" s="112">
        <v>15.51</v>
      </c>
      <c r="G76" s="112">
        <v>50</v>
      </c>
      <c r="H76" s="112">
        <v>21.23</v>
      </c>
      <c r="I76" s="112">
        <v>5.04</v>
      </c>
      <c r="J76" s="112">
        <v>0.2</v>
      </c>
      <c r="K76" s="112">
        <v>152.63</v>
      </c>
      <c r="L76" s="112">
        <v>27.25</v>
      </c>
      <c r="M76" s="112">
        <v>58.4</v>
      </c>
      <c r="N76" s="112">
        <v>9.3000000000000007</v>
      </c>
      <c r="O76" s="112">
        <v>0</v>
      </c>
      <c r="P76" s="112">
        <v>0.53</v>
      </c>
      <c r="Q76" s="112">
        <v>4.3099999999999996</v>
      </c>
    </row>
    <row r="77" spans="1:17" customFormat="1">
      <c r="A77" s="80">
        <v>45603.71875</v>
      </c>
      <c r="B77" s="112">
        <v>5.22</v>
      </c>
      <c r="C77" s="112">
        <v>8.07</v>
      </c>
      <c r="D77" s="112">
        <v>13.97</v>
      </c>
      <c r="E77" s="112">
        <v>11.13</v>
      </c>
      <c r="F77" s="112">
        <v>9.7100000000000009</v>
      </c>
      <c r="G77" s="112">
        <v>50</v>
      </c>
      <c r="H77" s="112">
        <v>21.23</v>
      </c>
      <c r="I77" s="112">
        <v>5.23</v>
      </c>
      <c r="J77" s="112">
        <v>0.27</v>
      </c>
      <c r="K77" s="112">
        <v>161.83000000000001</v>
      </c>
      <c r="L77" s="112">
        <v>26.69</v>
      </c>
      <c r="M77" s="112">
        <v>60.84</v>
      </c>
      <c r="N77" s="112">
        <v>4.2</v>
      </c>
      <c r="O77" s="112">
        <v>0</v>
      </c>
      <c r="P77" s="112">
        <v>0.53</v>
      </c>
      <c r="Q77" s="112">
        <v>4.3099999999999996</v>
      </c>
    </row>
    <row r="78" spans="1:17" customFormat="1">
      <c r="A78" s="80">
        <v>45603.729166666664</v>
      </c>
      <c r="B78" s="112">
        <v>5.25</v>
      </c>
      <c r="C78" s="112">
        <v>8.0500000000000007</v>
      </c>
      <c r="D78" s="112">
        <v>13.98</v>
      </c>
      <c r="E78" s="112">
        <v>11.02</v>
      </c>
      <c r="F78" s="112">
        <v>7.78</v>
      </c>
      <c r="G78" s="112">
        <v>50</v>
      </c>
      <c r="H78" s="112">
        <v>21.23</v>
      </c>
      <c r="I78" s="112">
        <v>5.36</v>
      </c>
      <c r="J78" s="112">
        <v>0.28000000000000003</v>
      </c>
      <c r="K78" s="112">
        <v>163.11000000000001</v>
      </c>
      <c r="L78" s="112">
        <v>26.14</v>
      </c>
      <c r="M78" s="112">
        <v>63.09</v>
      </c>
      <c r="N78" s="112">
        <v>2.4</v>
      </c>
      <c r="O78" s="112">
        <v>0</v>
      </c>
      <c r="P78" s="112">
        <v>0.55000000000000004</v>
      </c>
      <c r="Q78" s="112">
        <v>4.3</v>
      </c>
    </row>
    <row r="79" spans="1:17" customFormat="1">
      <c r="A79" s="80">
        <v>45603.739583333336</v>
      </c>
      <c r="B79" s="112">
        <v>5.31</v>
      </c>
      <c r="C79" s="112">
        <v>8.06</v>
      </c>
      <c r="D79" s="112">
        <v>14.04</v>
      </c>
      <c r="E79" s="112">
        <v>10.89</v>
      </c>
      <c r="F79" s="112">
        <v>6.55</v>
      </c>
      <c r="G79" s="112">
        <v>66.22</v>
      </c>
      <c r="H79" s="112">
        <v>23.57</v>
      </c>
      <c r="I79" s="112">
        <v>5.43</v>
      </c>
      <c r="J79" s="112">
        <v>0.28999999999999998</v>
      </c>
      <c r="K79" s="112">
        <v>165.97</v>
      </c>
      <c r="L79" s="112">
        <v>25.83</v>
      </c>
      <c r="M79" s="112">
        <v>63.76</v>
      </c>
      <c r="N79" s="112">
        <v>2</v>
      </c>
      <c r="O79" s="112">
        <v>0</v>
      </c>
      <c r="P79" s="112">
        <v>0.55000000000000004</v>
      </c>
      <c r="Q79" s="112">
        <v>4.3</v>
      </c>
    </row>
    <row r="80" spans="1:17" customFormat="1">
      <c r="A80" s="80">
        <v>45603.75</v>
      </c>
      <c r="B80" s="112">
        <v>5.3</v>
      </c>
      <c r="C80" s="112">
        <v>8.08</v>
      </c>
      <c r="D80" s="112">
        <v>14.04</v>
      </c>
      <c r="E80" s="112">
        <v>11.01</v>
      </c>
      <c r="F80" s="112">
        <v>5.87</v>
      </c>
      <c r="G80" s="112">
        <v>66.78</v>
      </c>
      <c r="H80" s="112">
        <v>23.57</v>
      </c>
      <c r="I80" s="112">
        <v>5.6</v>
      </c>
      <c r="J80" s="112">
        <v>0.28000000000000003</v>
      </c>
      <c r="K80" s="112">
        <v>170.09</v>
      </c>
      <c r="L80" s="112">
        <v>25.46</v>
      </c>
      <c r="M80" s="112">
        <v>65.7</v>
      </c>
      <c r="N80" s="112">
        <v>2</v>
      </c>
      <c r="O80" s="112">
        <v>0</v>
      </c>
      <c r="P80" s="112">
        <v>0.56999999999999995</v>
      </c>
      <c r="Q80" s="112">
        <v>4.29</v>
      </c>
    </row>
    <row r="81" spans="1:17" customFormat="1">
      <c r="A81" s="80">
        <v>45603.760416666664</v>
      </c>
      <c r="B81" s="112">
        <v>5.33</v>
      </c>
      <c r="C81" s="112">
        <v>8.08</v>
      </c>
      <c r="D81" s="112">
        <v>14.06</v>
      </c>
      <c r="E81" s="112">
        <v>6.74</v>
      </c>
      <c r="F81" s="112">
        <v>5.87</v>
      </c>
      <c r="G81" s="112">
        <v>66.78</v>
      </c>
      <c r="H81" s="112">
        <v>23.57</v>
      </c>
      <c r="I81" s="112">
        <v>5.74</v>
      </c>
      <c r="J81" s="112">
        <v>0.23</v>
      </c>
      <c r="K81" s="112">
        <v>171.53</v>
      </c>
      <c r="L81" s="112">
        <v>25.06</v>
      </c>
      <c r="M81" s="112">
        <v>70.239999999999995</v>
      </c>
      <c r="N81" s="112">
        <v>2</v>
      </c>
      <c r="O81" s="112">
        <v>0</v>
      </c>
      <c r="P81" s="112">
        <v>0.56999999999999995</v>
      </c>
      <c r="Q81" s="112">
        <v>4.29</v>
      </c>
    </row>
    <row r="82" spans="1:17" customFormat="1">
      <c r="A82" s="80">
        <v>45603.770833333336</v>
      </c>
      <c r="B82" s="112">
        <v>5.31</v>
      </c>
      <c r="C82" s="112">
        <v>8.06</v>
      </c>
      <c r="D82" s="112">
        <v>14.04</v>
      </c>
      <c r="E82" s="112">
        <v>7.68</v>
      </c>
      <c r="F82" s="112">
        <v>5.64</v>
      </c>
      <c r="G82" s="112">
        <v>66.78</v>
      </c>
      <c r="H82" s="112">
        <v>23.57</v>
      </c>
      <c r="I82" s="112">
        <v>5.81</v>
      </c>
      <c r="J82" s="112">
        <v>0.2</v>
      </c>
      <c r="K82" s="112">
        <v>172.56</v>
      </c>
      <c r="L82" s="112">
        <v>24.63</v>
      </c>
      <c r="M82" s="112">
        <v>77.05</v>
      </c>
      <c r="N82" s="112">
        <v>1.8</v>
      </c>
      <c r="O82" s="112">
        <v>0</v>
      </c>
      <c r="P82" s="112">
        <v>0.6</v>
      </c>
      <c r="Q82" s="112">
        <v>4.29</v>
      </c>
    </row>
    <row r="83" spans="1:17" customFormat="1">
      <c r="A83" s="80">
        <v>45603.78125</v>
      </c>
      <c r="B83" s="112">
        <v>5.28</v>
      </c>
      <c r="C83" s="112">
        <v>8.1</v>
      </c>
      <c r="D83" s="112">
        <v>14.04</v>
      </c>
      <c r="E83" s="112">
        <v>7.76</v>
      </c>
      <c r="F83" s="112">
        <v>5.76</v>
      </c>
      <c r="G83" s="112">
        <v>83.25</v>
      </c>
      <c r="H83" s="112">
        <v>28.66</v>
      </c>
      <c r="I83" s="112">
        <v>5.96</v>
      </c>
      <c r="J83" s="112">
        <v>0.19</v>
      </c>
      <c r="K83" s="112">
        <v>168.97</v>
      </c>
      <c r="L83" s="112">
        <v>24.44</v>
      </c>
      <c r="M83" s="112">
        <v>76.28</v>
      </c>
      <c r="N83" s="112">
        <v>1.6</v>
      </c>
      <c r="O83" s="112">
        <v>0</v>
      </c>
      <c r="P83" s="112">
        <v>0.61</v>
      </c>
      <c r="Q83" s="112">
        <v>4.3099999999999996</v>
      </c>
    </row>
    <row r="84" spans="1:17" customFormat="1">
      <c r="A84" s="80">
        <v>45603.791666666664</v>
      </c>
      <c r="B84" s="112">
        <v>5.28</v>
      </c>
      <c r="C84" s="112">
        <v>8.1199999999999992</v>
      </c>
      <c r="D84" s="112">
        <v>14.04</v>
      </c>
      <c r="E84" s="112">
        <v>7.8</v>
      </c>
      <c r="F84" s="112">
        <v>5.45</v>
      </c>
      <c r="G84" s="112">
        <v>83.63</v>
      </c>
      <c r="H84" s="112">
        <v>28.66</v>
      </c>
      <c r="I84" s="112">
        <v>6.16</v>
      </c>
      <c r="J84" s="112">
        <v>0.16</v>
      </c>
      <c r="K84" s="112">
        <v>156.44</v>
      </c>
      <c r="L84" s="112">
        <v>24.35</v>
      </c>
      <c r="M84" s="112">
        <v>72.650000000000006</v>
      </c>
      <c r="N84" s="112">
        <v>1.6</v>
      </c>
      <c r="O84" s="112">
        <v>0</v>
      </c>
      <c r="P84" s="112">
        <v>0.63</v>
      </c>
      <c r="Q84" s="112">
        <v>4.29</v>
      </c>
    </row>
    <row r="85" spans="1:17" customFormat="1">
      <c r="A85" s="80">
        <v>45603.802083333336</v>
      </c>
      <c r="B85" s="112">
        <v>5.3</v>
      </c>
      <c r="C85" s="112">
        <v>8.07</v>
      </c>
      <c r="D85" s="112">
        <v>14.03</v>
      </c>
      <c r="E85" s="112">
        <v>7.88</v>
      </c>
      <c r="F85" s="112">
        <v>5.56</v>
      </c>
      <c r="G85" s="112">
        <v>83.63</v>
      </c>
      <c r="H85" s="112">
        <v>28.66</v>
      </c>
      <c r="I85" s="112">
        <v>6.41</v>
      </c>
      <c r="J85" s="112">
        <v>0.21</v>
      </c>
      <c r="K85" s="112">
        <v>152.78</v>
      </c>
      <c r="L85" s="112">
        <v>24.27</v>
      </c>
      <c r="M85" s="112">
        <v>72.510000000000005</v>
      </c>
      <c r="N85" s="112">
        <v>1.6</v>
      </c>
      <c r="O85" s="112">
        <v>0</v>
      </c>
      <c r="P85" s="112">
        <v>0.67</v>
      </c>
      <c r="Q85" s="112">
        <v>4.29</v>
      </c>
    </row>
    <row r="86" spans="1:17" customFormat="1">
      <c r="A86" s="80">
        <v>45603.8125</v>
      </c>
      <c r="B86" s="112">
        <v>5.3</v>
      </c>
      <c r="C86" s="112">
        <v>8.07</v>
      </c>
      <c r="D86" s="112">
        <v>14.03</v>
      </c>
      <c r="E86" s="112">
        <v>8.0500000000000007</v>
      </c>
      <c r="F86" s="112">
        <v>5.6</v>
      </c>
      <c r="G86" s="112">
        <v>83.63</v>
      </c>
      <c r="H86" s="112">
        <v>28.66</v>
      </c>
      <c r="I86" s="112">
        <v>6.67</v>
      </c>
      <c r="J86" s="112">
        <v>0.11</v>
      </c>
      <c r="K86" s="112">
        <v>80.34</v>
      </c>
      <c r="L86" s="112">
        <v>24.35</v>
      </c>
      <c r="M86" s="112">
        <v>70.36</v>
      </c>
      <c r="N86" s="112">
        <v>1.2</v>
      </c>
      <c r="O86" s="112">
        <v>0</v>
      </c>
      <c r="P86" s="112">
        <v>0.68</v>
      </c>
      <c r="Q86" s="112">
        <v>4.29</v>
      </c>
    </row>
    <row r="87" spans="1:17" customFormat="1">
      <c r="A87" s="80">
        <v>45603.822916666664</v>
      </c>
      <c r="B87" s="112">
        <v>5.26</v>
      </c>
      <c r="C87" s="112">
        <v>8.08</v>
      </c>
      <c r="D87" s="112">
        <v>14.01</v>
      </c>
      <c r="E87" s="112">
        <v>8.17</v>
      </c>
      <c r="F87" s="112">
        <v>5.75</v>
      </c>
      <c r="G87" s="112">
        <v>108.55</v>
      </c>
      <c r="H87" s="112">
        <v>29.89</v>
      </c>
      <c r="I87" s="112">
        <v>6.94</v>
      </c>
      <c r="J87" s="112">
        <v>0.11</v>
      </c>
      <c r="K87" s="112">
        <v>127.14</v>
      </c>
      <c r="L87" s="112">
        <v>24.38</v>
      </c>
      <c r="M87" s="112">
        <v>70.87</v>
      </c>
      <c r="N87" s="112">
        <v>1.7</v>
      </c>
      <c r="O87" s="112">
        <v>0</v>
      </c>
      <c r="P87" s="112">
        <v>0.71</v>
      </c>
      <c r="Q87" s="112">
        <v>4.29</v>
      </c>
    </row>
    <row r="88" spans="1:17" customFormat="1">
      <c r="A88" s="80">
        <v>45603.833333333336</v>
      </c>
      <c r="B88" s="112">
        <v>5.27</v>
      </c>
      <c r="C88" s="112">
        <v>8.07</v>
      </c>
      <c r="D88" s="112">
        <v>14</v>
      </c>
      <c r="E88" s="112">
        <v>8.15</v>
      </c>
      <c r="F88" s="112">
        <v>5.95</v>
      </c>
      <c r="G88" s="112">
        <v>109.12</v>
      </c>
      <c r="H88" s="112">
        <v>29.89</v>
      </c>
      <c r="I88" s="112">
        <v>7.29</v>
      </c>
      <c r="J88" s="112">
        <v>0.17</v>
      </c>
      <c r="K88" s="112">
        <v>154.01</v>
      </c>
      <c r="L88" s="112">
        <v>24.04</v>
      </c>
      <c r="M88" s="112">
        <v>72.709999999999994</v>
      </c>
      <c r="N88" s="112">
        <v>1.7</v>
      </c>
      <c r="O88" s="112">
        <v>0</v>
      </c>
      <c r="P88" s="112">
        <v>0.72</v>
      </c>
      <c r="Q88" s="112">
        <v>4.3</v>
      </c>
    </row>
    <row r="89" spans="1:17" customFormat="1">
      <c r="A89" s="80">
        <v>45603.84375</v>
      </c>
      <c r="B89" s="112">
        <v>5.26</v>
      </c>
      <c r="C89" s="112">
        <v>8.06</v>
      </c>
      <c r="D89" s="112">
        <v>14</v>
      </c>
      <c r="E89" s="112">
        <v>8.51</v>
      </c>
      <c r="F89" s="112">
        <v>5.52</v>
      </c>
      <c r="G89" s="112">
        <v>109.12</v>
      </c>
      <c r="H89" s="112">
        <v>29.89</v>
      </c>
      <c r="I89" s="112">
        <v>7.55</v>
      </c>
      <c r="J89" s="112">
        <v>0.21</v>
      </c>
      <c r="K89" s="112">
        <v>165.73</v>
      </c>
      <c r="L89" s="112">
        <v>23.83</v>
      </c>
      <c r="M89" s="112">
        <v>75.81</v>
      </c>
      <c r="N89" s="112">
        <v>1.7</v>
      </c>
      <c r="O89" s="112">
        <v>0</v>
      </c>
      <c r="P89" s="112">
        <v>0.76</v>
      </c>
      <c r="Q89" s="112">
        <v>4.28</v>
      </c>
    </row>
    <row r="90" spans="1:17" customFormat="1">
      <c r="A90" s="80">
        <v>45603.854166666664</v>
      </c>
      <c r="B90" s="112">
        <v>5.27</v>
      </c>
      <c r="C90" s="112">
        <v>8.0500000000000007</v>
      </c>
      <c r="D90" s="112">
        <v>14</v>
      </c>
      <c r="E90" s="112">
        <v>8.6999999999999993</v>
      </c>
      <c r="F90" s="112">
        <v>5.74</v>
      </c>
      <c r="G90" s="112">
        <v>109.12</v>
      </c>
      <c r="H90" s="112">
        <v>29.89</v>
      </c>
      <c r="I90" s="112">
        <v>7.81</v>
      </c>
      <c r="J90" s="112">
        <v>0.16</v>
      </c>
      <c r="K90" s="112">
        <v>155.35</v>
      </c>
      <c r="L90" s="112">
        <v>23.67</v>
      </c>
      <c r="M90" s="112">
        <v>75.72</v>
      </c>
      <c r="N90" s="112">
        <v>1.6</v>
      </c>
      <c r="O90" s="112">
        <v>0</v>
      </c>
      <c r="P90" s="112">
        <v>0.79</v>
      </c>
      <c r="Q90" s="112">
        <v>4.3</v>
      </c>
    </row>
    <row r="91" spans="1:17" customFormat="1">
      <c r="A91" s="80">
        <v>45603.864583333336</v>
      </c>
      <c r="B91" s="112">
        <v>5.27</v>
      </c>
      <c r="C91" s="112">
        <v>8.08</v>
      </c>
      <c r="D91" s="112">
        <v>14.01</v>
      </c>
      <c r="E91" s="112">
        <v>8.09</v>
      </c>
      <c r="F91" s="112">
        <v>5.64</v>
      </c>
      <c r="G91" s="112">
        <v>130.81</v>
      </c>
      <c r="H91" s="112">
        <v>29.3</v>
      </c>
      <c r="I91" s="112">
        <v>8.1300000000000008</v>
      </c>
      <c r="J91" s="112">
        <v>0.17</v>
      </c>
      <c r="K91" s="112">
        <v>115.47</v>
      </c>
      <c r="L91" s="112">
        <v>23.84</v>
      </c>
      <c r="M91" s="112">
        <v>73.83</v>
      </c>
      <c r="N91" s="112">
        <v>1.4</v>
      </c>
      <c r="O91" s="112">
        <v>0</v>
      </c>
      <c r="P91" s="112">
        <v>0.8</v>
      </c>
      <c r="Q91" s="112">
        <v>4.3099999999999996</v>
      </c>
    </row>
    <row r="92" spans="1:17" customFormat="1">
      <c r="A92" s="80">
        <v>45603.875</v>
      </c>
      <c r="B92" s="112">
        <v>5.28</v>
      </c>
      <c r="C92" s="112">
        <v>8.1</v>
      </c>
      <c r="D92" s="112">
        <v>14.03</v>
      </c>
      <c r="E92" s="112">
        <v>8.36</v>
      </c>
      <c r="F92" s="112">
        <v>5.61</v>
      </c>
      <c r="G92" s="112">
        <v>131.30000000000001</v>
      </c>
      <c r="H92" s="112">
        <v>29.3</v>
      </c>
      <c r="I92" s="112">
        <v>8.39</v>
      </c>
      <c r="J92" s="112">
        <v>0.11</v>
      </c>
      <c r="K92" s="112">
        <v>143.04</v>
      </c>
      <c r="L92" s="112">
        <v>23.8</v>
      </c>
      <c r="M92" s="112">
        <v>73.22</v>
      </c>
      <c r="N92" s="112">
        <v>1.6</v>
      </c>
      <c r="O92" s="112">
        <v>0</v>
      </c>
      <c r="P92" s="112">
        <v>0.82</v>
      </c>
      <c r="Q92" s="112">
        <v>4.3</v>
      </c>
    </row>
    <row r="93" spans="1:17" customFormat="1">
      <c r="A93" s="80">
        <v>45603.885416666664</v>
      </c>
      <c r="B93" s="112">
        <v>5.31</v>
      </c>
      <c r="C93" s="112">
        <v>8.09</v>
      </c>
      <c r="D93" s="112">
        <v>14.05</v>
      </c>
      <c r="E93" s="112">
        <v>8.73</v>
      </c>
      <c r="F93" s="112">
        <v>5.51</v>
      </c>
      <c r="G93" s="112">
        <v>131.30000000000001</v>
      </c>
      <c r="H93" s="112">
        <v>29.3</v>
      </c>
      <c r="I93" s="112">
        <v>8.56</v>
      </c>
      <c r="J93" s="112">
        <v>0.14000000000000001</v>
      </c>
      <c r="K93" s="112">
        <v>134.72999999999999</v>
      </c>
      <c r="L93" s="112">
        <v>23.75</v>
      </c>
      <c r="M93" s="112">
        <v>73.14</v>
      </c>
      <c r="N93" s="112">
        <v>1.6</v>
      </c>
      <c r="O93" s="112">
        <v>0</v>
      </c>
      <c r="P93" s="112">
        <v>0.82</v>
      </c>
      <c r="Q93" s="112">
        <v>4.3</v>
      </c>
    </row>
    <row r="94" spans="1:17" customFormat="1">
      <c r="A94" s="80">
        <v>45603.895833333336</v>
      </c>
      <c r="B94" s="112">
        <v>5.34</v>
      </c>
      <c r="C94" s="112">
        <v>8.09</v>
      </c>
      <c r="D94" s="112">
        <v>14.07</v>
      </c>
      <c r="E94" s="112">
        <v>8.9600000000000009</v>
      </c>
      <c r="F94" s="112">
        <v>5.44</v>
      </c>
      <c r="G94" s="112">
        <v>131.30000000000001</v>
      </c>
      <c r="H94" s="112">
        <v>29.3</v>
      </c>
      <c r="I94" s="112">
        <v>8.73</v>
      </c>
      <c r="J94" s="112">
        <v>0.19</v>
      </c>
      <c r="K94" s="112">
        <v>162.16999999999999</v>
      </c>
      <c r="L94" s="112">
        <v>23.62</v>
      </c>
      <c r="M94" s="112">
        <v>73.55</v>
      </c>
      <c r="N94" s="112">
        <v>1.7</v>
      </c>
      <c r="O94" s="112">
        <v>0</v>
      </c>
      <c r="P94" s="112">
        <v>0.84</v>
      </c>
      <c r="Q94" s="112">
        <v>4.29</v>
      </c>
    </row>
    <row r="95" spans="1:17" customFormat="1">
      <c r="A95" s="80">
        <v>45603.90625</v>
      </c>
      <c r="B95" s="112">
        <v>5.33</v>
      </c>
      <c r="C95" s="112">
        <v>8.08</v>
      </c>
      <c r="D95" s="112">
        <v>14.07</v>
      </c>
      <c r="E95" s="112">
        <v>8.8699999999999992</v>
      </c>
      <c r="F95" s="112">
        <v>5.49</v>
      </c>
      <c r="G95" s="112">
        <v>129.59</v>
      </c>
      <c r="H95" s="112">
        <v>32.69</v>
      </c>
      <c r="I95" s="112">
        <v>8.9</v>
      </c>
      <c r="J95" s="112">
        <v>0.09</v>
      </c>
      <c r="K95" s="112">
        <v>151.22</v>
      </c>
      <c r="L95" s="112">
        <v>23.32</v>
      </c>
      <c r="M95" s="112">
        <v>74.989999999999995</v>
      </c>
      <c r="N95" s="112">
        <v>1.6</v>
      </c>
      <c r="O95" s="112">
        <v>0</v>
      </c>
      <c r="P95" s="112">
        <v>0.83</v>
      </c>
      <c r="Q95" s="112">
        <v>4.3</v>
      </c>
    </row>
    <row r="96" spans="1:17" customFormat="1">
      <c r="A96" s="80">
        <v>45603.916666666664</v>
      </c>
      <c r="B96" s="112">
        <v>5.3</v>
      </c>
      <c r="C96" s="112">
        <v>8.1199999999999992</v>
      </c>
      <c r="D96" s="112">
        <v>14.06</v>
      </c>
      <c r="E96" s="112">
        <v>8.76</v>
      </c>
      <c r="F96" s="112">
        <v>5.64</v>
      </c>
      <c r="G96" s="112">
        <v>129.55000000000001</v>
      </c>
      <c r="H96" s="112">
        <v>32.69</v>
      </c>
      <c r="I96" s="112">
        <v>8.9600000000000009</v>
      </c>
      <c r="J96" s="112">
        <v>0.15</v>
      </c>
      <c r="K96" s="112">
        <v>154.05000000000001</v>
      </c>
      <c r="L96" s="112">
        <v>23.17</v>
      </c>
      <c r="M96" s="112">
        <v>75.86</v>
      </c>
      <c r="N96" s="112">
        <v>1.6</v>
      </c>
      <c r="O96" s="112">
        <v>0</v>
      </c>
      <c r="P96" s="112">
        <v>0.84</v>
      </c>
      <c r="Q96" s="112">
        <v>4.29</v>
      </c>
    </row>
    <row r="97" spans="1:22" customFormat="1">
      <c r="A97" s="80">
        <v>45603.927083333336</v>
      </c>
      <c r="B97" s="112">
        <v>5.31</v>
      </c>
      <c r="C97" s="112">
        <v>8.07</v>
      </c>
      <c r="D97" s="112">
        <v>14.04</v>
      </c>
      <c r="E97" s="112">
        <v>8.6199999999999992</v>
      </c>
      <c r="F97" s="112">
        <v>5.82</v>
      </c>
      <c r="G97" s="112">
        <v>129.55000000000001</v>
      </c>
      <c r="H97" s="112">
        <v>32.69</v>
      </c>
      <c r="I97" s="112">
        <v>9</v>
      </c>
      <c r="J97" s="112">
        <v>0.2</v>
      </c>
      <c r="K97" s="112">
        <v>208.37</v>
      </c>
      <c r="L97" s="112">
        <v>22.77</v>
      </c>
      <c r="M97" s="112">
        <v>83.18</v>
      </c>
      <c r="N97" s="112">
        <v>1.9</v>
      </c>
      <c r="O97" s="112">
        <v>0</v>
      </c>
      <c r="P97" s="112">
        <v>0.84</v>
      </c>
      <c r="Q97" s="112">
        <v>4.3</v>
      </c>
    </row>
    <row r="98" spans="1:22" customFormat="1">
      <c r="A98" s="80">
        <v>45603.9375</v>
      </c>
      <c r="B98" s="112">
        <v>5.31</v>
      </c>
      <c r="C98" s="112">
        <v>8.08</v>
      </c>
      <c r="D98" s="112">
        <v>14.05</v>
      </c>
      <c r="E98" s="112">
        <v>8.64</v>
      </c>
      <c r="F98" s="112">
        <v>5.8</v>
      </c>
      <c r="G98" s="112">
        <v>129.55000000000001</v>
      </c>
      <c r="H98" s="112">
        <v>32.69</v>
      </c>
      <c r="I98" s="112">
        <v>9.02</v>
      </c>
      <c r="J98" s="112">
        <v>0.18</v>
      </c>
      <c r="K98" s="112">
        <v>226.38</v>
      </c>
      <c r="L98" s="112">
        <v>22.22</v>
      </c>
      <c r="M98" s="112">
        <v>81.56</v>
      </c>
      <c r="N98" s="112">
        <v>1.8</v>
      </c>
      <c r="O98" s="112">
        <v>0</v>
      </c>
      <c r="P98" s="112">
        <v>0.83</v>
      </c>
      <c r="Q98" s="112">
        <v>4.3099999999999996</v>
      </c>
    </row>
    <row r="99" spans="1:22" customFormat="1">
      <c r="A99" s="80">
        <v>45603.947916666664</v>
      </c>
      <c r="B99" s="112">
        <v>5.3</v>
      </c>
      <c r="C99" s="112">
        <v>8.08</v>
      </c>
      <c r="D99" s="112">
        <v>14.04</v>
      </c>
      <c r="E99" s="112">
        <v>9.0299999999999994</v>
      </c>
      <c r="F99" s="112">
        <v>5.71</v>
      </c>
      <c r="G99" s="112">
        <v>114.95</v>
      </c>
      <c r="H99" s="112">
        <v>32.4</v>
      </c>
      <c r="I99" s="112">
        <v>9.0500000000000007</v>
      </c>
      <c r="J99" s="112">
        <v>0.15</v>
      </c>
      <c r="K99" s="112">
        <v>217.96</v>
      </c>
      <c r="L99" s="112">
        <v>22.07</v>
      </c>
      <c r="M99" s="112">
        <v>82.54</v>
      </c>
      <c r="N99" s="112">
        <v>1.6</v>
      </c>
      <c r="O99" s="112">
        <v>0</v>
      </c>
      <c r="P99" s="112">
        <v>0.83</v>
      </c>
      <c r="Q99" s="112">
        <v>4.3</v>
      </c>
    </row>
    <row r="100" spans="1:22" customFormat="1">
      <c r="A100" s="80">
        <v>45603.958333333336</v>
      </c>
      <c r="B100" s="112">
        <v>5.31</v>
      </c>
      <c r="C100" s="112">
        <v>8.06</v>
      </c>
      <c r="D100" s="112">
        <v>14.04</v>
      </c>
      <c r="E100" s="112">
        <v>9.36</v>
      </c>
      <c r="F100" s="112">
        <v>5.59</v>
      </c>
      <c r="G100" s="112">
        <v>114.62</v>
      </c>
      <c r="H100" s="112">
        <v>32.4</v>
      </c>
      <c r="I100" s="112">
        <v>9.08</v>
      </c>
      <c r="J100" s="112">
        <v>0.2</v>
      </c>
      <c r="K100" s="112">
        <v>222.85</v>
      </c>
      <c r="L100" s="112">
        <v>21.98</v>
      </c>
      <c r="M100" s="112">
        <v>85.93</v>
      </c>
      <c r="N100" s="112">
        <v>1.6</v>
      </c>
      <c r="O100" s="112">
        <v>0</v>
      </c>
      <c r="P100" s="112">
        <v>0.82</v>
      </c>
      <c r="Q100" s="112">
        <v>4.29</v>
      </c>
    </row>
    <row r="101" spans="1:22" customFormat="1">
      <c r="A101" s="80">
        <v>45603.96875</v>
      </c>
      <c r="B101" s="112">
        <v>5.3</v>
      </c>
      <c r="C101" s="112">
        <v>8.08</v>
      </c>
      <c r="D101" s="112">
        <v>14.04</v>
      </c>
      <c r="E101" s="112">
        <v>8.8699999999999992</v>
      </c>
      <c r="F101" s="112">
        <v>5.82</v>
      </c>
      <c r="G101" s="112">
        <v>114.62</v>
      </c>
      <c r="H101" s="112">
        <v>32.4</v>
      </c>
      <c r="I101" s="112">
        <v>9.1</v>
      </c>
      <c r="J101" s="112">
        <v>0.11</v>
      </c>
      <c r="K101" s="112">
        <v>214.55</v>
      </c>
      <c r="L101" s="112">
        <v>21.71</v>
      </c>
      <c r="M101" s="112">
        <v>86.76</v>
      </c>
      <c r="N101" s="112">
        <v>1.6</v>
      </c>
      <c r="O101" s="112">
        <v>0</v>
      </c>
      <c r="P101" s="112">
        <v>0.82</v>
      </c>
      <c r="Q101" s="112">
        <v>4.29</v>
      </c>
    </row>
    <row r="102" spans="1:22" customFormat="1">
      <c r="A102" s="80">
        <v>45603.979166666664</v>
      </c>
      <c r="B102" s="112">
        <v>5.3</v>
      </c>
      <c r="C102" s="112">
        <v>8.07</v>
      </c>
      <c r="D102" s="112">
        <v>14.03</v>
      </c>
      <c r="E102" s="112">
        <v>8.99</v>
      </c>
      <c r="F102" s="112">
        <v>5.73</v>
      </c>
      <c r="G102" s="112">
        <v>114.62</v>
      </c>
      <c r="H102" s="112">
        <v>32.4</v>
      </c>
      <c r="I102" s="112">
        <v>9.18</v>
      </c>
      <c r="J102" s="112">
        <v>0.18</v>
      </c>
      <c r="K102" s="112">
        <v>224.13</v>
      </c>
      <c r="L102" s="112">
        <v>21.79</v>
      </c>
      <c r="M102" s="112">
        <v>85.69</v>
      </c>
      <c r="N102" s="112">
        <v>1.4</v>
      </c>
      <c r="O102" s="112">
        <v>0</v>
      </c>
      <c r="P102" s="112">
        <v>0.83</v>
      </c>
      <c r="Q102" s="112">
        <v>4.3099999999999996</v>
      </c>
    </row>
    <row r="103" spans="1:22" customFormat="1">
      <c r="A103" s="80">
        <v>45603.989583333336</v>
      </c>
      <c r="B103" s="112">
        <v>5.3</v>
      </c>
      <c r="C103" s="112">
        <v>8.09</v>
      </c>
      <c r="D103" s="112">
        <v>14.05</v>
      </c>
      <c r="E103" s="112">
        <v>9.2899999999999991</v>
      </c>
      <c r="F103" s="112">
        <v>5.75</v>
      </c>
      <c r="G103" s="112">
        <v>101.64</v>
      </c>
      <c r="H103" s="112">
        <v>33.82</v>
      </c>
      <c r="I103" s="112">
        <v>9.2899999999999991</v>
      </c>
      <c r="J103" s="112">
        <v>0.15</v>
      </c>
      <c r="K103" s="112">
        <v>221.1</v>
      </c>
      <c r="L103" s="112">
        <v>21.67</v>
      </c>
      <c r="M103" s="112">
        <v>87.08</v>
      </c>
      <c r="N103" s="112">
        <v>1.6</v>
      </c>
      <c r="O103" s="112">
        <v>0</v>
      </c>
      <c r="P103" s="112">
        <v>0.81</v>
      </c>
      <c r="Q103" s="112">
        <v>4.3</v>
      </c>
    </row>
    <row r="104" spans="1:22" customFormat="1">
      <c r="A104" s="80">
        <v>45604</v>
      </c>
      <c r="B104" s="112">
        <v>5.31</v>
      </c>
      <c r="C104" s="112">
        <v>8.1</v>
      </c>
      <c r="D104" s="112">
        <v>14.06</v>
      </c>
      <c r="E104" s="112">
        <v>9.1199999999999992</v>
      </c>
      <c r="F104" s="112">
        <v>5.72</v>
      </c>
      <c r="G104" s="112">
        <v>101.35</v>
      </c>
      <c r="H104" s="112">
        <v>33.82</v>
      </c>
      <c r="I104" s="112">
        <v>9.41</v>
      </c>
      <c r="J104" s="112">
        <v>0.12</v>
      </c>
      <c r="K104" s="112">
        <v>211.18</v>
      </c>
      <c r="L104" s="112">
        <v>21.54</v>
      </c>
      <c r="M104" s="112">
        <v>87.27</v>
      </c>
      <c r="N104" s="112">
        <v>1.4</v>
      </c>
      <c r="O104" s="112">
        <v>0</v>
      </c>
      <c r="P104" s="112">
        <v>0.82</v>
      </c>
      <c r="Q104" s="112">
        <v>4.3099999999999996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5.16</v>
      </c>
      <c r="C106" s="183">
        <f>MIN(C9:C104)</f>
        <v>8.02</v>
      </c>
      <c r="D106" s="183">
        <f t="shared" ref="D106:Q106" si="0">MIN(D9:D104)</f>
        <v>13.93</v>
      </c>
      <c r="E106" s="183">
        <f t="shared" si="0"/>
        <v>6.74</v>
      </c>
      <c r="F106" s="183">
        <f t="shared" si="0"/>
        <v>5.4</v>
      </c>
      <c r="G106" s="183">
        <f t="shared" si="0"/>
        <v>41.99</v>
      </c>
      <c r="H106" s="183">
        <f t="shared" si="0"/>
        <v>17.47</v>
      </c>
      <c r="I106" s="183">
        <f t="shared" si="0"/>
        <v>5.01</v>
      </c>
      <c r="J106" s="183">
        <f t="shared" si="0"/>
        <v>0.09</v>
      </c>
      <c r="K106" s="183">
        <f t="shared" si="0"/>
        <v>18.04</v>
      </c>
      <c r="L106" s="183">
        <f t="shared" si="0"/>
        <v>20.07</v>
      </c>
      <c r="M106" s="183">
        <f t="shared" si="0"/>
        <v>42.84</v>
      </c>
      <c r="N106" s="183">
        <f t="shared" si="0"/>
        <v>1.1000000000000001</v>
      </c>
      <c r="O106" s="183">
        <f t="shared" si="0"/>
        <v>0</v>
      </c>
      <c r="P106" s="183">
        <f t="shared" si="0"/>
        <v>0.5</v>
      </c>
      <c r="Q106" s="183">
        <f t="shared" si="0"/>
        <v>4.28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5.39</v>
      </c>
      <c r="C107" s="184">
        <f t="shared" ref="C107:Q107" si="1">MAX(C9:C104)</f>
        <v>8.1199999999999992</v>
      </c>
      <c r="D107" s="184">
        <f t="shared" si="1"/>
        <v>14.11</v>
      </c>
      <c r="E107" s="184">
        <f t="shared" si="1"/>
        <v>17.2</v>
      </c>
      <c r="F107" s="184">
        <f t="shared" si="1"/>
        <v>44.77</v>
      </c>
      <c r="G107" s="184">
        <f t="shared" si="1"/>
        <v>131.30000000000001</v>
      </c>
      <c r="H107" s="184">
        <f t="shared" si="1"/>
        <v>45.27</v>
      </c>
      <c r="I107" s="184">
        <f t="shared" si="1"/>
        <v>9.41</v>
      </c>
      <c r="J107" s="184">
        <f t="shared" si="1"/>
        <v>0.78</v>
      </c>
      <c r="K107" s="184">
        <f t="shared" si="1"/>
        <v>275.47000000000003</v>
      </c>
      <c r="L107" s="184">
        <f t="shared" si="1"/>
        <v>30.68</v>
      </c>
      <c r="M107" s="184">
        <f t="shared" si="1"/>
        <v>95.39</v>
      </c>
      <c r="N107" s="184">
        <f t="shared" si="1"/>
        <v>491</v>
      </c>
      <c r="O107" s="184">
        <f t="shared" si="1"/>
        <v>0</v>
      </c>
      <c r="P107" s="184">
        <f t="shared" si="1"/>
        <v>0.84</v>
      </c>
      <c r="Q107" s="184">
        <f t="shared" si="1"/>
        <v>4.32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5.2684374999999992</v>
      </c>
      <c r="C108" s="183">
        <f t="shared" ref="C108:Q108" si="2">AVERAGE(C9:C104)</f>
        <v>8.0767708333333363</v>
      </c>
      <c r="D108" s="183">
        <f t="shared" si="2"/>
        <v>14.012187499999991</v>
      </c>
      <c r="E108" s="183">
        <f t="shared" si="2"/>
        <v>11.045729166666662</v>
      </c>
      <c r="F108" s="183">
        <f t="shared" si="2"/>
        <v>10.063229166666668</v>
      </c>
      <c r="G108" s="183">
        <f t="shared" si="2"/>
        <v>92.148571428571415</v>
      </c>
      <c r="H108" s="183">
        <f t="shared" si="2"/>
        <v>35.37197802197803</v>
      </c>
      <c r="I108" s="183">
        <f t="shared" si="2"/>
        <v>7.7492708333333278</v>
      </c>
      <c r="J108" s="183">
        <f t="shared" si="2"/>
        <v>0.26260416666666669</v>
      </c>
      <c r="K108" s="183">
        <f t="shared" si="2"/>
        <v>127.46708333333328</v>
      </c>
      <c r="L108" s="183">
        <f t="shared" si="2"/>
        <v>24.744270833333342</v>
      </c>
      <c r="M108" s="183">
        <f t="shared" si="2"/>
        <v>71.416562500000026</v>
      </c>
      <c r="N108" s="183">
        <f t="shared" si="2"/>
        <v>100.2114583333334</v>
      </c>
      <c r="O108" s="183">
        <f t="shared" si="2"/>
        <v>0</v>
      </c>
      <c r="P108" s="183">
        <f t="shared" si="2"/>
        <v>0.67145833333333338</v>
      </c>
      <c r="Q108" s="183">
        <f t="shared" si="2"/>
        <v>4.2980208333333385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3.4772285546182558E-2</v>
      </c>
      <c r="C109" s="183">
        <f t="shared" ref="C109:Q109" si="3">STDEV(C9:C104)</f>
        <v>1.7799751131711554E-2</v>
      </c>
      <c r="D109" s="183">
        <f t="shared" si="3"/>
        <v>3.1729220303257144E-2</v>
      </c>
      <c r="E109" s="183">
        <f t="shared" si="3"/>
        <v>2.3831919086061357</v>
      </c>
      <c r="F109" s="183">
        <f t="shared" si="3"/>
        <v>8.4140684814237012</v>
      </c>
      <c r="G109" s="183">
        <f t="shared" si="3"/>
        <v>23.035801149583996</v>
      </c>
      <c r="H109" s="183">
        <f t="shared" si="3"/>
        <v>8.8604763127271973</v>
      </c>
      <c r="I109" s="183">
        <f t="shared" si="3"/>
        <v>1.2381286769209994</v>
      </c>
      <c r="J109" s="183">
        <f t="shared" si="3"/>
        <v>0.15963936192929673</v>
      </c>
      <c r="K109" s="183">
        <f t="shared" si="3"/>
        <v>71.899961582841243</v>
      </c>
      <c r="L109" s="183">
        <f t="shared" si="3"/>
        <v>3.6372742092458976</v>
      </c>
      <c r="M109" s="183">
        <f t="shared" si="3"/>
        <v>17.447683292338116</v>
      </c>
      <c r="N109" s="183">
        <f t="shared" si="3"/>
        <v>149.76748496097238</v>
      </c>
      <c r="O109" s="183">
        <f t="shared" si="3"/>
        <v>0</v>
      </c>
      <c r="P109" s="183">
        <f t="shared" si="3"/>
        <v>9.057685502746593E-2</v>
      </c>
      <c r="Q109" s="183">
        <f t="shared" si="3"/>
        <v>9.2474510475692769E-3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1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45604.010416666664</v>
      </c>
      <c r="B9" s="112">
        <v>5.21</v>
      </c>
      <c r="C9" s="112">
        <v>8.11</v>
      </c>
      <c r="D9" s="112">
        <v>13.99</v>
      </c>
      <c r="E9" s="112">
        <v>9.01</v>
      </c>
      <c r="F9" s="112">
        <v>5.61</v>
      </c>
      <c r="G9" s="112">
        <v>101.35</v>
      </c>
      <c r="H9" s="112">
        <v>33.82</v>
      </c>
      <c r="I9" s="112">
        <v>9.49</v>
      </c>
      <c r="J9" s="112">
        <v>0.14000000000000001</v>
      </c>
      <c r="K9" s="112">
        <v>216.84</v>
      </c>
      <c r="L9" s="112">
        <v>21.49</v>
      </c>
      <c r="M9" s="112">
        <v>89.33</v>
      </c>
      <c r="N9" s="112">
        <v>1.4</v>
      </c>
      <c r="O9" s="112">
        <v>0</v>
      </c>
      <c r="P9" s="112">
        <v>0.83</v>
      </c>
      <c r="Q9" s="112">
        <v>4.3099999999999996</v>
      </c>
    </row>
    <row r="10" spans="1:21" customFormat="1">
      <c r="A10" s="80">
        <v>45604.020833333336</v>
      </c>
      <c r="B10" s="112">
        <v>5.24</v>
      </c>
      <c r="C10" s="112">
        <v>8.0500000000000007</v>
      </c>
      <c r="D10" s="112">
        <v>13.98</v>
      </c>
      <c r="E10" s="112">
        <v>9.18</v>
      </c>
      <c r="F10" s="112">
        <v>5.77</v>
      </c>
      <c r="G10" s="112">
        <v>101.35</v>
      </c>
      <c r="H10" s="112">
        <v>33.82</v>
      </c>
      <c r="I10" s="112">
        <v>9.57</v>
      </c>
      <c r="J10" s="112">
        <v>0.11</v>
      </c>
      <c r="K10" s="112">
        <v>206.55</v>
      </c>
      <c r="L10" s="112">
        <v>21.43</v>
      </c>
      <c r="M10" s="112">
        <v>90.96</v>
      </c>
      <c r="N10" s="112">
        <v>1.4</v>
      </c>
      <c r="O10" s="112">
        <v>0</v>
      </c>
      <c r="P10" s="112">
        <v>0.82</v>
      </c>
      <c r="Q10" s="112">
        <v>4.32</v>
      </c>
    </row>
    <row r="11" spans="1:21" customFormat="1">
      <c r="A11" s="80">
        <v>45604.03125</v>
      </c>
      <c r="B11" s="112">
        <v>5.26</v>
      </c>
      <c r="C11" s="112">
        <v>8.0500000000000007</v>
      </c>
      <c r="D11" s="112">
        <v>13.99</v>
      </c>
      <c r="E11" s="112">
        <v>9.64</v>
      </c>
      <c r="F11" s="112">
        <v>5.54</v>
      </c>
      <c r="G11" s="112">
        <v>86.51</v>
      </c>
      <c r="H11" s="112">
        <v>34.049999999999997</v>
      </c>
      <c r="I11" s="112">
        <v>9.68</v>
      </c>
      <c r="J11" s="112">
        <v>0.15</v>
      </c>
      <c r="K11" s="112">
        <v>212.96</v>
      </c>
      <c r="L11" s="112">
        <v>21.33</v>
      </c>
      <c r="M11" s="112">
        <v>91.41</v>
      </c>
      <c r="N11" s="112">
        <v>1.4</v>
      </c>
      <c r="O11" s="112">
        <v>0</v>
      </c>
      <c r="P11" s="112">
        <v>0.83</v>
      </c>
      <c r="Q11" s="112">
        <v>4.29</v>
      </c>
    </row>
    <row r="12" spans="1:21" customFormat="1">
      <c r="A12" s="80">
        <v>45604.041666666664</v>
      </c>
      <c r="B12" s="112">
        <v>5.24</v>
      </c>
      <c r="C12" s="112">
        <v>8.07</v>
      </c>
      <c r="D12" s="112">
        <v>13.99</v>
      </c>
      <c r="E12" s="112">
        <v>9.36</v>
      </c>
      <c r="F12" s="112">
        <v>5.62</v>
      </c>
      <c r="G12" s="112">
        <v>86.18</v>
      </c>
      <c r="H12" s="112">
        <v>34.049999999999997</v>
      </c>
      <c r="I12" s="112">
        <v>9.8000000000000007</v>
      </c>
      <c r="J12" s="112">
        <v>0.15</v>
      </c>
      <c r="K12" s="112">
        <v>201.47</v>
      </c>
      <c r="L12" s="112">
        <v>21.3</v>
      </c>
      <c r="M12" s="112">
        <v>92.65</v>
      </c>
      <c r="N12" s="112">
        <v>1.5</v>
      </c>
      <c r="O12" s="112">
        <v>0</v>
      </c>
      <c r="P12" s="112">
        <v>0.83</v>
      </c>
      <c r="Q12" s="112">
        <v>4.3099999999999996</v>
      </c>
    </row>
    <row r="13" spans="1:21" customFormat="1">
      <c r="A13" s="80">
        <v>45604.052083333336</v>
      </c>
      <c r="B13" s="112">
        <v>5.24</v>
      </c>
      <c r="C13" s="112">
        <v>8.07</v>
      </c>
      <c r="D13" s="112">
        <v>13.99</v>
      </c>
      <c r="E13" s="112">
        <v>9.49</v>
      </c>
      <c r="F13" s="112">
        <v>5.59</v>
      </c>
      <c r="G13" s="112">
        <v>86.18</v>
      </c>
      <c r="H13" s="112">
        <v>34.049999999999997</v>
      </c>
      <c r="I13" s="112">
        <v>9.9600000000000009</v>
      </c>
      <c r="J13" s="112">
        <v>0.17</v>
      </c>
      <c r="K13" s="112">
        <v>229.58</v>
      </c>
      <c r="L13" s="112">
        <v>20.92</v>
      </c>
      <c r="M13" s="112">
        <v>93.46</v>
      </c>
      <c r="N13" s="112">
        <v>1.7</v>
      </c>
      <c r="O13" s="112">
        <v>0</v>
      </c>
      <c r="P13" s="112">
        <v>0.85</v>
      </c>
      <c r="Q13" s="112">
        <v>4.32</v>
      </c>
    </row>
    <row r="14" spans="1:21" customFormat="1">
      <c r="A14" s="80">
        <v>45604.0625</v>
      </c>
      <c r="B14" s="112">
        <v>5.24</v>
      </c>
      <c r="C14" s="112">
        <v>8.07</v>
      </c>
      <c r="D14" s="112">
        <v>13.98</v>
      </c>
      <c r="E14" s="112">
        <v>10.01</v>
      </c>
      <c r="F14" s="112">
        <v>5.62</v>
      </c>
      <c r="G14" s="112">
        <v>86.18</v>
      </c>
      <c r="H14" s="112">
        <v>34.049999999999997</v>
      </c>
      <c r="I14" s="112">
        <v>10.11</v>
      </c>
      <c r="J14" s="112">
        <v>0.1</v>
      </c>
      <c r="K14" s="112">
        <v>231.77</v>
      </c>
      <c r="L14" s="112">
        <v>20.58</v>
      </c>
      <c r="M14" s="112">
        <v>93.98</v>
      </c>
      <c r="N14" s="112">
        <v>1.7</v>
      </c>
      <c r="O14" s="112">
        <v>0</v>
      </c>
      <c r="P14" s="112">
        <v>0.82</v>
      </c>
      <c r="Q14" s="112">
        <v>4.34</v>
      </c>
    </row>
    <row r="15" spans="1:21" customFormat="1">
      <c r="A15" s="80">
        <v>45604.072916666664</v>
      </c>
      <c r="B15" s="112">
        <v>5.25</v>
      </c>
      <c r="C15" s="112">
        <v>8.06</v>
      </c>
      <c r="D15" s="112">
        <v>13.99</v>
      </c>
      <c r="E15" s="112">
        <v>9.77</v>
      </c>
      <c r="F15" s="112">
        <v>5.71</v>
      </c>
      <c r="G15" s="112">
        <v>81.790000000000006</v>
      </c>
      <c r="H15" s="112">
        <v>30.2</v>
      </c>
      <c r="I15" s="112">
        <v>10.23</v>
      </c>
      <c r="J15" s="112">
        <v>0.13</v>
      </c>
      <c r="K15" s="112">
        <v>209.8</v>
      </c>
      <c r="L15" s="112">
        <v>20.56</v>
      </c>
      <c r="M15" s="112">
        <v>93.54</v>
      </c>
      <c r="N15" s="112">
        <v>1.5</v>
      </c>
      <c r="O15" s="112">
        <v>0</v>
      </c>
      <c r="P15" s="112">
        <v>0.83</v>
      </c>
      <c r="Q15" s="112">
        <v>4.3099999999999996</v>
      </c>
    </row>
    <row r="16" spans="1:21" customFormat="1">
      <c r="A16" s="80">
        <v>45604.083333333336</v>
      </c>
      <c r="B16" s="112">
        <v>5.25</v>
      </c>
      <c r="C16" s="112">
        <v>8.08</v>
      </c>
      <c r="D16" s="112">
        <v>14</v>
      </c>
      <c r="E16" s="112">
        <v>9.56</v>
      </c>
      <c r="F16" s="112">
        <v>5.68</v>
      </c>
      <c r="G16" s="112">
        <v>81.69</v>
      </c>
      <c r="H16" s="112">
        <v>30.2</v>
      </c>
      <c r="I16" s="112">
        <v>10.32</v>
      </c>
      <c r="J16" s="112">
        <v>0.2</v>
      </c>
      <c r="K16" s="112">
        <v>181.27</v>
      </c>
      <c r="L16" s="112">
        <v>20.64</v>
      </c>
      <c r="M16" s="112">
        <v>94.19</v>
      </c>
      <c r="N16" s="112">
        <v>1.5</v>
      </c>
      <c r="O16" s="112">
        <v>0</v>
      </c>
      <c r="P16" s="112">
        <v>0.82</v>
      </c>
      <c r="Q16" s="112">
        <v>4.3</v>
      </c>
    </row>
    <row r="17" spans="1:17" customFormat="1">
      <c r="A17" s="80">
        <v>45604.09375</v>
      </c>
      <c r="B17" s="112">
        <v>5.24</v>
      </c>
      <c r="C17" s="112">
        <v>8.0399999999999991</v>
      </c>
      <c r="D17" s="112">
        <v>13.97</v>
      </c>
      <c r="E17" s="112">
        <v>7.53</v>
      </c>
      <c r="F17" s="112">
        <v>5.59</v>
      </c>
      <c r="G17" s="112">
        <v>81.69</v>
      </c>
      <c r="H17" s="112">
        <v>30.2</v>
      </c>
      <c r="I17" s="112">
        <v>10.39</v>
      </c>
      <c r="J17" s="112">
        <v>0.09</v>
      </c>
      <c r="K17" s="112">
        <v>169.08</v>
      </c>
      <c r="L17" s="112">
        <v>20.58</v>
      </c>
      <c r="M17" s="112">
        <v>94.28</v>
      </c>
      <c r="N17" s="112">
        <v>1.4</v>
      </c>
      <c r="O17" s="112">
        <v>0</v>
      </c>
      <c r="P17" s="112">
        <v>0.84</v>
      </c>
      <c r="Q17" s="112">
        <v>4.29</v>
      </c>
    </row>
    <row r="18" spans="1:17" customFormat="1">
      <c r="A18" s="80">
        <v>45604.104166666664</v>
      </c>
      <c r="B18" s="112">
        <v>5.24</v>
      </c>
      <c r="C18" s="112">
        <v>8.0500000000000007</v>
      </c>
      <c r="D18" s="112">
        <v>13.97</v>
      </c>
      <c r="E18" s="112">
        <v>8.86</v>
      </c>
      <c r="F18" s="112">
        <v>5.94</v>
      </c>
      <c r="G18" s="112">
        <v>81.69</v>
      </c>
      <c r="H18" s="112">
        <v>30.2</v>
      </c>
      <c r="I18" s="112">
        <v>10.54</v>
      </c>
      <c r="J18" s="112">
        <v>0.1</v>
      </c>
      <c r="K18" s="112">
        <v>199.28</v>
      </c>
      <c r="L18" s="112">
        <v>20.56</v>
      </c>
      <c r="M18" s="112">
        <v>93.64</v>
      </c>
      <c r="N18" s="112">
        <v>1.3</v>
      </c>
      <c r="O18" s="112">
        <v>0</v>
      </c>
      <c r="P18" s="112">
        <v>0.84</v>
      </c>
      <c r="Q18" s="112">
        <v>4.29</v>
      </c>
    </row>
    <row r="19" spans="1:17" customFormat="1">
      <c r="A19" s="80">
        <v>45604.114583333336</v>
      </c>
      <c r="B19" s="112">
        <v>5.23</v>
      </c>
      <c r="C19" s="112">
        <v>8.09</v>
      </c>
      <c r="D19" s="112">
        <v>13.99</v>
      </c>
      <c r="E19" s="112">
        <v>9.01</v>
      </c>
      <c r="F19" s="112">
        <v>5.8</v>
      </c>
      <c r="G19" s="112">
        <v>82.16</v>
      </c>
      <c r="H19" s="112">
        <v>32.200000000000003</v>
      </c>
      <c r="I19" s="112">
        <v>10.7</v>
      </c>
      <c r="J19" s="112">
        <v>0.02</v>
      </c>
      <c r="K19" s="112">
        <v>234.71</v>
      </c>
      <c r="L19" s="112">
        <v>20.56</v>
      </c>
      <c r="M19" s="112">
        <v>94.98</v>
      </c>
      <c r="N19" s="112">
        <v>1.4</v>
      </c>
      <c r="O19" s="112">
        <v>0</v>
      </c>
      <c r="P19" s="112">
        <v>0.84</v>
      </c>
      <c r="Q19" s="112">
        <v>4.3</v>
      </c>
    </row>
    <row r="20" spans="1:17" customFormat="1">
      <c r="A20" s="80">
        <v>45604.125</v>
      </c>
      <c r="B20" s="112">
        <v>5.23</v>
      </c>
      <c r="C20" s="112">
        <v>8.09</v>
      </c>
      <c r="D20" s="112">
        <v>13.98</v>
      </c>
      <c r="E20" s="112">
        <v>8.83</v>
      </c>
      <c r="F20" s="112">
        <v>5.64</v>
      </c>
      <c r="G20" s="112">
        <v>82.17</v>
      </c>
      <c r="H20" s="112">
        <v>32.200000000000003</v>
      </c>
      <c r="I20" s="112">
        <v>10.79</v>
      </c>
      <c r="J20" s="112">
        <v>0.13</v>
      </c>
      <c r="K20" s="112">
        <v>145.76</v>
      </c>
      <c r="L20" s="112">
        <v>20.52</v>
      </c>
      <c r="M20" s="112">
        <v>95.02</v>
      </c>
      <c r="N20" s="112">
        <v>1.3</v>
      </c>
      <c r="O20" s="112">
        <v>0</v>
      </c>
      <c r="P20" s="112">
        <v>0.84</v>
      </c>
      <c r="Q20" s="112">
        <v>4.29</v>
      </c>
    </row>
    <row r="21" spans="1:17" customFormat="1">
      <c r="A21" s="80">
        <v>45604.135416666664</v>
      </c>
      <c r="B21" s="112">
        <v>5.23</v>
      </c>
      <c r="C21" s="112">
        <v>8.08</v>
      </c>
      <c r="D21" s="112">
        <v>13.99</v>
      </c>
      <c r="E21" s="112">
        <v>8.52</v>
      </c>
      <c r="F21" s="112">
        <v>5.91</v>
      </c>
      <c r="G21" s="112">
        <v>82.17</v>
      </c>
      <c r="H21" s="112">
        <v>32.200000000000003</v>
      </c>
      <c r="I21" s="112">
        <v>10.92</v>
      </c>
      <c r="J21" s="112">
        <v>0.11</v>
      </c>
      <c r="K21" s="112">
        <v>152.08000000000001</v>
      </c>
      <c r="L21" s="112">
        <v>20.46</v>
      </c>
      <c r="M21" s="112">
        <v>93.66</v>
      </c>
      <c r="N21" s="112">
        <v>1.4</v>
      </c>
      <c r="O21" s="112">
        <v>0</v>
      </c>
      <c r="P21" s="112">
        <v>0.84</v>
      </c>
      <c r="Q21" s="112">
        <v>4.29</v>
      </c>
    </row>
    <row r="22" spans="1:17" customFormat="1">
      <c r="A22" s="80">
        <v>45604.145833333336</v>
      </c>
      <c r="B22" s="112">
        <v>5.24</v>
      </c>
      <c r="C22" s="112">
        <v>8.06</v>
      </c>
      <c r="D22" s="112">
        <v>13.98</v>
      </c>
      <c r="E22" s="112">
        <v>8.57</v>
      </c>
      <c r="F22" s="112">
        <v>5.73</v>
      </c>
      <c r="G22" s="112">
        <v>82.17</v>
      </c>
      <c r="H22" s="112">
        <v>32.200000000000003</v>
      </c>
      <c r="I22" s="112">
        <v>11.02</v>
      </c>
      <c r="J22" s="112">
        <v>0.08</v>
      </c>
      <c r="K22" s="112">
        <v>214.99</v>
      </c>
      <c r="L22" s="112">
        <v>20.399999999999999</v>
      </c>
      <c r="M22" s="112">
        <v>93.91</v>
      </c>
      <c r="N22" s="112">
        <v>1.4</v>
      </c>
      <c r="O22" s="112">
        <v>0</v>
      </c>
      <c r="P22" s="112">
        <v>0.84</v>
      </c>
      <c r="Q22" s="112">
        <v>4.29</v>
      </c>
    </row>
    <row r="23" spans="1:17" customFormat="1">
      <c r="A23" s="80">
        <v>45604.15625</v>
      </c>
      <c r="B23" s="112">
        <v>5.24</v>
      </c>
      <c r="C23" s="112">
        <v>8.0399999999999991</v>
      </c>
      <c r="D23" s="112">
        <v>13.97</v>
      </c>
      <c r="E23" s="112">
        <v>8.65</v>
      </c>
      <c r="F23" s="112">
        <v>5.57</v>
      </c>
      <c r="G23" s="112">
        <v>77.180000000000007</v>
      </c>
      <c r="H23" s="112">
        <v>30.59</v>
      </c>
      <c r="I23" s="112">
        <v>11.01</v>
      </c>
      <c r="J23" s="112">
        <v>0.13</v>
      </c>
      <c r="K23" s="112">
        <v>136.69</v>
      </c>
      <c r="L23" s="112">
        <v>20.39</v>
      </c>
      <c r="M23" s="112">
        <v>93.88</v>
      </c>
      <c r="N23" s="112">
        <v>1.4</v>
      </c>
      <c r="O23" s="112">
        <v>0</v>
      </c>
      <c r="P23" s="112">
        <v>0.84</v>
      </c>
      <c r="Q23" s="112">
        <v>4.29</v>
      </c>
    </row>
    <row r="24" spans="1:17" customFormat="1">
      <c r="A24" s="80">
        <v>45604.166666666664</v>
      </c>
      <c r="B24" s="112">
        <v>5.24</v>
      </c>
      <c r="C24" s="112">
        <v>8.07</v>
      </c>
      <c r="D24" s="112">
        <v>13.99</v>
      </c>
      <c r="E24" s="112">
        <v>8.9499999999999993</v>
      </c>
      <c r="F24" s="112">
        <v>5.79</v>
      </c>
      <c r="G24" s="112">
        <v>77.069999999999993</v>
      </c>
      <c r="H24" s="112">
        <v>30.59</v>
      </c>
      <c r="I24" s="112">
        <v>11</v>
      </c>
      <c r="J24" s="112">
        <v>0.14000000000000001</v>
      </c>
      <c r="K24" s="112">
        <v>107.91</v>
      </c>
      <c r="L24" s="112">
        <v>20.45</v>
      </c>
      <c r="M24" s="112">
        <v>91.99</v>
      </c>
      <c r="N24" s="112">
        <v>1.4</v>
      </c>
      <c r="O24" s="112">
        <v>0</v>
      </c>
      <c r="P24" s="112">
        <v>0.84</v>
      </c>
      <c r="Q24" s="112">
        <v>4.29</v>
      </c>
    </row>
    <row r="25" spans="1:17" customFormat="1">
      <c r="A25" s="80">
        <v>45604.177083333336</v>
      </c>
      <c r="B25" s="112">
        <v>5.24</v>
      </c>
      <c r="C25" s="112">
        <v>8.06</v>
      </c>
      <c r="D25" s="112">
        <v>13.98</v>
      </c>
      <c r="E25" s="112">
        <v>8.7200000000000006</v>
      </c>
      <c r="F25" s="112">
        <v>5.7</v>
      </c>
      <c r="G25" s="112">
        <v>77.069999999999993</v>
      </c>
      <c r="H25" s="112">
        <v>30.59</v>
      </c>
      <c r="I25" s="112">
        <v>11</v>
      </c>
      <c r="J25" s="112">
        <v>0.22</v>
      </c>
      <c r="K25" s="112">
        <v>72.7</v>
      </c>
      <c r="L25" s="112">
        <v>20.51</v>
      </c>
      <c r="M25" s="112">
        <v>90.63</v>
      </c>
      <c r="N25" s="112">
        <v>1.4</v>
      </c>
      <c r="O25" s="112">
        <v>0</v>
      </c>
      <c r="P25" s="112">
        <v>0.84</v>
      </c>
      <c r="Q25" s="112">
        <v>4.3099999999999996</v>
      </c>
    </row>
    <row r="26" spans="1:17" customFormat="1">
      <c r="A26" s="80">
        <v>45604.1875</v>
      </c>
      <c r="B26" s="112">
        <v>5.23</v>
      </c>
      <c r="C26" s="112">
        <v>8.07</v>
      </c>
      <c r="D26" s="112">
        <v>13.98</v>
      </c>
      <c r="E26" s="112">
        <v>8.67</v>
      </c>
      <c r="F26" s="112">
        <v>5.57</v>
      </c>
      <c r="G26" s="112">
        <v>77.069999999999993</v>
      </c>
      <c r="H26" s="112">
        <v>30.59</v>
      </c>
      <c r="I26" s="112">
        <v>10.97</v>
      </c>
      <c r="J26" s="112">
        <v>0.28000000000000003</v>
      </c>
      <c r="K26" s="112">
        <v>59.92</v>
      </c>
      <c r="L26" s="112">
        <v>20.51</v>
      </c>
      <c r="M26" s="112">
        <v>90.29</v>
      </c>
      <c r="N26" s="112">
        <v>1.4</v>
      </c>
      <c r="O26" s="112">
        <v>0</v>
      </c>
      <c r="P26" s="112">
        <v>0.84</v>
      </c>
      <c r="Q26" s="112">
        <v>4.3</v>
      </c>
    </row>
    <row r="27" spans="1:17" customFormat="1">
      <c r="A27" s="80">
        <v>45604.197916666664</v>
      </c>
      <c r="B27" s="112">
        <v>5.21</v>
      </c>
      <c r="C27" s="112">
        <v>8.08</v>
      </c>
      <c r="D27" s="112">
        <v>13.97</v>
      </c>
      <c r="E27" s="112">
        <v>8.98</v>
      </c>
      <c r="F27" s="112">
        <v>5.86</v>
      </c>
      <c r="G27" s="112">
        <v>75.69</v>
      </c>
      <c r="H27" s="112">
        <v>32.729999999999997</v>
      </c>
      <c r="I27" s="112">
        <v>10.97</v>
      </c>
      <c r="J27" s="112">
        <v>0.08</v>
      </c>
      <c r="K27" s="112">
        <v>79.180000000000007</v>
      </c>
      <c r="L27" s="112">
        <v>20.48</v>
      </c>
      <c r="M27" s="112">
        <v>90.99</v>
      </c>
      <c r="N27" s="112">
        <v>1.4</v>
      </c>
      <c r="O27" s="112">
        <v>0</v>
      </c>
      <c r="P27" s="112">
        <v>0.83</v>
      </c>
      <c r="Q27" s="112">
        <v>4.29</v>
      </c>
    </row>
    <row r="28" spans="1:17" customFormat="1">
      <c r="A28" s="80">
        <v>45604.208333333336</v>
      </c>
      <c r="B28" s="112">
        <v>5.23</v>
      </c>
      <c r="C28" s="112">
        <v>8.07</v>
      </c>
      <c r="D28" s="112">
        <v>13.98</v>
      </c>
      <c r="E28" s="112">
        <v>9.0299999999999994</v>
      </c>
      <c r="F28" s="112">
        <v>5.53</v>
      </c>
      <c r="G28" s="112">
        <v>75.66</v>
      </c>
      <c r="H28" s="112">
        <v>32.729999999999997</v>
      </c>
      <c r="I28" s="112">
        <v>10.97</v>
      </c>
      <c r="J28" s="112">
        <v>0.08</v>
      </c>
      <c r="K28" s="112">
        <v>209.38</v>
      </c>
      <c r="L28" s="112">
        <v>20.32</v>
      </c>
      <c r="M28" s="112">
        <v>92.12</v>
      </c>
      <c r="N28" s="112">
        <v>1.5</v>
      </c>
      <c r="O28" s="112">
        <v>0</v>
      </c>
      <c r="P28" s="112">
        <v>0.83</v>
      </c>
      <c r="Q28" s="112">
        <v>4.3</v>
      </c>
    </row>
    <row r="29" spans="1:17" customFormat="1">
      <c r="A29" s="80">
        <v>45604.21875</v>
      </c>
      <c r="B29" s="112">
        <v>5.25</v>
      </c>
      <c r="C29" s="112">
        <v>8.0500000000000007</v>
      </c>
      <c r="D29" s="112">
        <v>13.98</v>
      </c>
      <c r="E29" s="112">
        <v>9.3800000000000008</v>
      </c>
      <c r="F29" s="112">
        <v>5.67</v>
      </c>
      <c r="G29" s="112">
        <v>75.66</v>
      </c>
      <c r="H29" s="112">
        <v>32.729999999999997</v>
      </c>
      <c r="I29" s="112">
        <v>10.96</v>
      </c>
      <c r="J29" s="112">
        <v>0.16</v>
      </c>
      <c r="K29" s="112">
        <v>239.78</v>
      </c>
      <c r="L29" s="112">
        <v>20.03</v>
      </c>
      <c r="M29" s="112">
        <v>94.27</v>
      </c>
      <c r="N29" s="112">
        <v>1.6</v>
      </c>
      <c r="O29" s="112">
        <v>0</v>
      </c>
      <c r="P29" s="112">
        <v>0.83</v>
      </c>
      <c r="Q29" s="112">
        <v>4.3</v>
      </c>
    </row>
    <row r="30" spans="1:17" customFormat="1">
      <c r="A30" s="80">
        <v>45604.229166666664</v>
      </c>
      <c r="B30" s="112">
        <v>5.24</v>
      </c>
      <c r="C30" s="112">
        <v>8.08</v>
      </c>
      <c r="D30" s="112">
        <v>13.99</v>
      </c>
      <c r="E30" s="112">
        <v>8.74</v>
      </c>
      <c r="F30" s="112">
        <v>5.66</v>
      </c>
      <c r="G30" s="112">
        <v>75.66</v>
      </c>
      <c r="H30" s="112">
        <v>32.729999999999997</v>
      </c>
      <c r="I30" s="112">
        <v>10.91</v>
      </c>
      <c r="J30" s="112">
        <v>0.11</v>
      </c>
      <c r="K30" s="112">
        <v>219.54</v>
      </c>
      <c r="L30" s="112">
        <v>19.77</v>
      </c>
      <c r="M30" s="112">
        <v>95.82</v>
      </c>
      <c r="N30" s="112">
        <v>1.7</v>
      </c>
      <c r="O30" s="112">
        <v>0</v>
      </c>
      <c r="P30" s="112">
        <v>0.83</v>
      </c>
      <c r="Q30" s="112">
        <v>4.29</v>
      </c>
    </row>
    <row r="31" spans="1:17" customFormat="1">
      <c r="A31" s="80">
        <v>45604.239583333336</v>
      </c>
      <c r="B31" s="112">
        <v>5.21</v>
      </c>
      <c r="C31" s="112">
        <v>8.07</v>
      </c>
      <c r="D31" s="112">
        <v>13.96</v>
      </c>
      <c r="E31" s="112">
        <v>8.93</v>
      </c>
      <c r="F31" s="112">
        <v>5.46</v>
      </c>
      <c r="G31" s="112">
        <v>75.849999999999994</v>
      </c>
      <c r="H31" s="112">
        <v>31.35</v>
      </c>
      <c r="I31" s="112">
        <v>10.84</v>
      </c>
      <c r="J31" s="112">
        <v>0.12</v>
      </c>
      <c r="K31" s="112">
        <v>236.8</v>
      </c>
      <c r="L31" s="112">
        <v>19.670000000000002</v>
      </c>
      <c r="M31" s="112">
        <v>96.38</v>
      </c>
      <c r="N31" s="112">
        <v>1.8</v>
      </c>
      <c r="O31" s="112">
        <v>0</v>
      </c>
      <c r="P31" s="112">
        <v>0.82</v>
      </c>
      <c r="Q31" s="112">
        <v>4.3</v>
      </c>
    </row>
    <row r="32" spans="1:17" customFormat="1">
      <c r="A32" s="80">
        <v>45604.25</v>
      </c>
      <c r="B32" s="112">
        <v>5.21</v>
      </c>
      <c r="C32" s="112">
        <v>8.06</v>
      </c>
      <c r="D32" s="112">
        <v>13.96</v>
      </c>
      <c r="E32" s="112">
        <v>8.6199999999999992</v>
      </c>
      <c r="F32" s="112">
        <v>5.63</v>
      </c>
      <c r="G32" s="112">
        <v>75.86</v>
      </c>
      <c r="H32" s="112">
        <v>31.35</v>
      </c>
      <c r="I32" s="112">
        <v>10.84</v>
      </c>
      <c r="J32" s="112">
        <v>0.28000000000000003</v>
      </c>
      <c r="K32" s="112">
        <v>62.44</v>
      </c>
      <c r="L32" s="112">
        <v>19.77</v>
      </c>
      <c r="M32" s="112">
        <v>96.41</v>
      </c>
      <c r="N32" s="112">
        <v>2.9</v>
      </c>
      <c r="O32" s="112">
        <v>0</v>
      </c>
      <c r="P32" s="112">
        <v>0.83</v>
      </c>
      <c r="Q32" s="112">
        <v>4.29</v>
      </c>
    </row>
    <row r="33" spans="1:17" customFormat="1">
      <c r="A33" s="80">
        <v>45604.260416666664</v>
      </c>
      <c r="B33" s="112">
        <v>5.21</v>
      </c>
      <c r="C33" s="112">
        <v>8.08</v>
      </c>
      <c r="D33" s="112">
        <v>13.96</v>
      </c>
      <c r="E33" s="112">
        <v>8.57</v>
      </c>
      <c r="F33" s="112">
        <v>5.74</v>
      </c>
      <c r="G33" s="112">
        <v>75.86</v>
      </c>
      <c r="H33" s="112">
        <v>31.35</v>
      </c>
      <c r="I33" s="112">
        <v>10.83</v>
      </c>
      <c r="J33" s="112">
        <v>0.27</v>
      </c>
      <c r="K33" s="112">
        <v>64.069999999999993</v>
      </c>
      <c r="L33" s="112">
        <v>20.11</v>
      </c>
      <c r="M33" s="112">
        <v>93.46</v>
      </c>
      <c r="N33" s="112">
        <v>7.8</v>
      </c>
      <c r="O33" s="112">
        <v>0</v>
      </c>
      <c r="P33" s="112">
        <v>0.85</v>
      </c>
      <c r="Q33" s="112">
        <v>4.3099999999999996</v>
      </c>
    </row>
    <row r="34" spans="1:17" customFormat="1">
      <c r="A34" s="80">
        <v>45604.270833333336</v>
      </c>
      <c r="B34" s="112">
        <v>5.2</v>
      </c>
      <c r="C34" s="112">
        <v>8.1</v>
      </c>
      <c r="D34" s="112">
        <v>13.97</v>
      </c>
      <c r="E34" s="112">
        <v>8.69</v>
      </c>
      <c r="F34" s="112">
        <v>5.75</v>
      </c>
      <c r="G34" s="112">
        <v>75.86</v>
      </c>
      <c r="H34" s="112">
        <v>31.35</v>
      </c>
      <c r="I34" s="112">
        <v>10.88</v>
      </c>
      <c r="J34" s="112">
        <v>0.5</v>
      </c>
      <c r="K34" s="112">
        <v>58.55</v>
      </c>
      <c r="L34" s="112">
        <v>20.34</v>
      </c>
      <c r="M34" s="112">
        <v>91.64</v>
      </c>
      <c r="N34" s="112">
        <v>16.899999999999999</v>
      </c>
      <c r="O34" s="112">
        <v>0</v>
      </c>
      <c r="P34" s="112">
        <v>0.85</v>
      </c>
      <c r="Q34" s="112">
        <v>4.32</v>
      </c>
    </row>
    <row r="35" spans="1:17" customFormat="1">
      <c r="A35" s="80">
        <v>45604.28125</v>
      </c>
      <c r="B35" s="112">
        <v>5.23</v>
      </c>
      <c r="C35" s="112">
        <v>8.06</v>
      </c>
      <c r="D35" s="112">
        <v>13.97</v>
      </c>
      <c r="E35" s="112">
        <v>8.73</v>
      </c>
      <c r="F35" s="112">
        <v>5.69</v>
      </c>
      <c r="G35" s="112">
        <v>79</v>
      </c>
      <c r="H35" s="112">
        <v>36.44</v>
      </c>
      <c r="I35" s="112">
        <v>11.2</v>
      </c>
      <c r="J35" s="112">
        <v>0.43</v>
      </c>
      <c r="K35" s="112">
        <v>53.33</v>
      </c>
      <c r="L35" s="112">
        <v>20.53</v>
      </c>
      <c r="M35" s="112">
        <v>90.88</v>
      </c>
      <c r="N35" s="112">
        <v>29.1</v>
      </c>
      <c r="O35" s="112">
        <v>0</v>
      </c>
      <c r="P35" s="112">
        <v>0.86</v>
      </c>
      <c r="Q35" s="112">
        <v>4.3099999999999996</v>
      </c>
    </row>
    <row r="36" spans="1:17" customFormat="1">
      <c r="A36" s="80">
        <v>45604.291666666664</v>
      </c>
      <c r="B36" s="112">
        <v>5.23</v>
      </c>
      <c r="C36" s="112">
        <v>8.08</v>
      </c>
      <c r="D36" s="112">
        <v>13.99</v>
      </c>
      <c r="E36" s="112">
        <v>9.15</v>
      </c>
      <c r="F36" s="112">
        <v>5.6</v>
      </c>
      <c r="G36" s="112">
        <v>79.069999999999993</v>
      </c>
      <c r="H36" s="112">
        <v>36.44</v>
      </c>
      <c r="I36" s="112">
        <v>11.67</v>
      </c>
      <c r="J36" s="112">
        <v>0.44</v>
      </c>
      <c r="K36" s="112">
        <v>59.29</v>
      </c>
      <c r="L36" s="112">
        <v>20.83</v>
      </c>
      <c r="M36" s="112">
        <v>89.85</v>
      </c>
      <c r="N36" s="112">
        <v>43</v>
      </c>
      <c r="O36" s="112">
        <v>0</v>
      </c>
      <c r="P36" s="112">
        <v>0.86</v>
      </c>
      <c r="Q36" s="112">
        <v>4.3</v>
      </c>
    </row>
    <row r="37" spans="1:17" customFormat="1">
      <c r="A37" s="80">
        <v>45604.302083333336</v>
      </c>
      <c r="B37" s="112">
        <v>5.24</v>
      </c>
      <c r="C37" s="112">
        <v>8.07</v>
      </c>
      <c r="D37" s="112">
        <v>13.98</v>
      </c>
      <c r="E37" s="112">
        <v>8.69</v>
      </c>
      <c r="F37" s="112">
        <v>5.63</v>
      </c>
      <c r="G37" s="112">
        <v>79.069999999999993</v>
      </c>
      <c r="H37" s="112">
        <v>36.44</v>
      </c>
      <c r="I37" s="112">
        <v>12.07</v>
      </c>
      <c r="J37" s="112">
        <v>0.34</v>
      </c>
      <c r="K37" s="112">
        <v>42.12</v>
      </c>
      <c r="L37" s="112">
        <v>21.3</v>
      </c>
      <c r="M37" s="112">
        <v>87.92</v>
      </c>
      <c r="N37" s="112">
        <v>58.1</v>
      </c>
      <c r="O37" s="112">
        <v>0</v>
      </c>
      <c r="P37" s="112">
        <v>0.89</v>
      </c>
      <c r="Q37" s="112">
        <v>4.29</v>
      </c>
    </row>
    <row r="38" spans="1:17" customFormat="1">
      <c r="A38" s="80">
        <v>45604.3125</v>
      </c>
      <c r="B38" s="112">
        <v>5.22</v>
      </c>
      <c r="C38" s="112">
        <v>8.08</v>
      </c>
      <c r="D38" s="112">
        <v>13.97</v>
      </c>
      <c r="E38" s="112">
        <v>8.5</v>
      </c>
      <c r="F38" s="112">
        <v>5.49</v>
      </c>
      <c r="G38" s="112">
        <v>79.069999999999993</v>
      </c>
      <c r="H38" s="112">
        <v>36.44</v>
      </c>
      <c r="I38" s="112">
        <v>12.39</v>
      </c>
      <c r="J38" s="112">
        <v>0.47</v>
      </c>
      <c r="K38" s="112">
        <v>54.75</v>
      </c>
      <c r="L38" s="112">
        <v>21.73</v>
      </c>
      <c r="M38" s="112">
        <v>85.94</v>
      </c>
      <c r="N38" s="112">
        <v>77.400000000000006</v>
      </c>
      <c r="O38" s="112">
        <v>0</v>
      </c>
      <c r="P38" s="112">
        <v>0.9</v>
      </c>
      <c r="Q38" s="112">
        <v>4.3</v>
      </c>
    </row>
    <row r="39" spans="1:17" customFormat="1">
      <c r="A39" s="80">
        <v>45604.322916666664</v>
      </c>
      <c r="B39" s="112">
        <v>5.23</v>
      </c>
      <c r="C39" s="112">
        <v>8.07</v>
      </c>
      <c r="D39" s="112">
        <v>13.98</v>
      </c>
      <c r="E39" s="112">
        <v>8.51</v>
      </c>
      <c r="F39" s="112">
        <v>5.62</v>
      </c>
      <c r="G39" s="112">
        <v>101.95</v>
      </c>
      <c r="H39" s="112">
        <v>40.65</v>
      </c>
      <c r="I39" s="112">
        <v>12.52</v>
      </c>
      <c r="J39" s="112">
        <v>0.38</v>
      </c>
      <c r="K39" s="112">
        <v>45.86</v>
      </c>
      <c r="L39" s="112">
        <v>22.37</v>
      </c>
      <c r="M39" s="112">
        <v>83.86</v>
      </c>
      <c r="N39" s="112">
        <v>136.1</v>
      </c>
      <c r="O39" s="112">
        <v>0</v>
      </c>
      <c r="P39" s="112">
        <v>0.91</v>
      </c>
      <c r="Q39" s="112">
        <v>4.3099999999999996</v>
      </c>
    </row>
    <row r="40" spans="1:17" customFormat="1">
      <c r="A40" s="80">
        <v>45604.333333333336</v>
      </c>
      <c r="B40" s="112">
        <v>5.23</v>
      </c>
      <c r="C40" s="112">
        <v>8.1</v>
      </c>
      <c r="D40" s="112">
        <v>14</v>
      </c>
      <c r="E40" s="112">
        <v>8.99</v>
      </c>
      <c r="F40" s="112">
        <v>5.69</v>
      </c>
      <c r="G40" s="112">
        <v>102.47</v>
      </c>
      <c r="H40" s="112">
        <v>40.65</v>
      </c>
      <c r="I40" s="112">
        <v>12.6</v>
      </c>
      <c r="J40" s="112">
        <v>0.46</v>
      </c>
      <c r="K40" s="112">
        <v>29.87</v>
      </c>
      <c r="L40" s="112">
        <v>23.01</v>
      </c>
      <c r="M40" s="112">
        <v>81.66</v>
      </c>
      <c r="N40" s="112">
        <v>170.2</v>
      </c>
      <c r="O40" s="112">
        <v>0</v>
      </c>
      <c r="P40" s="112">
        <v>0.93</v>
      </c>
      <c r="Q40" s="112">
        <v>4.3</v>
      </c>
    </row>
    <row r="41" spans="1:17" customFormat="1">
      <c r="A41" s="80">
        <v>45604.34375</v>
      </c>
      <c r="B41" s="112">
        <v>5.23</v>
      </c>
      <c r="C41" s="112">
        <v>8.09</v>
      </c>
      <c r="D41" s="112">
        <v>13.99</v>
      </c>
      <c r="E41" s="112">
        <v>9.5299999999999994</v>
      </c>
      <c r="F41" s="112">
        <v>5.7</v>
      </c>
      <c r="G41" s="112">
        <v>102.47</v>
      </c>
      <c r="H41" s="112">
        <v>40.65</v>
      </c>
      <c r="I41" s="112">
        <v>12.66</v>
      </c>
      <c r="J41" s="112">
        <v>0.36</v>
      </c>
      <c r="K41" s="112">
        <v>29.66</v>
      </c>
      <c r="L41" s="112">
        <v>23.53</v>
      </c>
      <c r="M41" s="112">
        <v>79.94</v>
      </c>
      <c r="N41" s="112">
        <v>199.5</v>
      </c>
      <c r="O41" s="112">
        <v>0</v>
      </c>
      <c r="P41" s="112">
        <v>0.94</v>
      </c>
      <c r="Q41" s="112">
        <v>4.29</v>
      </c>
    </row>
    <row r="42" spans="1:17" customFormat="1">
      <c r="A42" s="80">
        <v>45604.354166666664</v>
      </c>
      <c r="B42" s="112">
        <v>5.25</v>
      </c>
      <c r="C42" s="112">
        <v>8.0500000000000007</v>
      </c>
      <c r="D42" s="112">
        <v>13.98</v>
      </c>
      <c r="E42" s="112">
        <v>8.7200000000000006</v>
      </c>
      <c r="F42" s="112">
        <v>5.91</v>
      </c>
      <c r="G42" s="112">
        <v>102.47</v>
      </c>
      <c r="H42" s="112">
        <v>40.65</v>
      </c>
      <c r="I42" s="112">
        <v>12.67</v>
      </c>
      <c r="J42" s="112">
        <v>0.36</v>
      </c>
      <c r="K42" s="112">
        <v>44.45</v>
      </c>
      <c r="L42" s="112">
        <v>24.4</v>
      </c>
      <c r="M42" s="112">
        <v>76.680000000000007</v>
      </c>
      <c r="N42" s="112">
        <v>203.3</v>
      </c>
      <c r="O42" s="112">
        <v>0</v>
      </c>
      <c r="P42" s="112">
        <v>0.94</v>
      </c>
      <c r="Q42" s="112">
        <v>4.3</v>
      </c>
    </row>
    <row r="43" spans="1:17" customFormat="1">
      <c r="A43" s="80">
        <v>45604.364583333336</v>
      </c>
      <c r="B43" s="112">
        <v>5.26</v>
      </c>
      <c r="C43" s="112">
        <v>8.0500000000000007</v>
      </c>
      <c r="D43" s="112">
        <v>13.99</v>
      </c>
      <c r="E43" s="112">
        <v>8.7799999999999994</v>
      </c>
      <c r="F43" s="112">
        <v>5.75</v>
      </c>
      <c r="G43" s="112">
        <v>110.93</v>
      </c>
      <c r="H43" s="112">
        <v>39.520000000000003</v>
      </c>
      <c r="I43" s="112">
        <v>12.63</v>
      </c>
      <c r="J43" s="112">
        <v>0.42</v>
      </c>
      <c r="K43" s="112">
        <v>51.16</v>
      </c>
      <c r="L43" s="112">
        <v>25.15</v>
      </c>
      <c r="M43" s="112">
        <v>73.209999999999994</v>
      </c>
      <c r="N43" s="112">
        <v>265</v>
      </c>
      <c r="O43" s="112">
        <v>0</v>
      </c>
      <c r="P43" s="112">
        <v>0.93</v>
      </c>
      <c r="Q43" s="112">
        <v>4.32</v>
      </c>
    </row>
    <row r="44" spans="1:17" customFormat="1">
      <c r="A44" s="80">
        <v>45604.375</v>
      </c>
      <c r="B44" s="112">
        <v>5.24</v>
      </c>
      <c r="C44" s="112">
        <v>8.08</v>
      </c>
      <c r="D44" s="112">
        <v>13.99</v>
      </c>
      <c r="E44" s="112">
        <v>7.94</v>
      </c>
      <c r="F44" s="112">
        <v>5.99</v>
      </c>
      <c r="G44" s="112">
        <v>111.12</v>
      </c>
      <c r="H44" s="112">
        <v>39.520000000000003</v>
      </c>
      <c r="I44" s="112">
        <v>12.54</v>
      </c>
      <c r="J44" s="112">
        <v>0.31</v>
      </c>
      <c r="K44" s="112">
        <v>68.09</v>
      </c>
      <c r="L44" s="112">
        <v>26.08</v>
      </c>
      <c r="M44" s="112">
        <v>69.73</v>
      </c>
      <c r="N44" s="112">
        <v>260.89999999999998</v>
      </c>
      <c r="O44" s="112">
        <v>0</v>
      </c>
      <c r="P44" s="112">
        <v>0.92</v>
      </c>
      <c r="Q44" s="112">
        <v>4.3099999999999996</v>
      </c>
    </row>
    <row r="45" spans="1:17" customFormat="1">
      <c r="A45" s="80">
        <v>45604.385416666664</v>
      </c>
      <c r="B45" s="112">
        <v>5.25</v>
      </c>
      <c r="C45" s="112">
        <v>8.08</v>
      </c>
      <c r="D45" s="112">
        <v>14</v>
      </c>
      <c r="E45" s="112">
        <v>8.36</v>
      </c>
      <c r="F45" s="112">
        <v>6</v>
      </c>
      <c r="G45" s="112">
        <v>111.12</v>
      </c>
      <c r="H45" s="112">
        <v>39.520000000000003</v>
      </c>
      <c r="I45" s="112">
        <v>12.45</v>
      </c>
      <c r="J45" s="112">
        <v>0.43</v>
      </c>
      <c r="K45" s="112">
        <v>50.27</v>
      </c>
      <c r="L45" s="112">
        <v>26.66</v>
      </c>
      <c r="M45" s="112">
        <v>67.430000000000007</v>
      </c>
      <c r="N45" s="112">
        <v>355.3</v>
      </c>
      <c r="O45" s="112">
        <v>0</v>
      </c>
      <c r="P45" s="112">
        <v>0.92</v>
      </c>
      <c r="Q45" s="112">
        <v>4.3099999999999996</v>
      </c>
    </row>
    <row r="46" spans="1:17" customFormat="1">
      <c r="A46" s="80">
        <v>45604.395833333336</v>
      </c>
      <c r="B46" s="112">
        <v>5.26</v>
      </c>
      <c r="C46" s="112">
        <v>8.0500000000000007</v>
      </c>
      <c r="D46" s="112">
        <v>14</v>
      </c>
      <c r="E46" s="112">
        <v>8.91</v>
      </c>
      <c r="F46" s="112">
        <v>6.34</v>
      </c>
      <c r="G46" s="112">
        <v>111.12</v>
      </c>
      <c r="H46" s="112">
        <v>39.520000000000003</v>
      </c>
      <c r="I46" s="112">
        <v>12.34</v>
      </c>
      <c r="J46" s="112">
        <v>0.56999999999999995</v>
      </c>
      <c r="K46" s="112">
        <v>52.57</v>
      </c>
      <c r="L46" s="112">
        <v>27</v>
      </c>
      <c r="M46" s="112">
        <v>65.89</v>
      </c>
      <c r="N46" s="112">
        <v>313.89999999999998</v>
      </c>
      <c r="O46" s="112">
        <v>0</v>
      </c>
      <c r="P46" s="112">
        <v>0.92</v>
      </c>
      <c r="Q46" s="112">
        <v>4.29</v>
      </c>
    </row>
    <row r="47" spans="1:17" customFormat="1">
      <c r="A47" s="80">
        <v>45604.40625</v>
      </c>
      <c r="B47" s="112">
        <v>5.26</v>
      </c>
      <c r="C47" s="112">
        <v>8.06</v>
      </c>
      <c r="D47" s="112">
        <v>14</v>
      </c>
      <c r="E47" s="112">
        <v>8.42</v>
      </c>
      <c r="F47" s="112">
        <v>6.51</v>
      </c>
      <c r="G47" s="112">
        <v>106.61</v>
      </c>
      <c r="H47" s="112">
        <v>38.61</v>
      </c>
      <c r="I47" s="112">
        <v>12.24</v>
      </c>
      <c r="J47" s="112">
        <v>0.75</v>
      </c>
      <c r="K47" s="112">
        <v>50.23</v>
      </c>
      <c r="L47" s="112">
        <v>27.52</v>
      </c>
      <c r="M47" s="112">
        <v>63.13</v>
      </c>
      <c r="N47" s="112">
        <v>419.2</v>
      </c>
      <c r="O47" s="112">
        <v>0</v>
      </c>
      <c r="P47" s="112">
        <v>0.91</v>
      </c>
      <c r="Q47" s="112">
        <v>4.29</v>
      </c>
    </row>
    <row r="48" spans="1:17" customFormat="1">
      <c r="A48" s="80">
        <v>45604.416666666664</v>
      </c>
      <c r="B48" s="112">
        <v>5.22</v>
      </c>
      <c r="C48" s="112">
        <v>8.08</v>
      </c>
      <c r="D48" s="112">
        <v>13.97</v>
      </c>
      <c r="E48" s="112">
        <v>8.7100000000000009</v>
      </c>
      <c r="F48" s="112">
        <v>6.28</v>
      </c>
      <c r="G48" s="112">
        <v>106.51</v>
      </c>
      <c r="H48" s="112">
        <v>38.61</v>
      </c>
      <c r="I48" s="112">
        <v>12.26</v>
      </c>
      <c r="J48" s="112">
        <v>0.54</v>
      </c>
      <c r="K48" s="112">
        <v>55.65</v>
      </c>
      <c r="L48" s="112">
        <v>28.24</v>
      </c>
      <c r="M48" s="112">
        <v>60.61</v>
      </c>
      <c r="N48" s="112">
        <v>452.5</v>
      </c>
      <c r="O48" s="112">
        <v>0</v>
      </c>
      <c r="P48" s="112">
        <v>0.91</v>
      </c>
      <c r="Q48" s="112">
        <v>4.29</v>
      </c>
    </row>
    <row r="49" spans="1:17" customFormat="1">
      <c r="A49" s="80">
        <v>45604.427083333336</v>
      </c>
      <c r="B49" s="112">
        <v>5.23</v>
      </c>
      <c r="C49" s="112">
        <v>8.06</v>
      </c>
      <c r="D49" s="112">
        <v>13.98</v>
      </c>
      <c r="E49" s="112">
        <v>7.6</v>
      </c>
      <c r="F49" s="112">
        <v>6.32</v>
      </c>
      <c r="G49" s="112">
        <v>106.51</v>
      </c>
      <c r="H49" s="112">
        <v>38.61</v>
      </c>
      <c r="I49" s="112">
        <v>12.33</v>
      </c>
      <c r="J49" s="112">
        <v>0.59</v>
      </c>
      <c r="K49" s="112">
        <v>65.510000000000005</v>
      </c>
      <c r="L49" s="112">
        <v>28.64</v>
      </c>
      <c r="M49" s="112">
        <v>57.8</v>
      </c>
      <c r="N49" s="112">
        <v>478.3</v>
      </c>
      <c r="O49" s="112">
        <v>0</v>
      </c>
      <c r="P49" s="112">
        <v>0.91</v>
      </c>
      <c r="Q49" s="112">
        <v>4.3099999999999996</v>
      </c>
    </row>
    <row r="50" spans="1:17" customFormat="1">
      <c r="A50" s="80">
        <v>45604.4375</v>
      </c>
      <c r="B50" s="112">
        <v>5.22</v>
      </c>
      <c r="C50" s="112">
        <v>8.09</v>
      </c>
      <c r="D50" s="112">
        <v>13.98</v>
      </c>
      <c r="E50" s="112">
        <v>9</v>
      </c>
      <c r="F50" s="112">
        <v>7.41</v>
      </c>
      <c r="G50" s="112">
        <v>106.51</v>
      </c>
      <c r="H50" s="112">
        <v>38.61</v>
      </c>
      <c r="I50" s="112">
        <v>12.36</v>
      </c>
      <c r="J50" s="112">
        <v>0.78</v>
      </c>
      <c r="K50" s="112">
        <v>51.48</v>
      </c>
      <c r="L50" s="112">
        <v>29.11</v>
      </c>
      <c r="M50" s="112">
        <v>54.17</v>
      </c>
      <c r="N50" s="112">
        <v>495.3</v>
      </c>
      <c r="O50" s="112">
        <v>0</v>
      </c>
      <c r="P50" s="112">
        <v>0.89</v>
      </c>
      <c r="Q50" s="112">
        <v>4.33</v>
      </c>
    </row>
    <row r="51" spans="1:17" customFormat="1">
      <c r="A51" s="80">
        <v>45604.447916666664</v>
      </c>
      <c r="B51" s="112">
        <v>5.2</v>
      </c>
      <c r="C51" s="112">
        <v>8.11</v>
      </c>
      <c r="D51" s="112">
        <v>13.97</v>
      </c>
      <c r="E51" s="112">
        <v>8.76</v>
      </c>
      <c r="F51" s="112">
        <v>8.15</v>
      </c>
      <c r="G51" s="112">
        <v>97.04</v>
      </c>
      <c r="H51" s="112">
        <v>37.14</v>
      </c>
      <c r="I51" s="112">
        <v>12.26</v>
      </c>
      <c r="J51" s="112">
        <v>0.6</v>
      </c>
      <c r="K51" s="112">
        <v>58.02</v>
      </c>
      <c r="L51" s="112">
        <v>29.48</v>
      </c>
      <c r="M51" s="112">
        <v>50.94</v>
      </c>
      <c r="N51" s="112">
        <v>461.8</v>
      </c>
      <c r="O51" s="112">
        <v>0</v>
      </c>
      <c r="P51" s="112">
        <v>0.87</v>
      </c>
      <c r="Q51" s="112">
        <v>4.32</v>
      </c>
    </row>
    <row r="52" spans="1:17" customFormat="1">
      <c r="A52" s="80">
        <v>45604.458333333336</v>
      </c>
      <c r="B52" s="112">
        <v>5.19</v>
      </c>
      <c r="C52" s="112">
        <v>8.08</v>
      </c>
      <c r="D52" s="112">
        <v>13.95</v>
      </c>
      <c r="E52" s="112">
        <v>8.7200000000000006</v>
      </c>
      <c r="F52" s="112">
        <v>7.29</v>
      </c>
      <c r="G52" s="112">
        <v>96.82</v>
      </c>
      <c r="H52" s="112">
        <v>37.14</v>
      </c>
      <c r="I52" s="112">
        <v>11.99</v>
      </c>
      <c r="J52" s="112">
        <v>0.49</v>
      </c>
      <c r="K52" s="112">
        <v>78.47</v>
      </c>
      <c r="L52" s="112">
        <v>29.95</v>
      </c>
      <c r="M52" s="112">
        <v>52.06</v>
      </c>
      <c r="N52" s="112">
        <v>542.1</v>
      </c>
      <c r="O52" s="112">
        <v>0</v>
      </c>
      <c r="P52" s="112">
        <v>0.85</v>
      </c>
      <c r="Q52" s="112">
        <v>4.3</v>
      </c>
    </row>
    <row r="53" spans="1:17" customFormat="1">
      <c r="A53" s="80">
        <v>45604.46875</v>
      </c>
      <c r="B53" s="112">
        <v>5.19</v>
      </c>
      <c r="C53" s="112">
        <v>8.08</v>
      </c>
      <c r="D53" s="112">
        <v>13.95</v>
      </c>
      <c r="E53" s="112">
        <v>9.9</v>
      </c>
      <c r="F53" s="112">
        <v>8.6300000000000008</v>
      </c>
      <c r="G53" s="112">
        <v>96.82</v>
      </c>
      <c r="H53" s="112">
        <v>37.14</v>
      </c>
      <c r="I53" s="112">
        <v>11.7</v>
      </c>
      <c r="J53" s="112">
        <v>0.38</v>
      </c>
      <c r="K53" s="112">
        <v>77.3</v>
      </c>
      <c r="L53" s="112">
        <v>29.96</v>
      </c>
      <c r="M53" s="112">
        <v>51.05</v>
      </c>
      <c r="N53" s="112">
        <v>359.8</v>
      </c>
      <c r="O53" s="112">
        <v>0</v>
      </c>
      <c r="P53" s="112">
        <v>0.83</v>
      </c>
      <c r="Q53" s="112">
        <v>4.3099999999999996</v>
      </c>
    </row>
    <row r="54" spans="1:17" customFormat="1">
      <c r="A54" s="80">
        <v>45604.479166666664</v>
      </c>
      <c r="B54" s="112">
        <v>5.19</v>
      </c>
      <c r="C54" s="112">
        <v>8.11</v>
      </c>
      <c r="D54" s="112">
        <v>13.97</v>
      </c>
      <c r="E54" s="112">
        <v>10.64</v>
      </c>
      <c r="F54" s="112">
        <v>11</v>
      </c>
      <c r="G54" s="112">
        <v>96.82</v>
      </c>
      <c r="H54" s="112">
        <v>37.14</v>
      </c>
      <c r="I54" s="112">
        <v>11.41</v>
      </c>
      <c r="J54" s="112">
        <v>0.38</v>
      </c>
      <c r="K54" s="112">
        <v>60.37</v>
      </c>
      <c r="L54" s="112">
        <v>29.69</v>
      </c>
      <c r="M54" s="112">
        <v>50.26</v>
      </c>
      <c r="N54" s="112">
        <v>449</v>
      </c>
      <c r="O54" s="112">
        <v>0</v>
      </c>
      <c r="P54" s="112">
        <v>0.81</v>
      </c>
      <c r="Q54" s="112">
        <v>4.29</v>
      </c>
    </row>
    <row r="55" spans="1:17" customFormat="1">
      <c r="A55" s="80">
        <v>45604.489583333336</v>
      </c>
      <c r="B55" s="112">
        <v>5.2</v>
      </c>
      <c r="C55" s="112">
        <v>8.08</v>
      </c>
      <c r="D55" s="112">
        <v>13.96</v>
      </c>
      <c r="E55" s="112">
        <v>18.399999999999999</v>
      </c>
      <c r="F55" s="112">
        <v>9.0399999999999991</v>
      </c>
      <c r="G55" s="112">
        <v>80.040000000000006</v>
      </c>
      <c r="H55" s="112">
        <v>36.31</v>
      </c>
      <c r="I55" s="112">
        <v>11.21</v>
      </c>
      <c r="J55" s="112">
        <v>0.47</v>
      </c>
      <c r="K55" s="112">
        <v>83.82</v>
      </c>
      <c r="L55" s="112">
        <v>30.3</v>
      </c>
      <c r="M55" s="112">
        <v>46.84</v>
      </c>
      <c r="N55" s="112">
        <v>582.5</v>
      </c>
      <c r="O55" s="112">
        <v>0</v>
      </c>
      <c r="P55" s="112">
        <v>0.78</v>
      </c>
      <c r="Q55" s="112">
        <v>4.29</v>
      </c>
    </row>
    <row r="56" spans="1:17" customFormat="1">
      <c r="A56" s="80">
        <v>45604.5</v>
      </c>
      <c r="B56" s="112">
        <v>5.21</v>
      </c>
      <c r="C56" s="112">
        <v>8.07</v>
      </c>
      <c r="D56" s="112">
        <v>13.96</v>
      </c>
      <c r="E56" s="112">
        <v>11.66</v>
      </c>
      <c r="F56" s="112">
        <v>8.1199999999999992</v>
      </c>
      <c r="G56" s="112">
        <v>79.66</v>
      </c>
      <c r="H56" s="112">
        <v>36.31</v>
      </c>
      <c r="I56" s="112">
        <v>10.93</v>
      </c>
      <c r="J56" s="112">
        <v>0.3</v>
      </c>
      <c r="K56" s="112">
        <v>81.44</v>
      </c>
      <c r="L56" s="112">
        <v>31.11</v>
      </c>
      <c r="M56" s="112">
        <v>43.33</v>
      </c>
      <c r="N56" s="112">
        <v>600.70000000000005</v>
      </c>
      <c r="O56" s="112">
        <v>0</v>
      </c>
      <c r="P56" s="112">
        <v>0.78</v>
      </c>
      <c r="Q56" s="112">
        <v>4.3099999999999996</v>
      </c>
    </row>
    <row r="57" spans="1:17" customFormat="1">
      <c r="A57" s="80">
        <v>45604.510416666664</v>
      </c>
      <c r="B57" s="112">
        <v>5.2</v>
      </c>
      <c r="C57" s="112">
        <v>8.08</v>
      </c>
      <c r="D57" s="112">
        <v>13.96</v>
      </c>
      <c r="E57" s="112">
        <v>11.05</v>
      </c>
      <c r="F57" s="112">
        <v>9.5500000000000007</v>
      </c>
      <c r="G57" s="112">
        <v>79.66</v>
      </c>
      <c r="H57" s="112">
        <v>36.31</v>
      </c>
      <c r="I57" s="112">
        <v>10.68</v>
      </c>
      <c r="J57" s="112">
        <v>0.43</v>
      </c>
      <c r="K57" s="112">
        <v>63.69</v>
      </c>
      <c r="L57" s="112">
        <v>31.01</v>
      </c>
      <c r="M57" s="112">
        <v>40.69</v>
      </c>
      <c r="N57" s="112">
        <v>531.1</v>
      </c>
      <c r="O57" s="112">
        <v>0</v>
      </c>
      <c r="P57" s="112">
        <v>0.77</v>
      </c>
      <c r="Q57" s="112">
        <v>4.3</v>
      </c>
    </row>
    <row r="58" spans="1:17" customFormat="1">
      <c r="A58" s="80">
        <v>45604.520833333336</v>
      </c>
      <c r="B58" s="112">
        <v>5.21</v>
      </c>
      <c r="C58" s="112">
        <v>8.08</v>
      </c>
      <c r="D58" s="112">
        <v>13.96</v>
      </c>
      <c r="E58" s="112">
        <v>11.33</v>
      </c>
      <c r="F58" s="112">
        <v>11.68</v>
      </c>
      <c r="G58" s="112">
        <v>79.66</v>
      </c>
      <c r="H58" s="112">
        <v>36.31</v>
      </c>
      <c r="I58" s="112">
        <v>10.65</v>
      </c>
      <c r="J58" s="112">
        <v>0.63</v>
      </c>
      <c r="K58" s="112">
        <v>46.54</v>
      </c>
      <c r="L58" s="112">
        <v>31.12</v>
      </c>
      <c r="M58" s="112">
        <v>40.9</v>
      </c>
      <c r="N58" s="112">
        <v>531.29999999999995</v>
      </c>
      <c r="O58" s="112">
        <v>0</v>
      </c>
      <c r="P58" s="112">
        <v>0.74</v>
      </c>
      <c r="Q58" s="112">
        <v>4.3</v>
      </c>
    </row>
    <row r="59" spans="1:17" customFormat="1">
      <c r="A59" s="80">
        <v>45604.53125</v>
      </c>
      <c r="B59" s="112">
        <v>5.22</v>
      </c>
      <c r="C59" s="112">
        <v>8.08</v>
      </c>
      <c r="D59" s="112">
        <v>13.98</v>
      </c>
      <c r="E59" s="112">
        <v>12.98</v>
      </c>
      <c r="F59" s="112">
        <v>13.26</v>
      </c>
      <c r="G59" s="112">
        <v>67.12</v>
      </c>
      <c r="H59" s="112">
        <v>28.92</v>
      </c>
      <c r="I59" s="112">
        <v>10.38</v>
      </c>
      <c r="J59" s="112">
        <v>0.86</v>
      </c>
      <c r="K59" s="112">
        <v>41.3</v>
      </c>
      <c r="L59" s="112">
        <v>30.81</v>
      </c>
      <c r="M59" s="112">
        <v>42.09</v>
      </c>
      <c r="N59" s="112">
        <v>500.9</v>
      </c>
      <c r="O59" s="112">
        <v>0</v>
      </c>
      <c r="P59" s="112">
        <v>0.71</v>
      </c>
      <c r="Q59" s="112">
        <v>4.3099999999999996</v>
      </c>
    </row>
    <row r="60" spans="1:17" customFormat="1">
      <c r="A60" s="80">
        <v>45604.541666666664</v>
      </c>
      <c r="B60" s="112">
        <v>5.24</v>
      </c>
      <c r="C60" s="112">
        <v>8.1</v>
      </c>
      <c r="D60" s="112">
        <v>14</v>
      </c>
      <c r="E60" s="112">
        <v>12.86</v>
      </c>
      <c r="F60" s="112">
        <v>11.95</v>
      </c>
      <c r="G60" s="112">
        <v>66.84</v>
      </c>
      <c r="H60" s="112">
        <v>28.92</v>
      </c>
      <c r="I60" s="112">
        <v>10.06</v>
      </c>
      <c r="J60" s="112">
        <v>0.4</v>
      </c>
      <c r="K60" s="112">
        <v>80.53</v>
      </c>
      <c r="L60" s="112">
        <v>30.78</v>
      </c>
      <c r="M60" s="112">
        <v>40.96</v>
      </c>
      <c r="N60" s="112">
        <v>360</v>
      </c>
      <c r="O60" s="112">
        <v>0</v>
      </c>
      <c r="P60" s="112">
        <v>0.71</v>
      </c>
      <c r="Q60" s="112">
        <v>4.3</v>
      </c>
    </row>
    <row r="61" spans="1:17" customFormat="1">
      <c r="A61" s="80">
        <v>45604.552083333336</v>
      </c>
      <c r="B61" s="112">
        <v>5.25</v>
      </c>
      <c r="C61" s="112">
        <v>8.08</v>
      </c>
      <c r="D61" s="112">
        <v>13.99</v>
      </c>
      <c r="E61" s="112">
        <v>11.29</v>
      </c>
      <c r="F61" s="112">
        <v>10.81</v>
      </c>
      <c r="G61" s="112">
        <v>66.84</v>
      </c>
      <c r="H61" s="112">
        <v>28.92</v>
      </c>
      <c r="I61" s="112">
        <v>9.8000000000000007</v>
      </c>
      <c r="J61" s="112">
        <v>0.17</v>
      </c>
      <c r="K61" s="112">
        <v>329.16</v>
      </c>
      <c r="L61" s="112">
        <v>31.01</v>
      </c>
      <c r="M61" s="112">
        <v>37.950000000000003</v>
      </c>
      <c r="N61" s="112">
        <v>491.7</v>
      </c>
      <c r="O61" s="112">
        <v>0</v>
      </c>
      <c r="P61" s="112">
        <v>0.72</v>
      </c>
      <c r="Q61" s="112">
        <v>4.29</v>
      </c>
    </row>
    <row r="62" spans="1:17" customFormat="1">
      <c r="A62" s="80">
        <v>45604.5625</v>
      </c>
      <c r="B62" s="112">
        <v>5.23</v>
      </c>
      <c r="C62" s="112">
        <v>8.07</v>
      </c>
      <c r="D62" s="112">
        <v>13.97</v>
      </c>
      <c r="E62" s="112">
        <v>10.62</v>
      </c>
      <c r="F62" s="112">
        <v>13.94</v>
      </c>
      <c r="G62" s="112">
        <v>66.84</v>
      </c>
      <c r="H62" s="112">
        <v>28.92</v>
      </c>
      <c r="I62" s="112">
        <v>9.6199999999999992</v>
      </c>
      <c r="J62" s="112">
        <v>0.6</v>
      </c>
      <c r="K62" s="112">
        <v>34.79</v>
      </c>
      <c r="L62" s="112">
        <v>31.18</v>
      </c>
      <c r="M62" s="112">
        <v>38.409999999999997</v>
      </c>
      <c r="N62" s="112">
        <v>461.7</v>
      </c>
      <c r="O62" s="112">
        <v>0</v>
      </c>
      <c r="P62" s="112">
        <v>0.7</v>
      </c>
      <c r="Q62" s="112">
        <v>4.3</v>
      </c>
    </row>
    <row r="63" spans="1:17" customFormat="1">
      <c r="A63" s="80">
        <v>45604.572916666664</v>
      </c>
      <c r="B63" s="112">
        <v>5.21</v>
      </c>
      <c r="C63" s="112">
        <v>8.08</v>
      </c>
      <c r="D63" s="112">
        <v>13.97</v>
      </c>
      <c r="E63" s="112">
        <v>12.81</v>
      </c>
      <c r="F63" s="112">
        <v>15.85</v>
      </c>
      <c r="G63" s="112">
        <v>58.43</v>
      </c>
      <c r="H63" s="112">
        <v>27.75</v>
      </c>
      <c r="I63" s="112">
        <v>9.49</v>
      </c>
      <c r="J63" s="112">
        <v>0.27</v>
      </c>
      <c r="K63" s="112">
        <v>17.61</v>
      </c>
      <c r="L63" s="112">
        <v>31.17</v>
      </c>
      <c r="M63" s="112">
        <v>37.74</v>
      </c>
      <c r="N63" s="112">
        <v>399.2</v>
      </c>
      <c r="O63" s="112">
        <v>0</v>
      </c>
      <c r="P63" s="112">
        <v>0.65</v>
      </c>
      <c r="Q63" s="112">
        <v>4.3</v>
      </c>
    </row>
    <row r="64" spans="1:17" customFormat="1">
      <c r="A64" s="80">
        <v>45604.583333333336</v>
      </c>
      <c r="B64" s="112">
        <v>5.24</v>
      </c>
      <c r="C64" s="112">
        <v>8.07</v>
      </c>
      <c r="D64" s="112">
        <v>13.99</v>
      </c>
      <c r="E64" s="112">
        <v>12.48</v>
      </c>
      <c r="F64" s="112">
        <v>16.329999999999998</v>
      </c>
      <c r="G64" s="112">
        <v>58.24</v>
      </c>
      <c r="H64" s="112">
        <v>27.75</v>
      </c>
      <c r="I64" s="112">
        <v>9.11</v>
      </c>
      <c r="J64" s="112">
        <v>0.23</v>
      </c>
      <c r="K64" s="112">
        <v>63.65</v>
      </c>
      <c r="L64" s="112">
        <v>30.86</v>
      </c>
      <c r="M64" s="112">
        <v>37.67</v>
      </c>
      <c r="N64" s="112">
        <v>259.2</v>
      </c>
      <c r="O64" s="112">
        <v>0</v>
      </c>
      <c r="P64" s="112">
        <v>0.65</v>
      </c>
      <c r="Q64" s="112">
        <v>4.3</v>
      </c>
    </row>
    <row r="65" spans="1:17" customFormat="1">
      <c r="A65" s="80">
        <v>45604.59375</v>
      </c>
      <c r="B65" s="112">
        <v>5.24</v>
      </c>
      <c r="C65" s="112">
        <v>8.09</v>
      </c>
      <c r="D65" s="112">
        <v>13.99</v>
      </c>
      <c r="E65" s="112">
        <v>11.62</v>
      </c>
      <c r="F65" s="112">
        <v>12.12</v>
      </c>
      <c r="G65" s="112">
        <v>58.24</v>
      </c>
      <c r="H65" s="112">
        <v>27.75</v>
      </c>
      <c r="I65" s="112">
        <v>8.74</v>
      </c>
      <c r="J65" s="112">
        <v>0.28999999999999998</v>
      </c>
      <c r="K65" s="112">
        <v>38.729999999999997</v>
      </c>
      <c r="L65" s="112">
        <v>30.68</v>
      </c>
      <c r="M65" s="112">
        <v>38.46</v>
      </c>
      <c r="N65" s="112">
        <v>134.9</v>
      </c>
      <c r="O65" s="112">
        <v>0</v>
      </c>
      <c r="P65" s="112">
        <v>0.65</v>
      </c>
      <c r="Q65" s="112">
        <v>4.3</v>
      </c>
    </row>
    <row r="66" spans="1:17" customFormat="1">
      <c r="A66" s="80">
        <v>45604.604166666664</v>
      </c>
      <c r="B66" s="112">
        <v>5.23</v>
      </c>
      <c r="C66" s="112">
        <v>8.1</v>
      </c>
      <c r="D66" s="112">
        <v>14</v>
      </c>
      <c r="E66" s="112">
        <v>13.66</v>
      </c>
      <c r="F66" s="112">
        <v>23.1</v>
      </c>
      <c r="G66" s="112">
        <v>58.24</v>
      </c>
      <c r="H66" s="112">
        <v>27.75</v>
      </c>
      <c r="I66" s="112">
        <v>8.81</v>
      </c>
      <c r="J66" s="112">
        <v>0.27</v>
      </c>
      <c r="K66" s="112">
        <v>11.07</v>
      </c>
      <c r="L66" s="112">
        <v>30.76</v>
      </c>
      <c r="M66" s="112">
        <v>36.94</v>
      </c>
      <c r="N66" s="112">
        <v>116.4</v>
      </c>
      <c r="O66" s="112">
        <v>0</v>
      </c>
      <c r="P66" s="112">
        <v>0.64</v>
      </c>
      <c r="Q66" s="112">
        <v>4.3</v>
      </c>
    </row>
    <row r="67" spans="1:17" customFormat="1">
      <c r="A67" s="80">
        <v>45604.614583333336</v>
      </c>
      <c r="B67" s="112">
        <v>5.23</v>
      </c>
      <c r="C67" s="112">
        <v>8.1</v>
      </c>
      <c r="D67" s="112">
        <v>14</v>
      </c>
      <c r="E67" s="112">
        <v>15.17</v>
      </c>
      <c r="F67" s="112">
        <v>18.850000000000001</v>
      </c>
      <c r="G67" s="112">
        <v>49.71</v>
      </c>
      <c r="H67" s="112">
        <v>24.66</v>
      </c>
      <c r="I67" s="112">
        <v>8.7200000000000006</v>
      </c>
      <c r="J67" s="112">
        <v>0.18</v>
      </c>
      <c r="K67" s="112">
        <v>50.41</v>
      </c>
      <c r="L67" s="112">
        <v>30.62</v>
      </c>
      <c r="M67" s="112">
        <v>38.71</v>
      </c>
      <c r="N67" s="112">
        <v>101.4</v>
      </c>
      <c r="O67" s="112">
        <v>0</v>
      </c>
      <c r="P67" s="112">
        <v>0.62</v>
      </c>
      <c r="Q67" s="112">
        <v>4.3</v>
      </c>
    </row>
    <row r="68" spans="1:17" customFormat="1">
      <c r="A68" s="80">
        <v>45604.625</v>
      </c>
      <c r="B68" s="112">
        <v>5.22</v>
      </c>
      <c r="C68" s="112">
        <v>8.09</v>
      </c>
      <c r="D68" s="112">
        <v>13.98</v>
      </c>
      <c r="E68" s="112">
        <v>11.41</v>
      </c>
      <c r="F68" s="112">
        <v>11.39</v>
      </c>
      <c r="G68" s="112">
        <v>49.52</v>
      </c>
      <c r="H68" s="112">
        <v>24.66</v>
      </c>
      <c r="I68" s="112">
        <v>8.23</v>
      </c>
      <c r="J68" s="112">
        <v>0.15</v>
      </c>
      <c r="K68" s="112">
        <v>138.65</v>
      </c>
      <c r="L68" s="112">
        <v>30.23</v>
      </c>
      <c r="M68" s="112">
        <v>41.21</v>
      </c>
      <c r="N68" s="112">
        <v>95.4</v>
      </c>
      <c r="O68" s="112">
        <v>0</v>
      </c>
      <c r="P68" s="112">
        <v>0.65</v>
      </c>
      <c r="Q68" s="112">
        <v>4.3</v>
      </c>
    </row>
    <row r="69" spans="1:17" customFormat="1">
      <c r="A69" s="80">
        <v>45604.635416666664</v>
      </c>
      <c r="B69" s="112">
        <v>5.22</v>
      </c>
      <c r="C69" s="112">
        <v>8.08</v>
      </c>
      <c r="D69" s="112">
        <v>13.97</v>
      </c>
      <c r="E69" s="112">
        <v>11.31</v>
      </c>
      <c r="F69" s="112">
        <v>13.99</v>
      </c>
      <c r="G69" s="112">
        <v>49.52</v>
      </c>
      <c r="H69" s="112">
        <v>24.66</v>
      </c>
      <c r="I69" s="112">
        <v>8.19</v>
      </c>
      <c r="J69" s="112">
        <v>0.22</v>
      </c>
      <c r="K69" s="112">
        <v>142.88999999999999</v>
      </c>
      <c r="L69" s="112">
        <v>29.73</v>
      </c>
      <c r="M69" s="112">
        <v>41.67</v>
      </c>
      <c r="N69" s="112">
        <v>77.2</v>
      </c>
      <c r="O69" s="112">
        <v>0</v>
      </c>
      <c r="P69" s="112">
        <v>0.62</v>
      </c>
      <c r="Q69" s="112">
        <v>4.29</v>
      </c>
    </row>
    <row r="70" spans="1:17" customFormat="1">
      <c r="A70" s="80">
        <v>45604.645833333336</v>
      </c>
      <c r="B70" s="112">
        <v>5.23</v>
      </c>
      <c r="C70" s="112">
        <v>8.07</v>
      </c>
      <c r="D70" s="112">
        <v>13.98</v>
      </c>
      <c r="E70" s="112">
        <v>11.63</v>
      </c>
      <c r="F70" s="112">
        <v>14.2</v>
      </c>
      <c r="G70" s="112">
        <v>49.52</v>
      </c>
      <c r="H70" s="112">
        <v>24.66</v>
      </c>
      <c r="I70" s="112">
        <v>8.34</v>
      </c>
      <c r="J70" s="112">
        <v>0.28999999999999998</v>
      </c>
      <c r="K70" s="112">
        <v>152.41999999999999</v>
      </c>
      <c r="L70" s="112">
        <v>29.83</v>
      </c>
      <c r="M70" s="112">
        <v>40.47</v>
      </c>
      <c r="N70" s="112">
        <v>68.3</v>
      </c>
      <c r="O70" s="112">
        <v>0</v>
      </c>
      <c r="P70" s="112">
        <v>0.61</v>
      </c>
      <c r="Q70" s="112">
        <v>4.29</v>
      </c>
    </row>
    <row r="71" spans="1:17" customFormat="1">
      <c r="A71" s="80">
        <v>45604.65625</v>
      </c>
      <c r="B71" s="112">
        <v>5.22</v>
      </c>
      <c r="C71" s="112">
        <v>8.07</v>
      </c>
      <c r="D71" s="112">
        <v>13.97</v>
      </c>
      <c r="E71" s="112">
        <v>10.23</v>
      </c>
      <c r="F71" s="112">
        <v>11.86</v>
      </c>
      <c r="G71" s="112">
        <v>50.56</v>
      </c>
      <c r="H71" s="112">
        <v>25.43</v>
      </c>
      <c r="I71" s="112">
        <v>8.0399999999999991</v>
      </c>
      <c r="J71" s="112">
        <v>0.21</v>
      </c>
      <c r="K71" s="112">
        <v>176.76</v>
      </c>
      <c r="L71" s="112">
        <v>29.29</v>
      </c>
      <c r="M71" s="112">
        <v>44.64</v>
      </c>
      <c r="N71" s="112">
        <v>57.6</v>
      </c>
      <c r="O71" s="112">
        <v>0</v>
      </c>
      <c r="P71" s="112">
        <v>0.63</v>
      </c>
      <c r="Q71" s="112">
        <v>4.28</v>
      </c>
    </row>
    <row r="72" spans="1:17" customFormat="1">
      <c r="A72" s="80">
        <v>45604.666666666664</v>
      </c>
      <c r="B72" s="112">
        <v>5.23</v>
      </c>
      <c r="C72" s="112">
        <v>8.08</v>
      </c>
      <c r="D72" s="112">
        <v>13.98</v>
      </c>
      <c r="E72" s="112">
        <v>9.39</v>
      </c>
      <c r="F72" s="112">
        <v>10.94</v>
      </c>
      <c r="G72" s="112">
        <v>50.58</v>
      </c>
      <c r="H72" s="112">
        <v>25.43</v>
      </c>
      <c r="I72" s="112">
        <v>8.0399999999999991</v>
      </c>
      <c r="J72" s="112">
        <v>0.26</v>
      </c>
      <c r="K72" s="112">
        <v>166.64</v>
      </c>
      <c r="L72" s="112">
        <v>29.13</v>
      </c>
      <c r="M72" s="112">
        <v>44.68</v>
      </c>
      <c r="N72" s="112">
        <v>45.7</v>
      </c>
      <c r="O72" s="112">
        <v>0</v>
      </c>
      <c r="P72" s="112">
        <v>0.64</v>
      </c>
      <c r="Q72" s="112">
        <v>4.29</v>
      </c>
    </row>
    <row r="73" spans="1:17" customFormat="1">
      <c r="A73" s="80">
        <v>45604.677083333336</v>
      </c>
      <c r="B73" s="112">
        <v>5.22</v>
      </c>
      <c r="C73" s="112">
        <v>8.09</v>
      </c>
      <c r="D73" s="112">
        <v>13.98</v>
      </c>
      <c r="E73" s="112">
        <v>9.16</v>
      </c>
      <c r="F73" s="112">
        <v>14.29</v>
      </c>
      <c r="G73" s="112">
        <v>50.58</v>
      </c>
      <c r="H73" s="112">
        <v>25.43</v>
      </c>
      <c r="I73" s="112">
        <v>8.17</v>
      </c>
      <c r="J73" s="112">
        <v>0.25</v>
      </c>
      <c r="K73" s="112">
        <v>172.66</v>
      </c>
      <c r="L73" s="112">
        <v>28.86</v>
      </c>
      <c r="M73" s="112">
        <v>44.89</v>
      </c>
      <c r="N73" s="112">
        <v>35.1</v>
      </c>
      <c r="O73" s="112">
        <v>0</v>
      </c>
      <c r="P73" s="112">
        <v>0.62</v>
      </c>
      <c r="Q73" s="112">
        <v>4.3</v>
      </c>
    </row>
    <row r="74" spans="1:17" customFormat="1">
      <c r="A74" s="80">
        <v>45604.6875</v>
      </c>
      <c r="B74" s="112">
        <v>5.22</v>
      </c>
      <c r="C74" s="112">
        <v>8.07</v>
      </c>
      <c r="D74" s="112">
        <v>13.97</v>
      </c>
      <c r="E74" s="112">
        <v>9.25</v>
      </c>
      <c r="F74" s="112">
        <v>12.69</v>
      </c>
      <c r="G74" s="112">
        <v>50.58</v>
      </c>
      <c r="H74" s="112">
        <v>25.43</v>
      </c>
      <c r="I74" s="112">
        <v>7.92</v>
      </c>
      <c r="J74" s="112">
        <v>0.31</v>
      </c>
      <c r="K74" s="112">
        <v>161.29</v>
      </c>
      <c r="L74" s="112">
        <v>28.55</v>
      </c>
      <c r="M74" s="112">
        <v>47.39</v>
      </c>
      <c r="N74" s="112">
        <v>26.1</v>
      </c>
      <c r="O74" s="112">
        <v>0</v>
      </c>
      <c r="P74" s="112">
        <v>0.61</v>
      </c>
      <c r="Q74" s="112">
        <v>4.29</v>
      </c>
    </row>
    <row r="75" spans="1:17" customFormat="1">
      <c r="A75" s="80">
        <v>45604.697916666664</v>
      </c>
      <c r="B75" s="112">
        <v>5.21</v>
      </c>
      <c r="C75" s="112">
        <v>8.0500000000000007</v>
      </c>
      <c r="D75" s="112">
        <v>13.95</v>
      </c>
      <c r="E75" s="112">
        <v>9.39</v>
      </c>
      <c r="F75" s="112">
        <v>9.92</v>
      </c>
      <c r="G75" s="112">
        <v>50.07</v>
      </c>
      <c r="H75" s="112">
        <v>22.9</v>
      </c>
      <c r="I75" s="112">
        <v>7.6</v>
      </c>
      <c r="J75" s="112">
        <v>0.24</v>
      </c>
      <c r="K75" s="112">
        <v>145.79</v>
      </c>
      <c r="L75" s="112">
        <v>28.12</v>
      </c>
      <c r="M75" s="112">
        <v>50.81</v>
      </c>
      <c r="N75" s="112">
        <v>17.899999999999999</v>
      </c>
      <c r="O75" s="112">
        <v>0</v>
      </c>
      <c r="P75" s="112">
        <v>0.62</v>
      </c>
      <c r="Q75" s="112">
        <v>4.3</v>
      </c>
    </row>
    <row r="76" spans="1:17" customFormat="1">
      <c r="A76" s="80">
        <v>45604.708333333336</v>
      </c>
      <c r="B76" s="112">
        <v>5.21</v>
      </c>
      <c r="C76" s="112">
        <v>8.06</v>
      </c>
      <c r="D76" s="112">
        <v>13.96</v>
      </c>
      <c r="E76" s="112">
        <v>9.0399999999999991</v>
      </c>
      <c r="F76" s="112">
        <v>7.48</v>
      </c>
      <c r="G76" s="112">
        <v>50.06</v>
      </c>
      <c r="H76" s="112">
        <v>22.9</v>
      </c>
      <c r="I76" s="112">
        <v>7.4</v>
      </c>
      <c r="J76" s="112">
        <v>0.22</v>
      </c>
      <c r="K76" s="112">
        <v>143.79</v>
      </c>
      <c r="L76" s="112">
        <v>27.73</v>
      </c>
      <c r="M76" s="112">
        <v>54.54</v>
      </c>
      <c r="N76" s="112">
        <v>10.1</v>
      </c>
      <c r="O76" s="112">
        <v>0</v>
      </c>
      <c r="P76" s="112">
        <v>0.62</v>
      </c>
      <c r="Q76" s="112">
        <v>4.3</v>
      </c>
    </row>
    <row r="77" spans="1:17" customFormat="1">
      <c r="A77" s="80">
        <v>45604.71875</v>
      </c>
      <c r="B77" s="112">
        <v>5.22</v>
      </c>
      <c r="C77" s="112">
        <v>8.0500000000000007</v>
      </c>
      <c r="D77" s="112">
        <v>13.96</v>
      </c>
      <c r="E77" s="112">
        <v>9.0299999999999994</v>
      </c>
      <c r="F77" s="112">
        <v>6.36</v>
      </c>
      <c r="G77" s="112">
        <v>50.06</v>
      </c>
      <c r="H77" s="112">
        <v>22.9</v>
      </c>
      <c r="I77" s="112">
        <v>7.3</v>
      </c>
      <c r="J77" s="112">
        <v>0.33</v>
      </c>
      <c r="K77" s="112">
        <v>158.25</v>
      </c>
      <c r="L77" s="112">
        <v>27.2</v>
      </c>
      <c r="M77" s="112">
        <v>56.5</v>
      </c>
      <c r="N77" s="112">
        <v>4.0999999999999996</v>
      </c>
      <c r="O77" s="112">
        <v>0</v>
      </c>
      <c r="P77" s="112">
        <v>0.63</v>
      </c>
      <c r="Q77" s="112">
        <v>4.3</v>
      </c>
    </row>
    <row r="78" spans="1:17" customFormat="1">
      <c r="A78" s="80">
        <v>45604.729166666664</v>
      </c>
      <c r="B78" s="112">
        <v>5.23</v>
      </c>
      <c r="C78" s="112">
        <v>8.07</v>
      </c>
      <c r="D78" s="112">
        <v>13.98</v>
      </c>
      <c r="E78" s="112">
        <v>8.17</v>
      </c>
      <c r="F78" s="112">
        <v>6.26</v>
      </c>
      <c r="G78" s="112">
        <v>50.06</v>
      </c>
      <c r="H78" s="112">
        <v>22.9</v>
      </c>
      <c r="I78" s="112">
        <v>7.37</v>
      </c>
      <c r="J78" s="112">
        <v>0.28000000000000003</v>
      </c>
      <c r="K78" s="112">
        <v>155.77000000000001</v>
      </c>
      <c r="L78" s="112">
        <v>26.83</v>
      </c>
      <c r="M78" s="112">
        <v>55.92</v>
      </c>
      <c r="N78" s="112">
        <v>2.2000000000000002</v>
      </c>
      <c r="O78" s="112">
        <v>0</v>
      </c>
      <c r="P78" s="112">
        <v>0.64</v>
      </c>
      <c r="Q78" s="112">
        <v>4.29</v>
      </c>
    </row>
    <row r="79" spans="1:17" customFormat="1">
      <c r="A79" s="80">
        <v>45604.739583333336</v>
      </c>
      <c r="B79" s="112">
        <v>5.21</v>
      </c>
      <c r="C79" s="112">
        <v>8.09</v>
      </c>
      <c r="D79" s="112">
        <v>13.98</v>
      </c>
      <c r="E79" s="112">
        <v>8.5399999999999991</v>
      </c>
      <c r="F79" s="112">
        <v>6.08</v>
      </c>
      <c r="G79" s="112">
        <v>71.760000000000005</v>
      </c>
      <c r="H79" s="112">
        <v>24.47</v>
      </c>
      <c r="I79" s="112">
        <v>7.36</v>
      </c>
      <c r="J79" s="112">
        <v>0.24</v>
      </c>
      <c r="K79" s="112">
        <v>153.30000000000001</v>
      </c>
      <c r="L79" s="112">
        <v>26.54</v>
      </c>
      <c r="M79" s="112">
        <v>58.2</v>
      </c>
      <c r="N79" s="112">
        <v>2</v>
      </c>
      <c r="O79" s="112">
        <v>0</v>
      </c>
      <c r="P79" s="112">
        <v>0.66</v>
      </c>
      <c r="Q79" s="112">
        <v>4.3099999999999996</v>
      </c>
    </row>
    <row r="80" spans="1:17" customFormat="1">
      <c r="A80" s="80">
        <v>45604.75</v>
      </c>
      <c r="B80" s="112">
        <v>5.23</v>
      </c>
      <c r="C80" s="112">
        <v>8.0500000000000007</v>
      </c>
      <c r="D80" s="112">
        <v>13.97</v>
      </c>
      <c r="E80" s="112">
        <v>8.91</v>
      </c>
      <c r="F80" s="112">
        <v>5.64</v>
      </c>
      <c r="G80" s="112">
        <v>72.25</v>
      </c>
      <c r="H80" s="112">
        <v>24.47</v>
      </c>
      <c r="I80" s="112">
        <v>7.35</v>
      </c>
      <c r="J80" s="112">
        <v>0.16</v>
      </c>
      <c r="K80" s="112">
        <v>140.33000000000001</v>
      </c>
      <c r="L80" s="112">
        <v>26.32</v>
      </c>
      <c r="M80" s="112">
        <v>58.85</v>
      </c>
      <c r="N80" s="112">
        <v>1.7</v>
      </c>
      <c r="O80" s="112">
        <v>0</v>
      </c>
      <c r="P80" s="112">
        <v>0.68</v>
      </c>
      <c r="Q80" s="112">
        <v>4.3099999999999996</v>
      </c>
    </row>
    <row r="81" spans="1:17" customFormat="1">
      <c r="A81" s="80">
        <v>45604.760416666664</v>
      </c>
      <c r="B81" s="112">
        <v>5.23</v>
      </c>
      <c r="C81" s="112">
        <v>8.0399999999999991</v>
      </c>
      <c r="D81" s="112">
        <v>13.96</v>
      </c>
      <c r="E81" s="112">
        <v>8.08</v>
      </c>
      <c r="F81" s="112">
        <v>5.61</v>
      </c>
      <c r="G81" s="112">
        <v>72.25</v>
      </c>
      <c r="H81" s="112">
        <v>24.47</v>
      </c>
      <c r="I81" s="112">
        <v>7.48</v>
      </c>
      <c r="J81" s="112">
        <v>0.2</v>
      </c>
      <c r="K81" s="112">
        <v>143.13</v>
      </c>
      <c r="L81" s="112">
        <v>26.11</v>
      </c>
      <c r="M81" s="112">
        <v>61.1</v>
      </c>
      <c r="N81" s="112">
        <v>1.7</v>
      </c>
      <c r="O81" s="112">
        <v>0</v>
      </c>
      <c r="P81" s="112">
        <v>0.7</v>
      </c>
      <c r="Q81" s="112">
        <v>4.3099999999999996</v>
      </c>
    </row>
    <row r="82" spans="1:17" customFormat="1">
      <c r="A82" s="80">
        <v>45604.770833333336</v>
      </c>
      <c r="B82" s="112">
        <v>5.25</v>
      </c>
      <c r="C82" s="112">
        <v>8.06</v>
      </c>
      <c r="D82" s="112">
        <v>13.99</v>
      </c>
      <c r="E82" s="112">
        <v>9.5399999999999991</v>
      </c>
      <c r="F82" s="112">
        <v>5.61</v>
      </c>
      <c r="G82" s="112">
        <v>72.25</v>
      </c>
      <c r="H82" s="112">
        <v>24.47</v>
      </c>
      <c r="I82" s="112">
        <v>7.7</v>
      </c>
      <c r="J82" s="112">
        <v>0.25</v>
      </c>
      <c r="K82" s="112">
        <v>162.63999999999999</v>
      </c>
      <c r="L82" s="112">
        <v>25.71</v>
      </c>
      <c r="M82" s="112">
        <v>63.33</v>
      </c>
      <c r="N82" s="112">
        <v>2</v>
      </c>
      <c r="O82" s="112">
        <v>0</v>
      </c>
      <c r="P82" s="112">
        <v>0.72</v>
      </c>
      <c r="Q82" s="112">
        <v>4.3</v>
      </c>
    </row>
    <row r="83" spans="1:17" customFormat="1">
      <c r="A83" s="80">
        <v>45604.78125</v>
      </c>
      <c r="B83" s="112">
        <v>5.25</v>
      </c>
      <c r="C83" s="112">
        <v>8.06</v>
      </c>
      <c r="D83" s="112">
        <v>13.99</v>
      </c>
      <c r="E83" s="112">
        <v>9.1999999999999993</v>
      </c>
      <c r="F83" s="112">
        <v>5.51</v>
      </c>
      <c r="G83" s="112">
        <v>89.29</v>
      </c>
      <c r="H83" s="112">
        <v>26.28</v>
      </c>
      <c r="I83" s="112">
        <v>7.93</v>
      </c>
      <c r="J83" s="112">
        <v>0.18</v>
      </c>
      <c r="K83" s="112">
        <v>47.83</v>
      </c>
      <c r="L83" s="112">
        <v>25.56</v>
      </c>
      <c r="M83" s="112">
        <v>60.75</v>
      </c>
      <c r="N83" s="112">
        <v>1.4</v>
      </c>
      <c r="O83" s="112">
        <v>0</v>
      </c>
      <c r="P83" s="112">
        <v>0.74</v>
      </c>
      <c r="Q83" s="112">
        <v>4.29</v>
      </c>
    </row>
    <row r="84" spans="1:17" customFormat="1">
      <c r="A84" s="80">
        <v>45604.791666666664</v>
      </c>
      <c r="B84" s="112">
        <v>5.24</v>
      </c>
      <c r="C84" s="112">
        <v>8.09</v>
      </c>
      <c r="D84" s="112">
        <v>13.99</v>
      </c>
      <c r="E84" s="112">
        <v>9.35</v>
      </c>
      <c r="F84" s="112">
        <v>5.75</v>
      </c>
      <c r="G84" s="112">
        <v>89.67</v>
      </c>
      <c r="H84" s="112">
        <v>26.28</v>
      </c>
      <c r="I84" s="112">
        <v>8.2200000000000006</v>
      </c>
      <c r="J84" s="112">
        <v>0.15</v>
      </c>
      <c r="K84" s="112">
        <v>49.18</v>
      </c>
      <c r="L84" s="112">
        <v>25.65</v>
      </c>
      <c r="M84" s="112">
        <v>60.94</v>
      </c>
      <c r="N84" s="112">
        <v>1.4</v>
      </c>
      <c r="O84" s="112">
        <v>0</v>
      </c>
      <c r="P84" s="112">
        <v>0.76</v>
      </c>
      <c r="Q84" s="112">
        <v>4.3099999999999996</v>
      </c>
    </row>
    <row r="85" spans="1:17" customFormat="1">
      <c r="A85" s="80">
        <v>45604.802083333336</v>
      </c>
      <c r="B85" s="112">
        <v>5.24</v>
      </c>
      <c r="C85" s="112">
        <v>8.06</v>
      </c>
      <c r="D85" s="112">
        <v>13.98</v>
      </c>
      <c r="E85" s="112">
        <v>9.61</v>
      </c>
      <c r="F85" s="112">
        <v>5.67</v>
      </c>
      <c r="G85" s="112">
        <v>89.67</v>
      </c>
      <c r="H85" s="112">
        <v>26.28</v>
      </c>
      <c r="I85" s="112">
        <v>8.5</v>
      </c>
      <c r="J85" s="112">
        <v>0.51</v>
      </c>
      <c r="K85" s="112">
        <v>53.47</v>
      </c>
      <c r="L85" s="112">
        <v>25.71</v>
      </c>
      <c r="M85" s="112">
        <v>59.28</v>
      </c>
      <c r="N85" s="112">
        <v>1.2</v>
      </c>
      <c r="O85" s="112">
        <v>0</v>
      </c>
      <c r="P85" s="112">
        <v>0.8</v>
      </c>
      <c r="Q85" s="112">
        <v>4.3099999999999996</v>
      </c>
    </row>
    <row r="86" spans="1:17" customFormat="1">
      <c r="A86" s="80">
        <v>45604.8125</v>
      </c>
      <c r="B86" s="112">
        <v>5.23</v>
      </c>
      <c r="C86" s="112">
        <v>8.08</v>
      </c>
      <c r="D86" s="112">
        <v>13.98</v>
      </c>
      <c r="E86" s="112">
        <v>9.26</v>
      </c>
      <c r="F86" s="112">
        <v>5.85</v>
      </c>
      <c r="G86" s="112">
        <v>89.67</v>
      </c>
      <c r="H86" s="112">
        <v>26.28</v>
      </c>
      <c r="I86" s="112">
        <v>8.73</v>
      </c>
      <c r="J86" s="112">
        <v>0.25</v>
      </c>
      <c r="K86" s="112">
        <v>61.46</v>
      </c>
      <c r="L86" s="112">
        <v>25.59</v>
      </c>
      <c r="M86" s="112">
        <v>61.11</v>
      </c>
      <c r="N86" s="112">
        <v>1.7</v>
      </c>
      <c r="O86" s="112">
        <v>0</v>
      </c>
      <c r="P86" s="112">
        <v>0.82</v>
      </c>
      <c r="Q86" s="112">
        <v>4.3099999999999996</v>
      </c>
    </row>
    <row r="87" spans="1:17" customFormat="1">
      <c r="A87" s="80">
        <v>45604.822916666664</v>
      </c>
      <c r="B87" s="112">
        <v>5.24</v>
      </c>
      <c r="C87" s="112">
        <v>8.08</v>
      </c>
      <c r="D87" s="112">
        <v>13.99</v>
      </c>
      <c r="E87" s="112">
        <v>9.68</v>
      </c>
      <c r="F87" s="112">
        <v>5.78</v>
      </c>
      <c r="G87" s="112">
        <v>104.2</v>
      </c>
      <c r="H87" s="112">
        <v>30.39</v>
      </c>
      <c r="I87" s="112">
        <v>8.99</v>
      </c>
      <c r="J87" s="112">
        <v>0.3</v>
      </c>
      <c r="K87" s="112">
        <v>57.81</v>
      </c>
      <c r="L87" s="112">
        <v>25.52</v>
      </c>
      <c r="M87" s="112">
        <v>60.26</v>
      </c>
      <c r="N87" s="112">
        <v>1.4</v>
      </c>
      <c r="O87" s="112">
        <v>0</v>
      </c>
      <c r="P87" s="112">
        <v>0.83</v>
      </c>
      <c r="Q87" s="112">
        <v>4.3</v>
      </c>
    </row>
    <row r="88" spans="1:17" customFormat="1">
      <c r="A88" s="80">
        <v>45604.833333333336</v>
      </c>
      <c r="B88" s="112">
        <v>5.25</v>
      </c>
      <c r="C88" s="112">
        <v>8.07</v>
      </c>
      <c r="D88" s="112">
        <v>14</v>
      </c>
      <c r="E88" s="112">
        <v>9.65</v>
      </c>
      <c r="F88" s="112">
        <v>5.59</v>
      </c>
      <c r="G88" s="112">
        <v>104.53</v>
      </c>
      <c r="H88" s="112">
        <v>30.39</v>
      </c>
      <c r="I88" s="112">
        <v>9.2200000000000006</v>
      </c>
      <c r="J88" s="112">
        <v>0.23</v>
      </c>
      <c r="K88" s="112">
        <v>55.67</v>
      </c>
      <c r="L88" s="112">
        <v>25.29</v>
      </c>
      <c r="M88" s="112">
        <v>62.49</v>
      </c>
      <c r="N88" s="112">
        <v>1.7</v>
      </c>
      <c r="O88" s="112">
        <v>0</v>
      </c>
      <c r="P88" s="112">
        <v>0.84</v>
      </c>
      <c r="Q88" s="112">
        <v>4.3099999999999996</v>
      </c>
    </row>
    <row r="89" spans="1:17" customFormat="1">
      <c r="A89" s="80">
        <v>45604.84375</v>
      </c>
      <c r="B89" s="112">
        <v>5.25</v>
      </c>
      <c r="C89" s="112">
        <v>8.07</v>
      </c>
      <c r="D89" s="112">
        <v>13.99</v>
      </c>
      <c r="E89" s="112">
        <v>9.92</v>
      </c>
      <c r="F89" s="112">
        <v>5.82</v>
      </c>
      <c r="G89" s="112">
        <v>104.53</v>
      </c>
      <c r="H89" s="112">
        <v>30.39</v>
      </c>
      <c r="I89" s="112">
        <v>9.3699999999999992</v>
      </c>
      <c r="J89" s="112">
        <v>0.12</v>
      </c>
      <c r="K89" s="112">
        <v>43.99</v>
      </c>
      <c r="L89" s="112">
        <v>24.92</v>
      </c>
      <c r="M89" s="112">
        <v>64.66</v>
      </c>
      <c r="N89" s="112">
        <v>1.6</v>
      </c>
      <c r="O89" s="112">
        <v>0</v>
      </c>
      <c r="P89" s="112">
        <v>0.85</v>
      </c>
      <c r="Q89" s="112">
        <v>4.29</v>
      </c>
    </row>
    <row r="90" spans="1:17" customFormat="1">
      <c r="A90" s="80">
        <v>45604.854166666664</v>
      </c>
      <c r="B90" s="112">
        <v>5.24</v>
      </c>
      <c r="C90" s="112">
        <v>8.11</v>
      </c>
      <c r="D90" s="112">
        <v>14.01</v>
      </c>
      <c r="E90" s="112">
        <v>9.66</v>
      </c>
      <c r="F90" s="112">
        <v>5.82</v>
      </c>
      <c r="G90" s="112">
        <v>104.53</v>
      </c>
      <c r="H90" s="112">
        <v>30.39</v>
      </c>
      <c r="I90" s="112">
        <v>9.42</v>
      </c>
      <c r="J90" s="112">
        <v>0.21</v>
      </c>
      <c r="K90" s="112">
        <v>167.02</v>
      </c>
      <c r="L90" s="112">
        <v>24.47</v>
      </c>
      <c r="M90" s="112">
        <v>68.790000000000006</v>
      </c>
      <c r="N90" s="112">
        <v>2.1</v>
      </c>
      <c r="O90" s="112">
        <v>0</v>
      </c>
      <c r="P90" s="112">
        <v>0.86</v>
      </c>
      <c r="Q90" s="112">
        <v>4.29</v>
      </c>
    </row>
    <row r="91" spans="1:17" customFormat="1">
      <c r="A91" s="80">
        <v>45604.864583333336</v>
      </c>
      <c r="B91" s="112">
        <v>5.26</v>
      </c>
      <c r="C91" s="112">
        <v>8.06</v>
      </c>
      <c r="D91" s="112">
        <v>13.99</v>
      </c>
      <c r="E91" s="112">
        <v>9.5299999999999994</v>
      </c>
      <c r="F91" s="112">
        <v>5.68</v>
      </c>
      <c r="G91" s="112">
        <v>98.4</v>
      </c>
      <c r="H91" s="112">
        <v>32.520000000000003</v>
      </c>
      <c r="I91" s="112">
        <v>9.5</v>
      </c>
      <c r="J91" s="112">
        <v>0.18</v>
      </c>
      <c r="K91" s="112">
        <v>173.46</v>
      </c>
      <c r="L91" s="112">
        <v>24</v>
      </c>
      <c r="M91" s="112">
        <v>71.27</v>
      </c>
      <c r="N91" s="112">
        <v>1.9</v>
      </c>
      <c r="O91" s="112">
        <v>0</v>
      </c>
      <c r="P91" s="112">
        <v>0.86</v>
      </c>
      <c r="Q91" s="112">
        <v>4.29</v>
      </c>
    </row>
    <row r="92" spans="1:17" customFormat="1">
      <c r="A92" s="80">
        <v>45604.875</v>
      </c>
      <c r="B92" s="112">
        <v>5.25</v>
      </c>
      <c r="C92" s="112">
        <v>8.07</v>
      </c>
      <c r="D92" s="112">
        <v>14</v>
      </c>
      <c r="E92" s="112">
        <v>9.73</v>
      </c>
      <c r="F92" s="112">
        <v>5.45</v>
      </c>
      <c r="G92" s="112">
        <v>98.26</v>
      </c>
      <c r="H92" s="112">
        <v>32.520000000000003</v>
      </c>
      <c r="I92" s="112">
        <v>9.57</v>
      </c>
      <c r="J92" s="112">
        <v>0.06</v>
      </c>
      <c r="K92" s="112">
        <v>144.31</v>
      </c>
      <c r="L92" s="112">
        <v>23.74</v>
      </c>
      <c r="M92" s="112">
        <v>71.790000000000006</v>
      </c>
      <c r="N92" s="112">
        <v>1.7</v>
      </c>
      <c r="O92" s="112">
        <v>0</v>
      </c>
      <c r="P92" s="112">
        <v>0.87</v>
      </c>
      <c r="Q92" s="112">
        <v>4.3</v>
      </c>
    </row>
    <row r="93" spans="1:17" customFormat="1">
      <c r="A93" s="80">
        <v>45604.885416666664</v>
      </c>
      <c r="B93" s="112">
        <v>5.24</v>
      </c>
      <c r="C93" s="112">
        <v>8.09</v>
      </c>
      <c r="D93" s="112">
        <v>13.99</v>
      </c>
      <c r="E93" s="112">
        <v>9.7100000000000009</v>
      </c>
      <c r="F93" s="112">
        <v>5.84</v>
      </c>
      <c r="G93" s="112">
        <v>98.26</v>
      </c>
      <c r="H93" s="112">
        <v>32.520000000000003</v>
      </c>
      <c r="I93" s="112">
        <v>9.6199999999999992</v>
      </c>
      <c r="J93" s="112">
        <v>0.11</v>
      </c>
      <c r="K93" s="112">
        <v>139.22</v>
      </c>
      <c r="L93" s="112">
        <v>23.81</v>
      </c>
      <c r="M93" s="112">
        <v>71.25</v>
      </c>
      <c r="N93" s="112">
        <v>1.6</v>
      </c>
      <c r="O93" s="112">
        <v>0</v>
      </c>
      <c r="P93" s="112">
        <v>0.86</v>
      </c>
      <c r="Q93" s="112">
        <v>4.3</v>
      </c>
    </row>
    <row r="94" spans="1:17" customFormat="1">
      <c r="A94" s="80">
        <v>45604.895833333336</v>
      </c>
      <c r="B94" s="112">
        <v>5.26</v>
      </c>
      <c r="C94" s="112">
        <v>8.07</v>
      </c>
      <c r="D94" s="112">
        <v>14.01</v>
      </c>
      <c r="E94" s="112">
        <v>9.9499999999999993</v>
      </c>
      <c r="F94" s="112">
        <v>5.67</v>
      </c>
      <c r="G94" s="112">
        <v>98.26</v>
      </c>
      <c r="H94" s="112">
        <v>32.520000000000003</v>
      </c>
      <c r="I94" s="112">
        <v>9.64</v>
      </c>
      <c r="J94" s="112">
        <v>0.2</v>
      </c>
      <c r="K94" s="112">
        <v>182.87</v>
      </c>
      <c r="L94" s="112">
        <v>23.43</v>
      </c>
      <c r="M94" s="112">
        <v>75.95</v>
      </c>
      <c r="N94" s="112">
        <v>1.8</v>
      </c>
      <c r="O94" s="112">
        <v>0</v>
      </c>
      <c r="P94" s="112">
        <v>0.85</v>
      </c>
      <c r="Q94" s="112">
        <v>4.3099999999999996</v>
      </c>
    </row>
    <row r="95" spans="1:17" customFormat="1">
      <c r="A95" s="80">
        <v>45604.90625</v>
      </c>
      <c r="B95" s="112">
        <v>5.24</v>
      </c>
      <c r="C95" s="112">
        <v>8.09</v>
      </c>
      <c r="D95" s="112">
        <v>14</v>
      </c>
      <c r="E95" s="112">
        <v>9.9700000000000006</v>
      </c>
      <c r="F95" s="112">
        <v>5.68</v>
      </c>
      <c r="G95" s="112">
        <v>100.67</v>
      </c>
      <c r="H95" s="112">
        <v>31.62</v>
      </c>
      <c r="I95" s="112">
        <v>9.64</v>
      </c>
      <c r="J95" s="112">
        <v>0.17</v>
      </c>
      <c r="K95" s="112">
        <v>215.4</v>
      </c>
      <c r="L95" s="112">
        <v>22.91</v>
      </c>
      <c r="M95" s="112">
        <v>82.52</v>
      </c>
      <c r="N95" s="112">
        <v>1.9</v>
      </c>
      <c r="O95" s="112">
        <v>0</v>
      </c>
      <c r="P95" s="112">
        <v>0.86</v>
      </c>
      <c r="Q95" s="112">
        <v>4.3099999999999996</v>
      </c>
    </row>
    <row r="96" spans="1:17" customFormat="1">
      <c r="A96" s="80">
        <v>45604.916666666664</v>
      </c>
      <c r="B96" s="112">
        <v>5.22</v>
      </c>
      <c r="C96" s="112">
        <v>8.1</v>
      </c>
      <c r="D96" s="112">
        <v>13.99</v>
      </c>
      <c r="E96" s="112">
        <v>9.91</v>
      </c>
      <c r="F96" s="112">
        <v>5.84</v>
      </c>
      <c r="G96" s="112">
        <v>100.72</v>
      </c>
      <c r="H96" s="112">
        <v>31.62</v>
      </c>
      <c r="I96" s="112">
        <v>9.65</v>
      </c>
      <c r="J96" s="112">
        <v>0.16</v>
      </c>
      <c r="K96" s="112">
        <v>179.19</v>
      </c>
      <c r="L96" s="112">
        <v>22.79</v>
      </c>
      <c r="M96" s="112">
        <v>82.7</v>
      </c>
      <c r="N96" s="112">
        <v>1.7</v>
      </c>
      <c r="O96" s="112">
        <v>0</v>
      </c>
      <c r="P96" s="112">
        <v>0.85</v>
      </c>
      <c r="Q96" s="112">
        <v>4.3</v>
      </c>
    </row>
    <row r="97" spans="1:22" customFormat="1">
      <c r="A97" s="80">
        <v>45604.927083333336</v>
      </c>
      <c r="B97" s="112">
        <v>5.22</v>
      </c>
      <c r="C97" s="112">
        <v>8.09</v>
      </c>
      <c r="D97" s="112">
        <v>13.98</v>
      </c>
      <c r="E97" s="112">
        <v>10.43</v>
      </c>
      <c r="F97" s="112">
        <v>5.55</v>
      </c>
      <c r="G97" s="112">
        <v>100.72</v>
      </c>
      <c r="H97" s="112">
        <v>31.62</v>
      </c>
      <c r="I97" s="112">
        <v>9.64</v>
      </c>
      <c r="J97" s="112">
        <v>0.21</v>
      </c>
      <c r="K97" s="112">
        <v>196.87</v>
      </c>
      <c r="L97" s="112">
        <v>22.53</v>
      </c>
      <c r="M97" s="112">
        <v>85.28</v>
      </c>
      <c r="N97" s="112">
        <v>1.9</v>
      </c>
      <c r="O97" s="112">
        <v>0</v>
      </c>
      <c r="P97" s="112">
        <v>0.85</v>
      </c>
      <c r="Q97" s="112">
        <v>4.29</v>
      </c>
    </row>
    <row r="98" spans="1:22" customFormat="1">
      <c r="A98" s="80">
        <v>45604.9375</v>
      </c>
      <c r="B98" s="112">
        <v>5.2</v>
      </c>
      <c r="C98" s="112">
        <v>8.09</v>
      </c>
      <c r="D98" s="112">
        <v>13.97</v>
      </c>
      <c r="E98" s="112">
        <v>9.9</v>
      </c>
      <c r="F98" s="112">
        <v>5.74</v>
      </c>
      <c r="G98" s="112">
        <v>100.72</v>
      </c>
      <c r="H98" s="112">
        <v>31.62</v>
      </c>
      <c r="I98" s="112">
        <v>9.67</v>
      </c>
      <c r="J98" s="112">
        <v>0.15</v>
      </c>
      <c r="K98" s="112">
        <v>199.75</v>
      </c>
      <c r="L98" s="112">
        <v>22.13</v>
      </c>
      <c r="M98" s="112">
        <v>87.38</v>
      </c>
      <c r="N98" s="112">
        <v>1.7</v>
      </c>
      <c r="O98" s="112">
        <v>0</v>
      </c>
      <c r="P98" s="112">
        <v>0.86</v>
      </c>
      <c r="Q98" s="112">
        <v>4.3</v>
      </c>
    </row>
    <row r="99" spans="1:22" customFormat="1">
      <c r="A99" s="80">
        <v>45604.947916666664</v>
      </c>
      <c r="B99" s="112">
        <v>5.2</v>
      </c>
      <c r="C99" s="112">
        <v>8.09</v>
      </c>
      <c r="D99" s="112">
        <v>13.97</v>
      </c>
      <c r="E99" s="112">
        <v>9.9700000000000006</v>
      </c>
      <c r="F99" s="112">
        <v>5.91</v>
      </c>
      <c r="G99" s="112">
        <v>98.81</v>
      </c>
      <c r="H99" s="112">
        <v>30.64</v>
      </c>
      <c r="I99" s="112">
        <v>9.69</v>
      </c>
      <c r="J99" s="112">
        <v>0.21</v>
      </c>
      <c r="K99" s="112">
        <v>185.29</v>
      </c>
      <c r="L99" s="112">
        <v>22.08</v>
      </c>
      <c r="M99" s="112">
        <v>86.7</v>
      </c>
      <c r="N99" s="112">
        <v>1.5</v>
      </c>
      <c r="O99" s="112">
        <v>0</v>
      </c>
      <c r="P99" s="112">
        <v>0.85</v>
      </c>
      <c r="Q99" s="112">
        <v>4.3</v>
      </c>
    </row>
    <row r="100" spans="1:22" customFormat="1">
      <c r="A100" s="80">
        <v>45604.958333333336</v>
      </c>
      <c r="B100" s="112">
        <v>5.23</v>
      </c>
      <c r="C100" s="112">
        <v>8.07</v>
      </c>
      <c r="D100" s="112">
        <v>13.98</v>
      </c>
      <c r="E100" s="112">
        <v>10.18</v>
      </c>
      <c r="F100" s="112">
        <v>5.71</v>
      </c>
      <c r="G100" s="112">
        <v>98.77</v>
      </c>
      <c r="H100" s="112">
        <v>30.64</v>
      </c>
      <c r="I100" s="112">
        <v>9.7100000000000009</v>
      </c>
      <c r="J100" s="112">
        <v>0.16</v>
      </c>
      <c r="K100" s="112">
        <v>192.28</v>
      </c>
      <c r="L100" s="112">
        <v>21.96</v>
      </c>
      <c r="M100" s="112">
        <v>86.38</v>
      </c>
      <c r="N100" s="112">
        <v>1.6</v>
      </c>
      <c r="O100" s="112">
        <v>0</v>
      </c>
      <c r="P100" s="112">
        <v>0.85</v>
      </c>
      <c r="Q100" s="112">
        <v>4.3</v>
      </c>
    </row>
    <row r="101" spans="1:22" customFormat="1">
      <c r="A101" s="80">
        <v>45604.96875</v>
      </c>
      <c r="B101" s="112">
        <v>5.23</v>
      </c>
      <c r="C101" s="112">
        <v>8.07</v>
      </c>
      <c r="D101" s="112">
        <v>13.97</v>
      </c>
      <c r="E101" s="112">
        <v>10</v>
      </c>
      <c r="F101" s="112">
        <v>5.84</v>
      </c>
      <c r="G101" s="112">
        <v>98.77</v>
      </c>
      <c r="H101" s="112">
        <v>30.64</v>
      </c>
      <c r="I101" s="112">
        <v>9.91</v>
      </c>
      <c r="J101" s="112">
        <v>0.15</v>
      </c>
      <c r="K101" s="112">
        <v>198.94</v>
      </c>
      <c r="L101" s="112">
        <v>22.15</v>
      </c>
      <c r="M101" s="112">
        <v>81.69</v>
      </c>
      <c r="N101" s="112">
        <v>1.4</v>
      </c>
      <c r="O101" s="112">
        <v>0</v>
      </c>
      <c r="P101" s="112">
        <v>0.86</v>
      </c>
      <c r="Q101" s="112">
        <v>4.3</v>
      </c>
    </row>
    <row r="102" spans="1:22" customFormat="1">
      <c r="A102" s="80">
        <v>45604.979166666664</v>
      </c>
      <c r="B102" s="112">
        <v>5.23</v>
      </c>
      <c r="C102" s="112">
        <v>8.0399999999999991</v>
      </c>
      <c r="D102" s="112">
        <v>13.96</v>
      </c>
      <c r="E102" s="112">
        <v>10.31</v>
      </c>
      <c r="F102" s="112">
        <v>5.78</v>
      </c>
      <c r="G102" s="112">
        <v>98.77</v>
      </c>
      <c r="H102" s="112">
        <v>30.64</v>
      </c>
      <c r="I102" s="112">
        <v>10.130000000000001</v>
      </c>
      <c r="J102" s="112">
        <v>0.19</v>
      </c>
      <c r="K102" s="112">
        <v>217.79</v>
      </c>
      <c r="L102" s="112">
        <v>22.08</v>
      </c>
      <c r="M102" s="112">
        <v>85.35</v>
      </c>
      <c r="N102" s="112">
        <v>1.7</v>
      </c>
      <c r="O102" s="112">
        <v>0</v>
      </c>
      <c r="P102" s="112">
        <v>0.85</v>
      </c>
      <c r="Q102" s="112">
        <v>4.29</v>
      </c>
    </row>
    <row r="103" spans="1:22" customFormat="1">
      <c r="A103" s="80">
        <v>45604.989583333336</v>
      </c>
      <c r="B103" s="112">
        <v>5.22</v>
      </c>
      <c r="C103" s="112">
        <v>8.06</v>
      </c>
      <c r="D103" s="112">
        <v>13.97</v>
      </c>
      <c r="E103" s="112">
        <v>10.26</v>
      </c>
      <c r="F103" s="112">
        <v>5.48</v>
      </c>
      <c r="G103" s="112">
        <v>91.4</v>
      </c>
      <c r="H103" s="112">
        <v>31.6</v>
      </c>
      <c r="I103" s="112">
        <v>10.16</v>
      </c>
      <c r="J103" s="112">
        <v>0.19</v>
      </c>
      <c r="K103" s="112">
        <v>233.74</v>
      </c>
      <c r="L103" s="112">
        <v>21.82</v>
      </c>
      <c r="M103" s="112">
        <v>86.96</v>
      </c>
      <c r="N103" s="112">
        <v>1.7</v>
      </c>
      <c r="O103" s="112">
        <v>0</v>
      </c>
      <c r="P103" s="112">
        <v>0.86</v>
      </c>
      <c r="Q103" s="112">
        <v>4.28</v>
      </c>
    </row>
    <row r="104" spans="1:22" customFormat="1">
      <c r="A104" s="80">
        <v>45605</v>
      </c>
      <c r="B104" s="112">
        <v>5.23</v>
      </c>
      <c r="C104" s="112">
        <v>8.06</v>
      </c>
      <c r="D104" s="112">
        <v>13.97</v>
      </c>
      <c r="E104" s="112">
        <v>10.029999999999999</v>
      </c>
      <c r="F104" s="112">
        <v>5.7</v>
      </c>
      <c r="G104" s="112">
        <v>91.23</v>
      </c>
      <c r="H104" s="112">
        <v>31.6</v>
      </c>
      <c r="I104" s="112">
        <v>10.119999999999999</v>
      </c>
      <c r="J104" s="112">
        <v>0.04</v>
      </c>
      <c r="K104" s="112">
        <v>111.3</v>
      </c>
      <c r="L104" s="112">
        <v>21.64</v>
      </c>
      <c r="M104" s="112">
        <v>86.39</v>
      </c>
      <c r="N104" s="112">
        <v>1.6</v>
      </c>
      <c r="O104" s="112">
        <v>0</v>
      </c>
      <c r="P104" s="112">
        <v>0.85</v>
      </c>
      <c r="Q104" s="112">
        <v>4.29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5.19</v>
      </c>
      <c r="C106" s="183">
        <f>MIN(C9:C104)</f>
        <v>8.0399999999999991</v>
      </c>
      <c r="D106" s="183">
        <f t="shared" ref="D106:Q106" si="0">MIN(D9:D104)</f>
        <v>13.95</v>
      </c>
      <c r="E106" s="183">
        <f t="shared" si="0"/>
        <v>7.53</v>
      </c>
      <c r="F106" s="183">
        <f t="shared" si="0"/>
        <v>5.45</v>
      </c>
      <c r="G106" s="183">
        <f t="shared" si="0"/>
        <v>49.52</v>
      </c>
      <c r="H106" s="183">
        <f t="shared" si="0"/>
        <v>22.9</v>
      </c>
      <c r="I106" s="183">
        <f t="shared" si="0"/>
        <v>7.3</v>
      </c>
      <c r="J106" s="183">
        <f t="shared" si="0"/>
        <v>0.02</v>
      </c>
      <c r="K106" s="183">
        <f t="shared" si="0"/>
        <v>11.07</v>
      </c>
      <c r="L106" s="183">
        <f t="shared" si="0"/>
        <v>19.670000000000002</v>
      </c>
      <c r="M106" s="183">
        <f t="shared" si="0"/>
        <v>36.94</v>
      </c>
      <c r="N106" s="183">
        <f t="shared" si="0"/>
        <v>1.2</v>
      </c>
      <c r="O106" s="183">
        <f t="shared" si="0"/>
        <v>0</v>
      </c>
      <c r="P106" s="183">
        <f t="shared" si="0"/>
        <v>0.61</v>
      </c>
      <c r="Q106" s="183">
        <f t="shared" si="0"/>
        <v>4.28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5.26</v>
      </c>
      <c r="C107" s="184">
        <f t="shared" ref="C107:Q107" si="1">MAX(C9:C104)</f>
        <v>8.11</v>
      </c>
      <c r="D107" s="184">
        <f t="shared" si="1"/>
        <v>14.01</v>
      </c>
      <c r="E107" s="184">
        <f t="shared" si="1"/>
        <v>18.399999999999999</v>
      </c>
      <c r="F107" s="184">
        <f t="shared" si="1"/>
        <v>23.1</v>
      </c>
      <c r="G107" s="184">
        <f t="shared" si="1"/>
        <v>111.12</v>
      </c>
      <c r="H107" s="184">
        <f t="shared" si="1"/>
        <v>40.65</v>
      </c>
      <c r="I107" s="184">
        <f t="shared" si="1"/>
        <v>12.67</v>
      </c>
      <c r="J107" s="184">
        <f t="shared" si="1"/>
        <v>0.86</v>
      </c>
      <c r="K107" s="184">
        <f t="shared" si="1"/>
        <v>329.16</v>
      </c>
      <c r="L107" s="184">
        <f t="shared" si="1"/>
        <v>31.18</v>
      </c>
      <c r="M107" s="184">
        <f t="shared" si="1"/>
        <v>96.41</v>
      </c>
      <c r="N107" s="184">
        <f t="shared" si="1"/>
        <v>600.70000000000005</v>
      </c>
      <c r="O107" s="184">
        <f t="shared" si="1"/>
        <v>0</v>
      </c>
      <c r="P107" s="184">
        <f t="shared" si="1"/>
        <v>0.94</v>
      </c>
      <c r="Q107" s="184">
        <f t="shared" si="1"/>
        <v>4.34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5.2296875000000034</v>
      </c>
      <c r="C108" s="183">
        <f t="shared" ref="C108:Q108" si="2">AVERAGE(C9:C104)</f>
        <v>8.0739583333333336</v>
      </c>
      <c r="D108" s="183">
        <f t="shared" si="2"/>
        <v>13.980000000000013</v>
      </c>
      <c r="E108" s="183">
        <f t="shared" si="2"/>
        <v>9.7401041666666615</v>
      </c>
      <c r="F108" s="183">
        <f t="shared" si="2"/>
        <v>7.5131250000000023</v>
      </c>
      <c r="G108" s="183">
        <f t="shared" si="2"/>
        <v>82.919375000000045</v>
      </c>
      <c r="H108" s="183">
        <f t="shared" si="2"/>
        <v>31.586666666666655</v>
      </c>
      <c r="I108" s="183">
        <f t="shared" si="2"/>
        <v>10.111562499999998</v>
      </c>
      <c r="J108" s="183">
        <f t="shared" si="2"/>
        <v>0.27468750000000003</v>
      </c>
      <c r="K108" s="183">
        <f t="shared" si="2"/>
        <v>122.8691666666666</v>
      </c>
      <c r="L108" s="183">
        <f t="shared" si="2"/>
        <v>24.898229166666653</v>
      </c>
      <c r="M108" s="183">
        <f t="shared" si="2"/>
        <v>70.215416666666684</v>
      </c>
      <c r="N108" s="183">
        <f t="shared" si="2"/>
        <v>118.60000000000012</v>
      </c>
      <c r="O108" s="183">
        <f t="shared" si="2"/>
        <v>0</v>
      </c>
      <c r="P108" s="183">
        <f t="shared" si="2"/>
        <v>0.80052083333333268</v>
      </c>
      <c r="Q108" s="183">
        <f t="shared" si="2"/>
        <v>4.3004166666666714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1.7134337638665502E-2</v>
      </c>
      <c r="C109" s="183">
        <f t="shared" ref="C109:Q109" si="3">STDEV(C9:C104)</f>
        <v>1.6888436820665403E-2</v>
      </c>
      <c r="D109" s="183">
        <f t="shared" si="3"/>
        <v>1.368825851058589E-2</v>
      </c>
      <c r="E109" s="183">
        <f t="shared" si="3"/>
        <v>1.5849924421481563</v>
      </c>
      <c r="F109" s="183">
        <f t="shared" si="3"/>
        <v>3.4172224216382712</v>
      </c>
      <c r="G109" s="183">
        <f t="shared" si="3"/>
        <v>18.159277102032785</v>
      </c>
      <c r="H109" s="183">
        <f t="shared" si="3"/>
        <v>4.8101271821826632</v>
      </c>
      <c r="I109" s="183">
        <f t="shared" si="3"/>
        <v>1.5084877949892803</v>
      </c>
      <c r="J109" s="183">
        <f t="shared" si="3"/>
        <v>0.17103987300595963</v>
      </c>
      <c r="K109" s="183">
        <f t="shared" si="3"/>
        <v>71.557285725150905</v>
      </c>
      <c r="L109" s="183">
        <f t="shared" si="3"/>
        <v>3.9088372196969834</v>
      </c>
      <c r="M109" s="183">
        <f t="shared" si="3"/>
        <v>20.239251334014291</v>
      </c>
      <c r="N109" s="183">
        <f t="shared" si="3"/>
        <v>184.75182329418627</v>
      </c>
      <c r="O109" s="183">
        <f t="shared" si="3"/>
        <v>0</v>
      </c>
      <c r="P109" s="183">
        <f t="shared" si="3"/>
        <v>9.4304878387707583E-2</v>
      </c>
      <c r="Q109" s="183">
        <f t="shared" si="3"/>
        <v>1.0554786059979051E-2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45605.010416666664</v>
      </c>
      <c r="B9" s="112">
        <v>5.31</v>
      </c>
      <c r="C9" s="112">
        <v>8.1</v>
      </c>
      <c r="D9" s="112">
        <v>14.06</v>
      </c>
      <c r="E9" s="112">
        <v>9.91</v>
      </c>
      <c r="F9" s="112">
        <v>5.87</v>
      </c>
      <c r="G9" s="112">
        <v>91.23</v>
      </c>
      <c r="H9" s="112">
        <v>31.6</v>
      </c>
      <c r="I9" s="112">
        <v>10.06</v>
      </c>
      <c r="J9" s="112">
        <v>0.09</v>
      </c>
      <c r="K9" s="112">
        <v>215.21</v>
      </c>
      <c r="L9" s="112">
        <v>21.89</v>
      </c>
      <c r="M9" s="112">
        <v>83.51</v>
      </c>
      <c r="N9" s="112">
        <v>1.4</v>
      </c>
      <c r="O9" s="112">
        <v>0</v>
      </c>
      <c r="P9" s="112">
        <v>0.84</v>
      </c>
      <c r="Q9" s="112">
        <v>4.3</v>
      </c>
    </row>
    <row r="10" spans="1:21" customFormat="1">
      <c r="A10" s="80">
        <v>45605.020833333336</v>
      </c>
      <c r="B10" s="112">
        <v>5.3</v>
      </c>
      <c r="C10" s="112">
        <v>8.08</v>
      </c>
      <c r="D10" s="112">
        <v>14.04</v>
      </c>
      <c r="E10" s="112">
        <v>10.38</v>
      </c>
      <c r="F10" s="112">
        <v>5.64</v>
      </c>
      <c r="G10" s="112">
        <v>91.23</v>
      </c>
      <c r="H10" s="112">
        <v>31.6</v>
      </c>
      <c r="I10" s="112">
        <v>9.9700000000000006</v>
      </c>
      <c r="J10" s="112">
        <v>0.12</v>
      </c>
      <c r="K10" s="112">
        <v>213.78</v>
      </c>
      <c r="L10" s="112">
        <v>21.87</v>
      </c>
      <c r="M10" s="112">
        <v>84.01</v>
      </c>
      <c r="N10" s="112">
        <v>1.4</v>
      </c>
      <c r="O10" s="112">
        <v>0</v>
      </c>
      <c r="P10" s="112">
        <v>0.84</v>
      </c>
      <c r="Q10" s="112">
        <v>4.32</v>
      </c>
    </row>
    <row r="11" spans="1:21" customFormat="1">
      <c r="A11" s="80">
        <v>45605.03125</v>
      </c>
      <c r="B11" s="112">
        <v>5.3</v>
      </c>
      <c r="C11" s="112">
        <v>8.07</v>
      </c>
      <c r="D11" s="112">
        <v>14.03</v>
      </c>
      <c r="E11" s="112">
        <v>10.050000000000001</v>
      </c>
      <c r="F11" s="112">
        <v>5.58</v>
      </c>
      <c r="G11" s="112">
        <v>86.31</v>
      </c>
      <c r="H11" s="112">
        <v>30.31</v>
      </c>
      <c r="I11" s="112">
        <v>9.94</v>
      </c>
      <c r="J11" s="112">
        <v>0.12</v>
      </c>
      <c r="K11" s="112">
        <v>231.56</v>
      </c>
      <c r="L11" s="112">
        <v>21.66</v>
      </c>
      <c r="M11" s="112">
        <v>85.99</v>
      </c>
      <c r="N11" s="112">
        <v>1.7</v>
      </c>
      <c r="O11" s="112">
        <v>0</v>
      </c>
      <c r="P11" s="112">
        <v>0.84</v>
      </c>
      <c r="Q11" s="112">
        <v>4.3099999999999996</v>
      </c>
    </row>
    <row r="12" spans="1:21" customFormat="1">
      <c r="A12" s="80">
        <v>45605.041666666664</v>
      </c>
      <c r="B12" s="112">
        <v>5.31</v>
      </c>
      <c r="C12" s="112">
        <v>8.06</v>
      </c>
      <c r="D12" s="112">
        <v>14.04</v>
      </c>
      <c r="E12" s="112">
        <v>10.27</v>
      </c>
      <c r="F12" s="112">
        <v>5.67</v>
      </c>
      <c r="G12" s="112">
        <v>86.2</v>
      </c>
      <c r="H12" s="112">
        <v>30.31</v>
      </c>
      <c r="I12" s="112">
        <v>9.91</v>
      </c>
      <c r="J12" s="112">
        <v>0.11</v>
      </c>
      <c r="K12" s="112">
        <v>132.13</v>
      </c>
      <c r="L12" s="112">
        <v>21.61</v>
      </c>
      <c r="M12" s="112">
        <v>88.46</v>
      </c>
      <c r="N12" s="112">
        <v>1.5</v>
      </c>
      <c r="O12" s="112">
        <v>0</v>
      </c>
      <c r="P12" s="112">
        <v>0.83</v>
      </c>
      <c r="Q12" s="112">
        <v>4.3099999999999996</v>
      </c>
    </row>
    <row r="13" spans="1:21" customFormat="1">
      <c r="A13" s="80">
        <v>45605.052083333336</v>
      </c>
      <c r="B13" s="112">
        <v>5.32</v>
      </c>
      <c r="C13" s="112">
        <v>8.0399999999999991</v>
      </c>
      <c r="D13" s="112">
        <v>14.03</v>
      </c>
      <c r="E13" s="112">
        <v>10.72</v>
      </c>
      <c r="F13" s="112">
        <v>5.56</v>
      </c>
      <c r="G13" s="112">
        <v>86.2</v>
      </c>
      <c r="H13" s="112">
        <v>30.31</v>
      </c>
      <c r="I13" s="112">
        <v>9.84</v>
      </c>
      <c r="J13" s="112">
        <v>0.1</v>
      </c>
      <c r="K13" s="112">
        <v>206.35</v>
      </c>
      <c r="L13" s="112">
        <v>21.58</v>
      </c>
      <c r="M13" s="112">
        <v>87.93</v>
      </c>
      <c r="N13" s="112">
        <v>1.5</v>
      </c>
      <c r="O13" s="112">
        <v>0</v>
      </c>
      <c r="P13" s="112">
        <v>0.84</v>
      </c>
      <c r="Q13" s="112">
        <v>4.3099999999999996</v>
      </c>
    </row>
    <row r="14" spans="1:21" customFormat="1">
      <c r="A14" s="80">
        <v>45605.0625</v>
      </c>
      <c r="B14" s="112">
        <v>5.32</v>
      </c>
      <c r="C14" s="112">
        <v>8.08</v>
      </c>
      <c r="D14" s="112">
        <v>14.05</v>
      </c>
      <c r="E14" s="112">
        <v>10.06</v>
      </c>
      <c r="F14" s="112">
        <v>5.75</v>
      </c>
      <c r="G14" s="112">
        <v>86.2</v>
      </c>
      <c r="H14" s="112">
        <v>30.31</v>
      </c>
      <c r="I14" s="112">
        <v>9.81</v>
      </c>
      <c r="J14" s="112">
        <v>0.15</v>
      </c>
      <c r="K14" s="112">
        <v>236.08</v>
      </c>
      <c r="L14" s="112">
        <v>21.47</v>
      </c>
      <c r="M14" s="112">
        <v>90.38</v>
      </c>
      <c r="N14" s="112">
        <v>1.5</v>
      </c>
      <c r="O14" s="112">
        <v>0</v>
      </c>
      <c r="P14" s="112">
        <v>0.83</v>
      </c>
      <c r="Q14" s="112">
        <v>4.3</v>
      </c>
    </row>
    <row r="15" spans="1:21" customFormat="1">
      <c r="A15" s="80">
        <v>45605.072916666664</v>
      </c>
      <c r="B15" s="112">
        <v>5.31</v>
      </c>
      <c r="C15" s="112">
        <v>8.07</v>
      </c>
      <c r="D15" s="112">
        <v>14.04</v>
      </c>
      <c r="E15" s="112">
        <v>10.29</v>
      </c>
      <c r="F15" s="112">
        <v>5.61</v>
      </c>
      <c r="G15" s="112">
        <v>85.17</v>
      </c>
      <c r="H15" s="112">
        <v>32.06</v>
      </c>
      <c r="I15" s="112">
        <v>9.7799999999999994</v>
      </c>
      <c r="J15" s="112">
        <v>0.11</v>
      </c>
      <c r="K15" s="112">
        <v>209.4</v>
      </c>
      <c r="L15" s="112">
        <v>21.34</v>
      </c>
      <c r="M15" s="112">
        <v>92.74</v>
      </c>
      <c r="N15" s="112">
        <v>1.6</v>
      </c>
      <c r="O15" s="112">
        <v>0</v>
      </c>
      <c r="P15" s="112">
        <v>0.83</v>
      </c>
      <c r="Q15" s="112">
        <v>4.29</v>
      </c>
    </row>
    <row r="16" spans="1:21" customFormat="1">
      <c r="A16" s="80">
        <v>45605.083333333336</v>
      </c>
      <c r="B16" s="112">
        <v>5.31</v>
      </c>
      <c r="C16" s="112">
        <v>8.06</v>
      </c>
      <c r="D16" s="112">
        <v>14.03</v>
      </c>
      <c r="E16" s="112">
        <v>9.8699999999999992</v>
      </c>
      <c r="F16" s="112">
        <v>5.67</v>
      </c>
      <c r="G16" s="112">
        <v>85.15</v>
      </c>
      <c r="H16" s="112">
        <v>32.06</v>
      </c>
      <c r="I16" s="112">
        <v>9.69</v>
      </c>
      <c r="J16" s="112">
        <v>0.13</v>
      </c>
      <c r="K16" s="112">
        <v>225.44</v>
      </c>
      <c r="L16" s="112">
        <v>21.26</v>
      </c>
      <c r="M16" s="112">
        <v>92.13</v>
      </c>
      <c r="N16" s="112">
        <v>1.6</v>
      </c>
      <c r="O16" s="112">
        <v>0</v>
      </c>
      <c r="P16" s="112">
        <v>0.83</v>
      </c>
      <c r="Q16" s="112">
        <v>4.3</v>
      </c>
    </row>
    <row r="17" spans="1:17" customFormat="1">
      <c r="A17" s="80">
        <v>45605.09375</v>
      </c>
      <c r="B17" s="112">
        <v>5.32</v>
      </c>
      <c r="C17" s="112">
        <v>8.07</v>
      </c>
      <c r="D17" s="112">
        <v>14.05</v>
      </c>
      <c r="E17" s="112">
        <v>7.79</v>
      </c>
      <c r="F17" s="112">
        <v>5.63</v>
      </c>
      <c r="G17" s="112">
        <v>85.15</v>
      </c>
      <c r="H17" s="112">
        <v>32.06</v>
      </c>
      <c r="I17" s="112">
        <v>9.6300000000000008</v>
      </c>
      <c r="J17" s="112">
        <v>0.14000000000000001</v>
      </c>
      <c r="K17" s="112">
        <v>246.78</v>
      </c>
      <c r="L17" s="112">
        <v>21.12</v>
      </c>
      <c r="M17" s="112">
        <v>92.86</v>
      </c>
      <c r="N17" s="112">
        <v>1.6</v>
      </c>
      <c r="O17" s="112">
        <v>0</v>
      </c>
      <c r="P17" s="112">
        <v>0.82</v>
      </c>
      <c r="Q17" s="112">
        <v>4.3099999999999996</v>
      </c>
    </row>
    <row r="18" spans="1:17" customFormat="1">
      <c r="A18" s="80">
        <v>45605.104166666664</v>
      </c>
      <c r="B18" s="112">
        <v>5.33</v>
      </c>
      <c r="C18" s="112">
        <v>8.08</v>
      </c>
      <c r="D18" s="112">
        <v>14.06</v>
      </c>
      <c r="E18" s="112">
        <v>9.0399999999999991</v>
      </c>
      <c r="F18" s="112">
        <v>5.59</v>
      </c>
      <c r="G18" s="112">
        <v>85.15</v>
      </c>
      <c r="H18" s="112">
        <v>32.06</v>
      </c>
      <c r="I18" s="112">
        <v>9.51</v>
      </c>
      <c r="J18" s="112">
        <v>0.13</v>
      </c>
      <c r="K18" s="112">
        <v>189.39</v>
      </c>
      <c r="L18" s="112">
        <v>21.07</v>
      </c>
      <c r="M18" s="112">
        <v>92.6</v>
      </c>
      <c r="N18" s="112">
        <v>1.5</v>
      </c>
      <c r="O18" s="112">
        <v>0</v>
      </c>
      <c r="P18" s="112">
        <v>0.82</v>
      </c>
      <c r="Q18" s="112">
        <v>4.3099999999999996</v>
      </c>
    </row>
    <row r="19" spans="1:17" customFormat="1">
      <c r="A19" s="80">
        <v>45605.114583333336</v>
      </c>
      <c r="B19" s="112">
        <v>5.35</v>
      </c>
      <c r="C19" s="112">
        <v>8.08</v>
      </c>
      <c r="D19" s="112">
        <v>14.08</v>
      </c>
      <c r="E19" s="112">
        <v>9.39</v>
      </c>
      <c r="F19" s="112">
        <v>5.33</v>
      </c>
      <c r="G19" s="112">
        <v>79.42</v>
      </c>
      <c r="H19" s="112">
        <v>27.59</v>
      </c>
      <c r="I19" s="112">
        <v>9.43</v>
      </c>
      <c r="J19" s="112">
        <v>0.19</v>
      </c>
      <c r="K19" s="112">
        <v>250.4</v>
      </c>
      <c r="L19" s="112">
        <v>20.97</v>
      </c>
      <c r="M19" s="112">
        <v>93</v>
      </c>
      <c r="N19" s="112">
        <v>1.6</v>
      </c>
      <c r="O19" s="112">
        <v>0</v>
      </c>
      <c r="P19" s="112">
        <v>0.81</v>
      </c>
      <c r="Q19" s="112">
        <v>4.32</v>
      </c>
    </row>
    <row r="20" spans="1:17" customFormat="1">
      <c r="A20" s="80">
        <v>45605.125</v>
      </c>
      <c r="B20" s="112">
        <v>5.34</v>
      </c>
      <c r="C20" s="112">
        <v>8.09</v>
      </c>
      <c r="D20" s="112">
        <v>14.07</v>
      </c>
      <c r="E20" s="112">
        <v>8.8800000000000008</v>
      </c>
      <c r="F20" s="112">
        <v>5.57</v>
      </c>
      <c r="G20" s="112">
        <v>79.290000000000006</v>
      </c>
      <c r="H20" s="112">
        <v>27.59</v>
      </c>
      <c r="I20" s="112">
        <v>9.34</v>
      </c>
      <c r="J20" s="112">
        <v>0.14000000000000001</v>
      </c>
      <c r="K20" s="112">
        <v>231.14</v>
      </c>
      <c r="L20" s="112">
        <v>20.67</v>
      </c>
      <c r="M20" s="112">
        <v>92.39</v>
      </c>
      <c r="N20" s="112">
        <v>1.7</v>
      </c>
      <c r="O20" s="112">
        <v>0</v>
      </c>
      <c r="P20" s="112">
        <v>0.8</v>
      </c>
      <c r="Q20" s="112">
        <v>4.32</v>
      </c>
    </row>
    <row r="21" spans="1:17" customFormat="1">
      <c r="A21" s="80">
        <v>45605.135416666664</v>
      </c>
      <c r="B21" s="112">
        <v>5.31</v>
      </c>
      <c r="C21" s="112">
        <v>8.09</v>
      </c>
      <c r="D21" s="112">
        <v>14.06</v>
      </c>
      <c r="E21" s="112">
        <v>9.35</v>
      </c>
      <c r="F21" s="112">
        <v>5.63</v>
      </c>
      <c r="G21" s="112">
        <v>79.290000000000006</v>
      </c>
      <c r="H21" s="112">
        <v>27.59</v>
      </c>
      <c r="I21" s="112">
        <v>9.2100000000000009</v>
      </c>
      <c r="J21" s="112">
        <v>0.18</v>
      </c>
      <c r="K21" s="112">
        <v>229.93</v>
      </c>
      <c r="L21" s="112">
        <v>20.47</v>
      </c>
      <c r="M21" s="112">
        <v>92.52</v>
      </c>
      <c r="N21" s="112">
        <v>1.7</v>
      </c>
      <c r="O21" s="112">
        <v>0</v>
      </c>
      <c r="P21" s="112">
        <v>0.8</v>
      </c>
      <c r="Q21" s="112">
        <v>4.3099999999999996</v>
      </c>
    </row>
    <row r="22" spans="1:17" customFormat="1">
      <c r="A22" s="80">
        <v>45605.145833333336</v>
      </c>
      <c r="B22" s="112">
        <v>5.33</v>
      </c>
      <c r="C22" s="112">
        <v>8.07</v>
      </c>
      <c r="D22" s="112">
        <v>14.06</v>
      </c>
      <c r="E22" s="112">
        <v>9.14</v>
      </c>
      <c r="F22" s="112">
        <v>5.55</v>
      </c>
      <c r="G22" s="112">
        <v>79.290000000000006</v>
      </c>
      <c r="H22" s="112">
        <v>27.59</v>
      </c>
      <c r="I22" s="112">
        <v>9.15</v>
      </c>
      <c r="J22" s="112">
        <v>7.0000000000000007E-2</v>
      </c>
      <c r="K22" s="112">
        <v>216.34</v>
      </c>
      <c r="L22" s="112">
        <v>20.47</v>
      </c>
      <c r="M22" s="112">
        <v>92.62</v>
      </c>
      <c r="N22" s="112">
        <v>1.5</v>
      </c>
      <c r="O22" s="112">
        <v>0</v>
      </c>
      <c r="P22" s="112">
        <v>0.8</v>
      </c>
      <c r="Q22" s="112">
        <v>4.32</v>
      </c>
    </row>
    <row r="23" spans="1:17" customFormat="1">
      <c r="A23" s="80">
        <v>45605.15625</v>
      </c>
      <c r="B23" s="112">
        <v>5.32</v>
      </c>
      <c r="C23" s="112">
        <v>8.08</v>
      </c>
      <c r="D23" s="112">
        <v>14.06</v>
      </c>
      <c r="E23" s="112">
        <v>9.2200000000000006</v>
      </c>
      <c r="F23" s="112">
        <v>5.59</v>
      </c>
      <c r="G23" s="112">
        <v>77.75</v>
      </c>
      <c r="H23" s="112">
        <v>28.94</v>
      </c>
      <c r="I23" s="112">
        <v>9.1199999999999992</v>
      </c>
      <c r="J23" s="112">
        <v>0.12</v>
      </c>
      <c r="K23" s="112">
        <v>155.56</v>
      </c>
      <c r="L23" s="112">
        <v>20.64</v>
      </c>
      <c r="M23" s="112">
        <v>91.95</v>
      </c>
      <c r="N23" s="112">
        <v>1.3</v>
      </c>
      <c r="O23" s="112">
        <v>0</v>
      </c>
      <c r="P23" s="112">
        <v>0.79</v>
      </c>
      <c r="Q23" s="112">
        <v>4.32</v>
      </c>
    </row>
    <row r="24" spans="1:17" customFormat="1">
      <c r="A24" s="80">
        <v>45605.166666666664</v>
      </c>
      <c r="B24" s="112">
        <v>5.34</v>
      </c>
      <c r="C24" s="112">
        <v>8.07</v>
      </c>
      <c r="D24" s="112">
        <v>14.07</v>
      </c>
      <c r="E24" s="112">
        <v>8.86</v>
      </c>
      <c r="F24" s="112">
        <v>5.5</v>
      </c>
      <c r="G24" s="112">
        <v>77.72</v>
      </c>
      <c r="H24" s="112">
        <v>28.94</v>
      </c>
      <c r="I24" s="112">
        <v>9.08</v>
      </c>
      <c r="J24" s="112">
        <v>0.11</v>
      </c>
      <c r="K24" s="112">
        <v>145.76</v>
      </c>
      <c r="L24" s="112">
        <v>21.02</v>
      </c>
      <c r="M24" s="112">
        <v>89.49</v>
      </c>
      <c r="N24" s="112">
        <v>1.4</v>
      </c>
      <c r="O24" s="112">
        <v>0</v>
      </c>
      <c r="P24" s="112">
        <v>0.79</v>
      </c>
      <c r="Q24" s="112">
        <v>4.3099999999999996</v>
      </c>
    </row>
    <row r="25" spans="1:17" customFormat="1">
      <c r="A25" s="80">
        <v>45605.177083333336</v>
      </c>
      <c r="B25" s="112">
        <v>5.33</v>
      </c>
      <c r="C25" s="112">
        <v>8.1</v>
      </c>
      <c r="D25" s="112">
        <v>14.07</v>
      </c>
      <c r="E25" s="112">
        <v>8.8800000000000008</v>
      </c>
      <c r="F25" s="112">
        <v>5.53</v>
      </c>
      <c r="G25" s="112">
        <v>77.72</v>
      </c>
      <c r="H25" s="112">
        <v>28.94</v>
      </c>
      <c r="I25" s="112">
        <v>9.07</v>
      </c>
      <c r="J25" s="112">
        <v>0.17</v>
      </c>
      <c r="K25" s="112">
        <v>155.57</v>
      </c>
      <c r="L25" s="112">
        <v>21</v>
      </c>
      <c r="M25" s="112">
        <v>90.27</v>
      </c>
      <c r="N25" s="112">
        <v>1.3</v>
      </c>
      <c r="O25" s="112">
        <v>0</v>
      </c>
      <c r="P25" s="112">
        <v>0.79</v>
      </c>
      <c r="Q25" s="112">
        <v>4.3099999999999996</v>
      </c>
    </row>
    <row r="26" spans="1:17" customFormat="1">
      <c r="A26" s="80">
        <v>45605.1875</v>
      </c>
      <c r="B26" s="112">
        <v>5.32</v>
      </c>
      <c r="C26" s="112">
        <v>8.1</v>
      </c>
      <c r="D26" s="112">
        <v>14.07</v>
      </c>
      <c r="E26" s="112">
        <v>8.9499999999999993</v>
      </c>
      <c r="F26" s="112">
        <v>5.59</v>
      </c>
      <c r="G26" s="112">
        <v>77.72</v>
      </c>
      <c r="H26" s="112">
        <v>28.94</v>
      </c>
      <c r="I26" s="112">
        <v>9.08</v>
      </c>
      <c r="J26" s="112">
        <v>0.13</v>
      </c>
      <c r="K26" s="112">
        <v>127.55</v>
      </c>
      <c r="L26" s="112">
        <v>21.1</v>
      </c>
      <c r="M26" s="112">
        <v>89.59</v>
      </c>
      <c r="N26" s="112">
        <v>1.4</v>
      </c>
      <c r="O26" s="112">
        <v>0</v>
      </c>
      <c r="P26" s="112">
        <v>0.79</v>
      </c>
      <c r="Q26" s="112">
        <v>4.3</v>
      </c>
    </row>
    <row r="27" spans="1:17" customFormat="1">
      <c r="A27" s="80">
        <v>45605.197916666664</v>
      </c>
      <c r="B27" s="112">
        <v>5.33</v>
      </c>
      <c r="C27" s="112">
        <v>8.08</v>
      </c>
      <c r="D27" s="112">
        <v>14.07</v>
      </c>
      <c r="E27" s="112">
        <v>8.93</v>
      </c>
      <c r="F27" s="112">
        <v>5.54</v>
      </c>
      <c r="G27" s="112">
        <v>77.680000000000007</v>
      </c>
      <c r="H27" s="112">
        <v>27.58</v>
      </c>
      <c r="I27" s="112">
        <v>9.06</v>
      </c>
      <c r="J27" s="112">
        <v>0.09</v>
      </c>
      <c r="K27" s="112">
        <v>137.08000000000001</v>
      </c>
      <c r="L27" s="112">
        <v>21.12</v>
      </c>
      <c r="M27" s="112">
        <v>89.07</v>
      </c>
      <c r="N27" s="112">
        <v>1.5</v>
      </c>
      <c r="O27" s="112">
        <v>0</v>
      </c>
      <c r="P27" s="112">
        <v>0.78</v>
      </c>
      <c r="Q27" s="112">
        <v>4.3</v>
      </c>
    </row>
    <row r="28" spans="1:17" customFormat="1">
      <c r="A28" s="80">
        <v>45605.208333333336</v>
      </c>
      <c r="B28" s="112">
        <v>5.34</v>
      </c>
      <c r="C28" s="112">
        <v>8.06</v>
      </c>
      <c r="D28" s="112">
        <v>14.07</v>
      </c>
      <c r="E28" s="112">
        <v>8.77</v>
      </c>
      <c r="F28" s="112">
        <v>5.54</v>
      </c>
      <c r="G28" s="112">
        <v>77.680000000000007</v>
      </c>
      <c r="H28" s="112">
        <v>27.58</v>
      </c>
      <c r="I28" s="112">
        <v>9.01</v>
      </c>
      <c r="J28" s="112">
        <v>0.21</v>
      </c>
      <c r="K28" s="112">
        <v>68.03</v>
      </c>
      <c r="L28" s="112">
        <v>21.13</v>
      </c>
      <c r="M28" s="112">
        <v>89.07</v>
      </c>
      <c r="N28" s="112">
        <v>1.4</v>
      </c>
      <c r="O28" s="112">
        <v>0</v>
      </c>
      <c r="P28" s="112">
        <v>0.77</v>
      </c>
      <c r="Q28" s="112">
        <v>4.3</v>
      </c>
    </row>
    <row r="29" spans="1:17" customFormat="1">
      <c r="A29" s="80">
        <v>45605.21875</v>
      </c>
      <c r="B29" s="112">
        <v>5.33</v>
      </c>
      <c r="C29" s="112">
        <v>8.08</v>
      </c>
      <c r="D29" s="112">
        <v>14.06</v>
      </c>
      <c r="E29" s="112">
        <v>8.9600000000000009</v>
      </c>
      <c r="F29" s="112">
        <v>5.39</v>
      </c>
      <c r="G29" s="112">
        <v>77.680000000000007</v>
      </c>
      <c r="H29" s="112">
        <v>27.58</v>
      </c>
      <c r="I29" s="112">
        <v>8.9600000000000009</v>
      </c>
      <c r="J29" s="112">
        <v>0.37</v>
      </c>
      <c r="K29" s="112">
        <v>52.36</v>
      </c>
      <c r="L29" s="112">
        <v>21</v>
      </c>
      <c r="M29" s="112">
        <v>89.61</v>
      </c>
      <c r="N29" s="112">
        <v>1.4</v>
      </c>
      <c r="O29" s="112">
        <v>0</v>
      </c>
      <c r="P29" s="112">
        <v>0.77</v>
      </c>
      <c r="Q29" s="112">
        <v>4.29</v>
      </c>
    </row>
    <row r="30" spans="1:17" customFormat="1">
      <c r="A30" s="80">
        <v>45605.229166666664</v>
      </c>
      <c r="B30" s="112">
        <v>5.33</v>
      </c>
      <c r="C30" s="112">
        <v>8.09</v>
      </c>
      <c r="D30" s="112">
        <v>14.07</v>
      </c>
      <c r="E30" s="112">
        <v>8.92</v>
      </c>
      <c r="F30" s="112">
        <v>5.45</v>
      </c>
      <c r="G30" s="112">
        <v>77.680000000000007</v>
      </c>
      <c r="H30" s="112">
        <v>27.58</v>
      </c>
      <c r="I30" s="112">
        <v>8.93</v>
      </c>
      <c r="J30" s="112">
        <v>0.16</v>
      </c>
      <c r="K30" s="112">
        <v>40.880000000000003</v>
      </c>
      <c r="L30" s="112">
        <v>21.03</v>
      </c>
      <c r="M30" s="112">
        <v>89.21</v>
      </c>
      <c r="N30" s="112">
        <v>1.5</v>
      </c>
      <c r="O30" s="112">
        <v>0</v>
      </c>
      <c r="P30" s="112">
        <v>0.77</v>
      </c>
      <c r="Q30" s="112">
        <v>4.29</v>
      </c>
    </row>
    <row r="31" spans="1:17" customFormat="1">
      <c r="A31" s="80">
        <v>45605.239583333336</v>
      </c>
      <c r="B31" s="112">
        <v>5.35</v>
      </c>
      <c r="C31" s="112">
        <v>8.0500000000000007</v>
      </c>
      <c r="D31" s="112">
        <v>14.06</v>
      </c>
      <c r="E31" s="112">
        <v>9.0500000000000007</v>
      </c>
      <c r="F31" s="112">
        <v>5.5</v>
      </c>
      <c r="G31" s="112">
        <v>76.430000000000007</v>
      </c>
      <c r="H31" s="112">
        <v>29.56</v>
      </c>
      <c r="I31" s="112">
        <v>8.92</v>
      </c>
      <c r="J31" s="112">
        <v>0.2</v>
      </c>
      <c r="K31" s="112">
        <v>51.58</v>
      </c>
      <c r="L31" s="112">
        <v>20.85</v>
      </c>
      <c r="M31" s="112">
        <v>90.13</v>
      </c>
      <c r="N31" s="112">
        <v>1.8</v>
      </c>
      <c r="O31" s="112">
        <v>0</v>
      </c>
      <c r="P31" s="112">
        <v>0.76</v>
      </c>
      <c r="Q31" s="112">
        <v>4.3</v>
      </c>
    </row>
    <row r="32" spans="1:17" customFormat="1">
      <c r="A32" s="80">
        <v>45605.25</v>
      </c>
      <c r="B32" s="112">
        <v>5.36</v>
      </c>
      <c r="C32" s="112">
        <v>8.07</v>
      </c>
      <c r="D32" s="112">
        <v>14.08</v>
      </c>
      <c r="E32" s="112">
        <v>9.07</v>
      </c>
      <c r="F32" s="112">
        <v>5.5</v>
      </c>
      <c r="G32" s="112">
        <v>76.41</v>
      </c>
      <c r="H32" s="112">
        <v>29.56</v>
      </c>
      <c r="I32" s="112">
        <v>8.8699999999999992</v>
      </c>
      <c r="J32" s="112">
        <v>0.57999999999999996</v>
      </c>
      <c r="K32" s="112">
        <v>61.17</v>
      </c>
      <c r="L32" s="112">
        <v>20.73</v>
      </c>
      <c r="M32" s="112">
        <v>90.32</v>
      </c>
      <c r="N32" s="112">
        <v>3.1</v>
      </c>
      <c r="O32" s="112">
        <v>0</v>
      </c>
      <c r="P32" s="112">
        <v>0.77</v>
      </c>
      <c r="Q32" s="112">
        <v>4.3099999999999996</v>
      </c>
    </row>
    <row r="33" spans="1:17" customFormat="1">
      <c r="A33" s="80">
        <v>45605.260416666664</v>
      </c>
      <c r="B33" s="112">
        <v>5.36</v>
      </c>
      <c r="C33" s="112">
        <v>8.0500000000000007</v>
      </c>
      <c r="D33" s="112">
        <v>14.07</v>
      </c>
      <c r="E33" s="112">
        <v>8.85</v>
      </c>
      <c r="F33" s="112">
        <v>5.58</v>
      </c>
      <c r="G33" s="112">
        <v>76.41</v>
      </c>
      <c r="H33" s="112">
        <v>29.56</v>
      </c>
      <c r="I33" s="112">
        <v>8.82</v>
      </c>
      <c r="J33" s="112">
        <v>0.41</v>
      </c>
      <c r="K33" s="112">
        <v>62.47</v>
      </c>
      <c r="L33" s="112">
        <v>20.65</v>
      </c>
      <c r="M33" s="112">
        <v>90.25</v>
      </c>
      <c r="N33" s="112">
        <v>7.9</v>
      </c>
      <c r="O33" s="112">
        <v>0</v>
      </c>
      <c r="P33" s="112">
        <v>0.77</v>
      </c>
      <c r="Q33" s="112">
        <v>4.3</v>
      </c>
    </row>
    <row r="34" spans="1:17" customFormat="1">
      <c r="A34" s="80">
        <v>45605.270833333336</v>
      </c>
      <c r="B34" s="112">
        <v>5.34</v>
      </c>
      <c r="C34" s="112">
        <v>8.11</v>
      </c>
      <c r="D34" s="112">
        <v>14.09</v>
      </c>
      <c r="E34" s="112">
        <v>9.08</v>
      </c>
      <c r="F34" s="112">
        <v>5.76</v>
      </c>
      <c r="G34" s="112">
        <v>76.41</v>
      </c>
      <c r="H34" s="112">
        <v>29.56</v>
      </c>
      <c r="I34" s="112">
        <v>8.82</v>
      </c>
      <c r="J34" s="112">
        <v>0.56000000000000005</v>
      </c>
      <c r="K34" s="112">
        <v>53.87</v>
      </c>
      <c r="L34" s="112">
        <v>20.58</v>
      </c>
      <c r="M34" s="112">
        <v>90.74</v>
      </c>
      <c r="N34" s="112">
        <v>16.5</v>
      </c>
      <c r="O34" s="112">
        <v>0</v>
      </c>
      <c r="P34" s="112">
        <v>0.8</v>
      </c>
      <c r="Q34" s="112">
        <v>4.3099999999999996</v>
      </c>
    </row>
    <row r="35" spans="1:17" customFormat="1">
      <c r="A35" s="80">
        <v>45605.28125</v>
      </c>
      <c r="B35" s="112">
        <v>5.34</v>
      </c>
      <c r="C35" s="112">
        <v>8.1</v>
      </c>
      <c r="D35" s="112">
        <v>14.08</v>
      </c>
      <c r="E35" s="112">
        <v>9.11</v>
      </c>
      <c r="F35" s="112">
        <v>5.8</v>
      </c>
      <c r="G35" s="112">
        <v>82.39</v>
      </c>
      <c r="H35" s="112">
        <v>32.659999999999997</v>
      </c>
      <c r="I35" s="112">
        <v>8.93</v>
      </c>
      <c r="J35" s="112">
        <v>0.54</v>
      </c>
      <c r="K35" s="112">
        <v>57.4</v>
      </c>
      <c r="L35" s="112">
        <v>20.7</v>
      </c>
      <c r="M35" s="112">
        <v>90.35</v>
      </c>
      <c r="N35" s="112">
        <v>28.4</v>
      </c>
      <c r="O35" s="112">
        <v>0</v>
      </c>
      <c r="P35" s="112">
        <v>0.82</v>
      </c>
      <c r="Q35" s="112">
        <v>4.32</v>
      </c>
    </row>
    <row r="36" spans="1:17" customFormat="1">
      <c r="A36" s="80">
        <v>45605.291666666664</v>
      </c>
      <c r="B36" s="112">
        <v>5.34</v>
      </c>
      <c r="C36" s="112">
        <v>8.08</v>
      </c>
      <c r="D36" s="112">
        <v>14.07</v>
      </c>
      <c r="E36" s="112">
        <v>8.92</v>
      </c>
      <c r="F36" s="112">
        <v>5.76</v>
      </c>
      <c r="G36" s="112">
        <v>82.59</v>
      </c>
      <c r="H36" s="112">
        <v>32.659999999999997</v>
      </c>
      <c r="I36" s="112">
        <v>9.14</v>
      </c>
      <c r="J36" s="112">
        <v>0.39</v>
      </c>
      <c r="K36" s="112">
        <v>28.31</v>
      </c>
      <c r="L36" s="112">
        <v>20.92</v>
      </c>
      <c r="M36" s="112">
        <v>89.9</v>
      </c>
      <c r="N36" s="112">
        <v>42.1</v>
      </c>
      <c r="O36" s="112">
        <v>0</v>
      </c>
      <c r="P36" s="112">
        <v>0.82</v>
      </c>
      <c r="Q36" s="112">
        <v>4.3099999999999996</v>
      </c>
    </row>
    <row r="37" spans="1:17" customFormat="1">
      <c r="A37" s="80">
        <v>45605.302083333336</v>
      </c>
      <c r="B37" s="112">
        <v>5.35</v>
      </c>
      <c r="C37" s="112">
        <v>8.0500000000000007</v>
      </c>
      <c r="D37" s="112">
        <v>14.06</v>
      </c>
      <c r="E37" s="112">
        <v>9.01</v>
      </c>
      <c r="F37" s="112">
        <v>5.77</v>
      </c>
      <c r="G37" s="112">
        <v>82.59</v>
      </c>
      <c r="H37" s="112">
        <v>32.659999999999997</v>
      </c>
      <c r="I37" s="112">
        <v>9.39</v>
      </c>
      <c r="J37" s="112">
        <v>0.54</v>
      </c>
      <c r="K37" s="112">
        <v>43.5</v>
      </c>
      <c r="L37" s="112">
        <v>21.2</v>
      </c>
      <c r="M37" s="112">
        <v>88.71</v>
      </c>
      <c r="N37" s="112">
        <v>56.9</v>
      </c>
      <c r="O37" s="112">
        <v>0</v>
      </c>
      <c r="P37" s="112">
        <v>0.83</v>
      </c>
      <c r="Q37" s="112">
        <v>4.3</v>
      </c>
    </row>
    <row r="38" spans="1:17" customFormat="1">
      <c r="A38" s="80">
        <v>45605.3125</v>
      </c>
      <c r="B38" s="112">
        <v>5.35</v>
      </c>
      <c r="C38" s="112">
        <v>8.0399999999999991</v>
      </c>
      <c r="D38" s="112">
        <v>14.06</v>
      </c>
      <c r="E38" s="112">
        <v>9.1999999999999993</v>
      </c>
      <c r="F38" s="112">
        <v>5.89</v>
      </c>
      <c r="G38" s="112">
        <v>82.59</v>
      </c>
      <c r="H38" s="112">
        <v>32.659999999999997</v>
      </c>
      <c r="I38" s="112">
        <v>9.59</v>
      </c>
      <c r="J38" s="112">
        <v>0.5</v>
      </c>
      <c r="K38" s="112">
        <v>23.83</v>
      </c>
      <c r="L38" s="112">
        <v>21.67</v>
      </c>
      <c r="M38" s="112">
        <v>86.86</v>
      </c>
      <c r="N38" s="112">
        <v>74.599999999999994</v>
      </c>
      <c r="O38" s="112">
        <v>0</v>
      </c>
      <c r="P38" s="112">
        <v>0.84</v>
      </c>
      <c r="Q38" s="112">
        <v>4.3</v>
      </c>
    </row>
    <row r="39" spans="1:17" customFormat="1">
      <c r="A39" s="80">
        <v>45605.322916666664</v>
      </c>
      <c r="B39" s="112">
        <v>5.32</v>
      </c>
      <c r="C39" s="112">
        <v>8.07</v>
      </c>
      <c r="D39" s="112">
        <v>14.05</v>
      </c>
      <c r="E39" s="112">
        <v>9.4600000000000009</v>
      </c>
      <c r="F39" s="112">
        <v>5.97</v>
      </c>
      <c r="G39" s="112">
        <v>96.17</v>
      </c>
      <c r="H39" s="112">
        <v>37.229999999999997</v>
      </c>
      <c r="I39" s="112">
        <v>9.74</v>
      </c>
      <c r="J39" s="112">
        <v>0.35</v>
      </c>
      <c r="K39" s="112">
        <v>24.62</v>
      </c>
      <c r="L39" s="112">
        <v>22.32</v>
      </c>
      <c r="M39" s="112">
        <v>84.73</v>
      </c>
      <c r="N39" s="112">
        <v>129.69999999999999</v>
      </c>
      <c r="O39" s="112">
        <v>0</v>
      </c>
      <c r="P39" s="112">
        <v>0.83</v>
      </c>
      <c r="Q39" s="112">
        <v>4.3099999999999996</v>
      </c>
    </row>
    <row r="40" spans="1:17" customFormat="1">
      <c r="A40" s="80">
        <v>45605.333333333336</v>
      </c>
      <c r="B40" s="112">
        <v>5.31</v>
      </c>
      <c r="C40" s="112">
        <v>8.1</v>
      </c>
      <c r="D40" s="112">
        <v>14.06</v>
      </c>
      <c r="E40" s="112">
        <v>9.23</v>
      </c>
      <c r="F40" s="112">
        <v>5.68</v>
      </c>
      <c r="G40" s="112">
        <v>96.48</v>
      </c>
      <c r="H40" s="112">
        <v>37.229999999999997</v>
      </c>
      <c r="I40" s="112">
        <v>9.85</v>
      </c>
      <c r="J40" s="112">
        <v>0.47</v>
      </c>
      <c r="K40" s="112">
        <v>55.79</v>
      </c>
      <c r="L40" s="112">
        <v>23.07</v>
      </c>
      <c r="M40" s="112">
        <v>80.95</v>
      </c>
      <c r="N40" s="112">
        <v>162.6</v>
      </c>
      <c r="O40" s="112">
        <v>0</v>
      </c>
      <c r="P40" s="112">
        <v>0.84</v>
      </c>
      <c r="Q40" s="112">
        <v>4.3</v>
      </c>
    </row>
    <row r="41" spans="1:17" customFormat="1">
      <c r="A41" s="80">
        <v>45605.34375</v>
      </c>
      <c r="B41" s="112">
        <v>5.33</v>
      </c>
      <c r="C41" s="112">
        <v>8.08</v>
      </c>
      <c r="D41" s="112">
        <v>14.06</v>
      </c>
      <c r="E41" s="112">
        <v>9.7100000000000009</v>
      </c>
      <c r="F41" s="112">
        <v>5.7</v>
      </c>
      <c r="G41" s="112">
        <v>96.48</v>
      </c>
      <c r="H41" s="112">
        <v>37.229999999999997</v>
      </c>
      <c r="I41" s="112">
        <v>9.9499999999999993</v>
      </c>
      <c r="J41" s="112">
        <v>0.54</v>
      </c>
      <c r="K41" s="112">
        <v>56.78</v>
      </c>
      <c r="L41" s="112">
        <v>23.69</v>
      </c>
      <c r="M41" s="112">
        <v>78.78</v>
      </c>
      <c r="N41" s="112">
        <v>191.7</v>
      </c>
      <c r="O41" s="112">
        <v>0</v>
      </c>
      <c r="P41" s="112">
        <v>0.86</v>
      </c>
      <c r="Q41" s="112">
        <v>4.3099999999999996</v>
      </c>
    </row>
    <row r="42" spans="1:17" customFormat="1">
      <c r="A42" s="80">
        <v>45605.354166666664</v>
      </c>
      <c r="B42" s="112">
        <v>5.34</v>
      </c>
      <c r="C42" s="112">
        <v>8.0500000000000007</v>
      </c>
      <c r="D42" s="112">
        <v>14.06</v>
      </c>
      <c r="E42" s="112">
        <v>9.8000000000000007</v>
      </c>
      <c r="F42" s="112">
        <v>5.99</v>
      </c>
      <c r="G42" s="112">
        <v>96.48</v>
      </c>
      <c r="H42" s="112">
        <v>37.229999999999997</v>
      </c>
      <c r="I42" s="112">
        <v>10.02</v>
      </c>
      <c r="J42" s="112">
        <v>0.26</v>
      </c>
      <c r="K42" s="112">
        <v>87.61</v>
      </c>
      <c r="L42" s="112">
        <v>24.76</v>
      </c>
      <c r="M42" s="112">
        <v>74.430000000000007</v>
      </c>
      <c r="N42" s="112">
        <v>200.7</v>
      </c>
      <c r="O42" s="112">
        <v>0</v>
      </c>
      <c r="P42" s="112">
        <v>0.85</v>
      </c>
      <c r="Q42" s="112">
        <v>4.32</v>
      </c>
    </row>
    <row r="43" spans="1:17" customFormat="1">
      <c r="A43" s="80">
        <v>45605.364583333336</v>
      </c>
      <c r="B43" s="112">
        <v>5.34</v>
      </c>
      <c r="C43" s="112">
        <v>8.08</v>
      </c>
      <c r="D43" s="112">
        <v>14.07</v>
      </c>
      <c r="E43" s="112">
        <v>9.2799999999999994</v>
      </c>
      <c r="F43" s="112">
        <v>5.78</v>
      </c>
      <c r="G43" s="112">
        <v>100.85</v>
      </c>
      <c r="H43" s="112">
        <v>36.04</v>
      </c>
      <c r="I43" s="112">
        <v>10.02</v>
      </c>
      <c r="J43" s="112">
        <v>0.52</v>
      </c>
      <c r="K43" s="112">
        <v>56.64</v>
      </c>
      <c r="L43" s="112">
        <v>25.42</v>
      </c>
      <c r="M43" s="112">
        <v>70.91</v>
      </c>
      <c r="N43" s="112">
        <v>253.1</v>
      </c>
      <c r="O43" s="112">
        <v>0</v>
      </c>
      <c r="P43" s="112">
        <v>0.85</v>
      </c>
      <c r="Q43" s="112">
        <v>4.3</v>
      </c>
    </row>
    <row r="44" spans="1:17" customFormat="1">
      <c r="A44" s="80">
        <v>45605.375</v>
      </c>
      <c r="B44" s="112">
        <v>5.34</v>
      </c>
      <c r="C44" s="112">
        <v>8.08</v>
      </c>
      <c r="D44" s="112">
        <v>14.07</v>
      </c>
      <c r="E44" s="112">
        <v>9.31</v>
      </c>
      <c r="F44" s="112">
        <v>6.2</v>
      </c>
      <c r="G44" s="112">
        <v>100.95</v>
      </c>
      <c r="H44" s="112">
        <v>36.04</v>
      </c>
      <c r="I44" s="112">
        <v>10.06</v>
      </c>
      <c r="J44" s="112">
        <v>0.4</v>
      </c>
      <c r="K44" s="112">
        <v>72.790000000000006</v>
      </c>
      <c r="L44" s="112">
        <v>25.84</v>
      </c>
      <c r="M44" s="112">
        <v>69.400000000000006</v>
      </c>
      <c r="N44" s="112">
        <v>250.5</v>
      </c>
      <c r="O44" s="112">
        <v>0</v>
      </c>
      <c r="P44" s="112">
        <v>0.84</v>
      </c>
      <c r="Q44" s="112">
        <v>4.3099999999999996</v>
      </c>
    </row>
    <row r="45" spans="1:17" customFormat="1">
      <c r="A45" s="80">
        <v>45605.385416666664</v>
      </c>
      <c r="B45" s="112">
        <v>5.34</v>
      </c>
      <c r="C45" s="112">
        <v>8.08</v>
      </c>
      <c r="D45" s="112">
        <v>14.07</v>
      </c>
      <c r="E45" s="112">
        <v>9.82</v>
      </c>
      <c r="F45" s="112">
        <v>5.92</v>
      </c>
      <c r="G45" s="112">
        <v>100.95</v>
      </c>
      <c r="H45" s="112">
        <v>36.04</v>
      </c>
      <c r="I45" s="112">
        <v>10.09</v>
      </c>
      <c r="J45" s="112">
        <v>0.49</v>
      </c>
      <c r="K45" s="112">
        <v>57.13</v>
      </c>
      <c r="L45" s="112">
        <v>26.37</v>
      </c>
      <c r="M45" s="112">
        <v>67.27</v>
      </c>
      <c r="N45" s="112">
        <v>337</v>
      </c>
      <c r="O45" s="112">
        <v>0</v>
      </c>
      <c r="P45" s="112">
        <v>0.84</v>
      </c>
      <c r="Q45" s="112">
        <v>4.3099999999999996</v>
      </c>
    </row>
    <row r="46" spans="1:17" customFormat="1">
      <c r="A46" s="80">
        <v>45605.395833333336</v>
      </c>
      <c r="B46" s="112">
        <v>5.33</v>
      </c>
      <c r="C46" s="112">
        <v>8.1</v>
      </c>
      <c r="D46" s="112">
        <v>14.07</v>
      </c>
      <c r="E46" s="112">
        <v>9.82</v>
      </c>
      <c r="F46" s="112">
        <v>6.31</v>
      </c>
      <c r="G46" s="112">
        <v>100.95</v>
      </c>
      <c r="H46" s="112">
        <v>36.04</v>
      </c>
      <c r="I46" s="112">
        <v>10.06</v>
      </c>
      <c r="J46" s="112">
        <v>0.44</v>
      </c>
      <c r="K46" s="112">
        <v>51.65</v>
      </c>
      <c r="L46" s="112">
        <v>27.21</v>
      </c>
      <c r="M46" s="112">
        <v>63.19</v>
      </c>
      <c r="N46" s="112">
        <v>295.89999999999998</v>
      </c>
      <c r="O46" s="112">
        <v>0</v>
      </c>
      <c r="P46" s="112">
        <v>0.84</v>
      </c>
      <c r="Q46" s="112">
        <v>4.3099999999999996</v>
      </c>
    </row>
    <row r="47" spans="1:17" customFormat="1">
      <c r="A47" s="80">
        <v>45605.40625</v>
      </c>
      <c r="B47" s="112">
        <v>5.33</v>
      </c>
      <c r="C47" s="112">
        <v>8.09</v>
      </c>
      <c r="D47" s="112">
        <v>14.07</v>
      </c>
      <c r="E47" s="112">
        <v>10.02</v>
      </c>
      <c r="F47" s="112">
        <v>6.23</v>
      </c>
      <c r="G47" s="112">
        <v>95.82</v>
      </c>
      <c r="H47" s="112">
        <v>38.119999999999997</v>
      </c>
      <c r="I47" s="112">
        <v>10.119999999999999</v>
      </c>
      <c r="J47" s="112">
        <v>0.18</v>
      </c>
      <c r="K47" s="112">
        <v>170.09</v>
      </c>
      <c r="L47" s="112">
        <v>27.84</v>
      </c>
      <c r="M47" s="112">
        <v>61.14</v>
      </c>
      <c r="N47" s="112">
        <v>387.5</v>
      </c>
      <c r="O47" s="112">
        <v>0</v>
      </c>
      <c r="P47" s="112">
        <v>0.84</v>
      </c>
      <c r="Q47" s="112">
        <v>4.3099999999999996</v>
      </c>
    </row>
    <row r="48" spans="1:17" customFormat="1">
      <c r="A48" s="80">
        <v>45605.416666666664</v>
      </c>
      <c r="B48" s="112">
        <v>5.34</v>
      </c>
      <c r="C48" s="112">
        <v>8.1</v>
      </c>
      <c r="D48" s="112">
        <v>14.08</v>
      </c>
      <c r="E48" s="112">
        <v>9.34</v>
      </c>
      <c r="F48" s="112">
        <v>6.19</v>
      </c>
      <c r="G48" s="112">
        <v>95.7</v>
      </c>
      <c r="H48" s="112">
        <v>38.119999999999997</v>
      </c>
      <c r="I48" s="112">
        <v>10.19</v>
      </c>
      <c r="J48" s="112">
        <v>0.37</v>
      </c>
      <c r="K48" s="112">
        <v>52.26</v>
      </c>
      <c r="L48" s="112">
        <v>28.25</v>
      </c>
      <c r="M48" s="112">
        <v>58.9</v>
      </c>
      <c r="N48" s="112">
        <v>412.1</v>
      </c>
      <c r="O48" s="112">
        <v>0</v>
      </c>
      <c r="P48" s="112">
        <v>0.83</v>
      </c>
      <c r="Q48" s="112">
        <v>4.32</v>
      </c>
    </row>
    <row r="49" spans="1:17" customFormat="1">
      <c r="A49" s="80">
        <v>45605.427083333336</v>
      </c>
      <c r="B49" s="112">
        <v>5.35</v>
      </c>
      <c r="C49" s="112">
        <v>8.09</v>
      </c>
      <c r="D49" s="112">
        <v>14.09</v>
      </c>
      <c r="E49" s="112">
        <v>9.4700000000000006</v>
      </c>
      <c r="F49" s="112">
        <v>6.58</v>
      </c>
      <c r="G49" s="112">
        <v>95.7</v>
      </c>
      <c r="H49" s="112">
        <v>38.119999999999997</v>
      </c>
      <c r="I49" s="112">
        <v>10.210000000000001</v>
      </c>
      <c r="J49" s="112">
        <v>0.65</v>
      </c>
      <c r="K49" s="112">
        <v>52.31</v>
      </c>
      <c r="L49" s="112">
        <v>28.32</v>
      </c>
      <c r="M49" s="112">
        <v>58.52</v>
      </c>
      <c r="N49" s="112">
        <v>442.2</v>
      </c>
      <c r="O49" s="112">
        <v>0</v>
      </c>
      <c r="P49" s="112">
        <v>0.84</v>
      </c>
      <c r="Q49" s="112">
        <v>4.3099999999999996</v>
      </c>
    </row>
    <row r="50" spans="1:17" customFormat="1">
      <c r="A50" s="80">
        <v>45605.4375</v>
      </c>
      <c r="B50" s="112">
        <v>5.34</v>
      </c>
      <c r="C50" s="112">
        <v>8.08</v>
      </c>
      <c r="D50" s="112">
        <v>14.07</v>
      </c>
      <c r="E50" s="112">
        <v>11.12</v>
      </c>
      <c r="F50" s="112">
        <v>6.94</v>
      </c>
      <c r="G50" s="112">
        <v>95.7</v>
      </c>
      <c r="H50" s="112">
        <v>38.119999999999997</v>
      </c>
      <c r="I50" s="112">
        <v>10.17</v>
      </c>
      <c r="J50" s="112">
        <v>0.36</v>
      </c>
      <c r="K50" s="112">
        <v>68.17</v>
      </c>
      <c r="L50" s="112">
        <v>29.08</v>
      </c>
      <c r="M50" s="112">
        <v>56.16</v>
      </c>
      <c r="N50" s="112">
        <v>464.4</v>
      </c>
      <c r="O50" s="112">
        <v>0</v>
      </c>
      <c r="P50" s="112">
        <v>0.82</v>
      </c>
      <c r="Q50" s="112">
        <v>4.3099999999999996</v>
      </c>
    </row>
    <row r="51" spans="1:17" customFormat="1">
      <c r="A51" s="80">
        <v>45605.447916666664</v>
      </c>
      <c r="B51" s="112">
        <v>5.36</v>
      </c>
      <c r="C51" s="112">
        <v>8.08</v>
      </c>
      <c r="D51" s="112">
        <v>14.08</v>
      </c>
      <c r="E51" s="112">
        <v>10.95</v>
      </c>
      <c r="F51" s="112">
        <v>7.75</v>
      </c>
      <c r="G51" s="112">
        <v>85.56</v>
      </c>
      <c r="H51" s="112">
        <v>35.79</v>
      </c>
      <c r="I51" s="112">
        <v>10.130000000000001</v>
      </c>
      <c r="J51" s="112">
        <v>0.24</v>
      </c>
      <c r="K51" s="112">
        <v>86.84</v>
      </c>
      <c r="L51" s="112">
        <v>29.49</v>
      </c>
      <c r="M51" s="112">
        <v>54.81</v>
      </c>
      <c r="N51" s="112">
        <v>428.9</v>
      </c>
      <c r="O51" s="112">
        <v>0</v>
      </c>
      <c r="P51" s="112">
        <v>0.8</v>
      </c>
      <c r="Q51" s="112">
        <v>4.29</v>
      </c>
    </row>
    <row r="52" spans="1:17" customFormat="1">
      <c r="A52" s="80">
        <v>45605.458333333336</v>
      </c>
      <c r="B52" s="112">
        <v>5.35</v>
      </c>
      <c r="C52" s="112">
        <v>8.06</v>
      </c>
      <c r="D52" s="112">
        <v>14.07</v>
      </c>
      <c r="E52" s="112">
        <v>11.15</v>
      </c>
      <c r="F52" s="112">
        <v>6.82</v>
      </c>
      <c r="G52" s="112">
        <v>85.33</v>
      </c>
      <c r="H52" s="112">
        <v>35.79</v>
      </c>
      <c r="I52" s="112">
        <v>10.039999999999999</v>
      </c>
      <c r="J52" s="112">
        <v>0.36</v>
      </c>
      <c r="K52" s="112">
        <v>117.51</v>
      </c>
      <c r="L52" s="112">
        <v>29.98</v>
      </c>
      <c r="M52" s="112">
        <v>51.54</v>
      </c>
      <c r="N52" s="112">
        <v>514.29999999999995</v>
      </c>
      <c r="O52" s="112">
        <v>0</v>
      </c>
      <c r="P52" s="112">
        <v>0.8</v>
      </c>
      <c r="Q52" s="112">
        <v>4.3</v>
      </c>
    </row>
    <row r="53" spans="1:17" customFormat="1">
      <c r="A53" s="80">
        <v>45605.46875</v>
      </c>
      <c r="B53" s="112">
        <v>5.35</v>
      </c>
      <c r="C53" s="112">
        <v>8.07</v>
      </c>
      <c r="D53" s="112">
        <v>14.08</v>
      </c>
      <c r="E53" s="112">
        <v>10.9</v>
      </c>
      <c r="F53" s="112">
        <v>8.31</v>
      </c>
      <c r="G53" s="112">
        <v>85.33</v>
      </c>
      <c r="H53" s="112">
        <v>35.79</v>
      </c>
      <c r="I53" s="112">
        <v>9.9600000000000009</v>
      </c>
      <c r="J53" s="112">
        <v>0.48</v>
      </c>
      <c r="K53" s="112">
        <v>54.42</v>
      </c>
      <c r="L53" s="112">
        <v>29.82</v>
      </c>
      <c r="M53" s="112">
        <v>50.68</v>
      </c>
      <c r="N53" s="112">
        <v>512.29999999999995</v>
      </c>
      <c r="O53" s="112">
        <v>0</v>
      </c>
      <c r="P53" s="112">
        <v>0.78</v>
      </c>
      <c r="Q53" s="112">
        <v>4.32</v>
      </c>
    </row>
    <row r="54" spans="1:17" customFormat="1">
      <c r="A54" s="80">
        <v>45605.479166666664</v>
      </c>
      <c r="B54" s="112">
        <v>5.36</v>
      </c>
      <c r="C54" s="112">
        <v>8.08</v>
      </c>
      <c r="D54" s="112">
        <v>14.08</v>
      </c>
      <c r="E54" s="112">
        <v>10.93</v>
      </c>
      <c r="F54" s="112">
        <v>8.6999999999999993</v>
      </c>
      <c r="G54" s="112">
        <v>85.33</v>
      </c>
      <c r="H54" s="112">
        <v>35.79</v>
      </c>
      <c r="I54" s="112">
        <v>9.86</v>
      </c>
      <c r="J54" s="112">
        <v>0.18</v>
      </c>
      <c r="K54" s="112">
        <v>115.79</v>
      </c>
      <c r="L54" s="112">
        <v>30.07</v>
      </c>
      <c r="M54" s="112">
        <v>49.91</v>
      </c>
      <c r="N54" s="112">
        <v>446.8</v>
      </c>
      <c r="O54" s="112">
        <v>0</v>
      </c>
      <c r="P54" s="112">
        <v>0.76</v>
      </c>
      <c r="Q54" s="112">
        <v>4.32</v>
      </c>
    </row>
    <row r="55" spans="1:17" customFormat="1">
      <c r="A55" s="80">
        <v>45605.489583333336</v>
      </c>
      <c r="B55" s="112">
        <v>5.36</v>
      </c>
      <c r="C55" s="112">
        <v>8.0399999999999991</v>
      </c>
      <c r="D55" s="112">
        <v>14.07</v>
      </c>
      <c r="E55" s="112">
        <v>10.43</v>
      </c>
      <c r="F55" s="112">
        <v>10.1</v>
      </c>
      <c r="G55" s="112">
        <v>71.64</v>
      </c>
      <c r="H55" s="112">
        <v>27.21</v>
      </c>
      <c r="I55" s="112">
        <v>9.75</v>
      </c>
      <c r="J55" s="112">
        <v>0.2</v>
      </c>
      <c r="K55" s="112">
        <v>161.56</v>
      </c>
      <c r="L55" s="112">
        <v>30.6</v>
      </c>
      <c r="M55" s="112">
        <v>47.88</v>
      </c>
      <c r="N55" s="112">
        <v>536.5</v>
      </c>
      <c r="O55" s="112">
        <v>0</v>
      </c>
      <c r="P55" s="112">
        <v>0.76</v>
      </c>
      <c r="Q55" s="112">
        <v>4.3</v>
      </c>
    </row>
    <row r="56" spans="1:17" customFormat="1">
      <c r="A56" s="80">
        <v>45605.5</v>
      </c>
      <c r="B56" s="112">
        <v>5.34</v>
      </c>
      <c r="C56" s="112">
        <v>8.08</v>
      </c>
      <c r="D56" s="112">
        <v>14.07</v>
      </c>
      <c r="E56" s="112">
        <v>10.66</v>
      </c>
      <c r="F56" s="112">
        <v>12.13</v>
      </c>
      <c r="G56" s="112">
        <v>71.33</v>
      </c>
      <c r="H56" s="112">
        <v>27.21</v>
      </c>
      <c r="I56" s="112">
        <v>9.64</v>
      </c>
      <c r="J56" s="112">
        <v>0.56000000000000005</v>
      </c>
      <c r="K56" s="112">
        <v>50.44</v>
      </c>
      <c r="L56" s="112">
        <v>30.46</v>
      </c>
      <c r="M56" s="112">
        <v>47.66</v>
      </c>
      <c r="N56" s="112">
        <v>432.2</v>
      </c>
      <c r="O56" s="112">
        <v>0</v>
      </c>
      <c r="P56" s="112">
        <v>0.77</v>
      </c>
      <c r="Q56" s="112">
        <v>4.3099999999999996</v>
      </c>
    </row>
    <row r="57" spans="1:17" customFormat="1">
      <c r="A57" s="80">
        <v>45605.510416666664</v>
      </c>
      <c r="B57" s="112">
        <v>5.35</v>
      </c>
      <c r="C57" s="112">
        <v>8.09</v>
      </c>
      <c r="D57" s="112">
        <v>14.08</v>
      </c>
      <c r="E57" s="112">
        <v>10.94</v>
      </c>
      <c r="F57" s="112">
        <v>12.17</v>
      </c>
      <c r="G57" s="112">
        <v>71.33</v>
      </c>
      <c r="H57" s="112">
        <v>27.21</v>
      </c>
      <c r="I57" s="112">
        <v>9.48</v>
      </c>
      <c r="J57" s="112">
        <v>0.6</v>
      </c>
      <c r="K57" s="112">
        <v>33.880000000000003</v>
      </c>
      <c r="L57" s="112">
        <v>29.86</v>
      </c>
      <c r="M57" s="112">
        <v>48</v>
      </c>
      <c r="N57" s="112">
        <v>252.3</v>
      </c>
      <c r="O57" s="112">
        <v>0</v>
      </c>
      <c r="P57" s="112">
        <v>0.76</v>
      </c>
      <c r="Q57" s="112">
        <v>4.3099999999999996</v>
      </c>
    </row>
    <row r="58" spans="1:17" customFormat="1">
      <c r="A58" s="80">
        <v>45605.520833333336</v>
      </c>
      <c r="B58" s="112">
        <v>5.36</v>
      </c>
      <c r="C58" s="112">
        <v>8.08</v>
      </c>
      <c r="D58" s="112">
        <v>14.09</v>
      </c>
      <c r="E58" s="112">
        <v>10.86</v>
      </c>
      <c r="F58" s="112">
        <v>10.42</v>
      </c>
      <c r="G58" s="112">
        <v>71.33</v>
      </c>
      <c r="H58" s="112">
        <v>27.21</v>
      </c>
      <c r="I58" s="112">
        <v>9.27</v>
      </c>
      <c r="J58" s="112">
        <v>0.37</v>
      </c>
      <c r="K58" s="112">
        <v>57.98</v>
      </c>
      <c r="L58" s="112">
        <v>30.08</v>
      </c>
      <c r="M58" s="112">
        <v>46.91</v>
      </c>
      <c r="N58" s="112">
        <v>383.7</v>
      </c>
      <c r="O58" s="112">
        <v>0</v>
      </c>
      <c r="P58" s="112">
        <v>0.74</v>
      </c>
      <c r="Q58" s="112">
        <v>4.3099999999999996</v>
      </c>
    </row>
    <row r="59" spans="1:17" customFormat="1">
      <c r="A59" s="80">
        <v>45605.53125</v>
      </c>
      <c r="B59" s="112">
        <v>5.36</v>
      </c>
      <c r="C59" s="112">
        <v>8.0500000000000007</v>
      </c>
      <c r="D59" s="112">
        <v>14.07</v>
      </c>
      <c r="E59" s="112">
        <v>10.46</v>
      </c>
      <c r="F59" s="112">
        <v>10.78</v>
      </c>
      <c r="G59" s="112">
        <v>68.010000000000005</v>
      </c>
      <c r="H59" s="112">
        <v>32.130000000000003</v>
      </c>
      <c r="I59" s="112">
        <v>9.0399999999999991</v>
      </c>
      <c r="J59" s="112">
        <v>0.39</v>
      </c>
      <c r="K59" s="112">
        <v>24.75</v>
      </c>
      <c r="L59" s="112">
        <v>30.32</v>
      </c>
      <c r="M59" s="112">
        <v>42.56</v>
      </c>
      <c r="N59" s="112">
        <v>272.89999999999998</v>
      </c>
      <c r="O59" s="112">
        <v>0</v>
      </c>
      <c r="P59" s="112">
        <v>0.73</v>
      </c>
      <c r="Q59" s="112">
        <v>4.3099999999999996</v>
      </c>
    </row>
    <row r="60" spans="1:17" customFormat="1">
      <c r="A60" s="80">
        <v>45605.541666666664</v>
      </c>
      <c r="B60" s="112">
        <v>5.34</v>
      </c>
      <c r="C60" s="112">
        <v>8.08</v>
      </c>
      <c r="D60" s="112">
        <v>14.07</v>
      </c>
      <c r="E60" s="112">
        <v>9.98</v>
      </c>
      <c r="F60" s="112">
        <v>9.34</v>
      </c>
      <c r="G60" s="112">
        <v>67.94</v>
      </c>
      <c r="H60" s="112">
        <v>32.130000000000003</v>
      </c>
      <c r="I60" s="112">
        <v>8.8800000000000008</v>
      </c>
      <c r="J60" s="112">
        <v>0.21</v>
      </c>
      <c r="K60" s="112">
        <v>304.73</v>
      </c>
      <c r="L60" s="112">
        <v>30.82</v>
      </c>
      <c r="M60" s="112">
        <v>41.92</v>
      </c>
      <c r="N60" s="112">
        <v>456.5</v>
      </c>
      <c r="O60" s="112">
        <v>0</v>
      </c>
      <c r="P60" s="112">
        <v>0.73</v>
      </c>
      <c r="Q60" s="112">
        <v>4.3</v>
      </c>
    </row>
    <row r="61" spans="1:17" customFormat="1">
      <c r="A61" s="80">
        <v>45605.552083333336</v>
      </c>
      <c r="B61" s="112">
        <v>5.32</v>
      </c>
      <c r="C61" s="112">
        <v>8.1</v>
      </c>
      <c r="D61" s="112">
        <v>14.06</v>
      </c>
      <c r="E61" s="112">
        <v>10.029999999999999</v>
      </c>
      <c r="F61" s="112">
        <v>9.86</v>
      </c>
      <c r="G61" s="112">
        <v>67.94</v>
      </c>
      <c r="H61" s="112">
        <v>32.130000000000003</v>
      </c>
      <c r="I61" s="112">
        <v>8.75</v>
      </c>
      <c r="J61" s="112">
        <v>0.12</v>
      </c>
      <c r="K61" s="112">
        <v>88.33</v>
      </c>
      <c r="L61" s="112">
        <v>31.45</v>
      </c>
      <c r="M61" s="112">
        <v>40.5</v>
      </c>
      <c r="N61" s="112">
        <v>481.2</v>
      </c>
      <c r="O61" s="112">
        <v>0</v>
      </c>
      <c r="P61" s="112">
        <v>0.71</v>
      </c>
      <c r="Q61" s="112">
        <v>4.3099999999999996</v>
      </c>
    </row>
    <row r="62" spans="1:17" customFormat="1">
      <c r="A62" s="80">
        <v>45605.5625</v>
      </c>
      <c r="B62" s="112">
        <v>5.31</v>
      </c>
      <c r="C62" s="112">
        <v>8.08</v>
      </c>
      <c r="D62" s="112">
        <v>14.05</v>
      </c>
      <c r="E62" s="112">
        <v>10.09</v>
      </c>
      <c r="F62" s="112">
        <v>9.93</v>
      </c>
      <c r="G62" s="112">
        <v>67.94</v>
      </c>
      <c r="H62" s="112">
        <v>32.130000000000003</v>
      </c>
      <c r="I62" s="112">
        <v>8.5399999999999991</v>
      </c>
      <c r="J62" s="112">
        <v>0.56999999999999995</v>
      </c>
      <c r="K62" s="112">
        <v>58.96</v>
      </c>
      <c r="L62" s="112">
        <v>31.33</v>
      </c>
      <c r="M62" s="112">
        <v>39.11</v>
      </c>
      <c r="N62" s="112">
        <v>408.7</v>
      </c>
      <c r="O62" s="112">
        <v>0</v>
      </c>
      <c r="P62" s="112">
        <v>0.69</v>
      </c>
      <c r="Q62" s="112">
        <v>4.3099999999999996</v>
      </c>
    </row>
    <row r="63" spans="1:17" customFormat="1">
      <c r="A63" s="80">
        <v>45605.572916666664</v>
      </c>
      <c r="B63" s="112">
        <v>5.32</v>
      </c>
      <c r="C63" s="112">
        <v>8.07</v>
      </c>
      <c r="D63" s="112">
        <v>14.05</v>
      </c>
      <c r="E63" s="112">
        <v>10.14</v>
      </c>
      <c r="F63" s="112">
        <v>12.98</v>
      </c>
      <c r="G63" s="112">
        <v>60.54</v>
      </c>
      <c r="H63" s="112">
        <v>28.96</v>
      </c>
      <c r="I63" s="112">
        <v>8.33</v>
      </c>
      <c r="J63" s="112">
        <v>0.42</v>
      </c>
      <c r="K63" s="112">
        <v>52.01</v>
      </c>
      <c r="L63" s="112">
        <v>31.26</v>
      </c>
      <c r="M63" s="112">
        <v>38.549999999999997</v>
      </c>
      <c r="N63" s="112">
        <v>359.3</v>
      </c>
      <c r="O63" s="112">
        <v>0</v>
      </c>
      <c r="P63" s="112">
        <v>0.67</v>
      </c>
      <c r="Q63" s="112">
        <v>4.3</v>
      </c>
    </row>
    <row r="64" spans="1:17" customFormat="1">
      <c r="A64" s="80">
        <v>45605.583333333336</v>
      </c>
      <c r="B64" s="112">
        <v>5.34</v>
      </c>
      <c r="C64" s="112">
        <v>8.0399999999999991</v>
      </c>
      <c r="D64" s="112">
        <v>14.05</v>
      </c>
      <c r="E64" s="112">
        <v>10.14</v>
      </c>
      <c r="F64" s="112">
        <v>11.82</v>
      </c>
      <c r="G64" s="112">
        <v>60.37</v>
      </c>
      <c r="H64" s="112">
        <v>28.96</v>
      </c>
      <c r="I64" s="112">
        <v>8.1</v>
      </c>
      <c r="J64" s="112">
        <v>0.18</v>
      </c>
      <c r="K64" s="112">
        <v>65.58</v>
      </c>
      <c r="L64" s="112">
        <v>31.03</v>
      </c>
      <c r="M64" s="112">
        <v>40.71</v>
      </c>
      <c r="N64" s="112">
        <v>197.4</v>
      </c>
      <c r="O64" s="112">
        <v>0</v>
      </c>
      <c r="P64" s="112">
        <v>0.66</v>
      </c>
      <c r="Q64" s="112">
        <v>4.29</v>
      </c>
    </row>
    <row r="65" spans="1:17" customFormat="1">
      <c r="A65" s="80">
        <v>45605.59375</v>
      </c>
      <c r="B65" s="112">
        <v>5.33</v>
      </c>
      <c r="C65" s="112">
        <v>8.06</v>
      </c>
      <c r="D65" s="112">
        <v>14.05</v>
      </c>
      <c r="E65" s="112">
        <v>10.08</v>
      </c>
      <c r="F65" s="112">
        <v>12.19</v>
      </c>
      <c r="G65" s="112">
        <v>60.37</v>
      </c>
      <c r="H65" s="112">
        <v>28.96</v>
      </c>
      <c r="I65" s="112">
        <v>7.87</v>
      </c>
      <c r="J65" s="112">
        <v>0.19</v>
      </c>
      <c r="K65" s="112">
        <v>148.19999999999999</v>
      </c>
      <c r="L65" s="112">
        <v>30.84</v>
      </c>
      <c r="M65" s="112">
        <v>41.37</v>
      </c>
      <c r="N65" s="112">
        <v>141.19999999999999</v>
      </c>
      <c r="O65" s="112">
        <v>0</v>
      </c>
      <c r="P65" s="112">
        <v>0.64</v>
      </c>
      <c r="Q65" s="112">
        <v>4.3099999999999996</v>
      </c>
    </row>
    <row r="66" spans="1:17" customFormat="1">
      <c r="A66" s="80">
        <v>45605.604166666664</v>
      </c>
      <c r="B66" s="112">
        <v>5.3</v>
      </c>
      <c r="C66" s="112">
        <v>8.09</v>
      </c>
      <c r="D66" s="112">
        <v>14.05</v>
      </c>
      <c r="E66" s="112">
        <v>10.72</v>
      </c>
      <c r="F66" s="112">
        <v>13.02</v>
      </c>
      <c r="G66" s="112">
        <v>60.37</v>
      </c>
      <c r="H66" s="112">
        <v>28.96</v>
      </c>
      <c r="I66" s="112">
        <v>7.71</v>
      </c>
      <c r="J66" s="112">
        <v>0.39</v>
      </c>
      <c r="K66" s="112">
        <v>61.97</v>
      </c>
      <c r="L66" s="112">
        <v>30.87</v>
      </c>
      <c r="M66" s="112">
        <v>39.71</v>
      </c>
      <c r="N66" s="112">
        <v>130.1</v>
      </c>
      <c r="O66" s="112">
        <v>0</v>
      </c>
      <c r="P66" s="112">
        <v>0.64</v>
      </c>
      <c r="Q66" s="112">
        <v>4.3099999999999996</v>
      </c>
    </row>
    <row r="67" spans="1:17" customFormat="1">
      <c r="A67" s="80">
        <v>45605.614583333336</v>
      </c>
      <c r="B67" s="112">
        <v>5.29</v>
      </c>
      <c r="C67" s="112">
        <v>8.07</v>
      </c>
      <c r="D67" s="112">
        <v>14.03</v>
      </c>
      <c r="E67" s="112">
        <v>10.4</v>
      </c>
      <c r="F67" s="112">
        <v>11.1</v>
      </c>
      <c r="G67" s="112">
        <v>52.65</v>
      </c>
      <c r="H67" s="112">
        <v>25.47</v>
      </c>
      <c r="I67" s="112">
        <v>7.53</v>
      </c>
      <c r="J67" s="112">
        <v>0.1</v>
      </c>
      <c r="K67" s="112">
        <v>195.75</v>
      </c>
      <c r="L67" s="112">
        <v>30.63</v>
      </c>
      <c r="M67" s="112">
        <v>42.33</v>
      </c>
      <c r="N67" s="112">
        <v>120.5</v>
      </c>
      <c r="O67" s="112">
        <v>0</v>
      </c>
      <c r="P67" s="112">
        <v>0.64</v>
      </c>
      <c r="Q67" s="112">
        <v>4.29</v>
      </c>
    </row>
    <row r="68" spans="1:17" customFormat="1">
      <c r="A68" s="80">
        <v>45605.625</v>
      </c>
      <c r="B68" s="112">
        <v>5.29</v>
      </c>
      <c r="C68" s="112">
        <v>8.07</v>
      </c>
      <c r="D68" s="112">
        <v>14.03</v>
      </c>
      <c r="E68" s="112">
        <v>10.11</v>
      </c>
      <c r="F68" s="112">
        <v>12.96</v>
      </c>
      <c r="G68" s="112">
        <v>52.47</v>
      </c>
      <c r="H68" s="112">
        <v>25.47</v>
      </c>
      <c r="I68" s="112">
        <v>7.38</v>
      </c>
      <c r="J68" s="112">
        <v>0.17</v>
      </c>
      <c r="K68" s="112">
        <v>118.48</v>
      </c>
      <c r="L68" s="112">
        <v>30.32</v>
      </c>
      <c r="M68" s="112">
        <v>43.35</v>
      </c>
      <c r="N68" s="112">
        <v>99.1</v>
      </c>
      <c r="O68" s="112">
        <v>0</v>
      </c>
      <c r="P68" s="112">
        <v>0.63</v>
      </c>
      <c r="Q68" s="112">
        <v>4.3</v>
      </c>
    </row>
    <row r="69" spans="1:17" customFormat="1">
      <c r="A69" s="80">
        <v>45605.635416666664</v>
      </c>
      <c r="B69" s="112">
        <v>5.29</v>
      </c>
      <c r="C69" s="112">
        <v>8.0500000000000007</v>
      </c>
      <c r="D69" s="112">
        <v>14.01</v>
      </c>
      <c r="E69" s="112">
        <v>10.51</v>
      </c>
      <c r="F69" s="112">
        <v>12.4</v>
      </c>
      <c r="G69" s="112">
        <v>52.47</v>
      </c>
      <c r="H69" s="112">
        <v>25.47</v>
      </c>
      <c r="I69" s="112">
        <v>7.26</v>
      </c>
      <c r="J69" s="112">
        <v>0.25</v>
      </c>
      <c r="K69" s="112">
        <v>101.06</v>
      </c>
      <c r="L69" s="112">
        <v>30.06</v>
      </c>
      <c r="M69" s="112">
        <v>44.13</v>
      </c>
      <c r="N69" s="112">
        <v>74.099999999999994</v>
      </c>
      <c r="O69" s="112">
        <v>0</v>
      </c>
      <c r="P69" s="112">
        <v>0.63</v>
      </c>
      <c r="Q69" s="112">
        <v>4.3099999999999996</v>
      </c>
    </row>
    <row r="70" spans="1:17" customFormat="1">
      <c r="A70" s="80">
        <v>45605.645833333336</v>
      </c>
      <c r="B70" s="112">
        <v>5.28</v>
      </c>
      <c r="C70" s="112">
        <v>8.06</v>
      </c>
      <c r="D70" s="112">
        <v>14.01</v>
      </c>
      <c r="E70" s="112">
        <v>10.210000000000001</v>
      </c>
      <c r="F70" s="112">
        <v>14.75</v>
      </c>
      <c r="G70" s="112">
        <v>52.47</v>
      </c>
      <c r="H70" s="112">
        <v>25.47</v>
      </c>
      <c r="I70" s="112">
        <v>7.16</v>
      </c>
      <c r="J70" s="112">
        <v>0.2</v>
      </c>
      <c r="K70" s="112">
        <v>48.98</v>
      </c>
      <c r="L70" s="112">
        <v>29.75</v>
      </c>
      <c r="M70" s="112">
        <v>43.97</v>
      </c>
      <c r="N70" s="112">
        <v>67.8</v>
      </c>
      <c r="O70" s="112">
        <v>0</v>
      </c>
      <c r="P70" s="112">
        <v>0.62</v>
      </c>
      <c r="Q70" s="112">
        <v>4.3099999999999996</v>
      </c>
    </row>
    <row r="71" spans="1:17" customFormat="1">
      <c r="A71" s="80">
        <v>45605.65625</v>
      </c>
      <c r="B71" s="112">
        <v>5.28</v>
      </c>
      <c r="C71" s="112">
        <v>8.06</v>
      </c>
      <c r="D71" s="112">
        <v>14.01</v>
      </c>
      <c r="E71" s="112">
        <v>10.77</v>
      </c>
      <c r="F71" s="112">
        <v>11.74</v>
      </c>
      <c r="G71" s="112">
        <v>55.74</v>
      </c>
      <c r="H71" s="112">
        <v>26.35</v>
      </c>
      <c r="I71" s="112">
        <v>7.11</v>
      </c>
      <c r="J71" s="112">
        <v>0.26</v>
      </c>
      <c r="K71" s="112">
        <v>169.52</v>
      </c>
      <c r="L71" s="112">
        <v>29.18</v>
      </c>
      <c r="M71" s="112">
        <v>50.09</v>
      </c>
      <c r="N71" s="112">
        <v>54.9</v>
      </c>
      <c r="O71" s="112">
        <v>0</v>
      </c>
      <c r="P71" s="112">
        <v>0.62</v>
      </c>
      <c r="Q71" s="112">
        <v>4.3099999999999996</v>
      </c>
    </row>
    <row r="72" spans="1:17" customFormat="1">
      <c r="A72" s="80">
        <v>45605.666666666664</v>
      </c>
      <c r="B72" s="112">
        <v>5.26</v>
      </c>
      <c r="C72" s="112">
        <v>8.07</v>
      </c>
      <c r="D72" s="112">
        <v>14</v>
      </c>
      <c r="E72" s="112">
        <v>10.82</v>
      </c>
      <c r="F72" s="112">
        <v>11.55</v>
      </c>
      <c r="G72" s="112">
        <v>55.81</v>
      </c>
      <c r="H72" s="112">
        <v>26.35</v>
      </c>
      <c r="I72" s="112">
        <v>7.15</v>
      </c>
      <c r="J72" s="112">
        <v>0.18</v>
      </c>
      <c r="K72" s="112">
        <v>181.25</v>
      </c>
      <c r="L72" s="112">
        <v>28.77</v>
      </c>
      <c r="M72" s="112">
        <v>47.98</v>
      </c>
      <c r="N72" s="112">
        <v>45.8</v>
      </c>
      <c r="O72" s="112">
        <v>0</v>
      </c>
      <c r="P72" s="112">
        <v>0.61</v>
      </c>
      <c r="Q72" s="112">
        <v>4.3099999999999996</v>
      </c>
    </row>
    <row r="73" spans="1:17" customFormat="1">
      <c r="A73" s="80">
        <v>45605.677083333336</v>
      </c>
      <c r="B73" s="112">
        <v>5.27</v>
      </c>
      <c r="C73" s="112">
        <v>8.08</v>
      </c>
      <c r="D73" s="112">
        <v>14.01</v>
      </c>
      <c r="E73" s="112">
        <v>10.35</v>
      </c>
      <c r="F73" s="112">
        <v>11.25</v>
      </c>
      <c r="G73" s="112">
        <v>55.81</v>
      </c>
      <c r="H73" s="112">
        <v>26.35</v>
      </c>
      <c r="I73" s="112">
        <v>7.17</v>
      </c>
      <c r="J73" s="112">
        <v>0.13</v>
      </c>
      <c r="K73" s="112">
        <v>129.19999999999999</v>
      </c>
      <c r="L73" s="112">
        <v>28.7</v>
      </c>
      <c r="M73" s="112">
        <v>49.81</v>
      </c>
      <c r="N73" s="112">
        <v>35</v>
      </c>
      <c r="O73" s="112">
        <v>0</v>
      </c>
      <c r="P73" s="112">
        <v>0.62</v>
      </c>
      <c r="Q73" s="112">
        <v>4.32</v>
      </c>
    </row>
    <row r="74" spans="1:17" customFormat="1">
      <c r="A74" s="80">
        <v>45605.6875</v>
      </c>
      <c r="B74" s="112">
        <v>5.27</v>
      </c>
      <c r="C74" s="112">
        <v>8.09</v>
      </c>
      <c r="D74" s="112">
        <v>14.02</v>
      </c>
      <c r="E74" s="112">
        <v>10.130000000000001</v>
      </c>
      <c r="F74" s="112">
        <v>10.220000000000001</v>
      </c>
      <c r="G74" s="112">
        <v>55.81</v>
      </c>
      <c r="H74" s="112">
        <v>26.35</v>
      </c>
      <c r="I74" s="112">
        <v>7.13</v>
      </c>
      <c r="J74" s="112">
        <v>0.15</v>
      </c>
      <c r="K74" s="112">
        <v>138.31</v>
      </c>
      <c r="L74" s="112">
        <v>28.15</v>
      </c>
      <c r="M74" s="112">
        <v>53.35</v>
      </c>
      <c r="N74" s="112">
        <v>26</v>
      </c>
      <c r="O74" s="112">
        <v>0</v>
      </c>
      <c r="P74" s="112">
        <v>0.62</v>
      </c>
      <c r="Q74" s="112">
        <v>4.29</v>
      </c>
    </row>
    <row r="75" spans="1:17" customFormat="1">
      <c r="A75" s="80">
        <v>45605.697916666664</v>
      </c>
      <c r="B75" s="112">
        <v>5.28</v>
      </c>
      <c r="C75" s="112">
        <v>8.06</v>
      </c>
      <c r="D75" s="112">
        <v>14.01</v>
      </c>
      <c r="E75" s="112">
        <v>10.8</v>
      </c>
      <c r="F75" s="112">
        <v>9.91</v>
      </c>
      <c r="G75" s="112">
        <v>57.36</v>
      </c>
      <c r="H75" s="112">
        <v>25.16</v>
      </c>
      <c r="I75" s="112">
        <v>7.05</v>
      </c>
      <c r="J75" s="112">
        <v>0.16</v>
      </c>
      <c r="K75" s="112">
        <v>150.30000000000001</v>
      </c>
      <c r="L75" s="112">
        <v>27.67</v>
      </c>
      <c r="M75" s="112">
        <v>54.96</v>
      </c>
      <c r="N75" s="112">
        <v>16.8</v>
      </c>
      <c r="O75" s="112">
        <v>0</v>
      </c>
      <c r="P75" s="112">
        <v>0.61</v>
      </c>
      <c r="Q75" s="112">
        <v>4.3099999999999996</v>
      </c>
    </row>
    <row r="76" spans="1:17" customFormat="1">
      <c r="A76" s="80">
        <v>45605.708333333336</v>
      </c>
      <c r="B76" s="112">
        <v>5.28</v>
      </c>
      <c r="C76" s="112">
        <v>8.09</v>
      </c>
      <c r="D76" s="112">
        <v>14.03</v>
      </c>
      <c r="E76" s="112">
        <v>11.27</v>
      </c>
      <c r="F76" s="112">
        <v>8.27</v>
      </c>
      <c r="G76" s="112">
        <v>57.4</v>
      </c>
      <c r="H76" s="112">
        <v>25.16</v>
      </c>
      <c r="I76" s="112">
        <v>7.03</v>
      </c>
      <c r="J76" s="112">
        <v>0.31</v>
      </c>
      <c r="K76" s="112">
        <v>168.06</v>
      </c>
      <c r="L76" s="112">
        <v>27.06</v>
      </c>
      <c r="M76" s="112">
        <v>57.94</v>
      </c>
      <c r="N76" s="112">
        <v>8.6999999999999993</v>
      </c>
      <c r="O76" s="112">
        <v>0</v>
      </c>
      <c r="P76" s="112">
        <v>0.61</v>
      </c>
      <c r="Q76" s="112">
        <v>4.3099999999999996</v>
      </c>
    </row>
    <row r="77" spans="1:17" customFormat="1">
      <c r="A77" s="80">
        <v>45605.71875</v>
      </c>
      <c r="B77" s="112">
        <v>5.3</v>
      </c>
      <c r="C77" s="112">
        <v>8.1</v>
      </c>
      <c r="D77" s="112">
        <v>14.05</v>
      </c>
      <c r="E77" s="112">
        <v>10.57</v>
      </c>
      <c r="F77" s="112">
        <v>6.84</v>
      </c>
      <c r="G77" s="112">
        <v>57.4</v>
      </c>
      <c r="H77" s="112">
        <v>25.16</v>
      </c>
      <c r="I77" s="112">
        <v>7.03</v>
      </c>
      <c r="J77" s="112">
        <v>0.33</v>
      </c>
      <c r="K77" s="112">
        <v>166.88</v>
      </c>
      <c r="L77" s="112">
        <v>26.57</v>
      </c>
      <c r="M77" s="112">
        <v>60.13</v>
      </c>
      <c r="N77" s="112">
        <v>3.8</v>
      </c>
      <c r="O77" s="112">
        <v>0</v>
      </c>
      <c r="P77" s="112">
        <v>0.62</v>
      </c>
      <c r="Q77" s="112">
        <v>4.3099999999999996</v>
      </c>
    </row>
    <row r="78" spans="1:17" customFormat="1">
      <c r="A78" s="80">
        <v>45605.729166666664</v>
      </c>
      <c r="B78" s="112">
        <v>5.31</v>
      </c>
      <c r="C78" s="112">
        <v>8.08</v>
      </c>
      <c r="D78" s="112">
        <v>14.05</v>
      </c>
      <c r="E78" s="112">
        <v>11.14</v>
      </c>
      <c r="F78" s="112">
        <v>6.38</v>
      </c>
      <c r="G78" s="112">
        <v>57.4</v>
      </c>
      <c r="H78" s="112">
        <v>25.16</v>
      </c>
      <c r="I78" s="112">
        <v>7.12</v>
      </c>
      <c r="J78" s="112">
        <v>0.22</v>
      </c>
      <c r="K78" s="112">
        <v>170.96</v>
      </c>
      <c r="L78" s="112">
        <v>26.23</v>
      </c>
      <c r="M78" s="112">
        <v>60.51</v>
      </c>
      <c r="N78" s="112">
        <v>2.1</v>
      </c>
      <c r="O78" s="112">
        <v>0</v>
      </c>
      <c r="P78" s="112">
        <v>0.63</v>
      </c>
      <c r="Q78" s="112">
        <v>4.3099999999999996</v>
      </c>
    </row>
    <row r="79" spans="1:17" customFormat="1">
      <c r="A79" s="80">
        <v>45605.739583333336</v>
      </c>
      <c r="B79" s="112">
        <v>5.31</v>
      </c>
      <c r="C79" s="112">
        <v>8.07</v>
      </c>
      <c r="D79" s="112">
        <v>14.04</v>
      </c>
      <c r="E79" s="112">
        <v>10.82</v>
      </c>
      <c r="F79" s="112">
        <v>6.13</v>
      </c>
      <c r="G79" s="112">
        <v>82.36</v>
      </c>
      <c r="H79" s="112">
        <v>27.35</v>
      </c>
      <c r="I79" s="112">
        <v>7.22</v>
      </c>
      <c r="J79" s="112">
        <v>0.23</v>
      </c>
      <c r="K79" s="112">
        <v>173.02</v>
      </c>
      <c r="L79" s="112">
        <v>26.05</v>
      </c>
      <c r="M79" s="112">
        <v>60.53</v>
      </c>
      <c r="N79" s="112">
        <v>1.9</v>
      </c>
      <c r="O79" s="112">
        <v>0</v>
      </c>
      <c r="P79" s="112">
        <v>0.64</v>
      </c>
      <c r="Q79" s="112">
        <v>4.3</v>
      </c>
    </row>
    <row r="80" spans="1:17" customFormat="1">
      <c r="A80" s="80">
        <v>45605.75</v>
      </c>
      <c r="B80" s="112">
        <v>5.31</v>
      </c>
      <c r="C80" s="112">
        <v>8.06</v>
      </c>
      <c r="D80" s="112">
        <v>14.04</v>
      </c>
      <c r="E80" s="112">
        <v>11.3</v>
      </c>
      <c r="F80" s="112">
        <v>5.71</v>
      </c>
      <c r="G80" s="112">
        <v>82.93</v>
      </c>
      <c r="H80" s="112">
        <v>27.35</v>
      </c>
      <c r="I80" s="112">
        <v>7.37</v>
      </c>
      <c r="J80" s="112">
        <v>0.24</v>
      </c>
      <c r="K80" s="112">
        <v>169.49</v>
      </c>
      <c r="L80" s="112">
        <v>25.65</v>
      </c>
      <c r="M80" s="112">
        <v>63.44</v>
      </c>
      <c r="N80" s="112">
        <v>2</v>
      </c>
      <c r="O80" s="112">
        <v>0</v>
      </c>
      <c r="P80" s="112">
        <v>0.66</v>
      </c>
      <c r="Q80" s="112">
        <v>4.3</v>
      </c>
    </row>
    <row r="81" spans="1:17" customFormat="1">
      <c r="A81" s="80">
        <v>45605.760416666664</v>
      </c>
      <c r="B81" s="112">
        <v>5.34</v>
      </c>
      <c r="C81" s="112">
        <v>8.07</v>
      </c>
      <c r="D81" s="112">
        <v>14.07</v>
      </c>
      <c r="E81" s="112">
        <v>8.93</v>
      </c>
      <c r="F81" s="112">
        <v>5.73</v>
      </c>
      <c r="G81" s="112">
        <v>82.93</v>
      </c>
      <c r="H81" s="112">
        <v>27.35</v>
      </c>
      <c r="I81" s="112">
        <v>7.56</v>
      </c>
      <c r="J81" s="112">
        <v>0.18</v>
      </c>
      <c r="K81" s="112">
        <v>182.79</v>
      </c>
      <c r="L81" s="112">
        <v>25.2</v>
      </c>
      <c r="M81" s="112">
        <v>73.06</v>
      </c>
      <c r="N81" s="112">
        <v>2</v>
      </c>
      <c r="O81" s="112">
        <v>0</v>
      </c>
      <c r="P81" s="112">
        <v>0.68</v>
      </c>
      <c r="Q81" s="112">
        <v>4.3099999999999996</v>
      </c>
    </row>
    <row r="82" spans="1:17" customFormat="1">
      <c r="A82" s="80">
        <v>45605.770833333336</v>
      </c>
      <c r="B82" s="112">
        <v>5.32</v>
      </c>
      <c r="C82" s="112">
        <v>8.07</v>
      </c>
      <c r="D82" s="112">
        <v>14.05</v>
      </c>
      <c r="E82" s="112">
        <v>10.47</v>
      </c>
      <c r="F82" s="112">
        <v>5.53</v>
      </c>
      <c r="G82" s="112">
        <v>82.93</v>
      </c>
      <c r="H82" s="112">
        <v>27.35</v>
      </c>
      <c r="I82" s="112">
        <v>7.64</v>
      </c>
      <c r="J82" s="112">
        <v>0.23</v>
      </c>
      <c r="K82" s="112">
        <v>186.22</v>
      </c>
      <c r="L82" s="112">
        <v>24.67</v>
      </c>
      <c r="M82" s="112">
        <v>79.45</v>
      </c>
      <c r="N82" s="112">
        <v>2</v>
      </c>
      <c r="O82" s="112">
        <v>0</v>
      </c>
      <c r="P82" s="112">
        <v>0.7</v>
      </c>
      <c r="Q82" s="112">
        <v>4.3099999999999996</v>
      </c>
    </row>
    <row r="83" spans="1:17" customFormat="1">
      <c r="A83" s="80">
        <v>45605.78125</v>
      </c>
      <c r="B83" s="112">
        <v>5.32</v>
      </c>
      <c r="C83" s="112">
        <v>8.0500000000000007</v>
      </c>
      <c r="D83" s="112">
        <v>14.04</v>
      </c>
      <c r="E83" s="112">
        <v>10.17</v>
      </c>
      <c r="F83" s="112">
        <v>5.73</v>
      </c>
      <c r="G83" s="112">
        <v>99.68</v>
      </c>
      <c r="H83" s="112">
        <v>33.729999999999997</v>
      </c>
      <c r="I83" s="112">
        <v>7.91</v>
      </c>
      <c r="J83" s="112">
        <v>0.16</v>
      </c>
      <c r="K83" s="112">
        <v>165.26</v>
      </c>
      <c r="L83" s="112">
        <v>24.41</v>
      </c>
      <c r="M83" s="112">
        <v>78</v>
      </c>
      <c r="N83" s="112">
        <v>1.7</v>
      </c>
      <c r="O83" s="112">
        <v>0</v>
      </c>
      <c r="P83" s="112">
        <v>0.72</v>
      </c>
      <c r="Q83" s="112">
        <v>4.32</v>
      </c>
    </row>
    <row r="84" spans="1:17" customFormat="1">
      <c r="A84" s="80">
        <v>45605.791666666664</v>
      </c>
      <c r="B84" s="112">
        <v>5.31</v>
      </c>
      <c r="C84" s="112">
        <v>8.07</v>
      </c>
      <c r="D84" s="112">
        <v>14.04</v>
      </c>
      <c r="E84" s="112">
        <v>10.52</v>
      </c>
      <c r="F84" s="112">
        <v>5.7</v>
      </c>
      <c r="G84" s="112">
        <v>100.06</v>
      </c>
      <c r="H84" s="112">
        <v>33.729999999999997</v>
      </c>
      <c r="I84" s="112">
        <v>8.19</v>
      </c>
      <c r="J84" s="112">
        <v>0.21</v>
      </c>
      <c r="K84" s="112">
        <v>171.17</v>
      </c>
      <c r="L84" s="112">
        <v>24.64</v>
      </c>
      <c r="M84" s="112">
        <v>71.59</v>
      </c>
      <c r="N84" s="112">
        <v>1.5</v>
      </c>
      <c r="O84" s="112">
        <v>0</v>
      </c>
      <c r="P84" s="112">
        <v>0.72</v>
      </c>
      <c r="Q84" s="112">
        <v>4.32</v>
      </c>
    </row>
    <row r="85" spans="1:17" customFormat="1">
      <c r="A85" s="80">
        <v>45605.802083333336</v>
      </c>
      <c r="B85" s="112">
        <v>5.32</v>
      </c>
      <c r="C85" s="112">
        <v>8.07</v>
      </c>
      <c r="D85" s="112">
        <v>14.05</v>
      </c>
      <c r="E85" s="112">
        <v>10.92</v>
      </c>
      <c r="F85" s="112">
        <v>5.91</v>
      </c>
      <c r="G85" s="112">
        <v>100.06</v>
      </c>
      <c r="H85" s="112">
        <v>33.729999999999997</v>
      </c>
      <c r="I85" s="112">
        <v>8.3699999999999992</v>
      </c>
      <c r="J85" s="112">
        <v>0.19</v>
      </c>
      <c r="K85" s="112">
        <v>182.98</v>
      </c>
      <c r="L85" s="112">
        <v>24.47</v>
      </c>
      <c r="M85" s="112">
        <v>73.13</v>
      </c>
      <c r="N85" s="112">
        <v>1.7</v>
      </c>
      <c r="O85" s="112">
        <v>0</v>
      </c>
      <c r="P85" s="112">
        <v>0.76</v>
      </c>
      <c r="Q85" s="112">
        <v>4.29</v>
      </c>
    </row>
    <row r="86" spans="1:17" customFormat="1">
      <c r="A86" s="80">
        <v>45605.8125</v>
      </c>
      <c r="B86" s="112">
        <v>5.32</v>
      </c>
      <c r="C86" s="112">
        <v>8.08</v>
      </c>
      <c r="D86" s="112">
        <v>14.06</v>
      </c>
      <c r="E86" s="112">
        <v>10.65</v>
      </c>
      <c r="F86" s="112">
        <v>5.66</v>
      </c>
      <c r="G86" s="112">
        <v>100.06</v>
      </c>
      <c r="H86" s="112">
        <v>33.729999999999997</v>
      </c>
      <c r="I86" s="112">
        <v>8.58</v>
      </c>
      <c r="J86" s="112">
        <v>0.21</v>
      </c>
      <c r="K86" s="112">
        <v>174.01</v>
      </c>
      <c r="L86" s="112">
        <v>24.29</v>
      </c>
      <c r="M86" s="112">
        <v>82.51</v>
      </c>
      <c r="N86" s="112">
        <v>1.7</v>
      </c>
      <c r="O86" s="112">
        <v>0</v>
      </c>
      <c r="P86" s="112">
        <v>0.78</v>
      </c>
      <c r="Q86" s="112">
        <v>4.3099999999999996</v>
      </c>
    </row>
    <row r="87" spans="1:17" customFormat="1">
      <c r="A87" s="80">
        <v>45605.822916666664</v>
      </c>
      <c r="B87" s="112">
        <v>5.31</v>
      </c>
      <c r="C87" s="112">
        <v>8.11</v>
      </c>
      <c r="D87" s="112">
        <v>14.07</v>
      </c>
      <c r="E87" s="112">
        <v>10.69</v>
      </c>
      <c r="F87" s="112">
        <v>5.49</v>
      </c>
      <c r="G87" s="112">
        <v>114.44</v>
      </c>
      <c r="H87" s="112">
        <v>36.28</v>
      </c>
      <c r="I87" s="112">
        <v>8.8000000000000007</v>
      </c>
      <c r="J87" s="112">
        <v>0.01</v>
      </c>
      <c r="K87" s="112">
        <v>300.72000000000003</v>
      </c>
      <c r="L87" s="112">
        <v>24.32</v>
      </c>
      <c r="M87" s="112">
        <v>79.03</v>
      </c>
      <c r="N87" s="112">
        <v>1.6</v>
      </c>
      <c r="O87" s="112">
        <v>0</v>
      </c>
      <c r="P87" s="112">
        <v>0.8</v>
      </c>
      <c r="Q87" s="112">
        <v>4.33</v>
      </c>
    </row>
    <row r="88" spans="1:17" customFormat="1">
      <c r="A88" s="80">
        <v>45605.833333333336</v>
      </c>
      <c r="B88" s="112">
        <v>5.32</v>
      </c>
      <c r="C88" s="112">
        <v>8.1</v>
      </c>
      <c r="D88" s="112">
        <v>14.07</v>
      </c>
      <c r="E88" s="112">
        <v>10.8</v>
      </c>
      <c r="F88" s="112">
        <v>5.84</v>
      </c>
      <c r="G88" s="112">
        <v>114.77</v>
      </c>
      <c r="H88" s="112">
        <v>36.28</v>
      </c>
      <c r="I88" s="112">
        <v>9.08</v>
      </c>
      <c r="J88" s="112">
        <v>0.11</v>
      </c>
      <c r="K88" s="112">
        <v>88.2</v>
      </c>
      <c r="L88" s="112">
        <v>25.08</v>
      </c>
      <c r="M88" s="112">
        <v>66.78</v>
      </c>
      <c r="N88" s="112">
        <v>1.4</v>
      </c>
      <c r="O88" s="112">
        <v>0</v>
      </c>
      <c r="P88" s="112">
        <v>0.81</v>
      </c>
      <c r="Q88" s="112">
        <v>4.3099999999999996</v>
      </c>
    </row>
    <row r="89" spans="1:17" customFormat="1">
      <c r="A89" s="80">
        <v>45605.84375</v>
      </c>
      <c r="B89" s="112">
        <v>5.35</v>
      </c>
      <c r="C89" s="112">
        <v>8.08</v>
      </c>
      <c r="D89" s="112">
        <v>14.08</v>
      </c>
      <c r="E89" s="112">
        <v>10.71</v>
      </c>
      <c r="F89" s="112">
        <v>5.66</v>
      </c>
      <c r="G89" s="112">
        <v>114.77</v>
      </c>
      <c r="H89" s="112">
        <v>36.28</v>
      </c>
      <c r="I89" s="112">
        <v>9.2799999999999994</v>
      </c>
      <c r="J89" s="112">
        <v>0.11</v>
      </c>
      <c r="K89" s="112">
        <v>116.31</v>
      </c>
      <c r="L89" s="112">
        <v>25.19</v>
      </c>
      <c r="M89" s="112">
        <v>65.959999999999994</v>
      </c>
      <c r="N89" s="112">
        <v>1.8</v>
      </c>
      <c r="O89" s="112">
        <v>0</v>
      </c>
      <c r="P89" s="112">
        <v>0.82</v>
      </c>
      <c r="Q89" s="112">
        <v>4.3</v>
      </c>
    </row>
    <row r="90" spans="1:17" customFormat="1">
      <c r="A90" s="80">
        <v>45605.854166666664</v>
      </c>
      <c r="B90" s="112">
        <v>5.36</v>
      </c>
      <c r="C90" s="112">
        <v>8.08</v>
      </c>
      <c r="D90" s="112">
        <v>14.09</v>
      </c>
      <c r="E90" s="112">
        <v>10.84</v>
      </c>
      <c r="F90" s="112">
        <v>5.7</v>
      </c>
      <c r="G90" s="112">
        <v>114.77</v>
      </c>
      <c r="H90" s="112">
        <v>36.28</v>
      </c>
      <c r="I90" s="112">
        <v>9.41</v>
      </c>
      <c r="J90" s="112">
        <v>0.17</v>
      </c>
      <c r="K90" s="112">
        <v>172.21</v>
      </c>
      <c r="L90" s="112">
        <v>24.83</v>
      </c>
      <c r="M90" s="112">
        <v>67.59</v>
      </c>
      <c r="N90" s="112">
        <v>2.1</v>
      </c>
      <c r="O90" s="112">
        <v>0</v>
      </c>
      <c r="P90" s="112">
        <v>0.84</v>
      </c>
      <c r="Q90" s="112">
        <v>4.3099999999999996</v>
      </c>
    </row>
    <row r="91" spans="1:17" customFormat="1">
      <c r="A91" s="80">
        <v>45605.864583333336</v>
      </c>
      <c r="B91" s="112">
        <v>5.37</v>
      </c>
      <c r="C91" s="112">
        <v>8.1</v>
      </c>
      <c r="D91" s="112">
        <v>14.1</v>
      </c>
      <c r="E91" s="112">
        <v>10.96</v>
      </c>
      <c r="F91" s="112">
        <v>5.83</v>
      </c>
      <c r="G91" s="112">
        <v>119.93</v>
      </c>
      <c r="H91" s="112">
        <v>29.47</v>
      </c>
      <c r="I91" s="112">
        <v>9.5299999999999994</v>
      </c>
      <c r="J91" s="112">
        <v>0.17</v>
      </c>
      <c r="K91" s="112">
        <v>184.14</v>
      </c>
      <c r="L91" s="112">
        <v>24.27</v>
      </c>
      <c r="M91" s="112">
        <v>72.290000000000006</v>
      </c>
      <c r="N91" s="112">
        <v>2.1</v>
      </c>
      <c r="O91" s="112">
        <v>0</v>
      </c>
      <c r="P91" s="112">
        <v>0.83</v>
      </c>
      <c r="Q91" s="112">
        <v>4.3099999999999996</v>
      </c>
    </row>
    <row r="92" spans="1:17" customFormat="1">
      <c r="A92" s="80">
        <v>45605.875</v>
      </c>
      <c r="B92" s="112">
        <v>5.36</v>
      </c>
      <c r="C92" s="112">
        <v>8.07</v>
      </c>
      <c r="D92" s="112">
        <v>14.08</v>
      </c>
      <c r="E92" s="112">
        <v>11.47</v>
      </c>
      <c r="F92" s="112">
        <v>5.62</v>
      </c>
      <c r="G92" s="112">
        <v>120.04</v>
      </c>
      <c r="H92" s="112">
        <v>29.47</v>
      </c>
      <c r="I92" s="112">
        <v>9.58</v>
      </c>
      <c r="J92" s="112">
        <v>0.11</v>
      </c>
      <c r="K92" s="112">
        <v>146.21</v>
      </c>
      <c r="L92" s="112">
        <v>23.96</v>
      </c>
      <c r="M92" s="112">
        <v>75.3</v>
      </c>
      <c r="N92" s="112">
        <v>1.8</v>
      </c>
      <c r="O92" s="112">
        <v>0</v>
      </c>
      <c r="P92" s="112">
        <v>0.84</v>
      </c>
      <c r="Q92" s="112">
        <v>4.3099999999999996</v>
      </c>
    </row>
    <row r="93" spans="1:17" customFormat="1">
      <c r="A93" s="80">
        <v>45605.885416666664</v>
      </c>
      <c r="B93" s="112">
        <v>5.34</v>
      </c>
      <c r="C93" s="112">
        <v>8.1</v>
      </c>
      <c r="D93" s="112">
        <v>14.08</v>
      </c>
      <c r="E93" s="112">
        <v>11.3</v>
      </c>
      <c r="F93" s="112">
        <v>5.88</v>
      </c>
      <c r="G93" s="112">
        <v>120.04</v>
      </c>
      <c r="H93" s="112">
        <v>29.47</v>
      </c>
      <c r="I93" s="112">
        <v>9.65</v>
      </c>
      <c r="J93" s="112">
        <v>0.16</v>
      </c>
      <c r="K93" s="112">
        <v>109.27</v>
      </c>
      <c r="L93" s="112">
        <v>24</v>
      </c>
      <c r="M93" s="112">
        <v>73</v>
      </c>
      <c r="N93" s="112">
        <v>1.5</v>
      </c>
      <c r="O93" s="112">
        <v>0</v>
      </c>
      <c r="P93" s="112">
        <v>0.85</v>
      </c>
      <c r="Q93" s="112">
        <v>4.3</v>
      </c>
    </row>
    <row r="94" spans="1:17" customFormat="1">
      <c r="A94" s="80">
        <v>45605.895833333336</v>
      </c>
      <c r="B94" s="112">
        <v>5.35</v>
      </c>
      <c r="C94" s="112">
        <v>8.08</v>
      </c>
      <c r="D94" s="112">
        <v>14.08</v>
      </c>
      <c r="E94" s="112">
        <v>10.26</v>
      </c>
      <c r="F94" s="112">
        <v>5.94</v>
      </c>
      <c r="G94" s="112">
        <v>120.04</v>
      </c>
      <c r="H94" s="112">
        <v>29.47</v>
      </c>
      <c r="I94" s="112">
        <v>9.68</v>
      </c>
      <c r="J94" s="112">
        <v>0.14000000000000001</v>
      </c>
      <c r="K94" s="112">
        <v>110.48</v>
      </c>
      <c r="L94" s="112">
        <v>24.33</v>
      </c>
      <c r="M94" s="112">
        <v>69.2</v>
      </c>
      <c r="N94" s="112">
        <v>1.5</v>
      </c>
      <c r="O94" s="112">
        <v>0</v>
      </c>
      <c r="P94" s="112">
        <v>0.87</v>
      </c>
      <c r="Q94" s="112">
        <v>4.3</v>
      </c>
    </row>
    <row r="95" spans="1:17" customFormat="1">
      <c r="A95" s="80">
        <v>45605.90625</v>
      </c>
      <c r="B95" s="112">
        <v>5.35</v>
      </c>
      <c r="C95" s="112">
        <v>8.1</v>
      </c>
      <c r="D95" s="112">
        <v>14.08</v>
      </c>
      <c r="E95" s="112">
        <v>10.72</v>
      </c>
      <c r="F95" s="112">
        <v>5.69</v>
      </c>
      <c r="G95" s="112">
        <v>129.93</v>
      </c>
      <c r="H95" s="112">
        <v>31.63</v>
      </c>
      <c r="I95" s="112">
        <v>9.68</v>
      </c>
      <c r="J95" s="112">
        <v>0.14000000000000001</v>
      </c>
      <c r="K95" s="112">
        <v>114.95</v>
      </c>
      <c r="L95" s="112">
        <v>24.47</v>
      </c>
      <c r="M95" s="112">
        <v>66.569999999999993</v>
      </c>
      <c r="N95" s="112">
        <v>1.5</v>
      </c>
      <c r="O95" s="112">
        <v>0</v>
      </c>
      <c r="P95" s="112">
        <v>0.88</v>
      </c>
      <c r="Q95" s="112">
        <v>4.3099999999999996</v>
      </c>
    </row>
    <row r="96" spans="1:17" customFormat="1">
      <c r="A96" s="80">
        <v>45605.916666666664</v>
      </c>
      <c r="B96" s="112">
        <v>5.36</v>
      </c>
      <c r="C96" s="112">
        <v>8.07</v>
      </c>
      <c r="D96" s="112">
        <v>14.09</v>
      </c>
      <c r="E96" s="112">
        <v>10.46</v>
      </c>
      <c r="F96" s="112">
        <v>5.64</v>
      </c>
      <c r="G96" s="112">
        <v>130.15</v>
      </c>
      <c r="H96" s="112">
        <v>31.63</v>
      </c>
      <c r="I96" s="112">
        <v>9.73</v>
      </c>
      <c r="J96" s="112">
        <v>0.17</v>
      </c>
      <c r="K96" s="112">
        <v>167.04</v>
      </c>
      <c r="L96" s="112">
        <v>24.06</v>
      </c>
      <c r="M96" s="112">
        <v>70.11</v>
      </c>
      <c r="N96" s="112">
        <v>2</v>
      </c>
      <c r="O96" s="112">
        <v>0</v>
      </c>
      <c r="P96" s="112">
        <v>0.88</v>
      </c>
      <c r="Q96" s="112">
        <v>4.3099999999999996</v>
      </c>
    </row>
    <row r="97" spans="1:22" customFormat="1">
      <c r="A97" s="80">
        <v>45605.927083333336</v>
      </c>
      <c r="B97" s="112">
        <v>5.34</v>
      </c>
      <c r="C97" s="112">
        <v>8.07</v>
      </c>
      <c r="D97" s="112">
        <v>14.07</v>
      </c>
      <c r="E97" s="112">
        <v>10.16</v>
      </c>
      <c r="F97" s="112">
        <v>5.42</v>
      </c>
      <c r="G97" s="112">
        <v>130.15</v>
      </c>
      <c r="H97" s="112">
        <v>31.63</v>
      </c>
      <c r="I97" s="112">
        <v>9.7899999999999991</v>
      </c>
      <c r="J97" s="112">
        <v>0.18</v>
      </c>
      <c r="K97" s="112">
        <v>181.52</v>
      </c>
      <c r="L97" s="112">
        <v>23.75</v>
      </c>
      <c r="M97" s="112">
        <v>72.36</v>
      </c>
      <c r="N97" s="112">
        <v>1.8</v>
      </c>
      <c r="O97" s="112">
        <v>0</v>
      </c>
      <c r="P97" s="112">
        <v>0.88</v>
      </c>
      <c r="Q97" s="112">
        <v>4.3099999999999996</v>
      </c>
    </row>
    <row r="98" spans="1:22" customFormat="1">
      <c r="A98" s="80">
        <v>45605.9375</v>
      </c>
      <c r="B98" s="112">
        <v>5.33</v>
      </c>
      <c r="C98" s="112">
        <v>8.08</v>
      </c>
      <c r="D98" s="112">
        <v>14.06</v>
      </c>
      <c r="E98" s="112">
        <v>10.220000000000001</v>
      </c>
      <c r="F98" s="112">
        <v>5.78</v>
      </c>
      <c r="G98" s="112">
        <v>130.15</v>
      </c>
      <c r="H98" s="112">
        <v>31.63</v>
      </c>
      <c r="I98" s="112">
        <v>9.85</v>
      </c>
      <c r="J98" s="112">
        <v>0.23</v>
      </c>
      <c r="K98" s="112">
        <v>167.59</v>
      </c>
      <c r="L98" s="112">
        <v>23.35</v>
      </c>
      <c r="M98" s="112">
        <v>76.599999999999994</v>
      </c>
      <c r="N98" s="112">
        <v>1.9</v>
      </c>
      <c r="O98" s="112">
        <v>0</v>
      </c>
      <c r="P98" s="112">
        <v>0.87</v>
      </c>
      <c r="Q98" s="112">
        <v>4.3</v>
      </c>
    </row>
    <row r="99" spans="1:22" customFormat="1">
      <c r="A99" s="80">
        <v>45605.947916666664</v>
      </c>
      <c r="B99" s="112">
        <v>5.33</v>
      </c>
      <c r="C99" s="112">
        <v>8.06</v>
      </c>
      <c r="D99" s="112">
        <v>14.05</v>
      </c>
      <c r="E99" s="112">
        <v>10.11</v>
      </c>
      <c r="F99" s="112">
        <v>5.82</v>
      </c>
      <c r="G99" s="112">
        <v>117.41</v>
      </c>
      <c r="H99" s="112">
        <v>35.630000000000003</v>
      </c>
      <c r="I99" s="112">
        <v>9.81</v>
      </c>
      <c r="J99" s="112">
        <v>0.17</v>
      </c>
      <c r="K99" s="112">
        <v>197.37</v>
      </c>
      <c r="L99" s="112">
        <v>22.9</v>
      </c>
      <c r="M99" s="112">
        <v>80.66</v>
      </c>
      <c r="N99" s="112">
        <v>1.9</v>
      </c>
      <c r="O99" s="112">
        <v>0</v>
      </c>
      <c r="P99" s="112">
        <v>0.86</v>
      </c>
      <c r="Q99" s="112">
        <v>4.3</v>
      </c>
    </row>
    <row r="100" spans="1:22" customFormat="1">
      <c r="A100" s="80">
        <v>45605.958333333336</v>
      </c>
      <c r="B100" s="112">
        <v>5.33</v>
      </c>
      <c r="C100" s="112">
        <v>8.06</v>
      </c>
      <c r="D100" s="112">
        <v>14.05</v>
      </c>
      <c r="E100" s="112">
        <v>10.54</v>
      </c>
      <c r="F100" s="112">
        <v>5.75</v>
      </c>
      <c r="G100" s="112">
        <v>117.12</v>
      </c>
      <c r="H100" s="112">
        <v>35.630000000000003</v>
      </c>
      <c r="I100" s="112">
        <v>9.74</v>
      </c>
      <c r="J100" s="112">
        <v>0.19</v>
      </c>
      <c r="K100" s="112">
        <v>225.86</v>
      </c>
      <c r="L100" s="112">
        <v>22.67</v>
      </c>
      <c r="M100" s="112">
        <v>81.27</v>
      </c>
      <c r="N100" s="112">
        <v>1.7</v>
      </c>
      <c r="O100" s="112">
        <v>0</v>
      </c>
      <c r="P100" s="112">
        <v>0.86</v>
      </c>
      <c r="Q100" s="112">
        <v>4.29</v>
      </c>
    </row>
    <row r="101" spans="1:22" customFormat="1">
      <c r="A101" s="80">
        <v>45605.96875</v>
      </c>
      <c r="B101" s="112">
        <v>5.31</v>
      </c>
      <c r="C101" s="112">
        <v>8.09</v>
      </c>
      <c r="D101" s="112">
        <v>14.06</v>
      </c>
      <c r="E101" s="112">
        <v>10.28</v>
      </c>
      <c r="F101" s="112">
        <v>5.55</v>
      </c>
      <c r="G101" s="112">
        <v>117.12</v>
      </c>
      <c r="H101" s="112">
        <v>35.630000000000003</v>
      </c>
      <c r="I101" s="112">
        <v>9.6999999999999993</v>
      </c>
      <c r="J101" s="112">
        <v>0.19</v>
      </c>
      <c r="K101" s="112">
        <v>209.99</v>
      </c>
      <c r="L101" s="112">
        <v>22.4</v>
      </c>
      <c r="M101" s="112">
        <v>81.040000000000006</v>
      </c>
      <c r="N101" s="112">
        <v>1.7</v>
      </c>
      <c r="O101" s="112">
        <v>0</v>
      </c>
      <c r="P101" s="112">
        <v>0.84</v>
      </c>
      <c r="Q101" s="112">
        <v>4.3099999999999996</v>
      </c>
    </row>
    <row r="102" spans="1:22" customFormat="1">
      <c r="A102" s="80">
        <v>45605.979166666664</v>
      </c>
      <c r="B102" s="112">
        <v>5.3</v>
      </c>
      <c r="C102" s="112">
        <v>8.09</v>
      </c>
      <c r="D102" s="112">
        <v>14.05</v>
      </c>
      <c r="E102" s="112">
        <v>9.84</v>
      </c>
      <c r="F102" s="112">
        <v>5.67</v>
      </c>
      <c r="G102" s="112">
        <v>117.12</v>
      </c>
      <c r="H102" s="112">
        <v>35.630000000000003</v>
      </c>
      <c r="I102" s="112">
        <v>9.66</v>
      </c>
      <c r="J102" s="112">
        <v>0.16</v>
      </c>
      <c r="K102" s="112">
        <v>206.95</v>
      </c>
      <c r="L102" s="112">
        <v>22.16</v>
      </c>
      <c r="M102" s="112">
        <v>85.26</v>
      </c>
      <c r="N102" s="112">
        <v>1.7</v>
      </c>
      <c r="O102" s="112">
        <v>0</v>
      </c>
      <c r="P102" s="112">
        <v>0.83</v>
      </c>
      <c r="Q102" s="112">
        <v>4.3099999999999996</v>
      </c>
    </row>
    <row r="103" spans="1:22" customFormat="1">
      <c r="A103" s="80">
        <v>45605.989583333336</v>
      </c>
      <c r="B103" s="112">
        <v>5.32</v>
      </c>
      <c r="C103" s="112">
        <v>8.0500000000000007</v>
      </c>
      <c r="D103" s="112">
        <v>14.04</v>
      </c>
      <c r="E103" s="112">
        <v>9.77</v>
      </c>
      <c r="F103" s="112">
        <v>5.66</v>
      </c>
      <c r="G103" s="112">
        <v>96.12</v>
      </c>
      <c r="H103" s="112">
        <v>31.73</v>
      </c>
      <c r="I103" s="112">
        <v>9.59</v>
      </c>
      <c r="J103" s="112">
        <v>0.14000000000000001</v>
      </c>
      <c r="K103" s="112">
        <v>225.78</v>
      </c>
      <c r="L103" s="112">
        <v>21.96</v>
      </c>
      <c r="M103" s="112">
        <v>85.04</v>
      </c>
      <c r="N103" s="112">
        <v>1.7</v>
      </c>
      <c r="O103" s="112">
        <v>0</v>
      </c>
      <c r="P103" s="112">
        <v>0.83</v>
      </c>
      <c r="Q103" s="112">
        <v>4.3099999999999996</v>
      </c>
    </row>
    <row r="104" spans="1:22" customFormat="1">
      <c r="A104" s="80">
        <v>45606</v>
      </c>
      <c r="B104" s="112">
        <v>5.32</v>
      </c>
      <c r="C104" s="112">
        <v>8.06</v>
      </c>
      <c r="D104" s="112">
        <v>14.04</v>
      </c>
      <c r="E104" s="112">
        <v>10.130000000000001</v>
      </c>
      <c r="F104" s="112">
        <v>5.71</v>
      </c>
      <c r="G104" s="112">
        <v>95.64</v>
      </c>
      <c r="H104" s="112">
        <v>31.73</v>
      </c>
      <c r="I104" s="112">
        <v>9.5</v>
      </c>
      <c r="J104" s="112">
        <v>0.14000000000000001</v>
      </c>
      <c r="K104" s="112">
        <v>192.55</v>
      </c>
      <c r="L104" s="112">
        <v>21.97</v>
      </c>
      <c r="M104" s="112">
        <v>84.97</v>
      </c>
      <c r="N104" s="112">
        <v>1.4</v>
      </c>
      <c r="O104" s="112">
        <v>0</v>
      </c>
      <c r="P104" s="112">
        <v>0.82</v>
      </c>
      <c r="Q104" s="112">
        <v>4.3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5.26</v>
      </c>
      <c r="C106" s="183">
        <f>MIN(C9:C104)</f>
        <v>8.0399999999999991</v>
      </c>
      <c r="D106" s="183">
        <f t="shared" ref="D106:Q106" si="0">MIN(D9:D104)</f>
        <v>14</v>
      </c>
      <c r="E106" s="183">
        <f t="shared" si="0"/>
        <v>7.79</v>
      </c>
      <c r="F106" s="183">
        <f t="shared" si="0"/>
        <v>5.33</v>
      </c>
      <c r="G106" s="183">
        <f t="shared" si="0"/>
        <v>52.47</v>
      </c>
      <c r="H106" s="183">
        <f t="shared" si="0"/>
        <v>25.16</v>
      </c>
      <c r="I106" s="183">
        <f t="shared" si="0"/>
        <v>7.03</v>
      </c>
      <c r="J106" s="183">
        <f t="shared" si="0"/>
        <v>0.01</v>
      </c>
      <c r="K106" s="183">
        <f t="shared" si="0"/>
        <v>23.83</v>
      </c>
      <c r="L106" s="183">
        <f t="shared" si="0"/>
        <v>20.47</v>
      </c>
      <c r="M106" s="183">
        <f t="shared" si="0"/>
        <v>38.549999999999997</v>
      </c>
      <c r="N106" s="183">
        <f t="shared" si="0"/>
        <v>1.3</v>
      </c>
      <c r="O106" s="183">
        <f t="shared" si="0"/>
        <v>0</v>
      </c>
      <c r="P106" s="183">
        <f t="shared" si="0"/>
        <v>0.61</v>
      </c>
      <c r="Q106" s="183">
        <f t="shared" si="0"/>
        <v>4.29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5.37</v>
      </c>
      <c r="C107" s="184">
        <f t="shared" ref="C107:Q107" si="1">MAX(C9:C104)</f>
        <v>8.11</v>
      </c>
      <c r="D107" s="184">
        <f t="shared" si="1"/>
        <v>14.1</v>
      </c>
      <c r="E107" s="184">
        <f t="shared" si="1"/>
        <v>11.47</v>
      </c>
      <c r="F107" s="184">
        <f t="shared" si="1"/>
        <v>14.75</v>
      </c>
      <c r="G107" s="184">
        <f t="shared" si="1"/>
        <v>130.15</v>
      </c>
      <c r="H107" s="184">
        <f t="shared" si="1"/>
        <v>38.119999999999997</v>
      </c>
      <c r="I107" s="184">
        <f t="shared" si="1"/>
        <v>10.210000000000001</v>
      </c>
      <c r="J107" s="184">
        <f t="shared" si="1"/>
        <v>0.65</v>
      </c>
      <c r="K107" s="184">
        <f t="shared" si="1"/>
        <v>304.73</v>
      </c>
      <c r="L107" s="184">
        <f t="shared" si="1"/>
        <v>31.45</v>
      </c>
      <c r="M107" s="184">
        <f t="shared" si="1"/>
        <v>93</v>
      </c>
      <c r="N107" s="184">
        <f t="shared" si="1"/>
        <v>536.5</v>
      </c>
      <c r="O107" s="184">
        <f t="shared" si="1"/>
        <v>0</v>
      </c>
      <c r="P107" s="184">
        <f t="shared" si="1"/>
        <v>0.88</v>
      </c>
      <c r="Q107" s="184">
        <f t="shared" si="1"/>
        <v>4.33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5.3265624999999996</v>
      </c>
      <c r="C108" s="183">
        <f t="shared" ref="C108:Q108" si="2">AVERAGE(C9:C104)</f>
        <v>8.0757291666666706</v>
      </c>
      <c r="D108" s="183">
        <f t="shared" si="2"/>
        <v>14.058229166666651</v>
      </c>
      <c r="E108" s="183">
        <f t="shared" si="2"/>
        <v>10.040416666666667</v>
      </c>
      <c r="F108" s="183">
        <f t="shared" si="2"/>
        <v>7.1278125000000019</v>
      </c>
      <c r="G108" s="183">
        <f t="shared" si="2"/>
        <v>86.13677083333333</v>
      </c>
      <c r="H108" s="183">
        <f t="shared" si="2"/>
        <v>31.121458333333333</v>
      </c>
      <c r="I108" s="183">
        <f t="shared" si="2"/>
        <v>9.0303124999999973</v>
      </c>
      <c r="J108" s="183">
        <f t="shared" si="2"/>
        <v>0.25156250000000008</v>
      </c>
      <c r="K108" s="183">
        <f t="shared" si="2"/>
        <v>133.83822916666671</v>
      </c>
      <c r="L108" s="183">
        <f t="shared" si="2"/>
        <v>25.014374999999998</v>
      </c>
      <c r="M108" s="183">
        <f t="shared" si="2"/>
        <v>70.689062499999991</v>
      </c>
      <c r="N108" s="183">
        <f t="shared" si="2"/>
        <v>107.77291666666667</v>
      </c>
      <c r="O108" s="183">
        <f t="shared" si="2"/>
        <v>0</v>
      </c>
      <c r="P108" s="183">
        <f t="shared" si="2"/>
        <v>0.77333333333333298</v>
      </c>
      <c r="Q108" s="183">
        <f t="shared" si="2"/>
        <v>4.3070833333333356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2.3789786618808147E-2</v>
      </c>
      <c r="C109" s="183">
        <f t="shared" ref="C109:Q109" si="3">STDEV(C9:C104)</f>
        <v>1.6779987558283031E-2</v>
      </c>
      <c r="D109" s="183">
        <f t="shared" si="3"/>
        <v>2.0925672556212648E-2</v>
      </c>
      <c r="E109" s="183">
        <f t="shared" si="3"/>
        <v>0.77080944012284081</v>
      </c>
      <c r="F109" s="183">
        <f t="shared" si="3"/>
        <v>2.4547938934278144</v>
      </c>
      <c r="G109" s="183">
        <f t="shared" si="3"/>
        <v>20.440533595609764</v>
      </c>
      <c r="H109" s="183">
        <f t="shared" si="3"/>
        <v>3.84369613212868</v>
      </c>
      <c r="I109" s="183">
        <f t="shared" si="3"/>
        <v>0.97310512562947216</v>
      </c>
      <c r="J109" s="183">
        <f t="shared" si="3"/>
        <v>0.15081761815971095</v>
      </c>
      <c r="K109" s="183">
        <f t="shared" si="3"/>
        <v>69.918206333051216</v>
      </c>
      <c r="L109" s="183">
        <f t="shared" si="3"/>
        <v>3.6354357771076118</v>
      </c>
      <c r="M109" s="183">
        <f t="shared" si="3"/>
        <v>17.767257708500349</v>
      </c>
      <c r="N109" s="183">
        <f t="shared" si="3"/>
        <v>165.44958429377351</v>
      </c>
      <c r="O109" s="183">
        <f t="shared" si="3"/>
        <v>0</v>
      </c>
      <c r="P109" s="183">
        <f t="shared" si="3"/>
        <v>8.0441762741645162E-2</v>
      </c>
      <c r="Q109" s="183">
        <f t="shared" si="3"/>
        <v>8.5737256738144495E-3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45606.010416666664</v>
      </c>
      <c r="B9" s="112">
        <v>5.18</v>
      </c>
      <c r="C9" s="112">
        <v>8.0500000000000007</v>
      </c>
      <c r="D9" s="112">
        <v>13.93</v>
      </c>
      <c r="E9" s="112">
        <v>9.67</v>
      </c>
      <c r="F9" s="112">
        <v>5.66</v>
      </c>
      <c r="G9" s="112">
        <v>95.64</v>
      </c>
      <c r="H9" s="112">
        <v>31.73</v>
      </c>
      <c r="I9" s="112">
        <v>9.4600000000000009</v>
      </c>
      <c r="J9" s="112">
        <v>0.19</v>
      </c>
      <c r="K9" s="112">
        <v>228.69</v>
      </c>
      <c r="L9" s="112">
        <v>21.89</v>
      </c>
      <c r="M9" s="112">
        <v>88.09</v>
      </c>
      <c r="N9" s="112">
        <v>1.6</v>
      </c>
      <c r="O9" s="112">
        <v>0</v>
      </c>
      <c r="P9" s="112">
        <v>0.83</v>
      </c>
      <c r="Q9" s="112">
        <v>4.29</v>
      </c>
    </row>
    <row r="10" spans="1:21" customFormat="1">
      <c r="A10" s="80">
        <v>45606.020833333336</v>
      </c>
      <c r="B10" s="112">
        <v>5.18</v>
      </c>
      <c r="C10" s="112">
        <v>8.06</v>
      </c>
      <c r="D10" s="112">
        <v>13.93</v>
      </c>
      <c r="E10" s="112">
        <v>9.89</v>
      </c>
      <c r="F10" s="112">
        <v>5.67</v>
      </c>
      <c r="G10" s="112">
        <v>95.64</v>
      </c>
      <c r="H10" s="112">
        <v>31.73</v>
      </c>
      <c r="I10" s="112">
        <v>9.4499999999999993</v>
      </c>
      <c r="J10" s="112">
        <v>0.16</v>
      </c>
      <c r="K10" s="112">
        <v>218.82</v>
      </c>
      <c r="L10" s="112">
        <v>21.75</v>
      </c>
      <c r="M10" s="112">
        <v>87.15</v>
      </c>
      <c r="N10" s="112">
        <v>1.7</v>
      </c>
      <c r="O10" s="112">
        <v>0</v>
      </c>
      <c r="P10" s="112">
        <v>0.82</v>
      </c>
      <c r="Q10" s="112">
        <v>4.3</v>
      </c>
    </row>
    <row r="11" spans="1:21" customFormat="1">
      <c r="A11" s="80">
        <v>45606.03125</v>
      </c>
      <c r="B11" s="112">
        <v>5.18</v>
      </c>
      <c r="C11" s="112">
        <v>8.0500000000000007</v>
      </c>
      <c r="D11" s="112">
        <v>13.93</v>
      </c>
      <c r="E11" s="112">
        <v>9.9600000000000009</v>
      </c>
      <c r="F11" s="112">
        <v>5.7</v>
      </c>
      <c r="G11" s="112">
        <v>86.04</v>
      </c>
      <c r="H11" s="112">
        <v>30.26</v>
      </c>
      <c r="I11" s="112">
        <v>9.39</v>
      </c>
      <c r="J11" s="112">
        <v>0.12</v>
      </c>
      <c r="K11" s="112">
        <v>209.05</v>
      </c>
      <c r="L11" s="112">
        <v>21.63</v>
      </c>
      <c r="M11" s="112">
        <v>87.64</v>
      </c>
      <c r="N11" s="112">
        <v>1.6</v>
      </c>
      <c r="O11" s="112">
        <v>0</v>
      </c>
      <c r="P11" s="112">
        <v>0.82</v>
      </c>
      <c r="Q11" s="112">
        <v>4.3099999999999996</v>
      </c>
    </row>
    <row r="12" spans="1:21" customFormat="1">
      <c r="A12" s="80">
        <v>45606.041666666664</v>
      </c>
      <c r="B12" s="112">
        <v>5.16</v>
      </c>
      <c r="C12" s="112">
        <v>8.07</v>
      </c>
      <c r="D12" s="112">
        <v>13.92</v>
      </c>
      <c r="E12" s="112">
        <v>9.82</v>
      </c>
      <c r="F12" s="112">
        <v>5.74</v>
      </c>
      <c r="G12" s="112">
        <v>85.82</v>
      </c>
      <c r="H12" s="112">
        <v>30.26</v>
      </c>
      <c r="I12" s="112">
        <v>9.31</v>
      </c>
      <c r="J12" s="112">
        <v>0.17</v>
      </c>
      <c r="K12" s="112">
        <v>228.89</v>
      </c>
      <c r="L12" s="112">
        <v>21.5</v>
      </c>
      <c r="M12" s="112">
        <v>85.75</v>
      </c>
      <c r="N12" s="112">
        <v>1.7</v>
      </c>
      <c r="O12" s="112">
        <v>0</v>
      </c>
      <c r="P12" s="112">
        <v>0.81</v>
      </c>
      <c r="Q12" s="112">
        <v>4.3</v>
      </c>
    </row>
    <row r="13" spans="1:21" customFormat="1">
      <c r="A13" s="80">
        <v>45606.052083333336</v>
      </c>
      <c r="B13" s="112">
        <v>5.16</v>
      </c>
      <c r="C13" s="112">
        <v>8.0500000000000007</v>
      </c>
      <c r="D13" s="112">
        <v>13.91</v>
      </c>
      <c r="E13" s="112">
        <v>9.86</v>
      </c>
      <c r="F13" s="112">
        <v>5.67</v>
      </c>
      <c r="G13" s="112">
        <v>85.82</v>
      </c>
      <c r="H13" s="112">
        <v>30.26</v>
      </c>
      <c r="I13" s="112">
        <v>9.27</v>
      </c>
      <c r="J13" s="112">
        <v>0.12</v>
      </c>
      <c r="K13" s="112">
        <v>230.85</v>
      </c>
      <c r="L13" s="112">
        <v>21.39</v>
      </c>
      <c r="M13" s="112">
        <v>86.25</v>
      </c>
      <c r="N13" s="112">
        <v>1.6</v>
      </c>
      <c r="O13" s="112">
        <v>0</v>
      </c>
      <c r="P13" s="112">
        <v>0.79</v>
      </c>
      <c r="Q13" s="112">
        <v>4.3099999999999996</v>
      </c>
    </row>
    <row r="14" spans="1:21" customFormat="1">
      <c r="A14" s="80">
        <v>45606.0625</v>
      </c>
      <c r="B14" s="112">
        <v>5.15</v>
      </c>
      <c r="C14" s="112">
        <v>8.07</v>
      </c>
      <c r="D14" s="112">
        <v>13.92</v>
      </c>
      <c r="E14" s="112">
        <v>9.86</v>
      </c>
      <c r="F14" s="112">
        <v>5.94</v>
      </c>
      <c r="G14" s="112">
        <v>85.82</v>
      </c>
      <c r="H14" s="112">
        <v>30.26</v>
      </c>
      <c r="I14" s="112">
        <v>9.2200000000000006</v>
      </c>
      <c r="J14" s="112">
        <v>0.17</v>
      </c>
      <c r="K14" s="112">
        <v>222.18</v>
      </c>
      <c r="L14" s="112">
        <v>21.41</v>
      </c>
      <c r="M14" s="112">
        <v>87.05</v>
      </c>
      <c r="N14" s="112">
        <v>1.6</v>
      </c>
      <c r="O14" s="112">
        <v>0</v>
      </c>
      <c r="P14" s="112">
        <v>0.79</v>
      </c>
      <c r="Q14" s="112">
        <v>4.3099999999999996</v>
      </c>
    </row>
    <row r="15" spans="1:21" customFormat="1">
      <c r="A15" s="80">
        <v>45606.072916666664</v>
      </c>
      <c r="B15" s="112">
        <v>5.16</v>
      </c>
      <c r="C15" s="112">
        <v>8.0399999999999991</v>
      </c>
      <c r="D15" s="112">
        <v>13.91</v>
      </c>
      <c r="E15" s="112">
        <v>9.6199999999999992</v>
      </c>
      <c r="F15" s="112">
        <v>5.77</v>
      </c>
      <c r="G15" s="112">
        <v>84.88</v>
      </c>
      <c r="H15" s="112">
        <v>30.82</v>
      </c>
      <c r="I15" s="112">
        <v>9.15</v>
      </c>
      <c r="J15" s="112">
        <v>0.05</v>
      </c>
      <c r="K15" s="112">
        <v>41.96</v>
      </c>
      <c r="L15" s="112">
        <v>21.26</v>
      </c>
      <c r="M15" s="112">
        <v>88.25</v>
      </c>
      <c r="N15" s="112">
        <v>1.6</v>
      </c>
      <c r="O15" s="112">
        <v>0</v>
      </c>
      <c r="P15" s="112">
        <v>0.78</v>
      </c>
      <c r="Q15" s="112">
        <v>4.3099999999999996</v>
      </c>
    </row>
    <row r="16" spans="1:21" customFormat="1">
      <c r="A16" s="80">
        <v>45606.083333333336</v>
      </c>
      <c r="B16" s="112">
        <v>5.16</v>
      </c>
      <c r="C16" s="112">
        <v>8.0500000000000007</v>
      </c>
      <c r="D16" s="112">
        <v>13.91</v>
      </c>
      <c r="E16" s="112">
        <v>9.83</v>
      </c>
      <c r="F16" s="112">
        <v>5.65</v>
      </c>
      <c r="G16" s="112">
        <v>84.86</v>
      </c>
      <c r="H16" s="112">
        <v>30.82</v>
      </c>
      <c r="I16" s="112">
        <v>9.02</v>
      </c>
      <c r="J16" s="112">
        <v>0.15</v>
      </c>
      <c r="K16" s="112">
        <v>209.26</v>
      </c>
      <c r="L16" s="112">
        <v>21.39</v>
      </c>
      <c r="M16" s="112">
        <v>85.91</v>
      </c>
      <c r="N16" s="112">
        <v>1.5</v>
      </c>
      <c r="O16" s="112">
        <v>0</v>
      </c>
      <c r="P16" s="112">
        <v>0.77</v>
      </c>
      <c r="Q16" s="112">
        <v>4.3099999999999996</v>
      </c>
    </row>
    <row r="17" spans="1:17" customFormat="1">
      <c r="A17" s="80">
        <v>45606.09375</v>
      </c>
      <c r="B17" s="112">
        <v>5.16</v>
      </c>
      <c r="C17" s="112">
        <v>8.06</v>
      </c>
      <c r="D17" s="112">
        <v>13.91</v>
      </c>
      <c r="E17" s="112">
        <v>6.6</v>
      </c>
      <c r="F17" s="112">
        <v>5.45</v>
      </c>
      <c r="G17" s="112">
        <v>84.86</v>
      </c>
      <c r="H17" s="112">
        <v>30.82</v>
      </c>
      <c r="I17" s="112">
        <v>8.9499999999999993</v>
      </c>
      <c r="J17" s="112">
        <v>0.13</v>
      </c>
      <c r="K17" s="112">
        <v>198.18</v>
      </c>
      <c r="L17" s="112">
        <v>21.46</v>
      </c>
      <c r="M17" s="112">
        <v>87.76</v>
      </c>
      <c r="N17" s="112">
        <v>1.4</v>
      </c>
      <c r="O17" s="112">
        <v>0</v>
      </c>
      <c r="P17" s="112">
        <v>0.78</v>
      </c>
      <c r="Q17" s="112">
        <v>4.3099999999999996</v>
      </c>
    </row>
    <row r="18" spans="1:17" customFormat="1">
      <c r="A18" s="80">
        <v>45606.104166666664</v>
      </c>
      <c r="B18" s="112">
        <v>5.16</v>
      </c>
      <c r="C18" s="112">
        <v>8.06</v>
      </c>
      <c r="D18" s="112">
        <v>13.92</v>
      </c>
      <c r="E18" s="112">
        <v>8.35</v>
      </c>
      <c r="F18" s="112">
        <v>5.57</v>
      </c>
      <c r="G18" s="112">
        <v>84.86</v>
      </c>
      <c r="H18" s="112">
        <v>30.82</v>
      </c>
      <c r="I18" s="112">
        <v>8.94</v>
      </c>
      <c r="J18" s="112">
        <v>0.05</v>
      </c>
      <c r="K18" s="112">
        <v>98.45</v>
      </c>
      <c r="L18" s="112">
        <v>21.39</v>
      </c>
      <c r="M18" s="112">
        <v>88.26</v>
      </c>
      <c r="N18" s="112">
        <v>1.7</v>
      </c>
      <c r="O18" s="112">
        <v>0</v>
      </c>
      <c r="P18" s="112">
        <v>0.78</v>
      </c>
      <c r="Q18" s="112">
        <v>4.3099999999999996</v>
      </c>
    </row>
    <row r="19" spans="1:17" customFormat="1">
      <c r="A19" s="80">
        <v>45606.114583333336</v>
      </c>
      <c r="B19" s="112">
        <v>5.14</v>
      </c>
      <c r="C19" s="112">
        <v>8.07</v>
      </c>
      <c r="D19" s="112">
        <v>13.91</v>
      </c>
      <c r="E19" s="112">
        <v>8.48</v>
      </c>
      <c r="F19" s="112">
        <v>5.9</v>
      </c>
      <c r="G19" s="112">
        <v>82.93</v>
      </c>
      <c r="H19" s="112">
        <v>26.12</v>
      </c>
      <c r="I19" s="112">
        <v>8.92</v>
      </c>
      <c r="J19" s="112">
        <v>0.19</v>
      </c>
      <c r="K19" s="112">
        <v>20.91</v>
      </c>
      <c r="L19" s="112">
        <v>21.63</v>
      </c>
      <c r="M19" s="112">
        <v>83.79</v>
      </c>
      <c r="N19" s="112">
        <v>1.4</v>
      </c>
      <c r="O19" s="112">
        <v>0</v>
      </c>
      <c r="P19" s="112">
        <v>0.77</v>
      </c>
      <c r="Q19" s="112">
        <v>4.3099999999999996</v>
      </c>
    </row>
    <row r="20" spans="1:17" customFormat="1">
      <c r="A20" s="80">
        <v>45606.125</v>
      </c>
      <c r="B20" s="112">
        <v>5.15</v>
      </c>
      <c r="C20" s="112">
        <v>8.08</v>
      </c>
      <c r="D20" s="112">
        <v>13.92</v>
      </c>
      <c r="E20" s="112">
        <v>8.43</v>
      </c>
      <c r="F20" s="112">
        <v>5.81</v>
      </c>
      <c r="G20" s="112">
        <v>82.86</v>
      </c>
      <c r="H20" s="112">
        <v>26.12</v>
      </c>
      <c r="I20" s="112">
        <v>8.94</v>
      </c>
      <c r="J20" s="112">
        <v>0.04</v>
      </c>
      <c r="K20" s="112">
        <v>15.52</v>
      </c>
      <c r="L20" s="112">
        <v>21.63</v>
      </c>
      <c r="M20" s="112">
        <v>83.26</v>
      </c>
      <c r="N20" s="112">
        <v>1.6</v>
      </c>
      <c r="O20" s="112">
        <v>0</v>
      </c>
      <c r="P20" s="112">
        <v>0.76</v>
      </c>
      <c r="Q20" s="112">
        <v>4.3099999999999996</v>
      </c>
    </row>
    <row r="21" spans="1:17" customFormat="1">
      <c r="A21" s="80">
        <v>45606.135416666664</v>
      </c>
      <c r="B21" s="112">
        <v>5.15</v>
      </c>
      <c r="C21" s="112">
        <v>8.1</v>
      </c>
      <c r="D21" s="112">
        <v>13.93</v>
      </c>
      <c r="E21" s="112">
        <v>8.5500000000000007</v>
      </c>
      <c r="F21" s="112">
        <v>5.62</v>
      </c>
      <c r="G21" s="112">
        <v>82.86</v>
      </c>
      <c r="H21" s="112">
        <v>26.12</v>
      </c>
      <c r="I21" s="112">
        <v>8.94</v>
      </c>
      <c r="J21" s="112">
        <v>0.02</v>
      </c>
      <c r="K21" s="112">
        <v>21.87</v>
      </c>
      <c r="L21" s="112">
        <v>21.54</v>
      </c>
      <c r="M21" s="112">
        <v>83.84</v>
      </c>
      <c r="N21" s="112">
        <v>1.6</v>
      </c>
      <c r="O21" s="112">
        <v>0</v>
      </c>
      <c r="P21" s="112">
        <v>0.74</v>
      </c>
      <c r="Q21" s="112">
        <v>4.33</v>
      </c>
    </row>
    <row r="22" spans="1:17" customFormat="1">
      <c r="A22" s="80">
        <v>45606.145833333336</v>
      </c>
      <c r="B22" s="112">
        <v>5.16</v>
      </c>
      <c r="C22" s="112">
        <v>8.07</v>
      </c>
      <c r="D22" s="112">
        <v>13.92</v>
      </c>
      <c r="E22" s="112">
        <v>8.59</v>
      </c>
      <c r="F22" s="112">
        <v>5.67</v>
      </c>
      <c r="G22" s="112">
        <v>82.86</v>
      </c>
      <c r="H22" s="112">
        <v>26.12</v>
      </c>
      <c r="I22" s="112">
        <v>8.92</v>
      </c>
      <c r="J22" s="112">
        <v>0.05</v>
      </c>
      <c r="K22" s="112">
        <v>197.03</v>
      </c>
      <c r="L22" s="112">
        <v>21.38</v>
      </c>
      <c r="M22" s="112">
        <v>84.29</v>
      </c>
      <c r="N22" s="112">
        <v>1.8</v>
      </c>
      <c r="O22" s="112">
        <v>0</v>
      </c>
      <c r="P22" s="112">
        <v>0.75</v>
      </c>
      <c r="Q22" s="112">
        <v>4.32</v>
      </c>
    </row>
    <row r="23" spans="1:17" customFormat="1">
      <c r="A23" s="80">
        <v>45606.15625</v>
      </c>
      <c r="B23" s="112">
        <v>5.16</v>
      </c>
      <c r="C23" s="112">
        <v>8.1199999999999992</v>
      </c>
      <c r="D23" s="112">
        <v>13.95</v>
      </c>
      <c r="E23" s="112">
        <v>8.6</v>
      </c>
      <c r="F23" s="112">
        <v>5.73</v>
      </c>
      <c r="G23" s="112">
        <v>80.92</v>
      </c>
      <c r="H23" s="112">
        <v>28.79</v>
      </c>
      <c r="I23" s="112">
        <v>8.89</v>
      </c>
      <c r="J23" s="112">
        <v>0.12</v>
      </c>
      <c r="K23" s="112">
        <v>227.83</v>
      </c>
      <c r="L23" s="112">
        <v>21.08</v>
      </c>
      <c r="M23" s="112">
        <v>87.71</v>
      </c>
      <c r="N23" s="112">
        <v>1.8</v>
      </c>
      <c r="O23" s="112">
        <v>0</v>
      </c>
      <c r="P23" s="112">
        <v>0.74</v>
      </c>
      <c r="Q23" s="112">
        <v>4.3</v>
      </c>
    </row>
    <row r="24" spans="1:17" customFormat="1">
      <c r="A24" s="80">
        <v>45606.166666666664</v>
      </c>
      <c r="B24" s="112">
        <v>5.17</v>
      </c>
      <c r="C24" s="112">
        <v>8.08</v>
      </c>
      <c r="D24" s="112">
        <v>13.94</v>
      </c>
      <c r="E24" s="112">
        <v>9.34</v>
      </c>
      <c r="F24" s="112">
        <v>5.65</v>
      </c>
      <c r="G24" s="112">
        <v>80.87</v>
      </c>
      <c r="H24" s="112">
        <v>28.79</v>
      </c>
      <c r="I24" s="112">
        <v>8.82</v>
      </c>
      <c r="J24" s="112">
        <v>0.1</v>
      </c>
      <c r="K24" s="112">
        <v>206.26</v>
      </c>
      <c r="L24" s="112">
        <v>20.82</v>
      </c>
      <c r="M24" s="112">
        <v>89.24</v>
      </c>
      <c r="N24" s="112">
        <v>1.7</v>
      </c>
      <c r="O24" s="112">
        <v>0</v>
      </c>
      <c r="P24" s="112">
        <v>0.74</v>
      </c>
      <c r="Q24" s="112">
        <v>4.29</v>
      </c>
    </row>
    <row r="25" spans="1:17" customFormat="1">
      <c r="A25" s="80">
        <v>45606.177083333336</v>
      </c>
      <c r="B25" s="112">
        <v>5.17</v>
      </c>
      <c r="C25" s="112">
        <v>8.07</v>
      </c>
      <c r="D25" s="112">
        <v>13.93</v>
      </c>
      <c r="E25" s="112">
        <v>8.61</v>
      </c>
      <c r="F25" s="112">
        <v>5.54</v>
      </c>
      <c r="G25" s="112">
        <v>80.87</v>
      </c>
      <c r="H25" s="112">
        <v>28.79</v>
      </c>
      <c r="I25" s="112">
        <v>8.7799999999999994</v>
      </c>
      <c r="J25" s="112">
        <v>0.14000000000000001</v>
      </c>
      <c r="K25" s="112">
        <v>199.17</v>
      </c>
      <c r="L25" s="112">
        <v>20.79</v>
      </c>
      <c r="M25" s="112">
        <v>90.09</v>
      </c>
      <c r="N25" s="112">
        <v>1.6</v>
      </c>
      <c r="O25" s="112">
        <v>0</v>
      </c>
      <c r="P25" s="112">
        <v>0.74</v>
      </c>
      <c r="Q25" s="112">
        <v>4.29</v>
      </c>
    </row>
    <row r="26" spans="1:17" customFormat="1">
      <c r="A26" s="80">
        <v>45606.1875</v>
      </c>
      <c r="B26" s="112">
        <v>5.16</v>
      </c>
      <c r="C26" s="112">
        <v>8.0500000000000007</v>
      </c>
      <c r="D26" s="112">
        <v>13.92</v>
      </c>
      <c r="E26" s="112">
        <v>9.08</v>
      </c>
      <c r="F26" s="112">
        <v>5.52</v>
      </c>
      <c r="G26" s="112">
        <v>80.87</v>
      </c>
      <c r="H26" s="112">
        <v>28.79</v>
      </c>
      <c r="I26" s="112">
        <v>8.77</v>
      </c>
      <c r="J26" s="112">
        <v>0.11</v>
      </c>
      <c r="K26" s="112">
        <v>198.87</v>
      </c>
      <c r="L26" s="112">
        <v>20.76</v>
      </c>
      <c r="M26" s="112">
        <v>91.57</v>
      </c>
      <c r="N26" s="112">
        <v>1.5</v>
      </c>
      <c r="O26" s="112">
        <v>0</v>
      </c>
      <c r="P26" s="112">
        <v>0.74</v>
      </c>
      <c r="Q26" s="112">
        <v>4.3</v>
      </c>
    </row>
    <row r="27" spans="1:17" customFormat="1">
      <c r="A27" s="80">
        <v>45606.197916666664</v>
      </c>
      <c r="B27" s="112">
        <v>5.17</v>
      </c>
      <c r="C27" s="112">
        <v>8.0500000000000007</v>
      </c>
      <c r="D27" s="112">
        <v>13.92</v>
      </c>
      <c r="E27" s="112">
        <v>8.7799999999999994</v>
      </c>
      <c r="F27" s="112">
        <v>5.75</v>
      </c>
      <c r="G27" s="112">
        <v>79.260000000000005</v>
      </c>
      <c r="H27" s="112">
        <v>26.16</v>
      </c>
      <c r="I27" s="112">
        <v>8.74</v>
      </c>
      <c r="J27" s="112">
        <v>0.17</v>
      </c>
      <c r="K27" s="112">
        <v>202.05</v>
      </c>
      <c r="L27" s="112">
        <v>20.63</v>
      </c>
      <c r="M27" s="112">
        <v>94.18</v>
      </c>
      <c r="N27" s="112">
        <v>1.7</v>
      </c>
      <c r="O27" s="112">
        <v>0</v>
      </c>
      <c r="P27" s="112">
        <v>0.73</v>
      </c>
      <c r="Q27" s="112">
        <v>4.32</v>
      </c>
    </row>
    <row r="28" spans="1:17" customFormat="1">
      <c r="A28" s="80">
        <v>45606.208333333336</v>
      </c>
      <c r="B28" s="112">
        <v>5.15</v>
      </c>
      <c r="C28" s="112">
        <v>8.0500000000000007</v>
      </c>
      <c r="D28" s="112">
        <v>13.91</v>
      </c>
      <c r="E28" s="112">
        <v>9.39</v>
      </c>
      <c r="F28" s="112">
        <v>5.7</v>
      </c>
      <c r="G28" s="112">
        <v>79.23</v>
      </c>
      <c r="H28" s="112">
        <v>26.16</v>
      </c>
      <c r="I28" s="112">
        <v>8.69</v>
      </c>
      <c r="J28" s="112">
        <v>0.11</v>
      </c>
      <c r="K28" s="112">
        <v>194.62</v>
      </c>
      <c r="L28" s="112">
        <v>20.52</v>
      </c>
      <c r="M28" s="112">
        <v>93.47</v>
      </c>
      <c r="N28" s="112">
        <v>1.7</v>
      </c>
      <c r="O28" s="112">
        <v>0</v>
      </c>
      <c r="P28" s="112">
        <v>0.73</v>
      </c>
      <c r="Q28" s="112">
        <v>4.3099999999999996</v>
      </c>
    </row>
    <row r="29" spans="1:17" customFormat="1">
      <c r="A29" s="80">
        <v>45606.21875</v>
      </c>
      <c r="B29" s="112">
        <v>5.14</v>
      </c>
      <c r="C29" s="112">
        <v>8.06</v>
      </c>
      <c r="D29" s="112">
        <v>13.9</v>
      </c>
      <c r="E29" s="112">
        <v>9.3800000000000008</v>
      </c>
      <c r="F29" s="112">
        <v>5.6</v>
      </c>
      <c r="G29" s="112">
        <v>79.23</v>
      </c>
      <c r="H29" s="112">
        <v>26.16</v>
      </c>
      <c r="I29" s="112">
        <v>8.64</v>
      </c>
      <c r="J29" s="112">
        <v>0.18</v>
      </c>
      <c r="K29" s="112">
        <v>212.48</v>
      </c>
      <c r="L29" s="112">
        <v>20.27</v>
      </c>
      <c r="M29" s="112">
        <v>93.61</v>
      </c>
      <c r="N29" s="112">
        <v>1.7</v>
      </c>
      <c r="O29" s="112">
        <v>0</v>
      </c>
      <c r="P29" s="112">
        <v>0.73</v>
      </c>
      <c r="Q29" s="112">
        <v>4.3</v>
      </c>
    </row>
    <row r="30" spans="1:17" customFormat="1">
      <c r="A30" s="80">
        <v>45606.229166666664</v>
      </c>
      <c r="B30" s="112">
        <v>5.15</v>
      </c>
      <c r="C30" s="112">
        <v>8.07</v>
      </c>
      <c r="D30" s="112">
        <v>13.91</v>
      </c>
      <c r="E30" s="112">
        <v>9.1999999999999993</v>
      </c>
      <c r="F30" s="112">
        <v>5.87</v>
      </c>
      <c r="G30" s="112">
        <v>79.23</v>
      </c>
      <c r="H30" s="112">
        <v>26.16</v>
      </c>
      <c r="I30" s="112">
        <v>8.6199999999999992</v>
      </c>
      <c r="J30" s="112">
        <v>0.17</v>
      </c>
      <c r="K30" s="112">
        <v>200.05</v>
      </c>
      <c r="L30" s="112">
        <v>20.190000000000001</v>
      </c>
      <c r="M30" s="112">
        <v>93.14</v>
      </c>
      <c r="N30" s="112">
        <v>1.7</v>
      </c>
      <c r="O30" s="112">
        <v>0</v>
      </c>
      <c r="P30" s="112">
        <v>0.72</v>
      </c>
      <c r="Q30" s="112">
        <v>4.29</v>
      </c>
    </row>
    <row r="31" spans="1:17" customFormat="1">
      <c r="A31" s="80">
        <v>45606.239583333336</v>
      </c>
      <c r="B31" s="112">
        <v>5.14</v>
      </c>
      <c r="C31" s="112">
        <v>8.08</v>
      </c>
      <c r="D31" s="112">
        <v>13.91</v>
      </c>
      <c r="E31" s="112">
        <v>8.64</v>
      </c>
      <c r="F31" s="112">
        <v>5.83</v>
      </c>
      <c r="G31" s="112">
        <v>70.709999999999994</v>
      </c>
      <c r="H31" s="112">
        <v>26.15</v>
      </c>
      <c r="I31" s="112">
        <v>8.5399999999999991</v>
      </c>
      <c r="J31" s="112">
        <v>0.18</v>
      </c>
      <c r="K31" s="112">
        <v>201.01</v>
      </c>
      <c r="L31" s="112">
        <v>20.190000000000001</v>
      </c>
      <c r="M31" s="112">
        <v>93.72</v>
      </c>
      <c r="N31" s="112">
        <v>1.8</v>
      </c>
      <c r="O31" s="112">
        <v>0</v>
      </c>
      <c r="P31" s="112">
        <v>0.71</v>
      </c>
      <c r="Q31" s="112">
        <v>4.3099999999999996</v>
      </c>
    </row>
    <row r="32" spans="1:17" customFormat="1">
      <c r="A32" s="80">
        <v>45606.25</v>
      </c>
      <c r="B32" s="112">
        <v>5.15</v>
      </c>
      <c r="C32" s="112">
        <v>8.07</v>
      </c>
      <c r="D32" s="112">
        <v>13.91</v>
      </c>
      <c r="E32" s="112">
        <v>8.64</v>
      </c>
      <c r="F32" s="112">
        <v>5.59</v>
      </c>
      <c r="G32" s="112">
        <v>70.52</v>
      </c>
      <c r="H32" s="112">
        <v>26.15</v>
      </c>
      <c r="I32" s="112">
        <v>8.49</v>
      </c>
      <c r="J32" s="112">
        <v>0.08</v>
      </c>
      <c r="K32" s="112">
        <v>188.33</v>
      </c>
      <c r="L32" s="112">
        <v>20.11</v>
      </c>
      <c r="M32" s="112">
        <v>94.32</v>
      </c>
      <c r="N32" s="112">
        <v>2.6</v>
      </c>
      <c r="O32" s="112">
        <v>0</v>
      </c>
      <c r="P32" s="112">
        <v>0.71</v>
      </c>
      <c r="Q32" s="112">
        <v>4.3099999999999996</v>
      </c>
    </row>
    <row r="33" spans="1:17" customFormat="1">
      <c r="A33" s="80">
        <v>45606.260416666664</v>
      </c>
      <c r="B33" s="112">
        <v>5.15</v>
      </c>
      <c r="C33" s="112">
        <v>8.1</v>
      </c>
      <c r="D33" s="112">
        <v>13.93</v>
      </c>
      <c r="E33" s="112">
        <v>8.51</v>
      </c>
      <c r="F33" s="112">
        <v>5.61</v>
      </c>
      <c r="G33" s="112">
        <v>70.52</v>
      </c>
      <c r="H33" s="112">
        <v>26.15</v>
      </c>
      <c r="I33" s="112">
        <v>8.5</v>
      </c>
      <c r="J33" s="112">
        <v>0.18</v>
      </c>
      <c r="K33" s="112">
        <v>63.31</v>
      </c>
      <c r="L33" s="112">
        <v>20.47</v>
      </c>
      <c r="M33" s="112">
        <v>91.71</v>
      </c>
      <c r="N33" s="112">
        <v>5.3</v>
      </c>
      <c r="O33" s="112">
        <v>0</v>
      </c>
      <c r="P33" s="112">
        <v>0.72</v>
      </c>
      <c r="Q33" s="112">
        <v>4.3099999999999996</v>
      </c>
    </row>
    <row r="34" spans="1:17" customFormat="1">
      <c r="A34" s="80">
        <v>45606.270833333336</v>
      </c>
      <c r="B34" s="112">
        <v>5.16</v>
      </c>
      <c r="C34" s="112">
        <v>8.06</v>
      </c>
      <c r="D34" s="112">
        <v>13.92</v>
      </c>
      <c r="E34" s="112">
        <v>8.8800000000000008</v>
      </c>
      <c r="F34" s="112">
        <v>5.7</v>
      </c>
      <c r="G34" s="112">
        <v>70.52</v>
      </c>
      <c r="H34" s="112">
        <v>26.15</v>
      </c>
      <c r="I34" s="112">
        <v>8.49</v>
      </c>
      <c r="J34" s="112">
        <v>0.1</v>
      </c>
      <c r="K34" s="112">
        <v>174.46</v>
      </c>
      <c r="L34" s="112">
        <v>20.83</v>
      </c>
      <c r="M34" s="112">
        <v>91.1</v>
      </c>
      <c r="N34" s="112">
        <v>13.4</v>
      </c>
      <c r="O34" s="112">
        <v>0</v>
      </c>
      <c r="P34" s="112">
        <v>0.71</v>
      </c>
      <c r="Q34" s="112">
        <v>4.3</v>
      </c>
    </row>
    <row r="35" spans="1:17" customFormat="1">
      <c r="A35" s="80">
        <v>45606.28125</v>
      </c>
      <c r="B35" s="112">
        <v>5.15</v>
      </c>
      <c r="C35" s="112">
        <v>8.0500000000000007</v>
      </c>
      <c r="D35" s="112">
        <v>13.9</v>
      </c>
      <c r="E35" s="112">
        <v>8.7899999999999991</v>
      </c>
      <c r="F35" s="112">
        <v>5.53</v>
      </c>
      <c r="G35" s="112">
        <v>74.47</v>
      </c>
      <c r="H35" s="112">
        <v>27.4</v>
      </c>
      <c r="I35" s="112">
        <v>8.48</v>
      </c>
      <c r="J35" s="112">
        <v>7.0000000000000007E-2</v>
      </c>
      <c r="K35" s="112">
        <v>128.69999999999999</v>
      </c>
      <c r="L35" s="112">
        <v>21.09</v>
      </c>
      <c r="M35" s="112">
        <v>90.69</v>
      </c>
      <c r="N35" s="112">
        <v>21.4</v>
      </c>
      <c r="O35" s="112">
        <v>0</v>
      </c>
      <c r="P35" s="112">
        <v>0.72</v>
      </c>
      <c r="Q35" s="112">
        <v>4.3</v>
      </c>
    </row>
    <row r="36" spans="1:17" customFormat="1">
      <c r="A36" s="80">
        <v>45606.291666666664</v>
      </c>
      <c r="B36" s="112">
        <v>5.17</v>
      </c>
      <c r="C36" s="112">
        <v>8.02</v>
      </c>
      <c r="D36" s="112">
        <v>13.9</v>
      </c>
      <c r="E36" s="112">
        <v>8.8699999999999992</v>
      </c>
      <c r="F36" s="112">
        <v>5.94</v>
      </c>
      <c r="G36" s="112">
        <v>74.56</v>
      </c>
      <c r="H36" s="112">
        <v>27.4</v>
      </c>
      <c r="I36" s="112">
        <v>8.5</v>
      </c>
      <c r="J36" s="112">
        <v>0.08</v>
      </c>
      <c r="K36" s="112">
        <v>192.23</v>
      </c>
      <c r="L36" s="112">
        <v>21.29</v>
      </c>
      <c r="M36" s="112">
        <v>89</v>
      </c>
      <c r="N36" s="112">
        <v>24.7</v>
      </c>
      <c r="O36" s="112">
        <v>0</v>
      </c>
      <c r="P36" s="112">
        <v>0.73</v>
      </c>
      <c r="Q36" s="112">
        <v>4.3</v>
      </c>
    </row>
    <row r="37" spans="1:17" customFormat="1">
      <c r="A37" s="80">
        <v>45606.302083333336</v>
      </c>
      <c r="B37" s="112">
        <v>5.17</v>
      </c>
      <c r="C37" s="112">
        <v>8.0500000000000007</v>
      </c>
      <c r="D37" s="112">
        <v>13.92</v>
      </c>
      <c r="E37" s="112">
        <v>8.49</v>
      </c>
      <c r="F37" s="112">
        <v>5.7</v>
      </c>
      <c r="G37" s="112">
        <v>74.56</v>
      </c>
      <c r="H37" s="112">
        <v>27.4</v>
      </c>
      <c r="I37" s="112">
        <v>8.5399999999999991</v>
      </c>
      <c r="J37" s="112">
        <v>0.1</v>
      </c>
      <c r="K37" s="112">
        <v>182.74</v>
      </c>
      <c r="L37" s="112">
        <v>21.63</v>
      </c>
      <c r="M37" s="112">
        <v>89</v>
      </c>
      <c r="N37" s="112">
        <v>37.200000000000003</v>
      </c>
      <c r="O37" s="112">
        <v>0</v>
      </c>
      <c r="P37" s="112">
        <v>0.73</v>
      </c>
      <c r="Q37" s="112">
        <v>4.29</v>
      </c>
    </row>
    <row r="38" spans="1:17" customFormat="1">
      <c r="A38" s="80">
        <v>45606.3125</v>
      </c>
      <c r="B38" s="112">
        <v>5.18</v>
      </c>
      <c r="C38" s="112">
        <v>8.0500000000000007</v>
      </c>
      <c r="D38" s="112">
        <v>13.93</v>
      </c>
      <c r="E38" s="112">
        <v>8.66</v>
      </c>
      <c r="F38" s="112">
        <v>5.57</v>
      </c>
      <c r="G38" s="112">
        <v>74.56</v>
      </c>
      <c r="H38" s="112">
        <v>27.4</v>
      </c>
      <c r="I38" s="112">
        <v>8.5399999999999991</v>
      </c>
      <c r="J38" s="112">
        <v>0.13</v>
      </c>
      <c r="K38" s="112">
        <v>118.02</v>
      </c>
      <c r="L38" s="112">
        <v>22.21</v>
      </c>
      <c r="M38" s="112">
        <v>85.9</v>
      </c>
      <c r="N38" s="112">
        <v>44.4</v>
      </c>
      <c r="O38" s="112">
        <v>0</v>
      </c>
      <c r="P38" s="112">
        <v>0.73</v>
      </c>
      <c r="Q38" s="112">
        <v>4.3</v>
      </c>
    </row>
    <row r="39" spans="1:17" customFormat="1">
      <c r="A39" s="80">
        <v>45606.322916666664</v>
      </c>
      <c r="B39" s="112">
        <v>5.19</v>
      </c>
      <c r="C39" s="112">
        <v>8.07</v>
      </c>
      <c r="D39" s="112">
        <v>13.94</v>
      </c>
      <c r="E39" s="112">
        <v>8.61</v>
      </c>
      <c r="F39" s="112">
        <v>5.66</v>
      </c>
      <c r="G39" s="112">
        <v>75.709999999999994</v>
      </c>
      <c r="H39" s="112">
        <v>25.81</v>
      </c>
      <c r="I39" s="112">
        <v>8.49</v>
      </c>
      <c r="J39" s="112">
        <v>0.12</v>
      </c>
      <c r="K39" s="112">
        <v>162.91</v>
      </c>
      <c r="L39" s="112">
        <v>22.75</v>
      </c>
      <c r="M39" s="112">
        <v>83.43</v>
      </c>
      <c r="N39" s="112">
        <v>42.8</v>
      </c>
      <c r="O39" s="112">
        <v>0</v>
      </c>
      <c r="P39" s="112">
        <v>0.72</v>
      </c>
      <c r="Q39" s="112">
        <v>4.3</v>
      </c>
    </row>
    <row r="40" spans="1:17" customFormat="1">
      <c r="A40" s="80">
        <v>45606.333333333336</v>
      </c>
      <c r="B40" s="112">
        <v>5.21</v>
      </c>
      <c r="C40" s="112">
        <v>8.08</v>
      </c>
      <c r="D40" s="112">
        <v>13.97</v>
      </c>
      <c r="E40" s="112">
        <v>8.64</v>
      </c>
      <c r="F40" s="112">
        <v>5.79</v>
      </c>
      <c r="G40" s="112">
        <v>75.739999999999995</v>
      </c>
      <c r="H40" s="112">
        <v>25.81</v>
      </c>
      <c r="I40" s="112">
        <v>8.43</v>
      </c>
      <c r="J40" s="112">
        <v>0.03</v>
      </c>
      <c r="K40" s="112">
        <v>127.17</v>
      </c>
      <c r="L40" s="112">
        <v>23.16</v>
      </c>
      <c r="M40" s="112">
        <v>80.989999999999995</v>
      </c>
      <c r="N40" s="112">
        <v>57.3</v>
      </c>
      <c r="O40" s="112">
        <v>0</v>
      </c>
      <c r="P40" s="112">
        <v>0.71</v>
      </c>
      <c r="Q40" s="112">
        <v>4.3099999999999996</v>
      </c>
    </row>
    <row r="41" spans="1:17" customFormat="1">
      <c r="A41" s="80">
        <v>45606.34375</v>
      </c>
      <c r="B41" s="112">
        <v>5.21</v>
      </c>
      <c r="C41" s="112">
        <v>8.09</v>
      </c>
      <c r="D41" s="112">
        <v>13.97</v>
      </c>
      <c r="E41" s="112">
        <v>8.65</v>
      </c>
      <c r="F41" s="112">
        <v>5.87</v>
      </c>
      <c r="G41" s="112">
        <v>75.739999999999995</v>
      </c>
      <c r="H41" s="112">
        <v>25.81</v>
      </c>
      <c r="I41" s="112">
        <v>8.36</v>
      </c>
      <c r="J41" s="112">
        <v>0.11</v>
      </c>
      <c r="K41" s="112">
        <v>282.42</v>
      </c>
      <c r="L41" s="112">
        <v>23.43</v>
      </c>
      <c r="M41" s="112">
        <v>79.959999999999994</v>
      </c>
      <c r="N41" s="112">
        <v>65.8</v>
      </c>
      <c r="O41" s="112">
        <v>0</v>
      </c>
      <c r="P41" s="112">
        <v>0.72</v>
      </c>
      <c r="Q41" s="112">
        <v>4.32</v>
      </c>
    </row>
    <row r="42" spans="1:17" customFormat="1">
      <c r="A42" s="80">
        <v>45606.354166666664</v>
      </c>
      <c r="B42" s="112">
        <v>5.21</v>
      </c>
      <c r="C42" s="112">
        <v>8.08</v>
      </c>
      <c r="D42" s="112">
        <v>13.97</v>
      </c>
      <c r="E42" s="112">
        <v>8.58</v>
      </c>
      <c r="F42" s="112">
        <v>5.86</v>
      </c>
      <c r="G42" s="112">
        <v>75.739999999999995</v>
      </c>
      <c r="H42" s="112">
        <v>25.81</v>
      </c>
      <c r="I42" s="112">
        <v>8.2899999999999991</v>
      </c>
      <c r="J42" s="112">
        <v>0.13</v>
      </c>
      <c r="K42" s="112">
        <v>191.21</v>
      </c>
      <c r="L42" s="112">
        <v>24.06</v>
      </c>
      <c r="M42" s="112">
        <v>78.78</v>
      </c>
      <c r="N42" s="112">
        <v>97.3</v>
      </c>
      <c r="O42" s="112">
        <v>0</v>
      </c>
      <c r="P42" s="112">
        <v>0.72</v>
      </c>
      <c r="Q42" s="112">
        <v>4.3099999999999996</v>
      </c>
    </row>
    <row r="43" spans="1:17" customFormat="1">
      <c r="A43" s="80">
        <v>45606.364583333336</v>
      </c>
      <c r="B43" s="112">
        <v>5.21</v>
      </c>
      <c r="C43" s="112">
        <v>8.06</v>
      </c>
      <c r="D43" s="112">
        <v>13.96</v>
      </c>
      <c r="E43" s="112">
        <v>8.5299999999999994</v>
      </c>
      <c r="F43" s="112">
        <v>5.87</v>
      </c>
      <c r="G43" s="112">
        <v>77.37</v>
      </c>
      <c r="H43" s="112">
        <v>26.22</v>
      </c>
      <c r="I43" s="112">
        <v>8.27</v>
      </c>
      <c r="J43" s="112">
        <v>0.38</v>
      </c>
      <c r="K43" s="112">
        <v>55.87</v>
      </c>
      <c r="L43" s="112">
        <v>24.46</v>
      </c>
      <c r="M43" s="112">
        <v>76.150000000000006</v>
      </c>
      <c r="N43" s="112">
        <v>135.6</v>
      </c>
      <c r="O43" s="112">
        <v>0</v>
      </c>
      <c r="P43" s="112">
        <v>0.72</v>
      </c>
      <c r="Q43" s="112">
        <v>4.3099999999999996</v>
      </c>
    </row>
    <row r="44" spans="1:17" customFormat="1">
      <c r="A44" s="80">
        <v>45606.375</v>
      </c>
      <c r="B44" s="112">
        <v>5.21</v>
      </c>
      <c r="C44" s="112">
        <v>8.0500000000000007</v>
      </c>
      <c r="D44" s="112">
        <v>13.95</v>
      </c>
      <c r="E44" s="112">
        <v>8.7200000000000006</v>
      </c>
      <c r="F44" s="112">
        <v>5.9</v>
      </c>
      <c r="G44" s="112">
        <v>77.400000000000006</v>
      </c>
      <c r="H44" s="112">
        <v>26.22</v>
      </c>
      <c r="I44" s="112">
        <v>8.2799999999999994</v>
      </c>
      <c r="J44" s="112">
        <v>0.41</v>
      </c>
      <c r="K44" s="112">
        <v>39.46</v>
      </c>
      <c r="L44" s="112">
        <v>25.18</v>
      </c>
      <c r="M44" s="112">
        <v>68.819999999999993</v>
      </c>
      <c r="N44" s="112">
        <v>173.6</v>
      </c>
      <c r="O44" s="112">
        <v>0</v>
      </c>
      <c r="P44" s="112">
        <v>0.73</v>
      </c>
      <c r="Q44" s="112">
        <v>4.29</v>
      </c>
    </row>
    <row r="45" spans="1:17" customFormat="1">
      <c r="A45" s="80">
        <v>45606.385416666664</v>
      </c>
      <c r="B45" s="112">
        <v>5.22</v>
      </c>
      <c r="C45" s="112">
        <v>8.06</v>
      </c>
      <c r="D45" s="112">
        <v>13.96</v>
      </c>
      <c r="E45" s="112">
        <v>8.81</v>
      </c>
      <c r="F45" s="112">
        <v>5.99</v>
      </c>
      <c r="G45" s="112">
        <v>77.400000000000006</v>
      </c>
      <c r="H45" s="112">
        <v>26.22</v>
      </c>
      <c r="I45" s="112">
        <v>8.31</v>
      </c>
      <c r="J45" s="112">
        <v>0.31</v>
      </c>
      <c r="K45" s="112">
        <v>44.48</v>
      </c>
      <c r="L45" s="112">
        <v>25.75</v>
      </c>
      <c r="M45" s="112">
        <v>67.05</v>
      </c>
      <c r="N45" s="112">
        <v>166.8</v>
      </c>
      <c r="O45" s="112">
        <v>0</v>
      </c>
      <c r="P45" s="112">
        <v>0.73</v>
      </c>
      <c r="Q45" s="112">
        <v>4.3</v>
      </c>
    </row>
    <row r="46" spans="1:17" customFormat="1">
      <c r="A46" s="80">
        <v>45606.395833333336</v>
      </c>
      <c r="B46" s="112">
        <v>5.22</v>
      </c>
      <c r="C46" s="112">
        <v>8.08</v>
      </c>
      <c r="D46" s="112">
        <v>13.97</v>
      </c>
      <c r="E46" s="112">
        <v>8.32</v>
      </c>
      <c r="F46" s="112">
        <v>6.29</v>
      </c>
      <c r="G46" s="112">
        <v>77.400000000000006</v>
      </c>
      <c r="H46" s="112">
        <v>26.22</v>
      </c>
      <c r="I46" s="112">
        <v>8.33</v>
      </c>
      <c r="J46" s="112">
        <v>0.42</v>
      </c>
      <c r="K46" s="112">
        <v>28.4</v>
      </c>
      <c r="L46" s="112">
        <v>26.11</v>
      </c>
      <c r="M46" s="112">
        <v>68.069999999999993</v>
      </c>
      <c r="N46" s="112">
        <v>217.8</v>
      </c>
      <c r="O46" s="112">
        <v>0</v>
      </c>
      <c r="P46" s="112">
        <v>0.73</v>
      </c>
      <c r="Q46" s="112">
        <v>4.3</v>
      </c>
    </row>
    <row r="47" spans="1:17" customFormat="1">
      <c r="A47" s="80">
        <v>45606.40625</v>
      </c>
      <c r="B47" s="112">
        <v>5.22</v>
      </c>
      <c r="C47" s="112">
        <v>8.07</v>
      </c>
      <c r="D47" s="112">
        <v>13.97</v>
      </c>
      <c r="E47" s="112">
        <v>8.6300000000000008</v>
      </c>
      <c r="F47" s="112">
        <v>6.16</v>
      </c>
      <c r="G47" s="112">
        <v>72.260000000000005</v>
      </c>
      <c r="H47" s="112">
        <v>28.35</v>
      </c>
      <c r="I47" s="112">
        <v>8.32</v>
      </c>
      <c r="J47" s="112">
        <v>0.14000000000000001</v>
      </c>
      <c r="K47" s="112">
        <v>35.700000000000003</v>
      </c>
      <c r="L47" s="112">
        <v>26.61</v>
      </c>
      <c r="M47" s="112">
        <v>65.53</v>
      </c>
      <c r="N47" s="112">
        <v>316.2</v>
      </c>
      <c r="O47" s="112">
        <v>0</v>
      </c>
      <c r="P47" s="112">
        <v>0.74</v>
      </c>
      <c r="Q47" s="112">
        <v>4.33</v>
      </c>
    </row>
    <row r="48" spans="1:17" customFormat="1">
      <c r="A48" s="80">
        <v>45606.416666666664</v>
      </c>
      <c r="B48" s="112">
        <v>5.24</v>
      </c>
      <c r="C48" s="112">
        <v>8.06</v>
      </c>
      <c r="D48" s="112">
        <v>13.98</v>
      </c>
      <c r="E48" s="112">
        <v>8.51</v>
      </c>
      <c r="F48" s="112">
        <v>6.21</v>
      </c>
      <c r="G48" s="112">
        <v>72.150000000000006</v>
      </c>
      <c r="H48" s="112">
        <v>28.35</v>
      </c>
      <c r="I48" s="112">
        <v>8.3800000000000008</v>
      </c>
      <c r="J48" s="112">
        <v>0.56000000000000005</v>
      </c>
      <c r="K48" s="112">
        <v>60.45</v>
      </c>
      <c r="L48" s="112">
        <v>27.4</v>
      </c>
      <c r="M48" s="112">
        <v>62.49</v>
      </c>
      <c r="N48" s="112">
        <v>356.8</v>
      </c>
      <c r="O48" s="112">
        <v>0</v>
      </c>
      <c r="P48" s="112">
        <v>0.74</v>
      </c>
      <c r="Q48" s="112">
        <v>4.32</v>
      </c>
    </row>
    <row r="49" spans="1:17" customFormat="1">
      <c r="A49" s="80">
        <v>45606.427083333336</v>
      </c>
      <c r="B49" s="112">
        <v>5.23</v>
      </c>
      <c r="C49" s="112">
        <v>8.11</v>
      </c>
      <c r="D49" s="112">
        <v>14</v>
      </c>
      <c r="E49" s="112">
        <v>6.9</v>
      </c>
      <c r="F49" s="112">
        <v>6.69</v>
      </c>
      <c r="G49" s="112">
        <v>72.150000000000006</v>
      </c>
      <c r="H49" s="112">
        <v>28.35</v>
      </c>
      <c r="I49" s="112">
        <v>8.44</v>
      </c>
      <c r="J49" s="112">
        <v>0.28000000000000003</v>
      </c>
      <c r="K49" s="112">
        <v>119.21</v>
      </c>
      <c r="L49" s="112">
        <v>28.17</v>
      </c>
      <c r="M49" s="112">
        <v>59.11</v>
      </c>
      <c r="N49" s="112">
        <v>384.7</v>
      </c>
      <c r="O49" s="112">
        <v>0</v>
      </c>
      <c r="P49" s="112">
        <v>0.74</v>
      </c>
      <c r="Q49" s="112">
        <v>4.3099999999999996</v>
      </c>
    </row>
    <row r="50" spans="1:17" customFormat="1">
      <c r="A50" s="80">
        <v>45606.4375</v>
      </c>
      <c r="B50" s="112">
        <v>5.22</v>
      </c>
      <c r="C50" s="112">
        <v>8.07</v>
      </c>
      <c r="D50" s="112">
        <v>13.97</v>
      </c>
      <c r="E50" s="112">
        <v>8.49</v>
      </c>
      <c r="F50" s="112">
        <v>7.69</v>
      </c>
      <c r="G50" s="112">
        <v>72.150000000000006</v>
      </c>
      <c r="H50" s="112">
        <v>28.35</v>
      </c>
      <c r="I50" s="112">
        <v>8.43</v>
      </c>
      <c r="J50" s="112">
        <v>0.24</v>
      </c>
      <c r="K50" s="112">
        <v>43.37</v>
      </c>
      <c r="L50" s="112">
        <v>28.65</v>
      </c>
      <c r="M50" s="112">
        <v>58.6</v>
      </c>
      <c r="N50" s="112">
        <v>403.5</v>
      </c>
      <c r="O50" s="112">
        <v>0</v>
      </c>
      <c r="P50" s="112">
        <v>0.73</v>
      </c>
      <c r="Q50" s="112">
        <v>4.3</v>
      </c>
    </row>
    <row r="51" spans="1:17" customFormat="1">
      <c r="A51" s="80">
        <v>45606.447916666664</v>
      </c>
      <c r="B51" s="112">
        <v>5.23</v>
      </c>
      <c r="C51" s="112">
        <v>8.06</v>
      </c>
      <c r="D51" s="112">
        <v>13.97</v>
      </c>
      <c r="E51" s="112">
        <v>8.26</v>
      </c>
      <c r="F51" s="112">
        <v>7.72</v>
      </c>
      <c r="G51" s="112">
        <v>74.73</v>
      </c>
      <c r="H51" s="112">
        <v>27.42</v>
      </c>
      <c r="I51" s="112">
        <v>8.34</v>
      </c>
      <c r="J51" s="112">
        <v>0.31</v>
      </c>
      <c r="K51" s="112">
        <v>87.01</v>
      </c>
      <c r="L51" s="112">
        <v>28.83</v>
      </c>
      <c r="M51" s="112">
        <v>57.51</v>
      </c>
      <c r="N51" s="112">
        <v>372.7</v>
      </c>
      <c r="O51" s="112">
        <v>0</v>
      </c>
      <c r="P51" s="112">
        <v>0.73</v>
      </c>
      <c r="Q51" s="112">
        <v>4.3099999999999996</v>
      </c>
    </row>
    <row r="52" spans="1:17" customFormat="1">
      <c r="A52" s="80">
        <v>45606.458333333336</v>
      </c>
      <c r="B52" s="112">
        <v>5.24</v>
      </c>
      <c r="C52" s="112">
        <v>8.0500000000000007</v>
      </c>
      <c r="D52" s="112">
        <v>13.98</v>
      </c>
      <c r="E52" s="112">
        <v>8.99</v>
      </c>
      <c r="F52" s="112">
        <v>7.41</v>
      </c>
      <c r="G52" s="112">
        <v>74.790000000000006</v>
      </c>
      <c r="H52" s="112">
        <v>27.42</v>
      </c>
      <c r="I52" s="112">
        <v>8.2899999999999991</v>
      </c>
      <c r="J52" s="112">
        <v>0.03</v>
      </c>
      <c r="K52" s="112">
        <v>140.94999999999999</v>
      </c>
      <c r="L52" s="112">
        <v>29.45</v>
      </c>
      <c r="M52" s="112">
        <v>53.9</v>
      </c>
      <c r="N52" s="112">
        <v>426.6</v>
      </c>
      <c r="O52" s="112">
        <v>0</v>
      </c>
      <c r="P52" s="112">
        <v>0.73</v>
      </c>
      <c r="Q52" s="112">
        <v>4.3099999999999996</v>
      </c>
    </row>
    <row r="53" spans="1:17" customFormat="1">
      <c r="A53" s="80">
        <v>45606.46875</v>
      </c>
      <c r="B53" s="112">
        <v>5.23</v>
      </c>
      <c r="C53" s="112">
        <v>8.09</v>
      </c>
      <c r="D53" s="112">
        <v>13.99</v>
      </c>
      <c r="E53" s="112">
        <v>8.57</v>
      </c>
      <c r="F53" s="112">
        <v>8</v>
      </c>
      <c r="G53" s="112">
        <v>74.790000000000006</v>
      </c>
      <c r="H53" s="112">
        <v>27.42</v>
      </c>
      <c r="I53" s="112">
        <v>8.2799999999999994</v>
      </c>
      <c r="J53" s="112">
        <v>0.17</v>
      </c>
      <c r="K53" s="112">
        <v>357.75</v>
      </c>
      <c r="L53" s="112">
        <v>29.3</v>
      </c>
      <c r="M53" s="112">
        <v>53.99</v>
      </c>
      <c r="N53" s="112">
        <v>426.7</v>
      </c>
      <c r="O53" s="112">
        <v>0</v>
      </c>
      <c r="P53" s="112">
        <v>0.73</v>
      </c>
      <c r="Q53" s="112">
        <v>4.32</v>
      </c>
    </row>
    <row r="54" spans="1:17" customFormat="1">
      <c r="A54" s="80">
        <v>45606.479166666664</v>
      </c>
      <c r="B54" s="112">
        <v>5.24</v>
      </c>
      <c r="C54" s="112">
        <v>8.08</v>
      </c>
      <c r="D54" s="112">
        <v>13.99</v>
      </c>
      <c r="E54" s="112">
        <v>8.57</v>
      </c>
      <c r="F54" s="112">
        <v>9.8000000000000007</v>
      </c>
      <c r="G54" s="112">
        <v>74.790000000000006</v>
      </c>
      <c r="H54" s="112">
        <v>27.42</v>
      </c>
      <c r="I54" s="112">
        <v>8.31</v>
      </c>
      <c r="J54" s="112">
        <v>0.4</v>
      </c>
      <c r="K54" s="112">
        <v>336.47</v>
      </c>
      <c r="L54" s="112">
        <v>29.35</v>
      </c>
      <c r="M54" s="112">
        <v>53.9</v>
      </c>
      <c r="N54" s="112">
        <v>403.4</v>
      </c>
      <c r="O54" s="112">
        <v>0</v>
      </c>
      <c r="P54" s="112">
        <v>0.73</v>
      </c>
      <c r="Q54" s="112">
        <v>4.32</v>
      </c>
    </row>
    <row r="55" spans="1:17" customFormat="1">
      <c r="A55" s="80">
        <v>45606.489583333336</v>
      </c>
      <c r="B55" s="112">
        <v>5.23</v>
      </c>
      <c r="C55" s="112">
        <v>8.09</v>
      </c>
      <c r="D55" s="112">
        <v>13.99</v>
      </c>
      <c r="E55" s="112">
        <v>8.82</v>
      </c>
      <c r="F55" s="112">
        <v>9.41</v>
      </c>
      <c r="G55" s="112">
        <v>74.97</v>
      </c>
      <c r="H55" s="112">
        <v>30.66</v>
      </c>
      <c r="I55" s="112">
        <v>8.31</v>
      </c>
      <c r="J55" s="112">
        <v>0.26</v>
      </c>
      <c r="K55" s="112">
        <v>12.83</v>
      </c>
      <c r="L55" s="112">
        <v>30.04</v>
      </c>
      <c r="M55" s="112">
        <v>51.49</v>
      </c>
      <c r="N55" s="112">
        <v>455.9</v>
      </c>
      <c r="O55" s="112">
        <v>0</v>
      </c>
      <c r="P55" s="112">
        <v>0.72</v>
      </c>
      <c r="Q55" s="112">
        <v>4.3</v>
      </c>
    </row>
    <row r="56" spans="1:17" customFormat="1">
      <c r="A56" s="80">
        <v>45606.5</v>
      </c>
      <c r="B56" s="112">
        <v>5.21</v>
      </c>
      <c r="C56" s="112">
        <v>8.08</v>
      </c>
      <c r="D56" s="112">
        <v>13.97</v>
      </c>
      <c r="E56" s="112">
        <v>8.48</v>
      </c>
      <c r="F56" s="112">
        <v>9.8800000000000008</v>
      </c>
      <c r="G56" s="112">
        <v>74.97</v>
      </c>
      <c r="H56" s="112">
        <v>30.66</v>
      </c>
      <c r="I56" s="112">
        <v>8.2899999999999991</v>
      </c>
      <c r="J56" s="112">
        <v>0.4</v>
      </c>
      <c r="K56" s="112">
        <v>136.28</v>
      </c>
      <c r="L56" s="112">
        <v>30.68</v>
      </c>
      <c r="M56" s="112">
        <v>46.93</v>
      </c>
      <c r="N56" s="112">
        <v>482.5</v>
      </c>
      <c r="O56" s="112">
        <v>0</v>
      </c>
      <c r="P56" s="112">
        <v>0.73</v>
      </c>
      <c r="Q56" s="112">
        <v>4.3</v>
      </c>
    </row>
    <row r="57" spans="1:17" customFormat="1">
      <c r="A57" s="80">
        <v>45606.510416666664</v>
      </c>
      <c r="B57" s="112">
        <v>5.2</v>
      </c>
      <c r="C57" s="112">
        <v>8.1</v>
      </c>
      <c r="D57" s="112">
        <v>13.97</v>
      </c>
      <c r="E57" s="112">
        <v>9.3800000000000008</v>
      </c>
      <c r="F57" s="112">
        <v>10.72</v>
      </c>
      <c r="G57" s="112">
        <v>74.97</v>
      </c>
      <c r="H57" s="112">
        <v>30.66</v>
      </c>
      <c r="I57" s="112">
        <v>8.2200000000000006</v>
      </c>
      <c r="J57" s="112">
        <v>0.47</v>
      </c>
      <c r="K57" s="112">
        <v>32.520000000000003</v>
      </c>
      <c r="L57" s="112">
        <v>30.86</v>
      </c>
      <c r="M57" s="112">
        <v>41.87</v>
      </c>
      <c r="N57" s="112">
        <v>416.6</v>
      </c>
      <c r="O57" s="112">
        <v>0</v>
      </c>
      <c r="P57" s="112">
        <v>0.71</v>
      </c>
      <c r="Q57" s="112">
        <v>4.3</v>
      </c>
    </row>
    <row r="58" spans="1:17" customFormat="1">
      <c r="A58" s="80">
        <v>45606.520833333336</v>
      </c>
      <c r="B58" s="112">
        <v>5.21</v>
      </c>
      <c r="C58" s="112">
        <v>8.09</v>
      </c>
      <c r="D58" s="112">
        <v>13.98</v>
      </c>
      <c r="E58" s="112">
        <v>10.199999999999999</v>
      </c>
      <c r="F58" s="112">
        <v>12.35</v>
      </c>
      <c r="G58" s="112">
        <v>74.97</v>
      </c>
      <c r="H58" s="112">
        <v>30.66</v>
      </c>
      <c r="I58" s="112">
        <v>8.1</v>
      </c>
      <c r="J58" s="112">
        <v>0.63</v>
      </c>
      <c r="K58" s="112">
        <v>41.16</v>
      </c>
      <c r="L58" s="112">
        <v>30.65</v>
      </c>
      <c r="M58" s="112">
        <v>41.78</v>
      </c>
      <c r="N58" s="112">
        <v>410.8</v>
      </c>
      <c r="O58" s="112">
        <v>0</v>
      </c>
      <c r="P58" s="112">
        <v>0.68</v>
      </c>
      <c r="Q58" s="112">
        <v>4.3099999999999996</v>
      </c>
    </row>
    <row r="59" spans="1:17" customFormat="1">
      <c r="A59" s="80">
        <v>45606.53125</v>
      </c>
      <c r="B59" s="112">
        <v>5.22</v>
      </c>
      <c r="C59" s="112">
        <v>8.0500000000000007</v>
      </c>
      <c r="D59" s="112">
        <v>13.96</v>
      </c>
      <c r="E59" s="112">
        <v>11.01</v>
      </c>
      <c r="F59" s="112">
        <v>12.83</v>
      </c>
      <c r="G59" s="112">
        <v>72.02</v>
      </c>
      <c r="H59" s="112">
        <v>32.71</v>
      </c>
      <c r="I59" s="112">
        <v>8.0299999999999994</v>
      </c>
      <c r="J59" s="112">
        <v>0.54</v>
      </c>
      <c r="K59" s="112">
        <v>22.79</v>
      </c>
      <c r="L59" s="112">
        <v>30.02</v>
      </c>
      <c r="M59" s="112">
        <v>43.32</v>
      </c>
      <c r="N59" s="112">
        <v>123.7</v>
      </c>
      <c r="O59" s="112">
        <v>0</v>
      </c>
      <c r="P59" s="112">
        <v>0.68</v>
      </c>
      <c r="Q59" s="112">
        <v>4.3099999999999996</v>
      </c>
    </row>
    <row r="60" spans="1:17" customFormat="1">
      <c r="A60" s="80">
        <v>45606.541666666664</v>
      </c>
      <c r="B60" s="112">
        <v>5.21</v>
      </c>
      <c r="C60" s="112">
        <v>8.08</v>
      </c>
      <c r="D60" s="112">
        <v>13.97</v>
      </c>
      <c r="E60" s="112">
        <v>13.92</v>
      </c>
      <c r="F60" s="112">
        <v>11.9</v>
      </c>
      <c r="G60" s="112">
        <v>71.95</v>
      </c>
      <c r="H60" s="112">
        <v>32.71</v>
      </c>
      <c r="I60" s="112">
        <v>7.94</v>
      </c>
      <c r="J60" s="112">
        <v>0.66</v>
      </c>
      <c r="K60" s="112">
        <v>331.67</v>
      </c>
      <c r="L60" s="112">
        <v>29.22</v>
      </c>
      <c r="M60" s="112">
        <v>52.42</v>
      </c>
      <c r="N60" s="112">
        <v>145.9</v>
      </c>
      <c r="O60" s="112">
        <v>0</v>
      </c>
      <c r="P60" s="112">
        <v>0.7</v>
      </c>
      <c r="Q60" s="112">
        <v>4.3</v>
      </c>
    </row>
    <row r="61" spans="1:17" customFormat="1">
      <c r="A61" s="80">
        <v>45606.552083333336</v>
      </c>
      <c r="B61" s="112">
        <v>5.21</v>
      </c>
      <c r="C61" s="112">
        <v>8.0399999999999991</v>
      </c>
      <c r="D61" s="112">
        <v>13.95</v>
      </c>
      <c r="E61" s="112">
        <v>13.94</v>
      </c>
      <c r="F61" s="112">
        <v>14.35</v>
      </c>
      <c r="G61" s="112">
        <v>71.95</v>
      </c>
      <c r="H61" s="112">
        <v>32.71</v>
      </c>
      <c r="I61" s="112">
        <v>7.97</v>
      </c>
      <c r="J61" s="112">
        <v>0.45</v>
      </c>
      <c r="K61" s="112">
        <v>12.36</v>
      </c>
      <c r="L61" s="112">
        <v>29.3</v>
      </c>
      <c r="M61" s="112">
        <v>50.2</v>
      </c>
      <c r="N61" s="112">
        <v>203.2</v>
      </c>
      <c r="O61" s="112">
        <v>0</v>
      </c>
      <c r="P61" s="112">
        <v>0.69</v>
      </c>
      <c r="Q61" s="112">
        <v>4.3099999999999996</v>
      </c>
    </row>
    <row r="62" spans="1:17" customFormat="1">
      <c r="A62" s="80">
        <v>45606.5625</v>
      </c>
      <c r="B62" s="112">
        <v>5.21</v>
      </c>
      <c r="C62" s="112">
        <v>8.07</v>
      </c>
      <c r="D62" s="112">
        <v>13.96</v>
      </c>
      <c r="E62" s="112">
        <v>13.32</v>
      </c>
      <c r="F62" s="112">
        <v>13.07</v>
      </c>
      <c r="G62" s="112">
        <v>71.95</v>
      </c>
      <c r="H62" s="112">
        <v>32.71</v>
      </c>
      <c r="I62" s="112">
        <v>8.09</v>
      </c>
      <c r="J62" s="112">
        <v>0.72</v>
      </c>
      <c r="K62" s="112">
        <v>34.450000000000003</v>
      </c>
      <c r="L62" s="112">
        <v>29.83</v>
      </c>
      <c r="M62" s="112">
        <v>45</v>
      </c>
      <c r="N62" s="112">
        <v>275.60000000000002</v>
      </c>
      <c r="O62" s="112">
        <v>0</v>
      </c>
      <c r="P62" s="112">
        <v>0.7</v>
      </c>
      <c r="Q62" s="112">
        <v>4.3099999999999996</v>
      </c>
    </row>
    <row r="63" spans="1:17" customFormat="1">
      <c r="A63" s="80">
        <v>45606.572916666664</v>
      </c>
      <c r="B63" s="112">
        <v>5.22</v>
      </c>
      <c r="C63" s="112">
        <v>8.06</v>
      </c>
      <c r="D63" s="112">
        <v>13.96</v>
      </c>
      <c r="E63" s="112">
        <v>15.47</v>
      </c>
      <c r="F63" s="112">
        <v>15.25</v>
      </c>
      <c r="G63" s="112">
        <v>80.55</v>
      </c>
      <c r="H63" s="112">
        <v>29.94</v>
      </c>
      <c r="I63" s="112">
        <v>8.0399999999999991</v>
      </c>
      <c r="J63" s="112">
        <v>0.82</v>
      </c>
      <c r="K63" s="112">
        <v>40.79</v>
      </c>
      <c r="L63" s="112">
        <v>29.95</v>
      </c>
      <c r="M63" s="112">
        <v>44.84</v>
      </c>
      <c r="N63" s="112">
        <v>256.10000000000002</v>
      </c>
      <c r="O63" s="112">
        <v>0</v>
      </c>
      <c r="P63" s="112">
        <v>0.68</v>
      </c>
      <c r="Q63" s="112">
        <v>4.3</v>
      </c>
    </row>
    <row r="64" spans="1:17" customFormat="1">
      <c r="A64" s="80">
        <v>45606.583333333336</v>
      </c>
      <c r="B64" s="112">
        <v>5.2</v>
      </c>
      <c r="C64" s="112">
        <v>8.07</v>
      </c>
      <c r="D64" s="112">
        <v>13.95</v>
      </c>
      <c r="E64" s="112">
        <v>14.88</v>
      </c>
      <c r="F64" s="112">
        <v>12.54</v>
      </c>
      <c r="G64" s="112">
        <v>80.739999999999995</v>
      </c>
      <c r="H64" s="112">
        <v>29.94</v>
      </c>
      <c r="I64" s="112">
        <v>7.91</v>
      </c>
      <c r="J64" s="112">
        <v>0.59</v>
      </c>
      <c r="K64" s="112">
        <v>32.06</v>
      </c>
      <c r="L64" s="112">
        <v>29.93</v>
      </c>
      <c r="M64" s="112">
        <v>43.24</v>
      </c>
      <c r="N64" s="112">
        <v>190</v>
      </c>
      <c r="O64" s="112">
        <v>0</v>
      </c>
      <c r="P64" s="112">
        <v>0.66</v>
      </c>
      <c r="Q64" s="112">
        <v>4.32</v>
      </c>
    </row>
    <row r="65" spans="1:17" customFormat="1">
      <c r="A65" s="80">
        <v>45606.59375</v>
      </c>
      <c r="B65" s="112">
        <v>5.19</v>
      </c>
      <c r="C65" s="112">
        <v>8.08</v>
      </c>
      <c r="D65" s="112">
        <v>13.96</v>
      </c>
      <c r="E65" s="112">
        <v>12.37</v>
      </c>
      <c r="F65" s="112">
        <v>11.8</v>
      </c>
      <c r="G65" s="112">
        <v>80.739999999999995</v>
      </c>
      <c r="H65" s="112">
        <v>29.94</v>
      </c>
      <c r="I65" s="112">
        <v>7.83</v>
      </c>
      <c r="J65" s="112">
        <v>0.63</v>
      </c>
      <c r="K65" s="112">
        <v>37.94</v>
      </c>
      <c r="L65" s="112">
        <v>29.9</v>
      </c>
      <c r="M65" s="112">
        <v>40.46</v>
      </c>
      <c r="N65" s="112">
        <v>156.1</v>
      </c>
      <c r="O65" s="112">
        <v>0</v>
      </c>
      <c r="P65" s="112">
        <v>0.67</v>
      </c>
      <c r="Q65" s="112">
        <v>4.3</v>
      </c>
    </row>
    <row r="66" spans="1:17" customFormat="1">
      <c r="A66" s="80">
        <v>45606.604166666664</v>
      </c>
      <c r="B66" s="112">
        <v>5.2</v>
      </c>
      <c r="C66" s="112">
        <v>8.08</v>
      </c>
      <c r="D66" s="112">
        <v>13.95</v>
      </c>
      <c r="E66" s="112">
        <v>13.39</v>
      </c>
      <c r="F66" s="112">
        <v>16.53</v>
      </c>
      <c r="G66" s="112">
        <v>80.739999999999995</v>
      </c>
      <c r="H66" s="112">
        <v>29.94</v>
      </c>
      <c r="I66" s="112">
        <v>7.86</v>
      </c>
      <c r="J66" s="112">
        <v>0.45</v>
      </c>
      <c r="K66" s="112">
        <v>27.45</v>
      </c>
      <c r="L66" s="112">
        <v>29.71</v>
      </c>
      <c r="M66" s="112">
        <v>42.32</v>
      </c>
      <c r="N66" s="112">
        <v>126</v>
      </c>
      <c r="O66" s="112">
        <v>0</v>
      </c>
      <c r="P66" s="112">
        <v>0.67</v>
      </c>
      <c r="Q66" s="112">
        <v>4.29</v>
      </c>
    </row>
    <row r="67" spans="1:17" customFormat="1">
      <c r="A67" s="80">
        <v>45606.614583333336</v>
      </c>
      <c r="B67" s="112">
        <v>5.2</v>
      </c>
      <c r="C67" s="112">
        <v>8.06</v>
      </c>
      <c r="D67" s="112">
        <v>13.95</v>
      </c>
      <c r="E67" s="112">
        <v>13.7</v>
      </c>
      <c r="F67" s="112">
        <v>15.58</v>
      </c>
      <c r="G67" s="112">
        <v>77.8</v>
      </c>
      <c r="H67" s="112">
        <v>28.03</v>
      </c>
      <c r="I67" s="112">
        <v>7.8</v>
      </c>
      <c r="J67" s="112">
        <v>0.41</v>
      </c>
      <c r="K67" s="112">
        <v>349.23</v>
      </c>
      <c r="L67" s="112">
        <v>29.33</v>
      </c>
      <c r="M67" s="112">
        <v>44.44</v>
      </c>
      <c r="N67" s="112">
        <v>99.1</v>
      </c>
      <c r="O67" s="112">
        <v>0</v>
      </c>
      <c r="P67" s="112">
        <v>0.66</v>
      </c>
      <c r="Q67" s="112">
        <v>4.32</v>
      </c>
    </row>
    <row r="68" spans="1:17" customFormat="1">
      <c r="A68" s="80">
        <v>45606.625</v>
      </c>
      <c r="B68" s="112">
        <v>5.19</v>
      </c>
      <c r="C68" s="112">
        <v>8.07</v>
      </c>
      <c r="D68" s="112">
        <v>13.95</v>
      </c>
      <c r="E68" s="112">
        <v>11.71</v>
      </c>
      <c r="F68" s="112">
        <v>14.44</v>
      </c>
      <c r="G68" s="112">
        <v>77.73</v>
      </c>
      <c r="H68" s="112">
        <v>28.03</v>
      </c>
      <c r="I68" s="112">
        <v>7.6</v>
      </c>
      <c r="J68" s="112">
        <v>0.26</v>
      </c>
      <c r="K68" s="112">
        <v>336.33</v>
      </c>
      <c r="L68" s="112">
        <v>29.14</v>
      </c>
      <c r="M68" s="112">
        <v>45.68</v>
      </c>
      <c r="N68" s="112">
        <v>92.6</v>
      </c>
      <c r="O68" s="112">
        <v>0</v>
      </c>
      <c r="P68" s="112">
        <v>0.68</v>
      </c>
      <c r="Q68" s="112">
        <v>4.32</v>
      </c>
    </row>
    <row r="69" spans="1:17" customFormat="1">
      <c r="A69" s="80">
        <v>45606.635416666664</v>
      </c>
      <c r="B69" s="112">
        <v>5.19</v>
      </c>
      <c r="C69" s="112">
        <v>8.08</v>
      </c>
      <c r="D69" s="112">
        <v>13.95</v>
      </c>
      <c r="E69" s="112">
        <v>13.15</v>
      </c>
      <c r="F69" s="112">
        <v>18.649999999999999</v>
      </c>
      <c r="G69" s="112">
        <v>77.73</v>
      </c>
      <c r="H69" s="112">
        <v>28.03</v>
      </c>
      <c r="I69" s="112">
        <v>7.56</v>
      </c>
      <c r="J69" s="112">
        <v>0.37</v>
      </c>
      <c r="K69" s="112">
        <v>19.46</v>
      </c>
      <c r="L69" s="112">
        <v>29.19</v>
      </c>
      <c r="M69" s="112">
        <v>44.1</v>
      </c>
      <c r="N69" s="112">
        <v>78.900000000000006</v>
      </c>
      <c r="O69" s="112">
        <v>0</v>
      </c>
      <c r="P69" s="112">
        <v>0.67</v>
      </c>
      <c r="Q69" s="112">
        <v>4.3</v>
      </c>
    </row>
    <row r="70" spans="1:17" customFormat="1">
      <c r="A70" s="80">
        <v>45606.645833333336</v>
      </c>
      <c r="B70" s="112">
        <v>5.2</v>
      </c>
      <c r="C70" s="112">
        <v>8.09</v>
      </c>
      <c r="D70" s="112">
        <v>13.96</v>
      </c>
      <c r="E70" s="112">
        <v>14.92</v>
      </c>
      <c r="F70" s="112">
        <v>13.45</v>
      </c>
      <c r="G70" s="112">
        <v>77.73</v>
      </c>
      <c r="H70" s="112">
        <v>28.03</v>
      </c>
      <c r="I70" s="112">
        <v>7.64</v>
      </c>
      <c r="J70" s="112">
        <v>0.41</v>
      </c>
      <c r="K70" s="112">
        <v>32.83</v>
      </c>
      <c r="L70" s="112">
        <v>29.19</v>
      </c>
      <c r="M70" s="112">
        <v>43.82</v>
      </c>
      <c r="N70" s="112">
        <v>62.5</v>
      </c>
      <c r="O70" s="112">
        <v>0</v>
      </c>
      <c r="P70" s="112">
        <v>0.66</v>
      </c>
      <c r="Q70" s="112">
        <v>4.3</v>
      </c>
    </row>
    <row r="71" spans="1:17" customFormat="1">
      <c r="A71" s="80">
        <v>45606.65625</v>
      </c>
      <c r="B71" s="112">
        <v>5.19</v>
      </c>
      <c r="C71" s="112">
        <v>8.1</v>
      </c>
      <c r="D71" s="112">
        <v>13.96</v>
      </c>
      <c r="E71" s="112">
        <v>12.41</v>
      </c>
      <c r="F71" s="112">
        <v>13.69</v>
      </c>
      <c r="G71" s="112">
        <v>75.319999999999993</v>
      </c>
      <c r="H71" s="112">
        <v>31.25</v>
      </c>
      <c r="I71" s="112">
        <v>7.5</v>
      </c>
      <c r="J71" s="112">
        <v>0.54</v>
      </c>
      <c r="K71" s="112">
        <v>40.44</v>
      </c>
      <c r="L71" s="112">
        <v>29.09</v>
      </c>
      <c r="M71" s="112">
        <v>44.15</v>
      </c>
      <c r="N71" s="112">
        <v>48.2</v>
      </c>
      <c r="O71" s="112">
        <v>0</v>
      </c>
      <c r="P71" s="112">
        <v>0.68</v>
      </c>
      <c r="Q71" s="112">
        <v>4.3</v>
      </c>
    </row>
    <row r="72" spans="1:17" customFormat="1">
      <c r="A72" s="80">
        <v>45606.666666666664</v>
      </c>
      <c r="B72" s="112">
        <v>5.19</v>
      </c>
      <c r="C72" s="112">
        <v>8.08</v>
      </c>
      <c r="D72" s="112">
        <v>13.95</v>
      </c>
      <c r="E72" s="112">
        <v>13.14</v>
      </c>
      <c r="F72" s="112">
        <v>14.7</v>
      </c>
      <c r="G72" s="112">
        <v>75.27</v>
      </c>
      <c r="H72" s="112">
        <v>31.25</v>
      </c>
      <c r="I72" s="112">
        <v>7.48</v>
      </c>
      <c r="J72" s="112">
        <v>0.55000000000000004</v>
      </c>
      <c r="K72" s="112">
        <v>40.950000000000003</v>
      </c>
      <c r="L72" s="112">
        <v>28.93</v>
      </c>
      <c r="M72" s="112">
        <v>44.01</v>
      </c>
      <c r="N72" s="112">
        <v>39.6</v>
      </c>
      <c r="O72" s="112">
        <v>0</v>
      </c>
      <c r="P72" s="112">
        <v>0.66</v>
      </c>
      <c r="Q72" s="112">
        <v>4.3099999999999996</v>
      </c>
    </row>
    <row r="73" spans="1:17" customFormat="1">
      <c r="A73" s="80">
        <v>45606.677083333336</v>
      </c>
      <c r="B73" s="112">
        <v>5.19</v>
      </c>
      <c r="C73" s="112">
        <v>8.0399999999999991</v>
      </c>
      <c r="D73" s="112">
        <v>13.93</v>
      </c>
      <c r="E73" s="112">
        <v>11.71</v>
      </c>
      <c r="F73" s="112">
        <v>11.05</v>
      </c>
      <c r="G73" s="112">
        <v>75.27</v>
      </c>
      <c r="H73" s="112">
        <v>31.25</v>
      </c>
      <c r="I73" s="112">
        <v>7.52</v>
      </c>
      <c r="J73" s="112">
        <v>0.52</v>
      </c>
      <c r="K73" s="112">
        <v>39.68</v>
      </c>
      <c r="L73" s="112">
        <v>28.53</v>
      </c>
      <c r="M73" s="112">
        <v>45.57</v>
      </c>
      <c r="N73" s="112">
        <v>31.8</v>
      </c>
      <c r="O73" s="112">
        <v>0</v>
      </c>
      <c r="P73" s="112">
        <v>0.68</v>
      </c>
      <c r="Q73" s="112">
        <v>4.29</v>
      </c>
    </row>
    <row r="74" spans="1:17" customFormat="1">
      <c r="A74" s="80">
        <v>45606.6875</v>
      </c>
      <c r="B74" s="112">
        <v>5.2</v>
      </c>
      <c r="C74" s="112">
        <v>8.0500000000000007</v>
      </c>
      <c r="D74" s="112">
        <v>13.94</v>
      </c>
      <c r="E74" s="112">
        <v>11.32</v>
      </c>
      <c r="F74" s="112">
        <v>11.69</v>
      </c>
      <c r="G74" s="112">
        <v>75.27</v>
      </c>
      <c r="H74" s="112">
        <v>31.25</v>
      </c>
      <c r="I74" s="112">
        <v>7.47</v>
      </c>
      <c r="J74" s="112">
        <v>0.37</v>
      </c>
      <c r="K74" s="112">
        <v>48.86</v>
      </c>
      <c r="L74" s="112">
        <v>28.19</v>
      </c>
      <c r="M74" s="112">
        <v>47.36</v>
      </c>
      <c r="N74" s="112">
        <v>25.3</v>
      </c>
      <c r="O74" s="112">
        <v>0</v>
      </c>
      <c r="P74" s="112">
        <v>0.69</v>
      </c>
      <c r="Q74" s="112">
        <v>4.3099999999999996</v>
      </c>
    </row>
    <row r="75" spans="1:17" customFormat="1">
      <c r="A75" s="80">
        <v>45606.697916666664</v>
      </c>
      <c r="B75" s="112">
        <v>5.19</v>
      </c>
      <c r="C75" s="112">
        <v>8.07</v>
      </c>
      <c r="D75" s="112">
        <v>13.95</v>
      </c>
      <c r="E75" s="112">
        <v>10.14</v>
      </c>
      <c r="F75" s="112">
        <v>7.75</v>
      </c>
      <c r="G75" s="112">
        <v>89.86</v>
      </c>
      <c r="H75" s="112">
        <v>31.68</v>
      </c>
      <c r="I75" s="112">
        <v>7.53</v>
      </c>
      <c r="J75" s="112">
        <v>0.13</v>
      </c>
      <c r="K75" s="112">
        <v>103.33</v>
      </c>
      <c r="L75" s="112">
        <v>27.67</v>
      </c>
      <c r="M75" s="112">
        <v>52.29</v>
      </c>
      <c r="N75" s="112">
        <v>16</v>
      </c>
      <c r="O75" s="112">
        <v>0</v>
      </c>
      <c r="P75" s="112">
        <v>0.69</v>
      </c>
      <c r="Q75" s="112">
        <v>4.3099999999999996</v>
      </c>
    </row>
    <row r="76" spans="1:17" customFormat="1">
      <c r="A76" s="80">
        <v>45606.708333333336</v>
      </c>
      <c r="B76" s="112">
        <v>5.2</v>
      </c>
      <c r="C76" s="112">
        <v>8.0399999999999991</v>
      </c>
      <c r="D76" s="112">
        <v>13.94</v>
      </c>
      <c r="E76" s="112">
        <v>9.51</v>
      </c>
      <c r="F76" s="112">
        <v>6.69</v>
      </c>
      <c r="G76" s="112">
        <v>90.19</v>
      </c>
      <c r="H76" s="112">
        <v>31.68</v>
      </c>
      <c r="I76" s="112">
        <v>7.54</v>
      </c>
      <c r="J76" s="112">
        <v>0.15</v>
      </c>
      <c r="K76" s="112">
        <v>134.63</v>
      </c>
      <c r="L76" s="112">
        <v>27.14</v>
      </c>
      <c r="M76" s="112">
        <v>52.88</v>
      </c>
      <c r="N76" s="112">
        <v>8.3000000000000007</v>
      </c>
      <c r="O76" s="112">
        <v>0</v>
      </c>
      <c r="P76" s="112">
        <v>0.7</v>
      </c>
      <c r="Q76" s="112">
        <v>4.29</v>
      </c>
    </row>
    <row r="77" spans="1:17" customFormat="1">
      <c r="A77" s="80">
        <v>45606.71875</v>
      </c>
      <c r="B77" s="112">
        <v>5.18</v>
      </c>
      <c r="C77" s="112">
        <v>8.0299999999999994</v>
      </c>
      <c r="D77" s="112">
        <v>13.92</v>
      </c>
      <c r="E77" s="112">
        <v>8.94</v>
      </c>
      <c r="F77" s="112">
        <v>6.52</v>
      </c>
      <c r="G77" s="112">
        <v>90.19</v>
      </c>
      <c r="H77" s="112">
        <v>31.68</v>
      </c>
      <c r="I77" s="112">
        <v>7.67</v>
      </c>
      <c r="J77" s="112">
        <v>0.33</v>
      </c>
      <c r="K77" s="112">
        <v>157.46</v>
      </c>
      <c r="L77" s="112">
        <v>26.48</v>
      </c>
      <c r="M77" s="112">
        <v>57.37</v>
      </c>
      <c r="N77" s="112">
        <v>3.9</v>
      </c>
      <c r="O77" s="112">
        <v>0</v>
      </c>
      <c r="P77" s="112">
        <v>0.71</v>
      </c>
      <c r="Q77" s="112">
        <v>4.3099999999999996</v>
      </c>
    </row>
    <row r="78" spans="1:17" customFormat="1">
      <c r="A78" s="80">
        <v>45606.729166666664</v>
      </c>
      <c r="B78" s="112">
        <v>5.17</v>
      </c>
      <c r="C78" s="112">
        <v>8.0500000000000007</v>
      </c>
      <c r="D78" s="112">
        <v>13.92</v>
      </c>
      <c r="E78" s="112">
        <v>8.6300000000000008</v>
      </c>
      <c r="F78" s="112">
        <v>6.54</v>
      </c>
      <c r="G78" s="112">
        <v>90.19</v>
      </c>
      <c r="H78" s="112">
        <v>31.68</v>
      </c>
      <c r="I78" s="112">
        <v>7.73</v>
      </c>
      <c r="J78" s="112">
        <v>0.3</v>
      </c>
      <c r="K78" s="112">
        <v>161.06</v>
      </c>
      <c r="L78" s="112">
        <v>25.97</v>
      </c>
      <c r="M78" s="112">
        <v>61.85</v>
      </c>
      <c r="N78" s="112">
        <v>2.4</v>
      </c>
      <c r="O78" s="112">
        <v>0</v>
      </c>
      <c r="P78" s="112">
        <v>0.71</v>
      </c>
      <c r="Q78" s="112">
        <v>4.3</v>
      </c>
    </row>
    <row r="79" spans="1:17" customFormat="1">
      <c r="A79" s="80">
        <v>45606.739583333336</v>
      </c>
      <c r="B79" s="112">
        <v>5.17</v>
      </c>
      <c r="C79" s="112">
        <v>8.06</v>
      </c>
      <c r="D79" s="112">
        <v>13.93</v>
      </c>
      <c r="E79" s="112">
        <v>8.5</v>
      </c>
      <c r="F79" s="112">
        <v>6.28</v>
      </c>
      <c r="G79" s="112">
        <v>95.29</v>
      </c>
      <c r="H79" s="112">
        <v>35.24</v>
      </c>
      <c r="I79" s="112">
        <v>7.75</v>
      </c>
      <c r="J79" s="112">
        <v>0.27</v>
      </c>
      <c r="K79" s="112">
        <v>155.38</v>
      </c>
      <c r="L79" s="112">
        <v>25.71</v>
      </c>
      <c r="M79" s="112">
        <v>65.33</v>
      </c>
      <c r="N79" s="112">
        <v>2</v>
      </c>
      <c r="O79" s="112">
        <v>0</v>
      </c>
      <c r="P79" s="112">
        <v>0.72</v>
      </c>
      <c r="Q79" s="112">
        <v>4.3099999999999996</v>
      </c>
    </row>
    <row r="80" spans="1:17" customFormat="1">
      <c r="A80" s="80">
        <v>45606.75</v>
      </c>
      <c r="B80" s="112">
        <v>5.19</v>
      </c>
      <c r="C80" s="112">
        <v>8.06</v>
      </c>
      <c r="D80" s="112">
        <v>13.94</v>
      </c>
      <c r="E80" s="112">
        <v>8.3699999999999992</v>
      </c>
      <c r="F80" s="112">
        <v>5.89</v>
      </c>
      <c r="G80" s="112">
        <v>95.41</v>
      </c>
      <c r="H80" s="112">
        <v>35.24</v>
      </c>
      <c r="I80" s="112">
        <v>7.83</v>
      </c>
      <c r="J80" s="112">
        <v>0.3</v>
      </c>
      <c r="K80" s="112">
        <v>155.88</v>
      </c>
      <c r="L80" s="112">
        <v>25.69</v>
      </c>
      <c r="M80" s="112">
        <v>63.47</v>
      </c>
      <c r="N80" s="112">
        <v>1.9</v>
      </c>
      <c r="O80" s="112">
        <v>0</v>
      </c>
      <c r="P80" s="112">
        <v>0.73</v>
      </c>
      <c r="Q80" s="112">
        <v>4.3099999999999996</v>
      </c>
    </row>
    <row r="81" spans="1:17" customFormat="1">
      <c r="A81" s="80">
        <v>45606.760416666664</v>
      </c>
      <c r="B81" s="112">
        <v>5.19</v>
      </c>
      <c r="C81" s="112">
        <v>8.09</v>
      </c>
      <c r="D81" s="112">
        <v>13.95</v>
      </c>
      <c r="E81" s="112">
        <v>7.78</v>
      </c>
      <c r="F81" s="112">
        <v>6.03</v>
      </c>
      <c r="G81" s="112">
        <v>95.41</v>
      </c>
      <c r="H81" s="112">
        <v>35.24</v>
      </c>
      <c r="I81" s="112">
        <v>7.91</v>
      </c>
      <c r="J81" s="112">
        <v>0.25</v>
      </c>
      <c r="K81" s="112">
        <v>163.32</v>
      </c>
      <c r="L81" s="112">
        <v>25.32</v>
      </c>
      <c r="M81" s="112">
        <v>64.430000000000007</v>
      </c>
      <c r="N81" s="112">
        <v>1.9</v>
      </c>
      <c r="O81" s="112">
        <v>0</v>
      </c>
      <c r="P81" s="112">
        <v>0.75</v>
      </c>
      <c r="Q81" s="112">
        <v>4.3099999999999996</v>
      </c>
    </row>
    <row r="82" spans="1:17" customFormat="1">
      <c r="A82" s="80">
        <v>45606.770833333336</v>
      </c>
      <c r="B82" s="112">
        <v>5.18</v>
      </c>
      <c r="C82" s="112">
        <v>8.08</v>
      </c>
      <c r="D82" s="112">
        <v>13.94</v>
      </c>
      <c r="E82" s="112">
        <v>9.08</v>
      </c>
      <c r="F82" s="112">
        <v>5.82</v>
      </c>
      <c r="G82" s="112">
        <v>95.41</v>
      </c>
      <c r="H82" s="112">
        <v>35.24</v>
      </c>
      <c r="I82" s="112">
        <v>8.0299999999999994</v>
      </c>
      <c r="J82" s="112">
        <v>0.18</v>
      </c>
      <c r="K82" s="112">
        <v>152.51</v>
      </c>
      <c r="L82" s="112">
        <v>25.02</v>
      </c>
      <c r="M82" s="112">
        <v>65.959999999999994</v>
      </c>
      <c r="N82" s="112">
        <v>1.7</v>
      </c>
      <c r="O82" s="112">
        <v>0</v>
      </c>
      <c r="P82" s="112">
        <v>0.78</v>
      </c>
      <c r="Q82" s="112">
        <v>4.3099999999999996</v>
      </c>
    </row>
    <row r="83" spans="1:17" customFormat="1">
      <c r="A83" s="80">
        <v>45606.78125</v>
      </c>
      <c r="B83" s="112">
        <v>5.19</v>
      </c>
      <c r="C83" s="112">
        <v>8.07</v>
      </c>
      <c r="D83" s="112">
        <v>13.95</v>
      </c>
      <c r="E83" s="112">
        <v>9.41</v>
      </c>
      <c r="F83" s="112">
        <v>5.88</v>
      </c>
      <c r="G83" s="112">
        <v>108.86</v>
      </c>
      <c r="H83" s="112">
        <v>37.24</v>
      </c>
      <c r="I83" s="112">
        <v>8.23</v>
      </c>
      <c r="J83" s="112">
        <v>0.13</v>
      </c>
      <c r="K83" s="112">
        <v>105.73</v>
      </c>
      <c r="L83" s="112">
        <v>25.11</v>
      </c>
      <c r="M83" s="112">
        <v>63.82</v>
      </c>
      <c r="N83" s="112">
        <v>1.4</v>
      </c>
      <c r="O83" s="112">
        <v>0</v>
      </c>
      <c r="P83" s="112">
        <v>0.79</v>
      </c>
      <c r="Q83" s="112">
        <v>4.29</v>
      </c>
    </row>
    <row r="84" spans="1:17" customFormat="1">
      <c r="A84" s="80">
        <v>45606.791666666664</v>
      </c>
      <c r="B84" s="112">
        <v>5.19</v>
      </c>
      <c r="C84" s="112">
        <v>8.09</v>
      </c>
      <c r="D84" s="112">
        <v>13.96</v>
      </c>
      <c r="E84" s="112">
        <v>9.34</v>
      </c>
      <c r="F84" s="112">
        <v>5.95</v>
      </c>
      <c r="G84" s="112">
        <v>109.17</v>
      </c>
      <c r="H84" s="112">
        <v>37.24</v>
      </c>
      <c r="I84" s="112">
        <v>8.51</v>
      </c>
      <c r="J84" s="112">
        <v>0.19</v>
      </c>
      <c r="K84" s="112">
        <v>142.02000000000001</v>
      </c>
      <c r="L84" s="112">
        <v>25.34</v>
      </c>
      <c r="M84" s="112">
        <v>63.12</v>
      </c>
      <c r="N84" s="112">
        <v>1.7</v>
      </c>
      <c r="O84" s="112">
        <v>0</v>
      </c>
      <c r="P84" s="112">
        <v>0.8</v>
      </c>
      <c r="Q84" s="112">
        <v>4.29</v>
      </c>
    </row>
    <row r="85" spans="1:17" customFormat="1">
      <c r="A85" s="80">
        <v>45606.802083333336</v>
      </c>
      <c r="B85" s="112">
        <v>5.2</v>
      </c>
      <c r="C85" s="112">
        <v>8.07</v>
      </c>
      <c r="D85" s="112">
        <v>13.95</v>
      </c>
      <c r="E85" s="112">
        <v>8.93</v>
      </c>
      <c r="F85" s="112">
        <v>6.07</v>
      </c>
      <c r="G85" s="112">
        <v>109.17</v>
      </c>
      <c r="H85" s="112">
        <v>37.24</v>
      </c>
      <c r="I85" s="112">
        <v>8.7100000000000009</v>
      </c>
      <c r="J85" s="112">
        <v>0.18</v>
      </c>
      <c r="K85" s="112">
        <v>75.44</v>
      </c>
      <c r="L85" s="112">
        <v>25.75</v>
      </c>
      <c r="M85" s="112">
        <v>60.5</v>
      </c>
      <c r="N85" s="112">
        <v>1.6</v>
      </c>
      <c r="O85" s="112">
        <v>0</v>
      </c>
      <c r="P85" s="112">
        <v>0.81</v>
      </c>
      <c r="Q85" s="112">
        <v>4.3</v>
      </c>
    </row>
    <row r="86" spans="1:17" customFormat="1">
      <c r="A86" s="80">
        <v>45606.8125</v>
      </c>
      <c r="B86" s="112">
        <v>5.22</v>
      </c>
      <c r="C86" s="112">
        <v>8.0299999999999994</v>
      </c>
      <c r="D86" s="112">
        <v>13.95</v>
      </c>
      <c r="E86" s="112">
        <v>9.4499999999999993</v>
      </c>
      <c r="F86" s="112">
        <v>6.65</v>
      </c>
      <c r="G86" s="112">
        <v>109.17</v>
      </c>
      <c r="H86" s="112">
        <v>37.24</v>
      </c>
      <c r="I86" s="112">
        <v>8.86</v>
      </c>
      <c r="J86" s="112">
        <v>0.42</v>
      </c>
      <c r="K86" s="112">
        <v>50.79</v>
      </c>
      <c r="L86" s="112">
        <v>25.85</v>
      </c>
      <c r="M86" s="112">
        <v>58.28</v>
      </c>
      <c r="N86" s="112">
        <v>1.7</v>
      </c>
      <c r="O86" s="112">
        <v>0</v>
      </c>
      <c r="P86" s="112">
        <v>0.83</v>
      </c>
      <c r="Q86" s="112">
        <v>4.3</v>
      </c>
    </row>
    <row r="87" spans="1:17" customFormat="1">
      <c r="A87" s="80">
        <v>45606.822916666664</v>
      </c>
      <c r="B87" s="112">
        <v>5.2</v>
      </c>
      <c r="C87" s="112">
        <v>8.08</v>
      </c>
      <c r="D87" s="112">
        <v>13.96</v>
      </c>
      <c r="E87" s="112">
        <v>9.6300000000000008</v>
      </c>
      <c r="F87" s="112">
        <v>7.14</v>
      </c>
      <c r="G87" s="112">
        <v>140.91999999999999</v>
      </c>
      <c r="H87" s="112">
        <v>39.19</v>
      </c>
      <c r="I87" s="112">
        <v>9.0399999999999991</v>
      </c>
      <c r="J87" s="112">
        <v>0.35</v>
      </c>
      <c r="K87" s="112">
        <v>62.18</v>
      </c>
      <c r="L87" s="112">
        <v>25.89</v>
      </c>
      <c r="M87" s="112">
        <v>58.5</v>
      </c>
      <c r="N87" s="112">
        <v>1.9</v>
      </c>
      <c r="O87" s="112">
        <v>0</v>
      </c>
      <c r="P87" s="112">
        <v>0.83</v>
      </c>
      <c r="Q87" s="112">
        <v>4.3099999999999996</v>
      </c>
    </row>
    <row r="88" spans="1:17" customFormat="1">
      <c r="A88" s="80">
        <v>45606.833333333336</v>
      </c>
      <c r="B88" s="112">
        <v>5.18</v>
      </c>
      <c r="C88" s="112">
        <v>8.09</v>
      </c>
      <c r="D88" s="112">
        <v>13.95</v>
      </c>
      <c r="E88" s="112">
        <v>9.7100000000000009</v>
      </c>
      <c r="F88" s="112">
        <v>6.7</v>
      </c>
      <c r="G88" s="112">
        <v>141.65</v>
      </c>
      <c r="H88" s="112">
        <v>39.19</v>
      </c>
      <c r="I88" s="112">
        <v>9.1199999999999992</v>
      </c>
      <c r="J88" s="112">
        <v>0.23</v>
      </c>
      <c r="K88" s="112">
        <v>65.63</v>
      </c>
      <c r="L88" s="112">
        <v>25.94</v>
      </c>
      <c r="M88" s="112">
        <v>58.83</v>
      </c>
      <c r="N88" s="112">
        <v>2</v>
      </c>
      <c r="O88" s="112">
        <v>0</v>
      </c>
      <c r="P88" s="112">
        <v>0.83</v>
      </c>
      <c r="Q88" s="112">
        <v>4.33</v>
      </c>
    </row>
    <row r="89" spans="1:17" customFormat="1">
      <c r="A89" s="80">
        <v>45606.84375</v>
      </c>
      <c r="B89" s="112">
        <v>5.18</v>
      </c>
      <c r="C89" s="112">
        <v>8.1199999999999992</v>
      </c>
      <c r="D89" s="112">
        <v>13.96</v>
      </c>
      <c r="E89" s="112">
        <v>9.57</v>
      </c>
      <c r="F89" s="112">
        <v>6.23</v>
      </c>
      <c r="G89" s="112">
        <v>141.65</v>
      </c>
      <c r="H89" s="112">
        <v>39.19</v>
      </c>
      <c r="I89" s="112">
        <v>9.1</v>
      </c>
      <c r="J89" s="112">
        <v>0.21</v>
      </c>
      <c r="K89" s="112">
        <v>83.5</v>
      </c>
      <c r="L89" s="112">
        <v>25.82</v>
      </c>
      <c r="M89" s="112">
        <v>60.18</v>
      </c>
      <c r="N89" s="112">
        <v>1.9</v>
      </c>
      <c r="O89" s="112">
        <v>0</v>
      </c>
      <c r="P89" s="112">
        <v>0.83</v>
      </c>
      <c r="Q89" s="112">
        <v>4.3099999999999996</v>
      </c>
    </row>
    <row r="90" spans="1:17" customFormat="1">
      <c r="A90" s="80">
        <v>45606.854166666664</v>
      </c>
      <c r="B90" s="112">
        <v>5.18</v>
      </c>
      <c r="C90" s="112">
        <v>8.08</v>
      </c>
      <c r="D90" s="112">
        <v>13.95</v>
      </c>
      <c r="E90" s="112">
        <v>9.4700000000000006</v>
      </c>
      <c r="F90" s="112">
        <v>6.4</v>
      </c>
      <c r="G90" s="112">
        <v>141.65</v>
      </c>
      <c r="H90" s="112">
        <v>39.19</v>
      </c>
      <c r="I90" s="112">
        <v>9.08</v>
      </c>
      <c r="J90" s="112">
        <v>0.2</v>
      </c>
      <c r="K90" s="112">
        <v>83.23</v>
      </c>
      <c r="L90" s="112">
        <v>25.87</v>
      </c>
      <c r="M90" s="112">
        <v>59.95</v>
      </c>
      <c r="N90" s="112">
        <v>2</v>
      </c>
      <c r="O90" s="112">
        <v>0</v>
      </c>
      <c r="P90" s="112">
        <v>0.83</v>
      </c>
      <c r="Q90" s="112">
        <v>4.3099999999999996</v>
      </c>
    </row>
    <row r="91" spans="1:17" customFormat="1">
      <c r="A91" s="80">
        <v>45606.864583333336</v>
      </c>
      <c r="B91" s="112">
        <v>5.19</v>
      </c>
      <c r="C91" s="112">
        <v>8.09</v>
      </c>
      <c r="D91" s="112">
        <v>13.96</v>
      </c>
      <c r="E91" s="112">
        <v>9.27</v>
      </c>
      <c r="F91" s="112">
        <v>6.44</v>
      </c>
      <c r="G91" s="112">
        <v>130.21</v>
      </c>
      <c r="H91" s="112">
        <v>40.700000000000003</v>
      </c>
      <c r="I91" s="112">
        <v>9.08</v>
      </c>
      <c r="J91" s="112">
        <v>0.24</v>
      </c>
      <c r="K91" s="112">
        <v>85.7</v>
      </c>
      <c r="L91" s="112">
        <v>25.85</v>
      </c>
      <c r="M91" s="112">
        <v>60.05</v>
      </c>
      <c r="N91" s="112">
        <v>2.1</v>
      </c>
      <c r="O91" s="112">
        <v>0</v>
      </c>
      <c r="P91" s="112">
        <v>0.82</v>
      </c>
      <c r="Q91" s="112">
        <v>4.3099999999999996</v>
      </c>
    </row>
    <row r="92" spans="1:17" customFormat="1">
      <c r="A92" s="80">
        <v>45606.875</v>
      </c>
      <c r="B92" s="112">
        <v>5.19</v>
      </c>
      <c r="C92" s="112">
        <v>8.08</v>
      </c>
      <c r="D92" s="112">
        <v>13.95</v>
      </c>
      <c r="E92" s="112">
        <v>9.66</v>
      </c>
      <c r="F92" s="112">
        <v>6.34</v>
      </c>
      <c r="G92" s="112">
        <v>129.94999999999999</v>
      </c>
      <c r="H92" s="112">
        <v>40.700000000000003</v>
      </c>
      <c r="I92" s="112">
        <v>9</v>
      </c>
      <c r="J92" s="112">
        <v>0.13</v>
      </c>
      <c r="K92" s="112">
        <v>101.02</v>
      </c>
      <c r="L92" s="112">
        <v>25.72</v>
      </c>
      <c r="M92" s="112">
        <v>60.34</v>
      </c>
      <c r="N92" s="112">
        <v>2</v>
      </c>
      <c r="O92" s="112">
        <v>0</v>
      </c>
      <c r="P92" s="112">
        <v>0.82</v>
      </c>
      <c r="Q92" s="112">
        <v>4.3099999999999996</v>
      </c>
    </row>
    <row r="93" spans="1:17" customFormat="1">
      <c r="A93" s="80">
        <v>45606.885416666664</v>
      </c>
      <c r="B93" s="112">
        <v>5.19</v>
      </c>
      <c r="C93" s="112">
        <v>8.08</v>
      </c>
      <c r="D93" s="112">
        <v>13.95</v>
      </c>
      <c r="E93" s="112">
        <v>9.34</v>
      </c>
      <c r="F93" s="112">
        <v>6.39</v>
      </c>
      <c r="G93" s="112">
        <v>129.94999999999999</v>
      </c>
      <c r="H93" s="112">
        <v>40.700000000000003</v>
      </c>
      <c r="I93" s="112">
        <v>8.98</v>
      </c>
      <c r="J93" s="112">
        <v>0.24</v>
      </c>
      <c r="K93" s="112">
        <v>65.73</v>
      </c>
      <c r="L93" s="112">
        <v>25.63</v>
      </c>
      <c r="M93" s="112">
        <v>60.42</v>
      </c>
      <c r="N93" s="112">
        <v>2.1</v>
      </c>
      <c r="O93" s="112">
        <v>0</v>
      </c>
      <c r="P93" s="112">
        <v>0.81</v>
      </c>
      <c r="Q93" s="112">
        <v>4.3099999999999996</v>
      </c>
    </row>
    <row r="94" spans="1:17" customFormat="1">
      <c r="A94" s="80">
        <v>45606.895833333336</v>
      </c>
      <c r="B94" s="112">
        <v>5.19</v>
      </c>
      <c r="C94" s="112">
        <v>8.09</v>
      </c>
      <c r="D94" s="112">
        <v>13.96</v>
      </c>
      <c r="E94" s="112">
        <v>8.9499999999999993</v>
      </c>
      <c r="F94" s="112">
        <v>6.16</v>
      </c>
      <c r="G94" s="112">
        <v>129.94999999999999</v>
      </c>
      <c r="H94" s="112">
        <v>40.700000000000003</v>
      </c>
      <c r="I94" s="112">
        <v>8.9499999999999993</v>
      </c>
      <c r="J94" s="112">
        <v>0.28999999999999998</v>
      </c>
      <c r="K94" s="112">
        <v>69.22</v>
      </c>
      <c r="L94" s="112">
        <v>25.51</v>
      </c>
      <c r="M94" s="112">
        <v>60.26</v>
      </c>
      <c r="N94" s="112">
        <v>2.1</v>
      </c>
      <c r="O94" s="112">
        <v>0</v>
      </c>
      <c r="P94" s="112">
        <v>0.81</v>
      </c>
      <c r="Q94" s="112">
        <v>4.3099999999999996</v>
      </c>
    </row>
    <row r="95" spans="1:17" customFormat="1">
      <c r="A95" s="80">
        <v>45606.90625</v>
      </c>
      <c r="B95" s="112">
        <v>5.19</v>
      </c>
      <c r="C95" s="112">
        <v>8.09</v>
      </c>
      <c r="D95" s="112">
        <v>13.96</v>
      </c>
      <c r="E95" s="112">
        <v>9.08</v>
      </c>
      <c r="F95" s="112">
        <v>6.18</v>
      </c>
      <c r="G95" s="112">
        <v>115.64</v>
      </c>
      <c r="H95" s="112">
        <v>36.380000000000003</v>
      </c>
      <c r="I95" s="112">
        <v>8.8699999999999992</v>
      </c>
      <c r="J95" s="112">
        <v>0.38</v>
      </c>
      <c r="K95" s="112">
        <v>55.71</v>
      </c>
      <c r="L95" s="112">
        <v>25.36</v>
      </c>
      <c r="M95" s="112">
        <v>59.92</v>
      </c>
      <c r="N95" s="112">
        <v>2.1</v>
      </c>
      <c r="O95" s="112">
        <v>0</v>
      </c>
      <c r="P95" s="112">
        <v>0.8</v>
      </c>
      <c r="Q95" s="112">
        <v>4.3</v>
      </c>
    </row>
    <row r="96" spans="1:17" customFormat="1">
      <c r="A96" s="80">
        <v>45606.916666666664</v>
      </c>
      <c r="B96" s="112">
        <v>5.18</v>
      </c>
      <c r="C96" s="112">
        <v>8.09</v>
      </c>
      <c r="D96" s="112">
        <v>13.95</v>
      </c>
      <c r="E96" s="112">
        <v>9.16</v>
      </c>
      <c r="F96" s="112">
        <v>6.42</v>
      </c>
      <c r="G96" s="112">
        <v>115.32</v>
      </c>
      <c r="H96" s="112">
        <v>36.380000000000003</v>
      </c>
      <c r="I96" s="112">
        <v>8.8000000000000007</v>
      </c>
      <c r="J96" s="112">
        <v>0.36</v>
      </c>
      <c r="K96" s="112">
        <v>58.83</v>
      </c>
      <c r="L96" s="112">
        <v>25.32</v>
      </c>
      <c r="M96" s="112">
        <v>59.65</v>
      </c>
      <c r="N96" s="112">
        <v>2.1</v>
      </c>
      <c r="O96" s="112">
        <v>0</v>
      </c>
      <c r="P96" s="112">
        <v>0.79</v>
      </c>
      <c r="Q96" s="112">
        <v>4.29</v>
      </c>
    </row>
    <row r="97" spans="1:22" customFormat="1">
      <c r="A97" s="80">
        <v>45606.927083333336</v>
      </c>
      <c r="B97" s="112">
        <v>5.19</v>
      </c>
      <c r="C97" s="112">
        <v>8.07</v>
      </c>
      <c r="D97" s="112">
        <v>13.95</v>
      </c>
      <c r="E97" s="112">
        <v>9.58</v>
      </c>
      <c r="F97" s="112">
        <v>6.28</v>
      </c>
      <c r="G97" s="112">
        <v>115.32</v>
      </c>
      <c r="H97" s="112">
        <v>36.380000000000003</v>
      </c>
      <c r="I97" s="112">
        <v>8.7200000000000006</v>
      </c>
      <c r="J97" s="112">
        <v>0.17</v>
      </c>
      <c r="K97" s="112">
        <v>129.21</v>
      </c>
      <c r="L97" s="112">
        <v>25.25</v>
      </c>
      <c r="M97" s="112">
        <v>60.13</v>
      </c>
      <c r="N97" s="112">
        <v>2.1</v>
      </c>
      <c r="O97" s="112">
        <v>0</v>
      </c>
      <c r="P97" s="112">
        <v>0.77</v>
      </c>
      <c r="Q97" s="112">
        <v>4.3</v>
      </c>
    </row>
    <row r="98" spans="1:22" customFormat="1">
      <c r="A98" s="80">
        <v>45606.9375</v>
      </c>
      <c r="B98" s="112">
        <v>5.19</v>
      </c>
      <c r="C98" s="112">
        <v>8.08</v>
      </c>
      <c r="D98" s="112">
        <v>13.95</v>
      </c>
      <c r="E98" s="112">
        <v>9.1999999999999993</v>
      </c>
      <c r="F98" s="112">
        <v>6.11</v>
      </c>
      <c r="G98" s="112">
        <v>115.32</v>
      </c>
      <c r="H98" s="112">
        <v>36.380000000000003</v>
      </c>
      <c r="I98" s="112">
        <v>8.6999999999999993</v>
      </c>
      <c r="J98" s="112">
        <v>0.28000000000000003</v>
      </c>
      <c r="K98" s="112">
        <v>76.84</v>
      </c>
      <c r="L98" s="112">
        <v>25.25</v>
      </c>
      <c r="M98" s="112">
        <v>59.08</v>
      </c>
      <c r="N98" s="112">
        <v>1.9</v>
      </c>
      <c r="O98" s="112">
        <v>0</v>
      </c>
      <c r="P98" s="112">
        <v>0.77</v>
      </c>
      <c r="Q98" s="112">
        <v>4.3099999999999996</v>
      </c>
    </row>
    <row r="99" spans="1:22" customFormat="1">
      <c r="A99" s="80">
        <v>45606.947916666664</v>
      </c>
      <c r="B99" s="112">
        <v>5.2</v>
      </c>
      <c r="C99" s="112">
        <v>8.07</v>
      </c>
      <c r="D99" s="112">
        <v>13.95</v>
      </c>
      <c r="E99" s="112">
        <v>9.33</v>
      </c>
      <c r="F99" s="112">
        <v>6.36</v>
      </c>
      <c r="G99" s="112">
        <v>99.18</v>
      </c>
      <c r="H99" s="112">
        <v>33.78</v>
      </c>
      <c r="I99" s="112">
        <v>8.6999999999999993</v>
      </c>
      <c r="J99" s="112">
        <v>0.36</v>
      </c>
      <c r="K99" s="112">
        <v>83.11</v>
      </c>
      <c r="L99" s="112">
        <v>25.46</v>
      </c>
      <c r="M99" s="112">
        <v>57.99</v>
      </c>
      <c r="N99" s="112">
        <v>1.9</v>
      </c>
      <c r="O99" s="112">
        <v>0</v>
      </c>
      <c r="P99" s="112">
        <v>0.76</v>
      </c>
      <c r="Q99" s="112">
        <v>4.3</v>
      </c>
    </row>
    <row r="100" spans="1:22" customFormat="1">
      <c r="A100" s="80">
        <v>45606.958333333336</v>
      </c>
      <c r="B100" s="112">
        <v>5.21</v>
      </c>
      <c r="C100" s="112">
        <v>8.0399999999999991</v>
      </c>
      <c r="D100" s="112">
        <v>13.94</v>
      </c>
      <c r="E100" s="112">
        <v>9.3000000000000007</v>
      </c>
      <c r="F100" s="112">
        <v>6.11</v>
      </c>
      <c r="G100" s="112">
        <v>98.81</v>
      </c>
      <c r="H100" s="112">
        <v>33.78</v>
      </c>
      <c r="I100" s="112">
        <v>8.61</v>
      </c>
      <c r="J100" s="112">
        <v>0.38</v>
      </c>
      <c r="K100" s="112">
        <v>60.48</v>
      </c>
      <c r="L100" s="112">
        <v>25.07</v>
      </c>
      <c r="M100" s="112">
        <v>61.22</v>
      </c>
      <c r="N100" s="112">
        <v>2.2000000000000002</v>
      </c>
      <c r="O100" s="112">
        <v>0</v>
      </c>
      <c r="P100" s="112">
        <v>0.73</v>
      </c>
      <c r="Q100" s="112">
        <v>4.3099999999999996</v>
      </c>
    </row>
    <row r="101" spans="1:22" customFormat="1">
      <c r="A101" s="80">
        <v>45606.96875</v>
      </c>
      <c r="B101" s="112">
        <v>5.19</v>
      </c>
      <c r="C101" s="112">
        <v>8.02</v>
      </c>
      <c r="D101" s="112">
        <v>13.92</v>
      </c>
      <c r="E101" s="112">
        <v>9.16</v>
      </c>
      <c r="F101" s="112">
        <v>6.09</v>
      </c>
      <c r="G101" s="112">
        <v>98.81</v>
      </c>
      <c r="H101" s="112">
        <v>33.78</v>
      </c>
      <c r="I101" s="112">
        <v>8.5399999999999991</v>
      </c>
      <c r="J101" s="112">
        <v>0.23</v>
      </c>
      <c r="K101" s="112">
        <v>77</v>
      </c>
      <c r="L101" s="112">
        <v>24.84</v>
      </c>
      <c r="M101" s="112">
        <v>62.95</v>
      </c>
      <c r="N101" s="112">
        <v>2.1</v>
      </c>
      <c r="O101" s="112">
        <v>0</v>
      </c>
      <c r="P101" s="112">
        <v>0.75</v>
      </c>
      <c r="Q101" s="112">
        <v>4.3</v>
      </c>
    </row>
    <row r="102" spans="1:22" customFormat="1">
      <c r="A102" s="80">
        <v>45606.979166666664</v>
      </c>
      <c r="B102" s="112">
        <v>5.19</v>
      </c>
      <c r="C102" s="112">
        <v>8.01</v>
      </c>
      <c r="D102" s="112">
        <v>13.91</v>
      </c>
      <c r="E102" s="112">
        <v>9.65</v>
      </c>
      <c r="F102" s="112">
        <v>5.89</v>
      </c>
      <c r="G102" s="112">
        <v>98.81</v>
      </c>
      <c r="H102" s="112">
        <v>33.78</v>
      </c>
      <c r="I102" s="112">
        <v>8.49</v>
      </c>
      <c r="J102" s="112">
        <v>0.17</v>
      </c>
      <c r="K102" s="112">
        <v>106.43</v>
      </c>
      <c r="L102" s="112">
        <v>24.77</v>
      </c>
      <c r="M102" s="112">
        <v>64.09</v>
      </c>
      <c r="N102" s="112">
        <v>2</v>
      </c>
      <c r="O102" s="112">
        <v>0</v>
      </c>
      <c r="P102" s="112">
        <v>0.73</v>
      </c>
      <c r="Q102" s="112">
        <v>4.3</v>
      </c>
    </row>
    <row r="103" spans="1:22" customFormat="1">
      <c r="A103" s="80">
        <v>45606.989583333336</v>
      </c>
      <c r="B103" s="112">
        <v>5.17</v>
      </c>
      <c r="C103" s="112">
        <v>8.0399999999999991</v>
      </c>
      <c r="D103" s="112">
        <v>13.91</v>
      </c>
      <c r="E103" s="112">
        <v>9.6300000000000008</v>
      </c>
      <c r="F103" s="112">
        <v>5.93</v>
      </c>
      <c r="G103" s="112">
        <v>77.540000000000006</v>
      </c>
      <c r="H103" s="112">
        <v>35.03</v>
      </c>
      <c r="I103" s="112">
        <v>8.39</v>
      </c>
      <c r="J103" s="112">
        <v>0.16</v>
      </c>
      <c r="K103" s="112">
        <v>151.02000000000001</v>
      </c>
      <c r="L103" s="112">
        <v>24.58</v>
      </c>
      <c r="M103" s="112">
        <v>65.7</v>
      </c>
      <c r="N103" s="112">
        <v>2.1</v>
      </c>
      <c r="O103" s="112">
        <v>0</v>
      </c>
      <c r="P103" s="112">
        <v>0.74</v>
      </c>
      <c r="Q103" s="112">
        <v>4.29</v>
      </c>
    </row>
    <row r="104" spans="1:22" customFormat="1">
      <c r="A104" s="80">
        <v>45607</v>
      </c>
      <c r="B104" s="112">
        <v>5.16</v>
      </c>
      <c r="C104" s="112">
        <v>8.07</v>
      </c>
      <c r="D104" s="112">
        <v>13.92</v>
      </c>
      <c r="E104" s="112">
        <v>9.61</v>
      </c>
      <c r="F104" s="112">
        <v>6.08</v>
      </c>
      <c r="G104" s="112">
        <v>77.06</v>
      </c>
      <c r="H104" s="112">
        <v>35.03</v>
      </c>
      <c r="I104" s="112">
        <v>8.3699999999999992</v>
      </c>
      <c r="J104" s="112">
        <v>0.1</v>
      </c>
      <c r="K104" s="112">
        <v>91.7</v>
      </c>
      <c r="L104" s="112">
        <v>24.73</v>
      </c>
      <c r="M104" s="112">
        <v>65.08</v>
      </c>
      <c r="N104" s="112">
        <v>2</v>
      </c>
      <c r="O104" s="112">
        <v>0</v>
      </c>
      <c r="P104" s="112">
        <v>0.72</v>
      </c>
      <c r="Q104" s="112">
        <v>4.3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5.14</v>
      </c>
      <c r="C106" s="183">
        <f>MIN(C9:C104)</f>
        <v>8.01</v>
      </c>
      <c r="D106" s="183">
        <f t="shared" ref="D106:Q106" si="0">MIN(D9:D104)</f>
        <v>13.9</v>
      </c>
      <c r="E106" s="183">
        <f t="shared" si="0"/>
        <v>6.6</v>
      </c>
      <c r="F106" s="183">
        <f t="shared" si="0"/>
        <v>5.45</v>
      </c>
      <c r="G106" s="183">
        <f t="shared" si="0"/>
        <v>70.52</v>
      </c>
      <c r="H106" s="183">
        <f t="shared" si="0"/>
        <v>25.81</v>
      </c>
      <c r="I106" s="183">
        <f t="shared" si="0"/>
        <v>7.47</v>
      </c>
      <c r="J106" s="183">
        <f t="shared" si="0"/>
        <v>0.02</v>
      </c>
      <c r="K106" s="183">
        <f t="shared" si="0"/>
        <v>12.36</v>
      </c>
      <c r="L106" s="183">
        <f t="shared" si="0"/>
        <v>20.11</v>
      </c>
      <c r="M106" s="183">
        <f t="shared" si="0"/>
        <v>40.46</v>
      </c>
      <c r="N106" s="183">
        <f t="shared" si="0"/>
        <v>1.4</v>
      </c>
      <c r="O106" s="183">
        <f t="shared" si="0"/>
        <v>0</v>
      </c>
      <c r="P106" s="183">
        <f t="shared" si="0"/>
        <v>0.66</v>
      </c>
      <c r="Q106" s="183">
        <f t="shared" si="0"/>
        <v>4.29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5.24</v>
      </c>
      <c r="C107" s="184">
        <f t="shared" ref="C107:Q107" si="1">MAX(C9:C104)</f>
        <v>8.1199999999999992</v>
      </c>
      <c r="D107" s="184">
        <f t="shared" si="1"/>
        <v>14</v>
      </c>
      <c r="E107" s="184">
        <f t="shared" si="1"/>
        <v>15.47</v>
      </c>
      <c r="F107" s="184">
        <f t="shared" si="1"/>
        <v>18.649999999999999</v>
      </c>
      <c r="G107" s="184">
        <f t="shared" si="1"/>
        <v>141.65</v>
      </c>
      <c r="H107" s="184">
        <f t="shared" si="1"/>
        <v>40.700000000000003</v>
      </c>
      <c r="I107" s="184">
        <f t="shared" si="1"/>
        <v>9.4600000000000009</v>
      </c>
      <c r="J107" s="184">
        <f t="shared" si="1"/>
        <v>0.82</v>
      </c>
      <c r="K107" s="184">
        <f t="shared" si="1"/>
        <v>357.75</v>
      </c>
      <c r="L107" s="184">
        <f t="shared" si="1"/>
        <v>30.86</v>
      </c>
      <c r="M107" s="184">
        <f t="shared" si="1"/>
        <v>94.32</v>
      </c>
      <c r="N107" s="184">
        <f t="shared" si="1"/>
        <v>482.5</v>
      </c>
      <c r="O107" s="184">
        <f t="shared" si="1"/>
        <v>0</v>
      </c>
      <c r="P107" s="184">
        <f t="shared" si="1"/>
        <v>0.83</v>
      </c>
      <c r="Q107" s="184">
        <f t="shared" si="1"/>
        <v>4.33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5.1877083333333331</v>
      </c>
      <c r="C108" s="183">
        <f t="shared" ref="C108:Q108" si="2">AVERAGE(C9:C104)</f>
        <v>8.0683333333333369</v>
      </c>
      <c r="D108" s="183">
        <f t="shared" si="2"/>
        <v>13.943437500000021</v>
      </c>
      <c r="E108" s="183">
        <f t="shared" si="2"/>
        <v>9.6851041666666688</v>
      </c>
      <c r="F108" s="183">
        <f t="shared" si="2"/>
        <v>7.6120833333333353</v>
      </c>
      <c r="G108" s="183">
        <f t="shared" si="2"/>
        <v>87.767291666666608</v>
      </c>
      <c r="H108" s="183">
        <f t="shared" si="2"/>
        <v>30.986666666666665</v>
      </c>
      <c r="I108" s="183">
        <f t="shared" si="2"/>
        <v>8.4527083333333355</v>
      </c>
      <c r="J108" s="183">
        <f t="shared" si="2"/>
        <v>0.26072916666666668</v>
      </c>
      <c r="K108" s="183">
        <f t="shared" si="2"/>
        <v>123.73739583333328</v>
      </c>
      <c r="L108" s="183">
        <f t="shared" si="2"/>
        <v>25.170625000000005</v>
      </c>
      <c r="M108" s="183">
        <f t="shared" si="2"/>
        <v>67.298541666666665</v>
      </c>
      <c r="N108" s="183">
        <f t="shared" si="2"/>
        <v>83.705208333333346</v>
      </c>
      <c r="O108" s="183">
        <f t="shared" si="2"/>
        <v>0</v>
      </c>
      <c r="P108" s="183">
        <f t="shared" si="2"/>
        <v>0.74062499999999964</v>
      </c>
      <c r="Q108" s="183">
        <f t="shared" si="2"/>
        <v>4.3056250000000045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2.5025425667200177E-2</v>
      </c>
      <c r="C109" s="183">
        <f t="shared" ref="C109:Q109" si="3">STDEV(C9:C104)</f>
        <v>2.0808230490369613E-2</v>
      </c>
      <c r="D109" s="183">
        <f t="shared" si="3"/>
        <v>2.3478013230747687E-2</v>
      </c>
      <c r="E109" s="183">
        <f t="shared" si="3"/>
        <v>1.7419922018023704</v>
      </c>
      <c r="F109" s="183">
        <f t="shared" si="3"/>
        <v>3.1172639544003156</v>
      </c>
      <c r="G109" s="183">
        <f t="shared" si="3"/>
        <v>18.54875172302609</v>
      </c>
      <c r="H109" s="183">
        <f t="shared" si="3"/>
        <v>4.2819367646125759</v>
      </c>
      <c r="I109" s="183">
        <f t="shared" si="3"/>
        <v>0.50729100787083792</v>
      </c>
      <c r="J109" s="183">
        <f t="shared" si="3"/>
        <v>0.17263435525420495</v>
      </c>
      <c r="K109" s="183">
        <f t="shared" si="3"/>
        <v>86.141470179733389</v>
      </c>
      <c r="L109" s="183">
        <f t="shared" si="3"/>
        <v>3.2831890185578563</v>
      </c>
      <c r="M109" s="183">
        <f t="shared" si="3"/>
        <v>17.007247617856567</v>
      </c>
      <c r="N109" s="183">
        <f t="shared" si="3"/>
        <v>137.33553254312415</v>
      </c>
      <c r="O109" s="183">
        <f t="shared" si="3"/>
        <v>0</v>
      </c>
      <c r="P109" s="183">
        <f t="shared" si="3"/>
        <v>4.6832568514707865E-2</v>
      </c>
      <c r="Q109" s="183">
        <f t="shared" si="3"/>
        <v>9.4937652671302289E-3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45607.010416666664</v>
      </c>
      <c r="B9" s="112">
        <v>5.17</v>
      </c>
      <c r="C9" s="112">
        <v>8.09</v>
      </c>
      <c r="D9" s="112">
        <v>13.94</v>
      </c>
      <c r="E9" s="112">
        <v>9.6199999999999992</v>
      </c>
      <c r="F9" s="112">
        <v>5.97</v>
      </c>
      <c r="G9" s="112">
        <v>77.06</v>
      </c>
      <c r="H9" s="112">
        <v>35.03</v>
      </c>
      <c r="I9" s="112">
        <v>8.35</v>
      </c>
      <c r="J9" s="112">
        <v>0.04</v>
      </c>
      <c r="K9" s="112">
        <v>116.14</v>
      </c>
      <c r="L9" s="112">
        <v>24.6</v>
      </c>
      <c r="M9" s="112">
        <v>67.84</v>
      </c>
      <c r="N9" s="112">
        <v>2.1</v>
      </c>
      <c r="O9" s="112">
        <v>0</v>
      </c>
      <c r="P9" s="112">
        <v>0.72</v>
      </c>
      <c r="Q9" s="112">
        <v>4.3099999999999996</v>
      </c>
    </row>
    <row r="10" spans="1:21" customFormat="1">
      <c r="A10" s="80">
        <v>45607.020833333336</v>
      </c>
      <c r="B10" s="112">
        <v>5.16</v>
      </c>
      <c r="C10" s="112">
        <v>8.08</v>
      </c>
      <c r="D10" s="112">
        <v>13.92</v>
      </c>
      <c r="E10" s="112">
        <v>9.3800000000000008</v>
      </c>
      <c r="F10" s="112">
        <v>5.73</v>
      </c>
      <c r="G10" s="112">
        <v>77.06</v>
      </c>
      <c r="H10" s="112">
        <v>35.03</v>
      </c>
      <c r="I10" s="112">
        <v>8.3000000000000007</v>
      </c>
      <c r="J10" s="112">
        <v>0.18</v>
      </c>
      <c r="K10" s="112">
        <v>157.44</v>
      </c>
      <c r="L10" s="112">
        <v>24.37</v>
      </c>
      <c r="M10" s="112">
        <v>69.64</v>
      </c>
      <c r="N10" s="112">
        <v>2.1</v>
      </c>
      <c r="O10" s="112">
        <v>0</v>
      </c>
      <c r="P10" s="112">
        <v>0.72</v>
      </c>
      <c r="Q10" s="112">
        <v>4.3099999999999996</v>
      </c>
    </row>
    <row r="11" spans="1:21" customFormat="1">
      <c r="A11" s="80">
        <v>45607.03125</v>
      </c>
      <c r="B11" s="112">
        <v>5.16</v>
      </c>
      <c r="C11" s="112">
        <v>8.08</v>
      </c>
      <c r="D11" s="112">
        <v>13.93</v>
      </c>
      <c r="E11" s="112">
        <v>9.58</v>
      </c>
      <c r="F11" s="112">
        <v>5.85</v>
      </c>
      <c r="G11" s="112">
        <v>83.17</v>
      </c>
      <c r="H11" s="112">
        <v>31.32</v>
      </c>
      <c r="I11" s="112">
        <v>8.2899999999999991</v>
      </c>
      <c r="J11" s="112">
        <v>0.16</v>
      </c>
      <c r="K11" s="112">
        <v>188</v>
      </c>
      <c r="L11" s="112">
        <v>24.24</v>
      </c>
      <c r="M11" s="112">
        <v>70.02</v>
      </c>
      <c r="N11" s="112">
        <v>2.1</v>
      </c>
      <c r="O11" s="112">
        <v>0</v>
      </c>
      <c r="P11" s="112">
        <v>0.72</v>
      </c>
      <c r="Q11" s="112">
        <v>4.3099999999999996</v>
      </c>
    </row>
    <row r="12" spans="1:21" customFormat="1">
      <c r="A12" s="80">
        <v>45607.041666666664</v>
      </c>
      <c r="B12" s="112">
        <v>5.16</v>
      </c>
      <c r="C12" s="112">
        <v>8.06</v>
      </c>
      <c r="D12" s="112">
        <v>13.92</v>
      </c>
      <c r="E12" s="112">
        <v>9.99</v>
      </c>
      <c r="F12" s="112">
        <v>5.69</v>
      </c>
      <c r="G12" s="112">
        <v>83.31</v>
      </c>
      <c r="H12" s="112">
        <v>31.32</v>
      </c>
      <c r="I12" s="112">
        <v>8.2200000000000006</v>
      </c>
      <c r="J12" s="112">
        <v>0.11</v>
      </c>
      <c r="K12" s="112">
        <v>224.72</v>
      </c>
      <c r="L12" s="112">
        <v>23.77</v>
      </c>
      <c r="M12" s="112">
        <v>74.239999999999995</v>
      </c>
      <c r="N12" s="112">
        <v>2.4</v>
      </c>
      <c r="O12" s="112">
        <v>0</v>
      </c>
      <c r="P12" s="112">
        <v>0.7</v>
      </c>
      <c r="Q12" s="112">
        <v>4.33</v>
      </c>
    </row>
    <row r="13" spans="1:21" customFormat="1">
      <c r="A13" s="80">
        <v>45607.052083333336</v>
      </c>
      <c r="B13" s="112">
        <v>5.17</v>
      </c>
      <c r="C13" s="112">
        <v>8.07</v>
      </c>
      <c r="D13" s="112">
        <v>13.93</v>
      </c>
      <c r="E13" s="112">
        <v>9.59</v>
      </c>
      <c r="F13" s="112">
        <v>5.87</v>
      </c>
      <c r="G13" s="112">
        <v>83.31</v>
      </c>
      <c r="H13" s="112">
        <v>31.32</v>
      </c>
      <c r="I13" s="112">
        <v>8.1999999999999993</v>
      </c>
      <c r="J13" s="112">
        <v>0.19</v>
      </c>
      <c r="K13" s="112">
        <v>47.77</v>
      </c>
      <c r="L13" s="112">
        <v>23.43</v>
      </c>
      <c r="M13" s="112">
        <v>74.010000000000005</v>
      </c>
      <c r="N13" s="112">
        <v>1.9</v>
      </c>
      <c r="O13" s="112">
        <v>0</v>
      </c>
      <c r="P13" s="112">
        <v>0.72</v>
      </c>
      <c r="Q13" s="112">
        <v>4.3099999999999996</v>
      </c>
    </row>
    <row r="14" spans="1:21" customFormat="1">
      <c r="A14" s="80">
        <v>45607.0625</v>
      </c>
      <c r="B14" s="112">
        <v>5.16</v>
      </c>
      <c r="C14" s="112">
        <v>8.06</v>
      </c>
      <c r="D14" s="112">
        <v>13.92</v>
      </c>
      <c r="E14" s="112">
        <v>9.5299999999999994</v>
      </c>
      <c r="F14" s="112">
        <v>6.1</v>
      </c>
      <c r="G14" s="112">
        <v>83.31</v>
      </c>
      <c r="H14" s="112">
        <v>31.32</v>
      </c>
      <c r="I14" s="112">
        <v>8.18</v>
      </c>
      <c r="J14" s="112">
        <v>0.47</v>
      </c>
      <c r="K14" s="112">
        <v>36.96</v>
      </c>
      <c r="L14" s="112">
        <v>23.7</v>
      </c>
      <c r="M14" s="112">
        <v>70.959999999999994</v>
      </c>
      <c r="N14" s="112">
        <v>1.7</v>
      </c>
      <c r="O14" s="112">
        <v>0</v>
      </c>
      <c r="P14" s="112">
        <v>0.69</v>
      </c>
      <c r="Q14" s="112">
        <v>4.29</v>
      </c>
    </row>
    <row r="15" spans="1:21" customFormat="1">
      <c r="A15" s="80">
        <v>45607.072916666664</v>
      </c>
      <c r="B15" s="112">
        <v>5.16</v>
      </c>
      <c r="C15" s="112">
        <v>8.06</v>
      </c>
      <c r="D15" s="112">
        <v>13.92</v>
      </c>
      <c r="E15" s="112">
        <v>9.61</v>
      </c>
      <c r="F15" s="112">
        <v>6.05</v>
      </c>
      <c r="G15" s="112">
        <v>71.78</v>
      </c>
      <c r="H15" s="112">
        <v>32.450000000000003</v>
      </c>
      <c r="I15" s="112">
        <v>8.1</v>
      </c>
      <c r="J15" s="112">
        <v>0.52</v>
      </c>
      <c r="K15" s="112">
        <v>27.64</v>
      </c>
      <c r="L15" s="112">
        <v>23.61</v>
      </c>
      <c r="M15" s="112">
        <v>70.37</v>
      </c>
      <c r="N15" s="112">
        <v>2.1</v>
      </c>
      <c r="O15" s="112">
        <v>0</v>
      </c>
      <c r="P15" s="112">
        <v>0.69</v>
      </c>
      <c r="Q15" s="112">
        <v>4.3099999999999996</v>
      </c>
    </row>
    <row r="16" spans="1:21" customFormat="1">
      <c r="A16" s="80">
        <v>45607.083333333336</v>
      </c>
      <c r="B16" s="112">
        <v>5.16</v>
      </c>
      <c r="C16" s="112">
        <v>8.08</v>
      </c>
      <c r="D16" s="112">
        <v>13.93</v>
      </c>
      <c r="E16" s="112">
        <v>9.82</v>
      </c>
      <c r="F16" s="112">
        <v>5.9</v>
      </c>
      <c r="G16" s="112">
        <v>71.52</v>
      </c>
      <c r="H16" s="112">
        <v>32.450000000000003</v>
      </c>
      <c r="I16" s="112">
        <v>8.06</v>
      </c>
      <c r="J16" s="112">
        <v>0.39</v>
      </c>
      <c r="K16" s="112">
        <v>29.05</v>
      </c>
      <c r="L16" s="112">
        <v>23.48</v>
      </c>
      <c r="M16" s="112">
        <v>70.5</v>
      </c>
      <c r="N16" s="112">
        <v>2.1</v>
      </c>
      <c r="O16" s="112">
        <v>0</v>
      </c>
      <c r="P16" s="112">
        <v>0.7</v>
      </c>
      <c r="Q16" s="112">
        <v>4.32</v>
      </c>
    </row>
    <row r="17" spans="1:17" customFormat="1">
      <c r="A17" s="80">
        <v>45607.09375</v>
      </c>
      <c r="B17" s="112">
        <v>5.19</v>
      </c>
      <c r="C17" s="112">
        <v>8.0399999999999991</v>
      </c>
      <c r="D17" s="112">
        <v>13.93</v>
      </c>
      <c r="E17" s="112">
        <v>8.0399999999999991</v>
      </c>
      <c r="F17" s="112">
        <v>6.07</v>
      </c>
      <c r="G17" s="112">
        <v>71.52</v>
      </c>
      <c r="H17" s="112">
        <v>32.450000000000003</v>
      </c>
      <c r="I17" s="112">
        <v>8.0399999999999991</v>
      </c>
      <c r="J17" s="112">
        <v>0.51</v>
      </c>
      <c r="K17" s="112">
        <v>47.19</v>
      </c>
      <c r="L17" s="112">
        <v>23.52</v>
      </c>
      <c r="M17" s="112">
        <v>69.89</v>
      </c>
      <c r="N17" s="112">
        <v>2.1</v>
      </c>
      <c r="O17" s="112">
        <v>0</v>
      </c>
      <c r="P17" s="112">
        <v>0.68</v>
      </c>
      <c r="Q17" s="112">
        <v>4.3099999999999996</v>
      </c>
    </row>
    <row r="18" spans="1:17" customFormat="1">
      <c r="A18" s="80">
        <v>45607.104166666664</v>
      </c>
      <c r="B18" s="112">
        <v>5.17</v>
      </c>
      <c r="C18" s="112">
        <v>8.07</v>
      </c>
      <c r="D18" s="112">
        <v>13.93</v>
      </c>
      <c r="E18" s="112">
        <v>9.65</v>
      </c>
      <c r="F18" s="112">
        <v>5.79</v>
      </c>
      <c r="G18" s="112">
        <v>71.52</v>
      </c>
      <c r="H18" s="112">
        <v>32.450000000000003</v>
      </c>
      <c r="I18" s="112">
        <v>7.96</v>
      </c>
      <c r="J18" s="112">
        <v>0.36</v>
      </c>
      <c r="K18" s="112">
        <v>28.27</v>
      </c>
      <c r="L18" s="112">
        <v>23.46</v>
      </c>
      <c r="M18" s="112">
        <v>70.64</v>
      </c>
      <c r="N18" s="112">
        <v>2.1</v>
      </c>
      <c r="O18" s="112">
        <v>0</v>
      </c>
      <c r="P18" s="112">
        <v>0.69</v>
      </c>
      <c r="Q18" s="112">
        <v>4.32</v>
      </c>
    </row>
    <row r="19" spans="1:17" customFormat="1">
      <c r="A19" s="80">
        <v>45607.114583333336</v>
      </c>
      <c r="B19" s="112">
        <v>5.16</v>
      </c>
      <c r="C19" s="112">
        <v>8.08</v>
      </c>
      <c r="D19" s="112">
        <v>13.93</v>
      </c>
      <c r="E19" s="112">
        <v>10.11</v>
      </c>
      <c r="F19" s="112">
        <v>5.96</v>
      </c>
      <c r="G19" s="112">
        <v>63.87</v>
      </c>
      <c r="H19" s="112">
        <v>28.08</v>
      </c>
      <c r="I19" s="112">
        <v>7.93</v>
      </c>
      <c r="J19" s="112">
        <v>0.24</v>
      </c>
      <c r="K19" s="112">
        <v>37.630000000000003</v>
      </c>
      <c r="L19" s="112">
        <v>23.37</v>
      </c>
      <c r="M19" s="112">
        <v>70.77</v>
      </c>
      <c r="N19" s="112">
        <v>2.1</v>
      </c>
      <c r="O19" s="112">
        <v>0</v>
      </c>
      <c r="P19" s="112">
        <v>0.67</v>
      </c>
      <c r="Q19" s="112">
        <v>4.3099999999999996</v>
      </c>
    </row>
    <row r="20" spans="1:17" customFormat="1">
      <c r="A20" s="80">
        <v>45607.125</v>
      </c>
      <c r="B20" s="112">
        <v>5.16</v>
      </c>
      <c r="C20" s="112">
        <v>8.08</v>
      </c>
      <c r="D20" s="112">
        <v>13.93</v>
      </c>
      <c r="E20" s="112">
        <v>9.69</v>
      </c>
      <c r="F20" s="112">
        <v>6.05</v>
      </c>
      <c r="G20" s="112">
        <v>63.7</v>
      </c>
      <c r="H20" s="112">
        <v>28.08</v>
      </c>
      <c r="I20" s="112">
        <v>7.92</v>
      </c>
      <c r="J20" s="112">
        <v>0.32</v>
      </c>
      <c r="K20" s="112">
        <v>18.71</v>
      </c>
      <c r="L20" s="112">
        <v>23.22</v>
      </c>
      <c r="M20" s="112">
        <v>71.16</v>
      </c>
      <c r="N20" s="112">
        <v>2.1</v>
      </c>
      <c r="O20" s="112">
        <v>0</v>
      </c>
      <c r="P20" s="112">
        <v>0.68</v>
      </c>
      <c r="Q20" s="112">
        <v>4.3</v>
      </c>
    </row>
    <row r="21" spans="1:17" customFormat="1">
      <c r="A21" s="80">
        <v>45607.135416666664</v>
      </c>
      <c r="B21" s="112">
        <v>5.15</v>
      </c>
      <c r="C21" s="112">
        <v>8.1</v>
      </c>
      <c r="D21" s="112">
        <v>13.93</v>
      </c>
      <c r="E21" s="112">
        <v>9.81</v>
      </c>
      <c r="F21" s="112">
        <v>5.71</v>
      </c>
      <c r="G21" s="112">
        <v>63.7</v>
      </c>
      <c r="H21" s="112">
        <v>28.08</v>
      </c>
      <c r="I21" s="112">
        <v>7.84</v>
      </c>
      <c r="J21" s="112">
        <v>0.34</v>
      </c>
      <c r="K21" s="112">
        <v>37.44</v>
      </c>
      <c r="L21" s="112">
        <v>23.01</v>
      </c>
      <c r="M21" s="112">
        <v>71.83</v>
      </c>
      <c r="N21" s="112">
        <v>1.9</v>
      </c>
      <c r="O21" s="112">
        <v>0</v>
      </c>
      <c r="P21" s="112">
        <v>0.68</v>
      </c>
      <c r="Q21" s="112">
        <v>4.3</v>
      </c>
    </row>
    <row r="22" spans="1:17" customFormat="1">
      <c r="A22" s="80">
        <v>45607.145833333336</v>
      </c>
      <c r="B22" s="112">
        <v>5.16</v>
      </c>
      <c r="C22" s="112">
        <v>8.09</v>
      </c>
      <c r="D22" s="112">
        <v>13.93</v>
      </c>
      <c r="E22" s="112">
        <v>9.02</v>
      </c>
      <c r="F22" s="112">
        <v>5.83</v>
      </c>
      <c r="G22" s="112">
        <v>63.7</v>
      </c>
      <c r="H22" s="112">
        <v>28.08</v>
      </c>
      <c r="I22" s="112">
        <v>7.77</v>
      </c>
      <c r="J22" s="112">
        <v>0.35</v>
      </c>
      <c r="K22" s="112">
        <v>46.23</v>
      </c>
      <c r="L22" s="112">
        <v>22.94</v>
      </c>
      <c r="M22" s="112">
        <v>71.45</v>
      </c>
      <c r="N22" s="112">
        <v>1.7</v>
      </c>
      <c r="O22" s="112">
        <v>0</v>
      </c>
      <c r="P22" s="112">
        <v>0.67</v>
      </c>
      <c r="Q22" s="112">
        <v>4.32</v>
      </c>
    </row>
    <row r="23" spans="1:17" customFormat="1">
      <c r="A23" s="80">
        <v>45607.15625</v>
      </c>
      <c r="B23" s="112">
        <v>5.18</v>
      </c>
      <c r="C23" s="112">
        <v>8.07</v>
      </c>
      <c r="D23" s="112">
        <v>13.93</v>
      </c>
      <c r="E23" s="112">
        <v>9.4600000000000009</v>
      </c>
      <c r="F23" s="112">
        <v>5.77</v>
      </c>
      <c r="G23" s="112">
        <v>64.94</v>
      </c>
      <c r="H23" s="112">
        <v>27.6</v>
      </c>
      <c r="I23" s="112">
        <v>7.64</v>
      </c>
      <c r="J23" s="112">
        <v>0.23</v>
      </c>
      <c r="K23" s="112">
        <v>31.16</v>
      </c>
      <c r="L23" s="112">
        <v>22.89</v>
      </c>
      <c r="M23" s="112">
        <v>72.010000000000005</v>
      </c>
      <c r="N23" s="112">
        <v>1.8</v>
      </c>
      <c r="O23" s="112">
        <v>0</v>
      </c>
      <c r="P23" s="112">
        <v>0.66</v>
      </c>
      <c r="Q23" s="112">
        <v>4.3099999999999996</v>
      </c>
    </row>
    <row r="24" spans="1:17" customFormat="1">
      <c r="A24" s="80">
        <v>45607.166666666664</v>
      </c>
      <c r="B24" s="112">
        <v>5.2</v>
      </c>
      <c r="C24" s="112">
        <v>8.07</v>
      </c>
      <c r="D24" s="112">
        <v>13.95</v>
      </c>
      <c r="E24" s="112">
        <v>9.5299999999999994</v>
      </c>
      <c r="F24" s="112">
        <v>5.68</v>
      </c>
      <c r="G24" s="112">
        <v>64.97</v>
      </c>
      <c r="H24" s="112">
        <v>27.6</v>
      </c>
      <c r="I24" s="112">
        <v>7.54</v>
      </c>
      <c r="J24" s="112">
        <v>0.31</v>
      </c>
      <c r="K24" s="112">
        <v>45.96</v>
      </c>
      <c r="L24" s="112">
        <v>22.86</v>
      </c>
      <c r="M24" s="112">
        <v>72.62</v>
      </c>
      <c r="N24" s="112">
        <v>2.1</v>
      </c>
      <c r="O24" s="112">
        <v>0</v>
      </c>
      <c r="P24" s="112">
        <v>0.65</v>
      </c>
      <c r="Q24" s="112">
        <v>4.3099999999999996</v>
      </c>
    </row>
    <row r="25" spans="1:17" customFormat="1">
      <c r="A25" s="80">
        <v>45607.177083333336</v>
      </c>
      <c r="B25" s="112">
        <v>5.2</v>
      </c>
      <c r="C25" s="112">
        <v>8.07</v>
      </c>
      <c r="D25" s="112">
        <v>13.95</v>
      </c>
      <c r="E25" s="112">
        <v>9.52</v>
      </c>
      <c r="F25" s="112">
        <v>5.78</v>
      </c>
      <c r="G25" s="112">
        <v>64.97</v>
      </c>
      <c r="H25" s="112">
        <v>27.6</v>
      </c>
      <c r="I25" s="112">
        <v>7.48</v>
      </c>
      <c r="J25" s="112">
        <v>0.28000000000000003</v>
      </c>
      <c r="K25" s="112">
        <v>40.1</v>
      </c>
      <c r="L25" s="112">
        <v>22.75</v>
      </c>
      <c r="M25" s="112">
        <v>74.150000000000006</v>
      </c>
      <c r="N25" s="112">
        <v>2.1</v>
      </c>
      <c r="O25" s="112">
        <v>0</v>
      </c>
      <c r="P25" s="112">
        <v>0.65</v>
      </c>
      <c r="Q25" s="112">
        <v>4.3099999999999996</v>
      </c>
    </row>
    <row r="26" spans="1:17" customFormat="1">
      <c r="A26" s="80">
        <v>45607.1875</v>
      </c>
      <c r="B26" s="112">
        <v>5.21</v>
      </c>
      <c r="C26" s="112">
        <v>8.06</v>
      </c>
      <c r="D26" s="112">
        <v>13.96</v>
      </c>
      <c r="E26" s="112">
        <v>9.08</v>
      </c>
      <c r="F26" s="112">
        <v>5.8</v>
      </c>
      <c r="G26" s="112">
        <v>64.97</v>
      </c>
      <c r="H26" s="112">
        <v>27.6</v>
      </c>
      <c r="I26" s="112">
        <v>7.42</v>
      </c>
      <c r="J26" s="112">
        <v>0.28000000000000003</v>
      </c>
      <c r="K26" s="112">
        <v>26.56</v>
      </c>
      <c r="L26" s="112">
        <v>22.44</v>
      </c>
      <c r="M26" s="112">
        <v>75.959999999999994</v>
      </c>
      <c r="N26" s="112">
        <v>2.1</v>
      </c>
      <c r="O26" s="112">
        <v>0</v>
      </c>
      <c r="P26" s="112">
        <v>0.65</v>
      </c>
      <c r="Q26" s="112">
        <v>4.3099999999999996</v>
      </c>
    </row>
    <row r="27" spans="1:17" customFormat="1">
      <c r="A27" s="80">
        <v>45607.197916666664</v>
      </c>
      <c r="B27" s="112">
        <v>5.21</v>
      </c>
      <c r="C27" s="112">
        <v>8.07</v>
      </c>
      <c r="D27" s="112">
        <v>13.96</v>
      </c>
      <c r="E27" s="112">
        <v>9.16</v>
      </c>
      <c r="F27" s="112">
        <v>5.56</v>
      </c>
      <c r="G27" s="112">
        <v>70.22</v>
      </c>
      <c r="H27" s="112">
        <v>26.89</v>
      </c>
      <c r="I27" s="112">
        <v>7.4</v>
      </c>
      <c r="J27" s="112">
        <v>0.49</v>
      </c>
      <c r="K27" s="112">
        <v>44.28</v>
      </c>
      <c r="L27" s="112">
        <v>22.07</v>
      </c>
      <c r="M27" s="112">
        <v>77.89</v>
      </c>
      <c r="N27" s="112">
        <v>1.8</v>
      </c>
      <c r="O27" s="112">
        <v>0</v>
      </c>
      <c r="P27" s="112">
        <v>0.65</v>
      </c>
      <c r="Q27" s="112">
        <v>4.3</v>
      </c>
    </row>
    <row r="28" spans="1:17" customFormat="1">
      <c r="A28" s="80">
        <v>45607.208333333336</v>
      </c>
      <c r="B28" s="112">
        <v>5.21</v>
      </c>
      <c r="C28" s="112">
        <v>8.09</v>
      </c>
      <c r="D28" s="112">
        <v>13.97</v>
      </c>
      <c r="E28" s="112">
        <v>8.99</v>
      </c>
      <c r="F28" s="112">
        <v>5.43</v>
      </c>
      <c r="G28" s="112">
        <v>70.34</v>
      </c>
      <c r="H28" s="112">
        <v>26.89</v>
      </c>
      <c r="I28" s="112">
        <v>7.5</v>
      </c>
      <c r="J28" s="112">
        <v>0.37</v>
      </c>
      <c r="K28" s="112">
        <v>26.34</v>
      </c>
      <c r="L28" s="112">
        <v>21.76</v>
      </c>
      <c r="M28" s="112">
        <v>79.75</v>
      </c>
      <c r="N28" s="112">
        <v>1.8</v>
      </c>
      <c r="O28" s="112">
        <v>0</v>
      </c>
      <c r="P28" s="112">
        <v>0.64</v>
      </c>
      <c r="Q28" s="112">
        <v>4.29</v>
      </c>
    </row>
    <row r="29" spans="1:17" customFormat="1">
      <c r="A29" s="80">
        <v>45607.21875</v>
      </c>
      <c r="B29" s="112">
        <v>5.21</v>
      </c>
      <c r="C29" s="112">
        <v>8.08</v>
      </c>
      <c r="D29" s="112">
        <v>13.97</v>
      </c>
      <c r="E29" s="112">
        <v>8.9700000000000006</v>
      </c>
      <c r="F29" s="112">
        <v>5.68</v>
      </c>
      <c r="G29" s="112">
        <v>70.34</v>
      </c>
      <c r="H29" s="112">
        <v>26.89</v>
      </c>
      <c r="I29" s="112">
        <v>7.58</v>
      </c>
      <c r="J29" s="112">
        <v>0.35</v>
      </c>
      <c r="K29" s="112">
        <v>15.04</v>
      </c>
      <c r="L29" s="112">
        <v>21.51</v>
      </c>
      <c r="M29" s="112">
        <v>80.739999999999995</v>
      </c>
      <c r="N29" s="112">
        <v>1.7</v>
      </c>
      <c r="O29" s="112">
        <v>0</v>
      </c>
      <c r="P29" s="112">
        <v>0.66</v>
      </c>
      <c r="Q29" s="112">
        <v>4.3099999999999996</v>
      </c>
    </row>
    <row r="30" spans="1:17" customFormat="1">
      <c r="A30" s="80">
        <v>45607.229166666664</v>
      </c>
      <c r="B30" s="112">
        <v>5.23</v>
      </c>
      <c r="C30" s="112">
        <v>8.07</v>
      </c>
      <c r="D30" s="112">
        <v>13.98</v>
      </c>
      <c r="E30" s="112">
        <v>9.02</v>
      </c>
      <c r="F30" s="112">
        <v>5.7</v>
      </c>
      <c r="G30" s="112">
        <v>70.34</v>
      </c>
      <c r="H30" s="112">
        <v>26.89</v>
      </c>
      <c r="I30" s="112">
        <v>7.56</v>
      </c>
      <c r="J30" s="112">
        <v>0.32</v>
      </c>
      <c r="K30" s="112">
        <v>23.41</v>
      </c>
      <c r="L30" s="112">
        <v>21.37</v>
      </c>
      <c r="M30" s="112">
        <v>81.400000000000006</v>
      </c>
      <c r="N30" s="112">
        <v>1.7</v>
      </c>
      <c r="O30" s="112">
        <v>0</v>
      </c>
      <c r="P30" s="112">
        <v>0.65</v>
      </c>
      <c r="Q30" s="112">
        <v>4.32</v>
      </c>
    </row>
    <row r="31" spans="1:17" customFormat="1">
      <c r="A31" s="80">
        <v>45607.239583333336</v>
      </c>
      <c r="B31" s="112">
        <v>5.22</v>
      </c>
      <c r="C31" s="112">
        <v>8.09</v>
      </c>
      <c r="D31" s="112">
        <v>13.98</v>
      </c>
      <c r="E31" s="112">
        <v>9.18</v>
      </c>
      <c r="F31" s="112">
        <v>5.62</v>
      </c>
      <c r="G31" s="112">
        <v>79.14</v>
      </c>
      <c r="H31" s="112">
        <v>27.28</v>
      </c>
      <c r="I31" s="112">
        <v>7.64</v>
      </c>
      <c r="J31" s="112">
        <v>0.37</v>
      </c>
      <c r="K31" s="112">
        <v>35.67</v>
      </c>
      <c r="L31" s="112">
        <v>21.22</v>
      </c>
      <c r="M31" s="112">
        <v>82.13</v>
      </c>
      <c r="N31" s="112">
        <v>1.8</v>
      </c>
      <c r="O31" s="112">
        <v>0</v>
      </c>
      <c r="P31" s="112">
        <v>0.65</v>
      </c>
      <c r="Q31" s="112">
        <v>4.3099999999999996</v>
      </c>
    </row>
    <row r="32" spans="1:17" customFormat="1">
      <c r="A32" s="80">
        <v>45607.25</v>
      </c>
      <c r="B32" s="112">
        <v>5.2</v>
      </c>
      <c r="C32" s="112">
        <v>8.11</v>
      </c>
      <c r="D32" s="112">
        <v>13.98</v>
      </c>
      <c r="E32" s="112">
        <v>8.89</v>
      </c>
      <c r="F32" s="112">
        <v>5.63</v>
      </c>
      <c r="G32" s="112">
        <v>79.34</v>
      </c>
      <c r="H32" s="112">
        <v>27.28</v>
      </c>
      <c r="I32" s="112">
        <v>7.75</v>
      </c>
      <c r="J32" s="112">
        <v>0.52</v>
      </c>
      <c r="K32" s="112">
        <v>43.53</v>
      </c>
      <c r="L32" s="112">
        <v>21.09</v>
      </c>
      <c r="M32" s="112">
        <v>82.54</v>
      </c>
      <c r="N32" s="112">
        <v>2.8</v>
      </c>
      <c r="O32" s="112">
        <v>0</v>
      </c>
      <c r="P32" s="112">
        <v>0.66</v>
      </c>
      <c r="Q32" s="112">
        <v>4.3099999999999996</v>
      </c>
    </row>
    <row r="33" spans="1:17" customFormat="1">
      <c r="A33" s="80">
        <v>45607.260416666664</v>
      </c>
      <c r="B33" s="112">
        <v>5.21</v>
      </c>
      <c r="C33" s="112">
        <v>8.11</v>
      </c>
      <c r="D33" s="112">
        <v>13.99</v>
      </c>
      <c r="E33" s="112">
        <v>9.23</v>
      </c>
      <c r="F33" s="112">
        <v>5.8</v>
      </c>
      <c r="G33" s="112">
        <v>79.34</v>
      </c>
      <c r="H33" s="112">
        <v>27.28</v>
      </c>
      <c r="I33" s="112">
        <v>7.82</v>
      </c>
      <c r="J33" s="112">
        <v>0.53</v>
      </c>
      <c r="K33" s="112">
        <v>32.17</v>
      </c>
      <c r="L33" s="112">
        <v>21</v>
      </c>
      <c r="M33" s="112">
        <v>82.42</v>
      </c>
      <c r="N33" s="112">
        <v>7.3</v>
      </c>
      <c r="O33" s="112">
        <v>0</v>
      </c>
      <c r="P33" s="112">
        <v>0.67</v>
      </c>
      <c r="Q33" s="112">
        <v>4.33</v>
      </c>
    </row>
    <row r="34" spans="1:17" customFormat="1">
      <c r="A34" s="80">
        <v>45607.270833333336</v>
      </c>
      <c r="B34" s="112">
        <v>5.21</v>
      </c>
      <c r="C34" s="112">
        <v>8.09</v>
      </c>
      <c r="D34" s="112">
        <v>13.98</v>
      </c>
      <c r="E34" s="112">
        <v>8.9700000000000006</v>
      </c>
      <c r="F34" s="112">
        <v>5.77</v>
      </c>
      <c r="G34" s="112">
        <v>79.34</v>
      </c>
      <c r="H34" s="112">
        <v>27.28</v>
      </c>
      <c r="I34" s="112">
        <v>7.86</v>
      </c>
      <c r="J34" s="112">
        <v>0.46</v>
      </c>
      <c r="K34" s="112">
        <v>31.38</v>
      </c>
      <c r="L34" s="112">
        <v>20.99</v>
      </c>
      <c r="M34" s="112">
        <v>81.81</v>
      </c>
      <c r="N34" s="112">
        <v>16</v>
      </c>
      <c r="O34" s="112">
        <v>0</v>
      </c>
      <c r="P34" s="112">
        <v>0.67</v>
      </c>
      <c r="Q34" s="112">
        <v>4.3099999999999996</v>
      </c>
    </row>
    <row r="35" spans="1:17" customFormat="1">
      <c r="A35" s="80">
        <v>45607.28125</v>
      </c>
      <c r="B35" s="112">
        <v>5.21</v>
      </c>
      <c r="C35" s="112">
        <v>8.11</v>
      </c>
      <c r="D35" s="112">
        <v>13.98</v>
      </c>
      <c r="E35" s="112">
        <v>9.2200000000000006</v>
      </c>
      <c r="F35" s="112">
        <v>5.56</v>
      </c>
      <c r="G35" s="112">
        <v>85.93</v>
      </c>
      <c r="H35" s="112">
        <v>29.71</v>
      </c>
      <c r="I35" s="112">
        <v>7.91</v>
      </c>
      <c r="J35" s="112">
        <v>0.48</v>
      </c>
      <c r="K35" s="112">
        <v>42.83</v>
      </c>
      <c r="L35" s="112">
        <v>21.22</v>
      </c>
      <c r="M35" s="112">
        <v>80.650000000000006</v>
      </c>
      <c r="N35" s="112">
        <v>28.3</v>
      </c>
      <c r="O35" s="112">
        <v>0</v>
      </c>
      <c r="P35" s="112">
        <v>0.67</v>
      </c>
      <c r="Q35" s="112">
        <v>4.32</v>
      </c>
    </row>
    <row r="36" spans="1:17" customFormat="1">
      <c r="A36" s="80">
        <v>45607.291666666664</v>
      </c>
      <c r="B36" s="112">
        <v>5.21</v>
      </c>
      <c r="C36" s="112">
        <v>8.07</v>
      </c>
      <c r="D36" s="112">
        <v>13.96</v>
      </c>
      <c r="E36" s="112">
        <v>9.11</v>
      </c>
      <c r="F36" s="112">
        <v>5.52</v>
      </c>
      <c r="G36" s="112">
        <v>86.07</v>
      </c>
      <c r="H36" s="112">
        <v>29.71</v>
      </c>
      <c r="I36" s="112">
        <v>7.95</v>
      </c>
      <c r="J36" s="112">
        <v>0.43</v>
      </c>
      <c r="K36" s="112">
        <v>30.65</v>
      </c>
      <c r="L36" s="112">
        <v>21.56</v>
      </c>
      <c r="M36" s="112">
        <v>79.430000000000007</v>
      </c>
      <c r="N36" s="112">
        <v>34.5</v>
      </c>
      <c r="O36" s="112">
        <v>0</v>
      </c>
      <c r="P36" s="112">
        <v>0.67</v>
      </c>
      <c r="Q36" s="112">
        <v>4.3099999999999996</v>
      </c>
    </row>
    <row r="37" spans="1:17" customFormat="1">
      <c r="A37" s="80">
        <v>45607.302083333336</v>
      </c>
      <c r="B37" s="112">
        <v>5.2</v>
      </c>
      <c r="C37" s="112">
        <v>8.07</v>
      </c>
      <c r="D37" s="112">
        <v>13.96</v>
      </c>
      <c r="E37" s="112">
        <v>8.7200000000000006</v>
      </c>
      <c r="F37" s="112">
        <v>5.65</v>
      </c>
      <c r="G37" s="112">
        <v>86.07</v>
      </c>
      <c r="H37" s="112">
        <v>29.71</v>
      </c>
      <c r="I37" s="112">
        <v>7.98</v>
      </c>
      <c r="J37" s="112">
        <v>0.52</v>
      </c>
      <c r="K37" s="112">
        <v>32.56</v>
      </c>
      <c r="L37" s="112">
        <v>21.89</v>
      </c>
      <c r="M37" s="112">
        <v>78.17</v>
      </c>
      <c r="N37" s="112">
        <v>41.3</v>
      </c>
      <c r="O37" s="112">
        <v>0</v>
      </c>
      <c r="P37" s="112">
        <v>0.68</v>
      </c>
      <c r="Q37" s="112">
        <v>4.32</v>
      </c>
    </row>
    <row r="38" spans="1:17" customFormat="1">
      <c r="A38" s="80">
        <v>45607.3125</v>
      </c>
      <c r="B38" s="112">
        <v>5.23</v>
      </c>
      <c r="C38" s="112">
        <v>8.0299999999999994</v>
      </c>
      <c r="D38" s="112">
        <v>13.95</v>
      </c>
      <c r="E38" s="112">
        <v>8.9499999999999993</v>
      </c>
      <c r="F38" s="112">
        <v>5.69</v>
      </c>
      <c r="G38" s="112">
        <v>86.07</v>
      </c>
      <c r="H38" s="112">
        <v>29.71</v>
      </c>
      <c r="I38" s="112">
        <v>8.0500000000000007</v>
      </c>
      <c r="J38" s="112">
        <v>0.61</v>
      </c>
      <c r="K38" s="112">
        <v>47.49</v>
      </c>
      <c r="L38" s="112">
        <v>22.2</v>
      </c>
      <c r="M38" s="112">
        <v>76.67</v>
      </c>
      <c r="N38" s="112">
        <v>59.4</v>
      </c>
      <c r="O38" s="112">
        <v>0</v>
      </c>
      <c r="P38" s="112">
        <v>0.69</v>
      </c>
      <c r="Q38" s="112">
        <v>4.3</v>
      </c>
    </row>
    <row r="39" spans="1:17" customFormat="1">
      <c r="A39" s="80">
        <v>45607.322916666664</v>
      </c>
      <c r="B39" s="112">
        <v>5.22</v>
      </c>
      <c r="C39" s="112">
        <v>8.1</v>
      </c>
      <c r="D39" s="112">
        <v>13.98</v>
      </c>
      <c r="E39" s="112">
        <v>8.85</v>
      </c>
      <c r="F39" s="112">
        <v>5.74</v>
      </c>
      <c r="G39" s="112">
        <v>80.78</v>
      </c>
      <c r="H39" s="112">
        <v>28.7</v>
      </c>
      <c r="I39" s="112">
        <v>8.15</v>
      </c>
      <c r="J39" s="112">
        <v>0.85</v>
      </c>
      <c r="K39" s="112">
        <v>49.16</v>
      </c>
      <c r="L39" s="112">
        <v>22.47</v>
      </c>
      <c r="M39" s="112">
        <v>73.81</v>
      </c>
      <c r="N39" s="112">
        <v>64</v>
      </c>
      <c r="O39" s="112">
        <v>0</v>
      </c>
      <c r="P39" s="112">
        <v>0.69</v>
      </c>
      <c r="Q39" s="112">
        <v>4.32</v>
      </c>
    </row>
    <row r="40" spans="1:17" customFormat="1">
      <c r="A40" s="80">
        <v>45607.333333333336</v>
      </c>
      <c r="B40" s="112">
        <v>5.22</v>
      </c>
      <c r="C40" s="112">
        <v>8.09</v>
      </c>
      <c r="D40" s="112">
        <v>13.98</v>
      </c>
      <c r="E40" s="112">
        <v>8.99</v>
      </c>
      <c r="F40" s="112">
        <v>5.5</v>
      </c>
      <c r="G40" s="112">
        <v>80.66</v>
      </c>
      <c r="H40" s="112">
        <v>28.7</v>
      </c>
      <c r="I40" s="112">
        <v>8.23</v>
      </c>
      <c r="J40" s="112">
        <v>0.72</v>
      </c>
      <c r="K40" s="112">
        <v>46.83</v>
      </c>
      <c r="L40" s="112">
        <v>22.63</v>
      </c>
      <c r="M40" s="112">
        <v>73.16</v>
      </c>
      <c r="N40" s="112">
        <v>74.5</v>
      </c>
      <c r="O40" s="112">
        <v>0</v>
      </c>
      <c r="P40" s="112">
        <v>0.68</v>
      </c>
      <c r="Q40" s="112">
        <v>4.3099999999999996</v>
      </c>
    </row>
    <row r="41" spans="1:17" customFormat="1">
      <c r="A41" s="80">
        <v>45607.34375</v>
      </c>
      <c r="B41" s="112">
        <v>5.22</v>
      </c>
      <c r="C41" s="112">
        <v>8.09</v>
      </c>
      <c r="D41" s="112">
        <v>13.98</v>
      </c>
      <c r="E41" s="112">
        <v>9.1300000000000008</v>
      </c>
      <c r="F41" s="112">
        <v>5.8</v>
      </c>
      <c r="G41" s="112">
        <v>80.66</v>
      </c>
      <c r="H41" s="112">
        <v>28.7</v>
      </c>
      <c r="I41" s="112">
        <v>8.34</v>
      </c>
      <c r="J41" s="112">
        <v>0.97</v>
      </c>
      <c r="K41" s="112">
        <v>47.1</v>
      </c>
      <c r="L41" s="112">
        <v>23.19</v>
      </c>
      <c r="M41" s="112">
        <v>70.41</v>
      </c>
      <c r="N41" s="112">
        <v>152.69999999999999</v>
      </c>
      <c r="O41" s="112">
        <v>0</v>
      </c>
      <c r="P41" s="112">
        <v>0.69</v>
      </c>
      <c r="Q41" s="112">
        <v>4.3</v>
      </c>
    </row>
    <row r="42" spans="1:17" customFormat="1">
      <c r="A42" s="80">
        <v>45607.354166666664</v>
      </c>
      <c r="B42" s="112">
        <v>5.22</v>
      </c>
      <c r="C42" s="112">
        <v>8.08</v>
      </c>
      <c r="D42" s="112">
        <v>13.98</v>
      </c>
      <c r="E42" s="112">
        <v>9.44</v>
      </c>
      <c r="F42" s="112">
        <v>5.95</v>
      </c>
      <c r="G42" s="112">
        <v>80.66</v>
      </c>
      <c r="H42" s="112">
        <v>28.7</v>
      </c>
      <c r="I42" s="112">
        <v>8.41</v>
      </c>
      <c r="J42" s="112">
        <v>0.77</v>
      </c>
      <c r="K42" s="112">
        <v>45.63</v>
      </c>
      <c r="L42" s="112">
        <v>24.11</v>
      </c>
      <c r="M42" s="112">
        <v>67.89</v>
      </c>
      <c r="N42" s="112">
        <v>176.8</v>
      </c>
      <c r="O42" s="112">
        <v>0</v>
      </c>
      <c r="P42" s="112">
        <v>0.68</v>
      </c>
      <c r="Q42" s="112">
        <v>4.3099999999999996</v>
      </c>
    </row>
    <row r="43" spans="1:17" customFormat="1">
      <c r="A43" s="80">
        <v>45607.364583333336</v>
      </c>
      <c r="B43" s="112">
        <v>5.21</v>
      </c>
      <c r="C43" s="112">
        <v>8.09</v>
      </c>
      <c r="D43" s="112">
        <v>13.97</v>
      </c>
      <c r="E43" s="112">
        <v>9.5399999999999991</v>
      </c>
      <c r="F43" s="112">
        <v>5.86</v>
      </c>
      <c r="G43" s="112">
        <v>78.23</v>
      </c>
      <c r="H43" s="112">
        <v>27.74</v>
      </c>
      <c r="I43" s="112">
        <v>8.41</v>
      </c>
      <c r="J43" s="112">
        <v>0.56000000000000005</v>
      </c>
      <c r="K43" s="112">
        <v>56.61</v>
      </c>
      <c r="L43" s="112">
        <v>25.02</v>
      </c>
      <c r="M43" s="112">
        <v>65.069999999999993</v>
      </c>
      <c r="N43" s="112">
        <v>213.1</v>
      </c>
      <c r="O43" s="112">
        <v>0</v>
      </c>
      <c r="P43" s="112">
        <v>0.68</v>
      </c>
      <c r="Q43" s="112">
        <v>4.32</v>
      </c>
    </row>
    <row r="44" spans="1:17" customFormat="1">
      <c r="A44" s="80">
        <v>45607.375</v>
      </c>
      <c r="B44" s="112">
        <v>5.21</v>
      </c>
      <c r="C44" s="112">
        <v>8.08</v>
      </c>
      <c r="D44" s="112">
        <v>13.97</v>
      </c>
      <c r="E44" s="112">
        <v>9.64</v>
      </c>
      <c r="F44" s="112">
        <v>5.93</v>
      </c>
      <c r="G44" s="112">
        <v>78.17</v>
      </c>
      <c r="H44" s="112">
        <v>27.74</v>
      </c>
      <c r="I44" s="112">
        <v>8.44</v>
      </c>
      <c r="J44" s="112">
        <v>0.78</v>
      </c>
      <c r="K44" s="112">
        <v>51.22</v>
      </c>
      <c r="L44" s="112">
        <v>25.44</v>
      </c>
      <c r="M44" s="112">
        <v>63.82</v>
      </c>
      <c r="N44" s="112">
        <v>223.1</v>
      </c>
      <c r="O44" s="112">
        <v>0</v>
      </c>
      <c r="P44" s="112">
        <v>0.68</v>
      </c>
      <c r="Q44" s="112">
        <v>4.32</v>
      </c>
    </row>
    <row r="45" spans="1:17" customFormat="1">
      <c r="A45" s="80">
        <v>45607.385416666664</v>
      </c>
      <c r="B45" s="112">
        <v>5.2</v>
      </c>
      <c r="C45" s="112">
        <v>8.1</v>
      </c>
      <c r="D45" s="112">
        <v>13.97</v>
      </c>
      <c r="E45" s="112">
        <v>9.3699999999999992</v>
      </c>
      <c r="F45" s="112">
        <v>6.18</v>
      </c>
      <c r="G45" s="112">
        <v>78.17</v>
      </c>
      <c r="H45" s="112">
        <v>27.74</v>
      </c>
      <c r="I45" s="112">
        <v>8.4700000000000006</v>
      </c>
      <c r="J45" s="112">
        <v>0.86</v>
      </c>
      <c r="K45" s="112">
        <v>45.01</v>
      </c>
      <c r="L45" s="112">
        <v>25.69</v>
      </c>
      <c r="M45" s="112">
        <v>63.08</v>
      </c>
      <c r="N45" s="112">
        <v>309.3</v>
      </c>
      <c r="O45" s="112">
        <v>0</v>
      </c>
      <c r="P45" s="112">
        <v>0.67</v>
      </c>
      <c r="Q45" s="112">
        <v>4.33</v>
      </c>
    </row>
    <row r="46" spans="1:17" customFormat="1">
      <c r="A46" s="80">
        <v>45607.395833333336</v>
      </c>
      <c r="B46" s="112">
        <v>5.2</v>
      </c>
      <c r="C46" s="112">
        <v>8.11</v>
      </c>
      <c r="D46" s="112">
        <v>13.97</v>
      </c>
      <c r="E46" s="112">
        <v>9.3699999999999992</v>
      </c>
      <c r="F46" s="112">
        <v>6.08</v>
      </c>
      <c r="G46" s="112">
        <v>78.17</v>
      </c>
      <c r="H46" s="112">
        <v>27.74</v>
      </c>
      <c r="I46" s="112">
        <v>8.48</v>
      </c>
      <c r="J46" s="112">
        <v>0.77</v>
      </c>
      <c r="K46" s="112">
        <v>47.06</v>
      </c>
      <c r="L46" s="112">
        <v>26.35</v>
      </c>
      <c r="M46" s="112">
        <v>61.35</v>
      </c>
      <c r="N46" s="112">
        <v>291.3</v>
      </c>
      <c r="O46" s="112">
        <v>0</v>
      </c>
      <c r="P46" s="112">
        <v>0.69</v>
      </c>
      <c r="Q46" s="112">
        <v>4.32</v>
      </c>
    </row>
    <row r="47" spans="1:17" customFormat="1">
      <c r="A47" s="80">
        <v>45607.40625</v>
      </c>
      <c r="B47" s="112">
        <v>5.2</v>
      </c>
      <c r="C47" s="112">
        <v>8.08</v>
      </c>
      <c r="D47" s="112">
        <v>13.96</v>
      </c>
      <c r="E47" s="112">
        <v>9.52</v>
      </c>
      <c r="F47" s="112">
        <v>6.67</v>
      </c>
      <c r="G47" s="112">
        <v>80.150000000000006</v>
      </c>
      <c r="H47" s="112">
        <v>27.41</v>
      </c>
      <c r="I47" s="112">
        <v>8.52</v>
      </c>
      <c r="J47" s="112">
        <v>0.57999999999999996</v>
      </c>
      <c r="K47" s="112">
        <v>48.31</v>
      </c>
      <c r="L47" s="112">
        <v>27.26</v>
      </c>
      <c r="M47" s="112">
        <v>58.97</v>
      </c>
      <c r="N47" s="112">
        <v>377.3</v>
      </c>
      <c r="O47" s="112">
        <v>0</v>
      </c>
      <c r="P47" s="112">
        <v>0.67</v>
      </c>
      <c r="Q47" s="112">
        <v>4.34</v>
      </c>
    </row>
    <row r="48" spans="1:17" customFormat="1">
      <c r="A48" s="80">
        <v>45607.416666666664</v>
      </c>
      <c r="B48" s="112">
        <v>5.18</v>
      </c>
      <c r="C48" s="112">
        <v>8.08</v>
      </c>
      <c r="D48" s="112">
        <v>13.94</v>
      </c>
      <c r="E48" s="112">
        <v>9.1999999999999993</v>
      </c>
      <c r="F48" s="112">
        <v>6.13</v>
      </c>
      <c r="G48" s="112">
        <v>80.19</v>
      </c>
      <c r="H48" s="112">
        <v>27.41</v>
      </c>
      <c r="I48" s="112">
        <v>8.57</v>
      </c>
      <c r="J48" s="112">
        <v>0.55000000000000004</v>
      </c>
      <c r="K48" s="112">
        <v>61.75</v>
      </c>
      <c r="L48" s="112">
        <v>27.93</v>
      </c>
      <c r="M48" s="112">
        <v>57.17</v>
      </c>
      <c r="N48" s="112">
        <v>408.2</v>
      </c>
      <c r="O48" s="112">
        <v>0</v>
      </c>
      <c r="P48" s="112">
        <v>0.69</v>
      </c>
      <c r="Q48" s="112">
        <v>4.3099999999999996</v>
      </c>
    </row>
    <row r="49" spans="1:17" customFormat="1">
      <c r="A49" s="80">
        <v>45607.427083333336</v>
      </c>
      <c r="B49" s="112">
        <v>5.17</v>
      </c>
      <c r="C49" s="112">
        <v>8.07</v>
      </c>
      <c r="D49" s="112">
        <v>13.93</v>
      </c>
      <c r="E49" s="112">
        <v>9.02</v>
      </c>
      <c r="F49" s="112">
        <v>6.24</v>
      </c>
      <c r="G49" s="112">
        <v>80.19</v>
      </c>
      <c r="H49" s="112">
        <v>27.41</v>
      </c>
      <c r="I49" s="112">
        <v>8.6</v>
      </c>
      <c r="J49" s="112">
        <v>0.4</v>
      </c>
      <c r="K49" s="112">
        <v>75.63</v>
      </c>
      <c r="L49" s="112">
        <v>28.59</v>
      </c>
      <c r="M49" s="112">
        <v>55.2</v>
      </c>
      <c r="N49" s="112">
        <v>429.7</v>
      </c>
      <c r="O49" s="112">
        <v>0</v>
      </c>
      <c r="P49" s="112">
        <v>0.68</v>
      </c>
      <c r="Q49" s="112">
        <v>4.3099999999999996</v>
      </c>
    </row>
    <row r="50" spans="1:17" customFormat="1">
      <c r="A50" s="80">
        <v>45607.4375</v>
      </c>
      <c r="B50" s="112">
        <v>5.19</v>
      </c>
      <c r="C50" s="112">
        <v>8.0500000000000007</v>
      </c>
      <c r="D50" s="112">
        <v>13.93</v>
      </c>
      <c r="E50" s="112">
        <v>10.54</v>
      </c>
      <c r="F50" s="112">
        <v>6.71</v>
      </c>
      <c r="G50" s="112">
        <v>80.19</v>
      </c>
      <c r="H50" s="112">
        <v>27.41</v>
      </c>
      <c r="I50" s="112">
        <v>8.6</v>
      </c>
      <c r="J50" s="112">
        <v>0.3</v>
      </c>
      <c r="K50" s="112">
        <v>70.510000000000005</v>
      </c>
      <c r="L50" s="112">
        <v>29.05</v>
      </c>
      <c r="M50" s="112">
        <v>53.7</v>
      </c>
      <c r="N50" s="112">
        <v>439.9</v>
      </c>
      <c r="O50" s="112">
        <v>0</v>
      </c>
      <c r="P50" s="112">
        <v>0.67</v>
      </c>
      <c r="Q50" s="112">
        <v>4.3099999999999996</v>
      </c>
    </row>
    <row r="51" spans="1:17" customFormat="1">
      <c r="A51" s="80">
        <v>45607.447916666664</v>
      </c>
      <c r="B51" s="112">
        <v>5.17</v>
      </c>
      <c r="C51" s="112">
        <v>8.06</v>
      </c>
      <c r="D51" s="112">
        <v>13.93</v>
      </c>
      <c r="E51" s="112">
        <v>11.47</v>
      </c>
      <c r="F51" s="112">
        <v>7.26</v>
      </c>
      <c r="G51" s="112">
        <v>79.39</v>
      </c>
      <c r="H51" s="112">
        <v>28.09</v>
      </c>
      <c r="I51" s="112">
        <v>8.56</v>
      </c>
      <c r="J51" s="112">
        <v>0.68</v>
      </c>
      <c r="K51" s="112">
        <v>49.97</v>
      </c>
      <c r="L51" s="112">
        <v>29.19</v>
      </c>
      <c r="M51" s="112">
        <v>52.71</v>
      </c>
      <c r="N51" s="112">
        <v>408.6</v>
      </c>
      <c r="O51" s="112">
        <v>0</v>
      </c>
      <c r="P51" s="112">
        <v>0.68</v>
      </c>
      <c r="Q51" s="112">
        <v>4.29</v>
      </c>
    </row>
    <row r="52" spans="1:17" customFormat="1">
      <c r="A52" s="80">
        <v>45607.458333333336</v>
      </c>
      <c r="B52" s="112">
        <v>5.18</v>
      </c>
      <c r="C52" s="112">
        <v>8.06</v>
      </c>
      <c r="D52" s="112">
        <v>13.93</v>
      </c>
      <c r="E52" s="112">
        <v>11.77</v>
      </c>
      <c r="F52" s="112">
        <v>8.81</v>
      </c>
      <c r="G52" s="112">
        <v>79.37</v>
      </c>
      <c r="H52" s="112">
        <v>28.09</v>
      </c>
      <c r="I52" s="112">
        <v>8.51</v>
      </c>
      <c r="J52" s="112">
        <v>0.42</v>
      </c>
      <c r="K52" s="112">
        <v>70.69</v>
      </c>
      <c r="L52" s="112">
        <v>29.67</v>
      </c>
      <c r="M52" s="112">
        <v>50.87</v>
      </c>
      <c r="N52" s="112">
        <v>437.2</v>
      </c>
      <c r="O52" s="112">
        <v>0</v>
      </c>
      <c r="P52" s="112">
        <v>0.65</v>
      </c>
      <c r="Q52" s="112">
        <v>4.3</v>
      </c>
    </row>
    <row r="53" spans="1:17" customFormat="1">
      <c r="A53" s="80">
        <v>45607.46875</v>
      </c>
      <c r="B53" s="112">
        <v>5.18</v>
      </c>
      <c r="C53" s="112">
        <v>8.0299999999999994</v>
      </c>
      <c r="D53" s="112">
        <v>13.92</v>
      </c>
      <c r="E53" s="112">
        <v>11.82</v>
      </c>
      <c r="F53" s="112">
        <v>8.82</v>
      </c>
      <c r="G53" s="112">
        <v>79.37</v>
      </c>
      <c r="H53" s="112">
        <v>28.09</v>
      </c>
      <c r="I53" s="112">
        <v>8.4600000000000009</v>
      </c>
      <c r="J53" s="112">
        <v>0.76</v>
      </c>
      <c r="K53" s="112">
        <v>48.15</v>
      </c>
      <c r="L53" s="112">
        <v>29.31</v>
      </c>
      <c r="M53" s="112">
        <v>51.01</v>
      </c>
      <c r="N53" s="112">
        <v>391.8</v>
      </c>
      <c r="O53" s="112">
        <v>0</v>
      </c>
      <c r="P53" s="112">
        <v>0.66</v>
      </c>
      <c r="Q53" s="112">
        <v>4.3099999999999996</v>
      </c>
    </row>
    <row r="54" spans="1:17" customFormat="1">
      <c r="A54" s="80">
        <v>45607.479166666664</v>
      </c>
      <c r="B54" s="112">
        <v>5.18</v>
      </c>
      <c r="C54" s="112">
        <v>8.0500000000000007</v>
      </c>
      <c r="D54" s="112">
        <v>13.92</v>
      </c>
      <c r="E54" s="112">
        <v>12.45</v>
      </c>
      <c r="F54" s="112">
        <v>10.59</v>
      </c>
      <c r="G54" s="112">
        <v>79.37</v>
      </c>
      <c r="H54" s="112">
        <v>28.09</v>
      </c>
      <c r="I54" s="112">
        <v>8.3699999999999992</v>
      </c>
      <c r="J54" s="112">
        <v>0.46</v>
      </c>
      <c r="K54" s="112">
        <v>45.87</v>
      </c>
      <c r="L54" s="112">
        <v>29.14</v>
      </c>
      <c r="M54" s="112">
        <v>50.36</v>
      </c>
      <c r="N54" s="112">
        <v>284.3</v>
      </c>
      <c r="O54" s="112">
        <v>0</v>
      </c>
      <c r="P54" s="112">
        <v>0.66</v>
      </c>
      <c r="Q54" s="112">
        <v>4.3099999999999996</v>
      </c>
    </row>
    <row r="55" spans="1:17" customFormat="1">
      <c r="A55" s="80">
        <v>45607.489583333336</v>
      </c>
      <c r="B55" s="112">
        <v>5.16</v>
      </c>
      <c r="C55" s="112">
        <v>8.09</v>
      </c>
      <c r="D55" s="112">
        <v>13.93</v>
      </c>
      <c r="E55" s="112">
        <v>12.24</v>
      </c>
      <c r="F55" s="112">
        <v>9.25</v>
      </c>
      <c r="G55" s="112">
        <v>67.239999999999995</v>
      </c>
      <c r="H55" s="112">
        <v>24.7</v>
      </c>
      <c r="I55" s="112">
        <v>8.2799999999999994</v>
      </c>
      <c r="J55" s="112">
        <v>0.33</v>
      </c>
      <c r="K55" s="112">
        <v>82.76</v>
      </c>
      <c r="L55" s="112">
        <v>29.98</v>
      </c>
      <c r="M55" s="112">
        <v>47.52</v>
      </c>
      <c r="N55" s="112">
        <v>484</v>
      </c>
      <c r="O55" s="112">
        <v>0</v>
      </c>
      <c r="P55" s="112">
        <v>0.64</v>
      </c>
      <c r="Q55" s="112">
        <v>4.32</v>
      </c>
    </row>
    <row r="56" spans="1:17" customFormat="1">
      <c r="A56" s="80">
        <v>45607.5</v>
      </c>
      <c r="B56" s="112">
        <v>5.16</v>
      </c>
      <c r="C56" s="112">
        <v>8.09</v>
      </c>
      <c r="D56" s="112">
        <v>13.93</v>
      </c>
      <c r="E56" s="112">
        <v>11.24</v>
      </c>
      <c r="F56" s="112">
        <v>8.69</v>
      </c>
      <c r="G56" s="112">
        <v>66.959999999999994</v>
      </c>
      <c r="H56" s="112">
        <v>24.7</v>
      </c>
      <c r="I56" s="112">
        <v>8.23</v>
      </c>
      <c r="J56" s="112">
        <v>0.21</v>
      </c>
      <c r="K56" s="112">
        <v>121.75</v>
      </c>
      <c r="L56" s="112">
        <v>30.26</v>
      </c>
      <c r="M56" s="112">
        <v>45.85</v>
      </c>
      <c r="N56" s="112">
        <v>464.1</v>
      </c>
      <c r="O56" s="112">
        <v>0</v>
      </c>
      <c r="P56" s="112">
        <v>0.65</v>
      </c>
      <c r="Q56" s="112">
        <v>4.3099999999999996</v>
      </c>
    </row>
    <row r="57" spans="1:17" customFormat="1">
      <c r="A57" s="80">
        <v>45607.510416666664</v>
      </c>
      <c r="B57" s="112">
        <v>5.15</v>
      </c>
      <c r="C57" s="112">
        <v>8.09</v>
      </c>
      <c r="D57" s="112">
        <v>13.93</v>
      </c>
      <c r="E57" s="112">
        <v>11.05</v>
      </c>
      <c r="F57" s="112">
        <v>8.6999999999999993</v>
      </c>
      <c r="G57" s="112">
        <v>66.959999999999994</v>
      </c>
      <c r="H57" s="112">
        <v>24.7</v>
      </c>
      <c r="I57" s="112">
        <v>8.18</v>
      </c>
      <c r="J57" s="112">
        <v>0.39</v>
      </c>
      <c r="K57" s="112">
        <v>164.89</v>
      </c>
      <c r="L57" s="112">
        <v>30.54</v>
      </c>
      <c r="M57" s="112">
        <v>45.61</v>
      </c>
      <c r="N57" s="112">
        <v>522.9</v>
      </c>
      <c r="O57" s="112">
        <v>0</v>
      </c>
      <c r="P57" s="112">
        <v>0.65</v>
      </c>
      <c r="Q57" s="112">
        <v>4.3099999999999996</v>
      </c>
    </row>
    <row r="58" spans="1:17" customFormat="1">
      <c r="A58" s="80">
        <v>45607.520833333336</v>
      </c>
      <c r="B58" s="112">
        <v>5.17</v>
      </c>
      <c r="C58" s="112">
        <v>8.06</v>
      </c>
      <c r="D58" s="112">
        <v>13.92</v>
      </c>
      <c r="E58" s="112">
        <v>10.86</v>
      </c>
      <c r="F58" s="112">
        <v>8.75</v>
      </c>
      <c r="G58" s="112">
        <v>66.959999999999994</v>
      </c>
      <c r="H58" s="112">
        <v>24.7</v>
      </c>
      <c r="I58" s="112">
        <v>8.1</v>
      </c>
      <c r="J58" s="112">
        <v>0.32</v>
      </c>
      <c r="K58" s="112">
        <v>108.21</v>
      </c>
      <c r="L58" s="112">
        <v>30.77</v>
      </c>
      <c r="M58" s="112">
        <v>44.49</v>
      </c>
      <c r="N58" s="112">
        <v>510.4</v>
      </c>
      <c r="O58" s="112">
        <v>0</v>
      </c>
      <c r="P58" s="112">
        <v>0.62</v>
      </c>
      <c r="Q58" s="112">
        <v>4.32</v>
      </c>
    </row>
    <row r="59" spans="1:17" customFormat="1">
      <c r="A59" s="80">
        <v>45607.53125</v>
      </c>
      <c r="B59" s="112">
        <v>5.17</v>
      </c>
      <c r="C59" s="112">
        <v>8.0399999999999991</v>
      </c>
      <c r="D59" s="112">
        <v>13.92</v>
      </c>
      <c r="E59" s="112">
        <v>10.69</v>
      </c>
      <c r="F59" s="112">
        <v>12.56</v>
      </c>
      <c r="G59" s="112">
        <v>62.32</v>
      </c>
      <c r="H59" s="112">
        <v>23.46</v>
      </c>
      <c r="I59" s="112">
        <v>8.0500000000000007</v>
      </c>
      <c r="J59" s="112">
        <v>0.47</v>
      </c>
      <c r="K59" s="112">
        <v>71.77</v>
      </c>
      <c r="L59" s="112">
        <v>31.28</v>
      </c>
      <c r="M59" s="112">
        <v>40.700000000000003</v>
      </c>
      <c r="N59" s="112">
        <v>459.2</v>
      </c>
      <c r="O59" s="112">
        <v>0</v>
      </c>
      <c r="P59" s="112">
        <v>0.64</v>
      </c>
      <c r="Q59" s="112">
        <v>4.3099999999999996</v>
      </c>
    </row>
    <row r="60" spans="1:17" customFormat="1">
      <c r="A60" s="80">
        <v>45607.541666666664</v>
      </c>
      <c r="B60" s="112">
        <v>5.2</v>
      </c>
      <c r="C60" s="112">
        <v>8.0500000000000007</v>
      </c>
      <c r="D60" s="112">
        <v>13.94</v>
      </c>
      <c r="E60" s="112">
        <v>10.58</v>
      </c>
      <c r="F60" s="112">
        <v>16.29</v>
      </c>
      <c r="G60" s="112">
        <v>62.22</v>
      </c>
      <c r="H60" s="112">
        <v>23.46</v>
      </c>
      <c r="I60" s="112">
        <v>7.99</v>
      </c>
      <c r="J60" s="112">
        <v>0.18</v>
      </c>
      <c r="K60" s="112">
        <v>150.97999999999999</v>
      </c>
      <c r="L60" s="112">
        <v>31.29</v>
      </c>
      <c r="M60" s="112">
        <v>42.21</v>
      </c>
      <c r="N60" s="112">
        <v>322.39999999999998</v>
      </c>
      <c r="O60" s="112">
        <v>0</v>
      </c>
      <c r="P60" s="112">
        <v>0.6</v>
      </c>
      <c r="Q60" s="112">
        <v>4.9000000000000004</v>
      </c>
    </row>
    <row r="61" spans="1:17" customFormat="1">
      <c r="A61" s="80">
        <v>45607.552083333336</v>
      </c>
      <c r="B61" s="112">
        <v>5.24</v>
      </c>
      <c r="C61" s="112">
        <v>8.0500000000000007</v>
      </c>
      <c r="D61" s="112">
        <v>13.98</v>
      </c>
      <c r="E61" s="112">
        <v>10.17</v>
      </c>
      <c r="F61" s="112">
        <v>12.24</v>
      </c>
      <c r="G61" s="112">
        <v>62.22</v>
      </c>
      <c r="H61" s="112">
        <v>23.46</v>
      </c>
      <c r="I61" s="112">
        <v>7.69</v>
      </c>
      <c r="J61" s="112">
        <v>0.7</v>
      </c>
      <c r="K61" s="112">
        <v>52.74</v>
      </c>
      <c r="L61" s="112">
        <v>30.89</v>
      </c>
      <c r="M61" s="112">
        <v>42.29</v>
      </c>
      <c r="N61" s="112">
        <v>422.6</v>
      </c>
      <c r="O61" s="112">
        <v>0</v>
      </c>
      <c r="P61" s="112">
        <v>0.62</v>
      </c>
      <c r="Q61" s="112">
        <v>4.97</v>
      </c>
    </row>
    <row r="62" spans="1:17" customFormat="1">
      <c r="A62" s="80">
        <v>45607.5625</v>
      </c>
      <c r="B62" s="112">
        <v>5.21</v>
      </c>
      <c r="C62" s="112">
        <v>8.0399999999999991</v>
      </c>
      <c r="D62" s="112">
        <v>13.94</v>
      </c>
      <c r="E62" s="112">
        <v>9.73</v>
      </c>
      <c r="F62" s="112">
        <v>14.96</v>
      </c>
      <c r="G62" s="112">
        <v>62.22</v>
      </c>
      <c r="H62" s="112">
        <v>23.46</v>
      </c>
      <c r="I62" s="112">
        <v>7.34</v>
      </c>
      <c r="J62" s="112">
        <v>0.62</v>
      </c>
      <c r="K62" s="112">
        <v>23.27</v>
      </c>
      <c r="L62" s="112">
        <v>30.3</v>
      </c>
      <c r="M62" s="112">
        <v>43.57</v>
      </c>
      <c r="N62" s="112">
        <v>261.10000000000002</v>
      </c>
      <c r="O62" s="112">
        <v>0</v>
      </c>
      <c r="P62" s="112">
        <v>0.62</v>
      </c>
      <c r="Q62" s="112">
        <v>4.97</v>
      </c>
    </row>
    <row r="63" spans="1:17" customFormat="1">
      <c r="A63" s="80">
        <v>45607.572916666664</v>
      </c>
      <c r="B63" s="112">
        <v>5.18</v>
      </c>
      <c r="C63" s="112">
        <v>8.07</v>
      </c>
      <c r="D63" s="112">
        <v>13.94</v>
      </c>
      <c r="E63" s="112">
        <v>10.31</v>
      </c>
      <c r="F63" s="112">
        <v>14.78</v>
      </c>
      <c r="G63" s="112">
        <v>56.92</v>
      </c>
      <c r="H63" s="112">
        <v>25.32</v>
      </c>
      <c r="I63" s="112">
        <v>7.25</v>
      </c>
      <c r="J63" s="112">
        <v>0.71</v>
      </c>
      <c r="K63" s="112">
        <v>11.29</v>
      </c>
      <c r="L63" s="112">
        <v>30.23</v>
      </c>
      <c r="M63" s="112">
        <v>43.12</v>
      </c>
      <c r="N63" s="112">
        <v>292.8</v>
      </c>
      <c r="O63" s="112">
        <v>0</v>
      </c>
      <c r="P63" s="112">
        <v>0.6</v>
      </c>
      <c r="Q63" s="112">
        <v>4.97</v>
      </c>
    </row>
    <row r="64" spans="1:17" customFormat="1">
      <c r="A64" s="80">
        <v>45607.583333333336</v>
      </c>
      <c r="B64" s="112">
        <v>5.18</v>
      </c>
      <c r="C64" s="112">
        <v>8.08</v>
      </c>
      <c r="D64" s="112">
        <v>13.94</v>
      </c>
      <c r="E64" s="112">
        <v>9.7799999999999994</v>
      </c>
      <c r="F64" s="112">
        <v>12.48</v>
      </c>
      <c r="G64" s="112">
        <v>56.8</v>
      </c>
      <c r="H64" s="112">
        <v>25.32</v>
      </c>
      <c r="I64" s="112">
        <v>7.11</v>
      </c>
      <c r="J64" s="112">
        <v>0.44</v>
      </c>
      <c r="K64" s="112">
        <v>50.85</v>
      </c>
      <c r="L64" s="112">
        <v>30.19</v>
      </c>
      <c r="M64" s="112">
        <v>42.57</v>
      </c>
      <c r="N64" s="112">
        <v>185.3</v>
      </c>
      <c r="O64" s="112">
        <v>0</v>
      </c>
      <c r="P64" s="112">
        <v>0.6</v>
      </c>
      <c r="Q64" s="112">
        <v>4.9800000000000004</v>
      </c>
    </row>
    <row r="65" spans="1:17" customFormat="1">
      <c r="A65" s="80">
        <v>45607.59375</v>
      </c>
      <c r="B65" s="112">
        <v>5.17</v>
      </c>
      <c r="C65" s="112">
        <v>8.08</v>
      </c>
      <c r="D65" s="112">
        <v>13.94</v>
      </c>
      <c r="E65" s="112">
        <v>10.15</v>
      </c>
      <c r="F65" s="112">
        <v>12</v>
      </c>
      <c r="G65" s="112">
        <v>56.8</v>
      </c>
      <c r="H65" s="112">
        <v>25.32</v>
      </c>
      <c r="I65" s="112">
        <v>6.99</v>
      </c>
      <c r="J65" s="112">
        <v>0.28000000000000003</v>
      </c>
      <c r="K65" s="112">
        <v>81.180000000000007</v>
      </c>
      <c r="L65" s="112">
        <v>30.24</v>
      </c>
      <c r="M65" s="112">
        <v>43.16</v>
      </c>
      <c r="N65" s="112">
        <v>132.80000000000001</v>
      </c>
      <c r="O65" s="112">
        <v>0</v>
      </c>
      <c r="P65" s="112">
        <v>0.56999999999999995</v>
      </c>
      <c r="Q65" s="112">
        <v>4.9800000000000004</v>
      </c>
    </row>
    <row r="66" spans="1:17" customFormat="1">
      <c r="A66" s="80">
        <v>45607.604166666664</v>
      </c>
      <c r="B66" s="112">
        <v>5.18</v>
      </c>
      <c r="C66" s="112">
        <v>8.08</v>
      </c>
      <c r="D66" s="112">
        <v>13.94</v>
      </c>
      <c r="E66" s="112">
        <v>9.98</v>
      </c>
      <c r="F66" s="112">
        <v>12.68</v>
      </c>
      <c r="G66" s="112">
        <v>56.8</v>
      </c>
      <c r="H66" s="112">
        <v>25.32</v>
      </c>
      <c r="I66" s="112">
        <v>6.95</v>
      </c>
      <c r="J66" s="112">
        <v>0.24</v>
      </c>
      <c r="K66" s="112">
        <v>60.13</v>
      </c>
      <c r="L66" s="112">
        <v>30.25</v>
      </c>
      <c r="M66" s="112">
        <v>42.19</v>
      </c>
      <c r="N66" s="112">
        <v>114.6</v>
      </c>
      <c r="O66" s="112">
        <v>0</v>
      </c>
      <c r="P66" s="112">
        <v>0.59</v>
      </c>
      <c r="Q66" s="112">
        <v>4.99</v>
      </c>
    </row>
    <row r="67" spans="1:17" customFormat="1">
      <c r="A67" s="80">
        <v>45607.614583333336</v>
      </c>
      <c r="B67" s="112">
        <v>5.18</v>
      </c>
      <c r="C67" s="112">
        <v>8.09</v>
      </c>
      <c r="D67" s="112">
        <v>13.95</v>
      </c>
      <c r="E67" s="112">
        <v>10.82</v>
      </c>
      <c r="F67" s="112">
        <v>16.440000000000001</v>
      </c>
      <c r="G67" s="112">
        <v>51.92</v>
      </c>
      <c r="H67" s="112">
        <v>21.95</v>
      </c>
      <c r="I67" s="112">
        <v>6.87</v>
      </c>
      <c r="J67" s="112">
        <v>0.2</v>
      </c>
      <c r="K67" s="112">
        <v>139.83000000000001</v>
      </c>
      <c r="L67" s="112">
        <v>30.17</v>
      </c>
      <c r="M67" s="112">
        <v>42.69</v>
      </c>
      <c r="N67" s="112">
        <v>104.9</v>
      </c>
      <c r="O67" s="112">
        <v>0</v>
      </c>
      <c r="P67" s="112">
        <v>0.56000000000000005</v>
      </c>
      <c r="Q67" s="112">
        <v>4.9800000000000004</v>
      </c>
    </row>
    <row r="68" spans="1:17" customFormat="1">
      <c r="A68" s="80">
        <v>45607.625</v>
      </c>
      <c r="B68" s="112">
        <v>5.18</v>
      </c>
      <c r="C68" s="112">
        <v>8.08</v>
      </c>
      <c r="D68" s="112">
        <v>13.94</v>
      </c>
      <c r="E68" s="112">
        <v>11.12</v>
      </c>
      <c r="F68" s="112">
        <v>16.43</v>
      </c>
      <c r="G68" s="112">
        <v>51.81</v>
      </c>
      <c r="H68" s="112">
        <v>21.95</v>
      </c>
      <c r="I68" s="112">
        <v>6.7</v>
      </c>
      <c r="J68" s="112">
        <v>0.43</v>
      </c>
      <c r="K68" s="112">
        <v>36.909999999999997</v>
      </c>
      <c r="L68" s="112">
        <v>30.13</v>
      </c>
      <c r="M68" s="112">
        <v>42.83</v>
      </c>
      <c r="N68" s="112">
        <v>107.5</v>
      </c>
      <c r="O68" s="112">
        <v>0</v>
      </c>
      <c r="P68" s="112">
        <v>0.56999999999999995</v>
      </c>
      <c r="Q68" s="112">
        <v>4.97</v>
      </c>
    </row>
    <row r="69" spans="1:17" customFormat="1">
      <c r="A69" s="80">
        <v>45607.635416666664</v>
      </c>
      <c r="B69" s="112">
        <v>5.19</v>
      </c>
      <c r="C69" s="112">
        <v>8.08</v>
      </c>
      <c r="D69" s="112">
        <v>13.95</v>
      </c>
      <c r="E69" s="112">
        <v>11.23</v>
      </c>
      <c r="F69" s="112">
        <v>14.62</v>
      </c>
      <c r="G69" s="112">
        <v>51.81</v>
      </c>
      <c r="H69" s="112">
        <v>21.95</v>
      </c>
      <c r="I69" s="112">
        <v>6.51</v>
      </c>
      <c r="J69" s="112">
        <v>0.68</v>
      </c>
      <c r="K69" s="112">
        <v>37.82</v>
      </c>
      <c r="L69" s="112">
        <v>30.01</v>
      </c>
      <c r="M69" s="112">
        <v>41</v>
      </c>
      <c r="N69" s="112">
        <v>91.6</v>
      </c>
      <c r="O69" s="112">
        <v>0</v>
      </c>
      <c r="P69" s="112">
        <v>0.56999999999999995</v>
      </c>
      <c r="Q69" s="112">
        <v>4.97</v>
      </c>
    </row>
    <row r="70" spans="1:17" customFormat="1">
      <c r="A70" s="80">
        <v>45607.645833333336</v>
      </c>
      <c r="B70" s="112">
        <v>5.19</v>
      </c>
      <c r="C70" s="112">
        <v>8.0500000000000007</v>
      </c>
      <c r="D70" s="112">
        <v>13.94</v>
      </c>
      <c r="E70" s="112">
        <v>10.92</v>
      </c>
      <c r="F70" s="112">
        <v>15.59</v>
      </c>
      <c r="G70" s="112">
        <v>51.81</v>
      </c>
      <c r="H70" s="112">
        <v>21.95</v>
      </c>
      <c r="I70" s="112">
        <v>6.46</v>
      </c>
      <c r="J70" s="112">
        <v>0.61</v>
      </c>
      <c r="K70" s="112">
        <v>30.91</v>
      </c>
      <c r="L70" s="112">
        <v>29.77</v>
      </c>
      <c r="M70" s="112">
        <v>42.42</v>
      </c>
      <c r="N70" s="112">
        <v>68.5</v>
      </c>
      <c r="O70" s="112">
        <v>0</v>
      </c>
      <c r="P70" s="112">
        <v>0.56999999999999995</v>
      </c>
      <c r="Q70" s="112">
        <v>4.9800000000000004</v>
      </c>
    </row>
    <row r="71" spans="1:17" customFormat="1">
      <c r="A71" s="80">
        <v>45607.65625</v>
      </c>
      <c r="B71" s="112">
        <v>5.19</v>
      </c>
      <c r="C71" s="112">
        <v>8.07</v>
      </c>
      <c r="D71" s="112">
        <v>13.95</v>
      </c>
      <c r="E71" s="112">
        <v>11.93</v>
      </c>
      <c r="F71" s="112">
        <v>12.08</v>
      </c>
      <c r="G71" s="112">
        <v>54.64</v>
      </c>
      <c r="H71" s="112">
        <v>20.56</v>
      </c>
      <c r="I71" s="112">
        <v>6.43</v>
      </c>
      <c r="J71" s="112">
        <v>0.49</v>
      </c>
      <c r="K71" s="112">
        <v>35.51</v>
      </c>
      <c r="L71" s="112">
        <v>29.4</v>
      </c>
      <c r="M71" s="112">
        <v>45.4</v>
      </c>
      <c r="N71" s="112">
        <v>52.2</v>
      </c>
      <c r="O71" s="112">
        <v>0</v>
      </c>
      <c r="P71" s="112">
        <v>0.57999999999999996</v>
      </c>
      <c r="Q71" s="112">
        <v>4.9800000000000004</v>
      </c>
    </row>
    <row r="72" spans="1:17" customFormat="1">
      <c r="A72" s="80">
        <v>45607.666666666664</v>
      </c>
      <c r="B72" s="112">
        <v>5.18</v>
      </c>
      <c r="C72" s="112">
        <v>8.09</v>
      </c>
      <c r="D72" s="112">
        <v>13.95</v>
      </c>
      <c r="E72" s="112">
        <v>11.22</v>
      </c>
      <c r="F72" s="112">
        <v>11.95</v>
      </c>
      <c r="G72" s="112">
        <v>54.71</v>
      </c>
      <c r="H72" s="112">
        <v>20.56</v>
      </c>
      <c r="I72" s="112">
        <v>6.37</v>
      </c>
      <c r="J72" s="112">
        <v>0.35</v>
      </c>
      <c r="K72" s="112">
        <v>40.74</v>
      </c>
      <c r="L72" s="112">
        <v>29.16</v>
      </c>
      <c r="M72" s="112">
        <v>46.74</v>
      </c>
      <c r="N72" s="112">
        <v>45.5</v>
      </c>
      <c r="O72" s="112">
        <v>0</v>
      </c>
      <c r="P72" s="112">
        <v>0.57999999999999996</v>
      </c>
      <c r="Q72" s="112">
        <v>4.97</v>
      </c>
    </row>
    <row r="73" spans="1:17" customFormat="1">
      <c r="A73" s="80">
        <v>45607.677083333336</v>
      </c>
      <c r="B73" s="112">
        <v>5.16</v>
      </c>
      <c r="C73" s="112">
        <v>8.11</v>
      </c>
      <c r="D73" s="112">
        <v>13.95</v>
      </c>
      <c r="E73" s="112">
        <v>11.02</v>
      </c>
      <c r="F73" s="112">
        <v>11.4</v>
      </c>
      <c r="G73" s="112">
        <v>54.71</v>
      </c>
      <c r="H73" s="112">
        <v>20.56</v>
      </c>
      <c r="I73" s="112">
        <v>6.32</v>
      </c>
      <c r="J73" s="112">
        <v>0.59</v>
      </c>
      <c r="K73" s="112">
        <v>40.090000000000003</v>
      </c>
      <c r="L73" s="112">
        <v>29.14</v>
      </c>
      <c r="M73" s="112">
        <v>45.56</v>
      </c>
      <c r="N73" s="112">
        <v>35.200000000000003</v>
      </c>
      <c r="O73" s="112">
        <v>0</v>
      </c>
      <c r="P73" s="112">
        <v>0.6</v>
      </c>
      <c r="Q73" s="112">
        <v>4.9800000000000004</v>
      </c>
    </row>
    <row r="74" spans="1:17" customFormat="1">
      <c r="A74" s="80">
        <v>45607.6875</v>
      </c>
      <c r="B74" s="112">
        <v>5.17</v>
      </c>
      <c r="C74" s="112">
        <v>8.06</v>
      </c>
      <c r="D74" s="112">
        <v>13.93</v>
      </c>
      <c r="E74" s="112">
        <v>10.66</v>
      </c>
      <c r="F74" s="112">
        <v>12.14</v>
      </c>
      <c r="G74" s="112">
        <v>54.71</v>
      </c>
      <c r="H74" s="112">
        <v>20.56</v>
      </c>
      <c r="I74" s="112">
        <v>6.33</v>
      </c>
      <c r="J74" s="112">
        <v>0.45</v>
      </c>
      <c r="K74" s="112">
        <v>58.88</v>
      </c>
      <c r="L74" s="112">
        <v>28.88</v>
      </c>
      <c r="M74" s="112">
        <v>46.72</v>
      </c>
      <c r="N74" s="112">
        <v>24.6</v>
      </c>
      <c r="O74" s="112">
        <v>0</v>
      </c>
      <c r="P74" s="112">
        <v>0.59</v>
      </c>
      <c r="Q74" s="112">
        <v>4.97</v>
      </c>
    </row>
    <row r="75" spans="1:17" customFormat="1">
      <c r="A75" s="80">
        <v>45607.697916666664</v>
      </c>
      <c r="B75" s="112">
        <v>5.17</v>
      </c>
      <c r="C75" s="112">
        <v>8.07</v>
      </c>
      <c r="D75" s="112">
        <v>13.93</v>
      </c>
      <c r="E75" s="112">
        <v>11.18</v>
      </c>
      <c r="F75" s="112">
        <v>9.9700000000000006</v>
      </c>
      <c r="G75" s="112">
        <v>56.61</v>
      </c>
      <c r="H75" s="112">
        <v>23.51</v>
      </c>
      <c r="I75" s="112">
        <v>6.3</v>
      </c>
      <c r="J75" s="112">
        <v>0.37</v>
      </c>
      <c r="K75" s="112">
        <v>59.66</v>
      </c>
      <c r="L75" s="112">
        <v>28.51</v>
      </c>
      <c r="M75" s="112">
        <v>49.31</v>
      </c>
      <c r="N75" s="112">
        <v>16.2</v>
      </c>
      <c r="O75" s="112">
        <v>0</v>
      </c>
      <c r="P75" s="112">
        <v>0.6</v>
      </c>
      <c r="Q75" s="112">
        <v>4.9800000000000004</v>
      </c>
    </row>
    <row r="76" spans="1:17" customFormat="1">
      <c r="A76" s="80">
        <v>45607.708333333336</v>
      </c>
      <c r="B76" s="112">
        <v>5.17</v>
      </c>
      <c r="C76" s="112">
        <v>8.07</v>
      </c>
      <c r="D76" s="112">
        <v>13.93</v>
      </c>
      <c r="E76" s="112">
        <v>10.73</v>
      </c>
      <c r="F76" s="112">
        <v>10.55</v>
      </c>
      <c r="G76" s="112">
        <v>56.65</v>
      </c>
      <c r="H76" s="112">
        <v>23.51</v>
      </c>
      <c r="I76" s="112">
        <v>6.3</v>
      </c>
      <c r="J76" s="112">
        <v>0.28000000000000003</v>
      </c>
      <c r="K76" s="112">
        <v>70.14</v>
      </c>
      <c r="L76" s="112">
        <v>28.18</v>
      </c>
      <c r="M76" s="112">
        <v>50.28</v>
      </c>
      <c r="N76" s="112">
        <v>8.4</v>
      </c>
      <c r="O76" s="112">
        <v>0</v>
      </c>
      <c r="P76" s="112">
        <v>0.61</v>
      </c>
      <c r="Q76" s="112">
        <v>4.9800000000000004</v>
      </c>
    </row>
    <row r="77" spans="1:17" customFormat="1">
      <c r="A77" s="80">
        <v>45607.71875</v>
      </c>
      <c r="B77" s="112">
        <v>5.19</v>
      </c>
      <c r="C77" s="112">
        <v>8.07</v>
      </c>
      <c r="D77" s="112">
        <v>13.94</v>
      </c>
      <c r="E77" s="112">
        <v>10.67</v>
      </c>
      <c r="F77" s="112">
        <v>9.27</v>
      </c>
      <c r="G77" s="112">
        <v>56.65</v>
      </c>
      <c r="H77" s="112">
        <v>23.51</v>
      </c>
      <c r="I77" s="112">
        <v>6.34</v>
      </c>
      <c r="J77" s="112">
        <v>0.25</v>
      </c>
      <c r="K77" s="112">
        <v>68.98</v>
      </c>
      <c r="L77" s="112">
        <v>27.72</v>
      </c>
      <c r="M77" s="112">
        <v>52.65</v>
      </c>
      <c r="N77" s="112">
        <v>3.7</v>
      </c>
      <c r="O77" s="112">
        <v>0</v>
      </c>
      <c r="P77" s="112">
        <v>0.61</v>
      </c>
      <c r="Q77" s="112">
        <v>4.9800000000000004</v>
      </c>
    </row>
    <row r="78" spans="1:17" customFormat="1">
      <c r="A78" s="80">
        <v>45607.729166666664</v>
      </c>
      <c r="B78" s="112">
        <v>5.2</v>
      </c>
      <c r="C78" s="112">
        <v>8.0500000000000007</v>
      </c>
      <c r="D78" s="112">
        <v>13.95</v>
      </c>
      <c r="E78" s="112">
        <v>10.34</v>
      </c>
      <c r="F78" s="112">
        <v>7.69</v>
      </c>
      <c r="G78" s="112">
        <v>56.65</v>
      </c>
      <c r="H78" s="112">
        <v>23.51</v>
      </c>
      <c r="I78" s="112">
        <v>6.41</v>
      </c>
      <c r="J78" s="112">
        <v>0.37</v>
      </c>
      <c r="K78" s="112">
        <v>58.17</v>
      </c>
      <c r="L78" s="112">
        <v>27.26</v>
      </c>
      <c r="M78" s="112">
        <v>54.11</v>
      </c>
      <c r="N78" s="112">
        <v>2.1</v>
      </c>
      <c r="O78" s="112">
        <v>0</v>
      </c>
      <c r="P78" s="112">
        <v>0.64</v>
      </c>
      <c r="Q78" s="112">
        <v>4.97</v>
      </c>
    </row>
    <row r="79" spans="1:17" customFormat="1">
      <c r="A79" s="80">
        <v>45607.739583333336</v>
      </c>
      <c r="B79" s="112">
        <v>5.18</v>
      </c>
      <c r="C79" s="112">
        <v>8.06</v>
      </c>
      <c r="D79" s="112">
        <v>13.93</v>
      </c>
      <c r="E79" s="112">
        <v>10.47</v>
      </c>
      <c r="F79" s="112">
        <v>6.5</v>
      </c>
      <c r="G79" s="112">
        <v>66.38</v>
      </c>
      <c r="H79" s="112">
        <v>22.3</v>
      </c>
      <c r="I79" s="112">
        <v>6.51</v>
      </c>
      <c r="J79" s="112">
        <v>0.12</v>
      </c>
      <c r="K79" s="112">
        <v>107.33</v>
      </c>
      <c r="L79" s="112">
        <v>26.75</v>
      </c>
      <c r="M79" s="112">
        <v>57.66</v>
      </c>
      <c r="N79" s="112">
        <v>2.1</v>
      </c>
      <c r="O79" s="112">
        <v>0</v>
      </c>
      <c r="P79" s="112">
        <v>0.63</v>
      </c>
      <c r="Q79" s="112">
        <v>4.99</v>
      </c>
    </row>
    <row r="80" spans="1:17" customFormat="1">
      <c r="A80" s="80">
        <v>45607.75</v>
      </c>
      <c r="B80" s="112">
        <v>5.17</v>
      </c>
      <c r="C80" s="112">
        <v>8.06</v>
      </c>
      <c r="D80" s="112">
        <v>13.92</v>
      </c>
      <c r="E80" s="112">
        <v>11.05</v>
      </c>
      <c r="F80" s="112">
        <v>6.42</v>
      </c>
      <c r="G80" s="112">
        <v>66.599999999999994</v>
      </c>
      <c r="H80" s="112">
        <v>22.3</v>
      </c>
      <c r="I80" s="112">
        <v>6.67</v>
      </c>
      <c r="J80" s="112">
        <v>0.14000000000000001</v>
      </c>
      <c r="K80" s="112">
        <v>124.7</v>
      </c>
      <c r="L80" s="112">
        <v>26.03</v>
      </c>
      <c r="M80" s="112">
        <v>60.81</v>
      </c>
      <c r="N80" s="112">
        <v>1.9</v>
      </c>
      <c r="O80" s="112">
        <v>0</v>
      </c>
      <c r="P80" s="112">
        <v>0.62</v>
      </c>
      <c r="Q80" s="112">
        <v>4.96</v>
      </c>
    </row>
    <row r="81" spans="1:17" customFormat="1">
      <c r="A81" s="80">
        <v>45607.760416666664</v>
      </c>
      <c r="B81" s="112">
        <v>5.17</v>
      </c>
      <c r="C81" s="112">
        <v>8.06</v>
      </c>
      <c r="D81" s="112">
        <v>13.93</v>
      </c>
      <c r="E81" s="112">
        <v>9.25</v>
      </c>
      <c r="F81" s="112">
        <v>5.93</v>
      </c>
      <c r="G81" s="112">
        <v>66.599999999999994</v>
      </c>
      <c r="H81" s="112">
        <v>22.3</v>
      </c>
      <c r="I81" s="112">
        <v>6.83</v>
      </c>
      <c r="J81" s="112">
        <v>0.12</v>
      </c>
      <c r="K81" s="112">
        <v>129.9</v>
      </c>
      <c r="L81" s="112">
        <v>26.02</v>
      </c>
      <c r="M81" s="112">
        <v>60.15</v>
      </c>
      <c r="N81" s="112">
        <v>1.7</v>
      </c>
      <c r="O81" s="112">
        <v>0</v>
      </c>
      <c r="P81" s="112">
        <v>0.64</v>
      </c>
      <c r="Q81" s="112">
        <v>4.99</v>
      </c>
    </row>
    <row r="82" spans="1:17" customFormat="1">
      <c r="A82" s="80">
        <v>45607.770833333336</v>
      </c>
      <c r="B82" s="112">
        <v>5.17</v>
      </c>
      <c r="C82" s="112">
        <v>8.08</v>
      </c>
      <c r="D82" s="112">
        <v>13.94</v>
      </c>
      <c r="E82" s="112">
        <v>10.130000000000001</v>
      </c>
      <c r="F82" s="112">
        <v>6.15</v>
      </c>
      <c r="G82" s="112">
        <v>66.599999999999994</v>
      </c>
      <c r="H82" s="112">
        <v>22.3</v>
      </c>
      <c r="I82" s="112">
        <v>6.93</v>
      </c>
      <c r="J82" s="112">
        <v>0.13</v>
      </c>
      <c r="K82" s="112">
        <v>115.24</v>
      </c>
      <c r="L82" s="112">
        <v>25.69</v>
      </c>
      <c r="M82" s="112">
        <v>61.73</v>
      </c>
      <c r="N82" s="112">
        <v>1.8</v>
      </c>
      <c r="O82" s="112">
        <v>0</v>
      </c>
      <c r="P82" s="112">
        <v>0.62</v>
      </c>
      <c r="Q82" s="112">
        <v>4.99</v>
      </c>
    </row>
    <row r="83" spans="1:17" customFormat="1">
      <c r="A83" s="80">
        <v>45607.78125</v>
      </c>
      <c r="B83" s="112">
        <v>5.16</v>
      </c>
      <c r="C83" s="112">
        <v>8.0399999999999991</v>
      </c>
      <c r="D83" s="112">
        <v>13.91</v>
      </c>
      <c r="E83" s="112">
        <v>10.07</v>
      </c>
      <c r="F83" s="112">
        <v>5.98</v>
      </c>
      <c r="G83" s="112">
        <v>85.85</v>
      </c>
      <c r="H83" s="112">
        <v>24.89</v>
      </c>
      <c r="I83" s="112">
        <v>7.06</v>
      </c>
      <c r="J83" s="112">
        <v>0.16</v>
      </c>
      <c r="K83" s="112">
        <v>76.680000000000007</v>
      </c>
      <c r="L83" s="112">
        <v>25.61</v>
      </c>
      <c r="M83" s="112">
        <v>60.47</v>
      </c>
      <c r="N83" s="112">
        <v>1.6</v>
      </c>
      <c r="O83" s="112">
        <v>0</v>
      </c>
      <c r="P83" s="112">
        <v>0.65</v>
      </c>
      <c r="Q83" s="112">
        <v>4.9800000000000004</v>
      </c>
    </row>
    <row r="84" spans="1:17" customFormat="1">
      <c r="A84" s="80">
        <v>45607.791666666664</v>
      </c>
      <c r="B84" s="112">
        <v>5.14</v>
      </c>
      <c r="C84" s="112">
        <v>8.08</v>
      </c>
      <c r="D84" s="112">
        <v>13.91</v>
      </c>
      <c r="E84" s="112">
        <v>10.19</v>
      </c>
      <c r="F84" s="112">
        <v>6.01</v>
      </c>
      <c r="G84" s="112">
        <v>86.29</v>
      </c>
      <c r="H84" s="112">
        <v>24.89</v>
      </c>
      <c r="I84" s="112">
        <v>7.15</v>
      </c>
      <c r="J84" s="112">
        <v>0.28999999999999998</v>
      </c>
      <c r="K84" s="112">
        <v>58.36</v>
      </c>
      <c r="L84" s="112">
        <v>25.47</v>
      </c>
      <c r="M84" s="112">
        <v>60.64</v>
      </c>
      <c r="N84" s="112">
        <v>1.5</v>
      </c>
      <c r="O84" s="112">
        <v>0</v>
      </c>
      <c r="P84" s="112">
        <v>0.65</v>
      </c>
      <c r="Q84" s="112">
        <v>4.9800000000000004</v>
      </c>
    </row>
    <row r="85" spans="1:17" customFormat="1">
      <c r="A85" s="80">
        <v>45607.802083333336</v>
      </c>
      <c r="B85" s="112">
        <v>5.15</v>
      </c>
      <c r="C85" s="112">
        <v>8.08</v>
      </c>
      <c r="D85" s="112">
        <v>13.92</v>
      </c>
      <c r="E85" s="112">
        <v>10.11</v>
      </c>
      <c r="F85" s="112">
        <v>6.2</v>
      </c>
      <c r="G85" s="112">
        <v>86.29</v>
      </c>
      <c r="H85" s="112">
        <v>24.89</v>
      </c>
      <c r="I85" s="112">
        <v>7.22</v>
      </c>
      <c r="J85" s="112">
        <v>0.16</v>
      </c>
      <c r="K85" s="112">
        <v>65.05</v>
      </c>
      <c r="L85" s="112">
        <v>25.36</v>
      </c>
      <c r="M85" s="112">
        <v>62.07</v>
      </c>
      <c r="N85" s="112">
        <v>1.7</v>
      </c>
      <c r="O85" s="112">
        <v>0</v>
      </c>
      <c r="P85" s="112">
        <v>0.66</v>
      </c>
      <c r="Q85" s="112">
        <v>4.99</v>
      </c>
    </row>
    <row r="86" spans="1:17" customFormat="1">
      <c r="A86" s="80">
        <v>45607.8125</v>
      </c>
      <c r="B86" s="112">
        <v>5.17</v>
      </c>
      <c r="C86" s="112">
        <v>8.0500000000000007</v>
      </c>
      <c r="D86" s="112">
        <v>13.92</v>
      </c>
      <c r="E86" s="112">
        <v>10.1</v>
      </c>
      <c r="F86" s="112">
        <v>6.12</v>
      </c>
      <c r="G86" s="112">
        <v>86.29</v>
      </c>
      <c r="H86" s="112">
        <v>24.89</v>
      </c>
      <c r="I86" s="112">
        <v>7.41</v>
      </c>
      <c r="J86" s="112">
        <v>0.19</v>
      </c>
      <c r="K86" s="112">
        <v>72.27</v>
      </c>
      <c r="L86" s="112">
        <v>25.04</v>
      </c>
      <c r="M86" s="112">
        <v>63.28</v>
      </c>
      <c r="N86" s="112">
        <v>1.7</v>
      </c>
      <c r="O86" s="112">
        <v>0</v>
      </c>
      <c r="P86" s="112">
        <v>0.68</v>
      </c>
      <c r="Q86" s="112">
        <v>4.9800000000000004</v>
      </c>
    </row>
    <row r="87" spans="1:17" customFormat="1">
      <c r="A87" s="80">
        <v>45607.822916666664</v>
      </c>
      <c r="B87" s="112">
        <v>5.16</v>
      </c>
      <c r="C87" s="112">
        <v>8.07</v>
      </c>
      <c r="D87" s="112">
        <v>13.92</v>
      </c>
      <c r="E87" s="112">
        <v>10.41</v>
      </c>
      <c r="F87" s="112">
        <v>5.96</v>
      </c>
      <c r="G87" s="112">
        <v>102.09</v>
      </c>
      <c r="H87" s="112">
        <v>26.18</v>
      </c>
      <c r="I87" s="112">
        <v>7.59</v>
      </c>
      <c r="J87" s="112">
        <v>0.13</v>
      </c>
      <c r="K87" s="112">
        <v>74.98</v>
      </c>
      <c r="L87" s="112">
        <v>24.9</v>
      </c>
      <c r="M87" s="112">
        <v>64.92</v>
      </c>
      <c r="N87" s="112">
        <v>1.8</v>
      </c>
      <c r="O87" s="112">
        <v>0</v>
      </c>
      <c r="P87" s="112">
        <v>0.68</v>
      </c>
      <c r="Q87" s="112">
        <v>4.9800000000000004</v>
      </c>
    </row>
    <row r="88" spans="1:17" customFormat="1">
      <c r="A88" s="80">
        <v>45607.833333333336</v>
      </c>
      <c r="B88" s="112">
        <v>5.17</v>
      </c>
      <c r="C88" s="112">
        <v>8.06</v>
      </c>
      <c r="D88" s="112">
        <v>13.92</v>
      </c>
      <c r="E88" s="112">
        <v>10.61</v>
      </c>
      <c r="F88" s="112">
        <v>5.56</v>
      </c>
      <c r="G88" s="112">
        <v>102.45</v>
      </c>
      <c r="H88" s="112">
        <v>26.18</v>
      </c>
      <c r="I88" s="112">
        <v>7.68</v>
      </c>
      <c r="J88" s="112">
        <v>0.18</v>
      </c>
      <c r="K88" s="112">
        <v>155.44</v>
      </c>
      <c r="L88" s="112">
        <v>24.57</v>
      </c>
      <c r="M88" s="112">
        <v>66.23</v>
      </c>
      <c r="N88" s="112">
        <v>1.8</v>
      </c>
      <c r="O88" s="112">
        <v>0</v>
      </c>
      <c r="P88" s="112">
        <v>0.7</v>
      </c>
      <c r="Q88" s="112">
        <v>4.9800000000000004</v>
      </c>
    </row>
    <row r="89" spans="1:17" customFormat="1">
      <c r="A89" s="80">
        <v>45607.84375</v>
      </c>
      <c r="B89" s="112">
        <v>5.17</v>
      </c>
      <c r="C89" s="112">
        <v>8.06</v>
      </c>
      <c r="D89" s="112">
        <v>13.93</v>
      </c>
      <c r="E89" s="112">
        <v>11.04</v>
      </c>
      <c r="F89" s="112">
        <v>5.96</v>
      </c>
      <c r="G89" s="112">
        <v>102.45</v>
      </c>
      <c r="H89" s="112">
        <v>26.18</v>
      </c>
      <c r="I89" s="112">
        <v>7.86</v>
      </c>
      <c r="J89" s="112">
        <v>0.15</v>
      </c>
      <c r="K89" s="112">
        <v>109.68</v>
      </c>
      <c r="L89" s="112">
        <v>24.48</v>
      </c>
      <c r="M89" s="112">
        <v>64.819999999999993</v>
      </c>
      <c r="N89" s="112">
        <v>1.5</v>
      </c>
      <c r="O89" s="112">
        <v>0</v>
      </c>
      <c r="P89" s="112">
        <v>0.7</v>
      </c>
      <c r="Q89" s="112">
        <v>4.9800000000000004</v>
      </c>
    </row>
    <row r="90" spans="1:17" customFormat="1">
      <c r="A90" s="80">
        <v>45607.854166666664</v>
      </c>
      <c r="B90" s="112">
        <v>5.15</v>
      </c>
      <c r="C90" s="112">
        <v>8.07</v>
      </c>
      <c r="D90" s="112">
        <v>13.92</v>
      </c>
      <c r="E90" s="112">
        <v>11.17</v>
      </c>
      <c r="F90" s="112">
        <v>5.97</v>
      </c>
      <c r="G90" s="112">
        <v>102.45</v>
      </c>
      <c r="H90" s="112">
        <v>26.18</v>
      </c>
      <c r="I90" s="112">
        <v>7.97</v>
      </c>
      <c r="J90" s="112">
        <v>0.13</v>
      </c>
      <c r="K90" s="112">
        <v>97.2</v>
      </c>
      <c r="L90" s="112">
        <v>24.44</v>
      </c>
      <c r="M90" s="112">
        <v>65.900000000000006</v>
      </c>
      <c r="N90" s="112">
        <v>1.5</v>
      </c>
      <c r="O90" s="112">
        <v>0</v>
      </c>
      <c r="P90" s="112">
        <v>0.71</v>
      </c>
      <c r="Q90" s="112">
        <v>4.9800000000000004</v>
      </c>
    </row>
    <row r="91" spans="1:17" customFormat="1">
      <c r="A91" s="80">
        <v>45607.864583333336</v>
      </c>
      <c r="B91" s="112">
        <v>5.17</v>
      </c>
      <c r="C91" s="112">
        <v>8.0500000000000007</v>
      </c>
      <c r="D91" s="112">
        <v>13.92</v>
      </c>
      <c r="E91" s="112">
        <v>10.79</v>
      </c>
      <c r="F91" s="112">
        <v>5.87</v>
      </c>
      <c r="G91" s="112">
        <v>94.85</v>
      </c>
      <c r="H91" s="112">
        <v>24.39</v>
      </c>
      <c r="I91" s="112">
        <v>8.0399999999999991</v>
      </c>
      <c r="J91" s="112">
        <v>0.24</v>
      </c>
      <c r="K91" s="112">
        <v>61.78</v>
      </c>
      <c r="L91" s="112">
        <v>24.16</v>
      </c>
      <c r="M91" s="112">
        <v>67.64</v>
      </c>
      <c r="N91" s="112">
        <v>1.6</v>
      </c>
      <c r="O91" s="112">
        <v>0</v>
      </c>
      <c r="P91" s="112">
        <v>0.72</v>
      </c>
      <c r="Q91" s="112">
        <v>4.9800000000000004</v>
      </c>
    </row>
    <row r="92" spans="1:17" customFormat="1">
      <c r="A92" s="80">
        <v>45607.875</v>
      </c>
      <c r="B92" s="112">
        <v>5.19</v>
      </c>
      <c r="C92" s="112">
        <v>8.07</v>
      </c>
      <c r="D92" s="112">
        <v>13.95</v>
      </c>
      <c r="E92" s="112">
        <v>10.36</v>
      </c>
      <c r="F92" s="112">
        <v>6.01</v>
      </c>
      <c r="G92" s="112">
        <v>94.68</v>
      </c>
      <c r="H92" s="112">
        <v>24.39</v>
      </c>
      <c r="I92" s="112">
        <v>8.15</v>
      </c>
      <c r="J92" s="112">
        <v>0.16</v>
      </c>
      <c r="K92" s="112">
        <v>80.760000000000005</v>
      </c>
      <c r="L92" s="112">
        <v>24</v>
      </c>
      <c r="M92" s="112">
        <v>68.209999999999994</v>
      </c>
      <c r="N92" s="112">
        <v>1.6</v>
      </c>
      <c r="O92" s="112">
        <v>0</v>
      </c>
      <c r="P92" s="112">
        <v>0.72</v>
      </c>
      <c r="Q92" s="112">
        <v>4.97</v>
      </c>
    </row>
    <row r="93" spans="1:17" customFormat="1">
      <c r="A93" s="80">
        <v>45607.885416666664</v>
      </c>
      <c r="B93" s="112">
        <v>5.19</v>
      </c>
      <c r="C93" s="112">
        <v>8.09</v>
      </c>
      <c r="D93" s="112">
        <v>13.96</v>
      </c>
      <c r="E93" s="112">
        <v>10.78</v>
      </c>
      <c r="F93" s="112">
        <v>5.74</v>
      </c>
      <c r="G93" s="112">
        <v>94.68</v>
      </c>
      <c r="H93" s="112">
        <v>24.39</v>
      </c>
      <c r="I93" s="112">
        <v>8.1999999999999993</v>
      </c>
      <c r="J93" s="112">
        <v>0.1</v>
      </c>
      <c r="K93" s="112">
        <v>119.7</v>
      </c>
      <c r="L93" s="112">
        <v>23.87</v>
      </c>
      <c r="M93" s="112">
        <v>68.98</v>
      </c>
      <c r="N93" s="112">
        <v>1.6</v>
      </c>
      <c r="O93" s="112">
        <v>0</v>
      </c>
      <c r="P93" s="112">
        <v>0.72</v>
      </c>
      <c r="Q93" s="112">
        <v>4.9800000000000004</v>
      </c>
    </row>
    <row r="94" spans="1:17" customFormat="1">
      <c r="A94" s="80">
        <v>45607.895833333336</v>
      </c>
      <c r="B94" s="112">
        <v>5.21</v>
      </c>
      <c r="C94" s="112">
        <v>8.08</v>
      </c>
      <c r="D94" s="112">
        <v>13.97</v>
      </c>
      <c r="E94" s="112">
        <v>10.210000000000001</v>
      </c>
      <c r="F94" s="112">
        <v>5.79</v>
      </c>
      <c r="G94" s="112">
        <v>94.68</v>
      </c>
      <c r="H94" s="112">
        <v>24.39</v>
      </c>
      <c r="I94" s="112">
        <v>8.25</v>
      </c>
      <c r="J94" s="112">
        <v>7.0000000000000007E-2</v>
      </c>
      <c r="K94" s="112">
        <v>120.75</v>
      </c>
      <c r="L94" s="112">
        <v>23.41</v>
      </c>
      <c r="M94" s="112">
        <v>71.650000000000006</v>
      </c>
      <c r="N94" s="112">
        <v>1.8</v>
      </c>
      <c r="O94" s="112">
        <v>0</v>
      </c>
      <c r="P94" s="112">
        <v>0.73</v>
      </c>
      <c r="Q94" s="112">
        <v>4.99</v>
      </c>
    </row>
    <row r="95" spans="1:17" customFormat="1">
      <c r="A95" s="80">
        <v>45607.90625</v>
      </c>
      <c r="B95" s="112">
        <v>5.22</v>
      </c>
      <c r="C95" s="112">
        <v>8.06</v>
      </c>
      <c r="D95" s="112">
        <v>13.96</v>
      </c>
      <c r="E95" s="112">
        <v>10.77</v>
      </c>
      <c r="F95" s="112">
        <v>5.81</v>
      </c>
      <c r="G95" s="112">
        <v>87.36</v>
      </c>
      <c r="H95" s="112">
        <v>24.49</v>
      </c>
      <c r="I95" s="112">
        <v>8.33</v>
      </c>
      <c r="J95" s="112">
        <v>0.12</v>
      </c>
      <c r="K95" s="112">
        <v>148.27000000000001</v>
      </c>
      <c r="L95" s="112">
        <v>23.26</v>
      </c>
      <c r="M95" s="112">
        <v>73.09</v>
      </c>
      <c r="N95" s="112">
        <v>1.6</v>
      </c>
      <c r="O95" s="112">
        <v>0</v>
      </c>
      <c r="P95" s="112">
        <v>0.72</v>
      </c>
      <c r="Q95" s="112">
        <v>4.9800000000000004</v>
      </c>
    </row>
    <row r="96" spans="1:17" customFormat="1">
      <c r="A96" s="80">
        <v>45607.916666666664</v>
      </c>
      <c r="B96" s="112">
        <v>5.2</v>
      </c>
      <c r="C96" s="112">
        <v>8.06</v>
      </c>
      <c r="D96" s="112">
        <v>13.95</v>
      </c>
      <c r="E96" s="112">
        <v>10.94</v>
      </c>
      <c r="F96" s="112">
        <v>5.73</v>
      </c>
      <c r="G96" s="112">
        <v>87.19</v>
      </c>
      <c r="H96" s="112">
        <v>24.49</v>
      </c>
      <c r="I96" s="112">
        <v>8.33</v>
      </c>
      <c r="J96" s="112">
        <v>0.11</v>
      </c>
      <c r="K96" s="112">
        <v>186.01</v>
      </c>
      <c r="L96" s="112">
        <v>22.8</v>
      </c>
      <c r="M96" s="112">
        <v>75.61</v>
      </c>
      <c r="N96" s="112">
        <v>1.7</v>
      </c>
      <c r="O96" s="112">
        <v>0</v>
      </c>
      <c r="P96" s="112">
        <v>0.72</v>
      </c>
      <c r="Q96" s="112">
        <v>4.97</v>
      </c>
    </row>
    <row r="97" spans="1:22" customFormat="1">
      <c r="A97" s="80">
        <v>45607.927083333336</v>
      </c>
      <c r="B97" s="112">
        <v>5.2</v>
      </c>
      <c r="C97" s="112">
        <v>8.06</v>
      </c>
      <c r="D97" s="112">
        <v>13.95</v>
      </c>
      <c r="E97" s="112">
        <v>10.63</v>
      </c>
      <c r="F97" s="112">
        <v>5.56</v>
      </c>
      <c r="G97" s="112">
        <v>87.19</v>
      </c>
      <c r="H97" s="112">
        <v>24.49</v>
      </c>
      <c r="I97" s="112">
        <v>8.3800000000000008</v>
      </c>
      <c r="J97" s="112">
        <v>0.13</v>
      </c>
      <c r="K97" s="112">
        <v>157.35</v>
      </c>
      <c r="L97" s="112">
        <v>22.59</v>
      </c>
      <c r="M97" s="112">
        <v>77.150000000000006</v>
      </c>
      <c r="N97" s="112">
        <v>1.5</v>
      </c>
      <c r="O97" s="112">
        <v>0</v>
      </c>
      <c r="P97" s="112">
        <v>0.75</v>
      </c>
      <c r="Q97" s="112">
        <v>4.9800000000000004</v>
      </c>
    </row>
    <row r="98" spans="1:22" customFormat="1">
      <c r="A98" s="80">
        <v>45607.9375</v>
      </c>
      <c r="B98" s="112">
        <v>5.21</v>
      </c>
      <c r="C98" s="112">
        <v>8.0500000000000007</v>
      </c>
      <c r="D98" s="112">
        <v>13.95</v>
      </c>
      <c r="E98" s="112">
        <v>10.31</v>
      </c>
      <c r="F98" s="112">
        <v>5.74</v>
      </c>
      <c r="G98" s="112">
        <v>87.19</v>
      </c>
      <c r="H98" s="112">
        <v>24.49</v>
      </c>
      <c r="I98" s="112">
        <v>8.4499999999999993</v>
      </c>
      <c r="J98" s="112">
        <v>0.13</v>
      </c>
      <c r="K98" s="112">
        <v>143.51</v>
      </c>
      <c r="L98" s="112">
        <v>22.85</v>
      </c>
      <c r="M98" s="112">
        <v>75.48</v>
      </c>
      <c r="N98" s="112">
        <v>1.3</v>
      </c>
      <c r="O98" s="112">
        <v>0</v>
      </c>
      <c r="P98" s="112">
        <v>0.75</v>
      </c>
      <c r="Q98" s="112">
        <v>4.9800000000000004</v>
      </c>
    </row>
    <row r="99" spans="1:22" customFormat="1">
      <c r="A99" s="80">
        <v>45607.947916666664</v>
      </c>
      <c r="B99" s="112">
        <v>5.22</v>
      </c>
      <c r="C99" s="112">
        <v>8.0399999999999991</v>
      </c>
      <c r="D99" s="112">
        <v>13.96</v>
      </c>
      <c r="E99" s="112">
        <v>10.31</v>
      </c>
      <c r="F99" s="112">
        <v>5.81</v>
      </c>
      <c r="G99" s="112">
        <v>80.540000000000006</v>
      </c>
      <c r="H99" s="112">
        <v>26.73</v>
      </c>
      <c r="I99" s="112">
        <v>8.4600000000000009</v>
      </c>
      <c r="J99" s="112">
        <v>0.09</v>
      </c>
      <c r="K99" s="112">
        <v>146.87</v>
      </c>
      <c r="L99" s="112">
        <v>22.83</v>
      </c>
      <c r="M99" s="112">
        <v>75.069999999999993</v>
      </c>
      <c r="N99" s="112">
        <v>1.5</v>
      </c>
      <c r="O99" s="112">
        <v>0</v>
      </c>
      <c r="P99" s="112">
        <v>0.76</v>
      </c>
      <c r="Q99" s="112">
        <v>4.99</v>
      </c>
    </row>
    <row r="100" spans="1:22" customFormat="1">
      <c r="A100" s="80">
        <v>45607.958333333336</v>
      </c>
      <c r="B100" s="112">
        <v>5.23</v>
      </c>
      <c r="C100" s="112">
        <v>8.0500000000000007</v>
      </c>
      <c r="D100" s="112">
        <v>13.97</v>
      </c>
      <c r="E100" s="112">
        <v>10.19</v>
      </c>
      <c r="F100" s="112">
        <v>5.81</v>
      </c>
      <c r="G100" s="112">
        <v>80.38</v>
      </c>
      <c r="H100" s="112">
        <v>26.73</v>
      </c>
      <c r="I100" s="112">
        <v>8.4499999999999993</v>
      </c>
      <c r="J100" s="112">
        <v>0.08</v>
      </c>
      <c r="K100" s="112">
        <v>198.15</v>
      </c>
      <c r="L100" s="112">
        <v>22.39</v>
      </c>
      <c r="M100" s="112">
        <v>79.78</v>
      </c>
      <c r="N100" s="112">
        <v>1.7</v>
      </c>
      <c r="O100" s="112">
        <v>0</v>
      </c>
      <c r="P100" s="112">
        <v>0.76</v>
      </c>
      <c r="Q100" s="112">
        <v>4.9800000000000004</v>
      </c>
    </row>
    <row r="101" spans="1:22" customFormat="1">
      <c r="A101" s="80">
        <v>45607.96875</v>
      </c>
      <c r="B101" s="112">
        <v>5.22</v>
      </c>
      <c r="C101" s="112">
        <v>8.07</v>
      </c>
      <c r="D101" s="112">
        <v>13.97</v>
      </c>
      <c r="E101" s="112">
        <v>9.65</v>
      </c>
      <c r="F101" s="112">
        <v>5.71</v>
      </c>
      <c r="G101" s="112">
        <v>80.38</v>
      </c>
      <c r="H101" s="112">
        <v>26.73</v>
      </c>
      <c r="I101" s="112">
        <v>8.4499999999999993</v>
      </c>
      <c r="J101" s="112">
        <v>0.18</v>
      </c>
      <c r="K101" s="112">
        <v>185.89</v>
      </c>
      <c r="L101" s="112">
        <v>22.1</v>
      </c>
      <c r="M101" s="112">
        <v>80.59</v>
      </c>
      <c r="N101" s="112">
        <v>1.6</v>
      </c>
      <c r="O101" s="112">
        <v>0</v>
      </c>
      <c r="P101" s="112">
        <v>0.75</v>
      </c>
      <c r="Q101" s="112">
        <v>4.99</v>
      </c>
    </row>
    <row r="102" spans="1:22" customFormat="1">
      <c r="A102" s="80">
        <v>45607.979166666664</v>
      </c>
      <c r="B102" s="112">
        <v>5.22</v>
      </c>
      <c r="C102" s="112">
        <v>8.07</v>
      </c>
      <c r="D102" s="112">
        <v>13.97</v>
      </c>
      <c r="E102" s="112">
        <v>9.3699999999999992</v>
      </c>
      <c r="F102" s="112">
        <v>5.81</v>
      </c>
      <c r="G102" s="112">
        <v>80.38</v>
      </c>
      <c r="H102" s="112">
        <v>26.73</v>
      </c>
      <c r="I102" s="112">
        <v>8.4700000000000006</v>
      </c>
      <c r="J102" s="112">
        <v>0.1</v>
      </c>
      <c r="K102" s="112">
        <v>141.72</v>
      </c>
      <c r="L102" s="112">
        <v>22.05</v>
      </c>
      <c r="M102" s="112">
        <v>82.49</v>
      </c>
      <c r="N102" s="112">
        <v>1.4</v>
      </c>
      <c r="O102" s="112">
        <v>0</v>
      </c>
      <c r="P102" s="112">
        <v>0.75</v>
      </c>
      <c r="Q102" s="112">
        <v>4.9800000000000004</v>
      </c>
    </row>
    <row r="103" spans="1:22" customFormat="1">
      <c r="A103" s="80">
        <v>45607.989583333336</v>
      </c>
      <c r="B103" s="112">
        <v>5.22</v>
      </c>
      <c r="C103" s="112">
        <v>8.07</v>
      </c>
      <c r="D103" s="112">
        <v>13.97</v>
      </c>
      <c r="E103" s="112">
        <v>9.57</v>
      </c>
      <c r="F103" s="112">
        <v>5.57</v>
      </c>
      <c r="G103" s="112">
        <v>75.989999999999995</v>
      </c>
      <c r="H103" s="112">
        <v>27.12</v>
      </c>
      <c r="I103" s="112">
        <v>8.4600000000000009</v>
      </c>
      <c r="J103" s="112">
        <v>0.1</v>
      </c>
      <c r="K103" s="112">
        <v>112.9</v>
      </c>
      <c r="L103" s="112">
        <v>22.07</v>
      </c>
      <c r="M103" s="112">
        <v>79.23</v>
      </c>
      <c r="N103" s="112">
        <v>1.2</v>
      </c>
      <c r="O103" s="112">
        <v>0</v>
      </c>
      <c r="P103" s="112">
        <v>0.75</v>
      </c>
      <c r="Q103" s="112">
        <v>4.9800000000000004</v>
      </c>
    </row>
    <row r="104" spans="1:22" customFormat="1">
      <c r="A104" s="80">
        <v>45608</v>
      </c>
      <c r="B104" s="112">
        <v>5.23</v>
      </c>
      <c r="C104" s="112">
        <v>8.0399999999999991</v>
      </c>
      <c r="D104" s="112">
        <v>13.96</v>
      </c>
      <c r="E104" s="112">
        <v>9.1999999999999993</v>
      </c>
      <c r="F104" s="112">
        <v>5.61</v>
      </c>
      <c r="G104" s="112">
        <v>75.89</v>
      </c>
      <c r="H104" s="112">
        <v>27.12</v>
      </c>
      <c r="I104" s="112">
        <v>8.43</v>
      </c>
      <c r="J104" s="112">
        <v>0.1</v>
      </c>
      <c r="K104" s="112">
        <v>185.56</v>
      </c>
      <c r="L104" s="112">
        <v>22</v>
      </c>
      <c r="M104" s="112">
        <v>79.5</v>
      </c>
      <c r="N104" s="112">
        <v>1.6</v>
      </c>
      <c r="O104" s="112">
        <v>0</v>
      </c>
      <c r="P104" s="112">
        <v>0.75</v>
      </c>
      <c r="Q104" s="112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5.14</v>
      </c>
      <c r="C106" s="183">
        <f>MIN(C9:C104)</f>
        <v>8.0299999999999994</v>
      </c>
      <c r="D106" s="183">
        <f t="shared" ref="D106:Q106" si="0">MIN(D9:D104)</f>
        <v>13.91</v>
      </c>
      <c r="E106" s="183">
        <f t="shared" si="0"/>
        <v>8.0399999999999991</v>
      </c>
      <c r="F106" s="183">
        <f t="shared" si="0"/>
        <v>5.43</v>
      </c>
      <c r="G106" s="183">
        <f t="shared" si="0"/>
        <v>51.81</v>
      </c>
      <c r="H106" s="183">
        <f t="shared" si="0"/>
        <v>20.56</v>
      </c>
      <c r="I106" s="183">
        <f t="shared" si="0"/>
        <v>6.3</v>
      </c>
      <c r="J106" s="183">
        <f t="shared" si="0"/>
        <v>0.04</v>
      </c>
      <c r="K106" s="183">
        <f t="shared" si="0"/>
        <v>11.29</v>
      </c>
      <c r="L106" s="183">
        <f t="shared" si="0"/>
        <v>20.99</v>
      </c>
      <c r="M106" s="183">
        <f t="shared" si="0"/>
        <v>40.700000000000003</v>
      </c>
      <c r="N106" s="183">
        <f t="shared" si="0"/>
        <v>1.2</v>
      </c>
      <c r="O106" s="183">
        <f t="shared" si="0"/>
        <v>0</v>
      </c>
      <c r="P106" s="183">
        <f t="shared" si="0"/>
        <v>0.56000000000000005</v>
      </c>
      <c r="Q106" s="183">
        <f t="shared" si="0"/>
        <v>4.29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5.24</v>
      </c>
      <c r="C107" s="184">
        <f t="shared" ref="C107:Q107" si="1">MAX(C9:C104)</f>
        <v>8.11</v>
      </c>
      <c r="D107" s="184">
        <f t="shared" si="1"/>
        <v>13.99</v>
      </c>
      <c r="E107" s="184">
        <f t="shared" si="1"/>
        <v>12.45</v>
      </c>
      <c r="F107" s="184">
        <f t="shared" si="1"/>
        <v>16.440000000000001</v>
      </c>
      <c r="G107" s="184">
        <f t="shared" si="1"/>
        <v>102.45</v>
      </c>
      <c r="H107" s="184">
        <f t="shared" si="1"/>
        <v>35.03</v>
      </c>
      <c r="I107" s="184">
        <f t="shared" si="1"/>
        <v>8.6</v>
      </c>
      <c r="J107" s="184">
        <f t="shared" si="1"/>
        <v>0.97</v>
      </c>
      <c r="K107" s="184">
        <f t="shared" si="1"/>
        <v>224.72</v>
      </c>
      <c r="L107" s="184">
        <f t="shared" si="1"/>
        <v>31.29</v>
      </c>
      <c r="M107" s="184">
        <f t="shared" si="1"/>
        <v>82.54</v>
      </c>
      <c r="N107" s="184">
        <f t="shared" si="1"/>
        <v>522.9</v>
      </c>
      <c r="O107" s="184">
        <f t="shared" si="1"/>
        <v>0</v>
      </c>
      <c r="P107" s="184">
        <f t="shared" si="1"/>
        <v>0.76</v>
      </c>
      <c r="Q107" s="184">
        <f t="shared" si="1"/>
        <v>4.99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5.1876041666666692</v>
      </c>
      <c r="C108" s="183">
        <f t="shared" ref="C108:Q108" si="2">AVERAGE(C9:C104)</f>
        <v>8.0714583333333287</v>
      </c>
      <c r="D108" s="183">
        <f t="shared" si="2"/>
        <v>13.945208333333348</v>
      </c>
      <c r="E108" s="183">
        <f t="shared" si="2"/>
        <v>10.061041666666666</v>
      </c>
      <c r="F108" s="183">
        <f t="shared" si="2"/>
        <v>7.5658333333333312</v>
      </c>
      <c r="G108" s="183">
        <f t="shared" si="2"/>
        <v>74.202708333333348</v>
      </c>
      <c r="H108" s="183">
        <f t="shared" si="2"/>
        <v>26.451041666666644</v>
      </c>
      <c r="I108" s="183">
        <f t="shared" si="2"/>
        <v>7.7561458333333348</v>
      </c>
      <c r="J108" s="183">
        <f t="shared" si="2"/>
        <v>0.36177083333333343</v>
      </c>
      <c r="K108" s="183">
        <f t="shared" si="2"/>
        <v>75.888854166666661</v>
      </c>
      <c r="L108" s="183">
        <f t="shared" si="2"/>
        <v>25.456979166666674</v>
      </c>
      <c r="M108" s="183">
        <f t="shared" si="2"/>
        <v>63.608124999999944</v>
      </c>
      <c r="N108" s="183">
        <f t="shared" si="2"/>
        <v>100.95520833333337</v>
      </c>
      <c r="O108" s="183">
        <f t="shared" si="2"/>
        <v>0</v>
      </c>
      <c r="P108" s="183">
        <f t="shared" si="2"/>
        <v>0.66552083333333345</v>
      </c>
      <c r="Q108" s="183">
        <f t="shared" si="2"/>
        <v>4.6236458333333408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2.3741803756539524E-2</v>
      </c>
      <c r="C109" s="183">
        <f t="shared" ref="C109:Q109" si="3">STDEV(C9:C104)</f>
        <v>1.8409332110968211E-2</v>
      </c>
      <c r="D109" s="183">
        <f t="shared" si="3"/>
        <v>2.0722688642196386E-2</v>
      </c>
      <c r="E109" s="183">
        <f t="shared" si="3"/>
        <v>0.87694503118452527</v>
      </c>
      <c r="F109" s="183">
        <f t="shared" si="3"/>
        <v>3.0478018538531804</v>
      </c>
      <c r="G109" s="183">
        <f t="shared" si="3"/>
        <v>12.81631119268401</v>
      </c>
      <c r="H109" s="183">
        <f t="shared" si="3"/>
        <v>3.09386233802792</v>
      </c>
      <c r="I109" s="183">
        <f t="shared" si="3"/>
        <v>0.6900257352815623</v>
      </c>
      <c r="J109" s="183">
        <f t="shared" si="3"/>
        <v>0.2177153853890158</v>
      </c>
      <c r="K109" s="183">
        <f t="shared" si="3"/>
        <v>49.88453670057627</v>
      </c>
      <c r="L109" s="183">
        <f t="shared" si="3"/>
        <v>3.1888321966683026</v>
      </c>
      <c r="M109" s="183">
        <f t="shared" si="3"/>
        <v>13.184521492025858</v>
      </c>
      <c r="N109" s="183">
        <f t="shared" si="3"/>
        <v>158.52578463341652</v>
      </c>
      <c r="O109" s="183">
        <f t="shared" si="3"/>
        <v>0</v>
      </c>
      <c r="P109" s="183">
        <f t="shared" si="3"/>
        <v>4.8641974329445975E-2</v>
      </c>
      <c r="Q109" s="183">
        <f t="shared" si="3"/>
        <v>0.33397484869578653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45608.010416666664</v>
      </c>
      <c r="B9" s="112">
        <v>5.25</v>
      </c>
      <c r="C9" s="112">
        <v>8.06</v>
      </c>
      <c r="D9" s="112">
        <v>13.99</v>
      </c>
      <c r="E9" s="112">
        <v>9.3699999999999992</v>
      </c>
      <c r="F9" s="112">
        <v>5.68</v>
      </c>
      <c r="G9" s="112">
        <v>75.89</v>
      </c>
      <c r="H9" s="112">
        <v>27.12</v>
      </c>
      <c r="I9" s="112">
        <v>8.39</v>
      </c>
      <c r="J9" s="112">
        <v>0.14000000000000001</v>
      </c>
      <c r="K9" s="112">
        <v>180.56</v>
      </c>
      <c r="L9" s="112">
        <v>21.65</v>
      </c>
      <c r="M9" s="112">
        <v>83.42</v>
      </c>
      <c r="N9" s="112">
        <v>1.5</v>
      </c>
      <c r="O9" s="112">
        <v>0</v>
      </c>
      <c r="P9" s="112">
        <v>0.74</v>
      </c>
      <c r="Q9" s="112">
        <v>4.99</v>
      </c>
    </row>
    <row r="10" spans="1:21" customFormat="1">
      <c r="A10" s="80">
        <v>45608.020833333336</v>
      </c>
      <c r="B10" s="112">
        <v>5.27</v>
      </c>
      <c r="C10" s="112">
        <v>8.0500000000000007</v>
      </c>
      <c r="D10" s="112">
        <v>14</v>
      </c>
      <c r="E10" s="112">
        <v>9.25</v>
      </c>
      <c r="F10" s="112">
        <v>5.62</v>
      </c>
      <c r="G10" s="112">
        <v>75.89</v>
      </c>
      <c r="H10" s="112">
        <v>27.12</v>
      </c>
      <c r="I10" s="112">
        <v>8.34</v>
      </c>
      <c r="J10" s="112">
        <v>0.13</v>
      </c>
      <c r="K10" s="112">
        <v>174.95</v>
      </c>
      <c r="L10" s="112">
        <v>21.46</v>
      </c>
      <c r="M10" s="112">
        <v>84.56</v>
      </c>
      <c r="N10" s="112">
        <v>1.4</v>
      </c>
      <c r="O10" s="112">
        <v>0</v>
      </c>
      <c r="P10" s="112">
        <v>0.73</v>
      </c>
      <c r="Q10" s="112">
        <v>4.9800000000000004</v>
      </c>
    </row>
    <row r="11" spans="1:21" customFormat="1">
      <c r="A11" s="80">
        <v>45608.03125</v>
      </c>
      <c r="B11" s="112">
        <v>5.28</v>
      </c>
      <c r="C11" s="112">
        <v>8.0299999999999994</v>
      </c>
      <c r="D11" s="112">
        <v>14</v>
      </c>
      <c r="E11" s="112">
        <v>9.34</v>
      </c>
      <c r="F11" s="112">
        <v>5.49</v>
      </c>
      <c r="G11" s="112">
        <v>70.81</v>
      </c>
      <c r="H11" s="112">
        <v>27.84</v>
      </c>
      <c r="I11" s="112">
        <v>8.2899999999999991</v>
      </c>
      <c r="J11" s="112">
        <v>0.14000000000000001</v>
      </c>
      <c r="K11" s="112">
        <v>154.22</v>
      </c>
      <c r="L11" s="112">
        <v>21.37</v>
      </c>
      <c r="M11" s="112">
        <v>83.72</v>
      </c>
      <c r="N11" s="112">
        <v>1.4</v>
      </c>
      <c r="O11" s="112">
        <v>0</v>
      </c>
      <c r="P11" s="112">
        <v>0.73</v>
      </c>
      <c r="Q11" s="112">
        <v>4.97</v>
      </c>
    </row>
    <row r="12" spans="1:21" customFormat="1">
      <c r="A12" s="80">
        <v>45608.041666666664</v>
      </c>
      <c r="B12" s="112">
        <v>5.27</v>
      </c>
      <c r="C12" s="112">
        <v>8.0500000000000007</v>
      </c>
      <c r="D12" s="112">
        <v>14</v>
      </c>
      <c r="E12" s="112">
        <v>9.33</v>
      </c>
      <c r="F12" s="112">
        <v>5.58</v>
      </c>
      <c r="G12" s="112">
        <v>70.69</v>
      </c>
      <c r="H12" s="112">
        <v>27.84</v>
      </c>
      <c r="I12" s="112">
        <v>8.24</v>
      </c>
      <c r="J12" s="112">
        <v>0.13</v>
      </c>
      <c r="K12" s="112">
        <v>191.97</v>
      </c>
      <c r="L12" s="112">
        <v>21.32</v>
      </c>
      <c r="M12" s="112">
        <v>82.93</v>
      </c>
      <c r="N12" s="112">
        <v>1.4</v>
      </c>
      <c r="O12" s="112">
        <v>0</v>
      </c>
      <c r="P12" s="112">
        <v>0.73</v>
      </c>
      <c r="Q12" s="112">
        <v>4.97</v>
      </c>
    </row>
    <row r="13" spans="1:21" customFormat="1">
      <c r="A13" s="80">
        <v>45608.052083333336</v>
      </c>
      <c r="B13" s="112">
        <v>5.26</v>
      </c>
      <c r="C13" s="112">
        <v>8.08</v>
      </c>
      <c r="D13" s="112">
        <v>14</v>
      </c>
      <c r="E13" s="112">
        <v>9.31</v>
      </c>
      <c r="F13" s="112">
        <v>5.83</v>
      </c>
      <c r="G13" s="112">
        <v>70.69</v>
      </c>
      <c r="H13" s="112">
        <v>27.84</v>
      </c>
      <c r="I13" s="112">
        <v>8.15</v>
      </c>
      <c r="J13" s="112">
        <v>0.15</v>
      </c>
      <c r="K13" s="112">
        <v>203.31</v>
      </c>
      <c r="L13" s="112">
        <v>21.03</v>
      </c>
      <c r="M13" s="112">
        <v>84.98</v>
      </c>
      <c r="N13" s="112">
        <v>1.5</v>
      </c>
      <c r="O13" s="112">
        <v>0</v>
      </c>
      <c r="P13" s="112">
        <v>0.72</v>
      </c>
      <c r="Q13" s="112">
        <v>5</v>
      </c>
    </row>
    <row r="14" spans="1:21" customFormat="1">
      <c r="A14" s="80">
        <v>45608.0625</v>
      </c>
      <c r="B14" s="112">
        <v>5.26</v>
      </c>
      <c r="C14" s="112">
        <v>8.07</v>
      </c>
      <c r="D14" s="112">
        <v>14</v>
      </c>
      <c r="E14" s="112">
        <v>9.36</v>
      </c>
      <c r="F14" s="112">
        <v>5.81</v>
      </c>
      <c r="G14" s="112">
        <v>70.69</v>
      </c>
      <c r="H14" s="112">
        <v>27.84</v>
      </c>
      <c r="I14" s="112">
        <v>8.1</v>
      </c>
      <c r="J14" s="112">
        <v>0.16</v>
      </c>
      <c r="K14" s="112">
        <v>195.29</v>
      </c>
      <c r="L14" s="112">
        <v>20.79</v>
      </c>
      <c r="M14" s="112">
        <v>88.89</v>
      </c>
      <c r="N14" s="112">
        <v>1.5</v>
      </c>
      <c r="O14" s="112">
        <v>0</v>
      </c>
      <c r="P14" s="112">
        <v>0.71</v>
      </c>
      <c r="Q14" s="112">
        <v>4.99</v>
      </c>
    </row>
    <row r="15" spans="1:21" customFormat="1">
      <c r="A15" s="80">
        <v>45608.072916666664</v>
      </c>
      <c r="B15" s="112">
        <v>5.26</v>
      </c>
      <c r="C15" s="112">
        <v>8.09</v>
      </c>
      <c r="D15" s="112">
        <v>14.01</v>
      </c>
      <c r="E15" s="112">
        <v>9.15</v>
      </c>
      <c r="F15" s="112">
        <v>5.73</v>
      </c>
      <c r="G15" s="112">
        <v>65.03</v>
      </c>
      <c r="H15" s="112">
        <v>26.8</v>
      </c>
      <c r="I15" s="112">
        <v>8.02</v>
      </c>
      <c r="J15" s="112">
        <v>0.11</v>
      </c>
      <c r="K15" s="112">
        <v>204.59</v>
      </c>
      <c r="L15" s="112">
        <v>20.57</v>
      </c>
      <c r="M15" s="112">
        <v>90.18</v>
      </c>
      <c r="N15" s="112">
        <v>1.4</v>
      </c>
      <c r="O15" s="112">
        <v>0</v>
      </c>
      <c r="P15" s="112">
        <v>0.69</v>
      </c>
      <c r="Q15" s="112">
        <v>4.9800000000000004</v>
      </c>
    </row>
    <row r="16" spans="1:21" customFormat="1">
      <c r="A16" s="80">
        <v>45608.083333333336</v>
      </c>
      <c r="B16" s="112">
        <v>5.25</v>
      </c>
      <c r="C16" s="112">
        <v>8.09</v>
      </c>
      <c r="D16" s="112">
        <v>14.01</v>
      </c>
      <c r="E16" s="112">
        <v>9.42</v>
      </c>
      <c r="F16" s="112">
        <v>5.63</v>
      </c>
      <c r="G16" s="112">
        <v>64.900000000000006</v>
      </c>
      <c r="H16" s="112">
        <v>26.8</v>
      </c>
      <c r="I16" s="112">
        <v>7.91</v>
      </c>
      <c r="J16" s="112">
        <v>0.17</v>
      </c>
      <c r="K16" s="112">
        <v>207.45</v>
      </c>
      <c r="L16" s="112">
        <v>20.37</v>
      </c>
      <c r="M16" s="112">
        <v>90.03</v>
      </c>
      <c r="N16" s="112">
        <v>1.5</v>
      </c>
      <c r="O16" s="112">
        <v>0</v>
      </c>
      <c r="P16" s="112">
        <v>0.69</v>
      </c>
      <c r="Q16" s="112">
        <v>4.99</v>
      </c>
    </row>
    <row r="17" spans="1:17" customFormat="1">
      <c r="A17" s="80">
        <v>45608.09375</v>
      </c>
      <c r="B17" s="112">
        <v>5.26</v>
      </c>
      <c r="C17" s="112">
        <v>8.08</v>
      </c>
      <c r="D17" s="112">
        <v>14.01</v>
      </c>
      <c r="E17" s="112">
        <v>7.74</v>
      </c>
      <c r="F17" s="112">
        <v>5.81</v>
      </c>
      <c r="G17" s="112">
        <v>64.900000000000006</v>
      </c>
      <c r="H17" s="112">
        <v>26.8</v>
      </c>
      <c r="I17" s="112">
        <v>7.86</v>
      </c>
      <c r="J17" s="112">
        <v>0.13</v>
      </c>
      <c r="K17" s="112">
        <v>186.57</v>
      </c>
      <c r="L17" s="112">
        <v>20.41</v>
      </c>
      <c r="M17" s="112">
        <v>89.84</v>
      </c>
      <c r="N17" s="112">
        <v>1.5</v>
      </c>
      <c r="O17" s="112">
        <v>0</v>
      </c>
      <c r="P17" s="112">
        <v>0.69</v>
      </c>
      <c r="Q17" s="112">
        <v>4.99</v>
      </c>
    </row>
    <row r="18" spans="1:17" customFormat="1">
      <c r="A18" s="80">
        <v>45608.104166666664</v>
      </c>
      <c r="B18" s="112">
        <v>5.25</v>
      </c>
      <c r="C18" s="112">
        <v>8.09</v>
      </c>
      <c r="D18" s="112">
        <v>14.01</v>
      </c>
      <c r="E18" s="112">
        <v>9.5500000000000007</v>
      </c>
      <c r="F18" s="112">
        <v>5.74</v>
      </c>
      <c r="G18" s="112">
        <v>64.900000000000006</v>
      </c>
      <c r="H18" s="112">
        <v>26.8</v>
      </c>
      <c r="I18" s="112">
        <v>7.8</v>
      </c>
      <c r="J18" s="112">
        <v>0.12</v>
      </c>
      <c r="K18" s="112">
        <v>221.06</v>
      </c>
      <c r="L18" s="112">
        <v>20.14</v>
      </c>
      <c r="M18" s="112">
        <v>89.78</v>
      </c>
      <c r="N18" s="112">
        <v>1.4</v>
      </c>
      <c r="O18" s="112">
        <v>0</v>
      </c>
      <c r="P18" s="112">
        <v>0.68</v>
      </c>
      <c r="Q18" s="112">
        <v>4.97</v>
      </c>
    </row>
    <row r="19" spans="1:17" customFormat="1">
      <c r="A19" s="80">
        <v>45608.114583333336</v>
      </c>
      <c r="B19" s="112">
        <v>5.25</v>
      </c>
      <c r="C19" s="112">
        <v>8.11</v>
      </c>
      <c r="D19" s="112">
        <v>14.02</v>
      </c>
      <c r="E19" s="112">
        <v>9.14</v>
      </c>
      <c r="F19" s="112">
        <v>5.54</v>
      </c>
      <c r="G19" s="112">
        <v>59.29</v>
      </c>
      <c r="H19" s="112">
        <v>24.09</v>
      </c>
      <c r="I19" s="112">
        <v>7.76</v>
      </c>
      <c r="J19" s="112">
        <v>0.12</v>
      </c>
      <c r="K19" s="112">
        <v>190.17</v>
      </c>
      <c r="L19" s="112">
        <v>20.07</v>
      </c>
      <c r="M19" s="112">
        <v>89.48</v>
      </c>
      <c r="N19" s="112">
        <v>1.4</v>
      </c>
      <c r="O19" s="112">
        <v>0</v>
      </c>
      <c r="P19" s="112">
        <v>0.67</v>
      </c>
      <c r="Q19" s="112">
        <v>4.99</v>
      </c>
    </row>
    <row r="20" spans="1:17" customFormat="1">
      <c r="A20" s="80">
        <v>45608.125</v>
      </c>
      <c r="B20" s="112">
        <v>5.26</v>
      </c>
      <c r="C20" s="112">
        <v>8.08</v>
      </c>
      <c r="D20" s="112">
        <v>14</v>
      </c>
      <c r="E20" s="112">
        <v>9.1300000000000008</v>
      </c>
      <c r="F20" s="112">
        <v>5.58</v>
      </c>
      <c r="G20" s="112">
        <v>59.16</v>
      </c>
      <c r="H20" s="112">
        <v>24.09</v>
      </c>
      <c r="I20" s="112">
        <v>7.72</v>
      </c>
      <c r="J20" s="112">
        <v>0.13</v>
      </c>
      <c r="K20" s="112">
        <v>6.27</v>
      </c>
      <c r="L20" s="112">
        <v>20.170000000000002</v>
      </c>
      <c r="M20" s="112">
        <v>88.22</v>
      </c>
      <c r="N20" s="112">
        <v>1.3</v>
      </c>
      <c r="O20" s="112">
        <v>0</v>
      </c>
      <c r="P20" s="112">
        <v>0.68</v>
      </c>
      <c r="Q20" s="112">
        <v>4.99</v>
      </c>
    </row>
    <row r="21" spans="1:17" customFormat="1">
      <c r="A21" s="80">
        <v>45608.135416666664</v>
      </c>
      <c r="B21" s="112">
        <v>5.25</v>
      </c>
      <c r="C21" s="112">
        <v>8.07</v>
      </c>
      <c r="D21" s="112">
        <v>13.99</v>
      </c>
      <c r="E21" s="112">
        <v>9.27</v>
      </c>
      <c r="F21" s="112">
        <v>5.77</v>
      </c>
      <c r="G21" s="112">
        <v>59.16</v>
      </c>
      <c r="H21" s="112">
        <v>24.09</v>
      </c>
      <c r="I21" s="112">
        <v>7.69</v>
      </c>
      <c r="J21" s="112">
        <v>0.1</v>
      </c>
      <c r="K21" s="112">
        <v>38.43</v>
      </c>
      <c r="L21" s="112">
        <v>20.28</v>
      </c>
      <c r="M21" s="112">
        <v>86.26</v>
      </c>
      <c r="N21" s="112">
        <v>1.3</v>
      </c>
      <c r="O21" s="112">
        <v>0</v>
      </c>
      <c r="P21" s="112">
        <v>0.67</v>
      </c>
      <c r="Q21" s="112">
        <v>4.99</v>
      </c>
    </row>
    <row r="22" spans="1:17" customFormat="1">
      <c r="A22" s="80">
        <v>45608.145833333336</v>
      </c>
      <c r="B22" s="112">
        <v>5.24</v>
      </c>
      <c r="C22" s="112">
        <v>8.07</v>
      </c>
      <c r="D22" s="112">
        <v>13.98</v>
      </c>
      <c r="E22" s="112">
        <v>9.44</v>
      </c>
      <c r="F22" s="112">
        <v>5.41</v>
      </c>
      <c r="G22" s="112">
        <v>59.16</v>
      </c>
      <c r="H22" s="112">
        <v>24.09</v>
      </c>
      <c r="I22" s="112">
        <v>7.68</v>
      </c>
      <c r="J22" s="112">
        <v>0.08</v>
      </c>
      <c r="K22" s="112">
        <v>43.97</v>
      </c>
      <c r="L22" s="112">
        <v>20.23</v>
      </c>
      <c r="M22" s="112">
        <v>85.84</v>
      </c>
      <c r="N22" s="112">
        <v>1.4</v>
      </c>
      <c r="O22" s="112">
        <v>0</v>
      </c>
      <c r="P22" s="112">
        <v>0.67</v>
      </c>
      <c r="Q22" s="112">
        <v>4.9800000000000004</v>
      </c>
    </row>
    <row r="23" spans="1:17" customFormat="1">
      <c r="A23" s="80">
        <v>45608.15625</v>
      </c>
      <c r="B23" s="112">
        <v>5.23</v>
      </c>
      <c r="C23" s="112">
        <v>8.08</v>
      </c>
      <c r="D23" s="112">
        <v>13.98</v>
      </c>
      <c r="E23" s="112">
        <v>9.7100000000000009</v>
      </c>
      <c r="F23" s="112">
        <v>5.61</v>
      </c>
      <c r="G23" s="112">
        <v>60.91</v>
      </c>
      <c r="H23" s="112">
        <v>23.24</v>
      </c>
      <c r="I23" s="112">
        <v>7.65</v>
      </c>
      <c r="J23" s="112">
        <v>0.02</v>
      </c>
      <c r="K23" s="112">
        <v>320.62</v>
      </c>
      <c r="L23" s="112">
        <v>20.16</v>
      </c>
      <c r="M23" s="112">
        <v>86.03</v>
      </c>
      <c r="N23" s="112">
        <v>1.4</v>
      </c>
      <c r="O23" s="112">
        <v>0</v>
      </c>
      <c r="P23" s="112">
        <v>0.65</v>
      </c>
      <c r="Q23" s="112">
        <v>4.97</v>
      </c>
    </row>
    <row r="24" spans="1:17" customFormat="1">
      <c r="A24" s="80">
        <v>45608.166666666664</v>
      </c>
      <c r="B24" s="112">
        <v>5.24</v>
      </c>
      <c r="C24" s="112">
        <v>8.08</v>
      </c>
      <c r="D24" s="112">
        <v>13.99</v>
      </c>
      <c r="E24" s="112">
        <v>9.4600000000000009</v>
      </c>
      <c r="F24" s="112">
        <v>5.63</v>
      </c>
      <c r="G24" s="112">
        <v>60.97</v>
      </c>
      <c r="H24" s="112">
        <v>23.24</v>
      </c>
      <c r="I24" s="112">
        <v>7.65</v>
      </c>
      <c r="J24" s="112">
        <v>0.15</v>
      </c>
      <c r="K24" s="112">
        <v>41.32</v>
      </c>
      <c r="L24" s="112">
        <v>20.21</v>
      </c>
      <c r="M24" s="112">
        <v>85.52</v>
      </c>
      <c r="N24" s="112">
        <v>1.3</v>
      </c>
      <c r="O24" s="112">
        <v>0</v>
      </c>
      <c r="P24" s="112">
        <v>0.64</v>
      </c>
      <c r="Q24" s="112">
        <v>4.97</v>
      </c>
    </row>
    <row r="25" spans="1:17" customFormat="1">
      <c r="A25" s="80">
        <v>45608.177083333336</v>
      </c>
      <c r="B25" s="112">
        <v>5.26</v>
      </c>
      <c r="C25" s="112">
        <v>8.06</v>
      </c>
      <c r="D25" s="112">
        <v>14</v>
      </c>
      <c r="E25" s="112">
        <v>9.68</v>
      </c>
      <c r="F25" s="112">
        <v>5.6</v>
      </c>
      <c r="G25" s="112">
        <v>60.97</v>
      </c>
      <c r="H25" s="112">
        <v>23.24</v>
      </c>
      <c r="I25" s="112">
        <v>7.72</v>
      </c>
      <c r="J25" s="112">
        <v>0.2</v>
      </c>
      <c r="K25" s="112">
        <v>41.23</v>
      </c>
      <c r="L25" s="112">
        <v>20.22</v>
      </c>
      <c r="M25" s="112">
        <v>85.43</v>
      </c>
      <c r="N25" s="112">
        <v>1.4</v>
      </c>
      <c r="O25" s="112">
        <v>0</v>
      </c>
      <c r="P25" s="112">
        <v>0.67</v>
      </c>
      <c r="Q25" s="112">
        <v>4.9800000000000004</v>
      </c>
    </row>
    <row r="26" spans="1:17" customFormat="1">
      <c r="A26" s="80">
        <v>45608.1875</v>
      </c>
      <c r="B26" s="112">
        <v>5.26</v>
      </c>
      <c r="C26" s="112">
        <v>8.0500000000000007</v>
      </c>
      <c r="D26" s="112">
        <v>14</v>
      </c>
      <c r="E26" s="112">
        <v>9.64</v>
      </c>
      <c r="F26" s="112">
        <v>5.77</v>
      </c>
      <c r="G26" s="112">
        <v>60.97</v>
      </c>
      <c r="H26" s="112">
        <v>23.24</v>
      </c>
      <c r="I26" s="112">
        <v>7.8</v>
      </c>
      <c r="J26" s="112">
        <v>0.27</v>
      </c>
      <c r="K26" s="112">
        <v>39.29</v>
      </c>
      <c r="L26" s="112">
        <v>20.170000000000002</v>
      </c>
      <c r="M26" s="112">
        <v>85.56</v>
      </c>
      <c r="N26" s="112">
        <v>1.4</v>
      </c>
      <c r="O26" s="112">
        <v>0</v>
      </c>
      <c r="P26" s="112">
        <v>0.67</v>
      </c>
      <c r="Q26" s="112">
        <v>4.97</v>
      </c>
    </row>
    <row r="27" spans="1:17" customFormat="1">
      <c r="A27" s="80">
        <v>45608.197916666664</v>
      </c>
      <c r="B27" s="112">
        <v>5.26</v>
      </c>
      <c r="C27" s="112">
        <v>8.07</v>
      </c>
      <c r="D27" s="112">
        <v>14.01</v>
      </c>
      <c r="E27" s="112">
        <v>9.6999999999999993</v>
      </c>
      <c r="F27" s="112">
        <v>5.76</v>
      </c>
      <c r="G27" s="112">
        <v>72.59</v>
      </c>
      <c r="H27" s="112">
        <v>26.78</v>
      </c>
      <c r="I27" s="112">
        <v>7.89</v>
      </c>
      <c r="J27" s="112">
        <v>0.27</v>
      </c>
      <c r="K27" s="112">
        <v>34.96</v>
      </c>
      <c r="L27" s="112">
        <v>20.149999999999999</v>
      </c>
      <c r="M27" s="112">
        <v>84.93</v>
      </c>
      <c r="N27" s="112">
        <v>1.4</v>
      </c>
      <c r="O27" s="112">
        <v>0</v>
      </c>
      <c r="P27" s="112">
        <v>0.69</v>
      </c>
      <c r="Q27" s="112">
        <v>4.97</v>
      </c>
    </row>
    <row r="28" spans="1:17" customFormat="1">
      <c r="A28" s="80">
        <v>45608.208333333336</v>
      </c>
      <c r="B28" s="112">
        <v>5.27</v>
      </c>
      <c r="C28" s="112">
        <v>8.07</v>
      </c>
      <c r="D28" s="112">
        <v>14.01</v>
      </c>
      <c r="E28" s="112">
        <v>9.77</v>
      </c>
      <c r="F28" s="112">
        <v>5.6</v>
      </c>
      <c r="G28" s="112">
        <v>72.86</v>
      </c>
      <c r="H28" s="112">
        <v>26.78</v>
      </c>
      <c r="I28" s="112">
        <v>7.95</v>
      </c>
      <c r="J28" s="112">
        <v>0.19</v>
      </c>
      <c r="K28" s="112">
        <v>13.42</v>
      </c>
      <c r="L28" s="112">
        <v>20.100000000000001</v>
      </c>
      <c r="M28" s="112">
        <v>85.04</v>
      </c>
      <c r="N28" s="112">
        <v>1.4</v>
      </c>
      <c r="O28" s="112">
        <v>0</v>
      </c>
      <c r="P28" s="112">
        <v>0.69</v>
      </c>
      <c r="Q28" s="112">
        <v>4.97</v>
      </c>
    </row>
    <row r="29" spans="1:17" customFormat="1">
      <c r="A29" s="80">
        <v>45608.21875</v>
      </c>
      <c r="B29" s="112">
        <v>5.27</v>
      </c>
      <c r="C29" s="112">
        <v>8.07</v>
      </c>
      <c r="D29" s="112">
        <v>14.01</v>
      </c>
      <c r="E29" s="112">
        <v>9.1999999999999993</v>
      </c>
      <c r="F29" s="112">
        <v>5.5</v>
      </c>
      <c r="G29" s="112">
        <v>72.86</v>
      </c>
      <c r="H29" s="112">
        <v>26.78</v>
      </c>
      <c r="I29" s="112">
        <v>8.01</v>
      </c>
      <c r="J29" s="112">
        <v>0.14000000000000001</v>
      </c>
      <c r="K29" s="112">
        <v>43.55</v>
      </c>
      <c r="L29" s="112">
        <v>20.07</v>
      </c>
      <c r="M29" s="112">
        <v>85.55</v>
      </c>
      <c r="N29" s="112">
        <v>1.4</v>
      </c>
      <c r="O29" s="112">
        <v>0</v>
      </c>
      <c r="P29" s="112">
        <v>0.7</v>
      </c>
      <c r="Q29" s="112">
        <v>4.97</v>
      </c>
    </row>
    <row r="30" spans="1:17" customFormat="1">
      <c r="A30" s="80">
        <v>45608.229166666664</v>
      </c>
      <c r="B30" s="112">
        <v>5.25</v>
      </c>
      <c r="C30" s="112">
        <v>8.1</v>
      </c>
      <c r="D30" s="112">
        <v>14.01</v>
      </c>
      <c r="E30" s="112">
        <v>9.85</v>
      </c>
      <c r="F30" s="112">
        <v>5.55</v>
      </c>
      <c r="G30" s="112">
        <v>72.86</v>
      </c>
      <c r="H30" s="112">
        <v>26.78</v>
      </c>
      <c r="I30" s="112">
        <v>8.14</v>
      </c>
      <c r="J30" s="112">
        <v>0.24</v>
      </c>
      <c r="K30" s="112">
        <v>16.170000000000002</v>
      </c>
      <c r="L30" s="112">
        <v>19.98</v>
      </c>
      <c r="M30" s="112">
        <v>85.37</v>
      </c>
      <c r="N30" s="112">
        <v>1.4</v>
      </c>
      <c r="O30" s="112">
        <v>0</v>
      </c>
      <c r="P30" s="112">
        <v>0.72</v>
      </c>
      <c r="Q30" s="112">
        <v>4.97</v>
      </c>
    </row>
    <row r="31" spans="1:17" customFormat="1">
      <c r="A31" s="80">
        <v>45608.239583333336</v>
      </c>
      <c r="B31" s="112">
        <v>5.26</v>
      </c>
      <c r="C31" s="112">
        <v>8.11</v>
      </c>
      <c r="D31" s="112">
        <v>14.03</v>
      </c>
      <c r="E31" s="112">
        <v>9.6199999999999992</v>
      </c>
      <c r="F31" s="112">
        <v>5.74</v>
      </c>
      <c r="G31" s="112">
        <v>85.91</v>
      </c>
      <c r="H31" s="112">
        <v>28.57</v>
      </c>
      <c r="I31" s="112">
        <v>8.2100000000000009</v>
      </c>
      <c r="J31" s="112">
        <v>0.13</v>
      </c>
      <c r="K31" s="112">
        <v>124.12</v>
      </c>
      <c r="L31" s="112">
        <v>19.850000000000001</v>
      </c>
      <c r="M31" s="112">
        <v>85.8</v>
      </c>
      <c r="N31" s="112">
        <v>1.6</v>
      </c>
      <c r="O31" s="112">
        <v>0</v>
      </c>
      <c r="P31" s="112">
        <v>0.71</v>
      </c>
      <c r="Q31" s="112">
        <v>4.9800000000000004</v>
      </c>
    </row>
    <row r="32" spans="1:17" customFormat="1">
      <c r="A32" s="80">
        <v>45608.25</v>
      </c>
      <c r="B32" s="112">
        <v>5.27</v>
      </c>
      <c r="C32" s="112">
        <v>8.09</v>
      </c>
      <c r="D32" s="112">
        <v>14.02</v>
      </c>
      <c r="E32" s="112">
        <v>9.5299999999999994</v>
      </c>
      <c r="F32" s="112">
        <v>5.58</v>
      </c>
      <c r="G32" s="112">
        <v>86.2</v>
      </c>
      <c r="H32" s="112">
        <v>28.57</v>
      </c>
      <c r="I32" s="112">
        <v>8.26</v>
      </c>
      <c r="J32" s="112">
        <v>0.16</v>
      </c>
      <c r="K32" s="112">
        <v>176.27</v>
      </c>
      <c r="L32" s="112">
        <v>19.57</v>
      </c>
      <c r="M32" s="112">
        <v>88.15</v>
      </c>
      <c r="N32" s="112">
        <v>2.4</v>
      </c>
      <c r="O32" s="112">
        <v>0</v>
      </c>
      <c r="P32" s="112">
        <v>0.72</v>
      </c>
      <c r="Q32" s="112">
        <v>4.97</v>
      </c>
    </row>
    <row r="33" spans="1:17" customFormat="1">
      <c r="A33" s="80">
        <v>45608.260416666664</v>
      </c>
      <c r="B33" s="112">
        <v>5.26</v>
      </c>
      <c r="C33" s="112">
        <v>8.06</v>
      </c>
      <c r="D33" s="112">
        <v>14</v>
      </c>
      <c r="E33" s="112">
        <v>9.5399999999999991</v>
      </c>
      <c r="F33" s="112">
        <v>5.47</v>
      </c>
      <c r="G33" s="112">
        <v>86.2</v>
      </c>
      <c r="H33" s="112">
        <v>28.57</v>
      </c>
      <c r="I33" s="112">
        <v>8.34</v>
      </c>
      <c r="J33" s="112">
        <v>0.15</v>
      </c>
      <c r="K33" s="112">
        <v>332.9</v>
      </c>
      <c r="L33" s="112">
        <v>19.260000000000002</v>
      </c>
      <c r="M33" s="112">
        <v>90.51</v>
      </c>
      <c r="N33" s="112">
        <v>5.3</v>
      </c>
      <c r="O33" s="112">
        <v>0</v>
      </c>
      <c r="P33" s="112">
        <v>0.73</v>
      </c>
      <c r="Q33" s="112">
        <v>4.9800000000000004</v>
      </c>
    </row>
    <row r="34" spans="1:17" customFormat="1">
      <c r="A34" s="80">
        <v>45608.270833333336</v>
      </c>
      <c r="B34" s="112">
        <v>5.27</v>
      </c>
      <c r="C34" s="112">
        <v>8.0299999999999994</v>
      </c>
      <c r="D34" s="112">
        <v>13.99</v>
      </c>
      <c r="E34" s="112">
        <v>10.17</v>
      </c>
      <c r="F34" s="112">
        <v>5.74</v>
      </c>
      <c r="G34" s="112">
        <v>86.2</v>
      </c>
      <c r="H34" s="112">
        <v>28.57</v>
      </c>
      <c r="I34" s="112">
        <v>8.43</v>
      </c>
      <c r="J34" s="112">
        <v>0.35</v>
      </c>
      <c r="K34" s="112">
        <v>39.47</v>
      </c>
      <c r="L34" s="112">
        <v>19.559999999999999</v>
      </c>
      <c r="M34" s="112">
        <v>87.66</v>
      </c>
      <c r="N34" s="112">
        <v>13.6</v>
      </c>
      <c r="O34" s="112">
        <v>0</v>
      </c>
      <c r="P34" s="112">
        <v>0.74</v>
      </c>
      <c r="Q34" s="112">
        <v>4.99</v>
      </c>
    </row>
    <row r="35" spans="1:17" customFormat="1">
      <c r="A35" s="80">
        <v>45608.28125</v>
      </c>
      <c r="B35" s="112">
        <v>5.26</v>
      </c>
      <c r="C35" s="112">
        <v>8.0500000000000007</v>
      </c>
      <c r="D35" s="112">
        <v>14</v>
      </c>
      <c r="E35" s="112">
        <v>9.6999999999999993</v>
      </c>
      <c r="F35" s="112">
        <v>5.78</v>
      </c>
      <c r="G35" s="112">
        <v>87.42</v>
      </c>
      <c r="H35" s="112">
        <v>30.71</v>
      </c>
      <c r="I35" s="112">
        <v>8.5299999999999994</v>
      </c>
      <c r="J35" s="112">
        <v>0.49</v>
      </c>
      <c r="K35" s="112">
        <v>40.78</v>
      </c>
      <c r="L35" s="112">
        <v>19.89</v>
      </c>
      <c r="M35" s="112">
        <v>85.76</v>
      </c>
      <c r="N35" s="112">
        <v>27</v>
      </c>
      <c r="O35" s="112">
        <v>0</v>
      </c>
      <c r="P35" s="112">
        <v>0.75</v>
      </c>
      <c r="Q35" s="112">
        <v>4.9800000000000004</v>
      </c>
    </row>
    <row r="36" spans="1:17" customFormat="1">
      <c r="A36" s="80">
        <v>45608.291666666664</v>
      </c>
      <c r="B36" s="112">
        <v>5.25</v>
      </c>
      <c r="C36" s="112">
        <v>8.07</v>
      </c>
      <c r="D36" s="112">
        <v>14</v>
      </c>
      <c r="E36" s="112">
        <v>9.67</v>
      </c>
      <c r="F36" s="112">
        <v>5.69</v>
      </c>
      <c r="G36" s="112">
        <v>87.46</v>
      </c>
      <c r="H36" s="112">
        <v>30.71</v>
      </c>
      <c r="I36" s="112">
        <v>8.61</v>
      </c>
      <c r="J36" s="112">
        <v>0.46</v>
      </c>
      <c r="K36" s="112">
        <v>35.380000000000003</v>
      </c>
      <c r="L36" s="112">
        <v>20.149999999999999</v>
      </c>
      <c r="M36" s="112">
        <v>84.53</v>
      </c>
      <c r="N36" s="112">
        <v>40.5</v>
      </c>
      <c r="O36" s="112">
        <v>0</v>
      </c>
      <c r="P36" s="112">
        <v>0.75</v>
      </c>
      <c r="Q36" s="112">
        <v>4.97</v>
      </c>
    </row>
    <row r="37" spans="1:17" customFormat="1">
      <c r="A37" s="80">
        <v>45608.302083333336</v>
      </c>
      <c r="B37" s="112">
        <v>5.25</v>
      </c>
      <c r="C37" s="112">
        <v>8.1</v>
      </c>
      <c r="D37" s="112">
        <v>14.01</v>
      </c>
      <c r="E37" s="112">
        <v>10.06</v>
      </c>
      <c r="F37" s="112">
        <v>5.54</v>
      </c>
      <c r="G37" s="112">
        <v>87.46</v>
      </c>
      <c r="H37" s="112">
        <v>30.71</v>
      </c>
      <c r="I37" s="112">
        <v>8.74</v>
      </c>
      <c r="J37" s="112">
        <v>0.54</v>
      </c>
      <c r="K37" s="112">
        <v>34.94</v>
      </c>
      <c r="L37" s="112">
        <v>20.45</v>
      </c>
      <c r="M37" s="112">
        <v>83.34</v>
      </c>
      <c r="N37" s="112">
        <v>54.3</v>
      </c>
      <c r="O37" s="112">
        <v>0</v>
      </c>
      <c r="P37" s="112">
        <v>0.78</v>
      </c>
      <c r="Q37" s="112">
        <v>4.96</v>
      </c>
    </row>
    <row r="38" spans="1:17" customFormat="1">
      <c r="A38" s="80">
        <v>45608.3125</v>
      </c>
      <c r="B38" s="112">
        <v>5.25</v>
      </c>
      <c r="C38" s="112">
        <v>8.11</v>
      </c>
      <c r="D38" s="112">
        <v>14.02</v>
      </c>
      <c r="E38" s="112">
        <v>9.98</v>
      </c>
      <c r="F38" s="112">
        <v>5.52</v>
      </c>
      <c r="G38" s="112">
        <v>87.46</v>
      </c>
      <c r="H38" s="112">
        <v>30.71</v>
      </c>
      <c r="I38" s="112">
        <v>8.9700000000000006</v>
      </c>
      <c r="J38" s="112">
        <v>0.56999999999999995</v>
      </c>
      <c r="K38" s="112">
        <v>32.200000000000003</v>
      </c>
      <c r="L38" s="112">
        <v>20.83</v>
      </c>
      <c r="M38" s="112">
        <v>82.01</v>
      </c>
      <c r="N38" s="112">
        <v>68.900000000000006</v>
      </c>
      <c r="O38" s="112">
        <v>0</v>
      </c>
      <c r="P38" s="112">
        <v>0.79</v>
      </c>
      <c r="Q38" s="112">
        <v>4.97</v>
      </c>
    </row>
    <row r="39" spans="1:17" customFormat="1">
      <c r="A39" s="80">
        <v>45608.322916666664</v>
      </c>
      <c r="B39" s="112">
        <v>5.27</v>
      </c>
      <c r="C39" s="112">
        <v>8.08</v>
      </c>
      <c r="D39" s="112">
        <v>14.01</v>
      </c>
      <c r="E39" s="112">
        <v>9.7899999999999991</v>
      </c>
      <c r="F39" s="112">
        <v>5.46</v>
      </c>
      <c r="G39" s="112">
        <v>97.29</v>
      </c>
      <c r="H39" s="112">
        <v>34.35</v>
      </c>
      <c r="I39" s="112">
        <v>9.2200000000000006</v>
      </c>
      <c r="J39" s="112">
        <v>0.55000000000000004</v>
      </c>
      <c r="K39" s="112">
        <v>45.74</v>
      </c>
      <c r="L39" s="112">
        <v>21.49</v>
      </c>
      <c r="M39" s="112">
        <v>79.03</v>
      </c>
      <c r="N39" s="112">
        <v>152.30000000000001</v>
      </c>
      <c r="O39" s="112">
        <v>0</v>
      </c>
      <c r="P39" s="112">
        <v>0.79</v>
      </c>
      <c r="Q39" s="112">
        <v>4.99</v>
      </c>
    </row>
    <row r="40" spans="1:17" customFormat="1">
      <c r="A40" s="80">
        <v>45608.333333333336</v>
      </c>
      <c r="B40" s="112">
        <v>5.27</v>
      </c>
      <c r="C40" s="112">
        <v>8.09</v>
      </c>
      <c r="D40" s="112">
        <v>14.02</v>
      </c>
      <c r="E40" s="112">
        <v>9.69</v>
      </c>
      <c r="F40" s="112">
        <v>5.74</v>
      </c>
      <c r="G40" s="112">
        <v>97.51</v>
      </c>
      <c r="H40" s="112">
        <v>34.35</v>
      </c>
      <c r="I40" s="112">
        <v>9.4</v>
      </c>
      <c r="J40" s="112">
        <v>0.68</v>
      </c>
      <c r="K40" s="112">
        <v>33.26</v>
      </c>
      <c r="L40" s="112">
        <v>22.39</v>
      </c>
      <c r="M40" s="112">
        <v>74.09</v>
      </c>
      <c r="N40" s="112">
        <v>197.8</v>
      </c>
      <c r="O40" s="112">
        <v>0</v>
      </c>
      <c r="P40" s="112">
        <v>0.79</v>
      </c>
      <c r="Q40" s="112">
        <v>4.99</v>
      </c>
    </row>
    <row r="41" spans="1:17" customFormat="1">
      <c r="A41" s="80">
        <v>45608.34375</v>
      </c>
      <c r="B41" s="112">
        <v>5.27</v>
      </c>
      <c r="C41" s="112">
        <v>8.06</v>
      </c>
      <c r="D41" s="112">
        <v>14.01</v>
      </c>
      <c r="E41" s="112">
        <v>9.8699999999999992</v>
      </c>
      <c r="F41" s="112">
        <v>5.74</v>
      </c>
      <c r="G41" s="112">
        <v>97.51</v>
      </c>
      <c r="H41" s="112">
        <v>34.35</v>
      </c>
      <c r="I41" s="112">
        <v>9.51</v>
      </c>
      <c r="J41" s="112">
        <v>0.81</v>
      </c>
      <c r="K41" s="112">
        <v>45.97</v>
      </c>
      <c r="L41" s="112">
        <v>23.33</v>
      </c>
      <c r="M41" s="112">
        <v>69.87</v>
      </c>
      <c r="N41" s="112">
        <v>227</v>
      </c>
      <c r="O41" s="112">
        <v>0</v>
      </c>
      <c r="P41" s="112">
        <v>0.81</v>
      </c>
      <c r="Q41" s="112">
        <v>4.96</v>
      </c>
    </row>
    <row r="42" spans="1:17" customFormat="1">
      <c r="A42" s="80">
        <v>45608.354166666664</v>
      </c>
      <c r="B42" s="112">
        <v>5.27</v>
      </c>
      <c r="C42" s="112">
        <v>8.08</v>
      </c>
      <c r="D42" s="112">
        <v>14.01</v>
      </c>
      <c r="E42" s="112">
        <v>9.2100000000000009</v>
      </c>
      <c r="F42" s="112">
        <v>5.99</v>
      </c>
      <c r="G42" s="112">
        <v>97.51</v>
      </c>
      <c r="H42" s="112">
        <v>34.35</v>
      </c>
      <c r="I42" s="112">
        <v>9.7200000000000006</v>
      </c>
      <c r="J42" s="112">
        <v>1.08</v>
      </c>
      <c r="K42" s="112">
        <v>47.61</v>
      </c>
      <c r="L42" s="112">
        <v>23.85</v>
      </c>
      <c r="M42" s="112">
        <v>67.239999999999995</v>
      </c>
      <c r="N42" s="112">
        <v>218</v>
      </c>
      <c r="O42" s="112">
        <v>0</v>
      </c>
      <c r="P42" s="112">
        <v>0.82</v>
      </c>
      <c r="Q42" s="112">
        <v>4.99</v>
      </c>
    </row>
    <row r="43" spans="1:17" customFormat="1">
      <c r="A43" s="80">
        <v>45608.364583333336</v>
      </c>
      <c r="B43" s="112">
        <v>5.28</v>
      </c>
      <c r="C43" s="112">
        <v>8.06</v>
      </c>
      <c r="D43" s="112">
        <v>14.01</v>
      </c>
      <c r="E43" s="112">
        <v>9.1300000000000008</v>
      </c>
      <c r="F43" s="112">
        <v>5.94</v>
      </c>
      <c r="G43" s="112">
        <v>94.92</v>
      </c>
      <c r="H43" s="112">
        <v>35.450000000000003</v>
      </c>
      <c r="I43" s="112">
        <v>9.98</v>
      </c>
      <c r="J43" s="112">
        <v>0.95</v>
      </c>
      <c r="K43" s="112">
        <v>46.78</v>
      </c>
      <c r="L43" s="112">
        <v>24.59</v>
      </c>
      <c r="M43" s="112">
        <v>64.47</v>
      </c>
      <c r="N43" s="112">
        <v>259.2</v>
      </c>
      <c r="O43" s="112">
        <v>0</v>
      </c>
      <c r="P43" s="112">
        <v>0.83</v>
      </c>
      <c r="Q43" s="112">
        <v>4.9800000000000004</v>
      </c>
    </row>
    <row r="44" spans="1:17" customFormat="1">
      <c r="A44" s="80">
        <v>45608.375</v>
      </c>
      <c r="B44" s="112">
        <v>5.28</v>
      </c>
      <c r="C44" s="112">
        <v>8.0299999999999994</v>
      </c>
      <c r="D44" s="112">
        <v>14</v>
      </c>
      <c r="E44" s="112">
        <v>8.8800000000000008</v>
      </c>
      <c r="F44" s="112">
        <v>6.03</v>
      </c>
      <c r="G44" s="112">
        <v>94.87</v>
      </c>
      <c r="H44" s="112">
        <v>35.450000000000003</v>
      </c>
      <c r="I44" s="112">
        <v>10.14</v>
      </c>
      <c r="J44" s="112">
        <v>0.89</v>
      </c>
      <c r="K44" s="112">
        <v>44.42</v>
      </c>
      <c r="L44" s="112">
        <v>25.36</v>
      </c>
      <c r="M44" s="112">
        <v>61.9</v>
      </c>
      <c r="N44" s="112">
        <v>295.2</v>
      </c>
      <c r="O44" s="112">
        <v>0</v>
      </c>
      <c r="P44" s="112">
        <v>0.82</v>
      </c>
      <c r="Q44" s="112">
        <v>4.9800000000000004</v>
      </c>
    </row>
    <row r="45" spans="1:17" customFormat="1">
      <c r="A45" s="80">
        <v>45608.385416666664</v>
      </c>
      <c r="B45" s="112">
        <v>5.25</v>
      </c>
      <c r="C45" s="112">
        <v>8.1</v>
      </c>
      <c r="D45" s="112">
        <v>14.01</v>
      </c>
      <c r="E45" s="112">
        <v>8.98</v>
      </c>
      <c r="F45" s="112">
        <v>6.2</v>
      </c>
      <c r="G45" s="112">
        <v>94.87</v>
      </c>
      <c r="H45" s="112">
        <v>35.450000000000003</v>
      </c>
      <c r="I45" s="112">
        <v>10.25</v>
      </c>
      <c r="J45" s="112">
        <v>0.9</v>
      </c>
      <c r="K45" s="112">
        <v>40.729999999999997</v>
      </c>
      <c r="L45" s="112">
        <v>25.75</v>
      </c>
      <c r="M45" s="112">
        <v>59.93</v>
      </c>
      <c r="N45" s="112">
        <v>377</v>
      </c>
      <c r="O45" s="112">
        <v>0</v>
      </c>
      <c r="P45" s="112">
        <v>0.82</v>
      </c>
      <c r="Q45" s="112">
        <v>4.99</v>
      </c>
    </row>
    <row r="46" spans="1:17" customFormat="1">
      <c r="A46" s="80">
        <v>45608.395833333336</v>
      </c>
      <c r="B46" s="112">
        <v>5.25</v>
      </c>
      <c r="C46" s="112">
        <v>8.07</v>
      </c>
      <c r="D46" s="112">
        <v>13.99</v>
      </c>
      <c r="E46" s="112">
        <v>9.32</v>
      </c>
      <c r="F46" s="112">
        <v>6.35</v>
      </c>
      <c r="G46" s="112">
        <v>94.87</v>
      </c>
      <c r="H46" s="112">
        <v>35.450000000000003</v>
      </c>
      <c r="I46" s="112">
        <v>10.28</v>
      </c>
      <c r="J46" s="112">
        <v>1.01</v>
      </c>
      <c r="K46" s="112">
        <v>37.47</v>
      </c>
      <c r="L46" s="112">
        <v>26.17</v>
      </c>
      <c r="M46" s="112">
        <v>60.18</v>
      </c>
      <c r="N46" s="112">
        <v>325.3</v>
      </c>
      <c r="O46" s="112">
        <v>0</v>
      </c>
      <c r="P46" s="112">
        <v>0.82</v>
      </c>
      <c r="Q46" s="112">
        <v>4.9800000000000004</v>
      </c>
    </row>
    <row r="47" spans="1:17" customFormat="1">
      <c r="A47" s="80">
        <v>45608.40625</v>
      </c>
      <c r="B47" s="112">
        <v>5.24</v>
      </c>
      <c r="C47" s="112">
        <v>8.06</v>
      </c>
      <c r="D47" s="112">
        <v>13.98</v>
      </c>
      <c r="E47" s="112">
        <v>8.81</v>
      </c>
      <c r="F47" s="112">
        <v>6.5</v>
      </c>
      <c r="G47" s="112">
        <v>94.22</v>
      </c>
      <c r="H47" s="112">
        <v>34.9</v>
      </c>
      <c r="I47" s="112">
        <v>10.220000000000001</v>
      </c>
      <c r="J47" s="112">
        <v>0.73</v>
      </c>
      <c r="K47" s="112">
        <v>42.73</v>
      </c>
      <c r="L47" s="112">
        <v>26.88</v>
      </c>
      <c r="M47" s="112">
        <v>58.1</v>
      </c>
      <c r="N47" s="112">
        <v>431</v>
      </c>
      <c r="O47" s="112">
        <v>0</v>
      </c>
      <c r="P47" s="112">
        <v>0.82</v>
      </c>
      <c r="Q47" s="112">
        <v>4.9800000000000004</v>
      </c>
    </row>
    <row r="48" spans="1:17" customFormat="1">
      <c r="A48" s="80">
        <v>45608.416666666664</v>
      </c>
      <c r="B48" s="112">
        <v>5.24</v>
      </c>
      <c r="C48" s="112">
        <v>8.08</v>
      </c>
      <c r="D48" s="112">
        <v>13.99</v>
      </c>
      <c r="E48" s="112">
        <v>8.81</v>
      </c>
      <c r="F48" s="112">
        <v>6.65</v>
      </c>
      <c r="G48" s="112">
        <v>94.21</v>
      </c>
      <c r="H48" s="112">
        <v>34.9</v>
      </c>
      <c r="I48" s="112">
        <v>10.15</v>
      </c>
      <c r="J48" s="112">
        <v>0.46</v>
      </c>
      <c r="K48" s="112">
        <v>57.08</v>
      </c>
      <c r="L48" s="112">
        <v>27.72</v>
      </c>
      <c r="M48" s="112">
        <v>54.79</v>
      </c>
      <c r="N48" s="112">
        <v>468</v>
      </c>
      <c r="O48" s="112">
        <v>0</v>
      </c>
      <c r="P48" s="112">
        <v>0.81</v>
      </c>
      <c r="Q48" s="112">
        <v>4.9800000000000004</v>
      </c>
    </row>
    <row r="49" spans="1:17" customFormat="1">
      <c r="A49" s="80">
        <v>45608.427083333336</v>
      </c>
      <c r="B49" s="112">
        <v>5.24</v>
      </c>
      <c r="C49" s="112">
        <v>8.08</v>
      </c>
      <c r="D49" s="112">
        <v>13.99</v>
      </c>
      <c r="E49" s="112">
        <v>7.49</v>
      </c>
      <c r="F49" s="112">
        <v>6.69</v>
      </c>
      <c r="G49" s="112">
        <v>94.21</v>
      </c>
      <c r="H49" s="112">
        <v>34.9</v>
      </c>
      <c r="I49" s="112">
        <v>10.08</v>
      </c>
      <c r="J49" s="112">
        <v>0.61</v>
      </c>
      <c r="K49" s="112">
        <v>35.979999999999997</v>
      </c>
      <c r="L49" s="112">
        <v>28.34</v>
      </c>
      <c r="M49" s="112">
        <v>52.8</v>
      </c>
      <c r="N49" s="112">
        <v>499.9</v>
      </c>
      <c r="O49" s="112">
        <v>0</v>
      </c>
      <c r="P49" s="112">
        <v>0.81</v>
      </c>
      <c r="Q49" s="112">
        <v>4.9800000000000004</v>
      </c>
    </row>
    <row r="50" spans="1:17" customFormat="1">
      <c r="A50" s="80">
        <v>45608.4375</v>
      </c>
      <c r="B50" s="112">
        <v>5.23</v>
      </c>
      <c r="C50" s="112">
        <v>8.09</v>
      </c>
      <c r="D50" s="112">
        <v>13.99</v>
      </c>
      <c r="E50" s="112">
        <v>8.83</v>
      </c>
      <c r="F50" s="112">
        <v>8.0500000000000007</v>
      </c>
      <c r="G50" s="112">
        <v>94.21</v>
      </c>
      <c r="H50" s="112">
        <v>34.9</v>
      </c>
      <c r="I50" s="112">
        <v>9.9700000000000006</v>
      </c>
      <c r="J50" s="112">
        <v>0.42</v>
      </c>
      <c r="K50" s="112">
        <v>49.5</v>
      </c>
      <c r="L50" s="112">
        <v>28.89</v>
      </c>
      <c r="M50" s="112">
        <v>51.36</v>
      </c>
      <c r="N50" s="112">
        <v>507.6</v>
      </c>
      <c r="O50" s="112">
        <v>0</v>
      </c>
      <c r="P50" s="112">
        <v>0.79</v>
      </c>
      <c r="Q50" s="112">
        <v>4.9800000000000004</v>
      </c>
    </row>
    <row r="51" spans="1:17" customFormat="1">
      <c r="A51" s="80">
        <v>45608.447916666664</v>
      </c>
      <c r="B51" s="112">
        <v>5.25</v>
      </c>
      <c r="C51" s="112">
        <v>8.06</v>
      </c>
      <c r="D51" s="112">
        <v>13.99</v>
      </c>
      <c r="E51" s="112">
        <v>9.16</v>
      </c>
      <c r="F51" s="112">
        <v>8.5</v>
      </c>
      <c r="G51" s="112">
        <v>91.68</v>
      </c>
      <c r="H51" s="112">
        <v>37.200000000000003</v>
      </c>
      <c r="I51" s="112">
        <v>9.89</v>
      </c>
      <c r="J51" s="112">
        <v>0.56999999999999995</v>
      </c>
      <c r="K51" s="112">
        <v>32.68</v>
      </c>
      <c r="L51" s="112">
        <v>29.22</v>
      </c>
      <c r="M51" s="112">
        <v>47.04</v>
      </c>
      <c r="N51" s="112">
        <v>478.4</v>
      </c>
      <c r="O51" s="112">
        <v>0</v>
      </c>
      <c r="P51" s="112">
        <v>0.78</v>
      </c>
      <c r="Q51" s="112">
        <v>4.99</v>
      </c>
    </row>
    <row r="52" spans="1:17" customFormat="1">
      <c r="A52" s="80">
        <v>45608.458333333336</v>
      </c>
      <c r="B52" s="112">
        <v>5.26</v>
      </c>
      <c r="C52" s="112">
        <v>8.0500000000000007</v>
      </c>
      <c r="D52" s="112">
        <v>13.99</v>
      </c>
      <c r="E52" s="112">
        <v>8.82</v>
      </c>
      <c r="F52" s="112">
        <v>8.16</v>
      </c>
      <c r="G52" s="112">
        <v>91.62</v>
      </c>
      <c r="H52" s="112">
        <v>37.200000000000003</v>
      </c>
      <c r="I52" s="112">
        <v>9.74</v>
      </c>
      <c r="J52" s="112">
        <v>0.48</v>
      </c>
      <c r="K52" s="112">
        <v>59.68</v>
      </c>
      <c r="L52" s="112">
        <v>29.93</v>
      </c>
      <c r="M52" s="112">
        <v>40.33</v>
      </c>
      <c r="N52" s="112">
        <v>594.29999999999995</v>
      </c>
      <c r="O52" s="112">
        <v>0</v>
      </c>
      <c r="P52" s="112">
        <v>0.76</v>
      </c>
      <c r="Q52" s="112">
        <v>5</v>
      </c>
    </row>
    <row r="53" spans="1:17" customFormat="1">
      <c r="A53" s="80">
        <v>45608.46875</v>
      </c>
      <c r="B53" s="112">
        <v>5.26</v>
      </c>
      <c r="C53" s="112">
        <v>8.07</v>
      </c>
      <c r="D53" s="112">
        <v>14</v>
      </c>
      <c r="E53" s="112">
        <v>8.92</v>
      </c>
      <c r="F53" s="112">
        <v>8.1999999999999993</v>
      </c>
      <c r="G53" s="112">
        <v>91.62</v>
      </c>
      <c r="H53" s="112">
        <v>37.200000000000003</v>
      </c>
      <c r="I53" s="112">
        <v>9.52</v>
      </c>
      <c r="J53" s="112">
        <v>0.51</v>
      </c>
      <c r="K53" s="112">
        <v>59.2</v>
      </c>
      <c r="L53" s="112">
        <v>30.33</v>
      </c>
      <c r="M53" s="112">
        <v>36.840000000000003</v>
      </c>
      <c r="N53" s="112">
        <v>582.1</v>
      </c>
      <c r="O53" s="112">
        <v>0</v>
      </c>
      <c r="P53" s="112">
        <v>0.75</v>
      </c>
      <c r="Q53" s="112">
        <v>4.9800000000000004</v>
      </c>
    </row>
    <row r="54" spans="1:17" customFormat="1">
      <c r="A54" s="80">
        <v>45608.479166666664</v>
      </c>
      <c r="B54" s="112">
        <v>5.26</v>
      </c>
      <c r="C54" s="112">
        <v>8.07</v>
      </c>
      <c r="D54" s="112">
        <v>14.01</v>
      </c>
      <c r="E54" s="112">
        <v>9.51</v>
      </c>
      <c r="F54" s="112">
        <v>9.91</v>
      </c>
      <c r="G54" s="112">
        <v>91.62</v>
      </c>
      <c r="H54" s="112">
        <v>37.200000000000003</v>
      </c>
      <c r="I54" s="112">
        <v>9.36</v>
      </c>
      <c r="J54" s="112">
        <v>0.61</v>
      </c>
      <c r="K54" s="112">
        <v>31.36</v>
      </c>
      <c r="L54" s="112">
        <v>30.12</v>
      </c>
      <c r="M54" s="112">
        <v>37.840000000000003</v>
      </c>
      <c r="N54" s="112">
        <v>578</v>
      </c>
      <c r="O54" s="112">
        <v>0</v>
      </c>
      <c r="P54" s="112">
        <v>0.73</v>
      </c>
      <c r="Q54" s="112">
        <v>4.99</v>
      </c>
    </row>
    <row r="55" spans="1:17" customFormat="1">
      <c r="A55" s="80">
        <v>45608.489583333336</v>
      </c>
      <c r="B55" s="112">
        <v>5.26</v>
      </c>
      <c r="C55" s="112">
        <v>8.06</v>
      </c>
      <c r="D55" s="112">
        <v>14</v>
      </c>
      <c r="E55" s="112">
        <v>9.4</v>
      </c>
      <c r="F55" s="112">
        <v>8.7799999999999994</v>
      </c>
      <c r="G55" s="112">
        <v>74.290000000000006</v>
      </c>
      <c r="H55" s="112">
        <v>32.4</v>
      </c>
      <c r="I55" s="112">
        <v>9.1199999999999992</v>
      </c>
      <c r="J55" s="112">
        <v>0.66</v>
      </c>
      <c r="K55" s="112">
        <v>50.72</v>
      </c>
      <c r="L55" s="112">
        <v>30.58</v>
      </c>
      <c r="M55" s="112">
        <v>37.79</v>
      </c>
      <c r="N55" s="112">
        <v>572.29999999999995</v>
      </c>
      <c r="O55" s="112">
        <v>0</v>
      </c>
      <c r="P55" s="112">
        <v>0.72</v>
      </c>
      <c r="Q55" s="112">
        <v>4.9800000000000004</v>
      </c>
    </row>
    <row r="56" spans="1:17" customFormat="1">
      <c r="A56" s="80">
        <v>45608.5</v>
      </c>
      <c r="B56" s="112">
        <v>5.27</v>
      </c>
      <c r="C56" s="112">
        <v>8.07</v>
      </c>
      <c r="D56" s="112">
        <v>14.01</v>
      </c>
      <c r="E56" s="112">
        <v>9.27</v>
      </c>
      <c r="F56" s="112">
        <v>9.39</v>
      </c>
      <c r="G56" s="112">
        <v>73.900000000000006</v>
      </c>
      <c r="H56" s="112">
        <v>32.4</v>
      </c>
      <c r="I56" s="112">
        <v>8.9</v>
      </c>
      <c r="J56" s="112">
        <v>0.66</v>
      </c>
      <c r="K56" s="112">
        <v>2.96</v>
      </c>
      <c r="L56" s="112">
        <v>30.02</v>
      </c>
      <c r="M56" s="112">
        <v>38.130000000000003</v>
      </c>
      <c r="N56" s="112">
        <v>574.70000000000005</v>
      </c>
      <c r="O56" s="112">
        <v>0</v>
      </c>
      <c r="P56" s="112">
        <v>0.7</v>
      </c>
      <c r="Q56" s="112">
        <v>4.99</v>
      </c>
    </row>
    <row r="57" spans="1:17" customFormat="1">
      <c r="A57" s="80">
        <v>45608.510416666664</v>
      </c>
      <c r="B57" s="112">
        <v>5.27</v>
      </c>
      <c r="C57" s="112">
        <v>8.09</v>
      </c>
      <c r="D57" s="112">
        <v>14.02</v>
      </c>
      <c r="E57" s="112">
        <v>9.65</v>
      </c>
      <c r="F57" s="112">
        <v>11.02</v>
      </c>
      <c r="G57" s="112">
        <v>73.900000000000006</v>
      </c>
      <c r="H57" s="112">
        <v>32.4</v>
      </c>
      <c r="I57" s="112">
        <v>8.74</v>
      </c>
      <c r="J57" s="112">
        <v>0.87</v>
      </c>
      <c r="K57" s="112">
        <v>30.67</v>
      </c>
      <c r="L57" s="112">
        <v>30.24</v>
      </c>
      <c r="M57" s="112">
        <v>36.53</v>
      </c>
      <c r="N57" s="112">
        <v>563.79999999999995</v>
      </c>
      <c r="O57" s="112">
        <v>0</v>
      </c>
      <c r="P57" s="112">
        <v>0.69</v>
      </c>
      <c r="Q57" s="112">
        <v>4.99</v>
      </c>
    </row>
    <row r="58" spans="1:17" customFormat="1">
      <c r="A58" s="80">
        <v>45608.520833333336</v>
      </c>
      <c r="B58" s="112">
        <v>5.28</v>
      </c>
      <c r="C58" s="112">
        <v>8.06</v>
      </c>
      <c r="D58" s="112">
        <v>14.01</v>
      </c>
      <c r="E58" s="112">
        <v>9.61</v>
      </c>
      <c r="F58" s="112">
        <v>10.7</v>
      </c>
      <c r="G58" s="112">
        <v>73.900000000000006</v>
      </c>
      <c r="H58" s="112">
        <v>32.4</v>
      </c>
      <c r="I58" s="112">
        <v>8.5399999999999991</v>
      </c>
      <c r="J58" s="112">
        <v>0.57999999999999996</v>
      </c>
      <c r="K58" s="112">
        <v>37.65</v>
      </c>
      <c r="L58" s="112">
        <v>30.48</v>
      </c>
      <c r="M58" s="112">
        <v>36.1</v>
      </c>
      <c r="N58" s="112">
        <v>541.4</v>
      </c>
      <c r="O58" s="112">
        <v>0</v>
      </c>
      <c r="P58" s="112">
        <v>0.68</v>
      </c>
      <c r="Q58" s="112">
        <v>4.99</v>
      </c>
    </row>
    <row r="59" spans="1:17" customFormat="1">
      <c r="A59" s="80">
        <v>45608.53125</v>
      </c>
      <c r="B59" s="112">
        <v>5.29</v>
      </c>
      <c r="C59" s="112">
        <v>8.08</v>
      </c>
      <c r="D59" s="112">
        <v>14.03</v>
      </c>
      <c r="E59" s="112">
        <v>10.050000000000001</v>
      </c>
      <c r="F59" s="112">
        <v>11.26</v>
      </c>
      <c r="G59" s="112">
        <v>63.31</v>
      </c>
      <c r="H59" s="112">
        <v>32.090000000000003</v>
      </c>
      <c r="I59" s="112">
        <v>8.3699999999999992</v>
      </c>
      <c r="J59" s="112">
        <v>0.47</v>
      </c>
      <c r="K59" s="112">
        <v>19.91</v>
      </c>
      <c r="L59" s="112">
        <v>30.84</v>
      </c>
      <c r="M59" s="112">
        <v>35.08</v>
      </c>
      <c r="N59" s="112">
        <v>524</v>
      </c>
      <c r="O59" s="112">
        <v>0</v>
      </c>
      <c r="P59" s="112">
        <v>0.66</v>
      </c>
      <c r="Q59" s="112">
        <v>4.99</v>
      </c>
    </row>
    <row r="60" spans="1:17" customFormat="1">
      <c r="A60" s="80">
        <v>45608.541666666664</v>
      </c>
      <c r="B60" s="112">
        <v>5.29</v>
      </c>
      <c r="C60" s="112">
        <v>8.06</v>
      </c>
      <c r="D60" s="112">
        <v>14.02</v>
      </c>
      <c r="E60" s="112">
        <v>10.26</v>
      </c>
      <c r="F60" s="112">
        <v>10.68</v>
      </c>
      <c r="G60" s="112">
        <v>63.07</v>
      </c>
      <c r="H60" s="112">
        <v>32.090000000000003</v>
      </c>
      <c r="I60" s="112">
        <v>8.25</v>
      </c>
      <c r="J60" s="112">
        <v>0.38</v>
      </c>
      <c r="K60" s="112">
        <v>57.05</v>
      </c>
      <c r="L60" s="112">
        <v>30.96</v>
      </c>
      <c r="M60" s="112">
        <v>33.130000000000003</v>
      </c>
      <c r="N60" s="112">
        <v>504.7</v>
      </c>
      <c r="O60" s="112">
        <v>0</v>
      </c>
      <c r="P60" s="112">
        <v>0.65</v>
      </c>
      <c r="Q60" s="112">
        <v>4.99</v>
      </c>
    </row>
    <row r="61" spans="1:17" customFormat="1">
      <c r="A61" s="80">
        <v>45608.552083333336</v>
      </c>
      <c r="B61" s="112">
        <v>5.29</v>
      </c>
      <c r="C61" s="112">
        <v>8.07</v>
      </c>
      <c r="D61" s="112">
        <v>14.02</v>
      </c>
      <c r="E61" s="112">
        <v>9.92</v>
      </c>
      <c r="F61" s="112">
        <v>9.23</v>
      </c>
      <c r="G61" s="112">
        <v>63.07</v>
      </c>
      <c r="H61" s="112">
        <v>32.090000000000003</v>
      </c>
      <c r="I61" s="112">
        <v>8.11</v>
      </c>
      <c r="J61" s="112">
        <v>0.32</v>
      </c>
      <c r="K61" s="112">
        <v>53.22</v>
      </c>
      <c r="L61" s="112">
        <v>31.15</v>
      </c>
      <c r="M61" s="112">
        <v>31.21</v>
      </c>
      <c r="N61" s="112">
        <v>517.79999999999995</v>
      </c>
      <c r="O61" s="112">
        <v>0</v>
      </c>
      <c r="P61" s="112">
        <v>0.64</v>
      </c>
      <c r="Q61" s="112">
        <v>4.99</v>
      </c>
    </row>
    <row r="62" spans="1:17" customFormat="1">
      <c r="A62" s="80">
        <v>45608.5625</v>
      </c>
      <c r="B62" s="112">
        <v>5.26</v>
      </c>
      <c r="C62" s="112">
        <v>8.0500000000000007</v>
      </c>
      <c r="D62" s="112">
        <v>13.99</v>
      </c>
      <c r="E62" s="112">
        <v>10.18</v>
      </c>
      <c r="F62" s="112">
        <v>8.69</v>
      </c>
      <c r="G62" s="112">
        <v>63.07</v>
      </c>
      <c r="H62" s="112">
        <v>32.090000000000003</v>
      </c>
      <c r="I62" s="112">
        <v>7.99</v>
      </c>
      <c r="J62" s="112">
        <v>7.0000000000000007E-2</v>
      </c>
      <c r="K62" s="112">
        <v>334.75</v>
      </c>
      <c r="L62" s="112">
        <v>30.96</v>
      </c>
      <c r="M62" s="112">
        <v>32.4</v>
      </c>
      <c r="N62" s="112">
        <v>503.5</v>
      </c>
      <c r="O62" s="112">
        <v>0</v>
      </c>
      <c r="P62" s="112">
        <v>0.63</v>
      </c>
      <c r="Q62" s="112">
        <v>4.99</v>
      </c>
    </row>
    <row r="63" spans="1:17" customFormat="1">
      <c r="A63" s="80">
        <v>45608.572916666664</v>
      </c>
      <c r="B63" s="112">
        <v>5.25</v>
      </c>
      <c r="C63" s="112">
        <v>8.09</v>
      </c>
      <c r="D63" s="112">
        <v>14.01</v>
      </c>
      <c r="E63" s="112">
        <v>10.75</v>
      </c>
      <c r="F63" s="112">
        <v>13.77</v>
      </c>
      <c r="G63" s="112">
        <v>56.1</v>
      </c>
      <c r="H63" s="112">
        <v>28.22</v>
      </c>
      <c r="I63" s="112">
        <v>7.92</v>
      </c>
      <c r="J63" s="112">
        <v>0.34</v>
      </c>
      <c r="K63" s="112">
        <v>355.88</v>
      </c>
      <c r="L63" s="112">
        <v>30.87</v>
      </c>
      <c r="M63" s="112">
        <v>33.21</v>
      </c>
      <c r="N63" s="112">
        <v>396.1</v>
      </c>
      <c r="O63" s="112">
        <v>0</v>
      </c>
      <c r="P63" s="112">
        <v>0.59</v>
      </c>
      <c r="Q63" s="112">
        <v>4.9800000000000004</v>
      </c>
    </row>
    <row r="64" spans="1:17" customFormat="1">
      <c r="A64" s="80">
        <v>45608.583333333336</v>
      </c>
      <c r="B64" s="112">
        <v>5.25</v>
      </c>
      <c r="C64" s="112">
        <v>8.08</v>
      </c>
      <c r="D64" s="112">
        <v>14</v>
      </c>
      <c r="E64" s="112">
        <v>11.04</v>
      </c>
      <c r="F64" s="112">
        <v>11.78</v>
      </c>
      <c r="G64" s="112">
        <v>55.94</v>
      </c>
      <c r="H64" s="112">
        <v>28.22</v>
      </c>
      <c r="I64" s="112">
        <v>7.79</v>
      </c>
      <c r="J64" s="112">
        <v>0.45</v>
      </c>
      <c r="K64" s="112">
        <v>52.22</v>
      </c>
      <c r="L64" s="112">
        <v>30.68</v>
      </c>
      <c r="M64" s="112">
        <v>33.07</v>
      </c>
      <c r="N64" s="112">
        <v>161.9</v>
      </c>
      <c r="O64" s="112">
        <v>0</v>
      </c>
      <c r="P64" s="112">
        <v>0.56999999999999995</v>
      </c>
      <c r="Q64" s="112">
        <v>4.99</v>
      </c>
    </row>
    <row r="65" spans="1:17" customFormat="1">
      <c r="A65" s="80">
        <v>45608.59375</v>
      </c>
      <c r="B65" s="112">
        <v>5.24</v>
      </c>
      <c r="C65" s="112">
        <v>8.0399999999999991</v>
      </c>
      <c r="D65" s="112">
        <v>13.97</v>
      </c>
      <c r="E65" s="112">
        <v>11.74</v>
      </c>
      <c r="F65" s="112">
        <v>17.07</v>
      </c>
      <c r="G65" s="112">
        <v>55.94</v>
      </c>
      <c r="H65" s="112">
        <v>28.22</v>
      </c>
      <c r="I65" s="112">
        <v>7.69</v>
      </c>
      <c r="J65" s="112">
        <v>0.47</v>
      </c>
      <c r="K65" s="112">
        <v>26.66</v>
      </c>
      <c r="L65" s="112">
        <v>30.38</v>
      </c>
      <c r="M65" s="112">
        <v>34.090000000000003</v>
      </c>
      <c r="N65" s="112">
        <v>108.5</v>
      </c>
      <c r="O65" s="112">
        <v>0</v>
      </c>
      <c r="P65" s="112">
        <v>0.54</v>
      </c>
      <c r="Q65" s="112">
        <v>4.9800000000000004</v>
      </c>
    </row>
    <row r="66" spans="1:17" customFormat="1">
      <c r="A66" s="80">
        <v>45608.604166666664</v>
      </c>
      <c r="B66" s="112">
        <v>5.23</v>
      </c>
      <c r="C66" s="112">
        <v>8.06</v>
      </c>
      <c r="D66" s="112">
        <v>13.97</v>
      </c>
      <c r="E66" s="112">
        <v>13.12</v>
      </c>
      <c r="F66" s="112">
        <v>24.31</v>
      </c>
      <c r="G66" s="112">
        <v>55.94</v>
      </c>
      <c r="H66" s="112">
        <v>28.22</v>
      </c>
      <c r="I66" s="112">
        <v>7.59</v>
      </c>
      <c r="J66" s="112">
        <v>0.34</v>
      </c>
      <c r="K66" s="112">
        <v>337.39</v>
      </c>
      <c r="L66" s="112">
        <v>30.13</v>
      </c>
      <c r="M66" s="112">
        <v>33.53</v>
      </c>
      <c r="N66" s="112">
        <v>87.6</v>
      </c>
      <c r="O66" s="112">
        <v>0</v>
      </c>
      <c r="P66" s="112">
        <v>0.53</v>
      </c>
      <c r="Q66" s="112">
        <v>4.9800000000000004</v>
      </c>
    </row>
    <row r="67" spans="1:17" customFormat="1">
      <c r="A67" s="80">
        <v>45608.614583333336</v>
      </c>
      <c r="B67" s="112">
        <v>5.23</v>
      </c>
      <c r="C67" s="112">
        <v>8.11</v>
      </c>
      <c r="D67" s="112">
        <v>14</v>
      </c>
      <c r="E67" s="112">
        <v>13.24</v>
      </c>
      <c r="F67" s="112">
        <v>15.16</v>
      </c>
      <c r="G67" s="112">
        <v>49.19</v>
      </c>
      <c r="H67" s="112">
        <v>26.43</v>
      </c>
      <c r="I67" s="112">
        <v>7.34</v>
      </c>
      <c r="J67" s="112">
        <v>0.12</v>
      </c>
      <c r="K67" s="112">
        <v>61.98</v>
      </c>
      <c r="L67" s="112">
        <v>30.02</v>
      </c>
      <c r="M67" s="112">
        <v>32.520000000000003</v>
      </c>
      <c r="N67" s="112">
        <v>76.5</v>
      </c>
      <c r="O67" s="112">
        <v>0</v>
      </c>
      <c r="P67" s="112">
        <v>0.54</v>
      </c>
      <c r="Q67" s="112">
        <v>4.99</v>
      </c>
    </row>
    <row r="68" spans="1:17" customFormat="1">
      <c r="A68" s="80">
        <v>45608.625</v>
      </c>
      <c r="B68" s="112">
        <v>5.23</v>
      </c>
      <c r="C68" s="112">
        <v>8.09</v>
      </c>
      <c r="D68" s="112">
        <v>13.99</v>
      </c>
      <c r="E68" s="112">
        <v>12.99</v>
      </c>
      <c r="F68" s="112">
        <v>23.81</v>
      </c>
      <c r="G68" s="112">
        <v>49.04</v>
      </c>
      <c r="H68" s="112">
        <v>26.43</v>
      </c>
      <c r="I68" s="112">
        <v>7.11</v>
      </c>
      <c r="J68" s="112">
        <v>0.36</v>
      </c>
      <c r="K68" s="112">
        <v>22.18</v>
      </c>
      <c r="L68" s="112">
        <v>29.79</v>
      </c>
      <c r="M68" s="112">
        <v>34.04</v>
      </c>
      <c r="N68" s="112">
        <v>78.8</v>
      </c>
      <c r="O68" s="112">
        <v>0</v>
      </c>
      <c r="P68" s="112">
        <v>0.53</v>
      </c>
      <c r="Q68" s="112">
        <v>4.99</v>
      </c>
    </row>
    <row r="69" spans="1:17" customFormat="1">
      <c r="A69" s="80">
        <v>45608.635416666664</v>
      </c>
      <c r="B69" s="112">
        <v>5.25</v>
      </c>
      <c r="C69" s="112">
        <v>8.0500000000000007</v>
      </c>
      <c r="D69" s="112">
        <v>13.98</v>
      </c>
      <c r="E69" s="112">
        <v>14.07</v>
      </c>
      <c r="F69" s="112">
        <v>17.34</v>
      </c>
      <c r="G69" s="112">
        <v>49.04</v>
      </c>
      <c r="H69" s="112">
        <v>26.43</v>
      </c>
      <c r="I69" s="112">
        <v>7.07</v>
      </c>
      <c r="J69" s="112">
        <v>0.47</v>
      </c>
      <c r="K69" s="112">
        <v>34</v>
      </c>
      <c r="L69" s="112">
        <v>29.93</v>
      </c>
      <c r="M69" s="112">
        <v>34.1</v>
      </c>
      <c r="N69" s="112">
        <v>64.099999999999994</v>
      </c>
      <c r="O69" s="112">
        <v>0</v>
      </c>
      <c r="P69" s="112">
        <v>0.54</v>
      </c>
      <c r="Q69" s="112">
        <v>5</v>
      </c>
    </row>
    <row r="70" spans="1:17" customFormat="1">
      <c r="A70" s="80">
        <v>45608.645833333336</v>
      </c>
      <c r="B70" s="112">
        <v>5.25</v>
      </c>
      <c r="C70" s="112">
        <v>8.0399999999999991</v>
      </c>
      <c r="D70" s="112">
        <v>13.98</v>
      </c>
      <c r="E70" s="112">
        <v>12.03</v>
      </c>
      <c r="F70" s="112">
        <v>14.09</v>
      </c>
      <c r="G70" s="112">
        <v>49.04</v>
      </c>
      <c r="H70" s="112">
        <v>26.43</v>
      </c>
      <c r="I70" s="112">
        <v>7.05</v>
      </c>
      <c r="J70" s="112">
        <v>0.67</v>
      </c>
      <c r="K70" s="112">
        <v>34.380000000000003</v>
      </c>
      <c r="L70" s="112">
        <v>29.95</v>
      </c>
      <c r="M70" s="112">
        <v>33.86</v>
      </c>
      <c r="N70" s="112">
        <v>55.7</v>
      </c>
      <c r="O70" s="112">
        <v>0</v>
      </c>
      <c r="P70" s="112">
        <v>0.56000000000000005</v>
      </c>
      <c r="Q70" s="112">
        <v>5</v>
      </c>
    </row>
    <row r="71" spans="1:17" customFormat="1">
      <c r="A71" s="80">
        <v>45608.65625</v>
      </c>
      <c r="B71" s="112">
        <v>5.25</v>
      </c>
      <c r="C71" s="112">
        <v>8.06</v>
      </c>
      <c r="D71" s="112">
        <v>13.99</v>
      </c>
      <c r="E71" s="112">
        <v>14.18</v>
      </c>
      <c r="F71" s="112">
        <v>17.760000000000002</v>
      </c>
      <c r="G71" s="112">
        <v>48.98</v>
      </c>
      <c r="H71" s="112">
        <v>25.78</v>
      </c>
      <c r="I71" s="112">
        <v>7.05</v>
      </c>
      <c r="J71" s="112">
        <v>0.68</v>
      </c>
      <c r="K71" s="112">
        <v>46.34</v>
      </c>
      <c r="L71" s="112">
        <v>29.76</v>
      </c>
      <c r="M71" s="112">
        <v>33.22</v>
      </c>
      <c r="N71" s="112">
        <v>47.6</v>
      </c>
      <c r="O71" s="112">
        <v>0</v>
      </c>
      <c r="P71" s="112">
        <v>0.55000000000000004</v>
      </c>
      <c r="Q71" s="112">
        <v>5</v>
      </c>
    </row>
    <row r="72" spans="1:17" customFormat="1">
      <c r="A72" s="80">
        <v>45608.666666666664</v>
      </c>
      <c r="B72" s="112">
        <v>5.24</v>
      </c>
      <c r="C72" s="112">
        <v>8.0399999999999991</v>
      </c>
      <c r="D72" s="112">
        <v>13.98</v>
      </c>
      <c r="E72" s="112">
        <v>12.45</v>
      </c>
      <c r="F72" s="112">
        <v>13.73</v>
      </c>
      <c r="G72" s="112">
        <v>48.98</v>
      </c>
      <c r="H72" s="112">
        <v>25.78</v>
      </c>
      <c r="I72" s="112">
        <v>7.08</v>
      </c>
      <c r="J72" s="112">
        <v>0.51</v>
      </c>
      <c r="K72" s="112">
        <v>47.51</v>
      </c>
      <c r="L72" s="112">
        <v>29.65</v>
      </c>
      <c r="M72" s="112">
        <v>33.92</v>
      </c>
      <c r="N72" s="112">
        <v>39.4</v>
      </c>
      <c r="O72" s="112">
        <v>0</v>
      </c>
      <c r="P72" s="112">
        <v>0.55000000000000004</v>
      </c>
      <c r="Q72" s="112">
        <v>4.9800000000000004</v>
      </c>
    </row>
    <row r="73" spans="1:17" customFormat="1">
      <c r="A73" s="80">
        <v>45608.677083333336</v>
      </c>
      <c r="B73" s="112">
        <v>5.24</v>
      </c>
      <c r="C73" s="112">
        <v>8.08</v>
      </c>
      <c r="D73" s="112">
        <v>13.99</v>
      </c>
      <c r="E73" s="112">
        <v>13.72</v>
      </c>
      <c r="F73" s="112">
        <v>15.33</v>
      </c>
      <c r="G73" s="112">
        <v>48.98</v>
      </c>
      <c r="H73" s="112">
        <v>25.78</v>
      </c>
      <c r="I73" s="112">
        <v>7.01</v>
      </c>
      <c r="J73" s="112">
        <v>0.41</v>
      </c>
      <c r="K73" s="112">
        <v>48.35</v>
      </c>
      <c r="L73" s="112">
        <v>29.37</v>
      </c>
      <c r="M73" s="112">
        <v>35.549999999999997</v>
      </c>
      <c r="N73" s="112">
        <v>30.4</v>
      </c>
      <c r="O73" s="112">
        <v>0</v>
      </c>
      <c r="P73" s="112">
        <v>0.56000000000000005</v>
      </c>
      <c r="Q73" s="112">
        <v>4.97</v>
      </c>
    </row>
    <row r="74" spans="1:17" customFormat="1">
      <c r="A74" s="80">
        <v>45608.6875</v>
      </c>
      <c r="B74" s="112">
        <v>5.24</v>
      </c>
      <c r="C74" s="112">
        <v>8.07</v>
      </c>
      <c r="D74" s="112">
        <v>13.99</v>
      </c>
      <c r="E74" s="112">
        <v>11.85</v>
      </c>
      <c r="F74" s="112">
        <v>11.21</v>
      </c>
      <c r="G74" s="112">
        <v>48.98</v>
      </c>
      <c r="H74" s="112">
        <v>25.78</v>
      </c>
      <c r="I74" s="112">
        <v>6.95</v>
      </c>
      <c r="J74" s="112">
        <v>0.22</v>
      </c>
      <c r="K74" s="112">
        <v>34.619999999999997</v>
      </c>
      <c r="L74" s="112">
        <v>28.97</v>
      </c>
      <c r="M74" s="112">
        <v>37.9</v>
      </c>
      <c r="N74" s="112">
        <v>22.8</v>
      </c>
      <c r="O74" s="112">
        <v>0</v>
      </c>
      <c r="P74" s="112">
        <v>0.56999999999999995</v>
      </c>
      <c r="Q74" s="112">
        <v>4.97</v>
      </c>
    </row>
    <row r="75" spans="1:17" customFormat="1">
      <c r="A75" s="80">
        <v>45608.697916666664</v>
      </c>
      <c r="B75" s="112">
        <v>5.23</v>
      </c>
      <c r="C75" s="112">
        <v>8.1</v>
      </c>
      <c r="D75" s="112">
        <v>14</v>
      </c>
      <c r="E75" s="112">
        <v>11.4</v>
      </c>
      <c r="F75" s="112">
        <v>9.6</v>
      </c>
      <c r="G75" s="112">
        <v>53.18</v>
      </c>
      <c r="H75" s="112">
        <v>24.54</v>
      </c>
      <c r="I75" s="112">
        <v>6.96</v>
      </c>
      <c r="J75" s="112">
        <v>0.16</v>
      </c>
      <c r="K75" s="112">
        <v>91.53</v>
      </c>
      <c r="L75" s="112">
        <v>27.93</v>
      </c>
      <c r="M75" s="112">
        <v>43.34</v>
      </c>
      <c r="N75" s="112">
        <v>14.9</v>
      </c>
      <c r="O75" s="112">
        <v>0</v>
      </c>
      <c r="P75" s="112">
        <v>0.56999999999999995</v>
      </c>
      <c r="Q75" s="112">
        <v>4.97</v>
      </c>
    </row>
    <row r="76" spans="1:17" customFormat="1">
      <c r="A76" s="80">
        <v>45608.708333333336</v>
      </c>
      <c r="B76" s="112">
        <v>5.23</v>
      </c>
      <c r="C76" s="112">
        <v>8.08</v>
      </c>
      <c r="D76" s="112">
        <v>13.99</v>
      </c>
      <c r="E76" s="112">
        <v>11.08</v>
      </c>
      <c r="F76" s="112">
        <v>8.3699999999999992</v>
      </c>
      <c r="G76" s="112">
        <v>53.27</v>
      </c>
      <c r="H76" s="112">
        <v>24.54</v>
      </c>
      <c r="I76" s="112">
        <v>7.04</v>
      </c>
      <c r="J76" s="112">
        <v>0.35</v>
      </c>
      <c r="K76" s="112">
        <v>37.549999999999997</v>
      </c>
      <c r="L76" s="112">
        <v>28.01</v>
      </c>
      <c r="M76" s="112">
        <v>41.4</v>
      </c>
      <c r="N76" s="112">
        <v>7.5</v>
      </c>
      <c r="O76" s="112">
        <v>0</v>
      </c>
      <c r="P76" s="112">
        <v>0.59</v>
      </c>
      <c r="Q76" s="112">
        <v>4.97</v>
      </c>
    </row>
    <row r="77" spans="1:17" customFormat="1">
      <c r="A77" s="80">
        <v>45608.71875</v>
      </c>
      <c r="B77" s="112">
        <v>5.25</v>
      </c>
      <c r="C77" s="112">
        <v>8.0500000000000007</v>
      </c>
      <c r="D77" s="112">
        <v>13.99</v>
      </c>
      <c r="E77" s="112">
        <v>11.45</v>
      </c>
      <c r="F77" s="112">
        <v>9.4600000000000009</v>
      </c>
      <c r="G77" s="112">
        <v>53.27</v>
      </c>
      <c r="H77" s="112">
        <v>24.54</v>
      </c>
      <c r="I77" s="112">
        <v>7.1</v>
      </c>
      <c r="J77" s="112">
        <v>0.36</v>
      </c>
      <c r="K77" s="112">
        <v>39.9</v>
      </c>
      <c r="L77" s="112">
        <v>27.54</v>
      </c>
      <c r="M77" s="112">
        <v>44.39</v>
      </c>
      <c r="N77" s="112">
        <v>3.5</v>
      </c>
      <c r="O77" s="112">
        <v>0</v>
      </c>
      <c r="P77" s="112">
        <v>0.6</v>
      </c>
      <c r="Q77" s="112">
        <v>4.97</v>
      </c>
    </row>
    <row r="78" spans="1:17" customFormat="1">
      <c r="A78" s="80">
        <v>45608.729166666664</v>
      </c>
      <c r="B78" s="112">
        <v>5.25</v>
      </c>
      <c r="C78" s="112">
        <v>8.08</v>
      </c>
      <c r="D78" s="112">
        <v>14</v>
      </c>
      <c r="E78" s="112">
        <v>11.32</v>
      </c>
      <c r="F78" s="112">
        <v>8.4</v>
      </c>
      <c r="G78" s="112">
        <v>53.27</v>
      </c>
      <c r="H78" s="112">
        <v>24.54</v>
      </c>
      <c r="I78" s="112">
        <v>7.28</v>
      </c>
      <c r="J78" s="112">
        <v>0.54</v>
      </c>
      <c r="K78" s="112">
        <v>46.23</v>
      </c>
      <c r="L78" s="112">
        <v>27.21</v>
      </c>
      <c r="M78" s="112">
        <v>45.94</v>
      </c>
      <c r="N78" s="112">
        <v>2</v>
      </c>
      <c r="O78" s="112">
        <v>0</v>
      </c>
      <c r="P78" s="112">
        <v>0.6</v>
      </c>
      <c r="Q78" s="112">
        <v>4.9800000000000004</v>
      </c>
    </row>
    <row r="79" spans="1:17" customFormat="1">
      <c r="A79" s="80">
        <v>45608.739583333336</v>
      </c>
      <c r="B79" s="112">
        <v>5.26</v>
      </c>
      <c r="C79" s="112">
        <v>8.08</v>
      </c>
      <c r="D79" s="112">
        <v>14.01</v>
      </c>
      <c r="E79" s="112">
        <v>11.87</v>
      </c>
      <c r="F79" s="112">
        <v>8.09</v>
      </c>
      <c r="G79" s="112">
        <v>65.98</v>
      </c>
      <c r="H79" s="112">
        <v>25.85</v>
      </c>
      <c r="I79" s="112">
        <v>7.32</v>
      </c>
      <c r="J79" s="112">
        <v>0.47</v>
      </c>
      <c r="K79" s="112">
        <v>44.26</v>
      </c>
      <c r="L79" s="112">
        <v>26.89</v>
      </c>
      <c r="M79" s="112">
        <v>47.85</v>
      </c>
      <c r="N79" s="112">
        <v>1.7</v>
      </c>
      <c r="O79" s="112">
        <v>0</v>
      </c>
      <c r="P79" s="112">
        <v>0.61</v>
      </c>
      <c r="Q79" s="112">
        <v>4.96</v>
      </c>
    </row>
    <row r="80" spans="1:17" customFormat="1">
      <c r="A80" s="80">
        <v>45608.75</v>
      </c>
      <c r="B80" s="112">
        <v>5.26</v>
      </c>
      <c r="C80" s="112">
        <v>8.06</v>
      </c>
      <c r="D80" s="112">
        <v>14</v>
      </c>
      <c r="E80" s="112">
        <v>10.87</v>
      </c>
      <c r="F80" s="112">
        <v>6.9</v>
      </c>
      <c r="G80" s="112">
        <v>66.27</v>
      </c>
      <c r="H80" s="112">
        <v>25.85</v>
      </c>
      <c r="I80" s="112">
        <v>7.3</v>
      </c>
      <c r="J80" s="112">
        <v>0.38</v>
      </c>
      <c r="K80" s="112">
        <v>52.53</v>
      </c>
      <c r="L80" s="112">
        <v>26.61</v>
      </c>
      <c r="M80" s="112">
        <v>49.55</v>
      </c>
      <c r="N80" s="112">
        <v>1.7</v>
      </c>
      <c r="O80" s="112">
        <v>0</v>
      </c>
      <c r="P80" s="112">
        <v>0.63</v>
      </c>
      <c r="Q80" s="112">
        <v>4.97</v>
      </c>
    </row>
    <row r="81" spans="1:17" customFormat="1">
      <c r="A81" s="80">
        <v>45608.760416666664</v>
      </c>
      <c r="B81" s="112">
        <v>5.27</v>
      </c>
      <c r="C81" s="112">
        <v>8.07</v>
      </c>
      <c r="D81" s="112">
        <v>14.01</v>
      </c>
      <c r="E81" s="112">
        <v>9.4700000000000006</v>
      </c>
      <c r="F81" s="112">
        <v>6.51</v>
      </c>
      <c r="G81" s="112">
        <v>66.27</v>
      </c>
      <c r="H81" s="112">
        <v>25.85</v>
      </c>
      <c r="I81" s="112">
        <v>7.39</v>
      </c>
      <c r="J81" s="112">
        <v>0.26</v>
      </c>
      <c r="K81" s="112">
        <v>58.83</v>
      </c>
      <c r="L81" s="112">
        <v>26.26</v>
      </c>
      <c r="M81" s="112">
        <v>51.99</v>
      </c>
      <c r="N81" s="112">
        <v>1.8</v>
      </c>
      <c r="O81" s="112">
        <v>0</v>
      </c>
      <c r="P81" s="112">
        <v>0.66</v>
      </c>
      <c r="Q81" s="112">
        <v>4.96</v>
      </c>
    </row>
    <row r="82" spans="1:17" customFormat="1">
      <c r="A82" s="80">
        <v>45608.770833333336</v>
      </c>
      <c r="B82" s="112">
        <v>5.29</v>
      </c>
      <c r="C82" s="112">
        <v>8.07</v>
      </c>
      <c r="D82" s="112">
        <v>14.02</v>
      </c>
      <c r="E82" s="112">
        <v>11.08</v>
      </c>
      <c r="F82" s="112">
        <v>6.57</v>
      </c>
      <c r="G82" s="112">
        <v>66.27</v>
      </c>
      <c r="H82" s="112">
        <v>25.85</v>
      </c>
      <c r="I82" s="112">
        <v>7.5</v>
      </c>
      <c r="J82" s="112">
        <v>0.34</v>
      </c>
      <c r="K82" s="112">
        <v>41.11</v>
      </c>
      <c r="L82" s="112">
        <v>25.98</v>
      </c>
      <c r="M82" s="112">
        <v>52.77</v>
      </c>
      <c r="N82" s="112">
        <v>1.5</v>
      </c>
      <c r="O82" s="112">
        <v>0</v>
      </c>
      <c r="P82" s="112">
        <v>0.76</v>
      </c>
      <c r="Q82" s="112">
        <v>4.97</v>
      </c>
    </row>
    <row r="83" spans="1:17" customFormat="1">
      <c r="A83" s="80">
        <v>45608.78125</v>
      </c>
      <c r="B83" s="112">
        <v>5.29</v>
      </c>
      <c r="C83" s="112">
        <v>8.0500000000000007</v>
      </c>
      <c r="D83" s="112">
        <v>14.02</v>
      </c>
      <c r="E83" s="112">
        <v>11.34</v>
      </c>
      <c r="F83" s="112">
        <v>6.5</v>
      </c>
      <c r="G83" s="112">
        <v>84.91</v>
      </c>
      <c r="H83" s="112">
        <v>32.1</v>
      </c>
      <c r="I83" s="112">
        <v>7.57</v>
      </c>
      <c r="J83" s="112">
        <v>0.3</v>
      </c>
      <c r="K83" s="112">
        <v>34.79</v>
      </c>
      <c r="L83" s="112">
        <v>25.81</v>
      </c>
      <c r="M83" s="112">
        <v>53.29</v>
      </c>
      <c r="N83" s="112">
        <v>1.6</v>
      </c>
      <c r="O83" s="112">
        <v>0</v>
      </c>
      <c r="P83" s="112">
        <v>0.88</v>
      </c>
      <c r="Q83" s="112">
        <v>4.9800000000000004</v>
      </c>
    </row>
    <row r="84" spans="1:17" customFormat="1">
      <c r="A84" s="80">
        <v>45608.791666666664</v>
      </c>
      <c r="B84" s="112">
        <v>5.29</v>
      </c>
      <c r="C84" s="112">
        <v>8.06</v>
      </c>
      <c r="D84" s="112">
        <v>14.03</v>
      </c>
      <c r="E84" s="112">
        <v>10.92</v>
      </c>
      <c r="F84" s="112">
        <v>6.22</v>
      </c>
      <c r="G84" s="112">
        <v>85.34</v>
      </c>
      <c r="H84" s="112">
        <v>32.1</v>
      </c>
      <c r="I84" s="112">
        <v>7.77</v>
      </c>
      <c r="J84" s="112">
        <v>0.36</v>
      </c>
      <c r="K84" s="112">
        <v>37.83</v>
      </c>
      <c r="L84" s="112">
        <v>25.57</v>
      </c>
      <c r="M84" s="112">
        <v>54.3</v>
      </c>
      <c r="N84" s="112">
        <v>1.6</v>
      </c>
      <c r="O84" s="112">
        <v>0</v>
      </c>
      <c r="P84" s="112">
        <v>1</v>
      </c>
      <c r="Q84" s="112">
        <v>4.9800000000000004</v>
      </c>
    </row>
    <row r="85" spans="1:17" customFormat="1">
      <c r="A85" s="80">
        <v>45608.802083333336</v>
      </c>
      <c r="B85" s="112">
        <v>5.3</v>
      </c>
      <c r="C85" s="112">
        <v>8.06</v>
      </c>
      <c r="D85" s="112">
        <v>14.03</v>
      </c>
      <c r="E85" s="112">
        <v>11.34</v>
      </c>
      <c r="F85" s="112">
        <v>6.28</v>
      </c>
      <c r="G85" s="112">
        <v>85.34</v>
      </c>
      <c r="H85" s="112">
        <v>32.1</v>
      </c>
      <c r="I85" s="112">
        <v>8</v>
      </c>
      <c r="J85" s="112">
        <v>0.38</v>
      </c>
      <c r="K85" s="112">
        <v>49.35</v>
      </c>
      <c r="L85" s="112">
        <v>25.4</v>
      </c>
      <c r="M85" s="112">
        <v>54.62</v>
      </c>
      <c r="N85" s="112">
        <v>1.6</v>
      </c>
      <c r="O85" s="112">
        <v>0</v>
      </c>
      <c r="P85" s="112">
        <v>1.07</v>
      </c>
      <c r="Q85" s="112">
        <v>4.9800000000000004</v>
      </c>
    </row>
    <row r="86" spans="1:17" customFormat="1">
      <c r="A86" s="80">
        <v>45608.8125</v>
      </c>
      <c r="B86" s="112">
        <v>5.29</v>
      </c>
      <c r="C86" s="112">
        <v>8.0500000000000007</v>
      </c>
      <c r="D86" s="112">
        <v>14.02</v>
      </c>
      <c r="E86" s="112">
        <v>11.71</v>
      </c>
      <c r="F86" s="112">
        <v>6.11</v>
      </c>
      <c r="G86" s="112">
        <v>85.34</v>
      </c>
      <c r="H86" s="112">
        <v>32.1</v>
      </c>
      <c r="I86" s="112">
        <v>8.2100000000000009</v>
      </c>
      <c r="J86" s="112">
        <v>0.21</v>
      </c>
      <c r="K86" s="112">
        <v>47.66</v>
      </c>
      <c r="L86" s="112">
        <v>25.2</v>
      </c>
      <c r="M86" s="112">
        <v>56.34</v>
      </c>
      <c r="N86" s="112">
        <v>1.7</v>
      </c>
      <c r="O86" s="112">
        <v>0</v>
      </c>
      <c r="P86" s="112">
        <v>1.0900000000000001</v>
      </c>
      <c r="Q86" s="112">
        <v>4.99</v>
      </c>
    </row>
    <row r="87" spans="1:17" customFormat="1">
      <c r="A87" s="80">
        <v>45608.822916666664</v>
      </c>
      <c r="B87" s="112">
        <v>5.27</v>
      </c>
      <c r="C87" s="112">
        <v>8.07</v>
      </c>
      <c r="D87" s="112">
        <v>14.01</v>
      </c>
      <c r="E87" s="112">
        <v>10.76</v>
      </c>
      <c r="F87" s="112">
        <v>5.81</v>
      </c>
      <c r="G87" s="112">
        <v>111.74</v>
      </c>
      <c r="H87" s="112">
        <v>37.68</v>
      </c>
      <c r="I87" s="112">
        <v>8.3800000000000008</v>
      </c>
      <c r="J87" s="112">
        <v>0.24</v>
      </c>
      <c r="K87" s="112">
        <v>156.31</v>
      </c>
      <c r="L87" s="112">
        <v>24.47</v>
      </c>
      <c r="M87" s="112">
        <v>62.69</v>
      </c>
      <c r="N87" s="112">
        <v>2.1</v>
      </c>
      <c r="O87" s="112">
        <v>0</v>
      </c>
      <c r="P87" s="112">
        <v>1.0900000000000001</v>
      </c>
      <c r="Q87" s="112">
        <v>4.9800000000000004</v>
      </c>
    </row>
    <row r="88" spans="1:17" customFormat="1">
      <c r="A88" s="80">
        <v>45608.833333333336</v>
      </c>
      <c r="B88" s="112">
        <v>5.28</v>
      </c>
      <c r="C88" s="112">
        <v>8.07</v>
      </c>
      <c r="D88" s="112">
        <v>14.02</v>
      </c>
      <c r="E88" s="112">
        <v>10.44</v>
      </c>
      <c r="F88" s="112">
        <v>5.77</v>
      </c>
      <c r="G88" s="112">
        <v>112.34</v>
      </c>
      <c r="H88" s="112">
        <v>37.68</v>
      </c>
      <c r="I88" s="112">
        <v>8.52</v>
      </c>
      <c r="J88" s="112">
        <v>0.18</v>
      </c>
      <c r="K88" s="112">
        <v>149.6</v>
      </c>
      <c r="L88" s="112">
        <v>24.03</v>
      </c>
      <c r="M88" s="112">
        <v>66.989999999999995</v>
      </c>
      <c r="N88" s="112">
        <v>1.8</v>
      </c>
      <c r="O88" s="112">
        <v>0</v>
      </c>
      <c r="P88" s="112">
        <v>1.1200000000000001</v>
      </c>
      <c r="Q88" s="112">
        <v>4.9800000000000004</v>
      </c>
    </row>
    <row r="89" spans="1:17" customFormat="1">
      <c r="A89" s="80">
        <v>45608.84375</v>
      </c>
      <c r="B89" s="112">
        <v>5.28</v>
      </c>
      <c r="C89" s="112">
        <v>8.06</v>
      </c>
      <c r="D89" s="112">
        <v>14.01</v>
      </c>
      <c r="E89" s="112">
        <v>10.28</v>
      </c>
      <c r="F89" s="112">
        <v>5.8</v>
      </c>
      <c r="G89" s="112">
        <v>112.34</v>
      </c>
      <c r="H89" s="112">
        <v>37.68</v>
      </c>
      <c r="I89" s="112">
        <v>8.7100000000000009</v>
      </c>
      <c r="J89" s="112">
        <v>0.17</v>
      </c>
      <c r="K89" s="112">
        <v>133.47999999999999</v>
      </c>
      <c r="L89" s="112">
        <v>23.9</v>
      </c>
      <c r="M89" s="112">
        <v>67.2</v>
      </c>
      <c r="N89" s="112">
        <v>1.5</v>
      </c>
      <c r="O89" s="112">
        <v>0</v>
      </c>
      <c r="P89" s="112">
        <v>1.1599999999999999</v>
      </c>
      <c r="Q89" s="112">
        <v>4.97</v>
      </c>
    </row>
    <row r="90" spans="1:17" customFormat="1">
      <c r="A90" s="80">
        <v>45608.854166666664</v>
      </c>
      <c r="B90" s="112">
        <v>5.28</v>
      </c>
      <c r="C90" s="112">
        <v>8.06</v>
      </c>
      <c r="D90" s="112">
        <v>14.01</v>
      </c>
      <c r="E90" s="112">
        <v>10.25</v>
      </c>
      <c r="F90" s="112">
        <v>5.76</v>
      </c>
      <c r="G90" s="112">
        <v>112.34</v>
      </c>
      <c r="H90" s="112">
        <v>37.68</v>
      </c>
      <c r="I90" s="112">
        <v>8.9499999999999993</v>
      </c>
      <c r="J90" s="112">
        <v>0.17</v>
      </c>
      <c r="K90" s="112">
        <v>177.45</v>
      </c>
      <c r="L90" s="112">
        <v>23.6</v>
      </c>
      <c r="M90" s="112">
        <v>70.36</v>
      </c>
      <c r="N90" s="112">
        <v>1.7</v>
      </c>
      <c r="O90" s="112">
        <v>0</v>
      </c>
      <c r="P90" s="112">
        <v>1.17</v>
      </c>
      <c r="Q90" s="112">
        <v>4.97</v>
      </c>
    </row>
    <row r="91" spans="1:17" customFormat="1">
      <c r="A91" s="80">
        <v>45608.864583333336</v>
      </c>
      <c r="B91" s="112">
        <v>5.28</v>
      </c>
      <c r="C91" s="112">
        <v>8.07</v>
      </c>
      <c r="D91" s="112">
        <v>14.02</v>
      </c>
      <c r="E91" s="112">
        <v>10.8</v>
      </c>
      <c r="F91" s="112">
        <v>5.81</v>
      </c>
      <c r="G91" s="112">
        <v>141.22999999999999</v>
      </c>
      <c r="H91" s="112">
        <v>49.73</v>
      </c>
      <c r="I91" s="112">
        <v>9.15</v>
      </c>
      <c r="J91" s="112">
        <v>0.11</v>
      </c>
      <c r="K91" s="112">
        <v>162.62</v>
      </c>
      <c r="L91" s="112">
        <v>23.36</v>
      </c>
      <c r="M91" s="112">
        <v>69.239999999999995</v>
      </c>
      <c r="N91" s="112">
        <v>1.6</v>
      </c>
      <c r="O91" s="112">
        <v>0</v>
      </c>
      <c r="P91" s="112">
        <v>1.18</v>
      </c>
      <c r="Q91" s="112">
        <v>4.9800000000000004</v>
      </c>
    </row>
    <row r="92" spans="1:17" customFormat="1">
      <c r="A92" s="80">
        <v>45608.875</v>
      </c>
      <c r="B92" s="112">
        <v>5.27</v>
      </c>
      <c r="C92" s="112">
        <v>8.1</v>
      </c>
      <c r="D92" s="112">
        <v>14.03</v>
      </c>
      <c r="E92" s="112">
        <v>10.050000000000001</v>
      </c>
      <c r="F92" s="112">
        <v>5.51</v>
      </c>
      <c r="G92" s="112">
        <v>141.88999999999999</v>
      </c>
      <c r="H92" s="112">
        <v>49.73</v>
      </c>
      <c r="I92" s="112">
        <v>9.2899999999999991</v>
      </c>
      <c r="J92" s="112">
        <v>0.19</v>
      </c>
      <c r="K92" s="112">
        <v>127.09</v>
      </c>
      <c r="L92" s="112">
        <v>23.52</v>
      </c>
      <c r="M92" s="112">
        <v>65.78</v>
      </c>
      <c r="N92" s="112">
        <v>1.2</v>
      </c>
      <c r="O92" s="112">
        <v>0</v>
      </c>
      <c r="P92" s="112">
        <v>1.17</v>
      </c>
      <c r="Q92" s="112">
        <v>4.9800000000000004</v>
      </c>
    </row>
    <row r="93" spans="1:17" customFormat="1">
      <c r="A93" s="80">
        <v>45608.885416666664</v>
      </c>
      <c r="B93" s="112">
        <v>5.27</v>
      </c>
      <c r="C93" s="112">
        <v>8.0500000000000007</v>
      </c>
      <c r="D93" s="112">
        <v>14</v>
      </c>
      <c r="E93" s="112">
        <v>10.29</v>
      </c>
      <c r="F93" s="112">
        <v>5.68</v>
      </c>
      <c r="G93" s="112">
        <v>141.88999999999999</v>
      </c>
      <c r="H93" s="112">
        <v>49.73</v>
      </c>
      <c r="I93" s="112">
        <v>9.4700000000000006</v>
      </c>
      <c r="J93" s="112">
        <v>0.15</v>
      </c>
      <c r="K93" s="112">
        <v>167.2</v>
      </c>
      <c r="L93" s="112">
        <v>22.86</v>
      </c>
      <c r="M93" s="112">
        <v>72.48</v>
      </c>
      <c r="N93" s="112">
        <v>2</v>
      </c>
      <c r="O93" s="112">
        <v>0</v>
      </c>
      <c r="P93" s="112">
        <v>1.1599999999999999</v>
      </c>
      <c r="Q93" s="112">
        <v>4.99</v>
      </c>
    </row>
    <row r="94" spans="1:17" customFormat="1">
      <c r="A94" s="80">
        <v>45608.895833333336</v>
      </c>
      <c r="B94" s="112">
        <v>5.26</v>
      </c>
      <c r="C94" s="112">
        <v>8.11</v>
      </c>
      <c r="D94" s="112">
        <v>14.02</v>
      </c>
      <c r="E94" s="112">
        <v>10.19</v>
      </c>
      <c r="F94" s="112">
        <v>5.77</v>
      </c>
      <c r="G94" s="112">
        <v>141.88999999999999</v>
      </c>
      <c r="H94" s="112">
        <v>49.73</v>
      </c>
      <c r="I94" s="112">
        <v>9.6300000000000008</v>
      </c>
      <c r="J94" s="112">
        <v>0.22</v>
      </c>
      <c r="K94" s="112">
        <v>158.63</v>
      </c>
      <c r="L94" s="112">
        <v>22.73</v>
      </c>
      <c r="M94" s="112">
        <v>70.97</v>
      </c>
      <c r="N94" s="112">
        <v>1.5</v>
      </c>
      <c r="O94" s="112">
        <v>0</v>
      </c>
      <c r="P94" s="112">
        <v>1.1499999999999999</v>
      </c>
      <c r="Q94" s="112">
        <v>4.99</v>
      </c>
    </row>
    <row r="95" spans="1:17" customFormat="1">
      <c r="A95" s="80">
        <v>45608.90625</v>
      </c>
      <c r="B95" s="112">
        <v>5.27</v>
      </c>
      <c r="C95" s="112">
        <v>8.07</v>
      </c>
      <c r="D95" s="112">
        <v>14.01</v>
      </c>
      <c r="E95" s="112">
        <v>10.32</v>
      </c>
      <c r="F95" s="112">
        <v>5.51</v>
      </c>
      <c r="G95" s="112">
        <v>163.5</v>
      </c>
      <c r="H95" s="112">
        <v>62.56</v>
      </c>
      <c r="I95" s="112">
        <v>9.73</v>
      </c>
      <c r="J95" s="112">
        <v>0.18</v>
      </c>
      <c r="K95" s="112">
        <v>176.21</v>
      </c>
      <c r="L95" s="112">
        <v>22.48</v>
      </c>
      <c r="M95" s="112">
        <v>71.95</v>
      </c>
      <c r="N95" s="112">
        <v>1.6</v>
      </c>
      <c r="O95" s="112">
        <v>0</v>
      </c>
      <c r="P95" s="112">
        <v>1.1499999999999999</v>
      </c>
      <c r="Q95" s="112">
        <v>4.99</v>
      </c>
    </row>
    <row r="96" spans="1:17" customFormat="1">
      <c r="A96" s="80">
        <v>45608.916666666664</v>
      </c>
      <c r="B96" s="112">
        <v>5.27</v>
      </c>
      <c r="C96" s="112">
        <v>8.06</v>
      </c>
      <c r="D96" s="112">
        <v>14</v>
      </c>
      <c r="E96" s="112">
        <v>10.38</v>
      </c>
      <c r="F96" s="112">
        <v>5.86</v>
      </c>
      <c r="G96" s="112">
        <v>164</v>
      </c>
      <c r="H96" s="112">
        <v>62.56</v>
      </c>
      <c r="I96" s="112">
        <v>9.82</v>
      </c>
      <c r="J96" s="112">
        <v>0.19</v>
      </c>
      <c r="K96" s="112">
        <v>190.95</v>
      </c>
      <c r="L96" s="112">
        <v>22.31</v>
      </c>
      <c r="M96" s="112">
        <v>78.400000000000006</v>
      </c>
      <c r="N96" s="112">
        <v>1.6</v>
      </c>
      <c r="O96" s="112">
        <v>0</v>
      </c>
      <c r="P96" s="112">
        <v>1.1299999999999999</v>
      </c>
      <c r="Q96" s="112">
        <v>4.9800000000000004</v>
      </c>
    </row>
    <row r="97" spans="1:22" customFormat="1">
      <c r="A97" s="80">
        <v>45608.927083333336</v>
      </c>
      <c r="B97" s="112">
        <v>5.25</v>
      </c>
      <c r="C97" s="112">
        <v>8.07</v>
      </c>
      <c r="D97" s="112">
        <v>14</v>
      </c>
      <c r="E97" s="112">
        <v>10.66</v>
      </c>
      <c r="F97" s="112">
        <v>5.67</v>
      </c>
      <c r="G97" s="112">
        <v>164</v>
      </c>
      <c r="H97" s="112">
        <v>62.56</v>
      </c>
      <c r="I97" s="112">
        <v>9.89</v>
      </c>
      <c r="J97" s="112">
        <v>0.17</v>
      </c>
      <c r="K97" s="112">
        <v>163.68</v>
      </c>
      <c r="L97" s="112">
        <v>22.19</v>
      </c>
      <c r="M97" s="112">
        <v>77.03</v>
      </c>
      <c r="N97" s="112">
        <v>1.4</v>
      </c>
      <c r="O97" s="112">
        <v>0</v>
      </c>
      <c r="P97" s="112">
        <v>1.1100000000000001</v>
      </c>
      <c r="Q97" s="112">
        <v>4.9800000000000004</v>
      </c>
    </row>
    <row r="98" spans="1:22" customFormat="1">
      <c r="A98" s="80">
        <v>45608.9375</v>
      </c>
      <c r="B98" s="112">
        <v>5.26</v>
      </c>
      <c r="C98" s="112">
        <v>8.0500000000000007</v>
      </c>
      <c r="D98" s="112">
        <v>14</v>
      </c>
      <c r="E98" s="112">
        <v>10.199999999999999</v>
      </c>
      <c r="F98" s="112">
        <v>5.72</v>
      </c>
      <c r="G98" s="112">
        <v>164</v>
      </c>
      <c r="H98" s="112">
        <v>62.56</v>
      </c>
      <c r="I98" s="112">
        <v>9.89</v>
      </c>
      <c r="J98" s="112">
        <v>0.15</v>
      </c>
      <c r="K98" s="112">
        <v>99.28</v>
      </c>
      <c r="L98" s="112">
        <v>22.37</v>
      </c>
      <c r="M98" s="112">
        <v>71.75</v>
      </c>
      <c r="N98" s="112">
        <v>1.2</v>
      </c>
      <c r="O98" s="112">
        <v>0</v>
      </c>
      <c r="P98" s="112">
        <v>1.0900000000000001</v>
      </c>
      <c r="Q98" s="112">
        <v>4.97</v>
      </c>
    </row>
    <row r="99" spans="1:22" customFormat="1">
      <c r="A99" s="80">
        <v>45608.947916666664</v>
      </c>
      <c r="B99" s="112">
        <v>5.26</v>
      </c>
      <c r="C99" s="112">
        <v>8.09</v>
      </c>
      <c r="D99" s="112">
        <v>14.01</v>
      </c>
      <c r="E99" s="112">
        <v>10.3</v>
      </c>
      <c r="F99" s="112">
        <v>5.9</v>
      </c>
      <c r="G99" s="112">
        <v>131.41</v>
      </c>
      <c r="H99" s="112">
        <v>59.23</v>
      </c>
      <c r="I99" s="112">
        <v>9.9</v>
      </c>
      <c r="J99" s="112">
        <v>0.25</v>
      </c>
      <c r="K99" s="112">
        <v>51.34</v>
      </c>
      <c r="L99" s="112">
        <v>22.74</v>
      </c>
      <c r="M99" s="112">
        <v>68.16</v>
      </c>
      <c r="N99" s="112">
        <v>1.1000000000000001</v>
      </c>
      <c r="O99" s="112">
        <v>0</v>
      </c>
      <c r="P99" s="112">
        <v>1.07</v>
      </c>
      <c r="Q99" s="112">
        <v>4.97</v>
      </c>
    </row>
    <row r="100" spans="1:22" customFormat="1">
      <c r="A100" s="80">
        <v>45608.958333333336</v>
      </c>
      <c r="B100" s="112">
        <v>5.25</v>
      </c>
      <c r="C100" s="112">
        <v>8.11</v>
      </c>
      <c r="D100" s="112">
        <v>14.01</v>
      </c>
      <c r="E100" s="112">
        <v>10.08</v>
      </c>
      <c r="F100" s="112">
        <v>6</v>
      </c>
      <c r="G100" s="112">
        <v>130.66999999999999</v>
      </c>
      <c r="H100" s="112">
        <v>59.23</v>
      </c>
      <c r="I100" s="112">
        <v>9.84</v>
      </c>
      <c r="J100" s="112">
        <v>0.25</v>
      </c>
      <c r="K100" s="112">
        <v>64.87</v>
      </c>
      <c r="L100" s="112">
        <v>22.8</v>
      </c>
      <c r="M100" s="112">
        <v>68.02</v>
      </c>
      <c r="N100" s="112">
        <v>1.3</v>
      </c>
      <c r="O100" s="112">
        <v>0</v>
      </c>
      <c r="P100" s="112">
        <v>1.05</v>
      </c>
      <c r="Q100" s="112">
        <v>4.97</v>
      </c>
    </row>
    <row r="101" spans="1:22" customFormat="1">
      <c r="A101" s="80">
        <v>45608.96875</v>
      </c>
      <c r="B101" s="112">
        <v>5.25</v>
      </c>
      <c r="C101" s="112">
        <v>8.1</v>
      </c>
      <c r="D101" s="112">
        <v>14.01</v>
      </c>
      <c r="E101" s="112">
        <v>10.23</v>
      </c>
      <c r="F101" s="112">
        <v>5.7</v>
      </c>
      <c r="G101" s="112">
        <v>130.66999999999999</v>
      </c>
      <c r="H101" s="112">
        <v>59.23</v>
      </c>
      <c r="I101" s="112">
        <v>9.7200000000000006</v>
      </c>
      <c r="J101" s="112">
        <v>0.47</v>
      </c>
      <c r="K101" s="112">
        <v>52.24</v>
      </c>
      <c r="L101" s="112">
        <v>22.65</v>
      </c>
      <c r="M101" s="112">
        <v>68.180000000000007</v>
      </c>
      <c r="N101" s="112">
        <v>1.3</v>
      </c>
      <c r="O101" s="112">
        <v>0</v>
      </c>
      <c r="P101" s="112">
        <v>1.02</v>
      </c>
      <c r="Q101" s="112">
        <v>4.97</v>
      </c>
    </row>
    <row r="102" spans="1:22" customFormat="1">
      <c r="A102" s="80">
        <v>45608.979166666664</v>
      </c>
      <c r="B102" s="112">
        <v>5.26</v>
      </c>
      <c r="C102" s="112">
        <v>8.09</v>
      </c>
      <c r="D102" s="112">
        <v>14.01</v>
      </c>
      <c r="E102" s="112">
        <v>10.59</v>
      </c>
      <c r="F102" s="112">
        <v>5.53</v>
      </c>
      <c r="G102" s="112">
        <v>130.66999999999999</v>
      </c>
      <c r="H102" s="112">
        <v>59.23</v>
      </c>
      <c r="I102" s="112">
        <v>9.6300000000000008</v>
      </c>
      <c r="J102" s="112">
        <v>0.46</v>
      </c>
      <c r="K102" s="112">
        <v>52.01</v>
      </c>
      <c r="L102" s="112">
        <v>22.55</v>
      </c>
      <c r="M102" s="112">
        <v>68.959999999999994</v>
      </c>
      <c r="N102" s="112">
        <v>1.4</v>
      </c>
      <c r="O102" s="112">
        <v>0</v>
      </c>
      <c r="P102" s="112">
        <v>1</v>
      </c>
      <c r="Q102" s="112">
        <v>4.9800000000000004</v>
      </c>
    </row>
    <row r="103" spans="1:22" customFormat="1">
      <c r="A103" s="80">
        <v>45608.989583333336</v>
      </c>
      <c r="B103" s="112">
        <v>5.28</v>
      </c>
      <c r="C103" s="112">
        <v>8.06</v>
      </c>
      <c r="D103" s="112">
        <v>14.01</v>
      </c>
      <c r="E103" s="112">
        <v>10.77</v>
      </c>
      <c r="F103" s="112">
        <v>5.65</v>
      </c>
      <c r="G103" s="112">
        <v>102.71</v>
      </c>
      <c r="H103" s="112">
        <v>49</v>
      </c>
      <c r="I103" s="112">
        <v>9.6</v>
      </c>
      <c r="J103" s="112">
        <v>0.33</v>
      </c>
      <c r="K103" s="112">
        <v>41.16</v>
      </c>
      <c r="L103" s="112">
        <v>22.41</v>
      </c>
      <c r="M103" s="112">
        <v>69.66</v>
      </c>
      <c r="N103" s="112">
        <v>1.5</v>
      </c>
      <c r="O103" s="112">
        <v>0</v>
      </c>
      <c r="P103" s="112">
        <v>0.98</v>
      </c>
      <c r="Q103" s="112">
        <v>4.97</v>
      </c>
    </row>
    <row r="104" spans="1:22" customFormat="1">
      <c r="A104" s="80">
        <v>45609</v>
      </c>
      <c r="B104" s="112">
        <v>5.26</v>
      </c>
      <c r="C104" s="112">
        <v>8.11</v>
      </c>
      <c r="D104" s="112">
        <v>14.02</v>
      </c>
      <c r="E104" s="112">
        <v>10.8</v>
      </c>
      <c r="F104" s="112">
        <v>5.87</v>
      </c>
      <c r="G104" s="112">
        <v>102.08</v>
      </c>
      <c r="H104" s="112">
        <v>49</v>
      </c>
      <c r="I104" s="112">
        <v>9.5500000000000007</v>
      </c>
      <c r="J104" s="112">
        <v>0.4</v>
      </c>
      <c r="K104" s="112">
        <v>41.85</v>
      </c>
      <c r="L104" s="112">
        <v>22.29</v>
      </c>
      <c r="M104" s="112">
        <v>69.56</v>
      </c>
      <c r="N104" s="112">
        <v>1.4</v>
      </c>
      <c r="O104" s="112">
        <v>0</v>
      </c>
      <c r="P104" s="112">
        <v>0.96</v>
      </c>
      <c r="Q104" s="112">
        <v>4.97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5.23</v>
      </c>
      <c r="C106" s="183">
        <f>MIN(C9:C104)</f>
        <v>8.0299999999999994</v>
      </c>
      <c r="D106" s="183">
        <f t="shared" ref="D106:Q106" si="0">MIN(D9:D104)</f>
        <v>13.97</v>
      </c>
      <c r="E106" s="183">
        <f t="shared" si="0"/>
        <v>7.49</v>
      </c>
      <c r="F106" s="183">
        <f t="shared" si="0"/>
        <v>5.41</v>
      </c>
      <c r="G106" s="183">
        <f t="shared" si="0"/>
        <v>48.98</v>
      </c>
      <c r="H106" s="183">
        <f t="shared" si="0"/>
        <v>23.24</v>
      </c>
      <c r="I106" s="183">
        <f t="shared" si="0"/>
        <v>6.95</v>
      </c>
      <c r="J106" s="183">
        <f t="shared" si="0"/>
        <v>0.02</v>
      </c>
      <c r="K106" s="183">
        <f t="shared" si="0"/>
        <v>2.96</v>
      </c>
      <c r="L106" s="183">
        <f t="shared" si="0"/>
        <v>19.260000000000002</v>
      </c>
      <c r="M106" s="183">
        <f t="shared" si="0"/>
        <v>31.21</v>
      </c>
      <c r="N106" s="183">
        <f t="shared" si="0"/>
        <v>1.1000000000000001</v>
      </c>
      <c r="O106" s="183">
        <f t="shared" si="0"/>
        <v>0</v>
      </c>
      <c r="P106" s="183">
        <f t="shared" si="0"/>
        <v>0.53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</v>
      </c>
      <c r="C107" s="184">
        <f t="shared" ref="C107:Q107" si="1">MAX(C9:C104)</f>
        <v>8.11</v>
      </c>
      <c r="D107" s="184">
        <f t="shared" si="1"/>
        <v>14.03</v>
      </c>
      <c r="E107" s="184">
        <f t="shared" si="1"/>
        <v>14.18</v>
      </c>
      <c r="F107" s="184">
        <f t="shared" si="1"/>
        <v>24.31</v>
      </c>
      <c r="G107" s="184">
        <f t="shared" si="1"/>
        <v>164</v>
      </c>
      <c r="H107" s="184">
        <f t="shared" si="1"/>
        <v>62.56</v>
      </c>
      <c r="I107" s="184">
        <f t="shared" si="1"/>
        <v>10.28</v>
      </c>
      <c r="J107" s="184">
        <f t="shared" si="1"/>
        <v>1.08</v>
      </c>
      <c r="K107" s="184">
        <f t="shared" si="1"/>
        <v>355.88</v>
      </c>
      <c r="L107" s="184">
        <f t="shared" si="1"/>
        <v>31.15</v>
      </c>
      <c r="M107" s="184">
        <f t="shared" si="1"/>
        <v>90.51</v>
      </c>
      <c r="N107" s="184">
        <f t="shared" si="1"/>
        <v>594.29999999999995</v>
      </c>
      <c r="O107" s="184">
        <f t="shared" si="1"/>
        <v>0</v>
      </c>
      <c r="P107" s="184">
        <f t="shared" si="1"/>
        <v>1.18</v>
      </c>
      <c r="Q107" s="184">
        <f t="shared" si="1"/>
        <v>5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5.26</v>
      </c>
      <c r="C108" s="183">
        <f t="shared" ref="C108:Q108" si="2">AVERAGE(C9:C104)</f>
        <v>8.0719791666666669</v>
      </c>
      <c r="D108" s="183">
        <f t="shared" si="2"/>
        <v>14.003854166666665</v>
      </c>
      <c r="E108" s="183">
        <f t="shared" si="2"/>
        <v>10.208958333333337</v>
      </c>
      <c r="F108" s="183">
        <f t="shared" si="2"/>
        <v>7.7796874999999988</v>
      </c>
      <c r="G108" s="183">
        <f t="shared" si="2"/>
        <v>83.916041666666658</v>
      </c>
      <c r="H108" s="183">
        <f t="shared" si="2"/>
        <v>33.524999999999999</v>
      </c>
      <c r="I108" s="183">
        <f t="shared" si="2"/>
        <v>8.4902083333333351</v>
      </c>
      <c r="J108" s="183">
        <f t="shared" si="2"/>
        <v>0.36291666666666661</v>
      </c>
      <c r="K108" s="183">
        <f t="shared" si="2"/>
        <v>90.745833333333351</v>
      </c>
      <c r="L108" s="183">
        <f t="shared" si="2"/>
        <v>24.700416666666673</v>
      </c>
      <c r="M108" s="183">
        <f t="shared" si="2"/>
        <v>62.996562500000003</v>
      </c>
      <c r="N108" s="183">
        <f t="shared" si="2"/>
        <v>124.74583333333338</v>
      </c>
      <c r="O108" s="183">
        <f t="shared" si="2"/>
        <v>0</v>
      </c>
      <c r="P108" s="183">
        <f t="shared" si="2"/>
        <v>0.77885416666666651</v>
      </c>
      <c r="Q108" s="183">
        <f t="shared" si="2"/>
        <v>4.9802083333333407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1.6351404253232452E-2</v>
      </c>
      <c r="C109" s="183">
        <f t="shared" ref="C109:Q109" si="3">STDEV(C9:C104)</f>
        <v>1.9553962671037886E-2</v>
      </c>
      <c r="D109" s="183">
        <f t="shared" si="3"/>
        <v>1.3562315565889329E-2</v>
      </c>
      <c r="E109" s="183">
        <f t="shared" si="3"/>
        <v>1.2501624982096178</v>
      </c>
      <c r="F109" s="183">
        <f t="shared" si="3"/>
        <v>3.8028215156989882</v>
      </c>
      <c r="G109" s="183">
        <f t="shared" si="3"/>
        <v>29.182574233667477</v>
      </c>
      <c r="H109" s="183">
        <f t="shared" si="3"/>
        <v>10.417498639056163</v>
      </c>
      <c r="I109" s="183">
        <f t="shared" si="3"/>
        <v>0.98827652125107535</v>
      </c>
      <c r="J109" s="183">
        <f t="shared" si="3"/>
        <v>0.23733128818357968</v>
      </c>
      <c r="K109" s="183">
        <f t="shared" si="3"/>
        <v>82.940253926567564</v>
      </c>
      <c r="L109" s="183">
        <f t="shared" si="3"/>
        <v>3.9546311070670237</v>
      </c>
      <c r="M109" s="183">
        <f t="shared" si="3"/>
        <v>20.311940218197552</v>
      </c>
      <c r="N109" s="183">
        <f t="shared" si="3"/>
        <v>199.8569377364806</v>
      </c>
      <c r="O109" s="183">
        <f t="shared" si="3"/>
        <v>0</v>
      </c>
      <c r="P109" s="183">
        <f t="shared" si="3"/>
        <v>0.18621362826301704</v>
      </c>
      <c r="Q109" s="183">
        <f t="shared" si="3"/>
        <v>9.8386099431798674E-3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45609.010416666664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45609.010416666664</v>
      </c>
      <c r="B9" s="112">
        <v>5.3</v>
      </c>
      <c r="C9" s="112">
        <v>8.06</v>
      </c>
      <c r="D9" s="112">
        <v>14.03</v>
      </c>
      <c r="E9" s="112">
        <v>10.68</v>
      </c>
      <c r="F9" s="112">
        <v>5.91</v>
      </c>
      <c r="G9" s="112">
        <v>102.08</v>
      </c>
      <c r="H9" s="112">
        <v>49</v>
      </c>
      <c r="I9" s="112">
        <v>9.5</v>
      </c>
      <c r="J9" s="112">
        <v>0.38</v>
      </c>
      <c r="K9" s="112">
        <v>49.55</v>
      </c>
      <c r="L9" s="112">
        <v>22.09</v>
      </c>
      <c r="M9" s="112">
        <v>69.760000000000005</v>
      </c>
      <c r="N9" s="112">
        <v>1.7</v>
      </c>
      <c r="O9" s="112">
        <v>0</v>
      </c>
      <c r="P9" s="112">
        <v>0.95</v>
      </c>
      <c r="Q9" s="112">
        <v>4.97</v>
      </c>
    </row>
    <row r="10" spans="1:21" customFormat="1">
      <c r="A10" s="80">
        <v>45609.020833333336</v>
      </c>
      <c r="B10" s="112">
        <v>5.3</v>
      </c>
      <c r="C10" s="112">
        <v>8.08</v>
      </c>
      <c r="D10" s="112">
        <v>14.04</v>
      </c>
      <c r="E10" s="112">
        <v>10.63</v>
      </c>
      <c r="F10" s="112">
        <v>5.75</v>
      </c>
      <c r="G10" s="112">
        <v>102.08</v>
      </c>
      <c r="H10" s="112">
        <v>49</v>
      </c>
      <c r="I10" s="112">
        <v>9.4600000000000009</v>
      </c>
      <c r="J10" s="112">
        <v>0.28999999999999998</v>
      </c>
      <c r="K10" s="112">
        <v>30.01</v>
      </c>
      <c r="L10" s="112">
        <v>21.99</v>
      </c>
      <c r="M10" s="112">
        <v>69.58</v>
      </c>
      <c r="N10" s="112">
        <v>1.5</v>
      </c>
      <c r="O10" s="112">
        <v>0</v>
      </c>
      <c r="P10" s="112">
        <v>0.94</v>
      </c>
      <c r="Q10" s="112">
        <v>4.9800000000000004</v>
      </c>
    </row>
    <row r="11" spans="1:21" customFormat="1">
      <c r="A11" s="80">
        <v>45609.03125</v>
      </c>
      <c r="B11" s="112">
        <v>5.31</v>
      </c>
      <c r="C11" s="112">
        <v>8.08</v>
      </c>
      <c r="D11" s="112">
        <v>14.05</v>
      </c>
      <c r="E11" s="112">
        <v>10.9</v>
      </c>
      <c r="F11" s="112">
        <v>5.89</v>
      </c>
      <c r="G11" s="112">
        <v>77.02</v>
      </c>
      <c r="H11" s="112">
        <v>37.53</v>
      </c>
      <c r="I11" s="112">
        <v>9.42</v>
      </c>
      <c r="J11" s="112">
        <v>0.15</v>
      </c>
      <c r="K11" s="112">
        <v>56.19</v>
      </c>
      <c r="L11" s="112">
        <v>21.73</v>
      </c>
      <c r="M11" s="112">
        <v>71.31</v>
      </c>
      <c r="N11" s="112">
        <v>1.7</v>
      </c>
      <c r="O11" s="112">
        <v>0</v>
      </c>
      <c r="P11" s="112">
        <v>0.93</v>
      </c>
      <c r="Q11" s="112">
        <v>4.97</v>
      </c>
    </row>
    <row r="12" spans="1:21" customFormat="1">
      <c r="A12" s="80">
        <v>45609.041666666664</v>
      </c>
      <c r="B12" s="112">
        <v>5.31</v>
      </c>
      <c r="C12" s="112">
        <v>8.09</v>
      </c>
      <c r="D12" s="112">
        <v>14.05</v>
      </c>
      <c r="E12" s="112">
        <v>10.77</v>
      </c>
      <c r="F12" s="112">
        <v>5.79</v>
      </c>
      <c r="G12" s="112">
        <v>76.45</v>
      </c>
      <c r="H12" s="112">
        <v>37.53</v>
      </c>
      <c r="I12" s="112">
        <v>9.41</v>
      </c>
      <c r="J12" s="112">
        <v>0.21</v>
      </c>
      <c r="K12" s="112">
        <v>54.58</v>
      </c>
      <c r="L12" s="112">
        <v>21.64</v>
      </c>
      <c r="M12" s="112">
        <v>71.400000000000006</v>
      </c>
      <c r="N12" s="112">
        <v>1.4</v>
      </c>
      <c r="O12" s="112">
        <v>0</v>
      </c>
      <c r="P12" s="112">
        <v>0.92</v>
      </c>
      <c r="Q12" s="112">
        <v>4.9800000000000004</v>
      </c>
    </row>
    <row r="13" spans="1:21" customFormat="1">
      <c r="A13" s="80">
        <v>45609.052083333336</v>
      </c>
      <c r="B13" s="112">
        <v>5.31</v>
      </c>
      <c r="C13" s="112">
        <v>8.08</v>
      </c>
      <c r="D13" s="112">
        <v>14.05</v>
      </c>
      <c r="E13" s="112">
        <v>11.14</v>
      </c>
      <c r="F13" s="112">
        <v>5.69</v>
      </c>
      <c r="G13" s="112">
        <v>76.45</v>
      </c>
      <c r="H13" s="112">
        <v>37.53</v>
      </c>
      <c r="I13" s="112">
        <v>9.3699999999999992</v>
      </c>
      <c r="J13" s="112">
        <v>0.22</v>
      </c>
      <c r="K13" s="112">
        <v>47.54</v>
      </c>
      <c r="L13" s="112">
        <v>21.72</v>
      </c>
      <c r="M13" s="112">
        <v>70.319999999999993</v>
      </c>
      <c r="N13" s="112">
        <v>1.2</v>
      </c>
      <c r="O13" s="112">
        <v>0</v>
      </c>
      <c r="P13" s="112">
        <v>0.91</v>
      </c>
      <c r="Q13" s="112">
        <v>4.99</v>
      </c>
    </row>
    <row r="14" spans="1:21" customFormat="1">
      <c r="A14" s="80">
        <v>45609.0625</v>
      </c>
      <c r="B14" s="112">
        <v>5.32</v>
      </c>
      <c r="C14" s="112">
        <v>8.11</v>
      </c>
      <c r="D14" s="112">
        <v>14.07</v>
      </c>
      <c r="E14" s="112">
        <v>11.06</v>
      </c>
      <c r="F14" s="112">
        <v>5.74</v>
      </c>
      <c r="G14" s="112">
        <v>76.45</v>
      </c>
      <c r="H14" s="112">
        <v>37.53</v>
      </c>
      <c r="I14" s="112">
        <v>9.2899999999999991</v>
      </c>
      <c r="J14" s="112">
        <v>0.22</v>
      </c>
      <c r="K14" s="112">
        <v>163.72999999999999</v>
      </c>
      <c r="L14" s="112">
        <v>21.27</v>
      </c>
      <c r="M14" s="112">
        <v>74.94</v>
      </c>
      <c r="N14" s="112">
        <v>1.9</v>
      </c>
      <c r="O14" s="112">
        <v>0</v>
      </c>
      <c r="P14" s="112">
        <v>0.89</v>
      </c>
      <c r="Q14" s="112">
        <v>4.9800000000000004</v>
      </c>
    </row>
    <row r="15" spans="1:21" customFormat="1">
      <c r="A15" s="80">
        <v>45609.072916666664</v>
      </c>
      <c r="B15" s="112">
        <v>5.35</v>
      </c>
      <c r="C15" s="112">
        <v>8.0500000000000007</v>
      </c>
      <c r="D15" s="112">
        <v>14.06</v>
      </c>
      <c r="E15" s="112">
        <v>10.74</v>
      </c>
      <c r="F15" s="112">
        <v>5.75</v>
      </c>
      <c r="G15" s="112">
        <v>81.069999999999993</v>
      </c>
      <c r="H15" s="112">
        <v>40.89</v>
      </c>
      <c r="I15" s="112">
        <v>9.2200000000000006</v>
      </c>
      <c r="J15" s="112">
        <v>0.11</v>
      </c>
      <c r="K15" s="112">
        <v>228.81</v>
      </c>
      <c r="L15" s="112">
        <v>20.53</v>
      </c>
      <c r="M15" s="112">
        <v>80.650000000000006</v>
      </c>
      <c r="N15" s="112">
        <v>1.8</v>
      </c>
      <c r="O15" s="112">
        <v>0</v>
      </c>
      <c r="P15" s="112">
        <v>0.88</v>
      </c>
      <c r="Q15" s="112">
        <v>4.99</v>
      </c>
    </row>
    <row r="16" spans="1:21" customFormat="1">
      <c r="A16" s="80">
        <v>45609.083333333336</v>
      </c>
      <c r="B16" s="112">
        <v>5.34</v>
      </c>
      <c r="C16" s="112">
        <v>8.06</v>
      </c>
      <c r="D16" s="112">
        <v>14.07</v>
      </c>
      <c r="E16" s="112">
        <v>10.96</v>
      </c>
      <c r="F16" s="112">
        <v>5.7</v>
      </c>
      <c r="G16" s="112">
        <v>81.180000000000007</v>
      </c>
      <c r="H16" s="112">
        <v>40.89</v>
      </c>
      <c r="I16" s="112">
        <v>9.15</v>
      </c>
      <c r="J16" s="112">
        <v>0.09</v>
      </c>
      <c r="K16" s="112">
        <v>229.6</v>
      </c>
      <c r="L16" s="112">
        <v>20.13</v>
      </c>
      <c r="M16" s="112">
        <v>82.29</v>
      </c>
      <c r="N16" s="112">
        <v>1.7</v>
      </c>
      <c r="O16" s="112">
        <v>0</v>
      </c>
      <c r="P16" s="112">
        <v>0.86</v>
      </c>
      <c r="Q16" s="112">
        <v>4.9800000000000004</v>
      </c>
    </row>
    <row r="17" spans="1:17" customFormat="1">
      <c r="A17" s="80">
        <v>45609.09375</v>
      </c>
      <c r="B17" s="112">
        <v>5.34</v>
      </c>
      <c r="C17" s="112">
        <v>8.07</v>
      </c>
      <c r="D17" s="112">
        <v>14.07</v>
      </c>
      <c r="E17" s="112">
        <v>8.4600000000000009</v>
      </c>
      <c r="F17" s="112">
        <v>5.8</v>
      </c>
      <c r="G17" s="112">
        <v>81.180000000000007</v>
      </c>
      <c r="H17" s="112">
        <v>40.89</v>
      </c>
      <c r="I17" s="112">
        <v>9.1</v>
      </c>
      <c r="J17" s="112">
        <v>0.12</v>
      </c>
      <c r="K17" s="112">
        <v>219.43</v>
      </c>
      <c r="L17" s="112">
        <v>19.850000000000001</v>
      </c>
      <c r="M17" s="112">
        <v>83.12</v>
      </c>
      <c r="N17" s="112">
        <v>1.7</v>
      </c>
      <c r="O17" s="112">
        <v>0</v>
      </c>
      <c r="P17" s="112">
        <v>0.85</v>
      </c>
      <c r="Q17" s="112">
        <v>5</v>
      </c>
    </row>
    <row r="18" spans="1:17" customFormat="1">
      <c r="A18" s="80">
        <v>45609.104166666664</v>
      </c>
      <c r="B18" s="112">
        <v>5.34</v>
      </c>
      <c r="C18" s="112">
        <v>8.07</v>
      </c>
      <c r="D18" s="112">
        <v>14.07</v>
      </c>
      <c r="E18" s="112">
        <v>10.130000000000001</v>
      </c>
      <c r="F18" s="112">
        <v>5.77</v>
      </c>
      <c r="G18" s="112">
        <v>81.180000000000007</v>
      </c>
      <c r="H18" s="112">
        <v>40.89</v>
      </c>
      <c r="I18" s="112">
        <v>9.01</v>
      </c>
      <c r="J18" s="112">
        <v>0.1</v>
      </c>
      <c r="K18" s="112">
        <v>203.01</v>
      </c>
      <c r="L18" s="112">
        <v>19.62</v>
      </c>
      <c r="M18" s="112">
        <v>84.32</v>
      </c>
      <c r="N18" s="112">
        <v>1.4</v>
      </c>
      <c r="O18" s="112">
        <v>0</v>
      </c>
      <c r="P18" s="112">
        <v>0.83</v>
      </c>
      <c r="Q18" s="112">
        <v>4.99</v>
      </c>
    </row>
    <row r="19" spans="1:17" customFormat="1">
      <c r="A19" s="80">
        <v>45609.114583333336</v>
      </c>
      <c r="B19" s="112">
        <v>5.35</v>
      </c>
      <c r="C19" s="112">
        <v>8.1</v>
      </c>
      <c r="D19" s="112">
        <v>14.09</v>
      </c>
      <c r="E19" s="112">
        <v>10.130000000000001</v>
      </c>
      <c r="F19" s="112">
        <v>5.62</v>
      </c>
      <c r="G19" s="112">
        <v>72.31</v>
      </c>
      <c r="H19" s="112">
        <v>31.41</v>
      </c>
      <c r="I19" s="112">
        <v>8.8800000000000008</v>
      </c>
      <c r="J19" s="112">
        <v>0.05</v>
      </c>
      <c r="K19" s="112">
        <v>237.13</v>
      </c>
      <c r="L19" s="112">
        <v>19.7</v>
      </c>
      <c r="M19" s="112">
        <v>83.75</v>
      </c>
      <c r="N19" s="112">
        <v>1.2</v>
      </c>
      <c r="O19" s="112">
        <v>0</v>
      </c>
      <c r="P19" s="112">
        <v>0.82</v>
      </c>
      <c r="Q19" s="112">
        <v>4.97</v>
      </c>
    </row>
    <row r="20" spans="1:17" customFormat="1">
      <c r="A20" s="80">
        <v>45609.125</v>
      </c>
      <c r="B20" s="112">
        <v>5.37</v>
      </c>
      <c r="C20" s="112">
        <v>8.08</v>
      </c>
      <c r="D20" s="112">
        <v>14.09</v>
      </c>
      <c r="E20" s="112">
        <v>10.4</v>
      </c>
      <c r="F20" s="112">
        <v>5.46</v>
      </c>
      <c r="G20" s="112">
        <v>72.099999999999994</v>
      </c>
      <c r="H20" s="112">
        <v>31.41</v>
      </c>
      <c r="I20" s="112">
        <v>8.83</v>
      </c>
      <c r="J20" s="112">
        <v>0.05</v>
      </c>
      <c r="K20" s="112">
        <v>350.23</v>
      </c>
      <c r="L20" s="112">
        <v>19.760000000000002</v>
      </c>
      <c r="M20" s="112">
        <v>83.21</v>
      </c>
      <c r="N20" s="112">
        <v>1.3</v>
      </c>
      <c r="O20" s="112">
        <v>0</v>
      </c>
      <c r="P20" s="112">
        <v>0.8</v>
      </c>
      <c r="Q20" s="112">
        <v>4.96</v>
      </c>
    </row>
    <row r="21" spans="1:17" customFormat="1">
      <c r="A21" s="80">
        <v>45609.135416666664</v>
      </c>
      <c r="B21" s="112">
        <v>5.39</v>
      </c>
      <c r="C21" s="112">
        <v>8.06</v>
      </c>
      <c r="D21" s="112">
        <v>14.11</v>
      </c>
      <c r="E21" s="112">
        <v>9.81</v>
      </c>
      <c r="F21" s="112">
        <v>5.5</v>
      </c>
      <c r="G21" s="112">
        <v>72.099999999999994</v>
      </c>
      <c r="H21" s="112">
        <v>31.41</v>
      </c>
      <c r="I21" s="112">
        <v>8.75</v>
      </c>
      <c r="J21" s="112">
        <v>0.08</v>
      </c>
      <c r="K21" s="112">
        <v>359.97</v>
      </c>
      <c r="L21" s="112">
        <v>19.75</v>
      </c>
      <c r="M21" s="112">
        <v>82.91</v>
      </c>
      <c r="N21" s="112">
        <v>1.2</v>
      </c>
      <c r="O21" s="112">
        <v>0</v>
      </c>
      <c r="P21" s="112">
        <v>0.8</v>
      </c>
      <c r="Q21" s="112">
        <v>4.96</v>
      </c>
    </row>
    <row r="22" spans="1:17" customFormat="1">
      <c r="A22" s="80">
        <v>45609.145833333336</v>
      </c>
      <c r="B22" s="112">
        <v>5.39</v>
      </c>
      <c r="C22" s="112">
        <v>8.08</v>
      </c>
      <c r="D22" s="112">
        <v>14.11</v>
      </c>
      <c r="E22" s="112">
        <v>9.7200000000000006</v>
      </c>
      <c r="F22" s="112">
        <v>5.57</v>
      </c>
      <c r="G22" s="112">
        <v>72.099999999999994</v>
      </c>
      <c r="H22" s="112">
        <v>31.41</v>
      </c>
      <c r="I22" s="112">
        <v>8.61</v>
      </c>
      <c r="J22" s="112">
        <v>0.05</v>
      </c>
      <c r="K22" s="112">
        <v>14.1</v>
      </c>
      <c r="L22" s="112">
        <v>19.8</v>
      </c>
      <c r="M22" s="112">
        <v>82.2</v>
      </c>
      <c r="N22" s="112">
        <v>1.2</v>
      </c>
      <c r="O22" s="112">
        <v>0</v>
      </c>
      <c r="P22" s="112">
        <v>0.78</v>
      </c>
      <c r="Q22" s="112">
        <v>4.9800000000000004</v>
      </c>
    </row>
    <row r="23" spans="1:17" customFormat="1">
      <c r="A23" s="80">
        <v>45609.15625</v>
      </c>
      <c r="B23" s="112">
        <v>5.37</v>
      </c>
      <c r="C23" s="112">
        <v>8.11</v>
      </c>
      <c r="D23" s="112">
        <v>14.12</v>
      </c>
      <c r="E23" s="112">
        <v>10.29</v>
      </c>
      <c r="F23" s="112">
        <v>5.52</v>
      </c>
      <c r="G23" s="112">
        <v>75.150000000000006</v>
      </c>
      <c r="H23" s="112">
        <v>30.33</v>
      </c>
      <c r="I23" s="112">
        <v>8.51</v>
      </c>
      <c r="J23" s="112">
        <v>0.1</v>
      </c>
      <c r="K23" s="112">
        <v>137.81</v>
      </c>
      <c r="L23" s="112">
        <v>19.899999999999999</v>
      </c>
      <c r="M23" s="112">
        <v>81.599999999999994</v>
      </c>
      <c r="N23" s="112">
        <v>1.2</v>
      </c>
      <c r="O23" s="112">
        <v>0</v>
      </c>
      <c r="P23" s="112">
        <v>0.78</v>
      </c>
      <c r="Q23" s="112">
        <v>4.99</v>
      </c>
    </row>
    <row r="24" spans="1:17" customFormat="1">
      <c r="A24" s="80">
        <v>45609.166666666664</v>
      </c>
      <c r="B24" s="112">
        <v>5.36</v>
      </c>
      <c r="C24" s="112">
        <v>8.09</v>
      </c>
      <c r="D24" s="112">
        <v>14.09</v>
      </c>
      <c r="E24" s="112">
        <v>9.82</v>
      </c>
      <c r="F24" s="112">
        <v>5.59</v>
      </c>
      <c r="G24" s="112">
        <v>75.22</v>
      </c>
      <c r="H24" s="112">
        <v>30.33</v>
      </c>
      <c r="I24" s="112">
        <v>8.48</v>
      </c>
      <c r="J24" s="112">
        <v>7.0000000000000007E-2</v>
      </c>
      <c r="K24" s="112">
        <v>178.48</v>
      </c>
      <c r="L24" s="112">
        <v>19.850000000000001</v>
      </c>
      <c r="M24" s="112">
        <v>83.14</v>
      </c>
      <c r="N24" s="112">
        <v>1.4</v>
      </c>
      <c r="O24" s="112">
        <v>0</v>
      </c>
      <c r="P24" s="112">
        <v>0.78</v>
      </c>
      <c r="Q24" s="112">
        <v>4.97</v>
      </c>
    </row>
    <row r="25" spans="1:17" customFormat="1">
      <c r="A25" s="80">
        <v>45609.177083333336</v>
      </c>
      <c r="B25" s="112">
        <v>5.35</v>
      </c>
      <c r="C25" s="112">
        <v>8.08</v>
      </c>
      <c r="D25" s="112">
        <v>14.08</v>
      </c>
      <c r="E25" s="112">
        <v>9.6999999999999993</v>
      </c>
      <c r="F25" s="112">
        <v>5.56</v>
      </c>
      <c r="G25" s="112">
        <v>75.22</v>
      </c>
      <c r="H25" s="112">
        <v>30.33</v>
      </c>
      <c r="I25" s="112">
        <v>8.4600000000000009</v>
      </c>
      <c r="J25" s="112">
        <v>0.22</v>
      </c>
      <c r="K25" s="112">
        <v>36.26</v>
      </c>
      <c r="L25" s="112">
        <v>19.88</v>
      </c>
      <c r="M25" s="112">
        <v>81.599999999999994</v>
      </c>
      <c r="N25" s="112">
        <v>1.1000000000000001</v>
      </c>
      <c r="O25" s="112">
        <v>0</v>
      </c>
      <c r="P25" s="112">
        <v>0.78</v>
      </c>
      <c r="Q25" s="112">
        <v>4.99</v>
      </c>
    </row>
    <row r="26" spans="1:17" customFormat="1">
      <c r="A26" s="80">
        <v>45609.1875</v>
      </c>
      <c r="B26" s="112">
        <v>5.36</v>
      </c>
      <c r="C26" s="112">
        <v>8.07</v>
      </c>
      <c r="D26" s="112">
        <v>14.08</v>
      </c>
      <c r="E26" s="112">
        <v>9.41</v>
      </c>
      <c r="F26" s="112">
        <v>5.47</v>
      </c>
      <c r="G26" s="112">
        <v>75.22</v>
      </c>
      <c r="H26" s="112">
        <v>30.33</v>
      </c>
      <c r="I26" s="112">
        <v>8.43</v>
      </c>
      <c r="J26" s="112">
        <v>0.26</v>
      </c>
      <c r="K26" s="112">
        <v>43.42</v>
      </c>
      <c r="L26" s="112">
        <v>19.850000000000001</v>
      </c>
      <c r="M26" s="112">
        <v>81.99</v>
      </c>
      <c r="N26" s="112">
        <v>1.3</v>
      </c>
      <c r="O26" s="112">
        <v>0</v>
      </c>
      <c r="P26" s="112">
        <v>0.77</v>
      </c>
      <c r="Q26" s="112">
        <v>4.97</v>
      </c>
    </row>
    <row r="27" spans="1:17" customFormat="1">
      <c r="A27" s="80">
        <v>45609.197916666664</v>
      </c>
      <c r="B27" s="112">
        <v>5.36</v>
      </c>
      <c r="C27" s="112">
        <v>8.06</v>
      </c>
      <c r="D27" s="112">
        <v>14.08</v>
      </c>
      <c r="E27" s="112">
        <v>9.4700000000000006</v>
      </c>
      <c r="F27" s="112">
        <v>5.46</v>
      </c>
      <c r="G27" s="112">
        <v>73.72</v>
      </c>
      <c r="H27" s="112">
        <v>30.37</v>
      </c>
      <c r="I27" s="112">
        <v>8.4</v>
      </c>
      <c r="J27" s="112">
        <v>0.22</v>
      </c>
      <c r="K27" s="112">
        <v>34.22</v>
      </c>
      <c r="L27" s="112">
        <v>19.84</v>
      </c>
      <c r="M27" s="112">
        <v>81.86</v>
      </c>
      <c r="N27" s="112">
        <v>1.3</v>
      </c>
      <c r="O27" s="112">
        <v>0</v>
      </c>
      <c r="P27" s="112">
        <v>0.77</v>
      </c>
      <c r="Q27" s="112">
        <v>4.97</v>
      </c>
    </row>
    <row r="28" spans="1:17" customFormat="1">
      <c r="A28" s="80">
        <v>45609.208333333336</v>
      </c>
      <c r="B28" s="112">
        <v>5.36</v>
      </c>
      <c r="C28" s="112">
        <v>8.06</v>
      </c>
      <c r="D28" s="112">
        <v>14.07</v>
      </c>
      <c r="E28" s="112">
        <v>9.1199999999999992</v>
      </c>
      <c r="F28" s="112">
        <v>5.52</v>
      </c>
      <c r="G28" s="112">
        <v>73.680000000000007</v>
      </c>
      <c r="H28" s="112">
        <v>30.37</v>
      </c>
      <c r="I28" s="112">
        <v>8.43</v>
      </c>
      <c r="J28" s="112">
        <v>0.11</v>
      </c>
      <c r="K28" s="112">
        <v>44.03</v>
      </c>
      <c r="L28" s="112">
        <v>19.87</v>
      </c>
      <c r="M28" s="112">
        <v>81.95</v>
      </c>
      <c r="N28" s="112">
        <v>1.3</v>
      </c>
      <c r="O28" s="112">
        <v>0</v>
      </c>
      <c r="P28" s="112">
        <v>0.76</v>
      </c>
      <c r="Q28" s="112">
        <v>4.97</v>
      </c>
    </row>
    <row r="29" spans="1:17" customFormat="1">
      <c r="A29" s="80">
        <v>45609.21875</v>
      </c>
      <c r="B29" s="112">
        <v>5.34</v>
      </c>
      <c r="C29" s="112">
        <v>8.09</v>
      </c>
      <c r="D29" s="112">
        <v>14.08</v>
      </c>
      <c r="E29" s="112">
        <v>9.43</v>
      </c>
      <c r="F29" s="112">
        <v>5.38</v>
      </c>
      <c r="G29" s="112">
        <v>73.680000000000007</v>
      </c>
      <c r="H29" s="112">
        <v>30.37</v>
      </c>
      <c r="I29" s="112">
        <v>8.4600000000000009</v>
      </c>
      <c r="J29" s="112">
        <v>0.26</v>
      </c>
      <c r="K29" s="112">
        <v>35.9</v>
      </c>
      <c r="L29" s="112">
        <v>19.72</v>
      </c>
      <c r="M29" s="112">
        <v>82.17</v>
      </c>
      <c r="N29" s="112">
        <v>1.4</v>
      </c>
      <c r="O29" s="112">
        <v>0</v>
      </c>
      <c r="P29" s="112">
        <v>0.76</v>
      </c>
      <c r="Q29" s="112">
        <v>4.99</v>
      </c>
    </row>
    <row r="30" spans="1:17" customFormat="1">
      <c r="A30" s="80">
        <v>45609.229166666664</v>
      </c>
      <c r="B30" s="112">
        <v>5.35</v>
      </c>
      <c r="C30" s="112">
        <v>8.07</v>
      </c>
      <c r="D30" s="112">
        <v>14.07</v>
      </c>
      <c r="E30" s="112">
        <v>9.48</v>
      </c>
      <c r="F30" s="112">
        <v>5.65</v>
      </c>
      <c r="G30" s="112">
        <v>73.680000000000007</v>
      </c>
      <c r="H30" s="112">
        <v>30.37</v>
      </c>
      <c r="I30" s="112">
        <v>8.4600000000000009</v>
      </c>
      <c r="J30" s="112">
        <v>0.18</v>
      </c>
      <c r="K30" s="112">
        <v>37.659999999999997</v>
      </c>
      <c r="L30" s="112">
        <v>19.54</v>
      </c>
      <c r="M30" s="112">
        <v>83.46</v>
      </c>
      <c r="N30" s="112">
        <v>1.4</v>
      </c>
      <c r="O30" s="112">
        <v>0</v>
      </c>
      <c r="P30" s="112">
        <v>0.76</v>
      </c>
      <c r="Q30" s="112">
        <v>4.99</v>
      </c>
    </row>
    <row r="31" spans="1:17" customFormat="1">
      <c r="A31" s="80">
        <v>45609.239583333336</v>
      </c>
      <c r="B31" s="112">
        <v>5.36</v>
      </c>
      <c r="C31" s="112">
        <v>8.07</v>
      </c>
      <c r="D31" s="112">
        <v>14.08</v>
      </c>
      <c r="E31" s="112">
        <v>9.41</v>
      </c>
      <c r="F31" s="112">
        <v>5.57</v>
      </c>
      <c r="G31" s="112">
        <v>88.72</v>
      </c>
      <c r="H31" s="112">
        <v>33.409999999999997</v>
      </c>
      <c r="I31" s="112">
        <v>8.51</v>
      </c>
      <c r="J31" s="112">
        <v>0.08</v>
      </c>
      <c r="K31" s="112">
        <v>112.94</v>
      </c>
      <c r="L31" s="112">
        <v>19.489999999999998</v>
      </c>
      <c r="M31" s="112">
        <v>84.04</v>
      </c>
      <c r="N31" s="112">
        <v>1.5</v>
      </c>
      <c r="O31" s="112">
        <v>0</v>
      </c>
      <c r="P31" s="112">
        <v>0.77</v>
      </c>
      <c r="Q31" s="112">
        <v>4.9800000000000004</v>
      </c>
    </row>
    <row r="32" spans="1:17" customFormat="1">
      <c r="A32" s="80">
        <v>45609.25</v>
      </c>
      <c r="B32" s="112">
        <v>5.37</v>
      </c>
      <c r="C32" s="112">
        <v>8.07</v>
      </c>
      <c r="D32" s="112">
        <v>14.09</v>
      </c>
      <c r="E32" s="112">
        <v>9.0299999999999994</v>
      </c>
      <c r="F32" s="112">
        <v>5.55</v>
      </c>
      <c r="G32" s="112">
        <v>89.23</v>
      </c>
      <c r="H32" s="112">
        <v>33.409999999999997</v>
      </c>
      <c r="I32" s="112">
        <v>8.58</v>
      </c>
      <c r="J32" s="112">
        <v>0.22</v>
      </c>
      <c r="K32" s="112">
        <v>36.369999999999997</v>
      </c>
      <c r="L32" s="112">
        <v>19.38</v>
      </c>
      <c r="M32" s="112">
        <v>84.74</v>
      </c>
      <c r="N32" s="112">
        <v>2</v>
      </c>
      <c r="O32" s="112">
        <v>0</v>
      </c>
      <c r="P32" s="112">
        <v>0.78</v>
      </c>
      <c r="Q32" s="112">
        <v>4.9800000000000004</v>
      </c>
    </row>
    <row r="33" spans="1:17" customFormat="1">
      <c r="A33" s="80">
        <v>45609.260416666664</v>
      </c>
      <c r="B33" s="112">
        <v>5.35</v>
      </c>
      <c r="C33" s="112">
        <v>8.1</v>
      </c>
      <c r="D33" s="112">
        <v>14.09</v>
      </c>
      <c r="E33" s="112">
        <v>8.7799999999999994</v>
      </c>
      <c r="F33" s="112">
        <v>5.66</v>
      </c>
      <c r="G33" s="112">
        <v>89.23</v>
      </c>
      <c r="H33" s="112">
        <v>33.409999999999997</v>
      </c>
      <c r="I33" s="112">
        <v>8.61</v>
      </c>
      <c r="J33" s="112">
        <v>0.24</v>
      </c>
      <c r="K33" s="112">
        <v>24.24</v>
      </c>
      <c r="L33" s="112">
        <v>19.309999999999999</v>
      </c>
      <c r="M33" s="112">
        <v>85.23</v>
      </c>
      <c r="N33" s="112">
        <v>4.7</v>
      </c>
      <c r="O33" s="112">
        <v>0</v>
      </c>
      <c r="P33" s="112">
        <v>0.79</v>
      </c>
      <c r="Q33" s="112">
        <v>4.9800000000000004</v>
      </c>
    </row>
    <row r="34" spans="1:17" customFormat="1">
      <c r="A34" s="80">
        <v>45609.270833333336</v>
      </c>
      <c r="B34" s="112">
        <v>5.36</v>
      </c>
      <c r="C34" s="112">
        <v>8.11</v>
      </c>
      <c r="D34" s="112">
        <v>14.11</v>
      </c>
      <c r="E34" s="112">
        <v>8.9700000000000006</v>
      </c>
      <c r="F34" s="112">
        <v>5.29</v>
      </c>
      <c r="G34" s="112">
        <v>89.23</v>
      </c>
      <c r="H34" s="112">
        <v>33.409999999999997</v>
      </c>
      <c r="I34" s="112">
        <v>8.6999999999999993</v>
      </c>
      <c r="J34" s="112">
        <v>0.32</v>
      </c>
      <c r="K34" s="112">
        <v>34.21</v>
      </c>
      <c r="L34" s="112">
        <v>19.25</v>
      </c>
      <c r="M34" s="112">
        <v>85.81</v>
      </c>
      <c r="N34" s="112">
        <v>14.1</v>
      </c>
      <c r="O34" s="112">
        <v>0</v>
      </c>
      <c r="P34" s="112">
        <v>0.81</v>
      </c>
      <c r="Q34" s="112">
        <v>4.9800000000000004</v>
      </c>
    </row>
    <row r="35" spans="1:17" customFormat="1">
      <c r="A35" s="80">
        <v>45609.28125</v>
      </c>
      <c r="B35" s="112">
        <v>5.37</v>
      </c>
      <c r="C35" s="112">
        <v>8.11</v>
      </c>
      <c r="D35" s="112">
        <v>14.11</v>
      </c>
      <c r="E35" s="112">
        <v>8.73</v>
      </c>
      <c r="F35" s="112">
        <v>5.45</v>
      </c>
      <c r="G35" s="112">
        <v>104.55</v>
      </c>
      <c r="H35" s="112">
        <v>36.11</v>
      </c>
      <c r="I35" s="112">
        <v>8.8800000000000008</v>
      </c>
      <c r="J35" s="112">
        <v>0.38</v>
      </c>
      <c r="K35" s="112">
        <v>38.659999999999997</v>
      </c>
      <c r="L35" s="112">
        <v>19.47</v>
      </c>
      <c r="M35" s="112">
        <v>85.07</v>
      </c>
      <c r="N35" s="112">
        <v>24.9</v>
      </c>
      <c r="O35" s="112">
        <v>0</v>
      </c>
      <c r="P35" s="112">
        <v>0.82</v>
      </c>
      <c r="Q35" s="112">
        <v>4.97</v>
      </c>
    </row>
    <row r="36" spans="1:17" customFormat="1">
      <c r="A36" s="80">
        <v>45609.291666666664</v>
      </c>
      <c r="B36" s="112">
        <v>5.38</v>
      </c>
      <c r="C36" s="112">
        <v>8.08</v>
      </c>
      <c r="D36" s="112">
        <v>14.1</v>
      </c>
      <c r="E36" s="112">
        <v>8.5500000000000007</v>
      </c>
      <c r="F36" s="112">
        <v>5.4</v>
      </c>
      <c r="G36" s="112">
        <v>104.9</v>
      </c>
      <c r="H36" s="112">
        <v>36.11</v>
      </c>
      <c r="I36" s="112">
        <v>9.1999999999999993</v>
      </c>
      <c r="J36" s="112">
        <v>0.44</v>
      </c>
      <c r="K36" s="112">
        <v>40.619999999999997</v>
      </c>
      <c r="L36" s="112">
        <v>19.78</v>
      </c>
      <c r="M36" s="112">
        <v>83.96</v>
      </c>
      <c r="N36" s="112">
        <v>38.799999999999997</v>
      </c>
      <c r="O36" s="112">
        <v>0</v>
      </c>
      <c r="P36" s="112">
        <v>0.84</v>
      </c>
      <c r="Q36" s="112">
        <v>4.9800000000000004</v>
      </c>
    </row>
    <row r="37" spans="1:17" customFormat="1">
      <c r="A37" s="80">
        <v>45609.302083333336</v>
      </c>
      <c r="B37" s="112">
        <v>5.36</v>
      </c>
      <c r="C37" s="112">
        <v>8.1300000000000008</v>
      </c>
      <c r="D37" s="112">
        <v>14.11</v>
      </c>
      <c r="E37" s="112">
        <v>8.9</v>
      </c>
      <c r="F37" s="112">
        <v>5.4</v>
      </c>
      <c r="G37" s="112">
        <v>104.9</v>
      </c>
      <c r="H37" s="112">
        <v>36.11</v>
      </c>
      <c r="I37" s="112">
        <v>9.6300000000000008</v>
      </c>
      <c r="J37" s="112">
        <v>0.49</v>
      </c>
      <c r="K37" s="112">
        <v>46.31</v>
      </c>
      <c r="L37" s="112">
        <v>20.16</v>
      </c>
      <c r="M37" s="112">
        <v>82.78</v>
      </c>
      <c r="N37" s="112">
        <v>52.7</v>
      </c>
      <c r="O37" s="112">
        <v>0</v>
      </c>
      <c r="P37" s="112">
        <v>0.86</v>
      </c>
      <c r="Q37" s="112">
        <v>4.9800000000000004</v>
      </c>
    </row>
    <row r="38" spans="1:17" customFormat="1">
      <c r="A38" s="80">
        <v>45609.3125</v>
      </c>
      <c r="B38" s="112">
        <v>5.37</v>
      </c>
      <c r="C38" s="112">
        <v>8.09</v>
      </c>
      <c r="D38" s="112">
        <v>14.1</v>
      </c>
      <c r="E38" s="112">
        <v>9.23</v>
      </c>
      <c r="F38" s="112">
        <v>5.49</v>
      </c>
      <c r="G38" s="112">
        <v>104.9</v>
      </c>
      <c r="H38" s="112">
        <v>36.11</v>
      </c>
      <c r="I38" s="112">
        <v>10.029999999999999</v>
      </c>
      <c r="J38" s="112">
        <v>0.53</v>
      </c>
      <c r="K38" s="112">
        <v>6.65</v>
      </c>
      <c r="L38" s="112">
        <v>20.63</v>
      </c>
      <c r="M38" s="112">
        <v>81.209999999999994</v>
      </c>
      <c r="N38" s="112">
        <v>67.3</v>
      </c>
      <c r="O38" s="112">
        <v>0</v>
      </c>
      <c r="P38" s="112">
        <v>0.87</v>
      </c>
      <c r="Q38" s="112">
        <v>4.9800000000000004</v>
      </c>
    </row>
    <row r="39" spans="1:17" customFormat="1">
      <c r="A39" s="80">
        <v>45609.322916666664</v>
      </c>
      <c r="B39" s="112">
        <v>5.39</v>
      </c>
      <c r="C39" s="112">
        <v>8.08</v>
      </c>
      <c r="D39" s="112">
        <v>14.11</v>
      </c>
      <c r="E39" s="112">
        <v>8.86</v>
      </c>
      <c r="F39" s="112">
        <v>5.54</v>
      </c>
      <c r="G39" s="112">
        <v>114.22</v>
      </c>
      <c r="H39" s="112">
        <v>36.950000000000003</v>
      </c>
      <c r="I39" s="112">
        <v>10.37</v>
      </c>
      <c r="J39" s="112">
        <v>0.46</v>
      </c>
      <c r="K39" s="112">
        <v>28.36</v>
      </c>
      <c r="L39" s="112">
        <v>21.21</v>
      </c>
      <c r="M39" s="112">
        <v>79.8</v>
      </c>
      <c r="N39" s="112">
        <v>142.30000000000001</v>
      </c>
      <c r="O39" s="112">
        <v>0</v>
      </c>
      <c r="P39" s="112">
        <v>0.88</v>
      </c>
      <c r="Q39" s="112">
        <v>4.99</v>
      </c>
    </row>
    <row r="40" spans="1:17" customFormat="1">
      <c r="A40" s="80">
        <v>45609.333333333336</v>
      </c>
      <c r="B40" s="112">
        <v>5.38</v>
      </c>
      <c r="C40" s="112">
        <v>8.07</v>
      </c>
      <c r="D40" s="112">
        <v>14.1</v>
      </c>
      <c r="E40" s="112">
        <v>9.14</v>
      </c>
      <c r="F40" s="112">
        <v>5.6</v>
      </c>
      <c r="G40" s="112">
        <v>114.43</v>
      </c>
      <c r="H40" s="112">
        <v>36.950000000000003</v>
      </c>
      <c r="I40" s="112">
        <v>10.63</v>
      </c>
      <c r="J40" s="112">
        <v>0.7</v>
      </c>
      <c r="K40" s="112">
        <v>51.65</v>
      </c>
      <c r="L40" s="112">
        <v>22</v>
      </c>
      <c r="M40" s="112">
        <v>76.13</v>
      </c>
      <c r="N40" s="112">
        <v>185.1</v>
      </c>
      <c r="O40" s="112">
        <v>0</v>
      </c>
      <c r="P40" s="112">
        <v>0.89</v>
      </c>
      <c r="Q40" s="112">
        <v>4.99</v>
      </c>
    </row>
    <row r="41" spans="1:17" customFormat="1">
      <c r="A41" s="80">
        <v>45609.34375</v>
      </c>
      <c r="B41" s="112">
        <v>5.37</v>
      </c>
      <c r="C41" s="112">
        <v>8.07</v>
      </c>
      <c r="D41" s="112">
        <v>14.09</v>
      </c>
      <c r="E41" s="112">
        <v>8.68</v>
      </c>
      <c r="F41" s="112">
        <v>5.6</v>
      </c>
      <c r="G41" s="112">
        <v>114.43</v>
      </c>
      <c r="H41" s="112">
        <v>36.950000000000003</v>
      </c>
      <c r="I41" s="112">
        <v>10.87</v>
      </c>
      <c r="J41" s="112">
        <v>0.77</v>
      </c>
      <c r="K41" s="112">
        <v>47.29</v>
      </c>
      <c r="L41" s="112">
        <v>22.65</v>
      </c>
      <c r="M41" s="112">
        <v>72.02</v>
      </c>
      <c r="N41" s="112">
        <v>215.9</v>
      </c>
      <c r="O41" s="112">
        <v>0</v>
      </c>
      <c r="P41" s="112">
        <v>0.9</v>
      </c>
      <c r="Q41" s="112">
        <v>4.9800000000000004</v>
      </c>
    </row>
    <row r="42" spans="1:17" customFormat="1">
      <c r="A42" s="80">
        <v>45609.354166666664</v>
      </c>
      <c r="B42" s="112">
        <v>5.37</v>
      </c>
      <c r="C42" s="112">
        <v>8.08</v>
      </c>
      <c r="D42" s="112">
        <v>14.09</v>
      </c>
      <c r="E42" s="112">
        <v>8.99</v>
      </c>
      <c r="F42" s="112">
        <v>5.73</v>
      </c>
      <c r="G42" s="112">
        <v>114.43</v>
      </c>
      <c r="H42" s="112">
        <v>36.950000000000003</v>
      </c>
      <c r="I42" s="112">
        <v>11.18</v>
      </c>
      <c r="J42" s="112">
        <v>0.73</v>
      </c>
      <c r="K42" s="112">
        <v>46.22</v>
      </c>
      <c r="L42" s="112">
        <v>23.57</v>
      </c>
      <c r="M42" s="112">
        <v>66.239999999999995</v>
      </c>
      <c r="N42" s="112">
        <v>212.1</v>
      </c>
      <c r="O42" s="112">
        <v>0</v>
      </c>
      <c r="P42" s="112">
        <v>0.91</v>
      </c>
      <c r="Q42" s="112">
        <v>4.99</v>
      </c>
    </row>
    <row r="43" spans="1:17" customFormat="1">
      <c r="A43" s="80">
        <v>45609.364583333336</v>
      </c>
      <c r="B43" s="112">
        <v>5.36</v>
      </c>
      <c r="C43" s="112">
        <v>8.11</v>
      </c>
      <c r="D43" s="112">
        <v>14.1</v>
      </c>
      <c r="E43" s="112">
        <v>8.89</v>
      </c>
      <c r="F43" s="112">
        <v>5.76</v>
      </c>
      <c r="G43" s="112">
        <v>102.63</v>
      </c>
      <c r="H43" s="112">
        <v>34.92</v>
      </c>
      <c r="I43" s="112">
        <v>11.5</v>
      </c>
      <c r="J43" s="112">
        <v>0.57999999999999996</v>
      </c>
      <c r="K43" s="112">
        <v>52.37</v>
      </c>
      <c r="L43" s="112">
        <v>24.5</v>
      </c>
      <c r="M43" s="112">
        <v>61.96</v>
      </c>
      <c r="N43" s="112">
        <v>246.4</v>
      </c>
      <c r="O43" s="112">
        <v>0</v>
      </c>
      <c r="P43" s="112">
        <v>0.9</v>
      </c>
      <c r="Q43" s="112">
        <v>5.01</v>
      </c>
    </row>
    <row r="44" spans="1:17" customFormat="1">
      <c r="A44" s="80">
        <v>45609.375</v>
      </c>
      <c r="B44" s="112">
        <v>5.37</v>
      </c>
      <c r="C44" s="112">
        <v>8.1</v>
      </c>
      <c r="D44" s="112">
        <v>14.1</v>
      </c>
      <c r="E44" s="112">
        <v>8.82</v>
      </c>
      <c r="F44" s="112">
        <v>5.87</v>
      </c>
      <c r="G44" s="112">
        <v>102.36</v>
      </c>
      <c r="H44" s="112">
        <v>34.92</v>
      </c>
      <c r="I44" s="112">
        <v>11.75</v>
      </c>
      <c r="J44" s="112">
        <v>0.57999999999999996</v>
      </c>
      <c r="K44" s="112">
        <v>40.89</v>
      </c>
      <c r="L44" s="112">
        <v>25.21</v>
      </c>
      <c r="M44" s="112">
        <v>61.06</v>
      </c>
      <c r="N44" s="112">
        <v>297.8</v>
      </c>
      <c r="O44" s="112">
        <v>0</v>
      </c>
      <c r="P44" s="112">
        <v>0.88</v>
      </c>
      <c r="Q44" s="112">
        <v>4.99</v>
      </c>
    </row>
    <row r="45" spans="1:17" customFormat="1">
      <c r="A45" s="80">
        <v>45609.385416666664</v>
      </c>
      <c r="B45" s="112">
        <v>5.36</v>
      </c>
      <c r="C45" s="112">
        <v>8.08</v>
      </c>
      <c r="D45" s="112">
        <v>14.09</v>
      </c>
      <c r="E45" s="112">
        <v>8.73</v>
      </c>
      <c r="F45" s="112">
        <v>5.77</v>
      </c>
      <c r="G45" s="112">
        <v>102.36</v>
      </c>
      <c r="H45" s="112">
        <v>34.92</v>
      </c>
      <c r="I45" s="112">
        <v>11.87</v>
      </c>
      <c r="J45" s="112">
        <v>0.52</v>
      </c>
      <c r="K45" s="112">
        <v>53.54</v>
      </c>
      <c r="L45" s="112">
        <v>26.06</v>
      </c>
      <c r="M45" s="112">
        <v>57.28</v>
      </c>
      <c r="N45" s="112">
        <v>373.4</v>
      </c>
      <c r="O45" s="112">
        <v>0</v>
      </c>
      <c r="P45" s="112">
        <v>0.87</v>
      </c>
      <c r="Q45" s="112">
        <v>4.9800000000000004</v>
      </c>
    </row>
    <row r="46" spans="1:17" customFormat="1">
      <c r="A46" s="80">
        <v>45609.395833333336</v>
      </c>
      <c r="B46" s="112">
        <v>5.37</v>
      </c>
      <c r="C46" s="112">
        <v>8.09</v>
      </c>
      <c r="D46" s="112">
        <v>14.1</v>
      </c>
      <c r="E46" s="112">
        <v>8.7899999999999991</v>
      </c>
      <c r="F46" s="112">
        <v>5.97</v>
      </c>
      <c r="G46" s="112">
        <v>102.36</v>
      </c>
      <c r="H46" s="112">
        <v>34.92</v>
      </c>
      <c r="I46" s="112">
        <v>11.9</v>
      </c>
      <c r="J46" s="112">
        <v>0.6</v>
      </c>
      <c r="K46" s="112">
        <v>48.08</v>
      </c>
      <c r="L46" s="112">
        <v>26.57</v>
      </c>
      <c r="M46" s="112">
        <v>55.1</v>
      </c>
      <c r="N46" s="112">
        <v>318.8</v>
      </c>
      <c r="O46" s="112">
        <v>0</v>
      </c>
      <c r="P46" s="112">
        <v>0.86</v>
      </c>
      <c r="Q46" s="112">
        <v>4.9800000000000004</v>
      </c>
    </row>
    <row r="47" spans="1:17" customFormat="1">
      <c r="A47" s="80">
        <v>45609.40625</v>
      </c>
      <c r="B47" s="112">
        <v>5.38</v>
      </c>
      <c r="C47" s="112">
        <v>8.11</v>
      </c>
      <c r="D47" s="112">
        <v>14.12</v>
      </c>
      <c r="E47" s="112">
        <v>9.3699999999999992</v>
      </c>
      <c r="F47" s="112">
        <v>6.17</v>
      </c>
      <c r="G47" s="112">
        <v>93.58</v>
      </c>
      <c r="H47" s="112">
        <v>34.450000000000003</v>
      </c>
      <c r="I47" s="112">
        <v>11.92</v>
      </c>
      <c r="J47" s="112">
        <v>0.76</v>
      </c>
      <c r="K47" s="112">
        <v>31.6</v>
      </c>
      <c r="L47" s="112">
        <v>27.26</v>
      </c>
      <c r="M47" s="112">
        <v>51.67</v>
      </c>
      <c r="N47" s="112">
        <v>430.5</v>
      </c>
      <c r="O47" s="112">
        <v>0</v>
      </c>
      <c r="P47" s="112">
        <v>0.85</v>
      </c>
      <c r="Q47" s="112">
        <v>4.9800000000000004</v>
      </c>
    </row>
    <row r="48" spans="1:17" customFormat="1">
      <c r="A48" s="80">
        <v>45609.416666666664</v>
      </c>
      <c r="B48" s="112">
        <v>5.37</v>
      </c>
      <c r="C48" s="112">
        <v>8.08</v>
      </c>
      <c r="D48" s="112">
        <v>14.1</v>
      </c>
      <c r="E48" s="112">
        <v>10.11</v>
      </c>
      <c r="F48" s="112">
        <v>6.92</v>
      </c>
      <c r="G48" s="112">
        <v>93.38</v>
      </c>
      <c r="H48" s="112">
        <v>34.450000000000003</v>
      </c>
      <c r="I48" s="112">
        <v>11.9</v>
      </c>
      <c r="J48" s="112">
        <v>0.85</v>
      </c>
      <c r="K48" s="112">
        <v>47.36</v>
      </c>
      <c r="L48" s="112">
        <v>27.64</v>
      </c>
      <c r="M48" s="112">
        <v>48.97</v>
      </c>
      <c r="N48" s="112">
        <v>473.4</v>
      </c>
      <c r="O48" s="112">
        <v>0</v>
      </c>
      <c r="P48" s="112">
        <v>0.85</v>
      </c>
      <c r="Q48" s="112">
        <v>4.99</v>
      </c>
    </row>
    <row r="49" spans="1:17" customFormat="1">
      <c r="A49" s="80">
        <v>45609.427083333336</v>
      </c>
      <c r="B49" s="112">
        <v>5.37</v>
      </c>
      <c r="C49" s="112">
        <v>8.09</v>
      </c>
      <c r="D49" s="112">
        <v>14.1</v>
      </c>
      <c r="E49" s="112">
        <v>8.61</v>
      </c>
      <c r="F49" s="112">
        <v>7.22</v>
      </c>
      <c r="G49" s="112">
        <v>93.38</v>
      </c>
      <c r="H49" s="112">
        <v>34.450000000000003</v>
      </c>
      <c r="I49" s="112">
        <v>11.8</v>
      </c>
      <c r="J49" s="112">
        <v>0.98</v>
      </c>
      <c r="K49" s="112">
        <v>39.89</v>
      </c>
      <c r="L49" s="112">
        <v>28.11</v>
      </c>
      <c r="M49" s="112">
        <v>47.82</v>
      </c>
      <c r="N49" s="112">
        <v>503.1</v>
      </c>
      <c r="O49" s="112">
        <v>0</v>
      </c>
      <c r="P49" s="112">
        <v>0.82</v>
      </c>
      <c r="Q49" s="112">
        <v>5.01</v>
      </c>
    </row>
    <row r="50" spans="1:17" customFormat="1">
      <c r="A50" s="80">
        <v>45609.4375</v>
      </c>
      <c r="B50" s="112">
        <v>5.38</v>
      </c>
      <c r="C50" s="112">
        <v>8.07</v>
      </c>
      <c r="D50" s="112">
        <v>14.1</v>
      </c>
      <c r="E50" s="112">
        <v>10.029999999999999</v>
      </c>
      <c r="F50" s="112">
        <v>7.91</v>
      </c>
      <c r="G50" s="112">
        <v>93.38</v>
      </c>
      <c r="H50" s="112">
        <v>34.450000000000003</v>
      </c>
      <c r="I50" s="112">
        <v>11.67</v>
      </c>
      <c r="J50" s="112">
        <v>1.08</v>
      </c>
      <c r="K50" s="112">
        <v>36.51</v>
      </c>
      <c r="L50" s="112">
        <v>28.38</v>
      </c>
      <c r="M50" s="112">
        <v>44.89</v>
      </c>
      <c r="N50" s="112">
        <v>535</v>
      </c>
      <c r="O50" s="112">
        <v>0</v>
      </c>
      <c r="P50" s="112">
        <v>0.84</v>
      </c>
      <c r="Q50" s="112">
        <v>4.99</v>
      </c>
    </row>
    <row r="51" spans="1:17" customFormat="1">
      <c r="A51" s="80">
        <v>45609.447916666664</v>
      </c>
      <c r="B51" s="112">
        <v>5.39</v>
      </c>
      <c r="C51" s="112">
        <v>8.06</v>
      </c>
      <c r="D51" s="112">
        <v>14.1</v>
      </c>
      <c r="E51" s="112">
        <v>10.59</v>
      </c>
      <c r="F51" s="112">
        <v>8.51</v>
      </c>
      <c r="G51" s="112">
        <v>83.63</v>
      </c>
      <c r="H51" s="112">
        <v>32.119999999999997</v>
      </c>
      <c r="I51" s="112">
        <v>11.51</v>
      </c>
      <c r="J51" s="112">
        <v>0.9</v>
      </c>
      <c r="K51" s="112">
        <v>44.78</v>
      </c>
      <c r="L51" s="112">
        <v>28.81</v>
      </c>
      <c r="M51" s="112">
        <v>42.6</v>
      </c>
      <c r="N51" s="112">
        <v>482.1</v>
      </c>
      <c r="O51" s="112">
        <v>0</v>
      </c>
      <c r="P51" s="112">
        <v>0.82</v>
      </c>
      <c r="Q51" s="112">
        <v>4.97</v>
      </c>
    </row>
    <row r="52" spans="1:17" customFormat="1">
      <c r="A52" s="80">
        <v>45609.458333333336</v>
      </c>
      <c r="B52" s="112">
        <v>5.39</v>
      </c>
      <c r="C52" s="112">
        <v>8.07</v>
      </c>
      <c r="D52" s="112">
        <v>14.11</v>
      </c>
      <c r="E52" s="112">
        <v>9.4700000000000006</v>
      </c>
      <c r="F52" s="112">
        <v>8.44</v>
      </c>
      <c r="G52" s="112">
        <v>83.41</v>
      </c>
      <c r="H52" s="112">
        <v>32.119999999999997</v>
      </c>
      <c r="I52" s="112">
        <v>11.33</v>
      </c>
      <c r="J52" s="112">
        <v>0.92</v>
      </c>
      <c r="K52" s="112">
        <v>38.44</v>
      </c>
      <c r="L52" s="112">
        <v>29.19</v>
      </c>
      <c r="M52" s="112">
        <v>36.94</v>
      </c>
      <c r="N52" s="112">
        <v>538</v>
      </c>
      <c r="O52" s="112">
        <v>0</v>
      </c>
      <c r="P52" s="112">
        <v>0.79</v>
      </c>
      <c r="Q52" s="112">
        <v>4.97</v>
      </c>
    </row>
    <row r="53" spans="1:17" customFormat="1">
      <c r="A53" s="80">
        <v>45609.46875</v>
      </c>
      <c r="B53" s="112">
        <v>5.38</v>
      </c>
      <c r="C53" s="112">
        <v>8.1</v>
      </c>
      <c r="D53" s="112">
        <v>14.11</v>
      </c>
      <c r="E53" s="112">
        <v>9.42</v>
      </c>
      <c r="F53" s="112">
        <v>8.5299999999999994</v>
      </c>
      <c r="G53" s="112">
        <v>83.41</v>
      </c>
      <c r="H53" s="112">
        <v>32.119999999999997</v>
      </c>
      <c r="I53" s="112">
        <v>11.18</v>
      </c>
      <c r="J53" s="112">
        <v>0.28999999999999998</v>
      </c>
      <c r="K53" s="112">
        <v>76.89</v>
      </c>
      <c r="L53" s="112">
        <v>29.77</v>
      </c>
      <c r="M53" s="112">
        <v>37.729999999999997</v>
      </c>
      <c r="N53" s="112">
        <v>572.5</v>
      </c>
      <c r="O53" s="112">
        <v>0</v>
      </c>
      <c r="P53" s="112">
        <v>0.8</v>
      </c>
      <c r="Q53" s="112">
        <v>4.97</v>
      </c>
    </row>
    <row r="54" spans="1:17" customFormat="1">
      <c r="A54" s="80">
        <v>45609.479166666664</v>
      </c>
      <c r="B54" s="112">
        <v>5.36</v>
      </c>
      <c r="C54" s="112">
        <v>8.1199999999999992</v>
      </c>
      <c r="D54" s="112">
        <v>14.11</v>
      </c>
      <c r="E54" s="112">
        <v>9.27</v>
      </c>
      <c r="F54" s="112">
        <v>7.68</v>
      </c>
      <c r="G54" s="112">
        <v>83.41</v>
      </c>
      <c r="H54" s="112">
        <v>32.119999999999997</v>
      </c>
      <c r="I54" s="112">
        <v>11.04</v>
      </c>
      <c r="J54" s="112">
        <v>0.24</v>
      </c>
      <c r="K54" s="112">
        <v>117.12</v>
      </c>
      <c r="L54" s="112">
        <v>30.37</v>
      </c>
      <c r="M54" s="112">
        <v>37.31</v>
      </c>
      <c r="N54" s="112">
        <v>571.29999999999995</v>
      </c>
      <c r="O54" s="112">
        <v>0</v>
      </c>
      <c r="P54" s="112">
        <v>0.77</v>
      </c>
      <c r="Q54" s="112">
        <v>4.9800000000000004</v>
      </c>
    </row>
    <row r="55" spans="1:17" customFormat="1">
      <c r="A55" s="80">
        <v>45609.489583333336</v>
      </c>
      <c r="B55" s="112">
        <v>5.38</v>
      </c>
      <c r="C55" s="112">
        <v>8.07</v>
      </c>
      <c r="D55" s="112">
        <v>14.1</v>
      </c>
      <c r="E55" s="112">
        <v>9.4499999999999993</v>
      </c>
      <c r="F55" s="112">
        <v>8.4</v>
      </c>
      <c r="G55" s="112">
        <v>66.84</v>
      </c>
      <c r="H55" s="112">
        <v>31.22</v>
      </c>
      <c r="I55" s="112">
        <v>10.8</v>
      </c>
      <c r="J55" s="112">
        <v>0.38</v>
      </c>
      <c r="K55" s="112">
        <v>125.54</v>
      </c>
      <c r="L55" s="112">
        <v>30.4</v>
      </c>
      <c r="M55" s="112">
        <v>35.74</v>
      </c>
      <c r="N55" s="112">
        <v>587</v>
      </c>
      <c r="O55" s="112">
        <v>0</v>
      </c>
      <c r="P55" s="112">
        <v>0.74</v>
      </c>
      <c r="Q55" s="112">
        <v>4.9800000000000004</v>
      </c>
    </row>
    <row r="56" spans="1:17" customFormat="1">
      <c r="A56" s="80">
        <v>45609.5</v>
      </c>
      <c r="B56" s="112">
        <v>5.39</v>
      </c>
      <c r="C56" s="112">
        <v>8.07</v>
      </c>
      <c r="D56" s="112">
        <v>14.11</v>
      </c>
      <c r="E56" s="112">
        <v>9.33</v>
      </c>
      <c r="F56" s="112">
        <v>8.6999999999999993</v>
      </c>
      <c r="G56" s="112">
        <v>66.459999999999994</v>
      </c>
      <c r="H56" s="112">
        <v>31.22</v>
      </c>
      <c r="I56" s="112">
        <v>10.56</v>
      </c>
      <c r="J56" s="112">
        <v>0.65</v>
      </c>
      <c r="K56" s="112">
        <v>54.99</v>
      </c>
      <c r="L56" s="112">
        <v>30.34</v>
      </c>
      <c r="M56" s="112">
        <v>34.74</v>
      </c>
      <c r="N56" s="112">
        <v>584.20000000000005</v>
      </c>
      <c r="O56" s="112">
        <v>0</v>
      </c>
      <c r="P56" s="112">
        <v>0.72</v>
      </c>
      <c r="Q56" s="112">
        <v>4.9800000000000004</v>
      </c>
    </row>
    <row r="57" spans="1:17" customFormat="1">
      <c r="A57" s="80">
        <v>45609.510416666664</v>
      </c>
      <c r="B57" s="112">
        <v>5.36</v>
      </c>
      <c r="C57" s="112">
        <v>8.06</v>
      </c>
      <c r="D57" s="112">
        <v>14.08</v>
      </c>
      <c r="E57" s="112">
        <v>9.64</v>
      </c>
      <c r="F57" s="112">
        <v>9.73</v>
      </c>
      <c r="G57" s="112">
        <v>66.459999999999994</v>
      </c>
      <c r="H57" s="112">
        <v>31.22</v>
      </c>
      <c r="I57" s="112">
        <v>10.33</v>
      </c>
      <c r="J57" s="112">
        <v>0.56999999999999995</v>
      </c>
      <c r="K57" s="112">
        <v>57.52</v>
      </c>
      <c r="L57" s="112">
        <v>30.58</v>
      </c>
      <c r="M57" s="112">
        <v>34.54</v>
      </c>
      <c r="N57" s="112">
        <v>579.79999999999995</v>
      </c>
      <c r="O57" s="112">
        <v>0</v>
      </c>
      <c r="P57" s="112">
        <v>0.71</v>
      </c>
      <c r="Q57" s="112">
        <v>4.99</v>
      </c>
    </row>
    <row r="58" spans="1:17" customFormat="1">
      <c r="A58" s="80">
        <v>45609.520833333336</v>
      </c>
      <c r="B58" s="112">
        <v>5.33</v>
      </c>
      <c r="C58" s="112">
        <v>8.06</v>
      </c>
      <c r="D58" s="112">
        <v>14.05</v>
      </c>
      <c r="E58" s="112">
        <v>9.93</v>
      </c>
      <c r="F58" s="112">
        <v>9.51</v>
      </c>
      <c r="G58" s="112">
        <v>66.459999999999994</v>
      </c>
      <c r="H58" s="112">
        <v>31.22</v>
      </c>
      <c r="I58" s="112">
        <v>10.08</v>
      </c>
      <c r="J58" s="112">
        <v>0.18</v>
      </c>
      <c r="K58" s="112">
        <v>78.94</v>
      </c>
      <c r="L58" s="112">
        <v>30.55</v>
      </c>
      <c r="M58" s="112">
        <v>34.99</v>
      </c>
      <c r="N58" s="112">
        <v>552.79999999999995</v>
      </c>
      <c r="O58" s="112">
        <v>0</v>
      </c>
      <c r="P58" s="112">
        <v>0.71</v>
      </c>
      <c r="Q58" s="112">
        <v>4.97</v>
      </c>
    </row>
    <row r="59" spans="1:17" customFormat="1">
      <c r="A59" s="80">
        <v>45609.53125</v>
      </c>
      <c r="B59" s="112">
        <v>5.31</v>
      </c>
      <c r="C59" s="112">
        <v>8.08</v>
      </c>
      <c r="D59" s="112">
        <v>14.05</v>
      </c>
      <c r="E59" s="112">
        <v>9.36</v>
      </c>
      <c r="F59" s="112">
        <v>9.39</v>
      </c>
      <c r="G59" s="112">
        <v>55.58</v>
      </c>
      <c r="H59" s="112">
        <v>26.85</v>
      </c>
      <c r="I59" s="112">
        <v>9.8000000000000007</v>
      </c>
      <c r="J59" s="112">
        <v>0.42</v>
      </c>
      <c r="K59" s="112">
        <v>76.17</v>
      </c>
      <c r="L59" s="112">
        <v>30.83</v>
      </c>
      <c r="M59" s="112">
        <v>35.229999999999997</v>
      </c>
      <c r="N59" s="112">
        <v>523.29999999999995</v>
      </c>
      <c r="O59" s="112">
        <v>0</v>
      </c>
      <c r="P59" s="112">
        <v>0.69</v>
      </c>
      <c r="Q59" s="112">
        <v>4.97</v>
      </c>
    </row>
    <row r="60" spans="1:17" customFormat="1">
      <c r="A60" s="80">
        <v>45609.541666666664</v>
      </c>
      <c r="B60" s="112">
        <v>5.31</v>
      </c>
      <c r="C60" s="112">
        <v>8.06</v>
      </c>
      <c r="D60" s="112">
        <v>14.04</v>
      </c>
      <c r="E60" s="112">
        <v>9.3800000000000008</v>
      </c>
      <c r="F60" s="112">
        <v>11</v>
      </c>
      <c r="G60" s="112">
        <v>55.33</v>
      </c>
      <c r="H60" s="112">
        <v>26.85</v>
      </c>
      <c r="I60" s="112">
        <v>9.6</v>
      </c>
      <c r="J60" s="112">
        <v>0.64</v>
      </c>
      <c r="K60" s="112">
        <v>56.9</v>
      </c>
      <c r="L60" s="112">
        <v>30.86</v>
      </c>
      <c r="M60" s="112">
        <v>34.61</v>
      </c>
      <c r="N60" s="112">
        <v>503.6</v>
      </c>
      <c r="O60" s="112">
        <v>0</v>
      </c>
      <c r="P60" s="112">
        <v>0.65</v>
      </c>
      <c r="Q60" s="112">
        <v>4.9800000000000004</v>
      </c>
    </row>
    <row r="61" spans="1:17" customFormat="1">
      <c r="A61" s="80">
        <v>45609.552083333336</v>
      </c>
      <c r="B61" s="112">
        <v>5.29</v>
      </c>
      <c r="C61" s="112">
        <v>8.1</v>
      </c>
      <c r="D61" s="112">
        <v>14.04</v>
      </c>
      <c r="E61" s="112">
        <v>8.64</v>
      </c>
      <c r="F61" s="112">
        <v>14.38</v>
      </c>
      <c r="G61" s="112">
        <v>55.33</v>
      </c>
      <c r="H61" s="112">
        <v>26.85</v>
      </c>
      <c r="I61" s="112">
        <v>9.42</v>
      </c>
      <c r="J61" s="112">
        <v>0.31</v>
      </c>
      <c r="K61" s="112">
        <v>87.59</v>
      </c>
      <c r="L61" s="112">
        <v>30.78</v>
      </c>
      <c r="M61" s="112">
        <v>35.159999999999997</v>
      </c>
      <c r="N61" s="112">
        <v>510</v>
      </c>
      <c r="O61" s="112">
        <v>0</v>
      </c>
      <c r="P61" s="112">
        <v>0.62</v>
      </c>
      <c r="Q61" s="112">
        <v>5</v>
      </c>
    </row>
    <row r="62" spans="1:17" customFormat="1">
      <c r="A62" s="80">
        <v>45609.5625</v>
      </c>
      <c r="B62" s="112">
        <v>5.3</v>
      </c>
      <c r="C62" s="112">
        <v>8.08</v>
      </c>
      <c r="D62" s="112">
        <v>14.04</v>
      </c>
      <c r="E62" s="112">
        <v>8.3699999999999992</v>
      </c>
      <c r="F62" s="112">
        <v>10.35</v>
      </c>
      <c r="G62" s="112">
        <v>55.33</v>
      </c>
      <c r="H62" s="112">
        <v>26.85</v>
      </c>
      <c r="I62" s="112">
        <v>8.93</v>
      </c>
      <c r="J62" s="112">
        <v>0.42</v>
      </c>
      <c r="K62" s="112">
        <v>58.17</v>
      </c>
      <c r="L62" s="112">
        <v>31.08</v>
      </c>
      <c r="M62" s="112">
        <v>34.99</v>
      </c>
      <c r="N62" s="112">
        <v>470.5</v>
      </c>
      <c r="O62" s="112">
        <v>0</v>
      </c>
      <c r="P62" s="112">
        <v>0.62</v>
      </c>
      <c r="Q62" s="112">
        <v>4.99</v>
      </c>
    </row>
    <row r="63" spans="1:17" customFormat="1">
      <c r="A63" s="80">
        <v>45609.572916666664</v>
      </c>
      <c r="B63" s="112">
        <v>5.29</v>
      </c>
      <c r="C63" s="112">
        <v>8.08</v>
      </c>
      <c r="D63" s="112">
        <v>14.04</v>
      </c>
      <c r="E63" s="112">
        <v>8.3800000000000008</v>
      </c>
      <c r="F63" s="112">
        <v>10.99</v>
      </c>
      <c r="G63" s="112">
        <v>50.53</v>
      </c>
      <c r="H63" s="112">
        <v>28.6</v>
      </c>
      <c r="I63" s="112">
        <v>8.43</v>
      </c>
      <c r="J63" s="112">
        <v>0.39</v>
      </c>
      <c r="K63" s="112">
        <v>68.599999999999994</v>
      </c>
      <c r="L63" s="112">
        <v>30.97</v>
      </c>
      <c r="M63" s="112">
        <v>35.229999999999997</v>
      </c>
      <c r="N63" s="112">
        <v>342.9</v>
      </c>
      <c r="O63" s="112">
        <v>0</v>
      </c>
      <c r="P63" s="112">
        <v>0.62</v>
      </c>
      <c r="Q63" s="112">
        <v>4.9800000000000004</v>
      </c>
    </row>
    <row r="64" spans="1:17" customFormat="1">
      <c r="A64" s="80">
        <v>45609.583333333336</v>
      </c>
      <c r="B64" s="112">
        <v>5.3</v>
      </c>
      <c r="C64" s="112">
        <v>8.07</v>
      </c>
      <c r="D64" s="112">
        <v>14.03</v>
      </c>
      <c r="E64" s="112">
        <v>7.46</v>
      </c>
      <c r="F64" s="112">
        <v>11</v>
      </c>
      <c r="G64" s="112">
        <v>50.42</v>
      </c>
      <c r="H64" s="112">
        <v>28.6</v>
      </c>
      <c r="I64" s="112">
        <v>8.2100000000000009</v>
      </c>
      <c r="J64" s="112">
        <v>0.41</v>
      </c>
      <c r="K64" s="112">
        <v>51.25</v>
      </c>
      <c r="L64" s="112">
        <v>30.57</v>
      </c>
      <c r="M64" s="112">
        <v>35.74</v>
      </c>
      <c r="N64" s="112">
        <v>152</v>
      </c>
      <c r="O64" s="112">
        <v>0</v>
      </c>
      <c r="P64" s="112">
        <v>0.62</v>
      </c>
      <c r="Q64" s="112">
        <v>5</v>
      </c>
    </row>
    <row r="65" spans="1:17" customFormat="1">
      <c r="A65" s="80">
        <v>45609.59375</v>
      </c>
      <c r="B65" s="112">
        <v>5.29</v>
      </c>
      <c r="C65" s="112">
        <v>8.1</v>
      </c>
      <c r="D65" s="112">
        <v>14.04</v>
      </c>
      <c r="E65" s="112">
        <v>8.17</v>
      </c>
      <c r="F65" s="112">
        <v>10.92</v>
      </c>
      <c r="G65" s="112">
        <v>50.42</v>
      </c>
      <c r="H65" s="112">
        <v>28.6</v>
      </c>
      <c r="I65" s="112">
        <v>8.02</v>
      </c>
      <c r="J65" s="112">
        <v>0.24</v>
      </c>
      <c r="K65" s="112">
        <v>109.13</v>
      </c>
      <c r="L65" s="112">
        <v>30.33</v>
      </c>
      <c r="M65" s="112">
        <v>37.36</v>
      </c>
      <c r="N65" s="112">
        <v>106.7</v>
      </c>
      <c r="O65" s="112">
        <v>0</v>
      </c>
      <c r="P65" s="112">
        <v>0.53</v>
      </c>
      <c r="Q65" s="112">
        <v>4.9800000000000004</v>
      </c>
    </row>
    <row r="66" spans="1:17" customFormat="1">
      <c r="A66" s="80">
        <v>45609.604166666664</v>
      </c>
      <c r="B66" s="112">
        <v>5.31</v>
      </c>
      <c r="C66" s="112">
        <v>8.09</v>
      </c>
      <c r="D66" s="112">
        <v>14.05</v>
      </c>
      <c r="E66" s="112">
        <v>8.1999999999999993</v>
      </c>
      <c r="F66" s="112">
        <v>14.3</v>
      </c>
      <c r="G66" s="112">
        <v>50.42</v>
      </c>
      <c r="H66" s="112">
        <v>28.6</v>
      </c>
      <c r="I66" s="112">
        <v>7.81</v>
      </c>
      <c r="J66" s="112">
        <v>0.19</v>
      </c>
      <c r="K66" s="112">
        <v>94.75</v>
      </c>
      <c r="L66" s="112">
        <v>30.04</v>
      </c>
      <c r="M66" s="112">
        <v>36.72</v>
      </c>
      <c r="N66" s="112">
        <v>88.8</v>
      </c>
      <c r="O66" s="112">
        <v>0</v>
      </c>
      <c r="P66" s="112">
        <v>0.53</v>
      </c>
      <c r="Q66" s="112">
        <v>4.9800000000000004</v>
      </c>
    </row>
    <row r="67" spans="1:17" customFormat="1">
      <c r="A67" s="80">
        <v>45609.614583333336</v>
      </c>
      <c r="B67" s="112">
        <v>5.33</v>
      </c>
      <c r="C67" s="112">
        <v>8.07</v>
      </c>
      <c r="D67" s="112">
        <v>14.06</v>
      </c>
      <c r="E67" s="112">
        <v>8.39</v>
      </c>
      <c r="F67" s="112">
        <v>12.47</v>
      </c>
      <c r="G67" s="112">
        <v>45.57</v>
      </c>
      <c r="H67" s="112">
        <v>20.49</v>
      </c>
      <c r="I67" s="112">
        <v>7.58</v>
      </c>
      <c r="J67" s="112">
        <v>0.32</v>
      </c>
      <c r="K67" s="112">
        <v>123.1</v>
      </c>
      <c r="L67" s="112">
        <v>29.95</v>
      </c>
      <c r="M67" s="112">
        <v>36.43</v>
      </c>
      <c r="N67" s="112">
        <v>77.400000000000006</v>
      </c>
      <c r="O67" s="112">
        <v>0</v>
      </c>
      <c r="P67" s="112">
        <v>0.53</v>
      </c>
      <c r="Q67" s="112">
        <v>4.97</v>
      </c>
    </row>
    <row r="68" spans="1:17" customFormat="1">
      <c r="A68" s="80">
        <v>45609.625</v>
      </c>
      <c r="B68" s="112">
        <v>5.34</v>
      </c>
      <c r="C68" s="112">
        <v>8.08</v>
      </c>
      <c r="D68" s="112">
        <v>14.07</v>
      </c>
      <c r="E68" s="112">
        <v>8.94</v>
      </c>
      <c r="F68" s="112">
        <v>13.08</v>
      </c>
      <c r="G68" s="112">
        <v>45.46</v>
      </c>
      <c r="H68" s="112">
        <v>20.49</v>
      </c>
      <c r="I68" s="112">
        <v>7.37</v>
      </c>
      <c r="J68" s="112">
        <v>0.34</v>
      </c>
      <c r="K68" s="112">
        <v>76.09</v>
      </c>
      <c r="L68" s="112">
        <v>29.85</v>
      </c>
      <c r="M68" s="112">
        <v>36.54</v>
      </c>
      <c r="N68" s="112">
        <v>74.900000000000006</v>
      </c>
      <c r="O68" s="112">
        <v>0</v>
      </c>
      <c r="P68" s="112">
        <v>0.52</v>
      </c>
      <c r="Q68" s="112">
        <v>4.97</v>
      </c>
    </row>
    <row r="69" spans="1:17" customFormat="1">
      <c r="A69" s="80">
        <v>45609.635416666664</v>
      </c>
      <c r="B69" s="112">
        <v>5.35</v>
      </c>
      <c r="C69" s="112">
        <v>8.08</v>
      </c>
      <c r="D69" s="112">
        <v>14.08</v>
      </c>
      <c r="E69" s="112">
        <v>8.75</v>
      </c>
      <c r="F69" s="112">
        <v>12.56</v>
      </c>
      <c r="G69" s="112">
        <v>45.46</v>
      </c>
      <c r="H69" s="112">
        <v>20.49</v>
      </c>
      <c r="I69" s="112">
        <v>7.19</v>
      </c>
      <c r="J69" s="112">
        <v>0.27</v>
      </c>
      <c r="K69" s="112">
        <v>128.22</v>
      </c>
      <c r="L69" s="112">
        <v>29.73</v>
      </c>
      <c r="M69" s="112">
        <v>36.82</v>
      </c>
      <c r="N69" s="112">
        <v>62.1</v>
      </c>
      <c r="O69" s="112">
        <v>0</v>
      </c>
      <c r="P69" s="112">
        <v>0.52</v>
      </c>
      <c r="Q69" s="112">
        <v>4.9800000000000004</v>
      </c>
    </row>
    <row r="70" spans="1:17" customFormat="1">
      <c r="A70" s="80">
        <v>45609.645833333336</v>
      </c>
      <c r="B70" s="112">
        <v>5.34</v>
      </c>
      <c r="C70" s="112">
        <v>8.1</v>
      </c>
      <c r="D70" s="112">
        <v>14.08</v>
      </c>
      <c r="E70" s="112">
        <v>8.6199999999999992</v>
      </c>
      <c r="F70" s="112">
        <v>15.58</v>
      </c>
      <c r="G70" s="112">
        <v>45.46</v>
      </c>
      <c r="H70" s="112">
        <v>20.49</v>
      </c>
      <c r="I70" s="112">
        <v>7.1</v>
      </c>
      <c r="J70" s="112">
        <v>0.6</v>
      </c>
      <c r="K70" s="112">
        <v>52.76</v>
      </c>
      <c r="L70" s="112">
        <v>29.6</v>
      </c>
      <c r="M70" s="112">
        <v>36.49</v>
      </c>
      <c r="N70" s="112">
        <v>54.2</v>
      </c>
      <c r="O70" s="112">
        <v>0</v>
      </c>
      <c r="P70" s="112">
        <v>0.51</v>
      </c>
      <c r="Q70" s="112">
        <v>4.97</v>
      </c>
    </row>
    <row r="71" spans="1:17" customFormat="1">
      <c r="A71" s="80">
        <v>45609.65625</v>
      </c>
      <c r="B71" s="112">
        <v>5.33</v>
      </c>
      <c r="C71" s="112">
        <v>8.08</v>
      </c>
      <c r="D71" s="112">
        <v>14.06</v>
      </c>
      <c r="E71" s="112">
        <v>9.36</v>
      </c>
      <c r="F71" s="112">
        <v>11.59</v>
      </c>
      <c r="G71" s="112">
        <v>45.37</v>
      </c>
      <c r="H71" s="112">
        <v>20.55</v>
      </c>
      <c r="I71" s="112">
        <v>6.96</v>
      </c>
      <c r="J71" s="112">
        <v>0.27</v>
      </c>
      <c r="K71" s="112">
        <v>105.71</v>
      </c>
      <c r="L71" s="112">
        <v>29.55</v>
      </c>
      <c r="M71" s="112">
        <v>37.369999999999997</v>
      </c>
      <c r="N71" s="112">
        <v>47.5</v>
      </c>
      <c r="O71" s="112">
        <v>0</v>
      </c>
      <c r="P71" s="112">
        <v>0.51</v>
      </c>
      <c r="Q71" s="112">
        <v>4.96</v>
      </c>
    </row>
    <row r="72" spans="1:17" customFormat="1">
      <c r="A72" s="80">
        <v>45609.666666666664</v>
      </c>
      <c r="B72" s="112">
        <v>5.32</v>
      </c>
      <c r="C72" s="112">
        <v>8.1</v>
      </c>
      <c r="D72" s="112">
        <v>14.07</v>
      </c>
      <c r="E72" s="112">
        <v>9.41</v>
      </c>
      <c r="F72" s="112">
        <v>11.85</v>
      </c>
      <c r="G72" s="112">
        <v>45.37</v>
      </c>
      <c r="H72" s="112">
        <v>20.55</v>
      </c>
      <c r="I72" s="112">
        <v>6.77</v>
      </c>
      <c r="J72" s="112">
        <v>0.48</v>
      </c>
      <c r="K72" s="112">
        <v>64.099999999999994</v>
      </c>
      <c r="L72" s="112">
        <v>29.35</v>
      </c>
      <c r="M72" s="112">
        <v>36.79</v>
      </c>
      <c r="N72" s="112">
        <v>40.5</v>
      </c>
      <c r="O72" s="112">
        <v>0</v>
      </c>
      <c r="P72" s="112">
        <v>0.5</v>
      </c>
      <c r="Q72" s="112">
        <v>4.96</v>
      </c>
    </row>
    <row r="73" spans="1:17" customFormat="1">
      <c r="A73" s="80">
        <v>45609.677083333336</v>
      </c>
      <c r="B73" s="112">
        <v>5.33</v>
      </c>
      <c r="C73" s="112">
        <v>8.08</v>
      </c>
      <c r="D73" s="112">
        <v>14.06</v>
      </c>
      <c r="E73" s="112">
        <v>9.39</v>
      </c>
      <c r="F73" s="112">
        <v>12.98</v>
      </c>
      <c r="G73" s="112">
        <v>45.37</v>
      </c>
      <c r="H73" s="112">
        <v>20.55</v>
      </c>
      <c r="I73" s="112">
        <v>6.67</v>
      </c>
      <c r="J73" s="112">
        <v>0.3</v>
      </c>
      <c r="K73" s="112">
        <v>81.53</v>
      </c>
      <c r="L73" s="112">
        <v>29.16</v>
      </c>
      <c r="M73" s="112">
        <v>38.14</v>
      </c>
      <c r="N73" s="112">
        <v>32.4</v>
      </c>
      <c r="O73" s="112">
        <v>0</v>
      </c>
      <c r="P73" s="112">
        <v>0.5</v>
      </c>
      <c r="Q73" s="112">
        <v>4.97</v>
      </c>
    </row>
    <row r="74" spans="1:17" customFormat="1">
      <c r="A74" s="80">
        <v>45609.6875</v>
      </c>
      <c r="B74" s="112">
        <v>5.33</v>
      </c>
      <c r="C74" s="112">
        <v>8.06</v>
      </c>
      <c r="D74" s="112">
        <v>14.05</v>
      </c>
      <c r="E74" s="112">
        <v>9.6</v>
      </c>
      <c r="F74" s="112">
        <v>13.46</v>
      </c>
      <c r="G74" s="112">
        <v>45.37</v>
      </c>
      <c r="H74" s="112">
        <v>20.55</v>
      </c>
      <c r="I74" s="112">
        <v>6.62</v>
      </c>
      <c r="J74" s="112">
        <v>0.18</v>
      </c>
      <c r="K74" s="112">
        <v>97.66</v>
      </c>
      <c r="L74" s="112">
        <v>28.9</v>
      </c>
      <c r="M74" s="112">
        <v>40.130000000000003</v>
      </c>
      <c r="N74" s="112">
        <v>24.4</v>
      </c>
      <c r="O74" s="112">
        <v>0</v>
      </c>
      <c r="P74" s="112">
        <v>0.5</v>
      </c>
      <c r="Q74" s="112">
        <v>4.97</v>
      </c>
    </row>
    <row r="75" spans="1:17" customFormat="1">
      <c r="A75" s="80">
        <v>45609.697916666664</v>
      </c>
      <c r="B75" s="112">
        <v>5.3</v>
      </c>
      <c r="C75" s="112">
        <v>8.09</v>
      </c>
      <c r="D75" s="112">
        <v>14.05</v>
      </c>
      <c r="E75" s="112">
        <v>10.18</v>
      </c>
      <c r="F75" s="112">
        <v>12.92</v>
      </c>
      <c r="G75" s="112">
        <v>47.96</v>
      </c>
      <c r="H75" s="112">
        <v>24.08</v>
      </c>
      <c r="I75" s="112">
        <v>6.46</v>
      </c>
      <c r="J75" s="112">
        <v>0.18</v>
      </c>
      <c r="K75" s="112">
        <v>120.92</v>
      </c>
      <c r="L75" s="112">
        <v>28.28</v>
      </c>
      <c r="M75" s="112">
        <v>43.43</v>
      </c>
      <c r="N75" s="112">
        <v>15.7</v>
      </c>
      <c r="O75" s="112">
        <v>0</v>
      </c>
      <c r="P75" s="112">
        <v>0.49</v>
      </c>
      <c r="Q75" s="112">
        <v>4.99</v>
      </c>
    </row>
    <row r="76" spans="1:17" customFormat="1">
      <c r="A76" s="80">
        <v>45609.708333333336</v>
      </c>
      <c r="B76" s="112">
        <v>5.3</v>
      </c>
      <c r="C76" s="112">
        <v>8.08</v>
      </c>
      <c r="D76" s="112">
        <v>14.04</v>
      </c>
      <c r="E76" s="112">
        <v>9.6</v>
      </c>
      <c r="F76" s="112">
        <v>11.93</v>
      </c>
      <c r="G76" s="112">
        <v>48.02</v>
      </c>
      <c r="H76" s="112">
        <v>24.08</v>
      </c>
      <c r="I76" s="112">
        <v>6.33</v>
      </c>
      <c r="J76" s="112">
        <v>0.23</v>
      </c>
      <c r="K76" s="112">
        <v>142.75</v>
      </c>
      <c r="L76" s="112">
        <v>27.69</v>
      </c>
      <c r="M76" s="112">
        <v>46.41</v>
      </c>
      <c r="N76" s="112">
        <v>8</v>
      </c>
      <c r="O76" s="112">
        <v>0</v>
      </c>
      <c r="P76" s="112">
        <v>0.5</v>
      </c>
      <c r="Q76" s="112">
        <v>4.9800000000000004</v>
      </c>
    </row>
    <row r="77" spans="1:17" customFormat="1">
      <c r="A77" s="80">
        <v>45609.71875</v>
      </c>
      <c r="B77" s="112">
        <v>5.32</v>
      </c>
      <c r="C77" s="112">
        <v>8.06</v>
      </c>
      <c r="D77" s="112">
        <v>14.05</v>
      </c>
      <c r="E77" s="112">
        <v>9.35</v>
      </c>
      <c r="F77" s="112">
        <v>9.3000000000000007</v>
      </c>
      <c r="G77" s="112">
        <v>48.02</v>
      </c>
      <c r="H77" s="112">
        <v>24.08</v>
      </c>
      <c r="I77" s="112">
        <v>6.32</v>
      </c>
      <c r="J77" s="112">
        <v>0.22</v>
      </c>
      <c r="K77" s="112">
        <v>141.03</v>
      </c>
      <c r="L77" s="112">
        <v>27.37</v>
      </c>
      <c r="M77" s="112">
        <v>46.19</v>
      </c>
      <c r="N77" s="112">
        <v>3.4</v>
      </c>
      <c r="O77" s="112">
        <v>0</v>
      </c>
      <c r="P77" s="112">
        <v>0.5</v>
      </c>
      <c r="Q77" s="112">
        <v>4.99</v>
      </c>
    </row>
    <row r="78" spans="1:17" customFormat="1">
      <c r="A78" s="80">
        <v>45609.729166666664</v>
      </c>
      <c r="B78" s="112">
        <v>5.33</v>
      </c>
      <c r="C78" s="112">
        <v>8.06</v>
      </c>
      <c r="D78" s="112">
        <v>14.05</v>
      </c>
      <c r="E78" s="112">
        <v>9.16</v>
      </c>
      <c r="F78" s="112">
        <v>9.34</v>
      </c>
      <c r="G78" s="112">
        <v>48.02</v>
      </c>
      <c r="H78" s="112">
        <v>24.08</v>
      </c>
      <c r="I78" s="112">
        <v>6.35</v>
      </c>
      <c r="J78" s="112">
        <v>0.2</v>
      </c>
      <c r="K78" s="112">
        <v>133.49</v>
      </c>
      <c r="L78" s="112">
        <v>26.9</v>
      </c>
      <c r="M78" s="112">
        <v>48.1</v>
      </c>
      <c r="N78" s="112">
        <v>2</v>
      </c>
      <c r="O78" s="112">
        <v>0</v>
      </c>
      <c r="P78" s="112">
        <v>0.51</v>
      </c>
      <c r="Q78" s="112">
        <v>4.9800000000000004</v>
      </c>
    </row>
    <row r="79" spans="1:17" customFormat="1">
      <c r="A79" s="80">
        <v>45609.739583333336</v>
      </c>
      <c r="B79" s="112">
        <v>5.32</v>
      </c>
      <c r="C79" s="112">
        <v>8.07</v>
      </c>
      <c r="D79" s="112">
        <v>14.05</v>
      </c>
      <c r="E79" s="112">
        <v>9.31</v>
      </c>
      <c r="F79" s="112">
        <v>10.27</v>
      </c>
      <c r="G79" s="112">
        <v>64.84</v>
      </c>
      <c r="H79" s="112">
        <v>23.86</v>
      </c>
      <c r="I79" s="112">
        <v>6.42</v>
      </c>
      <c r="J79" s="112">
        <v>0.24</v>
      </c>
      <c r="K79" s="112">
        <v>149.94</v>
      </c>
      <c r="L79" s="112">
        <v>26.54</v>
      </c>
      <c r="M79" s="112">
        <v>50.1</v>
      </c>
      <c r="N79" s="112">
        <v>1.8</v>
      </c>
      <c r="O79" s="112">
        <v>0</v>
      </c>
      <c r="P79" s="112">
        <v>0.51</v>
      </c>
      <c r="Q79" s="112">
        <v>4.9800000000000004</v>
      </c>
    </row>
    <row r="80" spans="1:17" customFormat="1">
      <c r="A80" s="80">
        <v>45609.75</v>
      </c>
      <c r="B80" s="112">
        <v>5.3</v>
      </c>
      <c r="C80" s="112">
        <v>8.1</v>
      </c>
      <c r="D80" s="112">
        <v>14.05</v>
      </c>
      <c r="E80" s="112">
        <v>8.9</v>
      </c>
      <c r="F80" s="112">
        <v>8.41</v>
      </c>
      <c r="G80" s="112">
        <v>65.22</v>
      </c>
      <c r="H80" s="112">
        <v>23.86</v>
      </c>
      <c r="I80" s="112">
        <v>6.44</v>
      </c>
      <c r="J80" s="112">
        <v>0.28000000000000003</v>
      </c>
      <c r="K80" s="112">
        <v>152.91</v>
      </c>
      <c r="L80" s="112">
        <v>26.19</v>
      </c>
      <c r="M80" s="112">
        <v>51.26</v>
      </c>
      <c r="N80" s="112">
        <v>1.6</v>
      </c>
      <c r="O80" s="112">
        <v>0</v>
      </c>
      <c r="P80" s="112">
        <v>0.5</v>
      </c>
      <c r="Q80" s="112">
        <v>4.99</v>
      </c>
    </row>
    <row r="81" spans="1:17" customFormat="1">
      <c r="A81" s="80">
        <v>45609.760416666664</v>
      </c>
      <c r="B81" s="112">
        <v>5.3</v>
      </c>
      <c r="C81" s="112">
        <v>8.08</v>
      </c>
      <c r="D81" s="112">
        <v>14.04</v>
      </c>
      <c r="E81" s="112">
        <v>9.1</v>
      </c>
      <c r="F81" s="112">
        <v>7.8</v>
      </c>
      <c r="G81" s="112">
        <v>65.22</v>
      </c>
      <c r="H81" s="112">
        <v>23.86</v>
      </c>
      <c r="I81" s="112">
        <v>6.44</v>
      </c>
      <c r="J81" s="112">
        <v>0.22</v>
      </c>
      <c r="K81" s="112">
        <v>131.22999999999999</v>
      </c>
      <c r="L81" s="112">
        <v>26.05</v>
      </c>
      <c r="M81" s="112">
        <v>51.83</v>
      </c>
      <c r="N81" s="112">
        <v>1.7</v>
      </c>
      <c r="O81" s="112">
        <v>0</v>
      </c>
      <c r="P81" s="112">
        <v>0.51</v>
      </c>
      <c r="Q81" s="112">
        <v>4.99</v>
      </c>
    </row>
    <row r="82" spans="1:17" customFormat="1">
      <c r="A82" s="80">
        <v>45609.770833333336</v>
      </c>
      <c r="B82" s="112">
        <v>5.29</v>
      </c>
      <c r="C82" s="112">
        <v>8.09</v>
      </c>
      <c r="D82" s="112">
        <v>14.03</v>
      </c>
      <c r="E82" s="112">
        <v>10.81</v>
      </c>
      <c r="F82" s="112">
        <v>7.21</v>
      </c>
      <c r="G82" s="112">
        <v>65.22</v>
      </c>
      <c r="H82" s="112">
        <v>23.86</v>
      </c>
      <c r="I82" s="112">
        <v>6.45</v>
      </c>
      <c r="J82" s="112">
        <v>0.27</v>
      </c>
      <c r="K82" s="112">
        <v>97.12</v>
      </c>
      <c r="L82" s="112">
        <v>25.67</v>
      </c>
      <c r="M82" s="112">
        <v>54.39</v>
      </c>
      <c r="N82" s="112">
        <v>1.5</v>
      </c>
      <c r="O82" s="112">
        <v>0</v>
      </c>
      <c r="P82" s="112">
        <v>0.52</v>
      </c>
      <c r="Q82" s="112">
        <v>4.99</v>
      </c>
    </row>
    <row r="83" spans="1:17" customFormat="1">
      <c r="A83" s="80">
        <v>45609.78125</v>
      </c>
      <c r="B83" s="112">
        <v>5.3</v>
      </c>
      <c r="C83" s="112">
        <v>8.06</v>
      </c>
      <c r="D83" s="112">
        <v>14.03</v>
      </c>
      <c r="E83" s="112">
        <v>10.47</v>
      </c>
      <c r="F83" s="112">
        <v>6.95</v>
      </c>
      <c r="G83" s="112">
        <v>79.33</v>
      </c>
      <c r="H83" s="112">
        <v>27.19</v>
      </c>
      <c r="I83" s="112">
        <v>6.44</v>
      </c>
      <c r="J83" s="112">
        <v>0.26</v>
      </c>
      <c r="K83" s="112">
        <v>66.849999999999994</v>
      </c>
      <c r="L83" s="112">
        <v>25.48</v>
      </c>
      <c r="M83" s="112">
        <v>54.29</v>
      </c>
      <c r="N83" s="112">
        <v>1.5</v>
      </c>
      <c r="O83" s="112">
        <v>0</v>
      </c>
      <c r="P83" s="112">
        <v>0.53</v>
      </c>
      <c r="Q83" s="112">
        <v>4.97</v>
      </c>
    </row>
    <row r="84" spans="1:17" customFormat="1">
      <c r="A84" s="80">
        <v>45609.791666666664</v>
      </c>
      <c r="B84" s="112">
        <v>5.31</v>
      </c>
      <c r="C84" s="112">
        <v>8.0299999999999994</v>
      </c>
      <c r="D84" s="112">
        <v>14.02</v>
      </c>
      <c r="E84" s="112">
        <v>11.21</v>
      </c>
      <c r="F84" s="112">
        <v>6.44</v>
      </c>
      <c r="G84" s="112">
        <v>79.650000000000006</v>
      </c>
      <c r="H84" s="112">
        <v>27.19</v>
      </c>
      <c r="I84" s="112">
        <v>6.48</v>
      </c>
      <c r="J84" s="112">
        <v>0.22</v>
      </c>
      <c r="K84" s="112">
        <v>88.36</v>
      </c>
      <c r="L84" s="112">
        <v>25.24</v>
      </c>
      <c r="M84" s="112">
        <v>55.55</v>
      </c>
      <c r="N84" s="112">
        <v>1.5</v>
      </c>
      <c r="O84" s="112">
        <v>0</v>
      </c>
      <c r="P84" s="112">
        <v>0.52</v>
      </c>
      <c r="Q84" s="112">
        <v>4.97</v>
      </c>
    </row>
    <row r="85" spans="1:17" customFormat="1">
      <c r="A85" s="80">
        <v>45609.802083333336</v>
      </c>
      <c r="B85" s="112">
        <v>5.3</v>
      </c>
      <c r="C85" s="112">
        <v>8.07</v>
      </c>
      <c r="D85" s="112">
        <v>14.04</v>
      </c>
      <c r="E85" s="112">
        <v>11.37</v>
      </c>
      <c r="F85" s="112">
        <v>6.27</v>
      </c>
      <c r="G85" s="112">
        <v>79.650000000000006</v>
      </c>
      <c r="H85" s="112">
        <v>27.19</v>
      </c>
      <c r="I85" s="112">
        <v>6.59</v>
      </c>
      <c r="J85" s="112">
        <v>0.19</v>
      </c>
      <c r="K85" s="112">
        <v>97.81</v>
      </c>
      <c r="L85" s="112">
        <v>25.08</v>
      </c>
      <c r="M85" s="112">
        <v>56.61</v>
      </c>
      <c r="N85" s="112">
        <v>1.5</v>
      </c>
      <c r="O85" s="112">
        <v>0</v>
      </c>
      <c r="P85" s="112">
        <v>0.52</v>
      </c>
      <c r="Q85" s="112">
        <v>4.9800000000000004</v>
      </c>
    </row>
    <row r="86" spans="1:17" customFormat="1">
      <c r="A86" s="80">
        <v>45609.8125</v>
      </c>
      <c r="B86" s="112">
        <v>5.32</v>
      </c>
      <c r="C86" s="112">
        <v>8.09</v>
      </c>
      <c r="D86" s="112">
        <v>14.06</v>
      </c>
      <c r="E86" s="112">
        <v>11.01</v>
      </c>
      <c r="F86" s="112">
        <v>6.78</v>
      </c>
      <c r="G86" s="112">
        <v>79.650000000000006</v>
      </c>
      <c r="H86" s="112">
        <v>27.19</v>
      </c>
      <c r="I86" s="112">
        <v>6.76</v>
      </c>
      <c r="J86" s="112">
        <v>0.13</v>
      </c>
      <c r="K86" s="112">
        <v>102.89</v>
      </c>
      <c r="L86" s="112">
        <v>25.15</v>
      </c>
      <c r="M86" s="112">
        <v>55.95</v>
      </c>
      <c r="N86" s="112">
        <v>1.3</v>
      </c>
      <c r="O86" s="112">
        <v>0</v>
      </c>
      <c r="P86" s="112">
        <v>0.52</v>
      </c>
      <c r="Q86" s="112">
        <v>4.99</v>
      </c>
    </row>
    <row r="87" spans="1:17" customFormat="1">
      <c r="A87" s="80">
        <v>45609.822916666664</v>
      </c>
      <c r="B87" s="112">
        <v>5.33</v>
      </c>
      <c r="C87" s="112">
        <v>8.08</v>
      </c>
      <c r="D87" s="112">
        <v>14.07</v>
      </c>
      <c r="E87" s="112">
        <v>11.2</v>
      </c>
      <c r="F87" s="112">
        <v>7.33</v>
      </c>
      <c r="G87" s="112">
        <v>81.92</v>
      </c>
      <c r="H87" s="112">
        <v>28.98</v>
      </c>
      <c r="I87" s="112">
        <v>6.88</v>
      </c>
      <c r="J87" s="112">
        <v>0.17</v>
      </c>
      <c r="K87" s="112">
        <v>114.44</v>
      </c>
      <c r="L87" s="112">
        <v>25.13</v>
      </c>
      <c r="M87" s="112">
        <v>57.61</v>
      </c>
      <c r="N87" s="112">
        <v>1.5</v>
      </c>
      <c r="O87" s="112">
        <v>0</v>
      </c>
      <c r="P87" s="112">
        <v>0.52</v>
      </c>
      <c r="Q87" s="112">
        <v>4.99</v>
      </c>
    </row>
    <row r="88" spans="1:17" customFormat="1">
      <c r="A88" s="80">
        <v>45609.833333333336</v>
      </c>
      <c r="B88" s="112">
        <v>5.32</v>
      </c>
      <c r="C88" s="112">
        <v>8.07</v>
      </c>
      <c r="D88" s="112">
        <v>14.06</v>
      </c>
      <c r="E88" s="112">
        <v>11.45</v>
      </c>
      <c r="F88" s="112">
        <v>6.59</v>
      </c>
      <c r="G88" s="112">
        <v>81.98</v>
      </c>
      <c r="H88" s="112">
        <v>28.98</v>
      </c>
      <c r="I88" s="112">
        <v>6.95</v>
      </c>
      <c r="J88" s="112">
        <v>0.26</v>
      </c>
      <c r="K88" s="112">
        <v>166.76</v>
      </c>
      <c r="L88" s="112">
        <v>24.86</v>
      </c>
      <c r="M88" s="112">
        <v>59.06</v>
      </c>
      <c r="N88" s="112">
        <v>1.7</v>
      </c>
      <c r="O88" s="112">
        <v>0</v>
      </c>
      <c r="P88" s="112">
        <v>0.52</v>
      </c>
      <c r="Q88" s="112">
        <v>5</v>
      </c>
    </row>
    <row r="89" spans="1:17" customFormat="1">
      <c r="A89" s="80">
        <v>45609.84375</v>
      </c>
      <c r="B89" s="112">
        <v>5.32</v>
      </c>
      <c r="C89" s="112">
        <v>8.08</v>
      </c>
      <c r="D89" s="112">
        <v>14.06</v>
      </c>
      <c r="E89" s="112">
        <v>11.46</v>
      </c>
      <c r="F89" s="112">
        <v>7</v>
      </c>
      <c r="G89" s="112">
        <v>81.98</v>
      </c>
      <c r="H89" s="112">
        <v>28.98</v>
      </c>
      <c r="I89" s="112">
        <v>6.87</v>
      </c>
      <c r="J89" s="112">
        <v>0.34</v>
      </c>
      <c r="K89" s="112">
        <v>164.01</v>
      </c>
      <c r="L89" s="112">
        <v>24.47</v>
      </c>
      <c r="M89" s="112">
        <v>61.7</v>
      </c>
      <c r="N89" s="112">
        <v>1.9</v>
      </c>
      <c r="O89" s="112">
        <v>0</v>
      </c>
      <c r="P89" s="112">
        <v>0.53</v>
      </c>
      <c r="Q89" s="112">
        <v>4.9800000000000004</v>
      </c>
    </row>
    <row r="90" spans="1:17" customFormat="1">
      <c r="A90" s="80">
        <v>45609.854166666664</v>
      </c>
      <c r="B90" s="112">
        <v>5.32</v>
      </c>
      <c r="C90" s="112">
        <v>8.07</v>
      </c>
      <c r="D90" s="112">
        <v>14.05</v>
      </c>
      <c r="E90" s="112">
        <v>11.3</v>
      </c>
      <c r="F90" s="112">
        <v>6.59</v>
      </c>
      <c r="G90" s="112">
        <v>81.98</v>
      </c>
      <c r="H90" s="112">
        <v>28.98</v>
      </c>
      <c r="I90" s="112">
        <v>6.74</v>
      </c>
      <c r="J90" s="112">
        <v>0.25</v>
      </c>
      <c r="K90" s="112">
        <v>169.61</v>
      </c>
      <c r="L90" s="112">
        <v>24</v>
      </c>
      <c r="M90" s="112">
        <v>65.680000000000007</v>
      </c>
      <c r="N90" s="112">
        <v>2.1</v>
      </c>
      <c r="O90" s="112">
        <v>0</v>
      </c>
      <c r="P90" s="112">
        <v>0.54</v>
      </c>
      <c r="Q90" s="112">
        <v>4.99</v>
      </c>
    </row>
    <row r="91" spans="1:17" customFormat="1">
      <c r="A91" s="80">
        <v>45609.864583333336</v>
      </c>
      <c r="B91" s="112">
        <v>5.31</v>
      </c>
      <c r="C91" s="112">
        <v>8.07</v>
      </c>
      <c r="D91" s="112">
        <v>14.04</v>
      </c>
      <c r="E91" s="112">
        <v>11.46</v>
      </c>
      <c r="F91" s="112">
        <v>6.29</v>
      </c>
      <c r="G91" s="112">
        <v>81.61</v>
      </c>
      <c r="H91" s="112">
        <v>28.25</v>
      </c>
      <c r="I91" s="112">
        <v>6.84</v>
      </c>
      <c r="J91" s="112">
        <v>0.2</v>
      </c>
      <c r="K91" s="112">
        <v>168.83</v>
      </c>
      <c r="L91" s="112">
        <v>23.59</v>
      </c>
      <c r="M91" s="112">
        <v>65.66</v>
      </c>
      <c r="N91" s="112">
        <v>1.7</v>
      </c>
      <c r="O91" s="112">
        <v>0</v>
      </c>
      <c r="P91" s="112">
        <v>0.54</v>
      </c>
      <c r="Q91" s="112">
        <v>4.97</v>
      </c>
    </row>
    <row r="92" spans="1:17" customFormat="1">
      <c r="A92" s="80">
        <v>45609.875</v>
      </c>
      <c r="B92" s="112">
        <v>5.32</v>
      </c>
      <c r="C92" s="112">
        <v>8.08</v>
      </c>
      <c r="D92" s="112">
        <v>14.06</v>
      </c>
      <c r="E92" s="112">
        <v>11.73</v>
      </c>
      <c r="F92" s="112">
        <v>6.17</v>
      </c>
      <c r="G92" s="112">
        <v>81.599999999999994</v>
      </c>
      <c r="H92" s="112">
        <v>28.25</v>
      </c>
      <c r="I92" s="112">
        <v>6.99</v>
      </c>
      <c r="J92" s="112">
        <v>0.24</v>
      </c>
      <c r="K92" s="112">
        <v>167.79</v>
      </c>
      <c r="L92" s="112">
        <v>23.48</v>
      </c>
      <c r="M92" s="112">
        <v>66.209999999999994</v>
      </c>
      <c r="N92" s="112">
        <v>1.6</v>
      </c>
      <c r="O92" s="112">
        <v>0</v>
      </c>
      <c r="P92" s="112">
        <v>0.54</v>
      </c>
      <c r="Q92" s="112">
        <v>4.97</v>
      </c>
    </row>
    <row r="93" spans="1:17" customFormat="1">
      <c r="A93" s="80">
        <v>45609.885416666664</v>
      </c>
      <c r="B93" s="112">
        <v>5.33</v>
      </c>
      <c r="C93" s="112">
        <v>8.07</v>
      </c>
      <c r="D93" s="112">
        <v>14.06</v>
      </c>
      <c r="E93" s="112">
        <v>11.56</v>
      </c>
      <c r="F93" s="112">
        <v>6.36</v>
      </c>
      <c r="G93" s="112">
        <v>81.599999999999994</v>
      </c>
      <c r="H93" s="112">
        <v>28.25</v>
      </c>
      <c r="I93" s="112">
        <v>6.86</v>
      </c>
      <c r="J93" s="112">
        <v>0.18</v>
      </c>
      <c r="K93" s="112">
        <v>139.66999999999999</v>
      </c>
      <c r="L93" s="112">
        <v>23.79</v>
      </c>
      <c r="M93" s="112">
        <v>60.82</v>
      </c>
      <c r="N93" s="112">
        <v>1.2</v>
      </c>
      <c r="O93" s="112">
        <v>0</v>
      </c>
      <c r="P93" s="112">
        <v>0.54</v>
      </c>
      <c r="Q93" s="112">
        <v>4.99</v>
      </c>
    </row>
    <row r="94" spans="1:17" customFormat="1">
      <c r="A94" s="80">
        <v>45609.895833333336</v>
      </c>
      <c r="B94" s="112">
        <v>5.31</v>
      </c>
      <c r="C94" s="112">
        <v>8.1</v>
      </c>
      <c r="D94" s="112">
        <v>14.05</v>
      </c>
      <c r="E94" s="112">
        <v>11.92</v>
      </c>
      <c r="F94" s="112">
        <v>6.42</v>
      </c>
      <c r="G94" s="112">
        <v>81.599999999999994</v>
      </c>
      <c r="H94" s="112">
        <v>28.25</v>
      </c>
      <c r="I94" s="112">
        <v>6.75</v>
      </c>
      <c r="J94" s="112">
        <v>0.15</v>
      </c>
      <c r="K94" s="112">
        <v>125.57</v>
      </c>
      <c r="L94" s="112">
        <v>23.97</v>
      </c>
      <c r="M94" s="112">
        <v>60.43</v>
      </c>
      <c r="N94" s="112">
        <v>1.3</v>
      </c>
      <c r="O94" s="112">
        <v>0</v>
      </c>
      <c r="P94" s="112">
        <v>0.55000000000000004</v>
      </c>
      <c r="Q94" s="112">
        <v>4.9800000000000004</v>
      </c>
    </row>
    <row r="95" spans="1:17" customFormat="1">
      <c r="A95" s="80">
        <v>45609.90625</v>
      </c>
      <c r="B95" s="112">
        <v>5.31</v>
      </c>
      <c r="C95" s="112">
        <v>8.09</v>
      </c>
      <c r="D95" s="112">
        <v>14.05</v>
      </c>
      <c r="E95" s="112">
        <v>11.82</v>
      </c>
      <c r="F95" s="112">
        <v>6.72</v>
      </c>
      <c r="G95" s="112">
        <v>76.69</v>
      </c>
      <c r="H95" s="112">
        <v>27.44</v>
      </c>
      <c r="I95" s="112">
        <v>6.76</v>
      </c>
      <c r="J95" s="112">
        <v>0.11</v>
      </c>
      <c r="K95" s="112">
        <v>110.26</v>
      </c>
      <c r="L95" s="112">
        <v>23.79</v>
      </c>
      <c r="M95" s="112">
        <v>62.32</v>
      </c>
      <c r="N95" s="112">
        <v>1.5</v>
      </c>
      <c r="O95" s="112">
        <v>0</v>
      </c>
      <c r="P95" s="112">
        <v>0.54</v>
      </c>
      <c r="Q95" s="112">
        <v>4.97</v>
      </c>
    </row>
    <row r="96" spans="1:17" customFormat="1">
      <c r="A96" s="80">
        <v>45609.916666666664</v>
      </c>
      <c r="B96" s="112">
        <v>5.32</v>
      </c>
      <c r="C96" s="112">
        <v>8.0500000000000007</v>
      </c>
      <c r="D96" s="112">
        <v>14.04</v>
      </c>
      <c r="E96" s="112">
        <v>11.64</v>
      </c>
      <c r="F96" s="112">
        <v>5.93</v>
      </c>
      <c r="G96" s="112">
        <v>76.58</v>
      </c>
      <c r="H96" s="112">
        <v>27.44</v>
      </c>
      <c r="I96" s="112">
        <v>6.72</v>
      </c>
      <c r="J96" s="112">
        <v>7.0000000000000007E-2</v>
      </c>
      <c r="K96" s="112">
        <v>147</v>
      </c>
      <c r="L96" s="112">
        <v>23.39</v>
      </c>
      <c r="M96" s="112">
        <v>65.23</v>
      </c>
      <c r="N96" s="112">
        <v>1.7</v>
      </c>
      <c r="O96" s="112">
        <v>0</v>
      </c>
      <c r="P96" s="112">
        <v>0.54</v>
      </c>
      <c r="Q96" s="112">
        <v>4.9800000000000004</v>
      </c>
    </row>
    <row r="97" spans="1:22" customFormat="1">
      <c r="A97" s="80">
        <v>45609.927083333336</v>
      </c>
      <c r="B97" s="112">
        <v>5.29</v>
      </c>
      <c r="C97" s="112">
        <v>8.08</v>
      </c>
      <c r="D97" s="112">
        <v>14.03</v>
      </c>
      <c r="E97" s="112">
        <v>11.74</v>
      </c>
      <c r="F97" s="112">
        <v>5.75</v>
      </c>
      <c r="G97" s="112">
        <v>76.58</v>
      </c>
      <c r="H97" s="112">
        <v>27.44</v>
      </c>
      <c r="I97" s="112">
        <v>6.74</v>
      </c>
      <c r="J97" s="112">
        <v>0.13</v>
      </c>
      <c r="K97" s="112">
        <v>178.49</v>
      </c>
      <c r="L97" s="112">
        <v>22.83</v>
      </c>
      <c r="M97" s="112">
        <v>69.86</v>
      </c>
      <c r="N97" s="112">
        <v>1.9</v>
      </c>
      <c r="O97" s="112">
        <v>0</v>
      </c>
      <c r="P97" s="112">
        <v>0.56000000000000005</v>
      </c>
      <c r="Q97" s="112">
        <v>4.9800000000000004</v>
      </c>
    </row>
    <row r="98" spans="1:22" customFormat="1">
      <c r="A98" s="80">
        <v>45609.9375</v>
      </c>
      <c r="B98" s="112">
        <v>5.29</v>
      </c>
      <c r="C98" s="112">
        <v>8.07</v>
      </c>
      <c r="D98" s="112">
        <v>14.03</v>
      </c>
      <c r="E98" s="112">
        <v>11.62</v>
      </c>
      <c r="F98" s="112">
        <v>5.71</v>
      </c>
      <c r="G98" s="112">
        <v>76.58</v>
      </c>
      <c r="H98" s="112">
        <v>27.44</v>
      </c>
      <c r="I98" s="112">
        <v>6.77</v>
      </c>
      <c r="J98" s="112">
        <v>0.12</v>
      </c>
      <c r="K98" s="112">
        <v>183.77</v>
      </c>
      <c r="L98" s="112">
        <v>22.09</v>
      </c>
      <c r="M98" s="112">
        <v>74.459999999999994</v>
      </c>
      <c r="N98" s="112">
        <v>1.9</v>
      </c>
      <c r="O98" s="112">
        <v>0</v>
      </c>
      <c r="P98" s="112">
        <v>0.55000000000000004</v>
      </c>
      <c r="Q98" s="112">
        <v>4.97</v>
      </c>
    </row>
    <row r="99" spans="1:22" customFormat="1">
      <c r="A99" s="80">
        <v>45609.947916666664</v>
      </c>
      <c r="B99" s="112">
        <v>5.3</v>
      </c>
      <c r="C99" s="112">
        <v>8.08</v>
      </c>
      <c r="D99" s="112">
        <v>14.04</v>
      </c>
      <c r="E99" s="112">
        <v>12.09</v>
      </c>
      <c r="F99" s="112">
        <v>5.82</v>
      </c>
      <c r="G99" s="112">
        <v>82.02</v>
      </c>
      <c r="H99" s="112">
        <v>28.9</v>
      </c>
      <c r="I99" s="112">
        <v>6.78</v>
      </c>
      <c r="J99" s="112">
        <v>0.14000000000000001</v>
      </c>
      <c r="K99" s="112">
        <v>158.47</v>
      </c>
      <c r="L99" s="112">
        <v>22.02</v>
      </c>
      <c r="M99" s="112">
        <v>74.319999999999993</v>
      </c>
      <c r="N99" s="112">
        <v>1.6</v>
      </c>
      <c r="O99" s="112">
        <v>0</v>
      </c>
      <c r="P99" s="112">
        <v>0.55000000000000004</v>
      </c>
      <c r="Q99" s="112">
        <v>4.9800000000000004</v>
      </c>
    </row>
    <row r="100" spans="1:22" customFormat="1">
      <c r="A100" s="80">
        <v>45609.958333333336</v>
      </c>
      <c r="B100" s="112">
        <v>5.28</v>
      </c>
      <c r="C100" s="112">
        <v>8.1</v>
      </c>
      <c r="D100" s="112">
        <v>14.04</v>
      </c>
      <c r="E100" s="112">
        <v>11.63</v>
      </c>
      <c r="F100" s="112">
        <v>5.93</v>
      </c>
      <c r="G100" s="112">
        <v>82.21</v>
      </c>
      <c r="H100" s="112">
        <v>28.9</v>
      </c>
      <c r="I100" s="112">
        <v>6.79</v>
      </c>
      <c r="J100" s="112">
        <v>0.16</v>
      </c>
      <c r="K100" s="112">
        <v>180.33</v>
      </c>
      <c r="L100" s="112">
        <v>21.62</v>
      </c>
      <c r="M100" s="112">
        <v>80.900000000000006</v>
      </c>
      <c r="N100" s="112">
        <v>1.7</v>
      </c>
      <c r="O100" s="112">
        <v>0</v>
      </c>
      <c r="P100" s="112">
        <v>0.55000000000000004</v>
      </c>
      <c r="Q100" s="112">
        <v>4.97</v>
      </c>
    </row>
    <row r="101" spans="1:22" customFormat="1">
      <c r="A101" s="80">
        <v>45609.96875</v>
      </c>
      <c r="B101" s="112">
        <v>5.29</v>
      </c>
      <c r="C101" s="112">
        <v>8.07</v>
      </c>
      <c r="D101" s="112">
        <v>14.03</v>
      </c>
      <c r="E101" s="112">
        <v>11.71</v>
      </c>
      <c r="F101" s="112">
        <v>5.89</v>
      </c>
      <c r="G101" s="112">
        <v>82.21</v>
      </c>
      <c r="H101" s="112">
        <v>28.9</v>
      </c>
      <c r="I101" s="112">
        <v>6.79</v>
      </c>
      <c r="J101" s="112">
        <v>0.15</v>
      </c>
      <c r="K101" s="112">
        <v>181.87</v>
      </c>
      <c r="L101" s="112">
        <v>21.45</v>
      </c>
      <c r="M101" s="112">
        <v>79.69</v>
      </c>
      <c r="N101" s="112">
        <v>1.6</v>
      </c>
      <c r="O101" s="112">
        <v>0</v>
      </c>
      <c r="P101" s="112">
        <v>0.56000000000000005</v>
      </c>
      <c r="Q101" s="112">
        <v>4.97</v>
      </c>
    </row>
    <row r="102" spans="1:22" customFormat="1">
      <c r="A102" s="80">
        <v>45609.979166666664</v>
      </c>
      <c r="B102" s="112">
        <v>5.29</v>
      </c>
      <c r="C102" s="112">
        <v>8.07</v>
      </c>
      <c r="D102" s="112">
        <v>14.03</v>
      </c>
      <c r="E102" s="112">
        <v>11.68</v>
      </c>
      <c r="F102" s="112">
        <v>5.84</v>
      </c>
      <c r="G102" s="112">
        <v>82.21</v>
      </c>
      <c r="H102" s="112">
        <v>28.9</v>
      </c>
      <c r="I102" s="112">
        <v>6.78</v>
      </c>
      <c r="J102" s="112">
        <v>0.16</v>
      </c>
      <c r="K102" s="112">
        <v>190.81</v>
      </c>
      <c r="L102" s="112">
        <v>21.44</v>
      </c>
      <c r="M102" s="112">
        <v>79.569999999999993</v>
      </c>
      <c r="N102" s="112">
        <v>1.4</v>
      </c>
      <c r="O102" s="112">
        <v>0</v>
      </c>
      <c r="P102" s="112">
        <v>0.56000000000000005</v>
      </c>
      <c r="Q102" s="112">
        <v>4.9800000000000004</v>
      </c>
    </row>
    <row r="103" spans="1:22" customFormat="1">
      <c r="A103" s="80">
        <v>45609.989583333336</v>
      </c>
      <c r="B103" s="112">
        <v>5.31</v>
      </c>
      <c r="C103" s="112">
        <v>8.0500000000000007</v>
      </c>
      <c r="D103" s="112">
        <v>14.04</v>
      </c>
      <c r="E103" s="112">
        <v>10.94</v>
      </c>
      <c r="F103" s="112">
        <v>6.07</v>
      </c>
      <c r="G103" s="112">
        <v>79.489999999999995</v>
      </c>
      <c r="H103" s="112">
        <v>30.68</v>
      </c>
      <c r="I103" s="112">
        <v>6.81</v>
      </c>
      <c r="J103" s="112">
        <v>0.2</v>
      </c>
      <c r="K103" s="112">
        <v>197.23</v>
      </c>
      <c r="L103" s="112">
        <v>21.32</v>
      </c>
      <c r="M103" s="112">
        <v>82.77</v>
      </c>
      <c r="N103" s="112">
        <v>1.5</v>
      </c>
      <c r="O103" s="112">
        <v>0</v>
      </c>
      <c r="P103" s="112">
        <v>0.57999999999999996</v>
      </c>
      <c r="Q103" s="112">
        <v>4.9800000000000004</v>
      </c>
    </row>
    <row r="104" spans="1:22" customFormat="1">
      <c r="A104" s="80">
        <v>45610</v>
      </c>
      <c r="B104" s="112">
        <v>5.29</v>
      </c>
      <c r="C104" s="112">
        <v>8.07</v>
      </c>
      <c r="D104" s="112">
        <v>14.02</v>
      </c>
      <c r="E104" s="112">
        <v>10.73</v>
      </c>
      <c r="F104" s="112">
        <v>6</v>
      </c>
      <c r="G104" s="112">
        <v>79.430000000000007</v>
      </c>
      <c r="H104" s="112">
        <v>30.68</v>
      </c>
      <c r="I104" s="112">
        <v>6.84</v>
      </c>
      <c r="J104" s="112">
        <v>0.1</v>
      </c>
      <c r="K104" s="112">
        <v>206.72</v>
      </c>
      <c r="L104" s="112">
        <v>20.98</v>
      </c>
      <c r="M104" s="112">
        <v>82.37</v>
      </c>
      <c r="N104" s="112">
        <v>1.5</v>
      </c>
      <c r="O104" s="112">
        <v>0</v>
      </c>
      <c r="P104" s="112">
        <v>0.57999999999999996</v>
      </c>
      <c r="Q104" s="112">
        <v>4.99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5.28</v>
      </c>
      <c r="C106" s="183">
        <f>MIN(C9:C104)</f>
        <v>8.0299999999999994</v>
      </c>
      <c r="D106" s="183">
        <f t="shared" ref="D106:Q106" si="0">MIN(D9:D104)</f>
        <v>14.02</v>
      </c>
      <c r="E106" s="183">
        <f t="shared" si="0"/>
        <v>7.46</v>
      </c>
      <c r="F106" s="183">
        <f t="shared" si="0"/>
        <v>5.29</v>
      </c>
      <c r="G106" s="183">
        <f t="shared" si="0"/>
        <v>45.37</v>
      </c>
      <c r="H106" s="183">
        <f t="shared" si="0"/>
        <v>20.49</v>
      </c>
      <c r="I106" s="183">
        <f t="shared" si="0"/>
        <v>6.32</v>
      </c>
      <c r="J106" s="183">
        <f t="shared" si="0"/>
        <v>0.05</v>
      </c>
      <c r="K106" s="183">
        <f t="shared" si="0"/>
        <v>6.65</v>
      </c>
      <c r="L106" s="183">
        <f t="shared" si="0"/>
        <v>19.25</v>
      </c>
      <c r="M106" s="183">
        <f t="shared" si="0"/>
        <v>34.54</v>
      </c>
      <c r="N106" s="183">
        <f t="shared" si="0"/>
        <v>1.1000000000000001</v>
      </c>
      <c r="O106" s="183">
        <f t="shared" si="0"/>
        <v>0</v>
      </c>
      <c r="P106" s="183">
        <f t="shared" si="0"/>
        <v>0.49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5.39</v>
      </c>
      <c r="C107" s="184">
        <f t="shared" ref="C107:Q107" si="1">MAX(C9:C104)</f>
        <v>8.1300000000000008</v>
      </c>
      <c r="D107" s="184">
        <f t="shared" si="1"/>
        <v>14.12</v>
      </c>
      <c r="E107" s="184">
        <f t="shared" si="1"/>
        <v>12.09</v>
      </c>
      <c r="F107" s="184">
        <f t="shared" si="1"/>
        <v>15.58</v>
      </c>
      <c r="G107" s="184">
        <f t="shared" si="1"/>
        <v>114.43</v>
      </c>
      <c r="H107" s="184">
        <f t="shared" si="1"/>
        <v>49</v>
      </c>
      <c r="I107" s="184">
        <f t="shared" si="1"/>
        <v>11.92</v>
      </c>
      <c r="J107" s="184">
        <f t="shared" si="1"/>
        <v>1.08</v>
      </c>
      <c r="K107" s="184">
        <f t="shared" si="1"/>
        <v>359.97</v>
      </c>
      <c r="L107" s="184">
        <f t="shared" si="1"/>
        <v>31.08</v>
      </c>
      <c r="M107" s="184">
        <f t="shared" si="1"/>
        <v>85.81</v>
      </c>
      <c r="N107" s="184">
        <f t="shared" si="1"/>
        <v>587</v>
      </c>
      <c r="O107" s="184">
        <f t="shared" si="1"/>
        <v>0</v>
      </c>
      <c r="P107" s="184">
        <f t="shared" si="1"/>
        <v>0.95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5.3357291666666669</v>
      </c>
      <c r="C108" s="183">
        <f t="shared" ref="C108:Q108" si="2">AVERAGE(C9:C104)</f>
        <v>8.0795833333333391</v>
      </c>
      <c r="D108" s="183">
        <f t="shared" si="2"/>
        <v>14.068333333333321</v>
      </c>
      <c r="E108" s="183">
        <f t="shared" si="2"/>
        <v>9.880625000000002</v>
      </c>
      <c r="F108" s="183">
        <f t="shared" si="2"/>
        <v>7.5353124999999999</v>
      </c>
      <c r="G108" s="183">
        <f t="shared" si="2"/>
        <v>76.477708333333339</v>
      </c>
      <c r="H108" s="183">
        <f t="shared" si="2"/>
        <v>30.614166666666677</v>
      </c>
      <c r="I108" s="183">
        <f t="shared" si="2"/>
        <v>8.5268750000000022</v>
      </c>
      <c r="J108" s="183">
        <f t="shared" si="2"/>
        <v>0.31802083333333331</v>
      </c>
      <c r="K108" s="183">
        <f t="shared" si="2"/>
        <v>103.73229166666665</v>
      </c>
      <c r="L108" s="183">
        <f t="shared" si="2"/>
        <v>24.584166666666658</v>
      </c>
      <c r="M108" s="183">
        <f t="shared" si="2"/>
        <v>61.296041666666639</v>
      </c>
      <c r="N108" s="183">
        <f t="shared" si="2"/>
        <v>123.13333333333337</v>
      </c>
      <c r="O108" s="183">
        <f t="shared" si="2"/>
        <v>0</v>
      </c>
      <c r="P108" s="183">
        <f t="shared" si="2"/>
        <v>0.69083333333333341</v>
      </c>
      <c r="Q108" s="183">
        <f t="shared" si="2"/>
        <v>4.9805208333333395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3.1813429526626254E-2</v>
      </c>
      <c r="C109" s="183">
        <f t="shared" ref="C109:Q109" si="3">STDEV(C9:C104)</f>
        <v>1.7101349079849473E-2</v>
      </c>
      <c r="D109" s="183">
        <f t="shared" si="3"/>
        <v>2.7517139794247105E-2</v>
      </c>
      <c r="E109" s="183">
        <f t="shared" si="3"/>
        <v>1.1107169922361375</v>
      </c>
      <c r="F109" s="183">
        <f t="shared" si="3"/>
        <v>2.6204499224470257</v>
      </c>
      <c r="G109" s="183">
        <f t="shared" si="3"/>
        <v>18.327114596406659</v>
      </c>
      <c r="H109" s="183">
        <f t="shared" si="3"/>
        <v>5.7329826290126613</v>
      </c>
      <c r="I109" s="183">
        <f t="shared" si="3"/>
        <v>1.7441326075248853</v>
      </c>
      <c r="J109" s="183">
        <f t="shared" si="3"/>
        <v>0.22835623044369993</v>
      </c>
      <c r="K109" s="183">
        <f t="shared" si="3"/>
        <v>69.508978722996929</v>
      </c>
      <c r="L109" s="183">
        <f t="shared" si="3"/>
        <v>4.0107895709519248</v>
      </c>
      <c r="M109" s="183">
        <f t="shared" si="3"/>
        <v>18.379399765651169</v>
      </c>
      <c r="N109" s="183">
        <f t="shared" si="3"/>
        <v>198.31771939128731</v>
      </c>
      <c r="O109" s="183">
        <f t="shared" si="3"/>
        <v>0</v>
      </c>
      <c r="P109" s="183">
        <f t="shared" si="3"/>
        <v>0.15277549174260072</v>
      </c>
      <c r="Q109" s="183">
        <f t="shared" si="3"/>
        <v>1.0297653454387984E-2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0" activePane="bottomRight" state="frozen"/>
      <selection activeCell="A9" sqref="A9"/>
      <selection pane="topRight" activeCell="A9" sqref="A9"/>
      <selection pane="bottomLeft" activeCell="A9" sqref="A9"/>
      <selection pane="bottomRight" activeCell="G110" sqref="G110:H110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45610.010416666664</v>
      </c>
      <c r="B9" s="112">
        <v>5.12</v>
      </c>
      <c r="C9" s="112">
        <v>8.1300000000000008</v>
      </c>
      <c r="D9" s="112">
        <v>13.92</v>
      </c>
      <c r="E9" s="112">
        <v>10.89</v>
      </c>
      <c r="F9" s="112">
        <v>5.7</v>
      </c>
      <c r="G9" s="112">
        <v>79.430000000000007</v>
      </c>
      <c r="H9" s="112">
        <v>30.68</v>
      </c>
      <c r="I9" s="112">
        <v>6.8</v>
      </c>
      <c r="J9" s="112">
        <v>0.14000000000000001</v>
      </c>
      <c r="K9" s="112">
        <v>205.8</v>
      </c>
      <c r="L9" s="112">
        <v>20.89</v>
      </c>
      <c r="M9" s="112">
        <v>81.239999999999995</v>
      </c>
      <c r="N9" s="112">
        <v>1.4</v>
      </c>
      <c r="O9" s="112">
        <v>0</v>
      </c>
      <c r="P9" s="112">
        <v>0.57999999999999996</v>
      </c>
      <c r="Q9" s="112">
        <v>4.99</v>
      </c>
    </row>
    <row r="10" spans="1:21" customFormat="1">
      <c r="A10" s="80">
        <v>45610.020833333336</v>
      </c>
      <c r="B10" s="112">
        <v>5.14</v>
      </c>
      <c r="C10" s="112">
        <v>8.06</v>
      </c>
      <c r="D10" s="112">
        <v>13.9</v>
      </c>
      <c r="E10" s="112">
        <v>10.5</v>
      </c>
      <c r="F10" s="112">
        <v>5.47</v>
      </c>
      <c r="G10" s="112">
        <v>79.430000000000007</v>
      </c>
      <c r="H10" s="112">
        <v>30.68</v>
      </c>
      <c r="I10" s="112">
        <v>6.9</v>
      </c>
      <c r="J10" s="112">
        <v>0.14000000000000001</v>
      </c>
      <c r="K10" s="112">
        <v>166.66</v>
      </c>
      <c r="L10" s="112">
        <v>20.79</v>
      </c>
      <c r="M10" s="112">
        <v>82.34</v>
      </c>
      <c r="N10" s="112">
        <v>1.4</v>
      </c>
      <c r="O10" s="112">
        <v>0</v>
      </c>
      <c r="P10" s="112">
        <v>0.59</v>
      </c>
      <c r="Q10" s="112">
        <v>4.9800000000000004</v>
      </c>
    </row>
    <row r="11" spans="1:21" customFormat="1">
      <c r="A11" s="80">
        <v>45610.03125</v>
      </c>
      <c r="B11" s="112">
        <v>5.16</v>
      </c>
      <c r="C11" s="112">
        <v>8.06</v>
      </c>
      <c r="D11" s="112">
        <v>13.91</v>
      </c>
      <c r="E11" s="112">
        <v>10.09</v>
      </c>
      <c r="F11" s="112">
        <v>5.57</v>
      </c>
      <c r="G11" s="112">
        <v>81.52</v>
      </c>
      <c r="H11" s="112">
        <v>29.48</v>
      </c>
      <c r="I11" s="112">
        <v>6.9</v>
      </c>
      <c r="J11" s="112">
        <v>0.15</v>
      </c>
      <c r="K11" s="112">
        <v>183.65</v>
      </c>
      <c r="L11" s="112">
        <v>20.77</v>
      </c>
      <c r="M11" s="112">
        <v>85.11</v>
      </c>
      <c r="N11" s="112">
        <v>1.3</v>
      </c>
      <c r="O11" s="112">
        <v>0</v>
      </c>
      <c r="P11" s="112">
        <v>0.59</v>
      </c>
      <c r="Q11" s="112">
        <v>4.9800000000000004</v>
      </c>
    </row>
    <row r="12" spans="1:21" customFormat="1">
      <c r="A12" s="80">
        <v>45610.041666666664</v>
      </c>
      <c r="B12" s="112">
        <v>5.16</v>
      </c>
      <c r="C12" s="112">
        <v>8.08</v>
      </c>
      <c r="D12" s="112">
        <v>13.93</v>
      </c>
      <c r="E12" s="112">
        <v>10</v>
      </c>
      <c r="F12" s="112">
        <v>5.48</v>
      </c>
      <c r="G12" s="112">
        <v>81.569999999999993</v>
      </c>
      <c r="H12" s="112">
        <v>29.48</v>
      </c>
      <c r="I12" s="112">
        <v>6.76</v>
      </c>
      <c r="J12" s="112">
        <v>0.12</v>
      </c>
      <c r="K12" s="112">
        <v>183.26</v>
      </c>
      <c r="L12" s="112">
        <v>20.66</v>
      </c>
      <c r="M12" s="112">
        <v>86.27</v>
      </c>
      <c r="N12" s="112">
        <v>1.4</v>
      </c>
      <c r="O12" s="112">
        <v>0</v>
      </c>
      <c r="P12" s="112">
        <v>0.6</v>
      </c>
      <c r="Q12" s="112">
        <v>4.9800000000000004</v>
      </c>
    </row>
    <row r="13" spans="1:21" customFormat="1">
      <c r="A13" s="80">
        <v>45610.052083333336</v>
      </c>
      <c r="B13" s="112">
        <v>5.17</v>
      </c>
      <c r="C13" s="112">
        <v>8.0299999999999994</v>
      </c>
      <c r="D13" s="112">
        <v>13.91</v>
      </c>
      <c r="E13" s="112">
        <v>10.52</v>
      </c>
      <c r="F13" s="112">
        <v>5.46</v>
      </c>
      <c r="G13" s="112">
        <v>81.569999999999993</v>
      </c>
      <c r="H13" s="112">
        <v>29.48</v>
      </c>
      <c r="I13" s="112">
        <v>6.8</v>
      </c>
      <c r="J13" s="112">
        <v>0.13</v>
      </c>
      <c r="K13" s="112">
        <v>162.69</v>
      </c>
      <c r="L13" s="112">
        <v>20.7</v>
      </c>
      <c r="M13" s="112">
        <v>85.5</v>
      </c>
      <c r="N13" s="112">
        <v>1.3</v>
      </c>
      <c r="O13" s="112">
        <v>0</v>
      </c>
      <c r="P13" s="112">
        <v>0.6</v>
      </c>
      <c r="Q13" s="112">
        <v>4.9800000000000004</v>
      </c>
    </row>
    <row r="14" spans="1:21" customFormat="1">
      <c r="A14" s="80">
        <v>45610.0625</v>
      </c>
      <c r="B14" s="112">
        <v>5.14</v>
      </c>
      <c r="C14" s="112">
        <v>8.08</v>
      </c>
      <c r="D14" s="112">
        <v>13.91</v>
      </c>
      <c r="E14" s="112">
        <v>10.08</v>
      </c>
      <c r="F14" s="112">
        <v>5.53</v>
      </c>
      <c r="G14" s="112">
        <v>81.569999999999993</v>
      </c>
      <c r="H14" s="112">
        <v>29.48</v>
      </c>
      <c r="I14" s="112">
        <v>6.94</v>
      </c>
      <c r="J14" s="112">
        <v>0.19</v>
      </c>
      <c r="K14" s="112">
        <v>192.51</v>
      </c>
      <c r="L14" s="112">
        <v>20.53</v>
      </c>
      <c r="M14" s="112">
        <v>86.96</v>
      </c>
      <c r="N14" s="112">
        <v>1.3</v>
      </c>
      <c r="O14" s="112">
        <v>0</v>
      </c>
      <c r="P14" s="112">
        <v>0.6</v>
      </c>
      <c r="Q14" s="112">
        <v>4.99</v>
      </c>
    </row>
    <row r="15" spans="1:21" customFormat="1">
      <c r="A15" s="80">
        <v>45610.072916666664</v>
      </c>
      <c r="B15" s="112">
        <v>5.14</v>
      </c>
      <c r="C15" s="112">
        <v>8.08</v>
      </c>
      <c r="D15" s="112">
        <v>13.92</v>
      </c>
      <c r="E15" s="112">
        <v>11.08</v>
      </c>
      <c r="F15" s="112">
        <v>5.6</v>
      </c>
      <c r="G15" s="112">
        <v>79.78</v>
      </c>
      <c r="H15" s="112">
        <v>28.54</v>
      </c>
      <c r="I15" s="112">
        <v>7.15</v>
      </c>
      <c r="J15" s="112">
        <v>0.15</v>
      </c>
      <c r="K15" s="112">
        <v>192.59</v>
      </c>
      <c r="L15" s="112">
        <v>20.23</v>
      </c>
      <c r="M15" s="112">
        <v>89.31</v>
      </c>
      <c r="N15" s="112">
        <v>1.6</v>
      </c>
      <c r="O15" s="112">
        <v>0</v>
      </c>
      <c r="P15" s="112">
        <v>0.59</v>
      </c>
      <c r="Q15" s="112">
        <v>4.99</v>
      </c>
    </row>
    <row r="16" spans="1:21" customFormat="1">
      <c r="A16" s="80">
        <v>45610.083333333336</v>
      </c>
      <c r="B16" s="112">
        <v>5.14</v>
      </c>
      <c r="C16" s="112">
        <v>8.0500000000000007</v>
      </c>
      <c r="D16" s="112">
        <v>13.9</v>
      </c>
      <c r="E16" s="112">
        <v>10.59</v>
      </c>
      <c r="F16" s="112">
        <v>5.48</v>
      </c>
      <c r="G16" s="112">
        <v>79.739999999999995</v>
      </c>
      <c r="H16" s="112">
        <v>28.54</v>
      </c>
      <c r="I16" s="112">
        <v>7.22</v>
      </c>
      <c r="J16" s="112">
        <v>0.17</v>
      </c>
      <c r="K16" s="112">
        <v>215.69</v>
      </c>
      <c r="L16" s="112">
        <v>19.88</v>
      </c>
      <c r="M16" s="112">
        <v>88.74</v>
      </c>
      <c r="N16" s="112">
        <v>1.5</v>
      </c>
      <c r="O16" s="112">
        <v>0</v>
      </c>
      <c r="P16" s="112">
        <v>0.6</v>
      </c>
      <c r="Q16" s="112">
        <v>4.99</v>
      </c>
    </row>
    <row r="17" spans="1:17" customFormat="1">
      <c r="A17" s="80">
        <v>45610.09375</v>
      </c>
      <c r="B17" s="112">
        <v>5.14</v>
      </c>
      <c r="C17" s="112">
        <v>8.0399999999999991</v>
      </c>
      <c r="D17" s="112">
        <v>13.89</v>
      </c>
      <c r="E17" s="112">
        <v>8.2100000000000009</v>
      </c>
      <c r="F17" s="112">
        <v>5.47</v>
      </c>
      <c r="G17" s="112">
        <v>79.739999999999995</v>
      </c>
      <c r="H17" s="112">
        <v>28.54</v>
      </c>
      <c r="I17" s="112">
        <v>7.25</v>
      </c>
      <c r="J17" s="112">
        <v>0.13</v>
      </c>
      <c r="K17" s="112">
        <v>195.66</v>
      </c>
      <c r="L17" s="112">
        <v>19.670000000000002</v>
      </c>
      <c r="M17" s="112">
        <v>88.12</v>
      </c>
      <c r="N17" s="112">
        <v>1.4</v>
      </c>
      <c r="O17" s="112">
        <v>0</v>
      </c>
      <c r="P17" s="112">
        <v>0.59</v>
      </c>
      <c r="Q17" s="112">
        <v>4.97</v>
      </c>
    </row>
    <row r="18" spans="1:17" customFormat="1">
      <c r="A18" s="80">
        <v>45610.104166666664</v>
      </c>
      <c r="B18" s="112">
        <v>5.1100000000000003</v>
      </c>
      <c r="C18" s="112">
        <v>8.08</v>
      </c>
      <c r="D18" s="112">
        <v>13.89</v>
      </c>
      <c r="E18" s="112">
        <v>9.3699999999999992</v>
      </c>
      <c r="F18" s="112">
        <v>5.53</v>
      </c>
      <c r="G18" s="112">
        <v>79.739999999999995</v>
      </c>
      <c r="H18" s="112">
        <v>28.54</v>
      </c>
      <c r="I18" s="112">
        <v>7.29</v>
      </c>
      <c r="J18" s="112">
        <v>0.11</v>
      </c>
      <c r="K18" s="112">
        <v>202.23</v>
      </c>
      <c r="L18" s="112">
        <v>19.59</v>
      </c>
      <c r="M18" s="112">
        <v>89.41</v>
      </c>
      <c r="N18" s="112">
        <v>1.4</v>
      </c>
      <c r="O18" s="112">
        <v>0</v>
      </c>
      <c r="P18" s="112">
        <v>0.6</v>
      </c>
      <c r="Q18" s="112">
        <v>4.9800000000000004</v>
      </c>
    </row>
    <row r="19" spans="1:17" customFormat="1">
      <c r="A19" s="80">
        <v>45610.114583333336</v>
      </c>
      <c r="B19" s="112">
        <v>5.12</v>
      </c>
      <c r="C19" s="112">
        <v>8.1</v>
      </c>
      <c r="D19" s="112">
        <v>13.91</v>
      </c>
      <c r="E19" s="112">
        <v>9.6199999999999992</v>
      </c>
      <c r="F19" s="112">
        <v>5.52</v>
      </c>
      <c r="G19" s="112">
        <v>67.37</v>
      </c>
      <c r="H19" s="112">
        <v>27.4</v>
      </c>
      <c r="I19" s="112">
        <v>7.32</v>
      </c>
      <c r="J19" s="112">
        <v>0.09</v>
      </c>
      <c r="K19" s="112">
        <v>221.11</v>
      </c>
      <c r="L19" s="112">
        <v>19.52</v>
      </c>
      <c r="M19" s="112">
        <v>89.39</v>
      </c>
      <c r="N19" s="112">
        <v>1.3</v>
      </c>
      <c r="O19" s="112">
        <v>0</v>
      </c>
      <c r="P19" s="112">
        <v>0.6</v>
      </c>
      <c r="Q19" s="112">
        <v>4.96</v>
      </c>
    </row>
    <row r="20" spans="1:17" customFormat="1">
      <c r="A20" s="80">
        <v>45610.125</v>
      </c>
      <c r="B20" s="112">
        <v>5.13</v>
      </c>
      <c r="C20" s="112">
        <v>8.09</v>
      </c>
      <c r="D20" s="112">
        <v>13.91</v>
      </c>
      <c r="E20" s="112">
        <v>9.64</v>
      </c>
      <c r="F20" s="112">
        <v>5.47</v>
      </c>
      <c r="G20" s="112">
        <v>67.09</v>
      </c>
      <c r="H20" s="112">
        <v>27.4</v>
      </c>
      <c r="I20" s="112">
        <v>7.33</v>
      </c>
      <c r="J20" s="112">
        <v>0.11</v>
      </c>
      <c r="K20" s="112">
        <v>162.74</v>
      </c>
      <c r="L20" s="112">
        <v>19.61</v>
      </c>
      <c r="M20" s="112">
        <v>89.05</v>
      </c>
      <c r="N20" s="112">
        <v>1.3</v>
      </c>
      <c r="O20" s="112">
        <v>0</v>
      </c>
      <c r="P20" s="112">
        <v>0.59</v>
      </c>
      <c r="Q20" s="112">
        <v>4.9800000000000004</v>
      </c>
    </row>
    <row r="21" spans="1:17" customFormat="1">
      <c r="A21" s="80">
        <v>45610.135416666664</v>
      </c>
      <c r="B21" s="112">
        <v>5.13</v>
      </c>
      <c r="C21" s="112">
        <v>8.07</v>
      </c>
      <c r="D21" s="112">
        <v>13.89</v>
      </c>
      <c r="E21" s="112">
        <v>9.84</v>
      </c>
      <c r="F21" s="112">
        <v>5.45</v>
      </c>
      <c r="G21" s="112">
        <v>67.09</v>
      </c>
      <c r="H21" s="112">
        <v>27.4</v>
      </c>
      <c r="I21" s="112">
        <v>7.36</v>
      </c>
      <c r="J21" s="112">
        <v>0.1</v>
      </c>
      <c r="K21" s="112">
        <v>139.74</v>
      </c>
      <c r="L21" s="112">
        <v>19.600000000000001</v>
      </c>
      <c r="M21" s="112">
        <v>87.23</v>
      </c>
      <c r="N21" s="112">
        <v>1.3</v>
      </c>
      <c r="O21" s="112">
        <v>0</v>
      </c>
      <c r="P21" s="112">
        <v>0.6</v>
      </c>
      <c r="Q21" s="112">
        <v>4.97</v>
      </c>
    </row>
    <row r="22" spans="1:17" customFormat="1">
      <c r="A22" s="80">
        <v>45610.145833333336</v>
      </c>
      <c r="B22" s="112">
        <v>5.12</v>
      </c>
      <c r="C22" s="112">
        <v>8.06</v>
      </c>
      <c r="D22" s="112">
        <v>13.89</v>
      </c>
      <c r="E22" s="112">
        <v>9.9499999999999993</v>
      </c>
      <c r="F22" s="112">
        <v>5.4</v>
      </c>
      <c r="G22" s="112">
        <v>67.09</v>
      </c>
      <c r="H22" s="112">
        <v>27.4</v>
      </c>
      <c r="I22" s="112">
        <v>7.36</v>
      </c>
      <c r="J22" s="112">
        <v>0.08</v>
      </c>
      <c r="K22" s="112">
        <v>118.74</v>
      </c>
      <c r="L22" s="112">
        <v>19.48</v>
      </c>
      <c r="M22" s="112">
        <v>87.39</v>
      </c>
      <c r="N22" s="112">
        <v>1.3</v>
      </c>
      <c r="O22" s="112">
        <v>0</v>
      </c>
      <c r="P22" s="112">
        <v>0.59</v>
      </c>
      <c r="Q22" s="112">
        <v>4.96</v>
      </c>
    </row>
    <row r="23" spans="1:17" customFormat="1">
      <c r="A23" s="80">
        <v>45610.15625</v>
      </c>
      <c r="B23" s="112">
        <v>5.1100000000000003</v>
      </c>
      <c r="C23" s="112">
        <v>8.06</v>
      </c>
      <c r="D23" s="112">
        <v>13.88</v>
      </c>
      <c r="E23" s="112">
        <v>10.35</v>
      </c>
      <c r="F23" s="112">
        <v>5.34</v>
      </c>
      <c r="G23" s="112">
        <v>76.180000000000007</v>
      </c>
      <c r="H23" s="112">
        <v>24.48</v>
      </c>
      <c r="I23" s="112">
        <v>7.35</v>
      </c>
      <c r="J23" s="112">
        <v>0.01</v>
      </c>
      <c r="K23" s="112">
        <v>307.66000000000003</v>
      </c>
      <c r="L23" s="112">
        <v>19.47</v>
      </c>
      <c r="M23" s="112">
        <v>87.72</v>
      </c>
      <c r="N23" s="112">
        <v>1.3</v>
      </c>
      <c r="O23" s="112">
        <v>0</v>
      </c>
      <c r="P23" s="112">
        <v>0.59</v>
      </c>
      <c r="Q23" s="112">
        <v>4.99</v>
      </c>
    </row>
    <row r="24" spans="1:17" customFormat="1">
      <c r="A24" s="80">
        <v>45610.166666666664</v>
      </c>
      <c r="B24" s="112">
        <v>5.13</v>
      </c>
      <c r="C24" s="112">
        <v>8.06</v>
      </c>
      <c r="D24" s="112">
        <v>13.89</v>
      </c>
      <c r="E24" s="112">
        <v>9.84</v>
      </c>
      <c r="F24" s="112">
        <v>5.37</v>
      </c>
      <c r="G24" s="112">
        <v>76.39</v>
      </c>
      <c r="H24" s="112">
        <v>24.48</v>
      </c>
      <c r="I24" s="112">
        <v>7.34</v>
      </c>
      <c r="J24" s="112">
        <v>0.32</v>
      </c>
      <c r="K24" s="112">
        <v>35.700000000000003</v>
      </c>
      <c r="L24" s="112">
        <v>19.46</v>
      </c>
      <c r="M24" s="112">
        <v>86.55</v>
      </c>
      <c r="N24" s="112">
        <v>1.1000000000000001</v>
      </c>
      <c r="O24" s="112">
        <v>0</v>
      </c>
      <c r="P24" s="112">
        <v>0.59</v>
      </c>
      <c r="Q24" s="112">
        <v>4.99</v>
      </c>
    </row>
    <row r="25" spans="1:17" customFormat="1">
      <c r="A25" s="80">
        <v>45610.177083333336</v>
      </c>
      <c r="B25" s="112">
        <v>5.14</v>
      </c>
      <c r="C25" s="112">
        <v>8.06</v>
      </c>
      <c r="D25" s="112">
        <v>13.9</v>
      </c>
      <c r="E25" s="112">
        <v>9.7799999999999994</v>
      </c>
      <c r="F25" s="112">
        <v>5.49</v>
      </c>
      <c r="G25" s="112">
        <v>76.39</v>
      </c>
      <c r="H25" s="112">
        <v>24.48</v>
      </c>
      <c r="I25" s="112">
        <v>7.4</v>
      </c>
      <c r="J25" s="112">
        <v>0.27</v>
      </c>
      <c r="K25" s="112">
        <v>41.53</v>
      </c>
      <c r="L25" s="112">
        <v>19.64</v>
      </c>
      <c r="M25" s="112">
        <v>85.48</v>
      </c>
      <c r="N25" s="112">
        <v>1.2</v>
      </c>
      <c r="O25" s="112">
        <v>0</v>
      </c>
      <c r="P25" s="112">
        <v>0.59</v>
      </c>
      <c r="Q25" s="112">
        <v>4.9800000000000004</v>
      </c>
    </row>
    <row r="26" spans="1:17" customFormat="1">
      <c r="A26" s="80">
        <v>45610.1875</v>
      </c>
      <c r="B26" s="112">
        <v>5.12</v>
      </c>
      <c r="C26" s="112">
        <v>8.06</v>
      </c>
      <c r="D26" s="112">
        <v>13.89</v>
      </c>
      <c r="E26" s="112">
        <v>9.57</v>
      </c>
      <c r="F26" s="112">
        <v>5.61</v>
      </c>
      <c r="G26" s="112">
        <v>76.39</v>
      </c>
      <c r="H26" s="112">
        <v>24.48</v>
      </c>
      <c r="I26" s="112">
        <v>7.53</v>
      </c>
      <c r="J26" s="112">
        <v>0.36</v>
      </c>
      <c r="K26" s="112">
        <v>36.85</v>
      </c>
      <c r="L26" s="112">
        <v>19.59</v>
      </c>
      <c r="M26" s="112">
        <v>85.08</v>
      </c>
      <c r="N26" s="112">
        <v>1.3</v>
      </c>
      <c r="O26" s="112">
        <v>0</v>
      </c>
      <c r="P26" s="112">
        <v>0.57999999999999996</v>
      </c>
      <c r="Q26" s="112">
        <v>4.9800000000000004</v>
      </c>
    </row>
    <row r="27" spans="1:17" customFormat="1">
      <c r="A27" s="80">
        <v>45610.197916666664</v>
      </c>
      <c r="B27" s="112">
        <v>5.12</v>
      </c>
      <c r="C27" s="112">
        <v>8.06</v>
      </c>
      <c r="D27" s="112">
        <v>13.88</v>
      </c>
      <c r="E27" s="112">
        <v>9.76</v>
      </c>
      <c r="F27" s="112">
        <v>5.52</v>
      </c>
      <c r="G27" s="112">
        <v>73.27</v>
      </c>
      <c r="H27" s="112">
        <v>26.63</v>
      </c>
      <c r="I27" s="112">
        <v>7.63</v>
      </c>
      <c r="J27" s="112">
        <v>0.28000000000000003</v>
      </c>
      <c r="K27" s="112">
        <v>35.21</v>
      </c>
      <c r="L27" s="112">
        <v>19.45</v>
      </c>
      <c r="M27" s="112">
        <v>85.34</v>
      </c>
      <c r="N27" s="112">
        <v>1.4</v>
      </c>
      <c r="O27" s="112">
        <v>0</v>
      </c>
      <c r="P27" s="112">
        <v>0.56999999999999995</v>
      </c>
      <c r="Q27" s="112">
        <v>4.9800000000000004</v>
      </c>
    </row>
    <row r="28" spans="1:17" customFormat="1">
      <c r="A28" s="80">
        <v>45610.208333333336</v>
      </c>
      <c r="B28" s="112">
        <v>5.1100000000000003</v>
      </c>
      <c r="C28" s="112">
        <v>8.11</v>
      </c>
      <c r="D28" s="112">
        <v>13.9</v>
      </c>
      <c r="E28" s="112">
        <v>10.19</v>
      </c>
      <c r="F28" s="112">
        <v>5.59</v>
      </c>
      <c r="G28" s="112">
        <v>73.2</v>
      </c>
      <c r="H28" s="112">
        <v>26.63</v>
      </c>
      <c r="I28" s="112">
        <v>7.71</v>
      </c>
      <c r="J28" s="112">
        <v>0.36</v>
      </c>
      <c r="K28" s="112">
        <v>33.880000000000003</v>
      </c>
      <c r="L28" s="112">
        <v>19.36</v>
      </c>
      <c r="M28" s="112">
        <v>85.57</v>
      </c>
      <c r="N28" s="112">
        <v>1.4</v>
      </c>
      <c r="O28" s="112">
        <v>0</v>
      </c>
      <c r="P28" s="112">
        <v>0.56000000000000005</v>
      </c>
      <c r="Q28" s="112">
        <v>4.99</v>
      </c>
    </row>
    <row r="29" spans="1:17" customFormat="1">
      <c r="A29" s="80">
        <v>45610.21875</v>
      </c>
      <c r="B29" s="112">
        <v>5.12</v>
      </c>
      <c r="C29" s="112">
        <v>8.09</v>
      </c>
      <c r="D29" s="112">
        <v>13.9</v>
      </c>
      <c r="E29" s="112">
        <v>10.28</v>
      </c>
      <c r="F29" s="112">
        <v>5.48</v>
      </c>
      <c r="G29" s="112">
        <v>73.2</v>
      </c>
      <c r="H29" s="112">
        <v>26.63</v>
      </c>
      <c r="I29" s="112">
        <v>7.76</v>
      </c>
      <c r="J29" s="112">
        <v>0.19</v>
      </c>
      <c r="K29" s="112">
        <v>30.89</v>
      </c>
      <c r="L29" s="112">
        <v>19.27</v>
      </c>
      <c r="M29" s="112">
        <v>85.52</v>
      </c>
      <c r="N29" s="112">
        <v>1.5</v>
      </c>
      <c r="O29" s="112">
        <v>0</v>
      </c>
      <c r="P29" s="112">
        <v>0.56000000000000005</v>
      </c>
      <c r="Q29" s="112">
        <v>4.99</v>
      </c>
    </row>
    <row r="30" spans="1:17" customFormat="1">
      <c r="A30" s="80">
        <v>45610.229166666664</v>
      </c>
      <c r="B30" s="112">
        <v>5.13</v>
      </c>
      <c r="C30" s="112">
        <v>8.08</v>
      </c>
      <c r="D30" s="112">
        <v>13.9</v>
      </c>
      <c r="E30" s="112">
        <v>10.01</v>
      </c>
      <c r="F30" s="112">
        <v>5.7</v>
      </c>
      <c r="G30" s="112">
        <v>73.2</v>
      </c>
      <c r="H30" s="112">
        <v>26.63</v>
      </c>
      <c r="I30" s="112">
        <v>7.76</v>
      </c>
      <c r="J30" s="112">
        <v>0.09</v>
      </c>
      <c r="K30" s="112">
        <v>116.32</v>
      </c>
      <c r="L30" s="112">
        <v>19.07</v>
      </c>
      <c r="M30" s="112">
        <v>86.89</v>
      </c>
      <c r="N30" s="112">
        <v>1.6</v>
      </c>
      <c r="O30" s="112">
        <v>0</v>
      </c>
      <c r="P30" s="112">
        <v>0.56999999999999995</v>
      </c>
      <c r="Q30" s="112">
        <v>4.9800000000000004</v>
      </c>
    </row>
    <row r="31" spans="1:17" customFormat="1">
      <c r="A31" s="80">
        <v>45610.239583333336</v>
      </c>
      <c r="B31" s="112">
        <v>5.12</v>
      </c>
      <c r="C31" s="112">
        <v>8.08</v>
      </c>
      <c r="D31" s="112">
        <v>13.9</v>
      </c>
      <c r="E31" s="112">
        <v>9.93</v>
      </c>
      <c r="F31" s="112">
        <v>5.57</v>
      </c>
      <c r="G31" s="112">
        <v>72.63</v>
      </c>
      <c r="H31" s="112">
        <v>27.42</v>
      </c>
      <c r="I31" s="112">
        <v>7.75</v>
      </c>
      <c r="J31" s="112">
        <v>7.0000000000000007E-2</v>
      </c>
      <c r="K31" s="112">
        <v>340.89</v>
      </c>
      <c r="L31" s="112">
        <v>18.809999999999999</v>
      </c>
      <c r="M31" s="112">
        <v>88.54</v>
      </c>
      <c r="N31" s="112">
        <v>1.6</v>
      </c>
      <c r="O31" s="112">
        <v>0</v>
      </c>
      <c r="P31" s="112">
        <v>0.56999999999999995</v>
      </c>
      <c r="Q31" s="112">
        <v>4.9800000000000004</v>
      </c>
    </row>
    <row r="32" spans="1:17" customFormat="1">
      <c r="A32" s="80">
        <v>45610.25</v>
      </c>
      <c r="B32" s="112">
        <v>5.12</v>
      </c>
      <c r="C32" s="112">
        <v>8.08</v>
      </c>
      <c r="D32" s="112">
        <v>13.9</v>
      </c>
      <c r="E32" s="112">
        <v>10.29</v>
      </c>
      <c r="F32" s="112">
        <v>5.41</v>
      </c>
      <c r="G32" s="112">
        <v>72.61</v>
      </c>
      <c r="H32" s="112">
        <v>27.42</v>
      </c>
      <c r="I32" s="112">
        <v>7.76</v>
      </c>
      <c r="J32" s="112">
        <v>0.03</v>
      </c>
      <c r="K32" s="112">
        <v>32.11</v>
      </c>
      <c r="L32" s="112">
        <v>18.82</v>
      </c>
      <c r="M32" s="112">
        <v>88.15</v>
      </c>
      <c r="N32" s="112">
        <v>2.9</v>
      </c>
      <c r="O32" s="112">
        <v>0</v>
      </c>
      <c r="P32" s="112">
        <v>0.56999999999999995</v>
      </c>
      <c r="Q32" s="112">
        <v>4.97</v>
      </c>
    </row>
    <row r="33" spans="1:17" customFormat="1">
      <c r="A33" s="80">
        <v>45610.260416666664</v>
      </c>
      <c r="B33" s="112">
        <v>5.13</v>
      </c>
      <c r="C33" s="112">
        <v>8.09</v>
      </c>
      <c r="D33" s="112">
        <v>13.91</v>
      </c>
      <c r="E33" s="112">
        <v>10.47</v>
      </c>
      <c r="F33" s="112">
        <v>5.4</v>
      </c>
      <c r="G33" s="112">
        <v>72.61</v>
      </c>
      <c r="H33" s="112">
        <v>27.42</v>
      </c>
      <c r="I33" s="112">
        <v>7.79</v>
      </c>
      <c r="J33" s="112">
        <v>0.2</v>
      </c>
      <c r="K33" s="112">
        <v>23.44</v>
      </c>
      <c r="L33" s="112">
        <v>18.809999999999999</v>
      </c>
      <c r="M33" s="112">
        <v>87.72</v>
      </c>
      <c r="N33" s="112">
        <v>7.3</v>
      </c>
      <c r="O33" s="112">
        <v>0</v>
      </c>
      <c r="P33" s="112">
        <v>0.57999999999999996</v>
      </c>
      <c r="Q33" s="112">
        <v>4.9800000000000004</v>
      </c>
    </row>
    <row r="34" spans="1:17" customFormat="1">
      <c r="A34" s="80">
        <v>45610.270833333336</v>
      </c>
      <c r="B34" s="112">
        <v>5.13</v>
      </c>
      <c r="C34" s="112">
        <v>8.09</v>
      </c>
      <c r="D34" s="112">
        <v>13.91</v>
      </c>
      <c r="E34" s="112">
        <v>10.16</v>
      </c>
      <c r="F34" s="112">
        <v>5.43</v>
      </c>
      <c r="G34" s="112">
        <v>72.61</v>
      </c>
      <c r="H34" s="112">
        <v>27.42</v>
      </c>
      <c r="I34" s="112">
        <v>7.86</v>
      </c>
      <c r="J34" s="112">
        <v>0.38</v>
      </c>
      <c r="K34" s="112">
        <v>37.5</v>
      </c>
      <c r="L34" s="112">
        <v>19.010000000000002</v>
      </c>
      <c r="M34" s="112">
        <v>85.84</v>
      </c>
      <c r="N34" s="112">
        <v>15.3</v>
      </c>
      <c r="O34" s="112">
        <v>0</v>
      </c>
      <c r="P34" s="112">
        <v>0.57999999999999996</v>
      </c>
      <c r="Q34" s="112">
        <v>4.9800000000000004</v>
      </c>
    </row>
    <row r="35" spans="1:17" customFormat="1">
      <c r="A35" s="80">
        <v>45610.28125</v>
      </c>
      <c r="B35" s="112">
        <v>5.14</v>
      </c>
      <c r="C35" s="112">
        <v>8.08</v>
      </c>
      <c r="D35" s="112">
        <v>13.91</v>
      </c>
      <c r="E35" s="112">
        <v>9.74</v>
      </c>
      <c r="F35" s="112">
        <v>5.71</v>
      </c>
      <c r="G35" s="112">
        <v>78.38</v>
      </c>
      <c r="H35" s="112">
        <v>25.75</v>
      </c>
      <c r="I35" s="112">
        <v>7.92</v>
      </c>
      <c r="J35" s="112">
        <v>0.36</v>
      </c>
      <c r="K35" s="112">
        <v>57.73</v>
      </c>
      <c r="L35" s="112">
        <v>19.27</v>
      </c>
      <c r="M35" s="112">
        <v>84.54</v>
      </c>
      <c r="N35" s="112">
        <v>26</v>
      </c>
      <c r="O35" s="112">
        <v>0</v>
      </c>
      <c r="P35" s="112">
        <v>0.59</v>
      </c>
      <c r="Q35" s="112">
        <v>4.99</v>
      </c>
    </row>
    <row r="36" spans="1:17" customFormat="1">
      <c r="A36" s="80">
        <v>45610.291666666664</v>
      </c>
      <c r="B36" s="112">
        <v>5.14</v>
      </c>
      <c r="C36" s="112">
        <v>8.06</v>
      </c>
      <c r="D36" s="112">
        <v>13.9</v>
      </c>
      <c r="E36" s="112">
        <v>9.9700000000000006</v>
      </c>
      <c r="F36" s="112">
        <v>5.64</v>
      </c>
      <c r="G36" s="112">
        <v>78.510000000000005</v>
      </c>
      <c r="H36" s="112">
        <v>25.75</v>
      </c>
      <c r="I36" s="112">
        <v>8.02</v>
      </c>
      <c r="J36" s="112">
        <v>0.57999999999999996</v>
      </c>
      <c r="K36" s="112">
        <v>48.81</v>
      </c>
      <c r="L36" s="112">
        <v>19.53</v>
      </c>
      <c r="M36" s="112">
        <v>83.24</v>
      </c>
      <c r="N36" s="112">
        <v>38.6</v>
      </c>
      <c r="O36" s="112">
        <v>0</v>
      </c>
      <c r="P36" s="112">
        <v>0.61</v>
      </c>
      <c r="Q36" s="112">
        <v>4.99</v>
      </c>
    </row>
    <row r="37" spans="1:17" customFormat="1">
      <c r="A37" s="80">
        <v>45610.302083333336</v>
      </c>
      <c r="B37" s="112">
        <v>5.14</v>
      </c>
      <c r="C37" s="112">
        <v>8.0399999999999991</v>
      </c>
      <c r="D37" s="112">
        <v>13.89</v>
      </c>
      <c r="E37" s="112">
        <v>10.01</v>
      </c>
      <c r="F37" s="112">
        <v>5.62</v>
      </c>
      <c r="G37" s="112">
        <v>78.510000000000005</v>
      </c>
      <c r="H37" s="112">
        <v>25.75</v>
      </c>
      <c r="I37" s="112">
        <v>8.17</v>
      </c>
      <c r="J37" s="112">
        <v>0.54</v>
      </c>
      <c r="K37" s="112">
        <v>43.2</v>
      </c>
      <c r="L37" s="112">
        <v>19.8</v>
      </c>
      <c r="M37" s="112">
        <v>82.19</v>
      </c>
      <c r="N37" s="112">
        <v>51.6</v>
      </c>
      <c r="O37" s="112">
        <v>0</v>
      </c>
      <c r="P37" s="112">
        <v>0.62</v>
      </c>
      <c r="Q37" s="112">
        <v>4.97</v>
      </c>
    </row>
    <row r="38" spans="1:17" customFormat="1">
      <c r="A38" s="80">
        <v>45610.3125</v>
      </c>
      <c r="B38" s="112">
        <v>5.15</v>
      </c>
      <c r="C38" s="112">
        <v>8.0299999999999994</v>
      </c>
      <c r="D38" s="112">
        <v>13.89</v>
      </c>
      <c r="E38" s="112">
        <v>9.98</v>
      </c>
      <c r="F38" s="112">
        <v>5.6</v>
      </c>
      <c r="G38" s="112">
        <v>78.510000000000005</v>
      </c>
      <c r="H38" s="112">
        <v>25.75</v>
      </c>
      <c r="I38" s="112">
        <v>8.34</v>
      </c>
      <c r="J38" s="112">
        <v>1.0900000000000001</v>
      </c>
      <c r="K38" s="112">
        <v>50.39</v>
      </c>
      <c r="L38" s="112">
        <v>20.11</v>
      </c>
      <c r="M38" s="112">
        <v>81.02</v>
      </c>
      <c r="N38" s="112">
        <v>65.3</v>
      </c>
      <c r="O38" s="112">
        <v>0</v>
      </c>
      <c r="P38" s="112">
        <v>0.63</v>
      </c>
      <c r="Q38" s="112">
        <v>4.97</v>
      </c>
    </row>
    <row r="39" spans="1:17" customFormat="1">
      <c r="A39" s="80">
        <v>45610.322916666664</v>
      </c>
      <c r="B39" s="112">
        <v>5.13</v>
      </c>
      <c r="C39" s="112">
        <v>8.0500000000000007</v>
      </c>
      <c r="D39" s="112">
        <v>13.89</v>
      </c>
      <c r="E39" s="112">
        <v>10.43</v>
      </c>
      <c r="F39" s="112">
        <v>5.7</v>
      </c>
      <c r="G39" s="112">
        <v>83.96</v>
      </c>
      <c r="H39" s="112">
        <v>28.97</v>
      </c>
      <c r="I39" s="112">
        <v>8.49</v>
      </c>
      <c r="J39" s="112">
        <v>0.86</v>
      </c>
      <c r="K39" s="112">
        <v>44.48</v>
      </c>
      <c r="L39" s="112">
        <v>20.68</v>
      </c>
      <c r="M39" s="112">
        <v>79.63</v>
      </c>
      <c r="N39" s="112">
        <v>143.19999999999999</v>
      </c>
      <c r="O39" s="112">
        <v>0</v>
      </c>
      <c r="P39" s="112">
        <v>0.63</v>
      </c>
      <c r="Q39" s="112">
        <v>4.99</v>
      </c>
    </row>
    <row r="40" spans="1:17" customFormat="1">
      <c r="A40" s="80">
        <v>45610.333333333336</v>
      </c>
      <c r="B40" s="112">
        <v>5.13</v>
      </c>
      <c r="C40" s="112">
        <v>8.06</v>
      </c>
      <c r="D40" s="112">
        <v>13.89</v>
      </c>
      <c r="E40" s="112">
        <v>10.31</v>
      </c>
      <c r="F40" s="112">
        <v>5.77</v>
      </c>
      <c r="G40" s="112">
        <v>84.09</v>
      </c>
      <c r="H40" s="112">
        <v>28.97</v>
      </c>
      <c r="I40" s="112">
        <v>8.6</v>
      </c>
      <c r="J40" s="112">
        <v>0.8</v>
      </c>
      <c r="K40" s="112">
        <v>43.82</v>
      </c>
      <c r="L40" s="112">
        <v>21.48</v>
      </c>
      <c r="M40" s="112">
        <v>76.47</v>
      </c>
      <c r="N40" s="112">
        <v>189.1</v>
      </c>
      <c r="O40" s="112">
        <v>0</v>
      </c>
      <c r="P40" s="112">
        <v>0.63</v>
      </c>
      <c r="Q40" s="112">
        <v>4.99</v>
      </c>
    </row>
    <row r="41" spans="1:17" customFormat="1">
      <c r="A41" s="80">
        <v>45610.34375</v>
      </c>
      <c r="B41" s="112">
        <v>5.12</v>
      </c>
      <c r="C41" s="112">
        <v>8.06</v>
      </c>
      <c r="D41" s="112">
        <v>13.89</v>
      </c>
      <c r="E41" s="112">
        <v>9.8800000000000008</v>
      </c>
      <c r="F41" s="112">
        <v>5.68</v>
      </c>
      <c r="G41" s="112">
        <v>84.09</v>
      </c>
      <c r="H41" s="112">
        <v>28.97</v>
      </c>
      <c r="I41" s="112">
        <v>8.7100000000000009</v>
      </c>
      <c r="J41" s="112">
        <v>0.87</v>
      </c>
      <c r="K41" s="112">
        <v>44.04</v>
      </c>
      <c r="L41" s="112">
        <v>22.22</v>
      </c>
      <c r="M41" s="112">
        <v>73.83</v>
      </c>
      <c r="N41" s="112">
        <v>221.2</v>
      </c>
      <c r="O41" s="112">
        <v>0</v>
      </c>
      <c r="P41" s="112">
        <v>0.64</v>
      </c>
      <c r="Q41" s="112">
        <v>4.99</v>
      </c>
    </row>
    <row r="42" spans="1:17" customFormat="1">
      <c r="A42" s="80">
        <v>45610.354166666664</v>
      </c>
      <c r="B42" s="112">
        <v>5.14</v>
      </c>
      <c r="C42" s="112">
        <v>8.09</v>
      </c>
      <c r="D42" s="112">
        <v>13.91</v>
      </c>
      <c r="E42" s="112">
        <v>10.220000000000001</v>
      </c>
      <c r="F42" s="112">
        <v>5.77</v>
      </c>
      <c r="G42" s="112">
        <v>84.09</v>
      </c>
      <c r="H42" s="112">
        <v>28.97</v>
      </c>
      <c r="I42" s="112">
        <v>8.81</v>
      </c>
      <c r="J42" s="112">
        <v>0.69</v>
      </c>
      <c r="K42" s="112">
        <v>41.39</v>
      </c>
      <c r="L42" s="112">
        <v>23.15</v>
      </c>
      <c r="M42" s="112">
        <v>70.510000000000005</v>
      </c>
      <c r="N42" s="112">
        <v>212.6</v>
      </c>
      <c r="O42" s="112">
        <v>0</v>
      </c>
      <c r="P42" s="112">
        <v>0.65</v>
      </c>
      <c r="Q42" s="112">
        <v>4.9800000000000004</v>
      </c>
    </row>
    <row r="43" spans="1:17" customFormat="1">
      <c r="A43" s="80">
        <v>45610.364583333336</v>
      </c>
      <c r="B43" s="112">
        <v>5.14</v>
      </c>
      <c r="C43" s="112">
        <v>8.07</v>
      </c>
      <c r="D43" s="112">
        <v>13.9</v>
      </c>
      <c r="E43" s="112">
        <v>10.39</v>
      </c>
      <c r="F43" s="112">
        <v>5.73</v>
      </c>
      <c r="G43" s="112">
        <v>87.15</v>
      </c>
      <c r="H43" s="112">
        <v>25.23</v>
      </c>
      <c r="I43" s="112">
        <v>8.86</v>
      </c>
      <c r="J43" s="112">
        <v>0.77</v>
      </c>
      <c r="K43" s="112">
        <v>48.67</v>
      </c>
      <c r="L43" s="112">
        <v>23.85</v>
      </c>
      <c r="M43" s="112">
        <v>67.569999999999993</v>
      </c>
      <c r="N43" s="112">
        <v>239.8</v>
      </c>
      <c r="O43" s="112">
        <v>0</v>
      </c>
      <c r="P43" s="112">
        <v>0.65</v>
      </c>
      <c r="Q43" s="112">
        <v>4.9800000000000004</v>
      </c>
    </row>
    <row r="44" spans="1:17" customFormat="1">
      <c r="A44" s="80">
        <v>45610.375</v>
      </c>
      <c r="B44" s="112">
        <v>5.15</v>
      </c>
      <c r="C44" s="112">
        <v>8.0500000000000007</v>
      </c>
      <c r="D44" s="112">
        <v>13.9</v>
      </c>
      <c r="E44" s="112">
        <v>10.36</v>
      </c>
      <c r="F44" s="112">
        <v>5.81</v>
      </c>
      <c r="G44" s="112">
        <v>87.22</v>
      </c>
      <c r="H44" s="112">
        <v>25.23</v>
      </c>
      <c r="I44" s="112">
        <v>8.91</v>
      </c>
      <c r="J44" s="112">
        <v>0.72</v>
      </c>
      <c r="K44" s="112">
        <v>38.96</v>
      </c>
      <c r="L44" s="112">
        <v>24.57</v>
      </c>
      <c r="M44" s="112">
        <v>65.72</v>
      </c>
      <c r="N44" s="112">
        <v>304</v>
      </c>
      <c r="O44" s="112">
        <v>0</v>
      </c>
      <c r="P44" s="112">
        <v>0.65</v>
      </c>
      <c r="Q44" s="112">
        <v>4.9800000000000004</v>
      </c>
    </row>
    <row r="45" spans="1:17" customFormat="1">
      <c r="A45" s="80">
        <v>45610.385416666664</v>
      </c>
      <c r="B45" s="112">
        <v>5.14</v>
      </c>
      <c r="C45" s="112">
        <v>8.0500000000000007</v>
      </c>
      <c r="D45" s="112">
        <v>13.89</v>
      </c>
      <c r="E45" s="112">
        <v>10.29</v>
      </c>
      <c r="F45" s="112">
        <v>5.73</v>
      </c>
      <c r="G45" s="112">
        <v>87.22</v>
      </c>
      <c r="H45" s="112">
        <v>25.23</v>
      </c>
      <c r="I45" s="112">
        <v>9.01</v>
      </c>
      <c r="J45" s="112">
        <v>0.79</v>
      </c>
      <c r="K45" s="112">
        <v>46.56</v>
      </c>
      <c r="L45" s="112">
        <v>25.45</v>
      </c>
      <c r="M45" s="112">
        <v>61.66</v>
      </c>
      <c r="N45" s="112">
        <v>365.6</v>
      </c>
      <c r="O45" s="112">
        <v>0</v>
      </c>
      <c r="P45" s="112">
        <v>0.67</v>
      </c>
      <c r="Q45" s="112">
        <v>4.99</v>
      </c>
    </row>
    <row r="46" spans="1:17" customFormat="1">
      <c r="A46" s="80">
        <v>45610.395833333336</v>
      </c>
      <c r="B46" s="112">
        <v>5.13</v>
      </c>
      <c r="C46" s="112">
        <v>8.06</v>
      </c>
      <c r="D46" s="112">
        <v>13.89</v>
      </c>
      <c r="E46" s="112">
        <v>9.73</v>
      </c>
      <c r="F46" s="112">
        <v>6.34</v>
      </c>
      <c r="G46" s="112">
        <v>87.22</v>
      </c>
      <c r="H46" s="112">
        <v>25.23</v>
      </c>
      <c r="I46" s="112">
        <v>9.11</v>
      </c>
      <c r="J46" s="112">
        <v>0.72</v>
      </c>
      <c r="K46" s="112">
        <v>49.26</v>
      </c>
      <c r="L46" s="112">
        <v>26.22</v>
      </c>
      <c r="M46" s="112">
        <v>57.67</v>
      </c>
      <c r="N46" s="112">
        <v>316.8</v>
      </c>
      <c r="O46" s="112">
        <v>0</v>
      </c>
      <c r="P46" s="112">
        <v>0.7</v>
      </c>
      <c r="Q46" s="112">
        <v>4.99</v>
      </c>
    </row>
    <row r="47" spans="1:17" customFormat="1">
      <c r="A47" s="80">
        <v>45610.40625</v>
      </c>
      <c r="B47" s="112">
        <v>5.14</v>
      </c>
      <c r="C47" s="112">
        <v>8.06</v>
      </c>
      <c r="D47" s="112">
        <v>13.9</v>
      </c>
      <c r="E47" s="112">
        <v>9.6</v>
      </c>
      <c r="F47" s="112">
        <v>6.51</v>
      </c>
      <c r="G47" s="112">
        <v>86.67</v>
      </c>
      <c r="H47" s="112">
        <v>28.88</v>
      </c>
      <c r="I47" s="112">
        <v>9.15</v>
      </c>
      <c r="J47" s="112">
        <v>0.55000000000000004</v>
      </c>
      <c r="K47" s="112">
        <v>60.1</v>
      </c>
      <c r="L47" s="112">
        <v>27.2</v>
      </c>
      <c r="M47" s="112">
        <v>55.36</v>
      </c>
      <c r="N47" s="112">
        <v>419.6</v>
      </c>
      <c r="O47" s="112">
        <v>0</v>
      </c>
      <c r="P47" s="112">
        <v>0.7</v>
      </c>
      <c r="Q47" s="112">
        <v>4.9800000000000004</v>
      </c>
    </row>
    <row r="48" spans="1:17" customFormat="1">
      <c r="A48" s="80">
        <v>45610.416666666664</v>
      </c>
      <c r="B48" s="112">
        <v>5.15</v>
      </c>
      <c r="C48" s="112">
        <v>8.06</v>
      </c>
      <c r="D48" s="112">
        <v>13.91</v>
      </c>
      <c r="E48" s="112">
        <v>9.82</v>
      </c>
      <c r="F48" s="112">
        <v>6.98</v>
      </c>
      <c r="G48" s="112">
        <v>86.66</v>
      </c>
      <c r="H48" s="112">
        <v>28.88</v>
      </c>
      <c r="I48" s="112">
        <v>9.15</v>
      </c>
      <c r="J48" s="112">
        <v>0.87</v>
      </c>
      <c r="K48" s="112">
        <v>41.41</v>
      </c>
      <c r="L48" s="112">
        <v>27.29</v>
      </c>
      <c r="M48" s="112">
        <v>54.6</v>
      </c>
      <c r="N48" s="112">
        <v>454.5</v>
      </c>
      <c r="O48" s="112">
        <v>0</v>
      </c>
      <c r="P48" s="112">
        <v>0.7</v>
      </c>
      <c r="Q48" s="112">
        <v>4.9800000000000004</v>
      </c>
    </row>
    <row r="49" spans="1:17" customFormat="1">
      <c r="A49" s="80">
        <v>45610.427083333336</v>
      </c>
      <c r="B49" s="112">
        <v>5.15</v>
      </c>
      <c r="C49" s="112">
        <v>8.0399999999999991</v>
      </c>
      <c r="D49" s="112">
        <v>13.9</v>
      </c>
      <c r="E49" s="112">
        <v>8.0500000000000007</v>
      </c>
      <c r="F49" s="112">
        <v>7.1</v>
      </c>
      <c r="G49" s="112">
        <v>86.66</v>
      </c>
      <c r="H49" s="112">
        <v>28.88</v>
      </c>
      <c r="I49" s="112">
        <v>9.15</v>
      </c>
      <c r="J49" s="112">
        <v>0.72</v>
      </c>
      <c r="K49" s="112">
        <v>50.57</v>
      </c>
      <c r="L49" s="112">
        <v>27.91</v>
      </c>
      <c r="M49" s="112">
        <v>50.48</v>
      </c>
      <c r="N49" s="112">
        <v>489.7</v>
      </c>
      <c r="O49" s="112">
        <v>0</v>
      </c>
      <c r="P49" s="112">
        <v>0.72</v>
      </c>
      <c r="Q49" s="112">
        <v>5</v>
      </c>
    </row>
    <row r="50" spans="1:17" customFormat="1">
      <c r="A50" s="80">
        <v>45610.4375</v>
      </c>
      <c r="B50" s="112">
        <v>5.15</v>
      </c>
      <c r="C50" s="112">
        <v>8.08</v>
      </c>
      <c r="D50" s="112">
        <v>13.92</v>
      </c>
      <c r="E50" s="112">
        <v>9.5299999999999994</v>
      </c>
      <c r="F50" s="112">
        <v>8.26</v>
      </c>
      <c r="G50" s="112">
        <v>86.66</v>
      </c>
      <c r="H50" s="112">
        <v>28.88</v>
      </c>
      <c r="I50" s="112">
        <v>9.1199999999999992</v>
      </c>
      <c r="J50" s="112">
        <v>0.67</v>
      </c>
      <c r="K50" s="112">
        <v>54.73</v>
      </c>
      <c r="L50" s="112">
        <v>28.43</v>
      </c>
      <c r="M50" s="112">
        <v>47.28</v>
      </c>
      <c r="N50" s="112">
        <v>509.1</v>
      </c>
      <c r="O50" s="112">
        <v>0</v>
      </c>
      <c r="P50" s="112">
        <v>0.7</v>
      </c>
      <c r="Q50" s="112">
        <v>4.9800000000000004</v>
      </c>
    </row>
    <row r="51" spans="1:17" customFormat="1">
      <c r="A51" s="80">
        <v>45610.447916666664</v>
      </c>
      <c r="B51" s="112">
        <v>5.16</v>
      </c>
      <c r="C51" s="112">
        <v>8.08</v>
      </c>
      <c r="D51" s="112">
        <v>13.93</v>
      </c>
      <c r="E51" s="112">
        <v>9.67</v>
      </c>
      <c r="F51" s="112">
        <v>8.4700000000000006</v>
      </c>
      <c r="G51" s="112">
        <v>87.54</v>
      </c>
      <c r="H51" s="112">
        <v>27.92</v>
      </c>
      <c r="I51" s="112">
        <v>9.06</v>
      </c>
      <c r="J51" s="112">
        <v>0.55000000000000004</v>
      </c>
      <c r="K51" s="112">
        <v>64.010000000000005</v>
      </c>
      <c r="L51" s="112">
        <v>29.2</v>
      </c>
      <c r="M51" s="112">
        <v>43.15</v>
      </c>
      <c r="N51" s="112">
        <v>493.1</v>
      </c>
      <c r="O51" s="112">
        <v>0</v>
      </c>
      <c r="P51" s="112">
        <v>0.68</v>
      </c>
      <c r="Q51" s="112">
        <v>4.99</v>
      </c>
    </row>
    <row r="52" spans="1:17" customFormat="1">
      <c r="A52" s="80">
        <v>45610.458333333336</v>
      </c>
      <c r="B52" s="112">
        <v>5.17</v>
      </c>
      <c r="C52" s="112">
        <v>8.08</v>
      </c>
      <c r="D52" s="112">
        <v>13.94</v>
      </c>
      <c r="E52" s="112">
        <v>9.7100000000000009</v>
      </c>
      <c r="F52" s="112">
        <v>7.86</v>
      </c>
      <c r="G52" s="112">
        <v>87.56</v>
      </c>
      <c r="H52" s="112">
        <v>27.92</v>
      </c>
      <c r="I52" s="112">
        <v>8.9499999999999993</v>
      </c>
      <c r="J52" s="112">
        <v>0.39</v>
      </c>
      <c r="K52" s="112">
        <v>127.66</v>
      </c>
      <c r="L52" s="112">
        <v>29.9</v>
      </c>
      <c r="M52" s="112">
        <v>38.01</v>
      </c>
      <c r="N52" s="112">
        <v>557.70000000000005</v>
      </c>
      <c r="O52" s="112">
        <v>0</v>
      </c>
      <c r="P52" s="112">
        <v>0.67</v>
      </c>
      <c r="Q52" s="112">
        <v>5</v>
      </c>
    </row>
    <row r="53" spans="1:17" customFormat="1">
      <c r="A53" s="80">
        <v>45610.46875</v>
      </c>
      <c r="B53" s="112">
        <v>5.16</v>
      </c>
      <c r="C53" s="112">
        <v>8.1199999999999992</v>
      </c>
      <c r="D53" s="112">
        <v>13.95</v>
      </c>
      <c r="E53" s="112">
        <v>9.68</v>
      </c>
      <c r="F53" s="112">
        <v>8.3000000000000007</v>
      </c>
      <c r="G53" s="112">
        <v>87.56</v>
      </c>
      <c r="H53" s="112">
        <v>27.92</v>
      </c>
      <c r="I53" s="112">
        <v>8.7899999999999991</v>
      </c>
      <c r="J53" s="112">
        <v>0.57999999999999996</v>
      </c>
      <c r="K53" s="112">
        <v>74.37</v>
      </c>
      <c r="L53" s="112">
        <v>29.97</v>
      </c>
      <c r="M53" s="112">
        <v>37.17</v>
      </c>
      <c r="N53" s="112">
        <v>558.29999999999995</v>
      </c>
      <c r="O53" s="112">
        <v>0</v>
      </c>
      <c r="P53" s="112">
        <v>0.66</v>
      </c>
      <c r="Q53" s="112">
        <v>4.99</v>
      </c>
    </row>
    <row r="54" spans="1:17" customFormat="1">
      <c r="A54" s="80">
        <v>45610.479166666664</v>
      </c>
      <c r="B54" s="112">
        <v>5.16</v>
      </c>
      <c r="C54" s="112">
        <v>8.1</v>
      </c>
      <c r="D54" s="112">
        <v>13.94</v>
      </c>
      <c r="E54" s="112">
        <v>9.6199999999999992</v>
      </c>
      <c r="F54" s="112">
        <v>9.57</v>
      </c>
      <c r="G54" s="112">
        <v>87.56</v>
      </c>
      <c r="H54" s="112">
        <v>27.92</v>
      </c>
      <c r="I54" s="112">
        <v>8.59</v>
      </c>
      <c r="J54" s="112">
        <v>0.67</v>
      </c>
      <c r="K54" s="112">
        <v>61.12</v>
      </c>
      <c r="L54" s="112">
        <v>29.88</v>
      </c>
      <c r="M54" s="112">
        <v>36.299999999999997</v>
      </c>
      <c r="N54" s="112">
        <v>568.79999999999995</v>
      </c>
      <c r="O54" s="112">
        <v>0</v>
      </c>
      <c r="P54" s="112">
        <v>0.65</v>
      </c>
      <c r="Q54" s="112">
        <v>4.9800000000000004</v>
      </c>
    </row>
    <row r="55" spans="1:17" customFormat="1">
      <c r="A55" s="80">
        <v>45610.489583333336</v>
      </c>
      <c r="B55" s="112">
        <v>5.16</v>
      </c>
      <c r="C55" s="112">
        <v>8.09</v>
      </c>
      <c r="D55" s="112">
        <v>13.93</v>
      </c>
      <c r="E55" s="112">
        <v>10.11</v>
      </c>
      <c r="F55" s="112">
        <v>10.8</v>
      </c>
      <c r="G55" s="112">
        <v>74.069999999999993</v>
      </c>
      <c r="H55" s="112">
        <v>24.11</v>
      </c>
      <c r="I55" s="112">
        <v>8.36</v>
      </c>
      <c r="J55" s="112">
        <v>0.34</v>
      </c>
      <c r="K55" s="112">
        <v>94.89</v>
      </c>
      <c r="L55" s="112">
        <v>30.22</v>
      </c>
      <c r="M55" s="112">
        <v>36.200000000000003</v>
      </c>
      <c r="N55" s="112">
        <v>564.1</v>
      </c>
      <c r="O55" s="112">
        <v>0</v>
      </c>
      <c r="P55" s="112">
        <v>0.63</v>
      </c>
      <c r="Q55" s="112">
        <v>4.99</v>
      </c>
    </row>
    <row r="56" spans="1:17" customFormat="1">
      <c r="A56" s="80">
        <v>45610.5</v>
      </c>
      <c r="B56" s="112">
        <v>5.17</v>
      </c>
      <c r="C56" s="112">
        <v>8.07</v>
      </c>
      <c r="D56" s="112">
        <v>13.93</v>
      </c>
      <c r="E56" s="112">
        <v>9.8000000000000007</v>
      </c>
      <c r="F56" s="112">
        <v>10.119999999999999</v>
      </c>
      <c r="G56" s="112">
        <v>73.77</v>
      </c>
      <c r="H56" s="112">
        <v>24.11</v>
      </c>
      <c r="I56" s="112">
        <v>8.1300000000000008</v>
      </c>
      <c r="J56" s="112">
        <v>0.54</v>
      </c>
      <c r="K56" s="112">
        <v>72.73</v>
      </c>
      <c r="L56" s="112">
        <v>30.51</v>
      </c>
      <c r="M56" s="112">
        <v>35.25</v>
      </c>
      <c r="N56" s="112">
        <v>557.6</v>
      </c>
      <c r="O56" s="112">
        <v>0</v>
      </c>
      <c r="P56" s="112">
        <v>0.62</v>
      </c>
      <c r="Q56" s="112">
        <v>4.9800000000000004</v>
      </c>
    </row>
    <row r="57" spans="1:17" customFormat="1">
      <c r="A57" s="80">
        <v>45610.510416666664</v>
      </c>
      <c r="B57" s="112">
        <v>5.17</v>
      </c>
      <c r="C57" s="112">
        <v>8.06</v>
      </c>
      <c r="D57" s="112">
        <v>13.92</v>
      </c>
      <c r="E57" s="112">
        <v>9.7799999999999994</v>
      </c>
      <c r="F57" s="112">
        <v>10.210000000000001</v>
      </c>
      <c r="G57" s="112">
        <v>73.77</v>
      </c>
      <c r="H57" s="112">
        <v>24.11</v>
      </c>
      <c r="I57" s="112">
        <v>7.92</v>
      </c>
      <c r="J57" s="112">
        <v>0.34</v>
      </c>
      <c r="K57" s="112">
        <v>112.14</v>
      </c>
      <c r="L57" s="112">
        <v>30.67</v>
      </c>
      <c r="M57" s="112">
        <v>35.07</v>
      </c>
      <c r="N57" s="112">
        <v>549.20000000000005</v>
      </c>
      <c r="O57" s="112">
        <v>0</v>
      </c>
      <c r="P57" s="112">
        <v>0.61</v>
      </c>
      <c r="Q57" s="112">
        <v>4.9800000000000004</v>
      </c>
    </row>
    <row r="58" spans="1:17" customFormat="1">
      <c r="A58" s="80">
        <v>45610.520833333336</v>
      </c>
      <c r="B58" s="112">
        <v>5.17</v>
      </c>
      <c r="C58" s="112">
        <v>8.06</v>
      </c>
      <c r="D58" s="112">
        <v>13.93</v>
      </c>
      <c r="E58" s="112">
        <v>10.06</v>
      </c>
      <c r="F58" s="112">
        <v>11.87</v>
      </c>
      <c r="G58" s="112">
        <v>73.77</v>
      </c>
      <c r="H58" s="112">
        <v>24.11</v>
      </c>
      <c r="I58" s="112">
        <v>7.77</v>
      </c>
      <c r="J58" s="112">
        <v>0.35</v>
      </c>
      <c r="K58" s="112">
        <v>101.26</v>
      </c>
      <c r="L58" s="112">
        <v>30.66</v>
      </c>
      <c r="M58" s="112">
        <v>35.17</v>
      </c>
      <c r="N58" s="112">
        <v>517.20000000000005</v>
      </c>
      <c r="O58" s="112">
        <v>0</v>
      </c>
      <c r="P58" s="112">
        <v>0.6</v>
      </c>
      <c r="Q58" s="112">
        <v>4.99</v>
      </c>
    </row>
    <row r="59" spans="1:17" customFormat="1">
      <c r="A59" s="80">
        <v>45610.53125</v>
      </c>
      <c r="B59" s="112">
        <v>5.16</v>
      </c>
      <c r="C59" s="112">
        <v>8.07</v>
      </c>
      <c r="D59" s="112">
        <v>13.93</v>
      </c>
      <c r="E59" s="112">
        <v>10.3</v>
      </c>
      <c r="F59" s="112">
        <v>12.55</v>
      </c>
      <c r="G59" s="112">
        <v>64.33</v>
      </c>
      <c r="H59" s="112">
        <v>25.07</v>
      </c>
      <c r="I59" s="112">
        <v>7.62</v>
      </c>
      <c r="J59" s="112">
        <v>0.59</v>
      </c>
      <c r="K59" s="112">
        <v>69.91</v>
      </c>
      <c r="L59" s="112">
        <v>30.5</v>
      </c>
      <c r="M59" s="112">
        <v>34.94</v>
      </c>
      <c r="N59" s="112">
        <v>496.4</v>
      </c>
      <c r="O59" s="112">
        <v>0</v>
      </c>
      <c r="P59" s="112">
        <v>0.57999999999999996</v>
      </c>
      <c r="Q59" s="112">
        <v>5</v>
      </c>
    </row>
    <row r="60" spans="1:17" customFormat="1">
      <c r="A60" s="80">
        <v>45610.541666666664</v>
      </c>
      <c r="B60" s="112">
        <v>5.16</v>
      </c>
      <c r="C60" s="112">
        <v>8.0500000000000007</v>
      </c>
      <c r="D60" s="112">
        <v>13.91</v>
      </c>
      <c r="E60" s="112">
        <v>10.31</v>
      </c>
      <c r="F60" s="112">
        <v>12.93</v>
      </c>
      <c r="G60" s="112">
        <v>64.12</v>
      </c>
      <c r="H60" s="112">
        <v>25.07</v>
      </c>
      <c r="I60" s="112">
        <v>7.44</v>
      </c>
      <c r="J60" s="112">
        <v>0.55000000000000004</v>
      </c>
      <c r="K60" s="112">
        <v>67.22</v>
      </c>
      <c r="L60" s="112">
        <v>30.6</v>
      </c>
      <c r="M60" s="112">
        <v>34.4</v>
      </c>
      <c r="N60" s="112">
        <v>469.4</v>
      </c>
      <c r="O60" s="112">
        <v>0</v>
      </c>
      <c r="P60" s="112">
        <v>0.56999999999999995</v>
      </c>
      <c r="Q60" s="112">
        <v>4.99</v>
      </c>
    </row>
    <row r="61" spans="1:17" customFormat="1">
      <c r="A61" s="80">
        <v>45610.552083333336</v>
      </c>
      <c r="B61" s="112">
        <v>5.14</v>
      </c>
      <c r="C61" s="112">
        <v>8.0399999999999991</v>
      </c>
      <c r="D61" s="112">
        <v>13.89</v>
      </c>
      <c r="E61" s="112">
        <v>11.64</v>
      </c>
      <c r="F61" s="112">
        <v>22.52</v>
      </c>
      <c r="G61" s="112">
        <v>64.12</v>
      </c>
      <c r="H61" s="112">
        <v>25.07</v>
      </c>
      <c r="I61" s="112">
        <v>7.32</v>
      </c>
      <c r="J61" s="112">
        <v>0.57999999999999996</v>
      </c>
      <c r="K61" s="112">
        <v>60.6</v>
      </c>
      <c r="L61" s="112">
        <v>30.78</v>
      </c>
      <c r="M61" s="112">
        <v>33.92</v>
      </c>
      <c r="N61" s="112">
        <v>467.8</v>
      </c>
      <c r="O61" s="112">
        <v>0</v>
      </c>
      <c r="P61" s="112">
        <v>0.55000000000000004</v>
      </c>
      <c r="Q61" s="112">
        <v>4.99</v>
      </c>
    </row>
    <row r="62" spans="1:17" customFormat="1">
      <c r="A62" s="80">
        <v>45610.5625</v>
      </c>
      <c r="B62" s="112">
        <v>5.14</v>
      </c>
      <c r="C62" s="112">
        <v>8.0500000000000007</v>
      </c>
      <c r="D62" s="112">
        <v>13.89</v>
      </c>
      <c r="E62" s="112">
        <v>11.73</v>
      </c>
      <c r="F62" s="112">
        <v>24.21</v>
      </c>
      <c r="G62" s="112">
        <v>64.12</v>
      </c>
      <c r="H62" s="112">
        <v>25.07</v>
      </c>
      <c r="I62" s="112">
        <v>7.15</v>
      </c>
      <c r="J62" s="112">
        <v>0.63</v>
      </c>
      <c r="K62" s="112">
        <v>61.9</v>
      </c>
      <c r="L62" s="112">
        <v>30.69</v>
      </c>
      <c r="M62" s="112">
        <v>33.1</v>
      </c>
      <c r="N62" s="112">
        <v>439.8</v>
      </c>
      <c r="O62" s="112">
        <v>0</v>
      </c>
      <c r="P62" s="112">
        <v>0.53</v>
      </c>
      <c r="Q62" s="112">
        <v>4.9800000000000004</v>
      </c>
    </row>
    <row r="63" spans="1:17" customFormat="1">
      <c r="A63" s="80">
        <v>45610.572916666664</v>
      </c>
      <c r="B63" s="112">
        <v>5.17</v>
      </c>
      <c r="C63" s="112">
        <v>8.06</v>
      </c>
      <c r="D63" s="112">
        <v>13.93</v>
      </c>
      <c r="E63" s="112">
        <v>12.55</v>
      </c>
      <c r="F63" s="112">
        <v>28.55</v>
      </c>
      <c r="G63" s="151" t="s">
        <v>12</v>
      </c>
      <c r="H63" s="151" t="s">
        <v>12</v>
      </c>
      <c r="I63" s="112">
        <v>6.76</v>
      </c>
      <c r="J63" s="112">
        <v>0.4</v>
      </c>
      <c r="K63" s="112">
        <v>69.930000000000007</v>
      </c>
      <c r="L63" s="112">
        <v>30.83</v>
      </c>
      <c r="M63" s="112">
        <v>32.68</v>
      </c>
      <c r="N63" s="112">
        <v>317.89999999999998</v>
      </c>
      <c r="O63" s="112">
        <v>0</v>
      </c>
      <c r="P63" s="112">
        <v>0.5</v>
      </c>
      <c r="Q63" s="112">
        <v>4.99</v>
      </c>
    </row>
    <row r="64" spans="1:17" customFormat="1">
      <c r="A64" s="80">
        <v>45610.583333333336</v>
      </c>
      <c r="B64" s="112">
        <v>5.18</v>
      </c>
      <c r="C64" s="112">
        <v>8.06</v>
      </c>
      <c r="D64" s="112">
        <v>13.93</v>
      </c>
      <c r="E64" s="112">
        <v>13.47</v>
      </c>
      <c r="F64" s="112">
        <v>25.1</v>
      </c>
      <c r="G64" s="151" t="s">
        <v>12</v>
      </c>
      <c r="H64" s="151" t="s">
        <v>12</v>
      </c>
      <c r="I64" s="112">
        <v>6.25</v>
      </c>
      <c r="J64" s="112">
        <v>0.37</v>
      </c>
      <c r="K64" s="112">
        <v>81.94</v>
      </c>
      <c r="L64" s="112">
        <v>30.3</v>
      </c>
      <c r="M64" s="112">
        <v>33.090000000000003</v>
      </c>
      <c r="N64" s="112">
        <v>141.80000000000001</v>
      </c>
      <c r="O64" s="112">
        <v>0</v>
      </c>
      <c r="P64" s="112">
        <v>0.47</v>
      </c>
      <c r="Q64" s="112">
        <v>4.99</v>
      </c>
    </row>
    <row r="65" spans="1:17" customFormat="1">
      <c r="A65" s="80">
        <v>45610.59375</v>
      </c>
      <c r="B65" s="112">
        <v>5.2</v>
      </c>
      <c r="C65" s="112">
        <v>8.0500000000000007</v>
      </c>
      <c r="D65" s="112">
        <v>13.94</v>
      </c>
      <c r="E65" s="112">
        <v>14.43</v>
      </c>
      <c r="F65" s="112">
        <v>34.020000000000003</v>
      </c>
      <c r="G65" s="151" t="s">
        <v>12</v>
      </c>
      <c r="H65" s="151" t="s">
        <v>12</v>
      </c>
      <c r="I65" s="112">
        <v>5.86</v>
      </c>
      <c r="J65" s="112">
        <v>0.28000000000000003</v>
      </c>
      <c r="K65" s="112">
        <v>91.42</v>
      </c>
      <c r="L65" s="112">
        <v>29.98</v>
      </c>
      <c r="M65" s="112">
        <v>33.630000000000003</v>
      </c>
      <c r="N65" s="112">
        <v>105.3</v>
      </c>
      <c r="O65" s="112">
        <v>0</v>
      </c>
      <c r="P65" s="112">
        <v>0.43</v>
      </c>
      <c r="Q65" s="112">
        <v>4.99</v>
      </c>
    </row>
    <row r="66" spans="1:17" customFormat="1">
      <c r="A66" s="80">
        <v>45610.604166666664</v>
      </c>
      <c r="B66" s="112">
        <v>5.18</v>
      </c>
      <c r="C66" s="112">
        <v>8.06</v>
      </c>
      <c r="D66" s="112">
        <v>13.93</v>
      </c>
      <c r="E66" s="112">
        <v>17.27</v>
      </c>
      <c r="F66" s="112">
        <v>23.17</v>
      </c>
      <c r="G66" s="151" t="s">
        <v>12</v>
      </c>
      <c r="H66" s="151" t="s">
        <v>12</v>
      </c>
      <c r="I66" s="112">
        <v>5.52</v>
      </c>
      <c r="J66" s="112">
        <v>0.42</v>
      </c>
      <c r="K66" s="112">
        <v>61.26</v>
      </c>
      <c r="L66" s="112">
        <v>29.78</v>
      </c>
      <c r="M66" s="112">
        <v>34.22</v>
      </c>
      <c r="N66" s="112">
        <v>91.6</v>
      </c>
      <c r="O66" s="112">
        <v>0</v>
      </c>
      <c r="P66" s="112">
        <v>0.44</v>
      </c>
      <c r="Q66" s="112">
        <v>5</v>
      </c>
    </row>
    <row r="67" spans="1:17" customFormat="1">
      <c r="A67" s="80">
        <v>45610.614583333336</v>
      </c>
      <c r="B67" s="112">
        <v>5.16</v>
      </c>
      <c r="C67" s="112">
        <v>8.0500000000000007</v>
      </c>
      <c r="D67" s="112">
        <v>13.91</v>
      </c>
      <c r="E67" s="112">
        <v>15.77</v>
      </c>
      <c r="F67" s="112">
        <v>15.47</v>
      </c>
      <c r="G67" s="151" t="s">
        <v>12</v>
      </c>
      <c r="H67" s="151" t="s">
        <v>12</v>
      </c>
      <c r="I67" s="112">
        <v>5.23</v>
      </c>
      <c r="J67" s="112">
        <v>0.71</v>
      </c>
      <c r="K67" s="112">
        <v>53.34</v>
      </c>
      <c r="L67" s="112">
        <v>29.74</v>
      </c>
      <c r="M67" s="112">
        <v>33.630000000000003</v>
      </c>
      <c r="N67" s="112">
        <v>81.400000000000006</v>
      </c>
      <c r="O67" s="112">
        <v>0</v>
      </c>
      <c r="P67" s="112">
        <v>0.43</v>
      </c>
      <c r="Q67" s="112">
        <v>4.99</v>
      </c>
    </row>
    <row r="68" spans="1:17" customFormat="1">
      <c r="A68" s="80">
        <v>45610.625</v>
      </c>
      <c r="B68" s="112">
        <v>5.13</v>
      </c>
      <c r="C68" s="112">
        <v>8.08</v>
      </c>
      <c r="D68" s="112">
        <v>13.91</v>
      </c>
      <c r="E68" s="112">
        <v>14.79</v>
      </c>
      <c r="F68" s="112">
        <v>14.65</v>
      </c>
      <c r="G68" s="151" t="s">
        <v>12</v>
      </c>
      <c r="H68" s="151" t="s">
        <v>12</v>
      </c>
      <c r="I68" s="112">
        <v>5.17</v>
      </c>
      <c r="J68" s="112">
        <v>0.83</v>
      </c>
      <c r="K68" s="112">
        <v>52.84</v>
      </c>
      <c r="L68" s="112">
        <v>29.6</v>
      </c>
      <c r="M68" s="112">
        <v>33.33</v>
      </c>
      <c r="N68" s="112">
        <v>74.8</v>
      </c>
      <c r="O68" s="112">
        <v>0</v>
      </c>
      <c r="P68" s="112">
        <v>0.45</v>
      </c>
      <c r="Q68" s="112">
        <v>4.9800000000000004</v>
      </c>
    </row>
    <row r="69" spans="1:17" customFormat="1">
      <c r="A69" s="80">
        <v>45610.635416666664</v>
      </c>
      <c r="B69" s="112">
        <v>5.1100000000000003</v>
      </c>
      <c r="C69" s="112">
        <v>8.1</v>
      </c>
      <c r="D69" s="112">
        <v>13.9</v>
      </c>
      <c r="E69" s="112">
        <v>17.62</v>
      </c>
      <c r="F69" s="112">
        <v>20.37</v>
      </c>
      <c r="G69" s="151" t="s">
        <v>12</v>
      </c>
      <c r="H69" s="151" t="s">
        <v>12</v>
      </c>
      <c r="I69" s="112">
        <v>5.29</v>
      </c>
      <c r="J69" s="112">
        <v>0.45</v>
      </c>
      <c r="K69" s="112">
        <v>61.47</v>
      </c>
      <c r="L69" s="112">
        <v>29.52</v>
      </c>
      <c r="M69" s="112">
        <v>33.94</v>
      </c>
      <c r="N69" s="112">
        <v>64.7</v>
      </c>
      <c r="O69" s="112">
        <v>0</v>
      </c>
      <c r="P69" s="112">
        <v>0.44</v>
      </c>
      <c r="Q69" s="112">
        <v>4.99</v>
      </c>
    </row>
    <row r="70" spans="1:17" customFormat="1">
      <c r="A70" s="80">
        <v>45610.645833333336</v>
      </c>
      <c r="B70" s="112">
        <v>5.13</v>
      </c>
      <c r="C70" s="112">
        <v>8.07</v>
      </c>
      <c r="D70" s="112">
        <v>13.9</v>
      </c>
      <c r="E70" s="112">
        <v>15.06</v>
      </c>
      <c r="F70" s="112">
        <v>17.309999999999999</v>
      </c>
      <c r="G70" s="112">
        <v>38.840000000000003</v>
      </c>
      <c r="H70" s="112">
        <v>8.31</v>
      </c>
      <c r="I70" s="112">
        <v>5.35</v>
      </c>
      <c r="J70" s="112">
        <v>0.41</v>
      </c>
      <c r="K70" s="112">
        <v>63.15</v>
      </c>
      <c r="L70" s="112">
        <v>29.38</v>
      </c>
      <c r="M70" s="112">
        <v>33.83</v>
      </c>
      <c r="N70" s="112">
        <v>56.1</v>
      </c>
      <c r="O70" s="112">
        <v>0</v>
      </c>
      <c r="P70" s="112">
        <v>0.44</v>
      </c>
      <c r="Q70" s="112">
        <v>4.9800000000000004</v>
      </c>
    </row>
    <row r="71" spans="1:17" customFormat="1">
      <c r="A71" s="80">
        <v>45610.65625</v>
      </c>
      <c r="B71" s="112">
        <v>5.19</v>
      </c>
      <c r="C71" s="112">
        <v>8.09</v>
      </c>
      <c r="D71" s="112">
        <v>13.96</v>
      </c>
      <c r="E71" s="112">
        <v>15.48</v>
      </c>
      <c r="F71" s="112">
        <v>21.01</v>
      </c>
      <c r="G71" s="112">
        <v>38.840000000000003</v>
      </c>
      <c r="H71" s="112">
        <v>8.31</v>
      </c>
      <c r="I71" s="112">
        <v>5.33</v>
      </c>
      <c r="J71" s="112">
        <v>0.32</v>
      </c>
      <c r="K71" s="112">
        <v>79.040000000000006</v>
      </c>
      <c r="L71" s="112">
        <v>29.09</v>
      </c>
      <c r="M71" s="112">
        <v>35.69</v>
      </c>
      <c r="N71" s="112">
        <v>47.7</v>
      </c>
      <c r="O71" s="112">
        <v>0</v>
      </c>
      <c r="P71" s="112">
        <v>0.45</v>
      </c>
      <c r="Q71" s="112">
        <v>4.97</v>
      </c>
    </row>
    <row r="72" spans="1:17" customFormat="1">
      <c r="A72" s="80">
        <v>45610.666666666664</v>
      </c>
      <c r="B72" s="112">
        <v>5.23</v>
      </c>
      <c r="C72" s="112">
        <v>8.0399999999999991</v>
      </c>
      <c r="D72" s="112">
        <v>13.96</v>
      </c>
      <c r="E72" s="112">
        <v>12.48</v>
      </c>
      <c r="F72" s="112">
        <v>15.05</v>
      </c>
      <c r="G72" s="112">
        <v>38.840000000000003</v>
      </c>
      <c r="H72" s="112">
        <v>8.31</v>
      </c>
      <c r="I72" s="112">
        <v>5.27</v>
      </c>
      <c r="J72" s="112">
        <v>0.41</v>
      </c>
      <c r="K72" s="112">
        <v>61.18</v>
      </c>
      <c r="L72" s="112">
        <v>28.81</v>
      </c>
      <c r="M72" s="112">
        <v>36.57</v>
      </c>
      <c r="N72" s="112">
        <v>41.1</v>
      </c>
      <c r="O72" s="112">
        <v>0</v>
      </c>
      <c r="P72" s="112">
        <v>0.44</v>
      </c>
      <c r="Q72" s="112">
        <v>4.9800000000000004</v>
      </c>
    </row>
    <row r="73" spans="1:17" customFormat="1">
      <c r="A73" s="80">
        <v>45610.677083333336</v>
      </c>
      <c r="B73" s="112">
        <v>5.16</v>
      </c>
      <c r="C73" s="112">
        <v>8.06</v>
      </c>
      <c r="D73" s="112">
        <v>13.92</v>
      </c>
      <c r="E73" s="112">
        <v>12.7</v>
      </c>
      <c r="F73" s="112">
        <v>15.57</v>
      </c>
      <c r="G73" s="112">
        <v>38.909999999999997</v>
      </c>
      <c r="H73" s="112">
        <v>8.39</v>
      </c>
      <c r="I73" s="112">
        <v>5.2</v>
      </c>
      <c r="J73" s="112">
        <v>0.46</v>
      </c>
      <c r="K73" s="112">
        <v>58.85</v>
      </c>
      <c r="L73" s="112">
        <v>28.73</v>
      </c>
      <c r="M73" s="112">
        <v>37.450000000000003</v>
      </c>
      <c r="N73" s="112">
        <v>31.8</v>
      </c>
      <c r="O73" s="112">
        <v>0</v>
      </c>
      <c r="P73" s="112">
        <v>0.45</v>
      </c>
      <c r="Q73" s="112">
        <v>4.99</v>
      </c>
    </row>
    <row r="74" spans="1:17" customFormat="1">
      <c r="A74" s="80">
        <v>45610.6875</v>
      </c>
      <c r="B74" s="112">
        <v>5.13</v>
      </c>
      <c r="C74" s="112">
        <v>8.0500000000000007</v>
      </c>
      <c r="D74" s="112">
        <v>13.89</v>
      </c>
      <c r="E74" s="112">
        <v>12.16</v>
      </c>
      <c r="F74" s="112">
        <v>11.52</v>
      </c>
      <c r="G74" s="112">
        <v>42.14</v>
      </c>
      <c r="H74" s="112">
        <v>13.4</v>
      </c>
      <c r="I74" s="112">
        <v>5.22</v>
      </c>
      <c r="J74" s="112">
        <v>0.41</v>
      </c>
      <c r="K74" s="112">
        <v>62.03</v>
      </c>
      <c r="L74" s="112">
        <v>28.41</v>
      </c>
      <c r="M74" s="112">
        <v>38.57</v>
      </c>
      <c r="N74" s="112">
        <v>22.6</v>
      </c>
      <c r="O74" s="112">
        <v>0</v>
      </c>
      <c r="P74" s="112">
        <v>0.45</v>
      </c>
      <c r="Q74" s="112">
        <v>4.99</v>
      </c>
    </row>
    <row r="75" spans="1:17" customFormat="1">
      <c r="A75" s="80">
        <v>45610.697916666664</v>
      </c>
      <c r="B75" s="112">
        <v>5.12</v>
      </c>
      <c r="C75" s="112">
        <v>8.07</v>
      </c>
      <c r="D75" s="112">
        <v>13.89</v>
      </c>
      <c r="E75" s="112">
        <v>11.64</v>
      </c>
      <c r="F75" s="112">
        <v>12.7</v>
      </c>
      <c r="G75" s="112">
        <v>42.14</v>
      </c>
      <c r="H75" s="112">
        <v>13.4</v>
      </c>
      <c r="I75" s="112">
        <v>5.26</v>
      </c>
      <c r="J75" s="112">
        <v>0.18</v>
      </c>
      <c r="K75" s="112">
        <v>90.14</v>
      </c>
      <c r="L75" s="112">
        <v>27.74</v>
      </c>
      <c r="M75" s="112">
        <v>41.69</v>
      </c>
      <c r="N75" s="112">
        <v>14.4</v>
      </c>
      <c r="O75" s="112">
        <v>0</v>
      </c>
      <c r="P75" s="112">
        <v>0.46</v>
      </c>
      <c r="Q75" s="112">
        <v>4.9800000000000004</v>
      </c>
    </row>
    <row r="76" spans="1:17" customFormat="1">
      <c r="A76" s="80">
        <v>45610.708333333336</v>
      </c>
      <c r="B76" s="112">
        <v>5.14</v>
      </c>
      <c r="C76" s="112">
        <v>8.07</v>
      </c>
      <c r="D76" s="112">
        <v>13.91</v>
      </c>
      <c r="E76" s="112">
        <v>11.19</v>
      </c>
      <c r="F76" s="112">
        <v>10.33</v>
      </c>
      <c r="G76" s="112">
        <v>42.14</v>
      </c>
      <c r="H76" s="112">
        <v>13.4</v>
      </c>
      <c r="I76" s="112">
        <v>5.32</v>
      </c>
      <c r="J76" s="112">
        <v>0.15</v>
      </c>
      <c r="K76" s="112">
        <v>121.64</v>
      </c>
      <c r="L76" s="112">
        <v>27.13</v>
      </c>
      <c r="M76" s="112">
        <v>43.6</v>
      </c>
      <c r="N76" s="112">
        <v>7.6</v>
      </c>
      <c r="O76" s="112">
        <v>0</v>
      </c>
      <c r="P76" s="112">
        <v>0.47</v>
      </c>
      <c r="Q76" s="112">
        <v>4.9800000000000004</v>
      </c>
    </row>
    <row r="77" spans="1:17" customFormat="1">
      <c r="A77" s="80">
        <v>45610.71875</v>
      </c>
      <c r="B77" s="112">
        <v>5.14</v>
      </c>
      <c r="C77" s="112">
        <v>8.09</v>
      </c>
      <c r="D77" s="112">
        <v>13.92</v>
      </c>
      <c r="E77" s="112">
        <v>10.87</v>
      </c>
      <c r="F77" s="112">
        <v>9.24</v>
      </c>
      <c r="G77" s="112">
        <v>42.36</v>
      </c>
      <c r="H77" s="112">
        <v>13.47</v>
      </c>
      <c r="I77" s="112">
        <v>5.38</v>
      </c>
      <c r="J77" s="112">
        <v>0.2</v>
      </c>
      <c r="K77" s="112">
        <v>80.8</v>
      </c>
      <c r="L77" s="112">
        <v>26.68</v>
      </c>
      <c r="M77" s="112">
        <v>45.14</v>
      </c>
      <c r="N77" s="112">
        <v>3.3</v>
      </c>
      <c r="O77" s="112">
        <v>0</v>
      </c>
      <c r="P77" s="112">
        <v>0.48</v>
      </c>
      <c r="Q77" s="112">
        <v>4.9800000000000004</v>
      </c>
    </row>
    <row r="78" spans="1:17" customFormat="1">
      <c r="A78" s="80">
        <v>45610.729166666664</v>
      </c>
      <c r="B78" s="112">
        <v>5.15</v>
      </c>
      <c r="C78" s="112">
        <v>8.08</v>
      </c>
      <c r="D78" s="112">
        <v>13.92</v>
      </c>
      <c r="E78" s="112">
        <v>10.41</v>
      </c>
      <c r="F78" s="112">
        <v>8.39</v>
      </c>
      <c r="G78" s="112">
        <v>51.84</v>
      </c>
      <c r="H78" s="112">
        <v>15.76</v>
      </c>
      <c r="I78" s="112">
        <v>5.44</v>
      </c>
      <c r="J78" s="112">
        <v>0.14000000000000001</v>
      </c>
      <c r="K78" s="112">
        <v>120.49</v>
      </c>
      <c r="L78" s="112">
        <v>26.23</v>
      </c>
      <c r="M78" s="112">
        <v>47.05</v>
      </c>
      <c r="N78" s="112">
        <v>1.9</v>
      </c>
      <c r="O78" s="112">
        <v>0</v>
      </c>
      <c r="P78" s="112">
        <v>0.48</v>
      </c>
      <c r="Q78" s="112">
        <v>4.9800000000000004</v>
      </c>
    </row>
    <row r="79" spans="1:17" customFormat="1">
      <c r="A79" s="80">
        <v>45610.739583333336</v>
      </c>
      <c r="B79" s="112">
        <v>5.14</v>
      </c>
      <c r="C79" s="112">
        <v>8.08</v>
      </c>
      <c r="D79" s="112">
        <v>13.91</v>
      </c>
      <c r="E79" s="112">
        <v>10.38</v>
      </c>
      <c r="F79" s="112">
        <v>7.68</v>
      </c>
      <c r="G79" s="112">
        <v>51.84</v>
      </c>
      <c r="H79" s="112">
        <v>15.76</v>
      </c>
      <c r="I79" s="112">
        <v>5.52</v>
      </c>
      <c r="J79" s="112">
        <v>0.16</v>
      </c>
      <c r="K79" s="112">
        <v>138.34</v>
      </c>
      <c r="L79" s="112">
        <v>25.9</v>
      </c>
      <c r="M79" s="112">
        <v>48.42</v>
      </c>
      <c r="N79" s="112">
        <v>1.6</v>
      </c>
      <c r="O79" s="112">
        <v>0</v>
      </c>
      <c r="P79" s="112">
        <v>0.5</v>
      </c>
      <c r="Q79" s="112">
        <v>4.99</v>
      </c>
    </row>
    <row r="80" spans="1:17" customFormat="1">
      <c r="A80" s="80">
        <v>45610.75</v>
      </c>
      <c r="B80" s="112">
        <v>5.15</v>
      </c>
      <c r="C80" s="112">
        <v>8.0500000000000007</v>
      </c>
      <c r="D80" s="112">
        <v>13.9</v>
      </c>
      <c r="E80" s="112">
        <v>10.5</v>
      </c>
      <c r="F80" s="112">
        <v>6.92</v>
      </c>
      <c r="G80" s="112">
        <v>51.84</v>
      </c>
      <c r="H80" s="112">
        <v>15.76</v>
      </c>
      <c r="I80" s="112">
        <v>5.61</v>
      </c>
      <c r="J80" s="112">
        <v>0.13</v>
      </c>
      <c r="K80" s="112">
        <v>128.04</v>
      </c>
      <c r="L80" s="112">
        <v>25.58</v>
      </c>
      <c r="M80" s="112">
        <v>49.75</v>
      </c>
      <c r="N80" s="112">
        <v>1.6</v>
      </c>
      <c r="O80" s="112">
        <v>0</v>
      </c>
      <c r="P80" s="112">
        <v>0.51</v>
      </c>
      <c r="Q80" s="112">
        <v>4.9800000000000004</v>
      </c>
    </row>
    <row r="81" spans="1:17" customFormat="1">
      <c r="A81" s="80">
        <v>45610.760416666664</v>
      </c>
      <c r="B81" s="112">
        <v>5.17</v>
      </c>
      <c r="C81" s="112">
        <v>8.06</v>
      </c>
      <c r="D81" s="112">
        <v>13.92</v>
      </c>
      <c r="E81" s="112">
        <v>8.99</v>
      </c>
      <c r="F81" s="112">
        <v>7.16</v>
      </c>
      <c r="G81" s="112">
        <v>52.05</v>
      </c>
      <c r="H81" s="112">
        <v>15.79</v>
      </c>
      <c r="I81" s="112">
        <v>5.68</v>
      </c>
      <c r="J81" s="112">
        <v>0.14000000000000001</v>
      </c>
      <c r="K81" s="112">
        <v>98.63</v>
      </c>
      <c r="L81" s="112">
        <v>25.32</v>
      </c>
      <c r="M81" s="112">
        <v>50.44</v>
      </c>
      <c r="N81" s="112">
        <v>1.5</v>
      </c>
      <c r="O81" s="112">
        <v>0</v>
      </c>
      <c r="P81" s="112">
        <v>0.52</v>
      </c>
      <c r="Q81" s="112">
        <v>5</v>
      </c>
    </row>
    <row r="82" spans="1:17" customFormat="1">
      <c r="A82" s="80">
        <v>45610.770833333336</v>
      </c>
      <c r="B82" s="112">
        <v>5.16</v>
      </c>
      <c r="C82" s="112">
        <v>8.0500000000000007</v>
      </c>
      <c r="D82" s="112">
        <v>13.91</v>
      </c>
      <c r="E82" s="112">
        <v>10.36</v>
      </c>
      <c r="F82" s="112">
        <v>6.93</v>
      </c>
      <c r="G82" s="112">
        <v>61.09</v>
      </c>
      <c r="H82" s="112">
        <v>17.899999999999999</v>
      </c>
      <c r="I82" s="112">
        <v>5.78</v>
      </c>
      <c r="J82" s="112">
        <v>0.17</v>
      </c>
      <c r="K82" s="112">
        <v>157.63</v>
      </c>
      <c r="L82" s="112">
        <v>25.17</v>
      </c>
      <c r="M82" s="112">
        <v>50.65</v>
      </c>
      <c r="N82" s="112">
        <v>1.5</v>
      </c>
      <c r="O82" s="112">
        <v>0</v>
      </c>
      <c r="P82" s="112">
        <v>0.53</v>
      </c>
      <c r="Q82" s="112">
        <v>4.9800000000000004</v>
      </c>
    </row>
    <row r="83" spans="1:17" customFormat="1">
      <c r="A83" s="80">
        <v>45610.78125</v>
      </c>
      <c r="B83" s="112">
        <v>5.15</v>
      </c>
      <c r="C83" s="112">
        <v>8.0500000000000007</v>
      </c>
      <c r="D83" s="112">
        <v>13.9</v>
      </c>
      <c r="E83" s="112">
        <v>9.6199999999999992</v>
      </c>
      <c r="F83" s="112">
        <v>6.72</v>
      </c>
      <c r="G83" s="112">
        <v>61.09</v>
      </c>
      <c r="H83" s="112">
        <v>17.899999999999999</v>
      </c>
      <c r="I83" s="112">
        <v>5.9</v>
      </c>
      <c r="J83" s="112">
        <v>0.31</v>
      </c>
      <c r="K83" s="112">
        <v>163.53</v>
      </c>
      <c r="L83" s="112">
        <v>24.71</v>
      </c>
      <c r="M83" s="112">
        <v>52.96</v>
      </c>
      <c r="N83" s="112">
        <v>1.7</v>
      </c>
      <c r="O83" s="112">
        <v>0</v>
      </c>
      <c r="P83" s="112">
        <v>0.54</v>
      </c>
      <c r="Q83" s="112">
        <v>4.9800000000000004</v>
      </c>
    </row>
    <row r="84" spans="1:17" customFormat="1">
      <c r="A84" s="80">
        <v>45610.791666666664</v>
      </c>
      <c r="B84" s="112">
        <v>5.13</v>
      </c>
      <c r="C84" s="112">
        <v>8.07</v>
      </c>
      <c r="D84" s="112">
        <v>13.9</v>
      </c>
      <c r="E84" s="112">
        <v>9.84</v>
      </c>
      <c r="F84" s="112">
        <v>6.62</v>
      </c>
      <c r="G84" s="112">
        <v>61.09</v>
      </c>
      <c r="H84" s="112">
        <v>17.899999999999999</v>
      </c>
      <c r="I84" s="112">
        <v>6.02</v>
      </c>
      <c r="J84" s="112">
        <v>0.11</v>
      </c>
      <c r="K84" s="112">
        <v>160.69</v>
      </c>
      <c r="L84" s="112">
        <v>24.22</v>
      </c>
      <c r="M84" s="112">
        <v>56.38</v>
      </c>
      <c r="N84" s="112">
        <v>1.7</v>
      </c>
      <c r="O84" s="112">
        <v>0</v>
      </c>
      <c r="P84" s="112">
        <v>0.54</v>
      </c>
      <c r="Q84" s="112">
        <v>4.97</v>
      </c>
    </row>
    <row r="85" spans="1:17" customFormat="1">
      <c r="A85" s="80">
        <v>45610.802083333336</v>
      </c>
      <c r="B85" s="112">
        <v>5.14</v>
      </c>
      <c r="C85" s="112">
        <v>8.06</v>
      </c>
      <c r="D85" s="112">
        <v>13.9</v>
      </c>
      <c r="E85" s="112">
        <v>9.6199999999999992</v>
      </c>
      <c r="F85" s="112">
        <v>6.83</v>
      </c>
      <c r="G85" s="112">
        <v>61.44</v>
      </c>
      <c r="H85" s="112">
        <v>18</v>
      </c>
      <c r="I85" s="112">
        <v>6.12</v>
      </c>
      <c r="J85" s="112">
        <v>0.28999999999999998</v>
      </c>
      <c r="K85" s="112">
        <v>54.57</v>
      </c>
      <c r="L85" s="112">
        <v>24.44</v>
      </c>
      <c r="M85" s="112">
        <v>53.63</v>
      </c>
      <c r="N85" s="112">
        <v>1.1000000000000001</v>
      </c>
      <c r="O85" s="112">
        <v>0</v>
      </c>
      <c r="P85" s="112">
        <v>0.56999999999999995</v>
      </c>
      <c r="Q85" s="112">
        <v>4.99</v>
      </c>
    </row>
    <row r="86" spans="1:17" customFormat="1">
      <c r="A86" s="80">
        <v>45610.8125</v>
      </c>
      <c r="B86" s="112">
        <v>5.15</v>
      </c>
      <c r="C86" s="112">
        <v>8.0299999999999994</v>
      </c>
      <c r="D86" s="112">
        <v>13.9</v>
      </c>
      <c r="E86" s="112">
        <v>9.16</v>
      </c>
      <c r="F86" s="112">
        <v>6.83</v>
      </c>
      <c r="G86" s="112">
        <v>76.56</v>
      </c>
      <c r="H86" s="112">
        <v>24.77</v>
      </c>
      <c r="I86" s="112">
        <v>6.2</v>
      </c>
      <c r="J86" s="112">
        <v>0.18</v>
      </c>
      <c r="K86" s="112">
        <v>87.73</v>
      </c>
      <c r="L86" s="112">
        <v>24.25</v>
      </c>
      <c r="M86" s="112">
        <v>55.69</v>
      </c>
      <c r="N86" s="112">
        <v>1.6</v>
      </c>
      <c r="O86" s="112">
        <v>0</v>
      </c>
      <c r="P86" s="112">
        <v>0.6</v>
      </c>
      <c r="Q86" s="112">
        <v>5</v>
      </c>
    </row>
    <row r="87" spans="1:17" customFormat="1">
      <c r="A87" s="80">
        <v>45610.822916666664</v>
      </c>
      <c r="B87" s="112">
        <v>5.14</v>
      </c>
      <c r="C87" s="112">
        <v>8.0399999999999991</v>
      </c>
      <c r="D87" s="112">
        <v>13.89</v>
      </c>
      <c r="E87" s="112">
        <v>8.7200000000000006</v>
      </c>
      <c r="F87" s="112">
        <v>6.42</v>
      </c>
      <c r="G87" s="112">
        <v>76.56</v>
      </c>
      <c r="H87" s="112">
        <v>24.77</v>
      </c>
      <c r="I87" s="112">
        <v>6.35</v>
      </c>
      <c r="J87" s="112">
        <v>0.15</v>
      </c>
      <c r="K87" s="112">
        <v>132.11000000000001</v>
      </c>
      <c r="L87" s="112">
        <v>24.08</v>
      </c>
      <c r="M87" s="112">
        <v>56.76</v>
      </c>
      <c r="N87" s="112">
        <v>1.5</v>
      </c>
      <c r="O87" s="112">
        <v>0</v>
      </c>
      <c r="P87" s="112">
        <v>0.61</v>
      </c>
      <c r="Q87" s="112">
        <v>5.01</v>
      </c>
    </row>
    <row r="88" spans="1:17" customFormat="1">
      <c r="A88" s="80">
        <v>45610.833333333336</v>
      </c>
      <c r="B88" s="112">
        <v>5.13</v>
      </c>
      <c r="C88" s="112">
        <v>8.08</v>
      </c>
      <c r="D88" s="112">
        <v>13.9</v>
      </c>
      <c r="E88" s="112">
        <v>8.58</v>
      </c>
      <c r="F88" s="112">
        <v>6.44</v>
      </c>
      <c r="G88" s="112">
        <v>76.56</v>
      </c>
      <c r="H88" s="112">
        <v>24.77</v>
      </c>
      <c r="I88" s="112">
        <v>6.53</v>
      </c>
      <c r="J88" s="112">
        <v>0.39</v>
      </c>
      <c r="K88" s="112">
        <v>32.299999999999997</v>
      </c>
      <c r="L88" s="112">
        <v>23.77</v>
      </c>
      <c r="M88" s="112">
        <v>57.56</v>
      </c>
      <c r="N88" s="112">
        <v>1.5</v>
      </c>
      <c r="O88" s="112">
        <v>0</v>
      </c>
      <c r="P88" s="112">
        <v>0.63</v>
      </c>
      <c r="Q88" s="112">
        <v>4.9800000000000004</v>
      </c>
    </row>
    <row r="89" spans="1:17" customFormat="1">
      <c r="A89" s="80">
        <v>45610.84375</v>
      </c>
      <c r="B89" s="112">
        <v>5.13</v>
      </c>
      <c r="C89" s="112">
        <v>8.09</v>
      </c>
      <c r="D89" s="112">
        <v>13.91</v>
      </c>
      <c r="E89" s="112">
        <v>9.08</v>
      </c>
      <c r="F89" s="112">
        <v>6.47</v>
      </c>
      <c r="G89" s="112">
        <v>76.94</v>
      </c>
      <c r="H89" s="112">
        <v>24.79</v>
      </c>
      <c r="I89" s="112">
        <v>6.67</v>
      </c>
      <c r="J89" s="112">
        <v>0.37</v>
      </c>
      <c r="K89" s="112">
        <v>50.72</v>
      </c>
      <c r="L89" s="112">
        <v>23.63</v>
      </c>
      <c r="M89" s="112">
        <v>57.82</v>
      </c>
      <c r="N89" s="112">
        <v>1.4</v>
      </c>
      <c r="O89" s="112">
        <v>0</v>
      </c>
      <c r="P89" s="112">
        <v>0.64</v>
      </c>
      <c r="Q89" s="112">
        <v>4.97</v>
      </c>
    </row>
    <row r="90" spans="1:17" customFormat="1">
      <c r="A90" s="80">
        <v>45610.854166666664</v>
      </c>
      <c r="B90" s="112">
        <v>5.14</v>
      </c>
      <c r="C90" s="112">
        <v>8.06</v>
      </c>
      <c r="D90" s="112">
        <v>13.9</v>
      </c>
      <c r="E90" s="112">
        <v>8.83</v>
      </c>
      <c r="F90" s="112">
        <v>6.2</v>
      </c>
      <c r="G90" s="112">
        <v>93.82</v>
      </c>
      <c r="H90" s="112">
        <v>26.37</v>
      </c>
      <c r="I90" s="112">
        <v>6.83</v>
      </c>
      <c r="J90" s="112">
        <v>0.4</v>
      </c>
      <c r="K90" s="112">
        <v>51.04</v>
      </c>
      <c r="L90" s="112">
        <v>23.56</v>
      </c>
      <c r="M90" s="112">
        <v>57.39</v>
      </c>
      <c r="N90" s="112">
        <v>1.4</v>
      </c>
      <c r="O90" s="112">
        <v>0</v>
      </c>
      <c r="P90" s="112">
        <v>0.65</v>
      </c>
      <c r="Q90" s="112">
        <v>4.96</v>
      </c>
    </row>
    <row r="91" spans="1:17" customFormat="1">
      <c r="A91" s="80">
        <v>45610.864583333336</v>
      </c>
      <c r="B91" s="112">
        <v>5.13</v>
      </c>
      <c r="C91" s="112">
        <v>8.0399999999999991</v>
      </c>
      <c r="D91" s="112">
        <v>13.88</v>
      </c>
      <c r="E91" s="112">
        <v>8.83</v>
      </c>
      <c r="F91" s="112">
        <v>5.77</v>
      </c>
      <c r="G91" s="112">
        <v>93.82</v>
      </c>
      <c r="H91" s="112">
        <v>26.37</v>
      </c>
      <c r="I91" s="112">
        <v>7.01</v>
      </c>
      <c r="J91" s="112">
        <v>0.3</v>
      </c>
      <c r="K91" s="112">
        <v>62.94</v>
      </c>
      <c r="L91" s="112">
        <v>23.49</v>
      </c>
      <c r="M91" s="112">
        <v>58.14</v>
      </c>
      <c r="N91" s="112">
        <v>1.5</v>
      </c>
      <c r="O91" s="112">
        <v>0</v>
      </c>
      <c r="P91" s="112">
        <v>0.67</v>
      </c>
      <c r="Q91" s="112">
        <v>4.9800000000000004</v>
      </c>
    </row>
    <row r="92" spans="1:17" customFormat="1">
      <c r="A92" s="80">
        <v>45610.875</v>
      </c>
      <c r="B92" s="112">
        <v>5.14</v>
      </c>
      <c r="C92" s="112">
        <v>8.0399999999999991</v>
      </c>
      <c r="D92" s="112">
        <v>13.89</v>
      </c>
      <c r="E92" s="112">
        <v>9.32</v>
      </c>
      <c r="F92" s="112">
        <v>5.71</v>
      </c>
      <c r="G92" s="112">
        <v>93.82</v>
      </c>
      <c r="H92" s="112">
        <v>26.37</v>
      </c>
      <c r="I92" s="112">
        <v>7.2</v>
      </c>
      <c r="J92" s="112">
        <v>0.16</v>
      </c>
      <c r="K92" s="112">
        <v>73.489999999999995</v>
      </c>
      <c r="L92" s="112">
        <v>23.29</v>
      </c>
      <c r="M92" s="112">
        <v>59.7</v>
      </c>
      <c r="N92" s="112">
        <v>1.6</v>
      </c>
      <c r="O92" s="112">
        <v>0</v>
      </c>
      <c r="P92" s="112">
        <v>0.67</v>
      </c>
      <c r="Q92" s="112">
        <v>4.9800000000000004</v>
      </c>
    </row>
    <row r="93" spans="1:17" customFormat="1">
      <c r="A93" s="80">
        <v>45610.885416666664</v>
      </c>
      <c r="B93" s="112">
        <v>5.12</v>
      </c>
      <c r="C93" s="112">
        <v>8.06</v>
      </c>
      <c r="D93" s="112">
        <v>13.88</v>
      </c>
      <c r="E93" s="112">
        <v>8.9</v>
      </c>
      <c r="F93" s="112">
        <v>5.94</v>
      </c>
      <c r="G93" s="112">
        <v>93.89</v>
      </c>
      <c r="H93" s="112">
        <v>26.44</v>
      </c>
      <c r="I93" s="112">
        <v>7.37</v>
      </c>
      <c r="J93" s="112">
        <v>0.09</v>
      </c>
      <c r="K93" s="112">
        <v>142.32</v>
      </c>
      <c r="L93" s="112">
        <v>22.99</v>
      </c>
      <c r="M93" s="112">
        <v>62.62</v>
      </c>
      <c r="N93" s="112">
        <v>1.7</v>
      </c>
      <c r="O93" s="112">
        <v>0</v>
      </c>
      <c r="P93" s="112">
        <v>0.68</v>
      </c>
      <c r="Q93" s="112">
        <v>4.9800000000000004</v>
      </c>
    </row>
    <row r="94" spans="1:17" customFormat="1">
      <c r="A94" s="80">
        <v>45610.895833333336</v>
      </c>
      <c r="B94" s="112">
        <v>5.12</v>
      </c>
      <c r="C94" s="112">
        <v>8.07</v>
      </c>
      <c r="D94" s="112">
        <v>13.89</v>
      </c>
      <c r="E94" s="112">
        <v>9.0299999999999994</v>
      </c>
      <c r="F94" s="112">
        <v>6.05</v>
      </c>
      <c r="G94" s="112">
        <v>96.96</v>
      </c>
      <c r="H94" s="112">
        <v>30.46</v>
      </c>
      <c r="I94" s="112">
        <v>7.47</v>
      </c>
      <c r="J94" s="112">
        <v>0.22</v>
      </c>
      <c r="K94" s="112">
        <v>197.26</v>
      </c>
      <c r="L94" s="112">
        <v>22.17</v>
      </c>
      <c r="M94" s="112">
        <v>69.97</v>
      </c>
      <c r="N94" s="112">
        <v>2</v>
      </c>
      <c r="O94" s="112">
        <v>0</v>
      </c>
      <c r="P94" s="112">
        <v>0.68</v>
      </c>
      <c r="Q94" s="112">
        <v>4.99</v>
      </c>
    </row>
    <row r="95" spans="1:17" customFormat="1">
      <c r="A95" s="80">
        <v>45610.90625</v>
      </c>
      <c r="B95" s="112">
        <v>5.1100000000000003</v>
      </c>
      <c r="C95" s="112">
        <v>8.08</v>
      </c>
      <c r="D95" s="112">
        <v>13.89</v>
      </c>
      <c r="E95" s="112">
        <v>8.98</v>
      </c>
      <c r="F95" s="112">
        <v>6.14</v>
      </c>
      <c r="G95" s="112">
        <v>96.96</v>
      </c>
      <c r="H95" s="112">
        <v>30.46</v>
      </c>
      <c r="I95" s="112">
        <v>7.55</v>
      </c>
      <c r="J95" s="112">
        <v>0.16</v>
      </c>
      <c r="K95" s="112">
        <v>208.33</v>
      </c>
      <c r="L95" s="112">
        <v>21.53</v>
      </c>
      <c r="M95" s="112">
        <v>70.98</v>
      </c>
      <c r="N95" s="112">
        <v>1.8</v>
      </c>
      <c r="O95" s="112">
        <v>0</v>
      </c>
      <c r="P95" s="112">
        <v>0.68</v>
      </c>
      <c r="Q95" s="112">
        <v>4.99</v>
      </c>
    </row>
    <row r="96" spans="1:17" customFormat="1">
      <c r="A96" s="80">
        <v>45610.916666666664</v>
      </c>
      <c r="B96" s="112">
        <v>5.0999999999999996</v>
      </c>
      <c r="C96" s="112">
        <v>8.08</v>
      </c>
      <c r="D96" s="112">
        <v>13.88</v>
      </c>
      <c r="E96" s="112">
        <v>8.7899999999999991</v>
      </c>
      <c r="F96" s="112">
        <v>6.2</v>
      </c>
      <c r="G96" s="112">
        <v>96.96</v>
      </c>
      <c r="H96" s="112">
        <v>30.46</v>
      </c>
      <c r="I96" s="112">
        <v>7.64</v>
      </c>
      <c r="J96" s="112">
        <v>0.17</v>
      </c>
      <c r="K96" s="112">
        <v>203.19</v>
      </c>
      <c r="L96" s="112">
        <v>21.38</v>
      </c>
      <c r="M96" s="112">
        <v>73.22</v>
      </c>
      <c r="N96" s="112">
        <v>1.5</v>
      </c>
      <c r="O96" s="112">
        <v>0</v>
      </c>
      <c r="P96" s="112">
        <v>0.69</v>
      </c>
      <c r="Q96" s="112">
        <v>4.9800000000000004</v>
      </c>
    </row>
    <row r="97" spans="1:22" customFormat="1">
      <c r="A97" s="80">
        <v>45610.927083333336</v>
      </c>
      <c r="B97" s="112">
        <v>5.09</v>
      </c>
      <c r="C97" s="112">
        <v>8.08</v>
      </c>
      <c r="D97" s="112">
        <v>13.88</v>
      </c>
      <c r="E97" s="112">
        <v>8.75</v>
      </c>
      <c r="F97" s="112">
        <v>6.21</v>
      </c>
      <c r="G97" s="112">
        <v>96.79</v>
      </c>
      <c r="H97" s="112">
        <v>30.4</v>
      </c>
      <c r="I97" s="112">
        <v>7.69</v>
      </c>
      <c r="J97" s="112">
        <v>0.19</v>
      </c>
      <c r="K97" s="112">
        <v>217.75</v>
      </c>
      <c r="L97" s="112">
        <v>21.05</v>
      </c>
      <c r="M97" s="112">
        <v>77.66</v>
      </c>
      <c r="N97" s="112">
        <v>1.6</v>
      </c>
      <c r="O97" s="112">
        <v>0</v>
      </c>
      <c r="P97" s="112">
        <v>0.68</v>
      </c>
      <c r="Q97" s="112">
        <v>4.99</v>
      </c>
    </row>
    <row r="98" spans="1:22" customFormat="1">
      <c r="A98" s="80">
        <v>45610.9375</v>
      </c>
      <c r="B98" s="112">
        <v>5.0999999999999996</v>
      </c>
      <c r="C98" s="112">
        <v>8.09</v>
      </c>
      <c r="D98" s="112">
        <v>13.89</v>
      </c>
      <c r="E98" s="112">
        <v>9.01</v>
      </c>
      <c r="F98" s="112">
        <v>6.12</v>
      </c>
      <c r="G98" s="112">
        <v>89.65</v>
      </c>
      <c r="H98" s="112">
        <v>28.45</v>
      </c>
      <c r="I98" s="112">
        <v>7.69</v>
      </c>
      <c r="J98" s="112">
        <v>0.16</v>
      </c>
      <c r="K98" s="112">
        <v>205.28</v>
      </c>
      <c r="L98" s="112">
        <v>20.85</v>
      </c>
      <c r="M98" s="112">
        <v>75.55</v>
      </c>
      <c r="N98" s="112">
        <v>1.5</v>
      </c>
      <c r="O98" s="112">
        <v>0</v>
      </c>
      <c r="P98" s="112">
        <v>0.68</v>
      </c>
      <c r="Q98" s="112">
        <v>4.99</v>
      </c>
    </row>
    <row r="99" spans="1:22" customFormat="1">
      <c r="A99" s="80">
        <v>45610.947916666664</v>
      </c>
      <c r="B99" s="112">
        <v>5.1100000000000003</v>
      </c>
      <c r="C99" s="112">
        <v>8.09</v>
      </c>
      <c r="D99" s="112">
        <v>13.89</v>
      </c>
      <c r="E99" s="112">
        <v>8.91</v>
      </c>
      <c r="F99" s="112">
        <v>6.18</v>
      </c>
      <c r="G99" s="112">
        <v>89.65</v>
      </c>
      <c r="H99" s="112">
        <v>28.45</v>
      </c>
      <c r="I99" s="112">
        <v>7.7</v>
      </c>
      <c r="J99" s="112">
        <v>0.15</v>
      </c>
      <c r="K99" s="112">
        <v>207.8</v>
      </c>
      <c r="L99" s="112">
        <v>20.69</v>
      </c>
      <c r="M99" s="112">
        <v>78.47</v>
      </c>
      <c r="N99" s="112">
        <v>1.4</v>
      </c>
      <c r="O99" s="112">
        <v>0</v>
      </c>
      <c r="P99" s="112">
        <v>0.67</v>
      </c>
      <c r="Q99" s="112">
        <v>4.9800000000000004</v>
      </c>
    </row>
    <row r="100" spans="1:22" customFormat="1">
      <c r="A100" s="80">
        <v>45610.958333333336</v>
      </c>
      <c r="B100" s="112">
        <v>5.1100000000000003</v>
      </c>
      <c r="C100" s="112">
        <v>8.09</v>
      </c>
      <c r="D100" s="112">
        <v>13.89</v>
      </c>
      <c r="E100" s="112">
        <v>8.67</v>
      </c>
      <c r="F100" s="112">
        <v>6.06</v>
      </c>
      <c r="G100" s="112">
        <v>89.65</v>
      </c>
      <c r="H100" s="112">
        <v>28.45</v>
      </c>
      <c r="I100" s="112">
        <v>7.75</v>
      </c>
      <c r="J100" s="112">
        <v>0.12</v>
      </c>
      <c r="K100" s="112">
        <v>204.58</v>
      </c>
      <c r="L100" s="112">
        <v>20.61</v>
      </c>
      <c r="M100" s="112">
        <v>81.040000000000006</v>
      </c>
      <c r="N100" s="112">
        <v>1.3</v>
      </c>
      <c r="O100" s="112">
        <v>0</v>
      </c>
      <c r="P100" s="112">
        <v>0.68</v>
      </c>
      <c r="Q100" s="112">
        <v>4.9800000000000004</v>
      </c>
    </row>
    <row r="101" spans="1:22" customFormat="1">
      <c r="A101" s="80">
        <v>45610.96875</v>
      </c>
      <c r="B101" s="112">
        <v>5.0999999999999996</v>
      </c>
      <c r="C101" s="112">
        <v>8.09</v>
      </c>
      <c r="D101" s="112">
        <v>13.88</v>
      </c>
      <c r="E101" s="112">
        <v>8.5500000000000007</v>
      </c>
      <c r="F101" s="112">
        <v>5.79</v>
      </c>
      <c r="G101" s="112">
        <v>89.38</v>
      </c>
      <c r="H101" s="112">
        <v>28.45</v>
      </c>
      <c r="I101" s="112">
        <v>7.8</v>
      </c>
      <c r="J101" s="112">
        <v>0.14000000000000001</v>
      </c>
      <c r="K101" s="112">
        <v>191.94</v>
      </c>
      <c r="L101" s="112">
        <v>20.6</v>
      </c>
      <c r="M101" s="112">
        <v>81.94</v>
      </c>
      <c r="N101" s="112">
        <v>1.3</v>
      </c>
      <c r="O101" s="112">
        <v>0</v>
      </c>
      <c r="P101" s="112">
        <v>0.68</v>
      </c>
      <c r="Q101" s="112">
        <v>4.97</v>
      </c>
    </row>
    <row r="102" spans="1:22" customFormat="1">
      <c r="A102" s="80">
        <v>45610.979166666664</v>
      </c>
      <c r="B102" s="112">
        <v>5.12</v>
      </c>
      <c r="C102" s="112">
        <v>8.08</v>
      </c>
      <c r="D102" s="112">
        <v>13.89</v>
      </c>
      <c r="E102" s="112">
        <v>8.7200000000000006</v>
      </c>
      <c r="F102" s="112">
        <v>5.7</v>
      </c>
      <c r="G102" s="112">
        <v>77.5</v>
      </c>
      <c r="H102" s="112">
        <v>28.53</v>
      </c>
      <c r="I102" s="112">
        <v>7.82</v>
      </c>
      <c r="J102" s="112">
        <v>0.26</v>
      </c>
      <c r="K102" s="112">
        <v>175.75</v>
      </c>
      <c r="L102" s="112">
        <v>20.57</v>
      </c>
      <c r="M102" s="112">
        <v>82.82</v>
      </c>
      <c r="N102" s="112">
        <v>1.3</v>
      </c>
      <c r="O102" s="112">
        <v>0</v>
      </c>
      <c r="P102" s="112">
        <v>0.68</v>
      </c>
      <c r="Q102" s="112">
        <v>4.9800000000000004</v>
      </c>
    </row>
    <row r="103" spans="1:22" customFormat="1">
      <c r="A103" s="80">
        <v>45610.989583333336</v>
      </c>
      <c r="B103" s="112">
        <v>5.1100000000000003</v>
      </c>
      <c r="C103" s="112">
        <v>8.07</v>
      </c>
      <c r="D103" s="112">
        <v>13.88</v>
      </c>
      <c r="E103" s="112">
        <v>8.65</v>
      </c>
      <c r="F103" s="112">
        <v>5.85</v>
      </c>
      <c r="G103" s="112">
        <v>77.5</v>
      </c>
      <c r="H103" s="112">
        <v>28.53</v>
      </c>
      <c r="I103" s="112">
        <v>7.83</v>
      </c>
      <c r="J103" s="112">
        <v>0.11</v>
      </c>
      <c r="K103" s="112">
        <v>208.11</v>
      </c>
      <c r="L103" s="112">
        <v>20.14</v>
      </c>
      <c r="M103" s="112">
        <v>81.099999999999994</v>
      </c>
      <c r="N103" s="112">
        <v>1.6</v>
      </c>
      <c r="O103" s="112">
        <v>0</v>
      </c>
      <c r="P103" s="112">
        <v>0.68</v>
      </c>
      <c r="Q103" s="112">
        <v>4.99</v>
      </c>
    </row>
    <row r="104" spans="1:22" customFormat="1">
      <c r="A104" s="80">
        <v>45611</v>
      </c>
      <c r="B104" s="112">
        <v>5.0999999999999996</v>
      </c>
      <c r="C104" s="112">
        <v>8.08</v>
      </c>
      <c r="D104" s="112">
        <v>13.88</v>
      </c>
      <c r="E104" s="112">
        <v>9.11</v>
      </c>
      <c r="F104" s="112">
        <v>5.86</v>
      </c>
      <c r="G104" s="112">
        <v>77.5</v>
      </c>
      <c r="H104" s="112">
        <v>28.53</v>
      </c>
      <c r="I104" s="112">
        <v>7.9</v>
      </c>
      <c r="J104" s="112">
        <v>0.14000000000000001</v>
      </c>
      <c r="K104" s="112">
        <v>201.47</v>
      </c>
      <c r="L104" s="112">
        <v>19.829999999999998</v>
      </c>
      <c r="M104" s="112">
        <v>80.52</v>
      </c>
      <c r="N104" s="112">
        <v>1.5</v>
      </c>
      <c r="O104" s="112">
        <v>0</v>
      </c>
      <c r="P104" s="112">
        <v>0.68</v>
      </c>
      <c r="Q104" s="112">
        <v>4.9800000000000004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5.09</v>
      </c>
      <c r="C106" s="183">
        <f>MIN(C9:C104)</f>
        <v>8.0299999999999994</v>
      </c>
      <c r="D106" s="183">
        <f t="shared" ref="D106:Q106" si="0">MIN(D9:D104)</f>
        <v>13.88</v>
      </c>
      <c r="E106" s="183">
        <f t="shared" si="0"/>
        <v>8.0500000000000007</v>
      </c>
      <c r="F106" s="183">
        <f t="shared" si="0"/>
        <v>5.34</v>
      </c>
      <c r="G106" s="183">
        <f t="shared" si="0"/>
        <v>38.840000000000003</v>
      </c>
      <c r="H106" s="183">
        <f t="shared" si="0"/>
        <v>8.31</v>
      </c>
      <c r="I106" s="183">
        <f t="shared" si="0"/>
        <v>5.17</v>
      </c>
      <c r="J106" s="183">
        <f t="shared" si="0"/>
        <v>0.01</v>
      </c>
      <c r="K106" s="183">
        <f t="shared" si="0"/>
        <v>23.44</v>
      </c>
      <c r="L106" s="183">
        <f t="shared" si="0"/>
        <v>18.809999999999999</v>
      </c>
      <c r="M106" s="183">
        <f t="shared" si="0"/>
        <v>32.68</v>
      </c>
      <c r="N106" s="183">
        <f t="shared" si="0"/>
        <v>1.1000000000000001</v>
      </c>
      <c r="O106" s="183">
        <f t="shared" si="0"/>
        <v>0</v>
      </c>
      <c r="P106" s="183">
        <f t="shared" si="0"/>
        <v>0.43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5.23</v>
      </c>
      <c r="C107" s="184">
        <f t="shared" ref="C107:Q107" si="1">MAX(C9:C104)</f>
        <v>8.1300000000000008</v>
      </c>
      <c r="D107" s="184">
        <f t="shared" si="1"/>
        <v>13.96</v>
      </c>
      <c r="E107" s="184">
        <f t="shared" si="1"/>
        <v>17.62</v>
      </c>
      <c r="F107" s="184">
        <f t="shared" si="1"/>
        <v>34.020000000000003</v>
      </c>
      <c r="G107" s="184">
        <f t="shared" si="1"/>
        <v>96.96</v>
      </c>
      <c r="H107" s="184">
        <f t="shared" si="1"/>
        <v>30.68</v>
      </c>
      <c r="I107" s="184">
        <f t="shared" si="1"/>
        <v>9.15</v>
      </c>
      <c r="J107" s="184">
        <f t="shared" si="1"/>
        <v>1.0900000000000001</v>
      </c>
      <c r="K107" s="184">
        <f t="shared" si="1"/>
        <v>340.89</v>
      </c>
      <c r="L107" s="184">
        <f t="shared" si="1"/>
        <v>30.83</v>
      </c>
      <c r="M107" s="184">
        <f t="shared" si="1"/>
        <v>89.41</v>
      </c>
      <c r="N107" s="184">
        <f t="shared" si="1"/>
        <v>568.79999999999995</v>
      </c>
      <c r="O107" s="184">
        <f t="shared" si="1"/>
        <v>0</v>
      </c>
      <c r="P107" s="184">
        <f t="shared" si="1"/>
        <v>0.72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5.1392708333333328</v>
      </c>
      <c r="C108" s="183">
        <f t="shared" ref="C108:Q108" si="2">AVERAGE(C9:C104)</f>
        <v>8.0685416666666701</v>
      </c>
      <c r="D108" s="183">
        <f t="shared" si="2"/>
        <v>13.90479166666668</v>
      </c>
      <c r="E108" s="183">
        <f t="shared" si="2"/>
        <v>10.390833333333335</v>
      </c>
      <c r="F108" s="183">
        <f t="shared" si="2"/>
        <v>8.7255208333333343</v>
      </c>
      <c r="G108" s="183">
        <f t="shared" si="2"/>
        <v>74.677078651685406</v>
      </c>
      <c r="H108" s="183">
        <f t="shared" si="2"/>
        <v>24.814157303370791</v>
      </c>
      <c r="I108" s="183">
        <f t="shared" si="2"/>
        <v>7.2408333333333337</v>
      </c>
      <c r="J108" s="183">
        <f t="shared" si="2"/>
        <v>0.34781249999999986</v>
      </c>
      <c r="K108" s="183">
        <f t="shared" si="2"/>
        <v>107.41708333333332</v>
      </c>
      <c r="L108" s="183">
        <f t="shared" si="2"/>
        <v>24.054062500000004</v>
      </c>
      <c r="M108" s="183">
        <f t="shared" si="2"/>
        <v>63.064583333333339</v>
      </c>
      <c r="N108" s="183">
        <f t="shared" si="2"/>
        <v>119.65520833333331</v>
      </c>
      <c r="O108" s="183">
        <f t="shared" si="2"/>
        <v>0</v>
      </c>
      <c r="P108" s="183">
        <f t="shared" si="2"/>
        <v>0.59052083333333327</v>
      </c>
      <c r="Q108" s="183">
        <f t="shared" si="2"/>
        <v>4.9836458333333393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2.3361902935590047E-2</v>
      </c>
      <c r="C109" s="183">
        <f t="shared" ref="C109:Q109" si="3">STDEV(C9:C104)</f>
        <v>1.9627004311550261E-2</v>
      </c>
      <c r="D109" s="183">
        <f t="shared" si="3"/>
        <v>1.8179176442851885E-2</v>
      </c>
      <c r="E109" s="183">
        <f t="shared" si="3"/>
        <v>1.8218519592446285</v>
      </c>
      <c r="F109" s="183">
        <f t="shared" si="3"/>
        <v>5.7012899500287002</v>
      </c>
      <c r="G109" s="183">
        <f t="shared" si="3"/>
        <v>15.020190366352518</v>
      </c>
      <c r="H109" s="183">
        <f t="shared" si="3"/>
        <v>5.6547576125588686</v>
      </c>
      <c r="I109" s="183">
        <f t="shared" si="3"/>
        <v>1.1541345964256671</v>
      </c>
      <c r="J109" s="183">
        <f t="shared" si="3"/>
        <v>0.24277432936783128</v>
      </c>
      <c r="K109" s="183">
        <f t="shared" si="3"/>
        <v>69.260482921803273</v>
      </c>
      <c r="L109" s="183">
        <f t="shared" si="3"/>
        <v>4.1755316278289438</v>
      </c>
      <c r="M109" s="183">
        <f t="shared" si="3"/>
        <v>20.78018326836089</v>
      </c>
      <c r="N109" s="183">
        <f t="shared" si="3"/>
        <v>191.49323410875331</v>
      </c>
      <c r="O109" s="183">
        <f t="shared" si="3"/>
        <v>0</v>
      </c>
      <c r="P109" s="183">
        <f t="shared" si="3"/>
        <v>7.7573324113609482E-2</v>
      </c>
      <c r="Q109" s="183">
        <f t="shared" si="3"/>
        <v>8.958358833093049E-3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v>96</v>
      </c>
      <c r="H110" s="184"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45611.010416666664</v>
      </c>
      <c r="B9" s="112">
        <v>5.32</v>
      </c>
      <c r="C9" s="112">
        <v>7.99</v>
      </c>
      <c r="D9" s="112">
        <v>14</v>
      </c>
      <c r="E9" s="112">
        <v>8.86</v>
      </c>
      <c r="F9" s="112">
        <v>5.69</v>
      </c>
      <c r="G9" s="112">
        <v>77.459999999999994</v>
      </c>
      <c r="H9" s="112">
        <v>28.5</v>
      </c>
      <c r="I9" s="112">
        <v>8</v>
      </c>
      <c r="J9" s="112">
        <v>0.11</v>
      </c>
      <c r="K9" s="112">
        <v>177.73</v>
      </c>
      <c r="L9" s="112">
        <v>19.829999999999998</v>
      </c>
      <c r="M9" s="112">
        <v>80.48</v>
      </c>
      <c r="N9" s="112">
        <v>1.3</v>
      </c>
      <c r="O9" s="112">
        <v>0</v>
      </c>
      <c r="P9" s="112">
        <v>0.68</v>
      </c>
      <c r="Q9" s="112">
        <v>4.9800000000000004</v>
      </c>
    </row>
    <row r="10" spans="1:21" customFormat="1">
      <c r="A10" s="80">
        <v>45611.020833333336</v>
      </c>
      <c r="B10" s="112">
        <v>5.28</v>
      </c>
      <c r="C10" s="112">
        <v>8.06</v>
      </c>
      <c r="D10" s="112">
        <v>14.01</v>
      </c>
      <c r="E10" s="112">
        <v>9.4</v>
      </c>
      <c r="F10" s="112">
        <v>5.61</v>
      </c>
      <c r="G10" s="112">
        <v>75.86</v>
      </c>
      <c r="H10" s="112">
        <v>26.46</v>
      </c>
      <c r="I10" s="112">
        <v>8.08</v>
      </c>
      <c r="J10" s="112">
        <v>0.16</v>
      </c>
      <c r="K10" s="112">
        <v>216.37</v>
      </c>
      <c r="L10" s="112">
        <v>19.79</v>
      </c>
      <c r="M10" s="112">
        <v>81.64</v>
      </c>
      <c r="N10" s="112">
        <v>1.3</v>
      </c>
      <c r="O10" s="112">
        <v>0</v>
      </c>
      <c r="P10" s="112">
        <v>0.65</v>
      </c>
      <c r="Q10" s="112">
        <v>4.96</v>
      </c>
    </row>
    <row r="11" spans="1:21" customFormat="1">
      <c r="A11" s="80">
        <v>45611.03125</v>
      </c>
      <c r="B11" s="112">
        <v>5.29</v>
      </c>
      <c r="C11" s="112">
        <v>8.07</v>
      </c>
      <c r="D11" s="112">
        <v>14.03</v>
      </c>
      <c r="E11" s="112">
        <v>9</v>
      </c>
      <c r="F11" s="112">
        <v>5.56</v>
      </c>
      <c r="G11" s="112">
        <v>75.86</v>
      </c>
      <c r="H11" s="112">
        <v>26.46</v>
      </c>
      <c r="I11" s="112">
        <v>8.1300000000000008</v>
      </c>
      <c r="J11" s="112">
        <v>0.16</v>
      </c>
      <c r="K11" s="112">
        <v>228.23</v>
      </c>
      <c r="L11" s="112">
        <v>19.559999999999999</v>
      </c>
      <c r="M11" s="112">
        <v>88.17</v>
      </c>
      <c r="N11" s="112">
        <v>1.4</v>
      </c>
      <c r="O11" s="112">
        <v>0</v>
      </c>
      <c r="P11" s="112">
        <v>0.65</v>
      </c>
      <c r="Q11" s="112">
        <v>4.9800000000000004</v>
      </c>
    </row>
    <row r="12" spans="1:21" customFormat="1">
      <c r="A12" s="80">
        <v>45611.041666666664</v>
      </c>
      <c r="B12" s="112">
        <v>5.3</v>
      </c>
      <c r="C12" s="112">
        <v>8.07</v>
      </c>
      <c r="D12" s="112">
        <v>14.04</v>
      </c>
      <c r="E12" s="112">
        <v>9.59</v>
      </c>
      <c r="F12" s="112">
        <v>5.37</v>
      </c>
      <c r="G12" s="112">
        <v>75.86</v>
      </c>
      <c r="H12" s="112">
        <v>26.46</v>
      </c>
      <c r="I12" s="112">
        <v>8.18</v>
      </c>
      <c r="J12" s="112">
        <v>0.15</v>
      </c>
      <c r="K12" s="112">
        <v>217.5</v>
      </c>
      <c r="L12" s="112">
        <v>19.350000000000001</v>
      </c>
      <c r="M12" s="112">
        <v>88.25</v>
      </c>
      <c r="N12" s="112">
        <v>1.3</v>
      </c>
      <c r="O12" s="112">
        <v>0</v>
      </c>
      <c r="P12" s="112">
        <v>0.64</v>
      </c>
      <c r="Q12" s="112">
        <v>4.97</v>
      </c>
    </row>
    <row r="13" spans="1:21" customFormat="1">
      <c r="A13" s="80">
        <v>45611.052083333336</v>
      </c>
      <c r="B13" s="112">
        <v>5.31</v>
      </c>
      <c r="C13" s="112">
        <v>8.1</v>
      </c>
      <c r="D13" s="112">
        <v>14.06</v>
      </c>
      <c r="E13" s="112">
        <v>9.4499999999999993</v>
      </c>
      <c r="F13" s="112">
        <v>5.47</v>
      </c>
      <c r="G13" s="112">
        <v>76.03</v>
      </c>
      <c r="H13" s="112">
        <v>26.44</v>
      </c>
      <c r="I13" s="112">
        <v>8.26</v>
      </c>
      <c r="J13" s="112">
        <v>0.12</v>
      </c>
      <c r="K13" s="112">
        <v>216.46</v>
      </c>
      <c r="L13" s="112">
        <v>19.3</v>
      </c>
      <c r="M13" s="112">
        <v>87.87</v>
      </c>
      <c r="N13" s="112">
        <v>1.3</v>
      </c>
      <c r="O13" s="112">
        <v>0</v>
      </c>
      <c r="P13" s="112">
        <v>0.65</v>
      </c>
      <c r="Q13" s="112">
        <v>4.9800000000000004</v>
      </c>
    </row>
    <row r="14" spans="1:21" customFormat="1">
      <c r="A14" s="80">
        <v>45611.0625</v>
      </c>
      <c r="B14" s="112">
        <v>5.31</v>
      </c>
      <c r="C14" s="112">
        <v>8.09</v>
      </c>
      <c r="D14" s="112">
        <v>14.05</v>
      </c>
      <c r="E14" s="112">
        <v>9.34</v>
      </c>
      <c r="F14" s="112">
        <v>5.45</v>
      </c>
      <c r="G14" s="112">
        <v>83.62</v>
      </c>
      <c r="H14" s="112">
        <v>25.26</v>
      </c>
      <c r="I14" s="112">
        <v>8.35</v>
      </c>
      <c r="J14" s="112">
        <v>7.0000000000000007E-2</v>
      </c>
      <c r="K14" s="112">
        <v>161.34</v>
      </c>
      <c r="L14" s="112">
        <v>19.25</v>
      </c>
      <c r="M14" s="112">
        <v>88.5</v>
      </c>
      <c r="N14" s="112">
        <v>1.3</v>
      </c>
      <c r="O14" s="112">
        <v>0</v>
      </c>
      <c r="P14" s="112">
        <v>0.65</v>
      </c>
      <c r="Q14" s="112">
        <v>4.99</v>
      </c>
    </row>
    <row r="15" spans="1:21" customFormat="1">
      <c r="A15" s="80">
        <v>45611.072916666664</v>
      </c>
      <c r="B15" s="112">
        <v>5.31</v>
      </c>
      <c r="C15" s="112">
        <v>8.06</v>
      </c>
      <c r="D15" s="112">
        <v>14.04</v>
      </c>
      <c r="E15" s="112">
        <v>9.64</v>
      </c>
      <c r="F15" s="112">
        <v>5.48</v>
      </c>
      <c r="G15" s="112">
        <v>83.62</v>
      </c>
      <c r="H15" s="112">
        <v>25.26</v>
      </c>
      <c r="I15" s="112">
        <v>8.44</v>
      </c>
      <c r="J15" s="112">
        <v>0.09</v>
      </c>
      <c r="K15" s="112">
        <v>185.2</v>
      </c>
      <c r="L15" s="112">
        <v>19.23</v>
      </c>
      <c r="M15" s="112">
        <v>87.34</v>
      </c>
      <c r="N15" s="112">
        <v>1.3</v>
      </c>
      <c r="O15" s="112">
        <v>0</v>
      </c>
      <c r="P15" s="112">
        <v>0.66</v>
      </c>
      <c r="Q15" s="112">
        <v>4.97</v>
      </c>
    </row>
    <row r="16" spans="1:21" customFormat="1">
      <c r="A16" s="80">
        <v>45611.083333333336</v>
      </c>
      <c r="B16" s="112">
        <v>5.32</v>
      </c>
      <c r="C16" s="112">
        <v>8.0399999999999991</v>
      </c>
      <c r="D16" s="112">
        <v>14.03</v>
      </c>
      <c r="E16" s="112">
        <v>9.5</v>
      </c>
      <c r="F16" s="112">
        <v>5.4</v>
      </c>
      <c r="G16" s="112">
        <v>83.62</v>
      </c>
      <c r="H16" s="112">
        <v>25.26</v>
      </c>
      <c r="I16" s="112">
        <v>8.49</v>
      </c>
      <c r="J16" s="112">
        <v>0.16</v>
      </c>
      <c r="K16" s="112">
        <v>183.49</v>
      </c>
      <c r="L16" s="112">
        <v>19.260000000000002</v>
      </c>
      <c r="M16" s="112">
        <v>87.01</v>
      </c>
      <c r="N16" s="112">
        <v>1.3</v>
      </c>
      <c r="O16" s="112">
        <v>0</v>
      </c>
      <c r="P16" s="112">
        <v>0.67</v>
      </c>
      <c r="Q16" s="112">
        <v>4.9800000000000004</v>
      </c>
    </row>
    <row r="17" spans="1:17" customFormat="1">
      <c r="A17" s="80">
        <v>45611.09375</v>
      </c>
      <c r="B17" s="112">
        <v>5.3</v>
      </c>
      <c r="C17" s="112">
        <v>8.06</v>
      </c>
      <c r="D17" s="112">
        <v>14.03</v>
      </c>
      <c r="E17" s="112">
        <v>8.99</v>
      </c>
      <c r="F17" s="112">
        <v>5.52</v>
      </c>
      <c r="G17" s="112">
        <v>83.65</v>
      </c>
      <c r="H17" s="112">
        <v>25.28</v>
      </c>
      <c r="I17" s="112">
        <v>8.5399999999999991</v>
      </c>
      <c r="J17" s="112">
        <v>7.0000000000000007E-2</v>
      </c>
      <c r="K17" s="112">
        <v>162.27000000000001</v>
      </c>
      <c r="L17" s="112">
        <v>19.16</v>
      </c>
      <c r="M17" s="112">
        <v>90.53</v>
      </c>
      <c r="N17" s="112">
        <v>1.3</v>
      </c>
      <c r="O17" s="112">
        <v>0</v>
      </c>
      <c r="P17" s="112">
        <v>0.67</v>
      </c>
      <c r="Q17" s="112">
        <v>4.9800000000000004</v>
      </c>
    </row>
    <row r="18" spans="1:17" customFormat="1">
      <c r="A18" s="80">
        <v>45611.104166666664</v>
      </c>
      <c r="B18" s="112">
        <v>5.3</v>
      </c>
      <c r="C18" s="112">
        <v>8.07</v>
      </c>
      <c r="D18" s="112">
        <v>14.03</v>
      </c>
      <c r="E18" s="112">
        <v>11.09</v>
      </c>
      <c r="F18" s="112">
        <v>5.47</v>
      </c>
      <c r="G18" s="112">
        <v>85.38</v>
      </c>
      <c r="H18" s="112">
        <v>26.81</v>
      </c>
      <c r="I18" s="112">
        <v>8.6300000000000008</v>
      </c>
      <c r="J18" s="112">
        <v>0.12</v>
      </c>
      <c r="K18" s="112">
        <v>150.85</v>
      </c>
      <c r="L18" s="112">
        <v>18.97</v>
      </c>
      <c r="M18" s="112">
        <v>90.5</v>
      </c>
      <c r="N18" s="112">
        <v>1.3</v>
      </c>
      <c r="O18" s="112">
        <v>0</v>
      </c>
      <c r="P18" s="112">
        <v>0.67</v>
      </c>
      <c r="Q18" s="112">
        <v>4.9800000000000004</v>
      </c>
    </row>
    <row r="19" spans="1:17" customFormat="1">
      <c r="A19" s="80">
        <v>45611.114583333336</v>
      </c>
      <c r="B19" s="112">
        <v>5.29</v>
      </c>
      <c r="C19" s="112">
        <v>8.08</v>
      </c>
      <c r="D19" s="112">
        <v>14.03</v>
      </c>
      <c r="E19" s="112">
        <v>10.94</v>
      </c>
      <c r="F19" s="112">
        <v>5.54</v>
      </c>
      <c r="G19" s="112">
        <v>85.38</v>
      </c>
      <c r="H19" s="112">
        <v>26.81</v>
      </c>
      <c r="I19" s="112">
        <v>8.73</v>
      </c>
      <c r="J19" s="112">
        <v>0.08</v>
      </c>
      <c r="K19" s="112">
        <v>185.75</v>
      </c>
      <c r="L19" s="112">
        <v>18.97</v>
      </c>
      <c r="M19" s="112">
        <v>88.49</v>
      </c>
      <c r="N19" s="112">
        <v>1.3</v>
      </c>
      <c r="O19" s="112">
        <v>0</v>
      </c>
      <c r="P19" s="112">
        <v>0.67</v>
      </c>
      <c r="Q19" s="112">
        <v>4.9800000000000004</v>
      </c>
    </row>
    <row r="20" spans="1:17" customFormat="1">
      <c r="A20" s="80">
        <v>45611.125</v>
      </c>
      <c r="B20" s="112">
        <v>5.3</v>
      </c>
      <c r="C20" s="112">
        <v>8.08</v>
      </c>
      <c r="D20" s="112">
        <v>14.04</v>
      </c>
      <c r="E20" s="112">
        <v>11.22</v>
      </c>
      <c r="F20" s="112">
        <v>5.68</v>
      </c>
      <c r="G20" s="112">
        <v>85.38</v>
      </c>
      <c r="H20" s="112">
        <v>26.81</v>
      </c>
      <c r="I20" s="112">
        <v>8.84</v>
      </c>
      <c r="J20" s="112">
        <v>0.14000000000000001</v>
      </c>
      <c r="K20" s="112">
        <v>183.37</v>
      </c>
      <c r="L20" s="112">
        <v>18.940000000000001</v>
      </c>
      <c r="M20" s="112">
        <v>89.99</v>
      </c>
      <c r="N20" s="112">
        <v>1.3</v>
      </c>
      <c r="O20" s="112">
        <v>0</v>
      </c>
      <c r="P20" s="112">
        <v>0.67</v>
      </c>
      <c r="Q20" s="112">
        <v>4.97</v>
      </c>
    </row>
    <row r="21" spans="1:17" customFormat="1">
      <c r="A21" s="80">
        <v>45611.135416666664</v>
      </c>
      <c r="B21" s="112">
        <v>5.3</v>
      </c>
      <c r="C21" s="112">
        <v>8.1</v>
      </c>
      <c r="D21" s="112">
        <v>14.05</v>
      </c>
      <c r="E21" s="112">
        <v>10.77</v>
      </c>
      <c r="F21" s="112">
        <v>5.71</v>
      </c>
      <c r="G21" s="112">
        <v>85.18</v>
      </c>
      <c r="H21" s="112">
        <v>26.78</v>
      </c>
      <c r="I21" s="112">
        <v>9.0299999999999994</v>
      </c>
      <c r="J21" s="112">
        <v>0.21</v>
      </c>
      <c r="K21" s="112">
        <v>25.15</v>
      </c>
      <c r="L21" s="112">
        <v>18.71</v>
      </c>
      <c r="M21" s="112">
        <v>89.63</v>
      </c>
      <c r="N21" s="112">
        <v>1.4</v>
      </c>
      <c r="O21" s="112">
        <v>0</v>
      </c>
      <c r="P21" s="112">
        <v>0.68</v>
      </c>
      <c r="Q21" s="112">
        <v>4.9800000000000004</v>
      </c>
    </row>
    <row r="22" spans="1:17" customFormat="1">
      <c r="A22" s="80">
        <v>45611.145833333336</v>
      </c>
      <c r="B22" s="112">
        <v>5.3</v>
      </c>
      <c r="C22" s="112">
        <v>8.07</v>
      </c>
      <c r="D22" s="112">
        <v>14.03</v>
      </c>
      <c r="E22" s="112">
        <v>11.07</v>
      </c>
      <c r="F22" s="112">
        <v>5.61</v>
      </c>
      <c r="G22" s="112">
        <v>76.42</v>
      </c>
      <c r="H22" s="112">
        <v>24.77</v>
      </c>
      <c r="I22" s="112">
        <v>9.1999999999999993</v>
      </c>
      <c r="J22" s="112">
        <v>0.23</v>
      </c>
      <c r="K22" s="112">
        <v>41.21</v>
      </c>
      <c r="L22" s="112">
        <v>19.02</v>
      </c>
      <c r="M22" s="112">
        <v>83.43</v>
      </c>
      <c r="N22" s="112">
        <v>1</v>
      </c>
      <c r="O22" s="112">
        <v>0</v>
      </c>
      <c r="P22" s="112">
        <v>0.67</v>
      </c>
      <c r="Q22" s="112">
        <v>4.9800000000000004</v>
      </c>
    </row>
    <row r="23" spans="1:17" customFormat="1">
      <c r="A23" s="80">
        <v>45611.15625</v>
      </c>
      <c r="B23" s="112">
        <v>5.31</v>
      </c>
      <c r="C23" s="112">
        <v>8.09</v>
      </c>
      <c r="D23" s="112">
        <v>14.05</v>
      </c>
      <c r="E23" s="112">
        <v>11.07</v>
      </c>
      <c r="F23" s="112">
        <v>5.58</v>
      </c>
      <c r="G23" s="112">
        <v>76.42</v>
      </c>
      <c r="H23" s="112">
        <v>24.77</v>
      </c>
      <c r="I23" s="112">
        <v>9.32</v>
      </c>
      <c r="J23" s="112">
        <v>0.26</v>
      </c>
      <c r="K23" s="112">
        <v>36.270000000000003</v>
      </c>
      <c r="L23" s="112">
        <v>19.13</v>
      </c>
      <c r="M23" s="112">
        <v>81.98</v>
      </c>
      <c r="N23" s="112">
        <v>1.1000000000000001</v>
      </c>
      <c r="O23" s="112">
        <v>0</v>
      </c>
      <c r="P23" s="112">
        <v>0.67</v>
      </c>
      <c r="Q23" s="112">
        <v>4.99</v>
      </c>
    </row>
    <row r="24" spans="1:17" customFormat="1">
      <c r="A24" s="80">
        <v>45611.166666666664</v>
      </c>
      <c r="B24" s="112">
        <v>5.27</v>
      </c>
      <c r="C24" s="112">
        <v>8.11</v>
      </c>
      <c r="D24" s="112">
        <v>14.04</v>
      </c>
      <c r="E24" s="112">
        <v>10.59</v>
      </c>
      <c r="F24" s="112">
        <v>5.66</v>
      </c>
      <c r="G24" s="112">
        <v>76.42</v>
      </c>
      <c r="H24" s="112">
        <v>24.77</v>
      </c>
      <c r="I24" s="112">
        <v>9.43</v>
      </c>
      <c r="J24" s="112">
        <v>0.41</v>
      </c>
      <c r="K24" s="112">
        <v>41.73</v>
      </c>
      <c r="L24" s="112">
        <v>19.13</v>
      </c>
      <c r="M24" s="112">
        <v>80.73</v>
      </c>
      <c r="N24" s="112">
        <v>1.3</v>
      </c>
      <c r="O24" s="112">
        <v>0</v>
      </c>
      <c r="P24" s="112">
        <v>0.68</v>
      </c>
      <c r="Q24" s="112">
        <v>4.9800000000000004</v>
      </c>
    </row>
    <row r="25" spans="1:17" customFormat="1">
      <c r="A25" s="80">
        <v>45611.177083333336</v>
      </c>
      <c r="B25" s="112">
        <v>5.29</v>
      </c>
      <c r="C25" s="112">
        <v>8.08</v>
      </c>
      <c r="D25" s="112">
        <v>14.03</v>
      </c>
      <c r="E25" s="112">
        <v>10.41</v>
      </c>
      <c r="F25" s="112">
        <v>5.56</v>
      </c>
      <c r="G25" s="112">
        <v>76.34</v>
      </c>
      <c r="H25" s="112">
        <v>24.73</v>
      </c>
      <c r="I25" s="112">
        <v>9.5399999999999991</v>
      </c>
      <c r="J25" s="112">
        <v>0.28999999999999998</v>
      </c>
      <c r="K25" s="112">
        <v>37.83</v>
      </c>
      <c r="L25" s="112">
        <v>19.07</v>
      </c>
      <c r="M25" s="112">
        <v>78.38</v>
      </c>
      <c r="N25" s="112">
        <v>1.4</v>
      </c>
      <c r="O25" s="112">
        <v>0</v>
      </c>
      <c r="P25" s="112">
        <v>0.68</v>
      </c>
      <c r="Q25" s="112">
        <v>4.97</v>
      </c>
    </row>
    <row r="26" spans="1:17" customFormat="1">
      <c r="A26" s="80">
        <v>45611.1875</v>
      </c>
      <c r="B26" s="112">
        <v>5.29</v>
      </c>
      <c r="C26" s="112">
        <v>8.07</v>
      </c>
      <c r="D26" s="112">
        <v>14.03</v>
      </c>
      <c r="E26" s="112">
        <v>10.78</v>
      </c>
      <c r="F26" s="112">
        <v>5.5</v>
      </c>
      <c r="G26" s="112">
        <v>72.64</v>
      </c>
      <c r="H26" s="112">
        <v>22.2</v>
      </c>
      <c r="I26" s="112">
        <v>9.59</v>
      </c>
      <c r="J26" s="112">
        <v>0.25</v>
      </c>
      <c r="K26" s="112">
        <v>38.340000000000003</v>
      </c>
      <c r="L26" s="112">
        <v>18.88</v>
      </c>
      <c r="M26" s="112">
        <v>77.45</v>
      </c>
      <c r="N26" s="112">
        <v>1.4</v>
      </c>
      <c r="O26" s="112">
        <v>0</v>
      </c>
      <c r="P26" s="112">
        <v>0.66</v>
      </c>
      <c r="Q26" s="112">
        <v>4.9800000000000004</v>
      </c>
    </row>
    <row r="27" spans="1:17" customFormat="1">
      <c r="A27" s="80">
        <v>45611.197916666664</v>
      </c>
      <c r="B27" s="112">
        <v>5.3</v>
      </c>
      <c r="C27" s="112">
        <v>8.07</v>
      </c>
      <c r="D27" s="112">
        <v>14.03</v>
      </c>
      <c r="E27" s="112">
        <v>10.68</v>
      </c>
      <c r="F27" s="112">
        <v>5.61</v>
      </c>
      <c r="G27" s="112">
        <v>72.64</v>
      </c>
      <c r="H27" s="112">
        <v>22.2</v>
      </c>
      <c r="I27" s="112">
        <v>9.57</v>
      </c>
      <c r="J27" s="112">
        <v>0.16</v>
      </c>
      <c r="K27" s="112">
        <v>23.29</v>
      </c>
      <c r="L27" s="112">
        <v>18.8</v>
      </c>
      <c r="M27" s="112">
        <v>77.19</v>
      </c>
      <c r="N27" s="112">
        <v>1.3</v>
      </c>
      <c r="O27" s="112">
        <v>0</v>
      </c>
      <c r="P27" s="112">
        <v>0.67</v>
      </c>
      <c r="Q27" s="112">
        <v>4.99</v>
      </c>
    </row>
    <row r="28" spans="1:17" customFormat="1">
      <c r="A28" s="80">
        <v>45611.208333333336</v>
      </c>
      <c r="B28" s="112">
        <v>5.3</v>
      </c>
      <c r="C28" s="112">
        <v>8.07</v>
      </c>
      <c r="D28" s="112">
        <v>14.03</v>
      </c>
      <c r="E28" s="112">
        <v>10.77</v>
      </c>
      <c r="F28" s="112">
        <v>5.78</v>
      </c>
      <c r="G28" s="112">
        <v>72.64</v>
      </c>
      <c r="H28" s="112">
        <v>22.2</v>
      </c>
      <c r="I28" s="112">
        <v>9.52</v>
      </c>
      <c r="J28" s="112">
        <v>0.23</v>
      </c>
      <c r="K28" s="112">
        <v>4.1399999999999997</v>
      </c>
      <c r="L28" s="112">
        <v>18.75</v>
      </c>
      <c r="M28" s="112">
        <v>76.13</v>
      </c>
      <c r="N28" s="112">
        <v>1.3</v>
      </c>
      <c r="O28" s="112">
        <v>0</v>
      </c>
      <c r="P28" s="112">
        <v>0.67</v>
      </c>
      <c r="Q28" s="112">
        <v>4.9800000000000004</v>
      </c>
    </row>
    <row r="29" spans="1:17" customFormat="1">
      <c r="A29" s="80">
        <v>45611.21875</v>
      </c>
      <c r="B29" s="112">
        <v>5.32</v>
      </c>
      <c r="C29" s="112">
        <v>8.0299999999999994</v>
      </c>
      <c r="D29" s="112">
        <v>14.03</v>
      </c>
      <c r="E29" s="112">
        <v>10.37</v>
      </c>
      <c r="F29" s="112">
        <v>5.62</v>
      </c>
      <c r="G29" s="112">
        <v>72.680000000000007</v>
      </c>
      <c r="H29" s="112">
        <v>22.26</v>
      </c>
      <c r="I29" s="112">
        <v>9.4499999999999993</v>
      </c>
      <c r="J29" s="112">
        <v>0.45</v>
      </c>
      <c r="K29" s="112">
        <v>43.72</v>
      </c>
      <c r="L29" s="112">
        <v>18.64</v>
      </c>
      <c r="M29" s="112">
        <v>75.88</v>
      </c>
      <c r="N29" s="112">
        <v>1.4</v>
      </c>
      <c r="O29" s="112">
        <v>0</v>
      </c>
      <c r="P29" s="112">
        <v>0.68</v>
      </c>
      <c r="Q29" s="112">
        <v>5</v>
      </c>
    </row>
    <row r="30" spans="1:17" customFormat="1">
      <c r="A30" s="80">
        <v>45611.229166666664</v>
      </c>
      <c r="B30" s="112">
        <v>5.31</v>
      </c>
      <c r="C30" s="112">
        <v>8.0399999999999991</v>
      </c>
      <c r="D30" s="112">
        <v>14.03</v>
      </c>
      <c r="E30" s="112">
        <v>9.81</v>
      </c>
      <c r="F30" s="112">
        <v>5.7</v>
      </c>
      <c r="G30" s="112">
        <v>74.03</v>
      </c>
      <c r="H30" s="112">
        <v>25.75</v>
      </c>
      <c r="I30" s="112">
        <v>9.36</v>
      </c>
      <c r="J30" s="112">
        <v>0.33</v>
      </c>
      <c r="K30" s="112">
        <v>33.76</v>
      </c>
      <c r="L30" s="112">
        <v>18.59</v>
      </c>
      <c r="M30" s="112">
        <v>75.86</v>
      </c>
      <c r="N30" s="112">
        <v>1.4</v>
      </c>
      <c r="O30" s="112">
        <v>0</v>
      </c>
      <c r="P30" s="112">
        <v>0.68</v>
      </c>
      <c r="Q30" s="112">
        <v>4.9800000000000004</v>
      </c>
    </row>
    <row r="31" spans="1:17" customFormat="1">
      <c r="A31" s="80">
        <v>45611.239583333336</v>
      </c>
      <c r="B31" s="112">
        <v>5.32</v>
      </c>
      <c r="C31" s="112">
        <v>8.08</v>
      </c>
      <c r="D31" s="112">
        <v>14.05</v>
      </c>
      <c r="E31" s="112">
        <v>9.91</v>
      </c>
      <c r="F31" s="112">
        <v>5.46</v>
      </c>
      <c r="G31" s="112">
        <v>74.03</v>
      </c>
      <c r="H31" s="112">
        <v>25.75</v>
      </c>
      <c r="I31" s="112">
        <v>9.3000000000000007</v>
      </c>
      <c r="J31" s="112">
        <v>0.24</v>
      </c>
      <c r="K31" s="112">
        <v>43.41</v>
      </c>
      <c r="L31" s="112">
        <v>18.510000000000002</v>
      </c>
      <c r="M31" s="112">
        <v>76.47</v>
      </c>
      <c r="N31" s="112">
        <v>1.5</v>
      </c>
      <c r="O31" s="112">
        <v>0</v>
      </c>
      <c r="P31" s="112">
        <v>0.68</v>
      </c>
      <c r="Q31" s="112">
        <v>4.99</v>
      </c>
    </row>
    <row r="32" spans="1:17" customFormat="1">
      <c r="A32" s="80">
        <v>45611.25</v>
      </c>
      <c r="B32" s="112">
        <v>5.31</v>
      </c>
      <c r="C32" s="112">
        <v>8.11</v>
      </c>
      <c r="D32" s="112">
        <v>14.06</v>
      </c>
      <c r="E32" s="112">
        <v>9.2899999999999991</v>
      </c>
      <c r="F32" s="112">
        <v>5.51</v>
      </c>
      <c r="G32" s="112">
        <v>74.03</v>
      </c>
      <c r="H32" s="112">
        <v>25.75</v>
      </c>
      <c r="I32" s="112">
        <v>9.26</v>
      </c>
      <c r="J32" s="112">
        <v>0.09</v>
      </c>
      <c r="K32" s="112">
        <v>20.059999999999999</v>
      </c>
      <c r="L32" s="112">
        <v>18.41</v>
      </c>
      <c r="M32" s="112">
        <v>78.489999999999995</v>
      </c>
      <c r="N32" s="112">
        <v>2.5</v>
      </c>
      <c r="O32" s="112">
        <v>0</v>
      </c>
      <c r="P32" s="112">
        <v>0.68</v>
      </c>
      <c r="Q32" s="112">
        <v>4.9800000000000004</v>
      </c>
    </row>
    <row r="33" spans="1:17" customFormat="1">
      <c r="A33" s="80">
        <v>45611.260416666664</v>
      </c>
      <c r="B33" s="112">
        <v>5.31</v>
      </c>
      <c r="C33" s="112">
        <v>8.1</v>
      </c>
      <c r="D33" s="112">
        <v>14.06</v>
      </c>
      <c r="E33" s="112">
        <v>9.7200000000000006</v>
      </c>
      <c r="F33" s="112">
        <v>5.56</v>
      </c>
      <c r="G33" s="112">
        <v>74.05</v>
      </c>
      <c r="H33" s="112">
        <v>25.77</v>
      </c>
      <c r="I33" s="112">
        <v>9.2200000000000006</v>
      </c>
      <c r="J33" s="112">
        <v>0.08</v>
      </c>
      <c r="K33" s="112">
        <v>141.79</v>
      </c>
      <c r="L33" s="112">
        <v>18.25</v>
      </c>
      <c r="M33" s="112">
        <v>80.709999999999994</v>
      </c>
      <c r="N33" s="112">
        <v>6.4</v>
      </c>
      <c r="O33" s="112">
        <v>0</v>
      </c>
      <c r="P33" s="112">
        <v>0.68</v>
      </c>
      <c r="Q33" s="112">
        <v>4.99</v>
      </c>
    </row>
    <row r="34" spans="1:17" customFormat="1">
      <c r="A34" s="80">
        <v>45611.270833333336</v>
      </c>
      <c r="B34" s="112">
        <v>5.33</v>
      </c>
      <c r="C34" s="112">
        <v>8.06</v>
      </c>
      <c r="D34" s="112">
        <v>14.05</v>
      </c>
      <c r="E34" s="112">
        <v>9.5</v>
      </c>
      <c r="F34" s="112">
        <v>5.5</v>
      </c>
      <c r="G34" s="112">
        <v>74.599999999999994</v>
      </c>
      <c r="H34" s="112">
        <v>27.28</v>
      </c>
      <c r="I34" s="112">
        <v>9.23</v>
      </c>
      <c r="J34" s="112">
        <v>0.22</v>
      </c>
      <c r="K34" s="112">
        <v>153.21</v>
      </c>
      <c r="L34" s="112">
        <v>18.37</v>
      </c>
      <c r="M34" s="112">
        <v>83.71</v>
      </c>
      <c r="N34" s="112">
        <v>13.8</v>
      </c>
      <c r="O34" s="112">
        <v>0</v>
      </c>
      <c r="P34" s="112">
        <v>0.68</v>
      </c>
      <c r="Q34" s="112">
        <v>4.99</v>
      </c>
    </row>
    <row r="35" spans="1:17" customFormat="1">
      <c r="A35" s="80">
        <v>45611.28125</v>
      </c>
      <c r="B35" s="112">
        <v>5.3</v>
      </c>
      <c r="C35" s="112">
        <v>8.06</v>
      </c>
      <c r="D35" s="112">
        <v>14.03</v>
      </c>
      <c r="E35" s="112">
        <v>9.31</v>
      </c>
      <c r="F35" s="112">
        <v>5.51</v>
      </c>
      <c r="G35" s="112">
        <v>74.599999999999994</v>
      </c>
      <c r="H35" s="112">
        <v>27.28</v>
      </c>
      <c r="I35" s="112">
        <v>9.23</v>
      </c>
      <c r="J35" s="112">
        <v>0.24</v>
      </c>
      <c r="K35" s="112">
        <v>154.66</v>
      </c>
      <c r="L35" s="112">
        <v>18.55</v>
      </c>
      <c r="M35" s="112">
        <v>87.04</v>
      </c>
      <c r="N35" s="112">
        <v>23.8</v>
      </c>
      <c r="O35" s="112">
        <v>0</v>
      </c>
      <c r="P35" s="112">
        <v>0.68</v>
      </c>
      <c r="Q35" s="112">
        <v>5</v>
      </c>
    </row>
    <row r="36" spans="1:17" customFormat="1">
      <c r="A36" s="80">
        <v>45611.291666666664</v>
      </c>
      <c r="B36" s="112">
        <v>5.3</v>
      </c>
      <c r="C36" s="112">
        <v>8.0500000000000007</v>
      </c>
      <c r="D36" s="112">
        <v>14.03</v>
      </c>
      <c r="E36" s="112">
        <v>9.92</v>
      </c>
      <c r="F36" s="112">
        <v>5.57</v>
      </c>
      <c r="G36" s="112">
        <v>74.599999999999994</v>
      </c>
      <c r="H36" s="112">
        <v>27.28</v>
      </c>
      <c r="I36" s="112">
        <v>9.27</v>
      </c>
      <c r="J36" s="112">
        <v>0.2</v>
      </c>
      <c r="K36" s="112">
        <v>72.7</v>
      </c>
      <c r="L36" s="112">
        <v>18.760000000000002</v>
      </c>
      <c r="M36" s="112">
        <v>82.57</v>
      </c>
      <c r="N36" s="112">
        <v>36.700000000000003</v>
      </c>
      <c r="O36" s="112">
        <v>0</v>
      </c>
      <c r="P36" s="112">
        <v>0.67</v>
      </c>
      <c r="Q36" s="112">
        <v>4.99</v>
      </c>
    </row>
    <row r="37" spans="1:17" customFormat="1">
      <c r="A37" s="80">
        <v>45611.302083333336</v>
      </c>
      <c r="B37" s="112">
        <v>5.29</v>
      </c>
      <c r="C37" s="112">
        <v>8.06</v>
      </c>
      <c r="D37" s="112">
        <v>14.02</v>
      </c>
      <c r="E37" s="112">
        <v>10.02</v>
      </c>
      <c r="F37" s="112">
        <v>5.53</v>
      </c>
      <c r="G37" s="112">
        <v>74.650000000000006</v>
      </c>
      <c r="H37" s="112">
        <v>27.25</v>
      </c>
      <c r="I37" s="112">
        <v>9.34</v>
      </c>
      <c r="J37" s="112">
        <v>0.5</v>
      </c>
      <c r="K37" s="112">
        <v>55.42</v>
      </c>
      <c r="L37" s="112">
        <v>19.43</v>
      </c>
      <c r="M37" s="112">
        <v>73.11</v>
      </c>
      <c r="N37" s="112">
        <v>49.3</v>
      </c>
      <c r="O37" s="112">
        <v>0</v>
      </c>
      <c r="P37" s="112">
        <v>0.68</v>
      </c>
      <c r="Q37" s="112">
        <v>5</v>
      </c>
    </row>
    <row r="38" spans="1:17" customFormat="1">
      <c r="A38" s="80">
        <v>45611.3125</v>
      </c>
      <c r="B38" s="112">
        <v>5.28</v>
      </c>
      <c r="C38" s="112">
        <v>8.07</v>
      </c>
      <c r="D38" s="112">
        <v>14.02</v>
      </c>
      <c r="E38" s="112">
        <v>9.77</v>
      </c>
      <c r="F38" s="112">
        <v>5.52</v>
      </c>
      <c r="G38" s="112">
        <v>76.790000000000006</v>
      </c>
      <c r="H38" s="112">
        <v>25.5</v>
      </c>
      <c r="I38" s="112">
        <v>9.39</v>
      </c>
      <c r="J38" s="112">
        <v>0.52</v>
      </c>
      <c r="K38" s="112">
        <v>55.28</v>
      </c>
      <c r="L38" s="112">
        <v>19.91</v>
      </c>
      <c r="M38" s="112">
        <v>70.06</v>
      </c>
      <c r="N38" s="112">
        <v>63</v>
      </c>
      <c r="O38" s="112">
        <v>0</v>
      </c>
      <c r="P38" s="112">
        <v>0.68</v>
      </c>
      <c r="Q38" s="112">
        <v>5</v>
      </c>
    </row>
    <row r="39" spans="1:17" customFormat="1">
      <c r="A39" s="80">
        <v>45611.322916666664</v>
      </c>
      <c r="B39" s="112">
        <v>5.27</v>
      </c>
      <c r="C39" s="112">
        <v>8.1</v>
      </c>
      <c r="D39" s="112">
        <v>14.03</v>
      </c>
      <c r="E39" s="112">
        <v>9.51</v>
      </c>
      <c r="F39" s="112">
        <v>5.51</v>
      </c>
      <c r="G39" s="112">
        <v>76.790000000000006</v>
      </c>
      <c r="H39" s="112">
        <v>25.5</v>
      </c>
      <c r="I39" s="112">
        <v>9.43</v>
      </c>
      <c r="J39" s="112">
        <v>0.61</v>
      </c>
      <c r="K39" s="112">
        <v>51.08</v>
      </c>
      <c r="L39" s="112">
        <v>20.53</v>
      </c>
      <c r="M39" s="112">
        <v>68.8</v>
      </c>
      <c r="N39" s="112">
        <v>142</v>
      </c>
      <c r="O39" s="112">
        <v>0</v>
      </c>
      <c r="P39" s="112">
        <v>0.68</v>
      </c>
      <c r="Q39" s="112">
        <v>4.99</v>
      </c>
    </row>
    <row r="40" spans="1:17" customFormat="1">
      <c r="A40" s="80">
        <v>45611.333333333336</v>
      </c>
      <c r="B40" s="112">
        <v>5.27</v>
      </c>
      <c r="C40" s="112">
        <v>8.07</v>
      </c>
      <c r="D40" s="112">
        <v>14.01</v>
      </c>
      <c r="E40" s="112">
        <v>9.8800000000000008</v>
      </c>
      <c r="F40" s="112">
        <v>5.48</v>
      </c>
      <c r="G40" s="112">
        <v>76.790000000000006</v>
      </c>
      <c r="H40" s="112">
        <v>25.5</v>
      </c>
      <c r="I40" s="112">
        <v>9.4700000000000006</v>
      </c>
      <c r="J40" s="112">
        <v>0.51</v>
      </c>
      <c r="K40" s="112">
        <v>46.5</v>
      </c>
      <c r="L40" s="112">
        <v>21.25</v>
      </c>
      <c r="M40" s="112">
        <v>67.84</v>
      </c>
      <c r="N40" s="112">
        <v>192.1</v>
      </c>
      <c r="O40" s="112">
        <v>0</v>
      </c>
      <c r="P40" s="112">
        <v>0.71</v>
      </c>
      <c r="Q40" s="112">
        <v>4.99</v>
      </c>
    </row>
    <row r="41" spans="1:17" customFormat="1">
      <c r="A41" s="80">
        <v>45611.34375</v>
      </c>
      <c r="B41" s="112">
        <v>5.28</v>
      </c>
      <c r="C41" s="112">
        <v>8.0500000000000007</v>
      </c>
      <c r="D41" s="112">
        <v>14.01</v>
      </c>
      <c r="E41" s="112">
        <v>9.99</v>
      </c>
      <c r="F41" s="112">
        <v>5.52</v>
      </c>
      <c r="G41" s="112">
        <v>76.84</v>
      </c>
      <c r="H41" s="112">
        <v>25.5</v>
      </c>
      <c r="I41" s="112">
        <v>9.5500000000000007</v>
      </c>
      <c r="J41" s="112">
        <v>0.53</v>
      </c>
      <c r="K41" s="112">
        <v>60.89</v>
      </c>
      <c r="L41" s="112">
        <v>22.41</v>
      </c>
      <c r="M41" s="112">
        <v>64.459999999999994</v>
      </c>
      <c r="N41" s="112">
        <v>222.9</v>
      </c>
      <c r="O41" s="112">
        <v>0</v>
      </c>
      <c r="P41" s="112">
        <v>0.72</v>
      </c>
      <c r="Q41" s="112">
        <v>4.99</v>
      </c>
    </row>
    <row r="42" spans="1:17" customFormat="1">
      <c r="A42" s="80">
        <v>45611.354166666664</v>
      </c>
      <c r="B42" s="112">
        <v>5.28</v>
      </c>
      <c r="C42" s="112">
        <v>8.08</v>
      </c>
      <c r="D42" s="112">
        <v>14.02</v>
      </c>
      <c r="E42" s="112">
        <v>10.119999999999999</v>
      </c>
      <c r="F42" s="112">
        <v>5.63</v>
      </c>
      <c r="G42" s="112">
        <v>78.849999999999994</v>
      </c>
      <c r="H42" s="112">
        <v>26.02</v>
      </c>
      <c r="I42" s="112">
        <v>9.68</v>
      </c>
      <c r="J42" s="112">
        <v>0.47</v>
      </c>
      <c r="K42" s="112">
        <v>58.98</v>
      </c>
      <c r="L42" s="112">
        <v>23.36</v>
      </c>
      <c r="M42" s="112">
        <v>61.88</v>
      </c>
      <c r="N42" s="112">
        <v>214.9</v>
      </c>
      <c r="O42" s="112">
        <v>0</v>
      </c>
      <c r="P42" s="112">
        <v>0.71</v>
      </c>
      <c r="Q42" s="112">
        <v>5</v>
      </c>
    </row>
    <row r="43" spans="1:17" customFormat="1">
      <c r="A43" s="80">
        <v>45611.364583333336</v>
      </c>
      <c r="B43" s="112">
        <v>5.27</v>
      </c>
      <c r="C43" s="112">
        <v>8.09</v>
      </c>
      <c r="D43" s="112">
        <v>14.02</v>
      </c>
      <c r="E43" s="112">
        <v>10.29</v>
      </c>
      <c r="F43" s="112">
        <v>5.74</v>
      </c>
      <c r="G43" s="112">
        <v>78.849999999999994</v>
      </c>
      <c r="H43" s="112">
        <v>26.02</v>
      </c>
      <c r="I43" s="112">
        <v>9.85</v>
      </c>
      <c r="J43" s="112">
        <v>0.37</v>
      </c>
      <c r="K43" s="112">
        <v>80.92</v>
      </c>
      <c r="L43" s="112">
        <v>24.31</v>
      </c>
      <c r="M43" s="112">
        <v>58.97</v>
      </c>
      <c r="N43" s="112">
        <v>237.3</v>
      </c>
      <c r="O43" s="112">
        <v>0</v>
      </c>
      <c r="P43" s="112">
        <v>0.72</v>
      </c>
      <c r="Q43" s="112">
        <v>4.99</v>
      </c>
    </row>
    <row r="44" spans="1:17" customFormat="1">
      <c r="A44" s="80">
        <v>45611.375</v>
      </c>
      <c r="B44" s="112">
        <v>5.26</v>
      </c>
      <c r="C44" s="112">
        <v>8.09</v>
      </c>
      <c r="D44" s="112">
        <v>14.01</v>
      </c>
      <c r="E44" s="112">
        <v>9.74</v>
      </c>
      <c r="F44" s="112">
        <v>5.83</v>
      </c>
      <c r="G44" s="112">
        <v>78.849999999999994</v>
      </c>
      <c r="H44" s="112">
        <v>26.02</v>
      </c>
      <c r="I44" s="112">
        <v>9.99</v>
      </c>
      <c r="J44" s="112">
        <v>0.3</v>
      </c>
      <c r="K44" s="112">
        <v>88.58</v>
      </c>
      <c r="L44" s="112">
        <v>25.24</v>
      </c>
      <c r="M44" s="112">
        <v>54.93</v>
      </c>
      <c r="N44" s="112">
        <v>322.10000000000002</v>
      </c>
      <c r="O44" s="112">
        <v>0</v>
      </c>
      <c r="P44" s="112">
        <v>0.72</v>
      </c>
      <c r="Q44" s="112">
        <v>4.9800000000000004</v>
      </c>
    </row>
    <row r="45" spans="1:17" customFormat="1">
      <c r="A45" s="80">
        <v>45611.385416666664</v>
      </c>
      <c r="B45" s="112">
        <v>5.26</v>
      </c>
      <c r="C45" s="112">
        <v>8.1</v>
      </c>
      <c r="D45" s="112">
        <v>14.02</v>
      </c>
      <c r="E45" s="112">
        <v>10.039999999999999</v>
      </c>
      <c r="F45" s="112">
        <v>5.93</v>
      </c>
      <c r="G45" s="112">
        <v>78.790000000000006</v>
      </c>
      <c r="H45" s="112">
        <v>25.99</v>
      </c>
      <c r="I45" s="112">
        <v>10.07</v>
      </c>
      <c r="J45" s="112">
        <v>0.56000000000000005</v>
      </c>
      <c r="K45" s="112">
        <v>49.71</v>
      </c>
      <c r="L45" s="112">
        <v>25.81</v>
      </c>
      <c r="M45" s="112">
        <v>51.73</v>
      </c>
      <c r="N45" s="112">
        <v>378.7</v>
      </c>
      <c r="O45" s="112">
        <v>0</v>
      </c>
      <c r="P45" s="112">
        <v>0.71</v>
      </c>
      <c r="Q45" s="112">
        <v>4.99</v>
      </c>
    </row>
    <row r="46" spans="1:17" customFormat="1">
      <c r="A46" s="80">
        <v>45611.395833333336</v>
      </c>
      <c r="B46" s="112">
        <v>5.27</v>
      </c>
      <c r="C46" s="112">
        <v>8.09</v>
      </c>
      <c r="D46" s="112">
        <v>14.02</v>
      </c>
      <c r="E46" s="112">
        <v>10.210000000000001</v>
      </c>
      <c r="F46" s="112">
        <v>5.97</v>
      </c>
      <c r="G46" s="112">
        <v>76.150000000000006</v>
      </c>
      <c r="H46" s="112">
        <v>24.11</v>
      </c>
      <c r="I46" s="112">
        <v>10.08</v>
      </c>
      <c r="J46" s="112">
        <v>0.36</v>
      </c>
      <c r="K46" s="112">
        <v>92.05</v>
      </c>
      <c r="L46" s="112">
        <v>26.85</v>
      </c>
      <c r="M46" s="112">
        <v>47.34</v>
      </c>
      <c r="N46" s="112">
        <v>316.7</v>
      </c>
      <c r="O46" s="112">
        <v>0</v>
      </c>
      <c r="P46" s="112">
        <v>0.71</v>
      </c>
      <c r="Q46" s="112">
        <v>4.9800000000000004</v>
      </c>
    </row>
    <row r="47" spans="1:17" customFormat="1">
      <c r="A47" s="80">
        <v>45611.40625</v>
      </c>
      <c r="B47" s="112">
        <v>5.28</v>
      </c>
      <c r="C47" s="112">
        <v>8.07</v>
      </c>
      <c r="D47" s="112">
        <v>14.01</v>
      </c>
      <c r="E47" s="112">
        <v>10.28</v>
      </c>
      <c r="F47" s="112">
        <v>6.04</v>
      </c>
      <c r="G47" s="112">
        <v>76.150000000000006</v>
      </c>
      <c r="H47" s="112">
        <v>24.11</v>
      </c>
      <c r="I47" s="112">
        <v>10.08</v>
      </c>
      <c r="J47" s="112">
        <v>0.4</v>
      </c>
      <c r="K47" s="112">
        <v>57.87</v>
      </c>
      <c r="L47" s="112">
        <v>26.9</v>
      </c>
      <c r="M47" s="112">
        <v>47.01</v>
      </c>
      <c r="N47" s="112">
        <v>440</v>
      </c>
      <c r="O47" s="112">
        <v>0</v>
      </c>
      <c r="P47" s="112">
        <v>0.71</v>
      </c>
      <c r="Q47" s="112">
        <v>4.9800000000000004</v>
      </c>
    </row>
    <row r="48" spans="1:17" customFormat="1">
      <c r="A48" s="80">
        <v>45611.416666666664</v>
      </c>
      <c r="B48" s="112">
        <v>5.27</v>
      </c>
      <c r="C48" s="112">
        <v>8.06</v>
      </c>
      <c r="D48" s="112">
        <v>14</v>
      </c>
      <c r="E48" s="112">
        <v>10.19</v>
      </c>
      <c r="F48" s="112">
        <v>6.36</v>
      </c>
      <c r="G48" s="112">
        <v>76.150000000000006</v>
      </c>
      <c r="H48" s="112">
        <v>24.11</v>
      </c>
      <c r="I48" s="112">
        <v>10.119999999999999</v>
      </c>
      <c r="J48" s="112">
        <v>0.43</v>
      </c>
      <c r="K48" s="112">
        <v>52.81</v>
      </c>
      <c r="L48" s="112">
        <v>27.24</v>
      </c>
      <c r="M48" s="112">
        <v>44.98</v>
      </c>
      <c r="N48" s="112">
        <v>477.3</v>
      </c>
      <c r="O48" s="112">
        <v>0</v>
      </c>
      <c r="P48" s="112">
        <v>0.71</v>
      </c>
      <c r="Q48" s="112">
        <v>4.97</v>
      </c>
    </row>
    <row r="49" spans="1:17" customFormat="1">
      <c r="A49" s="80">
        <v>45611.427083333336</v>
      </c>
      <c r="B49" s="112">
        <v>5.25</v>
      </c>
      <c r="C49" s="112">
        <v>8.11</v>
      </c>
      <c r="D49" s="112">
        <v>14.02</v>
      </c>
      <c r="E49" s="112">
        <v>8.08</v>
      </c>
      <c r="F49" s="112">
        <v>6.22</v>
      </c>
      <c r="G49" s="112">
        <v>76.34</v>
      </c>
      <c r="H49" s="112">
        <v>24.13</v>
      </c>
      <c r="I49" s="112">
        <v>10.1</v>
      </c>
      <c r="J49" s="112">
        <v>0.57999999999999996</v>
      </c>
      <c r="K49" s="112">
        <v>51.24</v>
      </c>
      <c r="L49" s="112">
        <v>27.68</v>
      </c>
      <c r="M49" s="112">
        <v>43.61</v>
      </c>
      <c r="N49" s="112">
        <v>499.2</v>
      </c>
      <c r="O49" s="112">
        <v>0</v>
      </c>
      <c r="P49" s="112">
        <v>0.68</v>
      </c>
      <c r="Q49" s="112">
        <v>4.9800000000000004</v>
      </c>
    </row>
    <row r="50" spans="1:17" customFormat="1">
      <c r="A50" s="80">
        <v>45611.4375</v>
      </c>
      <c r="B50" s="112">
        <v>5.26</v>
      </c>
      <c r="C50" s="112">
        <v>8.1</v>
      </c>
      <c r="D50" s="112">
        <v>14.02</v>
      </c>
      <c r="E50" s="112">
        <v>9.6999999999999993</v>
      </c>
      <c r="F50" s="112">
        <v>6.89</v>
      </c>
      <c r="G50" s="112">
        <v>84.83</v>
      </c>
      <c r="H50" s="112">
        <v>25.49</v>
      </c>
      <c r="I50" s="112">
        <v>10.039999999999999</v>
      </c>
      <c r="J50" s="112">
        <v>0.75</v>
      </c>
      <c r="K50" s="112">
        <v>46.1</v>
      </c>
      <c r="L50" s="112">
        <v>28</v>
      </c>
      <c r="M50" s="112">
        <v>40.520000000000003</v>
      </c>
      <c r="N50" s="112">
        <v>507.1</v>
      </c>
      <c r="O50" s="112">
        <v>0</v>
      </c>
      <c r="P50" s="112">
        <v>0.67</v>
      </c>
      <c r="Q50" s="112">
        <v>4.9800000000000004</v>
      </c>
    </row>
    <row r="51" spans="1:17" customFormat="1">
      <c r="A51" s="80">
        <v>45611.447916666664</v>
      </c>
      <c r="B51" s="112">
        <v>5.28</v>
      </c>
      <c r="C51" s="112">
        <v>8.07</v>
      </c>
      <c r="D51" s="112">
        <v>14.02</v>
      </c>
      <c r="E51" s="112">
        <v>10.11</v>
      </c>
      <c r="F51" s="112">
        <v>6.95</v>
      </c>
      <c r="G51" s="112">
        <v>84.83</v>
      </c>
      <c r="H51" s="112">
        <v>25.49</v>
      </c>
      <c r="I51" s="112">
        <v>10.02</v>
      </c>
      <c r="J51" s="112">
        <v>0.44</v>
      </c>
      <c r="K51" s="112">
        <v>75.459999999999994</v>
      </c>
      <c r="L51" s="112">
        <v>28.47</v>
      </c>
      <c r="M51" s="112">
        <v>38.020000000000003</v>
      </c>
      <c r="N51" s="112">
        <v>461.6</v>
      </c>
      <c r="O51" s="112">
        <v>0</v>
      </c>
      <c r="P51" s="112">
        <v>0.67</v>
      </c>
      <c r="Q51" s="112">
        <v>4.9800000000000004</v>
      </c>
    </row>
    <row r="52" spans="1:17" customFormat="1">
      <c r="A52" s="80">
        <v>45611.458333333336</v>
      </c>
      <c r="B52" s="112">
        <v>5.27</v>
      </c>
      <c r="C52" s="112">
        <v>8.08</v>
      </c>
      <c r="D52" s="112">
        <v>14.01</v>
      </c>
      <c r="E52" s="112">
        <v>10.65</v>
      </c>
      <c r="F52" s="112">
        <v>7.62</v>
      </c>
      <c r="G52" s="112">
        <v>84.83</v>
      </c>
      <c r="H52" s="112">
        <v>25.49</v>
      </c>
      <c r="I52" s="112">
        <v>9.93</v>
      </c>
      <c r="J52" s="112">
        <v>0.49</v>
      </c>
      <c r="K52" s="112">
        <v>45.49</v>
      </c>
      <c r="L52" s="112">
        <v>28.84</v>
      </c>
      <c r="M52" s="112">
        <v>35.69</v>
      </c>
      <c r="N52" s="112">
        <v>512.29999999999995</v>
      </c>
      <c r="O52" s="112">
        <v>0</v>
      </c>
      <c r="P52" s="112">
        <v>0.65</v>
      </c>
      <c r="Q52" s="112">
        <v>4.99</v>
      </c>
    </row>
    <row r="53" spans="1:17" customFormat="1">
      <c r="A53" s="80">
        <v>45611.46875</v>
      </c>
      <c r="B53" s="112">
        <v>5.28</v>
      </c>
      <c r="C53" s="112">
        <v>8.06</v>
      </c>
      <c r="D53" s="112">
        <v>14.01</v>
      </c>
      <c r="E53" s="112">
        <v>11.26</v>
      </c>
      <c r="F53" s="112">
        <v>8.24</v>
      </c>
      <c r="G53" s="112">
        <v>84.76</v>
      </c>
      <c r="H53" s="112">
        <v>25.47</v>
      </c>
      <c r="I53" s="112">
        <v>9.84</v>
      </c>
      <c r="J53" s="112">
        <v>0.64</v>
      </c>
      <c r="K53" s="112">
        <v>53.26</v>
      </c>
      <c r="L53" s="112">
        <v>28.65</v>
      </c>
      <c r="M53" s="112">
        <v>35.630000000000003</v>
      </c>
      <c r="N53" s="112">
        <v>537.79999999999995</v>
      </c>
      <c r="O53" s="112">
        <v>0</v>
      </c>
      <c r="P53" s="112">
        <v>0.65</v>
      </c>
      <c r="Q53" s="112">
        <v>4.99</v>
      </c>
    </row>
    <row r="54" spans="1:17" customFormat="1">
      <c r="A54" s="80">
        <v>45611.479166666664</v>
      </c>
      <c r="B54" s="112">
        <v>5.26</v>
      </c>
      <c r="C54" s="112">
        <v>8.08</v>
      </c>
      <c r="D54" s="112">
        <v>14.01</v>
      </c>
      <c r="E54" s="112">
        <v>11.53</v>
      </c>
      <c r="F54" s="112">
        <v>8.49</v>
      </c>
      <c r="G54" s="112">
        <v>81.900000000000006</v>
      </c>
      <c r="H54" s="112">
        <v>24.37</v>
      </c>
      <c r="I54" s="112">
        <v>9.69</v>
      </c>
      <c r="J54" s="112">
        <v>0.59</v>
      </c>
      <c r="K54" s="112">
        <v>47.19</v>
      </c>
      <c r="L54" s="112">
        <v>29.05</v>
      </c>
      <c r="M54" s="112">
        <v>34.64</v>
      </c>
      <c r="N54" s="112">
        <v>552.20000000000005</v>
      </c>
      <c r="O54" s="112">
        <v>0</v>
      </c>
      <c r="P54" s="112">
        <v>0.64</v>
      </c>
      <c r="Q54" s="112">
        <v>4.9800000000000004</v>
      </c>
    </row>
    <row r="55" spans="1:17" customFormat="1">
      <c r="A55" s="80">
        <v>45611.489583333336</v>
      </c>
      <c r="B55" s="112">
        <v>5.27</v>
      </c>
      <c r="C55" s="112">
        <v>8.08</v>
      </c>
      <c r="D55" s="112">
        <v>14.01</v>
      </c>
      <c r="E55" s="112">
        <v>11.68</v>
      </c>
      <c r="F55" s="112">
        <v>8.9700000000000006</v>
      </c>
      <c r="G55" s="112">
        <v>81.900000000000006</v>
      </c>
      <c r="H55" s="112">
        <v>24.37</v>
      </c>
      <c r="I55" s="112">
        <v>9.49</v>
      </c>
      <c r="J55" s="112">
        <v>0.52</v>
      </c>
      <c r="K55" s="112">
        <v>33.22</v>
      </c>
      <c r="L55" s="112">
        <v>29.23</v>
      </c>
      <c r="M55" s="112">
        <v>33.35</v>
      </c>
      <c r="N55" s="112">
        <v>568</v>
      </c>
      <c r="O55" s="112">
        <v>0</v>
      </c>
      <c r="P55" s="112">
        <v>0.63</v>
      </c>
      <c r="Q55" s="112">
        <v>4.99</v>
      </c>
    </row>
    <row r="56" spans="1:17" customFormat="1">
      <c r="A56" s="80">
        <v>45611.5</v>
      </c>
      <c r="B56" s="112">
        <v>5.26</v>
      </c>
      <c r="C56" s="112">
        <v>8.07</v>
      </c>
      <c r="D56" s="112">
        <v>14</v>
      </c>
      <c r="E56" s="112">
        <v>11.8</v>
      </c>
      <c r="F56" s="112">
        <v>8.3699999999999992</v>
      </c>
      <c r="G56" s="112">
        <v>81.900000000000006</v>
      </c>
      <c r="H56" s="112">
        <v>24.37</v>
      </c>
      <c r="I56" s="112">
        <v>9.3699999999999992</v>
      </c>
      <c r="J56" s="112">
        <v>0.56000000000000005</v>
      </c>
      <c r="K56" s="112">
        <v>17.7</v>
      </c>
      <c r="L56" s="112">
        <v>29.3</v>
      </c>
      <c r="M56" s="112">
        <v>33.06</v>
      </c>
      <c r="N56" s="112">
        <v>578.5</v>
      </c>
      <c r="O56" s="112">
        <v>0</v>
      </c>
      <c r="P56" s="112">
        <v>0.63</v>
      </c>
      <c r="Q56" s="112">
        <v>4.9800000000000004</v>
      </c>
    </row>
    <row r="57" spans="1:17" customFormat="1">
      <c r="A57" s="80">
        <v>45611.510416666664</v>
      </c>
      <c r="B57" s="112">
        <v>5.25</v>
      </c>
      <c r="C57" s="112">
        <v>8.08</v>
      </c>
      <c r="D57" s="112">
        <v>14</v>
      </c>
      <c r="E57" s="112">
        <v>11.81</v>
      </c>
      <c r="F57" s="112">
        <v>9.17</v>
      </c>
      <c r="G57" s="112">
        <v>81.760000000000005</v>
      </c>
      <c r="H57" s="112">
        <v>24.34</v>
      </c>
      <c r="I57" s="112">
        <v>9.18</v>
      </c>
      <c r="J57" s="112">
        <v>0.48</v>
      </c>
      <c r="K57" s="112">
        <v>21.91</v>
      </c>
      <c r="L57" s="112">
        <v>29.73</v>
      </c>
      <c r="M57" s="112">
        <v>32.25</v>
      </c>
      <c r="N57" s="112">
        <v>562.4</v>
      </c>
      <c r="O57" s="112">
        <v>0</v>
      </c>
      <c r="P57" s="112">
        <v>0.61</v>
      </c>
      <c r="Q57" s="112">
        <v>4.99</v>
      </c>
    </row>
    <row r="58" spans="1:17" customFormat="1">
      <c r="A58" s="80">
        <v>45611.520833333336</v>
      </c>
      <c r="B58" s="112">
        <v>5.27</v>
      </c>
      <c r="C58" s="112">
        <v>8.07</v>
      </c>
      <c r="D58" s="112">
        <v>14.01</v>
      </c>
      <c r="E58" s="112">
        <v>11.8</v>
      </c>
      <c r="F58" s="112">
        <v>8.4499999999999993</v>
      </c>
      <c r="G58" s="112">
        <v>75.790000000000006</v>
      </c>
      <c r="H58" s="112">
        <v>22.28</v>
      </c>
      <c r="I58" s="112">
        <v>8.99</v>
      </c>
      <c r="J58" s="112">
        <v>0.33</v>
      </c>
      <c r="K58" s="112">
        <v>44.15</v>
      </c>
      <c r="L58" s="112">
        <v>29.96</v>
      </c>
      <c r="M58" s="112">
        <v>31.81</v>
      </c>
      <c r="N58" s="112">
        <v>538.4</v>
      </c>
      <c r="O58" s="112">
        <v>0</v>
      </c>
      <c r="P58" s="112">
        <v>0.61</v>
      </c>
      <c r="Q58" s="112">
        <v>4.99</v>
      </c>
    </row>
    <row r="59" spans="1:17" customFormat="1">
      <c r="A59" s="80">
        <v>45611.53125</v>
      </c>
      <c r="B59" s="112">
        <v>5.26</v>
      </c>
      <c r="C59" s="112">
        <v>8.06</v>
      </c>
      <c r="D59" s="112">
        <v>14</v>
      </c>
      <c r="E59" s="112">
        <v>13.84</v>
      </c>
      <c r="F59" s="112">
        <v>10.44</v>
      </c>
      <c r="G59" s="112">
        <v>75.790000000000006</v>
      </c>
      <c r="H59" s="112">
        <v>22.28</v>
      </c>
      <c r="I59" s="112">
        <v>8.84</v>
      </c>
      <c r="J59" s="112">
        <v>0.75</v>
      </c>
      <c r="K59" s="112">
        <v>50.08</v>
      </c>
      <c r="L59" s="112">
        <v>29.7</v>
      </c>
      <c r="M59" s="112">
        <v>31.51</v>
      </c>
      <c r="N59" s="112">
        <v>511.7</v>
      </c>
      <c r="O59" s="112">
        <v>0</v>
      </c>
      <c r="P59" s="112">
        <v>0.59</v>
      </c>
      <c r="Q59" s="112">
        <v>5</v>
      </c>
    </row>
    <row r="60" spans="1:17" customFormat="1">
      <c r="A60" s="80">
        <v>45611.541666666664</v>
      </c>
      <c r="B60" s="112">
        <v>5.26</v>
      </c>
      <c r="C60" s="112">
        <v>8.08</v>
      </c>
      <c r="D60" s="112">
        <v>14</v>
      </c>
      <c r="E60" s="112">
        <v>15.09</v>
      </c>
      <c r="F60" s="112">
        <v>10.82</v>
      </c>
      <c r="G60" s="112">
        <v>75.790000000000006</v>
      </c>
      <c r="H60" s="112">
        <v>22.28</v>
      </c>
      <c r="I60" s="112">
        <v>8.7200000000000006</v>
      </c>
      <c r="J60" s="112">
        <v>0.26</v>
      </c>
      <c r="K60" s="112">
        <v>40.93</v>
      </c>
      <c r="L60" s="112">
        <v>30.33</v>
      </c>
      <c r="M60" s="112">
        <v>30.64</v>
      </c>
      <c r="N60" s="112">
        <v>493.5</v>
      </c>
      <c r="O60" s="112">
        <v>0</v>
      </c>
      <c r="P60" s="112">
        <v>0.57999999999999996</v>
      </c>
      <c r="Q60" s="112">
        <v>5</v>
      </c>
    </row>
    <row r="61" spans="1:17" customFormat="1">
      <c r="A61" s="80">
        <v>45611.552083333336</v>
      </c>
      <c r="B61" s="112">
        <v>5.25</v>
      </c>
      <c r="C61" s="112">
        <v>8.09</v>
      </c>
      <c r="D61" s="112">
        <v>14.01</v>
      </c>
      <c r="E61" s="112">
        <v>16.38</v>
      </c>
      <c r="F61" s="112">
        <v>10.08</v>
      </c>
      <c r="G61" s="112">
        <v>75.64</v>
      </c>
      <c r="H61" s="112">
        <v>22.32</v>
      </c>
      <c r="I61" s="112">
        <v>8.57</v>
      </c>
      <c r="J61" s="112">
        <v>0.55000000000000004</v>
      </c>
      <c r="K61" s="112">
        <v>20.34</v>
      </c>
      <c r="L61" s="112">
        <v>30.28</v>
      </c>
      <c r="M61" s="112">
        <v>30.11</v>
      </c>
      <c r="N61" s="112">
        <v>480</v>
      </c>
      <c r="O61" s="112">
        <v>0</v>
      </c>
      <c r="P61" s="112">
        <v>0.59</v>
      </c>
      <c r="Q61" s="112">
        <v>5</v>
      </c>
    </row>
    <row r="62" spans="1:17" customFormat="1">
      <c r="A62" s="80">
        <v>45611.5625</v>
      </c>
      <c r="B62" s="112">
        <v>5.25</v>
      </c>
      <c r="C62" s="112">
        <v>8.1</v>
      </c>
      <c r="D62" s="112">
        <v>14.01</v>
      </c>
      <c r="E62" s="112">
        <v>16.05</v>
      </c>
      <c r="F62" s="112">
        <v>8.7100000000000009</v>
      </c>
      <c r="G62" s="112">
        <v>69.2</v>
      </c>
      <c r="H62" s="112">
        <v>24.83</v>
      </c>
      <c r="I62" s="112">
        <v>8.3800000000000008</v>
      </c>
      <c r="J62" s="112">
        <v>0.13</v>
      </c>
      <c r="K62" s="112">
        <v>47.76</v>
      </c>
      <c r="L62" s="112">
        <v>30.21</v>
      </c>
      <c r="M62" s="112">
        <v>31.02</v>
      </c>
      <c r="N62" s="112">
        <v>453.4</v>
      </c>
      <c r="O62" s="112">
        <v>0</v>
      </c>
      <c r="P62" s="112">
        <v>0.56999999999999995</v>
      </c>
      <c r="Q62" s="112">
        <v>4.9800000000000004</v>
      </c>
    </row>
    <row r="63" spans="1:17" customFormat="1">
      <c r="A63" s="80">
        <v>45611.572916666664</v>
      </c>
      <c r="B63" s="112">
        <v>5.25</v>
      </c>
      <c r="C63" s="112">
        <v>8.1</v>
      </c>
      <c r="D63" s="112">
        <v>14.01</v>
      </c>
      <c r="E63" s="112">
        <v>16.89</v>
      </c>
      <c r="F63" s="112">
        <v>8.5399999999999991</v>
      </c>
      <c r="G63" s="112">
        <v>69.2</v>
      </c>
      <c r="H63" s="112">
        <v>24.83</v>
      </c>
      <c r="I63" s="112">
        <v>8.2899999999999991</v>
      </c>
      <c r="J63" s="112">
        <v>0.66</v>
      </c>
      <c r="K63" s="112">
        <v>44.93</v>
      </c>
      <c r="L63" s="112">
        <v>30.13</v>
      </c>
      <c r="M63" s="112">
        <v>31.33</v>
      </c>
      <c r="N63" s="112">
        <v>318.2</v>
      </c>
      <c r="O63" s="112">
        <v>0</v>
      </c>
      <c r="P63" s="112">
        <v>0.56999999999999995</v>
      </c>
      <c r="Q63" s="112">
        <v>4.99</v>
      </c>
    </row>
    <row r="64" spans="1:17" customFormat="1">
      <c r="A64" s="80">
        <v>45611.583333333336</v>
      </c>
      <c r="B64" s="112">
        <v>5.25</v>
      </c>
      <c r="C64" s="112">
        <v>8.1</v>
      </c>
      <c r="D64" s="112">
        <v>14.01</v>
      </c>
      <c r="E64" s="112">
        <v>22.55</v>
      </c>
      <c r="F64" s="112">
        <v>9.9</v>
      </c>
      <c r="G64" s="112">
        <v>69.2</v>
      </c>
      <c r="H64" s="112">
        <v>24.83</v>
      </c>
      <c r="I64" s="112">
        <v>8.23</v>
      </c>
      <c r="J64" s="112">
        <v>0.52</v>
      </c>
      <c r="K64" s="112">
        <v>37.159999999999997</v>
      </c>
      <c r="L64" s="112">
        <v>29.54</v>
      </c>
      <c r="M64" s="112">
        <v>31.99</v>
      </c>
      <c r="N64" s="112">
        <v>136.80000000000001</v>
      </c>
      <c r="O64" s="112">
        <v>0</v>
      </c>
      <c r="P64" s="112">
        <v>0.56000000000000005</v>
      </c>
      <c r="Q64" s="112">
        <v>4.97</v>
      </c>
    </row>
    <row r="65" spans="1:17" customFormat="1">
      <c r="A65" s="80">
        <v>45611.59375</v>
      </c>
      <c r="B65" s="112">
        <v>5.27</v>
      </c>
      <c r="C65" s="112">
        <v>8.07</v>
      </c>
      <c r="D65" s="112">
        <v>14.01</v>
      </c>
      <c r="E65" s="112">
        <v>27.18</v>
      </c>
      <c r="F65" s="112">
        <v>12.81</v>
      </c>
      <c r="G65" s="112">
        <v>69.13</v>
      </c>
      <c r="H65" s="112">
        <v>24.79</v>
      </c>
      <c r="I65" s="112">
        <v>8.07</v>
      </c>
      <c r="J65" s="112">
        <v>0.4</v>
      </c>
      <c r="K65" s="112">
        <v>38.31</v>
      </c>
      <c r="L65" s="112">
        <v>29.57</v>
      </c>
      <c r="M65" s="112">
        <v>30.97</v>
      </c>
      <c r="N65" s="112">
        <v>97.6</v>
      </c>
      <c r="O65" s="112">
        <v>0</v>
      </c>
      <c r="P65" s="112">
        <v>0.54</v>
      </c>
      <c r="Q65" s="112">
        <v>4.97</v>
      </c>
    </row>
    <row r="66" spans="1:17" customFormat="1">
      <c r="A66" s="80">
        <v>45611.604166666664</v>
      </c>
      <c r="B66" s="112">
        <v>5.26</v>
      </c>
      <c r="C66" s="112">
        <v>8.09</v>
      </c>
      <c r="D66" s="112">
        <v>14.01</v>
      </c>
      <c r="E66" s="112">
        <v>43.07</v>
      </c>
      <c r="F66" s="112">
        <v>17.46</v>
      </c>
      <c r="G66" s="112">
        <v>66.099999999999994</v>
      </c>
      <c r="H66" s="112">
        <v>21.64</v>
      </c>
      <c r="I66" s="112">
        <v>7.88</v>
      </c>
      <c r="J66" s="112">
        <v>0.42</v>
      </c>
      <c r="K66" s="112">
        <v>5.88</v>
      </c>
      <c r="L66" s="112">
        <v>29.37</v>
      </c>
      <c r="M66" s="112">
        <v>31.58</v>
      </c>
      <c r="N66" s="112">
        <v>84.2</v>
      </c>
      <c r="O66" s="112">
        <v>0</v>
      </c>
      <c r="P66" s="112">
        <v>0.55000000000000004</v>
      </c>
      <c r="Q66" s="112">
        <v>4.9800000000000004</v>
      </c>
    </row>
    <row r="67" spans="1:17" customFormat="1">
      <c r="A67" s="80">
        <v>45611.614583333336</v>
      </c>
      <c r="B67" s="112">
        <v>5.28</v>
      </c>
      <c r="C67" s="112">
        <v>8.09</v>
      </c>
      <c r="D67" s="112">
        <v>14.03</v>
      </c>
      <c r="E67" s="112">
        <v>29.43</v>
      </c>
      <c r="F67" s="112">
        <v>12.67</v>
      </c>
      <c r="G67" s="112">
        <v>66.099999999999994</v>
      </c>
      <c r="H67" s="112">
        <v>21.64</v>
      </c>
      <c r="I67" s="112">
        <v>7.63</v>
      </c>
      <c r="J67" s="112">
        <v>0.6</v>
      </c>
      <c r="K67" s="112">
        <v>14.32</v>
      </c>
      <c r="L67" s="112">
        <v>29.34</v>
      </c>
      <c r="M67" s="112">
        <v>30.79</v>
      </c>
      <c r="N67" s="112">
        <v>76.400000000000006</v>
      </c>
      <c r="O67" s="112">
        <v>0</v>
      </c>
      <c r="P67" s="112">
        <v>0.56000000000000005</v>
      </c>
      <c r="Q67" s="112">
        <v>4.97</v>
      </c>
    </row>
    <row r="68" spans="1:17" customFormat="1">
      <c r="A68" s="80">
        <v>45611.625</v>
      </c>
      <c r="B68" s="112">
        <v>5.26</v>
      </c>
      <c r="C68" s="112">
        <v>8.07</v>
      </c>
      <c r="D68" s="112">
        <v>14</v>
      </c>
      <c r="E68" s="112">
        <v>24.1</v>
      </c>
      <c r="F68" s="112">
        <v>13.88</v>
      </c>
      <c r="G68" s="112">
        <v>66.099999999999994</v>
      </c>
      <c r="H68" s="112">
        <v>21.64</v>
      </c>
      <c r="I68" s="112">
        <v>7.47</v>
      </c>
      <c r="J68" s="112">
        <v>0.47</v>
      </c>
      <c r="K68" s="112">
        <v>14.33</v>
      </c>
      <c r="L68" s="112">
        <v>29.39</v>
      </c>
      <c r="M68" s="112">
        <v>30.25</v>
      </c>
      <c r="N68" s="112">
        <v>72.400000000000006</v>
      </c>
      <c r="O68" s="112">
        <v>0</v>
      </c>
      <c r="P68" s="112">
        <v>0.57999999999999996</v>
      </c>
      <c r="Q68" s="112">
        <v>4.99</v>
      </c>
    </row>
    <row r="69" spans="1:17" customFormat="1">
      <c r="A69" s="80">
        <v>45611.635416666664</v>
      </c>
      <c r="B69" s="112">
        <v>5.27</v>
      </c>
      <c r="C69" s="112">
        <v>8.07</v>
      </c>
      <c r="D69" s="112">
        <v>14.01</v>
      </c>
      <c r="E69" s="112">
        <v>24.96</v>
      </c>
      <c r="F69" s="112">
        <v>16.68</v>
      </c>
      <c r="G69" s="112">
        <v>66.08</v>
      </c>
      <c r="H69" s="112">
        <v>21.63</v>
      </c>
      <c r="I69" s="112">
        <v>7.53</v>
      </c>
      <c r="J69" s="112">
        <v>0.69</v>
      </c>
      <c r="K69" s="112">
        <v>24.28</v>
      </c>
      <c r="L69" s="112">
        <v>29.31</v>
      </c>
      <c r="M69" s="112">
        <v>29.36</v>
      </c>
      <c r="N69" s="112">
        <v>59.2</v>
      </c>
      <c r="O69" s="112">
        <v>0</v>
      </c>
      <c r="P69" s="112">
        <v>0.57999999999999996</v>
      </c>
      <c r="Q69" s="112">
        <v>4.99</v>
      </c>
    </row>
    <row r="70" spans="1:17" customFormat="1">
      <c r="A70" s="80">
        <v>45611.645833333336</v>
      </c>
      <c r="B70" s="112">
        <v>5.27</v>
      </c>
      <c r="C70" s="112">
        <v>8.09</v>
      </c>
      <c r="D70" s="112">
        <v>14.02</v>
      </c>
      <c r="E70" s="112">
        <v>22.9</v>
      </c>
      <c r="F70" s="112">
        <v>15.72</v>
      </c>
      <c r="G70" s="112">
        <v>65.36</v>
      </c>
      <c r="H70" s="112">
        <v>21.3</v>
      </c>
      <c r="I70" s="112">
        <v>7.44</v>
      </c>
      <c r="J70" s="112">
        <v>0.42</v>
      </c>
      <c r="K70" s="112">
        <v>42.82</v>
      </c>
      <c r="L70" s="112">
        <v>29.16</v>
      </c>
      <c r="M70" s="112">
        <v>30.12</v>
      </c>
      <c r="N70" s="112">
        <v>50</v>
      </c>
      <c r="O70" s="112">
        <v>0</v>
      </c>
      <c r="P70" s="112">
        <v>0.57999999999999996</v>
      </c>
      <c r="Q70" s="112">
        <v>5</v>
      </c>
    </row>
    <row r="71" spans="1:17" customFormat="1">
      <c r="A71" s="80">
        <v>45611.65625</v>
      </c>
      <c r="B71" s="112">
        <v>5.27</v>
      </c>
      <c r="C71" s="112">
        <v>8.06</v>
      </c>
      <c r="D71" s="112">
        <v>14.01</v>
      </c>
      <c r="E71" s="112">
        <v>18.32</v>
      </c>
      <c r="F71" s="112">
        <v>15.09</v>
      </c>
      <c r="G71" s="112">
        <v>65.36</v>
      </c>
      <c r="H71" s="112">
        <v>21.3</v>
      </c>
      <c r="I71" s="112">
        <v>7.22</v>
      </c>
      <c r="J71" s="112">
        <v>0.47</v>
      </c>
      <c r="K71" s="112">
        <v>22.96</v>
      </c>
      <c r="L71" s="112">
        <v>29</v>
      </c>
      <c r="M71" s="112">
        <v>30.93</v>
      </c>
      <c r="N71" s="112">
        <v>41.7</v>
      </c>
      <c r="O71" s="112">
        <v>0</v>
      </c>
      <c r="P71" s="112">
        <v>0.57999999999999996</v>
      </c>
      <c r="Q71" s="112">
        <v>4.99</v>
      </c>
    </row>
    <row r="72" spans="1:17" customFormat="1">
      <c r="A72" s="80">
        <v>45611.666666666664</v>
      </c>
      <c r="B72" s="112">
        <v>5.26</v>
      </c>
      <c r="C72" s="112">
        <v>8.07</v>
      </c>
      <c r="D72" s="112">
        <v>14.01</v>
      </c>
      <c r="E72" s="112">
        <v>16.47</v>
      </c>
      <c r="F72" s="112">
        <v>16.600000000000001</v>
      </c>
      <c r="G72" s="112">
        <v>65.36</v>
      </c>
      <c r="H72" s="112">
        <v>21.3</v>
      </c>
      <c r="I72" s="112">
        <v>7.11</v>
      </c>
      <c r="J72" s="112">
        <v>0.47</v>
      </c>
      <c r="K72" s="112">
        <v>28.04</v>
      </c>
      <c r="L72" s="112">
        <v>28.77</v>
      </c>
      <c r="M72" s="112">
        <v>31.1</v>
      </c>
      <c r="N72" s="112">
        <v>40.700000000000003</v>
      </c>
      <c r="O72" s="112">
        <v>0</v>
      </c>
      <c r="P72" s="112">
        <v>0.57999999999999996</v>
      </c>
      <c r="Q72" s="112">
        <v>4.99</v>
      </c>
    </row>
    <row r="73" spans="1:17" customFormat="1">
      <c r="A73" s="80">
        <v>45611.677083333336</v>
      </c>
      <c r="B73" s="112">
        <v>5.27</v>
      </c>
      <c r="C73" s="112">
        <v>8.07</v>
      </c>
      <c r="D73" s="112">
        <v>14.01</v>
      </c>
      <c r="E73" s="112">
        <v>15.9</v>
      </c>
      <c r="F73" s="112">
        <v>14.04</v>
      </c>
      <c r="G73" s="112">
        <v>65.44</v>
      </c>
      <c r="H73" s="112">
        <v>21.28</v>
      </c>
      <c r="I73" s="112">
        <v>7.04</v>
      </c>
      <c r="J73" s="112">
        <v>0.35</v>
      </c>
      <c r="K73" s="112">
        <v>18.07</v>
      </c>
      <c r="L73" s="112">
        <v>28.55</v>
      </c>
      <c r="M73" s="112">
        <v>32.549999999999997</v>
      </c>
      <c r="N73" s="112">
        <v>33.6</v>
      </c>
      <c r="O73" s="112">
        <v>0</v>
      </c>
      <c r="P73" s="112">
        <v>0.57999999999999996</v>
      </c>
      <c r="Q73" s="112">
        <v>4.99</v>
      </c>
    </row>
    <row r="74" spans="1:17" customFormat="1">
      <c r="A74" s="80">
        <v>45611.6875</v>
      </c>
      <c r="B74" s="112">
        <v>5.26</v>
      </c>
      <c r="C74" s="112">
        <v>8.09</v>
      </c>
      <c r="D74" s="112">
        <v>14.02</v>
      </c>
      <c r="E74" s="112">
        <v>14.93</v>
      </c>
      <c r="F74" s="112">
        <v>12.92</v>
      </c>
      <c r="G74" s="112">
        <v>68.75</v>
      </c>
      <c r="H74" s="112">
        <v>20.28</v>
      </c>
      <c r="I74" s="112">
        <v>6.9</v>
      </c>
      <c r="J74" s="112">
        <v>0.34</v>
      </c>
      <c r="K74" s="112">
        <v>38.020000000000003</v>
      </c>
      <c r="L74" s="112">
        <v>28.21</v>
      </c>
      <c r="M74" s="112">
        <v>34.01</v>
      </c>
      <c r="N74" s="112">
        <v>25.6</v>
      </c>
      <c r="O74" s="112">
        <v>0</v>
      </c>
      <c r="P74" s="112">
        <v>0.59</v>
      </c>
      <c r="Q74" s="112">
        <v>4.9800000000000004</v>
      </c>
    </row>
    <row r="75" spans="1:17" customFormat="1">
      <c r="A75" s="80">
        <v>45611.697916666664</v>
      </c>
      <c r="B75" s="112">
        <v>5.28</v>
      </c>
      <c r="C75" s="112">
        <v>8.08</v>
      </c>
      <c r="D75" s="112">
        <v>14.03</v>
      </c>
      <c r="E75" s="112">
        <v>12.77</v>
      </c>
      <c r="F75" s="112">
        <v>11.48</v>
      </c>
      <c r="G75" s="112">
        <v>68.75</v>
      </c>
      <c r="H75" s="112">
        <v>20.28</v>
      </c>
      <c r="I75" s="112">
        <v>6.89</v>
      </c>
      <c r="J75" s="112">
        <v>0.37</v>
      </c>
      <c r="K75" s="112">
        <v>38.15</v>
      </c>
      <c r="L75" s="112">
        <v>27.79</v>
      </c>
      <c r="M75" s="112">
        <v>35.909999999999997</v>
      </c>
      <c r="N75" s="112">
        <v>16.899999999999999</v>
      </c>
      <c r="O75" s="112">
        <v>0</v>
      </c>
      <c r="P75" s="112">
        <v>0.59</v>
      </c>
      <c r="Q75" s="112">
        <v>4.9800000000000004</v>
      </c>
    </row>
    <row r="76" spans="1:17" customFormat="1">
      <c r="A76" s="80">
        <v>45611.708333333336</v>
      </c>
      <c r="B76" s="112">
        <v>5.28</v>
      </c>
      <c r="C76" s="112">
        <v>8.09</v>
      </c>
      <c r="D76" s="112">
        <v>14.03</v>
      </c>
      <c r="E76" s="112">
        <v>12.32</v>
      </c>
      <c r="F76" s="112">
        <v>9.9499999999999993</v>
      </c>
      <c r="G76" s="112">
        <v>68.75</v>
      </c>
      <c r="H76" s="112">
        <v>20.28</v>
      </c>
      <c r="I76" s="112">
        <v>6.83</v>
      </c>
      <c r="J76" s="112">
        <v>0.43</v>
      </c>
      <c r="K76" s="112">
        <v>48.46</v>
      </c>
      <c r="L76" s="112">
        <v>27.27</v>
      </c>
      <c r="M76" s="112">
        <v>37.18</v>
      </c>
      <c r="N76" s="112">
        <v>9.1999999999999993</v>
      </c>
      <c r="O76" s="112">
        <v>0</v>
      </c>
      <c r="P76" s="112">
        <v>0.6</v>
      </c>
      <c r="Q76" s="112">
        <v>4.9800000000000004</v>
      </c>
    </row>
    <row r="77" spans="1:17" customFormat="1">
      <c r="A77" s="80">
        <v>45611.71875</v>
      </c>
      <c r="B77" s="112">
        <v>5.29</v>
      </c>
      <c r="C77" s="112">
        <v>8.09</v>
      </c>
      <c r="D77" s="112">
        <v>14.03</v>
      </c>
      <c r="E77" s="112">
        <v>10.32</v>
      </c>
      <c r="F77" s="112">
        <v>8.18</v>
      </c>
      <c r="G77" s="112">
        <v>68.98</v>
      </c>
      <c r="H77" s="112">
        <v>20.420000000000002</v>
      </c>
      <c r="I77" s="112">
        <v>6.85</v>
      </c>
      <c r="J77" s="112">
        <v>0.16</v>
      </c>
      <c r="K77" s="112">
        <v>110.18</v>
      </c>
      <c r="L77" s="112">
        <v>26.5</v>
      </c>
      <c r="M77" s="112">
        <v>42.98</v>
      </c>
      <c r="N77" s="112">
        <v>3.4</v>
      </c>
      <c r="O77" s="112">
        <v>0</v>
      </c>
      <c r="P77" s="112">
        <v>0.6</v>
      </c>
      <c r="Q77" s="112">
        <v>4.9800000000000004</v>
      </c>
    </row>
    <row r="78" spans="1:17" customFormat="1">
      <c r="A78" s="80">
        <v>45611.729166666664</v>
      </c>
      <c r="B78" s="112">
        <v>5.27</v>
      </c>
      <c r="C78" s="112">
        <v>8.08</v>
      </c>
      <c r="D78" s="112">
        <v>14.02</v>
      </c>
      <c r="E78" s="112">
        <v>9.84</v>
      </c>
      <c r="F78" s="112">
        <v>7.43</v>
      </c>
      <c r="G78" s="112">
        <v>79</v>
      </c>
      <c r="H78" s="112">
        <v>25.12</v>
      </c>
      <c r="I78" s="112">
        <v>6.96</v>
      </c>
      <c r="J78" s="112">
        <v>0.33</v>
      </c>
      <c r="K78" s="112">
        <v>160.11000000000001</v>
      </c>
      <c r="L78" s="112">
        <v>25.26</v>
      </c>
      <c r="M78" s="112">
        <v>49.66</v>
      </c>
      <c r="N78" s="112">
        <v>2.5</v>
      </c>
      <c r="O78" s="112">
        <v>0</v>
      </c>
      <c r="P78" s="112">
        <v>0.6</v>
      </c>
      <c r="Q78" s="112">
        <v>4.9800000000000004</v>
      </c>
    </row>
    <row r="79" spans="1:17" customFormat="1">
      <c r="A79" s="80">
        <v>45611.739583333336</v>
      </c>
      <c r="B79" s="112">
        <v>5.28</v>
      </c>
      <c r="C79" s="112">
        <v>8.07</v>
      </c>
      <c r="D79" s="112">
        <v>14.02</v>
      </c>
      <c r="E79" s="112">
        <v>9.1</v>
      </c>
      <c r="F79" s="112">
        <v>7.02</v>
      </c>
      <c r="G79" s="112">
        <v>79</v>
      </c>
      <c r="H79" s="112">
        <v>25.12</v>
      </c>
      <c r="I79" s="112">
        <v>6.98</v>
      </c>
      <c r="J79" s="112">
        <v>0.19</v>
      </c>
      <c r="K79" s="112">
        <v>136.41</v>
      </c>
      <c r="L79" s="112">
        <v>24.7</v>
      </c>
      <c r="M79" s="112">
        <v>50.88</v>
      </c>
      <c r="N79" s="112">
        <v>1.8</v>
      </c>
      <c r="O79" s="112">
        <v>0</v>
      </c>
      <c r="P79" s="112">
        <v>0.61</v>
      </c>
      <c r="Q79" s="112">
        <v>4.99</v>
      </c>
    </row>
    <row r="80" spans="1:17" customFormat="1">
      <c r="A80" s="80">
        <v>45611.75</v>
      </c>
      <c r="B80" s="112">
        <v>5.28</v>
      </c>
      <c r="C80" s="112">
        <v>8.08</v>
      </c>
      <c r="D80" s="112">
        <v>14.02</v>
      </c>
      <c r="E80" s="112">
        <v>9.39</v>
      </c>
      <c r="F80" s="112">
        <v>6.68</v>
      </c>
      <c r="G80" s="112">
        <v>79</v>
      </c>
      <c r="H80" s="112">
        <v>25.12</v>
      </c>
      <c r="I80" s="112">
        <v>7.06</v>
      </c>
      <c r="J80" s="112">
        <v>0.2</v>
      </c>
      <c r="K80" s="112">
        <v>55.71</v>
      </c>
      <c r="L80" s="112">
        <v>24.78</v>
      </c>
      <c r="M80" s="112">
        <v>48.39</v>
      </c>
      <c r="N80" s="112">
        <v>1.2</v>
      </c>
      <c r="O80" s="112">
        <v>0</v>
      </c>
      <c r="P80" s="112">
        <v>0.63</v>
      </c>
      <c r="Q80" s="112">
        <v>4.99</v>
      </c>
    </row>
    <row r="81" spans="1:17" customFormat="1">
      <c r="A81" s="80">
        <v>45611.760416666664</v>
      </c>
      <c r="B81" s="112">
        <v>5.27</v>
      </c>
      <c r="C81" s="112">
        <v>8.11</v>
      </c>
      <c r="D81" s="112">
        <v>14.03</v>
      </c>
      <c r="E81" s="112">
        <v>8.0500000000000007</v>
      </c>
      <c r="F81" s="112">
        <v>7.05</v>
      </c>
      <c r="G81" s="112">
        <v>79.400000000000006</v>
      </c>
      <c r="H81" s="112">
        <v>25.17</v>
      </c>
      <c r="I81" s="112">
        <v>7.14</v>
      </c>
      <c r="J81" s="112">
        <v>0.52</v>
      </c>
      <c r="K81" s="112">
        <v>41.24</v>
      </c>
      <c r="L81" s="112">
        <v>25.28</v>
      </c>
      <c r="M81" s="112">
        <v>42.67</v>
      </c>
      <c r="N81" s="112">
        <v>0.7</v>
      </c>
      <c r="O81" s="112">
        <v>0</v>
      </c>
      <c r="P81" s="112">
        <v>0.66</v>
      </c>
      <c r="Q81" s="112">
        <v>4.9800000000000004</v>
      </c>
    </row>
    <row r="82" spans="1:17" customFormat="1">
      <c r="A82" s="80">
        <v>45611.770833333336</v>
      </c>
      <c r="B82" s="112">
        <v>5.27</v>
      </c>
      <c r="C82" s="112">
        <v>8.1</v>
      </c>
      <c r="D82" s="112">
        <v>14.02</v>
      </c>
      <c r="E82" s="112">
        <v>9.4499999999999993</v>
      </c>
      <c r="F82" s="112">
        <v>7.23</v>
      </c>
      <c r="G82" s="112">
        <v>97.09</v>
      </c>
      <c r="H82" s="112">
        <v>28.53</v>
      </c>
      <c r="I82" s="112">
        <v>7.31</v>
      </c>
      <c r="J82" s="112">
        <v>0.56999999999999995</v>
      </c>
      <c r="K82" s="112">
        <v>41.92</v>
      </c>
      <c r="L82" s="112">
        <v>25.25</v>
      </c>
      <c r="M82" s="112">
        <v>42.71</v>
      </c>
      <c r="N82" s="112">
        <v>1.2</v>
      </c>
      <c r="O82" s="112">
        <v>0</v>
      </c>
      <c r="P82" s="112">
        <v>0.68</v>
      </c>
      <c r="Q82" s="112">
        <v>4.9800000000000004</v>
      </c>
    </row>
    <row r="83" spans="1:17" customFormat="1">
      <c r="A83" s="80">
        <v>45611.78125</v>
      </c>
      <c r="B83" s="112">
        <v>5.27</v>
      </c>
      <c r="C83" s="112">
        <v>8.1</v>
      </c>
      <c r="D83" s="112">
        <v>14.03</v>
      </c>
      <c r="E83" s="112">
        <v>9.1999999999999993</v>
      </c>
      <c r="F83" s="112">
        <v>6.78</v>
      </c>
      <c r="G83" s="112">
        <v>97.09</v>
      </c>
      <c r="H83" s="112">
        <v>28.53</v>
      </c>
      <c r="I83" s="112">
        <v>7.53</v>
      </c>
      <c r="J83" s="112">
        <v>0.46</v>
      </c>
      <c r="K83" s="112">
        <v>50.98</v>
      </c>
      <c r="L83" s="112">
        <v>24.92</v>
      </c>
      <c r="M83" s="112">
        <v>44</v>
      </c>
      <c r="N83" s="112">
        <v>1.6</v>
      </c>
      <c r="O83" s="112">
        <v>0</v>
      </c>
      <c r="P83" s="112">
        <v>0.69</v>
      </c>
      <c r="Q83" s="112">
        <v>5</v>
      </c>
    </row>
    <row r="84" spans="1:17" customFormat="1">
      <c r="A84" s="80">
        <v>45611.791666666664</v>
      </c>
      <c r="B84" s="112">
        <v>5.27</v>
      </c>
      <c r="C84" s="112">
        <v>8.09</v>
      </c>
      <c r="D84" s="112">
        <v>14.02</v>
      </c>
      <c r="E84" s="112">
        <v>8.86</v>
      </c>
      <c r="F84" s="112">
        <v>6.77</v>
      </c>
      <c r="G84" s="112">
        <v>97.09</v>
      </c>
      <c r="H84" s="112">
        <v>28.53</v>
      </c>
      <c r="I84" s="112">
        <v>7.71</v>
      </c>
      <c r="J84" s="112">
        <v>0.47</v>
      </c>
      <c r="K84" s="112">
        <v>55.51</v>
      </c>
      <c r="L84" s="112">
        <v>24.56</v>
      </c>
      <c r="M84" s="112">
        <v>44.82</v>
      </c>
      <c r="N84" s="112">
        <v>1.7</v>
      </c>
      <c r="O84" s="112">
        <v>0</v>
      </c>
      <c r="P84" s="112">
        <v>0.7</v>
      </c>
      <c r="Q84" s="112">
        <v>4.99</v>
      </c>
    </row>
    <row r="85" spans="1:17" customFormat="1">
      <c r="A85" s="80">
        <v>45611.802083333336</v>
      </c>
      <c r="B85" s="112">
        <v>5.28</v>
      </c>
      <c r="C85" s="112">
        <v>8.07</v>
      </c>
      <c r="D85" s="112">
        <v>14.02</v>
      </c>
      <c r="E85" s="112">
        <v>8.7899999999999991</v>
      </c>
      <c r="F85" s="112">
        <v>6.45</v>
      </c>
      <c r="G85" s="112">
        <v>97.26</v>
      </c>
      <c r="H85" s="112">
        <v>28.75</v>
      </c>
      <c r="I85" s="112">
        <v>7.87</v>
      </c>
      <c r="J85" s="112">
        <v>0.2</v>
      </c>
      <c r="K85" s="112">
        <v>49.56</v>
      </c>
      <c r="L85" s="112">
        <v>24.2</v>
      </c>
      <c r="M85" s="112">
        <v>46.65</v>
      </c>
      <c r="N85" s="112">
        <v>1.6</v>
      </c>
      <c r="O85" s="112">
        <v>0</v>
      </c>
      <c r="P85" s="112">
        <v>0.7</v>
      </c>
      <c r="Q85" s="112">
        <v>5.01</v>
      </c>
    </row>
    <row r="86" spans="1:17" customFormat="1">
      <c r="A86" s="80">
        <v>45611.8125</v>
      </c>
      <c r="B86" s="112">
        <v>5.28</v>
      </c>
      <c r="C86" s="112">
        <v>8.06</v>
      </c>
      <c r="D86" s="112">
        <v>14.01</v>
      </c>
      <c r="E86" s="112">
        <v>8.67</v>
      </c>
      <c r="F86" s="112">
        <v>6.16</v>
      </c>
      <c r="G86" s="112">
        <v>104.89</v>
      </c>
      <c r="H86" s="112">
        <v>35.74</v>
      </c>
      <c r="I86" s="112">
        <v>8</v>
      </c>
      <c r="J86" s="112">
        <v>0.17</v>
      </c>
      <c r="K86" s="112">
        <v>103.66</v>
      </c>
      <c r="L86" s="112">
        <v>23.9</v>
      </c>
      <c r="M86" s="112">
        <v>50.12</v>
      </c>
      <c r="N86" s="112">
        <v>1.7</v>
      </c>
      <c r="O86" s="112">
        <v>0</v>
      </c>
      <c r="P86" s="112">
        <v>0.71</v>
      </c>
      <c r="Q86" s="112">
        <v>5</v>
      </c>
    </row>
    <row r="87" spans="1:17" customFormat="1">
      <c r="A87" s="80">
        <v>45611.822916666664</v>
      </c>
      <c r="B87" s="112">
        <v>5.27</v>
      </c>
      <c r="C87" s="112">
        <v>8.0500000000000007</v>
      </c>
      <c r="D87" s="112">
        <v>14</v>
      </c>
      <c r="E87" s="112">
        <v>8.6199999999999992</v>
      </c>
      <c r="F87" s="112">
        <v>6.2</v>
      </c>
      <c r="G87" s="112">
        <v>104.89</v>
      </c>
      <c r="H87" s="112">
        <v>35.74</v>
      </c>
      <c r="I87" s="112">
        <v>8.08</v>
      </c>
      <c r="J87" s="112">
        <v>0.12</v>
      </c>
      <c r="K87" s="112">
        <v>106.27</v>
      </c>
      <c r="L87" s="112">
        <v>23.44</v>
      </c>
      <c r="M87" s="112">
        <v>52.38</v>
      </c>
      <c r="N87" s="112">
        <v>1.6</v>
      </c>
      <c r="O87" s="112">
        <v>0</v>
      </c>
      <c r="P87" s="112">
        <v>0.72</v>
      </c>
      <c r="Q87" s="112">
        <v>4.9800000000000004</v>
      </c>
    </row>
    <row r="88" spans="1:17" customFormat="1">
      <c r="A88" s="80">
        <v>45611.833333333336</v>
      </c>
      <c r="B88" s="112">
        <v>5.27</v>
      </c>
      <c r="C88" s="112">
        <v>8.07</v>
      </c>
      <c r="D88" s="112">
        <v>14.01</v>
      </c>
      <c r="E88" s="112">
        <v>8.6300000000000008</v>
      </c>
      <c r="F88" s="112">
        <v>6.32</v>
      </c>
      <c r="G88" s="112">
        <v>104.89</v>
      </c>
      <c r="H88" s="112">
        <v>35.74</v>
      </c>
      <c r="I88" s="112">
        <v>8.16</v>
      </c>
      <c r="J88" s="112">
        <v>0.12</v>
      </c>
      <c r="K88" s="112">
        <v>153.38</v>
      </c>
      <c r="L88" s="112">
        <v>22.87</v>
      </c>
      <c r="M88" s="112">
        <v>53.32</v>
      </c>
      <c r="N88" s="112">
        <v>1.6</v>
      </c>
      <c r="O88" s="112">
        <v>0</v>
      </c>
      <c r="P88" s="112">
        <v>0.72</v>
      </c>
      <c r="Q88" s="112">
        <v>4.99</v>
      </c>
    </row>
    <row r="89" spans="1:17" customFormat="1">
      <c r="A89" s="80">
        <v>45611.84375</v>
      </c>
      <c r="B89" s="112">
        <v>5.26</v>
      </c>
      <c r="C89" s="112">
        <v>8.07</v>
      </c>
      <c r="D89" s="112">
        <v>14.01</v>
      </c>
      <c r="E89" s="112">
        <v>9.39</v>
      </c>
      <c r="F89" s="112">
        <v>6.19</v>
      </c>
      <c r="G89" s="112">
        <v>104.98</v>
      </c>
      <c r="H89" s="112">
        <v>35.700000000000003</v>
      </c>
      <c r="I89" s="112">
        <v>8.24</v>
      </c>
      <c r="J89" s="112">
        <v>0.12</v>
      </c>
      <c r="K89" s="112">
        <v>138.5</v>
      </c>
      <c r="L89" s="112">
        <v>22.67</v>
      </c>
      <c r="M89" s="112">
        <v>53.81</v>
      </c>
      <c r="N89" s="112">
        <v>1.5</v>
      </c>
      <c r="O89" s="112">
        <v>0</v>
      </c>
      <c r="P89" s="112">
        <v>0.72</v>
      </c>
      <c r="Q89" s="112">
        <v>4.9800000000000004</v>
      </c>
    </row>
    <row r="90" spans="1:17" customFormat="1">
      <c r="A90" s="80">
        <v>45611.854166666664</v>
      </c>
      <c r="B90" s="112">
        <v>5.25</v>
      </c>
      <c r="C90" s="112">
        <v>8.09</v>
      </c>
      <c r="D90" s="112">
        <v>14.01</v>
      </c>
      <c r="E90" s="112">
        <v>9.14</v>
      </c>
      <c r="F90" s="112">
        <v>5.84</v>
      </c>
      <c r="G90" s="112">
        <v>108.92</v>
      </c>
      <c r="H90" s="112">
        <v>33.35</v>
      </c>
      <c r="I90" s="112">
        <v>8.35</v>
      </c>
      <c r="J90" s="112">
        <v>0.09</v>
      </c>
      <c r="K90" s="112">
        <v>224.26</v>
      </c>
      <c r="L90" s="112">
        <v>22.27</v>
      </c>
      <c r="M90" s="112">
        <v>56.02</v>
      </c>
      <c r="N90" s="112">
        <v>1.6</v>
      </c>
      <c r="O90" s="112">
        <v>0</v>
      </c>
      <c r="P90" s="112">
        <v>0.72</v>
      </c>
      <c r="Q90" s="112">
        <v>4.99</v>
      </c>
    </row>
    <row r="91" spans="1:17" customFormat="1">
      <c r="A91" s="80">
        <v>45611.864583333336</v>
      </c>
      <c r="B91" s="112">
        <v>5.26</v>
      </c>
      <c r="C91" s="112">
        <v>8.08</v>
      </c>
      <c r="D91" s="112">
        <v>14.01</v>
      </c>
      <c r="E91" s="112">
        <v>9.43</v>
      </c>
      <c r="F91" s="112">
        <v>5.73</v>
      </c>
      <c r="G91" s="112">
        <v>108.92</v>
      </c>
      <c r="H91" s="112">
        <v>33.35</v>
      </c>
      <c r="I91" s="112">
        <v>8.41</v>
      </c>
      <c r="J91" s="112">
        <v>0.17</v>
      </c>
      <c r="K91" s="112">
        <v>190.73</v>
      </c>
      <c r="L91" s="112">
        <v>21.58</v>
      </c>
      <c r="M91" s="112">
        <v>59.81</v>
      </c>
      <c r="N91" s="112">
        <v>1.7</v>
      </c>
      <c r="O91" s="112">
        <v>0</v>
      </c>
      <c r="P91" s="112">
        <v>0.72</v>
      </c>
      <c r="Q91" s="112">
        <v>4.97</v>
      </c>
    </row>
    <row r="92" spans="1:17" customFormat="1">
      <c r="A92" s="80">
        <v>45611.875</v>
      </c>
      <c r="B92" s="112">
        <v>5.28</v>
      </c>
      <c r="C92" s="112">
        <v>8.08</v>
      </c>
      <c r="D92" s="112">
        <v>14.02</v>
      </c>
      <c r="E92" s="112">
        <v>9.07</v>
      </c>
      <c r="F92" s="112">
        <v>6.11</v>
      </c>
      <c r="G92" s="112">
        <v>108.92</v>
      </c>
      <c r="H92" s="112">
        <v>33.35</v>
      </c>
      <c r="I92" s="112">
        <v>8.4499999999999993</v>
      </c>
      <c r="J92" s="112">
        <v>0.12</v>
      </c>
      <c r="K92" s="112">
        <v>129.01</v>
      </c>
      <c r="L92" s="112">
        <v>21.95</v>
      </c>
      <c r="M92" s="112">
        <v>54.98</v>
      </c>
      <c r="N92" s="112">
        <v>1</v>
      </c>
      <c r="O92" s="112">
        <v>0</v>
      </c>
      <c r="P92" s="112">
        <v>0.74</v>
      </c>
      <c r="Q92" s="112">
        <v>4.9800000000000004</v>
      </c>
    </row>
    <row r="93" spans="1:17" customFormat="1">
      <c r="A93" s="80">
        <v>45611.885416666664</v>
      </c>
      <c r="B93" s="112">
        <v>5.28</v>
      </c>
      <c r="C93" s="112">
        <v>8.09</v>
      </c>
      <c r="D93" s="112">
        <v>14.03</v>
      </c>
      <c r="E93" s="112">
        <v>8.74</v>
      </c>
      <c r="F93" s="112">
        <v>6.1</v>
      </c>
      <c r="G93" s="112">
        <v>108.9</v>
      </c>
      <c r="H93" s="112">
        <v>33.31</v>
      </c>
      <c r="I93" s="112">
        <v>8.5399999999999991</v>
      </c>
      <c r="J93" s="112">
        <v>0.2</v>
      </c>
      <c r="K93" s="112">
        <v>122.47</v>
      </c>
      <c r="L93" s="112">
        <v>22.63</v>
      </c>
      <c r="M93" s="112">
        <v>49.54</v>
      </c>
      <c r="N93" s="112">
        <v>0.7</v>
      </c>
      <c r="O93" s="112">
        <v>0</v>
      </c>
      <c r="P93" s="112">
        <v>0.74</v>
      </c>
      <c r="Q93" s="112">
        <v>4.99</v>
      </c>
    </row>
    <row r="94" spans="1:17" customFormat="1">
      <c r="A94" s="80">
        <v>45611.895833333336</v>
      </c>
      <c r="B94" s="112">
        <v>5.29</v>
      </c>
      <c r="C94" s="112">
        <v>8.11</v>
      </c>
      <c r="D94" s="112">
        <v>14.05</v>
      </c>
      <c r="E94" s="112">
        <v>9.3000000000000007</v>
      </c>
      <c r="F94" s="112">
        <v>6.07</v>
      </c>
      <c r="G94" s="112">
        <v>108.22</v>
      </c>
      <c r="H94" s="112">
        <v>30.78</v>
      </c>
      <c r="I94" s="112">
        <v>8.61</v>
      </c>
      <c r="J94" s="112">
        <v>0.18</v>
      </c>
      <c r="K94" s="112">
        <v>48.14</v>
      </c>
      <c r="L94" s="112">
        <v>22.79</v>
      </c>
      <c r="M94" s="112">
        <v>49.2</v>
      </c>
      <c r="N94" s="112">
        <v>1.1000000000000001</v>
      </c>
      <c r="O94" s="112">
        <v>0</v>
      </c>
      <c r="P94" s="112">
        <v>0.74</v>
      </c>
      <c r="Q94" s="112">
        <v>4.99</v>
      </c>
    </row>
    <row r="95" spans="1:17" customFormat="1">
      <c r="A95" s="80">
        <v>45611.90625</v>
      </c>
      <c r="B95" s="112">
        <v>5.29</v>
      </c>
      <c r="C95" s="112">
        <v>8.09</v>
      </c>
      <c r="D95" s="112">
        <v>14.03</v>
      </c>
      <c r="E95" s="112">
        <v>8.89</v>
      </c>
      <c r="F95" s="112">
        <v>5.83</v>
      </c>
      <c r="G95" s="112">
        <v>108.22</v>
      </c>
      <c r="H95" s="112">
        <v>30.78</v>
      </c>
      <c r="I95" s="112">
        <v>8.7200000000000006</v>
      </c>
      <c r="J95" s="112">
        <v>0.21</v>
      </c>
      <c r="K95" s="112">
        <v>54.69</v>
      </c>
      <c r="L95" s="112">
        <v>22.34</v>
      </c>
      <c r="M95" s="112">
        <v>52.77</v>
      </c>
      <c r="N95" s="112">
        <v>1.6</v>
      </c>
      <c r="O95" s="112">
        <v>0</v>
      </c>
      <c r="P95" s="112">
        <v>0.75</v>
      </c>
      <c r="Q95" s="112">
        <v>4.99</v>
      </c>
    </row>
    <row r="96" spans="1:17" customFormat="1">
      <c r="A96" s="80">
        <v>45611.916666666664</v>
      </c>
      <c r="B96" s="112">
        <v>5.28</v>
      </c>
      <c r="C96" s="112">
        <v>8.11</v>
      </c>
      <c r="D96" s="112">
        <v>14.04</v>
      </c>
      <c r="E96" s="112">
        <v>8.99</v>
      </c>
      <c r="F96" s="112">
        <v>5.8</v>
      </c>
      <c r="G96" s="112">
        <v>108.22</v>
      </c>
      <c r="H96" s="112">
        <v>30.78</v>
      </c>
      <c r="I96" s="112">
        <v>8.91</v>
      </c>
      <c r="J96" s="112">
        <v>0.06</v>
      </c>
      <c r="K96" s="112">
        <v>109.86</v>
      </c>
      <c r="L96" s="112">
        <v>21.64</v>
      </c>
      <c r="M96" s="112">
        <v>57.02</v>
      </c>
      <c r="N96" s="112">
        <v>1.7</v>
      </c>
      <c r="O96" s="112">
        <v>0</v>
      </c>
      <c r="P96" s="112">
        <v>0.76</v>
      </c>
      <c r="Q96" s="112">
        <v>4.99</v>
      </c>
    </row>
    <row r="97" spans="1:22" customFormat="1">
      <c r="A97" s="80">
        <v>45611.927083333336</v>
      </c>
      <c r="B97" s="112">
        <v>5.29</v>
      </c>
      <c r="C97" s="112">
        <v>8.08</v>
      </c>
      <c r="D97" s="112">
        <v>14.03</v>
      </c>
      <c r="E97" s="112">
        <v>8.51</v>
      </c>
      <c r="F97" s="112">
        <v>5.67</v>
      </c>
      <c r="G97" s="112">
        <v>108.19</v>
      </c>
      <c r="H97" s="112">
        <v>30.91</v>
      </c>
      <c r="I97" s="112">
        <v>9.09</v>
      </c>
      <c r="J97" s="112">
        <v>0.1</v>
      </c>
      <c r="K97" s="112">
        <v>189.92</v>
      </c>
      <c r="L97" s="112">
        <v>21.15</v>
      </c>
      <c r="M97" s="112">
        <v>60.39</v>
      </c>
      <c r="N97" s="112">
        <v>1.8</v>
      </c>
      <c r="O97" s="112">
        <v>0</v>
      </c>
      <c r="P97" s="112">
        <v>0.76</v>
      </c>
      <c r="Q97" s="112">
        <v>4.9800000000000004</v>
      </c>
    </row>
    <row r="98" spans="1:22" customFormat="1">
      <c r="A98" s="80">
        <v>45611.9375</v>
      </c>
      <c r="B98" s="112">
        <v>5.29</v>
      </c>
      <c r="C98" s="112">
        <v>8.08</v>
      </c>
      <c r="D98" s="112">
        <v>14.03</v>
      </c>
      <c r="E98" s="112">
        <v>8.77</v>
      </c>
      <c r="F98" s="112">
        <v>5.58</v>
      </c>
      <c r="G98" s="112">
        <v>106.8</v>
      </c>
      <c r="H98" s="112">
        <v>34.840000000000003</v>
      </c>
      <c r="I98" s="112">
        <v>9.2200000000000006</v>
      </c>
      <c r="J98" s="112">
        <v>0.08</v>
      </c>
      <c r="K98" s="112">
        <v>218.31</v>
      </c>
      <c r="L98" s="112">
        <v>20.51</v>
      </c>
      <c r="M98" s="112">
        <v>64.59</v>
      </c>
      <c r="N98" s="112">
        <v>1.7</v>
      </c>
      <c r="O98" s="112">
        <v>0</v>
      </c>
      <c r="P98" s="112">
        <v>0.76</v>
      </c>
      <c r="Q98" s="112">
        <v>5</v>
      </c>
    </row>
    <row r="99" spans="1:22" customFormat="1">
      <c r="A99" s="80">
        <v>45611.947916666664</v>
      </c>
      <c r="B99" s="112">
        <v>5.29</v>
      </c>
      <c r="C99" s="112">
        <v>8.07</v>
      </c>
      <c r="D99" s="112">
        <v>14.02</v>
      </c>
      <c r="E99" s="112">
        <v>8.93</v>
      </c>
      <c r="F99" s="112">
        <v>5.61</v>
      </c>
      <c r="G99" s="112">
        <v>106.8</v>
      </c>
      <c r="H99" s="112">
        <v>34.840000000000003</v>
      </c>
      <c r="I99" s="112">
        <v>9.31</v>
      </c>
      <c r="J99" s="112">
        <v>0.16</v>
      </c>
      <c r="K99" s="112">
        <v>189.45</v>
      </c>
      <c r="L99" s="112">
        <v>20.34</v>
      </c>
      <c r="M99" s="112">
        <v>65.680000000000007</v>
      </c>
      <c r="N99" s="112">
        <v>1.6</v>
      </c>
      <c r="O99" s="112">
        <v>0</v>
      </c>
      <c r="P99" s="112">
        <v>0.78</v>
      </c>
      <c r="Q99" s="112">
        <v>4.99</v>
      </c>
    </row>
    <row r="100" spans="1:22" customFormat="1">
      <c r="A100" s="80">
        <v>45611.958333333336</v>
      </c>
      <c r="B100" s="112">
        <v>5.29</v>
      </c>
      <c r="C100" s="112">
        <v>8.07</v>
      </c>
      <c r="D100" s="112">
        <v>14.03</v>
      </c>
      <c r="E100" s="112">
        <v>9.1199999999999992</v>
      </c>
      <c r="F100" s="112">
        <v>5.63</v>
      </c>
      <c r="G100" s="112">
        <v>106.8</v>
      </c>
      <c r="H100" s="112">
        <v>34.840000000000003</v>
      </c>
      <c r="I100" s="112">
        <v>9.39</v>
      </c>
      <c r="J100" s="112">
        <v>0.16</v>
      </c>
      <c r="K100" s="112">
        <v>180.8</v>
      </c>
      <c r="L100" s="112">
        <v>19.95</v>
      </c>
      <c r="M100" s="112">
        <v>72.239999999999995</v>
      </c>
      <c r="N100" s="112">
        <v>1.6</v>
      </c>
      <c r="O100" s="112">
        <v>0</v>
      </c>
      <c r="P100" s="112">
        <v>0.78</v>
      </c>
      <c r="Q100" s="112">
        <v>4.99</v>
      </c>
    </row>
    <row r="101" spans="1:22" customFormat="1">
      <c r="A101" s="80">
        <v>45611.96875</v>
      </c>
      <c r="B101" s="112">
        <v>5.3</v>
      </c>
      <c r="C101" s="112">
        <v>8.0500000000000007</v>
      </c>
      <c r="D101" s="112">
        <v>14.02</v>
      </c>
      <c r="E101" s="112">
        <v>9.02</v>
      </c>
      <c r="F101" s="112">
        <v>5.69</v>
      </c>
      <c r="G101" s="112">
        <v>106.73</v>
      </c>
      <c r="H101" s="112">
        <v>34.89</v>
      </c>
      <c r="I101" s="112">
        <v>9.58</v>
      </c>
      <c r="J101" s="112">
        <v>0.19</v>
      </c>
      <c r="K101" s="112">
        <v>190.33</v>
      </c>
      <c r="L101" s="112">
        <v>19.760000000000002</v>
      </c>
      <c r="M101" s="112">
        <v>74.09</v>
      </c>
      <c r="N101" s="112">
        <v>1.4</v>
      </c>
      <c r="O101" s="112">
        <v>0</v>
      </c>
      <c r="P101" s="112">
        <v>0.79</v>
      </c>
      <c r="Q101" s="112">
        <v>4.99</v>
      </c>
    </row>
    <row r="102" spans="1:22" customFormat="1">
      <c r="A102" s="80">
        <v>45611.979166666664</v>
      </c>
      <c r="B102" s="112">
        <v>5.28</v>
      </c>
      <c r="C102" s="112">
        <v>8.08</v>
      </c>
      <c r="D102" s="112">
        <v>14.02</v>
      </c>
      <c r="E102" s="112">
        <v>8.77</v>
      </c>
      <c r="F102" s="112">
        <v>5.82</v>
      </c>
      <c r="G102" s="112">
        <v>103.31</v>
      </c>
      <c r="H102" s="112">
        <v>36.53</v>
      </c>
      <c r="I102" s="112">
        <v>9.81</v>
      </c>
      <c r="J102" s="112">
        <v>0.2</v>
      </c>
      <c r="K102" s="112">
        <v>224.66</v>
      </c>
      <c r="L102" s="112">
        <v>19.29</v>
      </c>
      <c r="M102" s="112">
        <v>75.11</v>
      </c>
      <c r="N102" s="112">
        <v>1.7</v>
      </c>
      <c r="O102" s="112">
        <v>0</v>
      </c>
      <c r="P102" s="112">
        <v>0.78</v>
      </c>
      <c r="Q102" s="112">
        <v>4.9800000000000004</v>
      </c>
    </row>
    <row r="103" spans="1:22" customFormat="1">
      <c r="A103" s="80">
        <v>45611.989583333336</v>
      </c>
      <c r="B103" s="112">
        <v>5.29</v>
      </c>
      <c r="C103" s="112">
        <v>8.07</v>
      </c>
      <c r="D103" s="112">
        <v>14.03</v>
      </c>
      <c r="E103" s="112">
        <v>9.25</v>
      </c>
      <c r="F103" s="112">
        <v>5.58</v>
      </c>
      <c r="G103" s="112">
        <v>103.31</v>
      </c>
      <c r="H103" s="112">
        <v>36.53</v>
      </c>
      <c r="I103" s="112">
        <v>9.93</v>
      </c>
      <c r="J103" s="112">
        <v>0.17</v>
      </c>
      <c r="K103" s="112">
        <v>211</v>
      </c>
      <c r="L103" s="112">
        <v>19.14</v>
      </c>
      <c r="M103" s="112">
        <v>71.33</v>
      </c>
      <c r="N103" s="112">
        <v>1.4</v>
      </c>
      <c r="O103" s="112">
        <v>0</v>
      </c>
      <c r="P103" s="112">
        <v>0.77</v>
      </c>
      <c r="Q103" s="112">
        <v>4.9800000000000004</v>
      </c>
    </row>
    <row r="104" spans="1:22" customFormat="1">
      <c r="A104" s="80">
        <v>45612</v>
      </c>
      <c r="B104" s="112">
        <v>5.3</v>
      </c>
      <c r="C104" s="112">
        <v>8.07</v>
      </c>
      <c r="D104" s="112">
        <v>14.03</v>
      </c>
      <c r="E104" s="112">
        <v>8.86</v>
      </c>
      <c r="F104" s="112">
        <v>5.68</v>
      </c>
      <c r="G104" s="112">
        <v>103.31</v>
      </c>
      <c r="H104" s="112">
        <v>36.53</v>
      </c>
      <c r="I104" s="112">
        <v>9.9700000000000006</v>
      </c>
      <c r="J104" s="112">
        <v>0.16</v>
      </c>
      <c r="K104" s="112">
        <v>224.55</v>
      </c>
      <c r="L104" s="112">
        <v>18.98</v>
      </c>
      <c r="M104" s="112">
        <v>72.959999999999994</v>
      </c>
      <c r="N104" s="112">
        <v>1.4</v>
      </c>
      <c r="O104" s="112">
        <v>0</v>
      </c>
      <c r="P104" s="112">
        <v>0.76</v>
      </c>
      <c r="Q104" s="112">
        <v>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5.25</v>
      </c>
      <c r="C106" s="183">
        <f>MIN(C9:C104)</f>
        <v>7.99</v>
      </c>
      <c r="D106" s="183">
        <f t="shared" ref="D106:Q106" si="0">MIN(D9:D104)</f>
        <v>14</v>
      </c>
      <c r="E106" s="183">
        <f t="shared" si="0"/>
        <v>8.0500000000000007</v>
      </c>
      <c r="F106" s="183">
        <f t="shared" si="0"/>
        <v>5.37</v>
      </c>
      <c r="G106" s="183">
        <f t="shared" si="0"/>
        <v>65.36</v>
      </c>
      <c r="H106" s="183">
        <f t="shared" si="0"/>
        <v>20.28</v>
      </c>
      <c r="I106" s="183">
        <f t="shared" si="0"/>
        <v>6.83</v>
      </c>
      <c r="J106" s="183">
        <f t="shared" si="0"/>
        <v>0.06</v>
      </c>
      <c r="K106" s="183">
        <f t="shared" si="0"/>
        <v>4.1399999999999997</v>
      </c>
      <c r="L106" s="183">
        <f t="shared" si="0"/>
        <v>18.25</v>
      </c>
      <c r="M106" s="183">
        <f t="shared" si="0"/>
        <v>29.36</v>
      </c>
      <c r="N106" s="183">
        <f t="shared" si="0"/>
        <v>0.7</v>
      </c>
      <c r="O106" s="183">
        <f t="shared" si="0"/>
        <v>0</v>
      </c>
      <c r="P106" s="183">
        <f t="shared" si="0"/>
        <v>0.54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5.33</v>
      </c>
      <c r="C107" s="184">
        <f t="shared" ref="C107:Q107" si="1">MAX(C9:C104)</f>
        <v>8.11</v>
      </c>
      <c r="D107" s="184">
        <f t="shared" si="1"/>
        <v>14.06</v>
      </c>
      <c r="E107" s="184">
        <f t="shared" si="1"/>
        <v>43.07</v>
      </c>
      <c r="F107" s="184">
        <f t="shared" si="1"/>
        <v>17.46</v>
      </c>
      <c r="G107" s="184">
        <f t="shared" si="1"/>
        <v>108.92</v>
      </c>
      <c r="H107" s="184">
        <f t="shared" si="1"/>
        <v>36.53</v>
      </c>
      <c r="I107" s="184">
        <f t="shared" si="1"/>
        <v>10.119999999999999</v>
      </c>
      <c r="J107" s="184">
        <f t="shared" si="1"/>
        <v>0.75</v>
      </c>
      <c r="K107" s="184">
        <f t="shared" si="1"/>
        <v>228.23</v>
      </c>
      <c r="L107" s="184">
        <f t="shared" si="1"/>
        <v>30.33</v>
      </c>
      <c r="M107" s="184">
        <f t="shared" si="1"/>
        <v>90.53</v>
      </c>
      <c r="N107" s="184">
        <f t="shared" si="1"/>
        <v>578.5</v>
      </c>
      <c r="O107" s="184">
        <f t="shared" si="1"/>
        <v>0</v>
      </c>
      <c r="P107" s="184">
        <f t="shared" si="1"/>
        <v>0.79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5.2811458333333299</v>
      </c>
      <c r="C108" s="183">
        <f t="shared" ref="C108:Q108" si="2">AVERAGE(C9:C104)</f>
        <v>8.0772916666666745</v>
      </c>
      <c r="D108" s="183">
        <f t="shared" si="2"/>
        <v>14.022812499999988</v>
      </c>
      <c r="E108" s="183">
        <f t="shared" si="2"/>
        <v>11.726041666666665</v>
      </c>
      <c r="F108" s="183">
        <f t="shared" si="2"/>
        <v>7.3656250000000023</v>
      </c>
      <c r="G108" s="183">
        <f t="shared" si="2"/>
        <v>82.841250000000016</v>
      </c>
      <c r="H108" s="183">
        <f t="shared" si="2"/>
        <v>26.555520833333336</v>
      </c>
      <c r="I108" s="183">
        <f t="shared" si="2"/>
        <v>8.7198958333333341</v>
      </c>
      <c r="J108" s="183">
        <f t="shared" si="2"/>
        <v>0.31708333333333344</v>
      </c>
      <c r="K108" s="183">
        <f t="shared" si="2"/>
        <v>90.125937499999978</v>
      </c>
      <c r="L108" s="183">
        <f t="shared" si="2"/>
        <v>23.561458333333334</v>
      </c>
      <c r="M108" s="183">
        <f t="shared" si="2"/>
        <v>57.64145833333334</v>
      </c>
      <c r="N108" s="183">
        <f t="shared" si="2"/>
        <v>120.12916666666679</v>
      </c>
      <c r="O108" s="183">
        <f t="shared" si="2"/>
        <v>0</v>
      </c>
      <c r="P108" s="183">
        <f t="shared" si="2"/>
        <v>0.66770833333333346</v>
      </c>
      <c r="Q108" s="183">
        <f t="shared" si="2"/>
        <v>4.9855208333333394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1.9132215414495741E-2</v>
      </c>
      <c r="C109" s="183">
        <f t="shared" ref="C109:Q109" si="3">STDEV(C9:C104)</f>
        <v>1.9220557342631749E-2</v>
      </c>
      <c r="D109" s="183">
        <f t="shared" si="3"/>
        <v>1.4487971417333587E-2</v>
      </c>
      <c r="E109" s="183">
        <f t="shared" si="3"/>
        <v>5.2744986250461734</v>
      </c>
      <c r="F109" s="183">
        <f t="shared" si="3"/>
        <v>2.9425491320854467</v>
      </c>
      <c r="G109" s="183">
        <f t="shared" si="3"/>
        <v>13.595365793263035</v>
      </c>
      <c r="H109" s="183">
        <f t="shared" si="3"/>
        <v>4.3488684238526183</v>
      </c>
      <c r="I109" s="183">
        <f t="shared" si="3"/>
        <v>0.95328958961410803</v>
      </c>
      <c r="J109" s="183">
        <f t="shared" si="3"/>
        <v>0.1849490209513886</v>
      </c>
      <c r="K109" s="183">
        <f t="shared" si="3"/>
        <v>68.134099130868393</v>
      </c>
      <c r="L109" s="183">
        <f t="shared" si="3"/>
        <v>4.2462684495464877</v>
      </c>
      <c r="M109" s="183">
        <f t="shared" si="3"/>
        <v>20.604577569031683</v>
      </c>
      <c r="N109" s="183">
        <f t="shared" si="3"/>
        <v>193.0764642184221</v>
      </c>
      <c r="O109" s="183">
        <f t="shared" si="3"/>
        <v>0</v>
      </c>
      <c r="P109" s="183">
        <f t="shared" si="3"/>
        <v>5.993819916629272E-2</v>
      </c>
      <c r="Q109" s="183">
        <f t="shared" si="3"/>
        <v>9.1616812599419478E-3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45612.010416666664</v>
      </c>
      <c r="B9" s="112">
        <v>5.23</v>
      </c>
      <c r="C9" s="112">
        <v>8.17</v>
      </c>
      <c r="D9" s="112">
        <v>14.03</v>
      </c>
      <c r="E9" s="112">
        <v>8.59</v>
      </c>
      <c r="F9" s="112">
        <v>5.81</v>
      </c>
      <c r="G9" s="112">
        <v>103.17</v>
      </c>
      <c r="H9" s="112">
        <v>36.51</v>
      </c>
      <c r="I9" s="112">
        <v>9.93</v>
      </c>
      <c r="J9" s="112">
        <v>0.18</v>
      </c>
      <c r="K9" s="112">
        <v>222.2</v>
      </c>
      <c r="L9" s="112">
        <v>18.760000000000002</v>
      </c>
      <c r="M9" s="112">
        <v>73.58</v>
      </c>
      <c r="N9" s="112">
        <v>1.5</v>
      </c>
      <c r="O9" s="112">
        <v>0</v>
      </c>
      <c r="P9" s="112">
        <v>0.76</v>
      </c>
      <c r="Q9" s="112">
        <v>4.99</v>
      </c>
    </row>
    <row r="10" spans="1:21" customFormat="1">
      <c r="A10" s="80">
        <v>45612.020833333336</v>
      </c>
      <c r="B10" s="112">
        <v>5.28</v>
      </c>
      <c r="C10" s="112">
        <v>8.08</v>
      </c>
      <c r="D10" s="112">
        <v>14.02</v>
      </c>
      <c r="E10" s="112">
        <v>8.82</v>
      </c>
      <c r="F10" s="112">
        <v>5.72</v>
      </c>
      <c r="G10" s="112">
        <v>97.16</v>
      </c>
      <c r="H10" s="112">
        <v>34.799999999999997</v>
      </c>
      <c r="I10" s="112">
        <v>9.85</v>
      </c>
      <c r="J10" s="112">
        <v>0.13</v>
      </c>
      <c r="K10" s="112">
        <v>219.51</v>
      </c>
      <c r="L10" s="112">
        <v>18.600000000000001</v>
      </c>
      <c r="M10" s="112">
        <v>77.930000000000007</v>
      </c>
      <c r="N10" s="112">
        <v>1.4</v>
      </c>
      <c r="O10" s="112">
        <v>0</v>
      </c>
      <c r="P10" s="112">
        <v>0.75</v>
      </c>
      <c r="Q10" s="112">
        <v>5</v>
      </c>
    </row>
    <row r="11" spans="1:21" customFormat="1">
      <c r="A11" s="80">
        <v>45612.03125</v>
      </c>
      <c r="B11" s="112">
        <v>5.28</v>
      </c>
      <c r="C11" s="112">
        <v>8.07</v>
      </c>
      <c r="D11" s="112">
        <v>14.02</v>
      </c>
      <c r="E11" s="112">
        <v>8.2799999999999994</v>
      </c>
      <c r="F11" s="112">
        <v>5.86</v>
      </c>
      <c r="G11" s="112">
        <v>97.16</v>
      </c>
      <c r="H11" s="112">
        <v>34.799999999999997</v>
      </c>
      <c r="I11" s="112">
        <v>9.76</v>
      </c>
      <c r="J11" s="112">
        <v>0.13</v>
      </c>
      <c r="K11" s="112">
        <v>226.9</v>
      </c>
      <c r="L11" s="112">
        <v>18.54</v>
      </c>
      <c r="M11" s="112">
        <v>75.05</v>
      </c>
      <c r="N11" s="112">
        <v>1.3</v>
      </c>
      <c r="O11" s="112">
        <v>0</v>
      </c>
      <c r="P11" s="112">
        <v>0.77</v>
      </c>
      <c r="Q11" s="112">
        <v>4.99</v>
      </c>
    </row>
    <row r="12" spans="1:21" customFormat="1">
      <c r="A12" s="80">
        <v>45612.041666666664</v>
      </c>
      <c r="B12" s="112">
        <v>5.3</v>
      </c>
      <c r="C12" s="112">
        <v>8.08</v>
      </c>
      <c r="D12" s="112">
        <v>14.04</v>
      </c>
      <c r="E12" s="112">
        <v>8.23</v>
      </c>
      <c r="F12" s="112">
        <v>5.94</v>
      </c>
      <c r="G12" s="112">
        <v>97.16</v>
      </c>
      <c r="H12" s="112">
        <v>34.799999999999997</v>
      </c>
      <c r="I12" s="112">
        <v>9.65</v>
      </c>
      <c r="J12" s="112">
        <v>0.16</v>
      </c>
      <c r="K12" s="112">
        <v>199.87</v>
      </c>
      <c r="L12" s="112">
        <v>18.61</v>
      </c>
      <c r="M12" s="112">
        <v>75.709999999999994</v>
      </c>
      <c r="N12" s="112">
        <v>1.1000000000000001</v>
      </c>
      <c r="O12" s="112">
        <v>0</v>
      </c>
      <c r="P12" s="112">
        <v>0.77</v>
      </c>
      <c r="Q12" s="112">
        <v>5.01</v>
      </c>
    </row>
    <row r="13" spans="1:21" customFormat="1">
      <c r="A13" s="80">
        <v>45612.052083333336</v>
      </c>
      <c r="B13" s="112">
        <v>5.31</v>
      </c>
      <c r="C13" s="112">
        <v>8.07</v>
      </c>
      <c r="D13" s="112">
        <v>14.04</v>
      </c>
      <c r="E13" s="112">
        <v>8.18</v>
      </c>
      <c r="F13" s="112">
        <v>5.85</v>
      </c>
      <c r="G13" s="112">
        <v>97.06</v>
      </c>
      <c r="H13" s="112">
        <v>34.75</v>
      </c>
      <c r="I13" s="112">
        <v>9.5299999999999994</v>
      </c>
      <c r="J13" s="112">
        <v>7.0000000000000007E-2</v>
      </c>
      <c r="K13" s="112">
        <v>137.78</v>
      </c>
      <c r="L13" s="112">
        <v>18.59</v>
      </c>
      <c r="M13" s="112">
        <v>77.510000000000005</v>
      </c>
      <c r="N13" s="112">
        <v>1.2</v>
      </c>
      <c r="O13" s="112">
        <v>0</v>
      </c>
      <c r="P13" s="112">
        <v>0.76</v>
      </c>
      <c r="Q13" s="112">
        <v>5</v>
      </c>
    </row>
    <row r="14" spans="1:21" customFormat="1">
      <c r="A14" s="80">
        <v>45612.0625</v>
      </c>
      <c r="B14" s="112">
        <v>5.28</v>
      </c>
      <c r="C14" s="112">
        <v>8.11</v>
      </c>
      <c r="D14" s="112">
        <v>14.04</v>
      </c>
      <c r="E14" s="112">
        <v>7.93</v>
      </c>
      <c r="F14" s="112">
        <v>5.51</v>
      </c>
      <c r="G14" s="112">
        <v>92.47</v>
      </c>
      <c r="H14" s="112">
        <v>31.42</v>
      </c>
      <c r="I14" s="112">
        <v>9.48</v>
      </c>
      <c r="J14" s="112">
        <v>0.15</v>
      </c>
      <c r="K14" s="112">
        <v>293.74</v>
      </c>
      <c r="L14" s="112">
        <v>18.510000000000002</v>
      </c>
      <c r="M14" s="112">
        <v>75.900000000000006</v>
      </c>
      <c r="N14" s="112">
        <v>1.1000000000000001</v>
      </c>
      <c r="O14" s="112">
        <v>0</v>
      </c>
      <c r="P14" s="112">
        <v>0.75</v>
      </c>
      <c r="Q14" s="112">
        <v>5</v>
      </c>
    </row>
    <row r="15" spans="1:21" customFormat="1">
      <c r="A15" s="80">
        <v>45612.072916666664</v>
      </c>
      <c r="B15" s="112">
        <v>5.27</v>
      </c>
      <c r="C15" s="112">
        <v>8.08</v>
      </c>
      <c r="D15" s="112">
        <v>14.02</v>
      </c>
      <c r="E15" s="112">
        <v>7.83</v>
      </c>
      <c r="F15" s="112">
        <v>5.43</v>
      </c>
      <c r="G15" s="112">
        <v>92.47</v>
      </c>
      <c r="H15" s="112">
        <v>31.42</v>
      </c>
      <c r="I15" s="112">
        <v>9.4600000000000009</v>
      </c>
      <c r="J15" s="112">
        <v>0.13</v>
      </c>
      <c r="K15" s="112">
        <v>321.69</v>
      </c>
      <c r="L15" s="112">
        <v>18.53</v>
      </c>
      <c r="M15" s="112">
        <v>72.97</v>
      </c>
      <c r="N15" s="112">
        <v>1.1000000000000001</v>
      </c>
      <c r="O15" s="112">
        <v>0</v>
      </c>
      <c r="P15" s="112">
        <v>0.76</v>
      </c>
      <c r="Q15" s="112">
        <v>4.99</v>
      </c>
    </row>
    <row r="16" spans="1:21" customFormat="1">
      <c r="A16" s="80">
        <v>45612.083333333336</v>
      </c>
      <c r="B16" s="112">
        <v>5.26</v>
      </c>
      <c r="C16" s="112">
        <v>8.09</v>
      </c>
      <c r="D16" s="112">
        <v>14.01</v>
      </c>
      <c r="E16" s="112">
        <v>8.3800000000000008</v>
      </c>
      <c r="F16" s="112">
        <v>5.54</v>
      </c>
      <c r="G16" s="112">
        <v>92.47</v>
      </c>
      <c r="H16" s="112">
        <v>31.42</v>
      </c>
      <c r="I16" s="112">
        <v>9.43</v>
      </c>
      <c r="J16" s="112">
        <v>0.08</v>
      </c>
      <c r="K16" s="112">
        <v>88.41</v>
      </c>
      <c r="L16" s="112">
        <v>18.850000000000001</v>
      </c>
      <c r="M16" s="112">
        <v>69.88</v>
      </c>
      <c r="N16" s="112">
        <v>1</v>
      </c>
      <c r="O16" s="112">
        <v>0</v>
      </c>
      <c r="P16" s="112">
        <v>0.75</v>
      </c>
      <c r="Q16" s="112">
        <v>4.99</v>
      </c>
    </row>
    <row r="17" spans="1:17" customFormat="1">
      <c r="A17" s="80">
        <v>45612.09375</v>
      </c>
      <c r="B17" s="112">
        <v>5.27</v>
      </c>
      <c r="C17" s="112">
        <v>8.07</v>
      </c>
      <c r="D17" s="112">
        <v>14.01</v>
      </c>
      <c r="E17" s="112">
        <v>8.6300000000000008</v>
      </c>
      <c r="F17" s="112">
        <v>5.56</v>
      </c>
      <c r="G17" s="112">
        <v>92.4</v>
      </c>
      <c r="H17" s="112">
        <v>31.45</v>
      </c>
      <c r="I17" s="112">
        <v>9.48</v>
      </c>
      <c r="J17" s="112">
        <v>0.05</v>
      </c>
      <c r="K17" s="112">
        <v>61.94</v>
      </c>
      <c r="L17" s="112">
        <v>18.77</v>
      </c>
      <c r="M17" s="112">
        <v>71.260000000000005</v>
      </c>
      <c r="N17" s="112">
        <v>1.2</v>
      </c>
      <c r="O17" s="112">
        <v>0</v>
      </c>
      <c r="P17" s="112">
        <v>0.75</v>
      </c>
      <c r="Q17" s="112">
        <v>4.99</v>
      </c>
    </row>
    <row r="18" spans="1:17" customFormat="1">
      <c r="A18" s="80">
        <v>45612.104166666664</v>
      </c>
      <c r="B18" s="112">
        <v>5.27</v>
      </c>
      <c r="C18" s="112">
        <v>8.07</v>
      </c>
      <c r="D18" s="112">
        <v>14.01</v>
      </c>
      <c r="E18" s="112">
        <v>10.039999999999999</v>
      </c>
      <c r="F18" s="112">
        <v>5.5</v>
      </c>
      <c r="G18" s="112">
        <v>89.16</v>
      </c>
      <c r="H18" s="112">
        <v>33.090000000000003</v>
      </c>
      <c r="I18" s="112">
        <v>9.61</v>
      </c>
      <c r="J18" s="112">
        <v>0.25</v>
      </c>
      <c r="K18" s="112">
        <v>65.319999999999993</v>
      </c>
      <c r="L18" s="112">
        <v>18.75</v>
      </c>
      <c r="M18" s="112">
        <v>71.25</v>
      </c>
      <c r="N18" s="112">
        <v>1.2</v>
      </c>
      <c r="O18" s="112">
        <v>0</v>
      </c>
      <c r="P18" s="112">
        <v>0.75</v>
      </c>
      <c r="Q18" s="112">
        <v>5</v>
      </c>
    </row>
    <row r="19" spans="1:17" customFormat="1">
      <c r="A19" s="80">
        <v>45612.114583333336</v>
      </c>
      <c r="B19" s="112">
        <v>5.28</v>
      </c>
      <c r="C19" s="112">
        <v>8.07</v>
      </c>
      <c r="D19" s="112">
        <v>14.02</v>
      </c>
      <c r="E19" s="112">
        <v>10.029999999999999</v>
      </c>
      <c r="F19" s="112">
        <v>5.44</v>
      </c>
      <c r="G19" s="112">
        <v>89.16</v>
      </c>
      <c r="H19" s="112">
        <v>33.090000000000003</v>
      </c>
      <c r="I19" s="112">
        <v>9.81</v>
      </c>
      <c r="J19" s="112">
        <v>0.04</v>
      </c>
      <c r="K19" s="112">
        <v>26.75</v>
      </c>
      <c r="L19" s="112">
        <v>18.53</v>
      </c>
      <c r="M19" s="112">
        <v>71.16</v>
      </c>
      <c r="N19" s="112">
        <v>1.2</v>
      </c>
      <c r="O19" s="112">
        <v>0</v>
      </c>
      <c r="P19" s="112">
        <v>0.76</v>
      </c>
      <c r="Q19" s="112">
        <v>4.99</v>
      </c>
    </row>
    <row r="20" spans="1:17" customFormat="1">
      <c r="A20" s="80">
        <v>45612.125</v>
      </c>
      <c r="B20" s="112">
        <v>5.28</v>
      </c>
      <c r="C20" s="112">
        <v>8.07</v>
      </c>
      <c r="D20" s="112">
        <v>14.02</v>
      </c>
      <c r="E20" s="112">
        <v>10.01</v>
      </c>
      <c r="F20" s="112">
        <v>5.46</v>
      </c>
      <c r="G20" s="112">
        <v>89.16</v>
      </c>
      <c r="H20" s="112">
        <v>33.090000000000003</v>
      </c>
      <c r="I20" s="112">
        <v>10.029999999999999</v>
      </c>
      <c r="J20" s="112">
        <v>0.25</v>
      </c>
      <c r="K20" s="112">
        <v>52.79</v>
      </c>
      <c r="L20" s="112">
        <v>18.57</v>
      </c>
      <c r="M20" s="112">
        <v>69.36</v>
      </c>
      <c r="N20" s="112">
        <v>1</v>
      </c>
      <c r="O20" s="112">
        <v>0</v>
      </c>
      <c r="P20" s="112">
        <v>0.77</v>
      </c>
      <c r="Q20" s="112">
        <v>4.99</v>
      </c>
    </row>
    <row r="21" spans="1:17" customFormat="1">
      <c r="A21" s="80">
        <v>45612.135416666664</v>
      </c>
      <c r="B21" s="112">
        <v>5.27</v>
      </c>
      <c r="C21" s="112">
        <v>8.06</v>
      </c>
      <c r="D21" s="112">
        <v>14</v>
      </c>
      <c r="E21" s="112">
        <v>9.73</v>
      </c>
      <c r="F21" s="112">
        <v>5.5</v>
      </c>
      <c r="G21" s="112">
        <v>89.39</v>
      </c>
      <c r="H21" s="112">
        <v>33.090000000000003</v>
      </c>
      <c r="I21" s="112">
        <v>10.26</v>
      </c>
      <c r="J21" s="112">
        <v>0.44</v>
      </c>
      <c r="K21" s="112">
        <v>45.5</v>
      </c>
      <c r="L21" s="112">
        <v>18.62</v>
      </c>
      <c r="M21" s="112">
        <v>68.44</v>
      </c>
      <c r="N21" s="112">
        <v>1.2</v>
      </c>
      <c r="O21" s="112">
        <v>0</v>
      </c>
      <c r="P21" s="112">
        <v>0.78</v>
      </c>
      <c r="Q21" s="112">
        <v>4.99</v>
      </c>
    </row>
    <row r="22" spans="1:17" customFormat="1">
      <c r="A22" s="80">
        <v>45612.145833333336</v>
      </c>
      <c r="B22" s="112">
        <v>5.26</v>
      </c>
      <c r="C22" s="112">
        <v>8.07</v>
      </c>
      <c r="D22" s="112">
        <v>14</v>
      </c>
      <c r="E22" s="112">
        <v>9.39</v>
      </c>
      <c r="F22" s="112">
        <v>5.4</v>
      </c>
      <c r="G22" s="112">
        <v>99.22</v>
      </c>
      <c r="H22" s="112">
        <v>33.159999999999997</v>
      </c>
      <c r="I22" s="112">
        <v>10.52</v>
      </c>
      <c r="J22" s="112">
        <v>0.35</v>
      </c>
      <c r="K22" s="112">
        <v>42.65</v>
      </c>
      <c r="L22" s="112">
        <v>18.399999999999999</v>
      </c>
      <c r="M22" s="112">
        <v>69.680000000000007</v>
      </c>
      <c r="N22" s="112">
        <v>1.4</v>
      </c>
      <c r="O22" s="112">
        <v>0</v>
      </c>
      <c r="P22" s="112">
        <v>0.79</v>
      </c>
      <c r="Q22" s="112">
        <v>4.9800000000000004</v>
      </c>
    </row>
    <row r="23" spans="1:17" customFormat="1">
      <c r="A23" s="80">
        <v>45612.15625</v>
      </c>
      <c r="B23" s="112">
        <v>5.27</v>
      </c>
      <c r="C23" s="112">
        <v>8.08</v>
      </c>
      <c r="D23" s="112">
        <v>14.01</v>
      </c>
      <c r="E23" s="112">
        <v>9.64</v>
      </c>
      <c r="F23" s="112">
        <v>5.48</v>
      </c>
      <c r="G23" s="112">
        <v>99.22</v>
      </c>
      <c r="H23" s="112">
        <v>33.159999999999997</v>
      </c>
      <c r="I23" s="112">
        <v>10.75</v>
      </c>
      <c r="J23" s="112">
        <v>0.11</v>
      </c>
      <c r="K23" s="112">
        <v>21.85</v>
      </c>
      <c r="L23" s="112">
        <v>18.170000000000002</v>
      </c>
      <c r="M23" s="112">
        <v>71.34</v>
      </c>
      <c r="N23" s="112">
        <v>1.3</v>
      </c>
      <c r="O23" s="112">
        <v>0</v>
      </c>
      <c r="P23" s="112">
        <v>0.8</v>
      </c>
      <c r="Q23" s="112">
        <v>4.9800000000000004</v>
      </c>
    </row>
    <row r="24" spans="1:17" customFormat="1">
      <c r="A24" s="80">
        <v>45612.166666666664</v>
      </c>
      <c r="B24" s="112">
        <v>5.26</v>
      </c>
      <c r="C24" s="112">
        <v>8.1</v>
      </c>
      <c r="D24" s="112">
        <v>14.02</v>
      </c>
      <c r="E24" s="112">
        <v>9.66</v>
      </c>
      <c r="F24" s="112">
        <v>5.56</v>
      </c>
      <c r="G24" s="112">
        <v>99.22</v>
      </c>
      <c r="H24" s="112">
        <v>33.159999999999997</v>
      </c>
      <c r="I24" s="112">
        <v>10.89</v>
      </c>
      <c r="J24" s="112">
        <v>0.04</v>
      </c>
      <c r="K24" s="112">
        <v>3.66</v>
      </c>
      <c r="L24" s="112">
        <v>17.98</v>
      </c>
      <c r="M24" s="112">
        <v>73.14</v>
      </c>
      <c r="N24" s="112">
        <v>1.3</v>
      </c>
      <c r="O24" s="112">
        <v>0</v>
      </c>
      <c r="P24" s="112">
        <v>0.8</v>
      </c>
      <c r="Q24" s="112">
        <v>4.99</v>
      </c>
    </row>
    <row r="25" spans="1:17" customFormat="1">
      <c r="A25" s="80">
        <v>45612.177083333336</v>
      </c>
      <c r="B25" s="112">
        <v>5.29</v>
      </c>
      <c r="C25" s="112">
        <v>8.0500000000000007</v>
      </c>
      <c r="D25" s="112">
        <v>14.01</v>
      </c>
      <c r="E25" s="112">
        <v>9.36</v>
      </c>
      <c r="F25" s="112">
        <v>5.71</v>
      </c>
      <c r="G25" s="112">
        <v>99.49</v>
      </c>
      <c r="H25" s="112">
        <v>33.159999999999997</v>
      </c>
      <c r="I25" s="112">
        <v>10.97</v>
      </c>
      <c r="J25" s="112">
        <v>0.27</v>
      </c>
      <c r="K25" s="112">
        <v>44.96</v>
      </c>
      <c r="L25" s="112">
        <v>17.88</v>
      </c>
      <c r="M25" s="112">
        <v>72.819999999999993</v>
      </c>
      <c r="N25" s="112">
        <v>1.2</v>
      </c>
      <c r="O25" s="112">
        <v>0</v>
      </c>
      <c r="P25" s="112">
        <v>0.81</v>
      </c>
      <c r="Q25" s="112">
        <v>4.99</v>
      </c>
    </row>
    <row r="26" spans="1:17" customFormat="1">
      <c r="A26" s="80">
        <v>45612.1875</v>
      </c>
      <c r="B26" s="112">
        <v>5.28</v>
      </c>
      <c r="C26" s="112">
        <v>8.1</v>
      </c>
      <c r="D26" s="112">
        <v>14.03</v>
      </c>
      <c r="E26" s="112">
        <v>9.61</v>
      </c>
      <c r="F26" s="112">
        <v>5.54</v>
      </c>
      <c r="G26" s="112">
        <v>111.55</v>
      </c>
      <c r="H26" s="112">
        <v>33.25</v>
      </c>
      <c r="I26" s="112">
        <v>11.01</v>
      </c>
      <c r="J26" s="112">
        <v>0.14000000000000001</v>
      </c>
      <c r="K26" s="112">
        <v>134.34</v>
      </c>
      <c r="L26" s="112">
        <v>17.84</v>
      </c>
      <c r="M26" s="112">
        <v>74.8</v>
      </c>
      <c r="N26" s="112">
        <v>1.4</v>
      </c>
      <c r="O26" s="112">
        <v>0</v>
      </c>
      <c r="P26" s="112">
        <v>0.82</v>
      </c>
      <c r="Q26" s="112">
        <v>4.9800000000000004</v>
      </c>
    </row>
    <row r="27" spans="1:17" customFormat="1">
      <c r="A27" s="80">
        <v>45612.197916666664</v>
      </c>
      <c r="B27" s="112">
        <v>5.3</v>
      </c>
      <c r="C27" s="112">
        <v>8.08</v>
      </c>
      <c r="D27" s="112">
        <v>14.04</v>
      </c>
      <c r="E27" s="112">
        <v>9.3699999999999992</v>
      </c>
      <c r="F27" s="112">
        <v>5.54</v>
      </c>
      <c r="G27" s="112">
        <v>111.55</v>
      </c>
      <c r="H27" s="112">
        <v>33.25</v>
      </c>
      <c r="I27" s="112">
        <v>11.01</v>
      </c>
      <c r="J27" s="112">
        <v>0.2</v>
      </c>
      <c r="K27" s="112">
        <v>185.02</v>
      </c>
      <c r="L27" s="112">
        <v>17.309999999999999</v>
      </c>
      <c r="M27" s="112">
        <v>82.46</v>
      </c>
      <c r="N27" s="112">
        <v>1.6</v>
      </c>
      <c r="O27" s="112">
        <v>0</v>
      </c>
      <c r="P27" s="112">
        <v>0.83</v>
      </c>
      <c r="Q27" s="112">
        <v>4.99</v>
      </c>
    </row>
    <row r="28" spans="1:17" customFormat="1">
      <c r="A28" s="80">
        <v>45612.208333333336</v>
      </c>
      <c r="B28" s="112">
        <v>5.28</v>
      </c>
      <c r="C28" s="112">
        <v>8.1</v>
      </c>
      <c r="D28" s="112">
        <v>14.03</v>
      </c>
      <c r="E28" s="112">
        <v>9.8000000000000007</v>
      </c>
      <c r="F28" s="112">
        <v>5.64</v>
      </c>
      <c r="G28" s="112">
        <v>111.55</v>
      </c>
      <c r="H28" s="112">
        <v>33.25</v>
      </c>
      <c r="I28" s="112">
        <v>10.94</v>
      </c>
      <c r="J28" s="112">
        <v>0.13</v>
      </c>
      <c r="K28" s="112">
        <v>205.91</v>
      </c>
      <c r="L28" s="112">
        <v>16.78</v>
      </c>
      <c r="M28" s="112">
        <v>85.12</v>
      </c>
      <c r="N28" s="112">
        <v>1.7</v>
      </c>
      <c r="O28" s="112">
        <v>0</v>
      </c>
      <c r="P28" s="112">
        <v>0.83</v>
      </c>
      <c r="Q28" s="112">
        <v>4.9800000000000004</v>
      </c>
    </row>
    <row r="29" spans="1:17" customFormat="1">
      <c r="A29" s="80">
        <v>45612.21875</v>
      </c>
      <c r="B29" s="112">
        <v>5.28</v>
      </c>
      <c r="C29" s="112">
        <v>8.1</v>
      </c>
      <c r="D29" s="112">
        <v>14.03</v>
      </c>
      <c r="E29" s="112">
        <v>9.4499999999999993</v>
      </c>
      <c r="F29" s="112">
        <v>5.77</v>
      </c>
      <c r="G29" s="112">
        <v>111.31</v>
      </c>
      <c r="H29" s="112">
        <v>33.29</v>
      </c>
      <c r="I29" s="112">
        <v>10.87</v>
      </c>
      <c r="J29" s="112">
        <v>0.14000000000000001</v>
      </c>
      <c r="K29" s="112">
        <v>187.44</v>
      </c>
      <c r="L29" s="112">
        <v>16.43</v>
      </c>
      <c r="M29" s="112">
        <v>86.47</v>
      </c>
      <c r="N29" s="112">
        <v>1.5</v>
      </c>
      <c r="O29" s="112">
        <v>0</v>
      </c>
      <c r="P29" s="112">
        <v>0.83</v>
      </c>
      <c r="Q29" s="112">
        <v>4.9800000000000004</v>
      </c>
    </row>
    <row r="30" spans="1:17" customFormat="1">
      <c r="A30" s="80">
        <v>45612.229166666664</v>
      </c>
      <c r="B30" s="112">
        <v>5.28</v>
      </c>
      <c r="C30" s="112">
        <v>8.09</v>
      </c>
      <c r="D30" s="112">
        <v>14.03</v>
      </c>
      <c r="E30" s="112">
        <v>9.5</v>
      </c>
      <c r="F30" s="112">
        <v>5.53</v>
      </c>
      <c r="G30" s="112">
        <v>100.59</v>
      </c>
      <c r="H30" s="112">
        <v>35.799999999999997</v>
      </c>
      <c r="I30" s="112">
        <v>10.83</v>
      </c>
      <c r="J30" s="112">
        <v>0.11</v>
      </c>
      <c r="K30" s="112">
        <v>178.47</v>
      </c>
      <c r="L30" s="112">
        <v>16.3</v>
      </c>
      <c r="M30" s="112">
        <v>87.44</v>
      </c>
      <c r="N30" s="112">
        <v>1.3</v>
      </c>
      <c r="O30" s="112">
        <v>0</v>
      </c>
      <c r="P30" s="112">
        <v>0.83</v>
      </c>
      <c r="Q30" s="112">
        <v>4.99</v>
      </c>
    </row>
    <row r="31" spans="1:17" customFormat="1">
      <c r="A31" s="80">
        <v>45612.239583333336</v>
      </c>
      <c r="B31" s="112">
        <v>5.27</v>
      </c>
      <c r="C31" s="112">
        <v>8.09</v>
      </c>
      <c r="D31" s="112">
        <v>14.02</v>
      </c>
      <c r="E31" s="112">
        <v>9.44</v>
      </c>
      <c r="F31" s="112">
        <v>5.48</v>
      </c>
      <c r="G31" s="112">
        <v>100.59</v>
      </c>
      <c r="H31" s="112">
        <v>35.799999999999997</v>
      </c>
      <c r="I31" s="112">
        <v>10.79</v>
      </c>
      <c r="J31" s="112">
        <v>0.11</v>
      </c>
      <c r="K31" s="112">
        <v>210.58</v>
      </c>
      <c r="L31" s="112">
        <v>16.28</v>
      </c>
      <c r="M31" s="112">
        <v>87.13</v>
      </c>
      <c r="N31" s="112">
        <v>1.3</v>
      </c>
      <c r="O31" s="112">
        <v>0</v>
      </c>
      <c r="P31" s="112">
        <v>0.82</v>
      </c>
      <c r="Q31" s="112">
        <v>4.9800000000000004</v>
      </c>
    </row>
    <row r="32" spans="1:17" customFormat="1">
      <c r="A32" s="80">
        <v>45612.25</v>
      </c>
      <c r="B32" s="112">
        <v>5.28</v>
      </c>
      <c r="C32" s="112">
        <v>8.08</v>
      </c>
      <c r="D32" s="112">
        <v>14.02</v>
      </c>
      <c r="E32" s="112">
        <v>9.68</v>
      </c>
      <c r="F32" s="112">
        <v>5.73</v>
      </c>
      <c r="G32" s="112">
        <v>100.59</v>
      </c>
      <c r="H32" s="112">
        <v>35.799999999999997</v>
      </c>
      <c r="I32" s="112">
        <v>10.76</v>
      </c>
      <c r="J32" s="112">
        <v>0.1</v>
      </c>
      <c r="K32" s="112">
        <v>203.44</v>
      </c>
      <c r="L32" s="112">
        <v>16.260000000000002</v>
      </c>
      <c r="M32" s="112">
        <v>87.62</v>
      </c>
      <c r="N32" s="112">
        <v>2.2000000000000002</v>
      </c>
      <c r="O32" s="112">
        <v>0</v>
      </c>
      <c r="P32" s="112">
        <v>0.82</v>
      </c>
      <c r="Q32" s="112">
        <v>4.99</v>
      </c>
    </row>
    <row r="33" spans="1:17" customFormat="1">
      <c r="A33" s="80">
        <v>45612.260416666664</v>
      </c>
      <c r="B33" s="112">
        <v>5.29</v>
      </c>
      <c r="C33" s="112">
        <v>8.09</v>
      </c>
      <c r="D33" s="112">
        <v>14.04</v>
      </c>
      <c r="E33" s="112">
        <v>9.57</v>
      </c>
      <c r="F33" s="112">
        <v>5.53</v>
      </c>
      <c r="G33" s="112">
        <v>100.5</v>
      </c>
      <c r="H33" s="112">
        <v>35.78</v>
      </c>
      <c r="I33" s="112">
        <v>10.72</v>
      </c>
      <c r="J33" s="112">
        <v>0.12</v>
      </c>
      <c r="K33" s="112">
        <v>219.69</v>
      </c>
      <c r="L33" s="112">
        <v>16.3</v>
      </c>
      <c r="M33" s="112">
        <v>87.74</v>
      </c>
      <c r="N33" s="112">
        <v>5.8</v>
      </c>
      <c r="O33" s="112">
        <v>0</v>
      </c>
      <c r="P33" s="112">
        <v>0.83</v>
      </c>
      <c r="Q33" s="112">
        <v>4.99</v>
      </c>
    </row>
    <row r="34" spans="1:17" customFormat="1">
      <c r="A34" s="80">
        <v>45612.270833333336</v>
      </c>
      <c r="B34" s="112">
        <v>5.32</v>
      </c>
      <c r="C34" s="112">
        <v>8.09</v>
      </c>
      <c r="D34" s="112">
        <v>14.05</v>
      </c>
      <c r="E34" s="112">
        <v>9.4</v>
      </c>
      <c r="F34" s="112">
        <v>5.62</v>
      </c>
      <c r="G34" s="112">
        <v>96.53</v>
      </c>
      <c r="H34" s="112">
        <v>34.299999999999997</v>
      </c>
      <c r="I34" s="112">
        <v>10.72</v>
      </c>
      <c r="J34" s="112">
        <v>0.12</v>
      </c>
      <c r="K34" s="112">
        <v>207.56</v>
      </c>
      <c r="L34" s="112">
        <v>16.47</v>
      </c>
      <c r="M34" s="112">
        <v>87.84</v>
      </c>
      <c r="N34" s="112">
        <v>13</v>
      </c>
      <c r="O34" s="112">
        <v>0</v>
      </c>
      <c r="P34" s="112">
        <v>0.84</v>
      </c>
      <c r="Q34" s="112">
        <v>4.9800000000000004</v>
      </c>
    </row>
    <row r="35" spans="1:17" customFormat="1">
      <c r="A35" s="80">
        <v>45612.28125</v>
      </c>
      <c r="B35" s="112">
        <v>5.33</v>
      </c>
      <c r="C35" s="112">
        <v>8.09</v>
      </c>
      <c r="D35" s="112">
        <v>14.07</v>
      </c>
      <c r="E35" s="112">
        <v>9.5</v>
      </c>
      <c r="F35" s="112">
        <v>5.77</v>
      </c>
      <c r="G35" s="112">
        <v>96.53</v>
      </c>
      <c r="H35" s="112">
        <v>34.299999999999997</v>
      </c>
      <c r="I35" s="112">
        <v>10.76</v>
      </c>
      <c r="J35" s="112">
        <v>0.11</v>
      </c>
      <c r="K35" s="112">
        <v>157.54</v>
      </c>
      <c r="L35" s="112">
        <v>16.8</v>
      </c>
      <c r="M35" s="112">
        <v>89.35</v>
      </c>
      <c r="N35" s="112">
        <v>22.8</v>
      </c>
      <c r="O35" s="112">
        <v>0</v>
      </c>
      <c r="P35" s="112">
        <v>0.83</v>
      </c>
      <c r="Q35" s="112">
        <v>4.9800000000000004</v>
      </c>
    </row>
    <row r="36" spans="1:17" customFormat="1">
      <c r="A36" s="80">
        <v>45612.291666666664</v>
      </c>
      <c r="B36" s="112">
        <v>5.32</v>
      </c>
      <c r="C36" s="112">
        <v>8.11</v>
      </c>
      <c r="D36" s="112">
        <v>14.07</v>
      </c>
      <c r="E36" s="112">
        <v>9.44</v>
      </c>
      <c r="F36" s="112">
        <v>5.54</v>
      </c>
      <c r="G36" s="112">
        <v>96.53</v>
      </c>
      <c r="H36" s="112">
        <v>34.299999999999997</v>
      </c>
      <c r="I36" s="112">
        <v>10.81</v>
      </c>
      <c r="J36" s="112">
        <v>0.08</v>
      </c>
      <c r="K36" s="112">
        <v>37.85</v>
      </c>
      <c r="L36" s="112">
        <v>17.45</v>
      </c>
      <c r="M36" s="112">
        <v>84.07</v>
      </c>
      <c r="N36" s="112">
        <v>34.9</v>
      </c>
      <c r="O36" s="112">
        <v>0</v>
      </c>
      <c r="P36" s="112">
        <v>0.85</v>
      </c>
      <c r="Q36" s="112">
        <v>4.97</v>
      </c>
    </row>
    <row r="37" spans="1:17" customFormat="1">
      <c r="A37" s="80">
        <v>45612.302083333336</v>
      </c>
      <c r="B37" s="112">
        <v>5.34</v>
      </c>
      <c r="C37" s="112">
        <v>8.08</v>
      </c>
      <c r="D37" s="112">
        <v>14.07</v>
      </c>
      <c r="E37" s="112">
        <v>9.48</v>
      </c>
      <c r="F37" s="112">
        <v>5.56</v>
      </c>
      <c r="G37" s="112">
        <v>96.78</v>
      </c>
      <c r="H37" s="112">
        <v>34.36</v>
      </c>
      <c r="I37" s="112">
        <v>10.99</v>
      </c>
      <c r="J37" s="112">
        <v>0.26</v>
      </c>
      <c r="K37" s="112">
        <v>55.36</v>
      </c>
      <c r="L37" s="112">
        <v>18.309999999999999</v>
      </c>
      <c r="M37" s="112">
        <v>76.77</v>
      </c>
      <c r="N37" s="112">
        <v>47.3</v>
      </c>
      <c r="O37" s="112">
        <v>0</v>
      </c>
      <c r="P37" s="112">
        <v>0.85</v>
      </c>
      <c r="Q37" s="112">
        <v>4.9800000000000004</v>
      </c>
    </row>
    <row r="38" spans="1:17" customFormat="1">
      <c r="A38" s="80">
        <v>45612.3125</v>
      </c>
      <c r="B38" s="112">
        <v>5.34</v>
      </c>
      <c r="C38" s="112">
        <v>8.0500000000000007</v>
      </c>
      <c r="D38" s="112">
        <v>14.05</v>
      </c>
      <c r="E38" s="112">
        <v>9.76</v>
      </c>
      <c r="F38" s="112">
        <v>5.7</v>
      </c>
      <c r="G38" s="112">
        <v>107.85</v>
      </c>
      <c r="H38" s="112">
        <v>38.630000000000003</v>
      </c>
      <c r="I38" s="112">
        <v>11.3</v>
      </c>
      <c r="J38" s="112">
        <v>0.62</v>
      </c>
      <c r="K38" s="112">
        <v>54.52</v>
      </c>
      <c r="L38" s="112">
        <v>19.13</v>
      </c>
      <c r="M38" s="112">
        <v>68.42</v>
      </c>
      <c r="N38" s="112">
        <v>60.1</v>
      </c>
      <c r="O38" s="112">
        <v>0</v>
      </c>
      <c r="P38" s="112">
        <v>0.86</v>
      </c>
      <c r="Q38" s="112">
        <v>4.99</v>
      </c>
    </row>
    <row r="39" spans="1:17" customFormat="1">
      <c r="A39" s="80">
        <v>45612.322916666664</v>
      </c>
      <c r="B39" s="112">
        <v>5.32</v>
      </c>
      <c r="C39" s="112">
        <v>8.07</v>
      </c>
      <c r="D39" s="112">
        <v>14.05</v>
      </c>
      <c r="E39" s="112">
        <v>9.49</v>
      </c>
      <c r="F39" s="112">
        <v>5.52</v>
      </c>
      <c r="G39" s="112">
        <v>107.85</v>
      </c>
      <c r="H39" s="112">
        <v>38.630000000000003</v>
      </c>
      <c r="I39" s="112">
        <v>11.55</v>
      </c>
      <c r="J39" s="112">
        <v>0.72</v>
      </c>
      <c r="K39" s="112">
        <v>48.84</v>
      </c>
      <c r="L39" s="112">
        <v>19.73</v>
      </c>
      <c r="M39" s="112">
        <v>66.28</v>
      </c>
      <c r="N39" s="112">
        <v>143</v>
      </c>
      <c r="O39" s="112">
        <v>0</v>
      </c>
      <c r="P39" s="112">
        <v>0.86</v>
      </c>
      <c r="Q39" s="112">
        <v>4.99</v>
      </c>
    </row>
    <row r="40" spans="1:17" customFormat="1">
      <c r="A40" s="80">
        <v>45612.333333333336</v>
      </c>
      <c r="B40" s="112">
        <v>5.31</v>
      </c>
      <c r="C40" s="112">
        <v>8.0500000000000007</v>
      </c>
      <c r="D40" s="112">
        <v>14.04</v>
      </c>
      <c r="E40" s="112">
        <v>9.83</v>
      </c>
      <c r="F40" s="112">
        <v>5.73</v>
      </c>
      <c r="G40" s="112">
        <v>107.85</v>
      </c>
      <c r="H40" s="112">
        <v>38.630000000000003</v>
      </c>
      <c r="I40" s="112">
        <v>11.61</v>
      </c>
      <c r="J40" s="112">
        <v>0.74</v>
      </c>
      <c r="K40" s="112">
        <v>42.49</v>
      </c>
      <c r="L40" s="112">
        <v>20.39</v>
      </c>
      <c r="M40" s="112">
        <v>65.5</v>
      </c>
      <c r="N40" s="112">
        <v>196</v>
      </c>
      <c r="O40" s="112">
        <v>0</v>
      </c>
      <c r="P40" s="112">
        <v>0.87</v>
      </c>
      <c r="Q40" s="112">
        <v>5.01</v>
      </c>
    </row>
    <row r="41" spans="1:17" customFormat="1">
      <c r="A41" s="80">
        <v>45612.34375</v>
      </c>
      <c r="B41" s="112">
        <v>5.3</v>
      </c>
      <c r="C41" s="112">
        <v>8.08</v>
      </c>
      <c r="D41" s="112">
        <v>14.04</v>
      </c>
      <c r="E41" s="112">
        <v>9.35</v>
      </c>
      <c r="F41" s="112">
        <v>5.8</v>
      </c>
      <c r="G41" s="112">
        <v>107.7</v>
      </c>
      <c r="H41" s="112">
        <v>38.590000000000003</v>
      </c>
      <c r="I41" s="112">
        <v>11.59</v>
      </c>
      <c r="J41" s="112">
        <v>0.82</v>
      </c>
      <c r="K41" s="112">
        <v>53.91</v>
      </c>
      <c r="L41" s="112">
        <v>21.04</v>
      </c>
      <c r="M41" s="112">
        <v>64.069999999999993</v>
      </c>
      <c r="N41" s="112">
        <v>226.3</v>
      </c>
      <c r="O41" s="112">
        <v>0</v>
      </c>
      <c r="P41" s="112">
        <v>0.86</v>
      </c>
      <c r="Q41" s="112">
        <v>5</v>
      </c>
    </row>
    <row r="42" spans="1:17" customFormat="1">
      <c r="A42" s="80">
        <v>45612.354166666664</v>
      </c>
      <c r="B42" s="112">
        <v>5.3</v>
      </c>
      <c r="C42" s="112">
        <v>8.09</v>
      </c>
      <c r="D42" s="112">
        <v>14.04</v>
      </c>
      <c r="E42" s="112">
        <v>9.75</v>
      </c>
      <c r="F42" s="112">
        <v>5.48</v>
      </c>
      <c r="G42" s="112">
        <v>101.03</v>
      </c>
      <c r="H42" s="112">
        <v>36.01</v>
      </c>
      <c r="I42" s="112">
        <v>11.64</v>
      </c>
      <c r="J42" s="112">
        <v>0.97</v>
      </c>
      <c r="K42" s="112">
        <v>53.34</v>
      </c>
      <c r="L42" s="112">
        <v>21.93</v>
      </c>
      <c r="M42" s="112">
        <v>59.68</v>
      </c>
      <c r="N42" s="112">
        <v>213.1</v>
      </c>
      <c r="O42" s="112">
        <v>0</v>
      </c>
      <c r="P42" s="112">
        <v>0.86</v>
      </c>
      <c r="Q42" s="112">
        <v>5</v>
      </c>
    </row>
    <row r="43" spans="1:17" customFormat="1">
      <c r="A43" s="80">
        <v>45612.364583333336</v>
      </c>
      <c r="B43" s="112">
        <v>5.29</v>
      </c>
      <c r="C43" s="112">
        <v>8.09</v>
      </c>
      <c r="D43" s="112">
        <v>14.03</v>
      </c>
      <c r="E43" s="112">
        <v>10.07</v>
      </c>
      <c r="F43" s="112">
        <v>5.48</v>
      </c>
      <c r="G43" s="112">
        <v>101.03</v>
      </c>
      <c r="H43" s="112">
        <v>36.01</v>
      </c>
      <c r="I43" s="112">
        <v>11.67</v>
      </c>
      <c r="J43" s="112">
        <v>0.93</v>
      </c>
      <c r="K43" s="112">
        <v>44.19</v>
      </c>
      <c r="L43" s="112">
        <v>22.65</v>
      </c>
      <c r="M43" s="112">
        <v>55.75</v>
      </c>
      <c r="N43" s="112">
        <v>232.6</v>
      </c>
      <c r="O43" s="112">
        <v>0</v>
      </c>
      <c r="P43" s="112">
        <v>0.86</v>
      </c>
      <c r="Q43" s="112">
        <v>4.99</v>
      </c>
    </row>
    <row r="44" spans="1:17" customFormat="1">
      <c r="A44" s="80">
        <v>45612.375</v>
      </c>
      <c r="B44" s="112">
        <v>5.32</v>
      </c>
      <c r="C44" s="112">
        <v>8.08</v>
      </c>
      <c r="D44" s="112">
        <v>14.06</v>
      </c>
      <c r="E44" s="112">
        <v>10.18</v>
      </c>
      <c r="F44" s="112">
        <v>5.58</v>
      </c>
      <c r="G44" s="112">
        <v>101.03</v>
      </c>
      <c r="H44" s="112">
        <v>36.01</v>
      </c>
      <c r="I44" s="112">
        <v>11.65</v>
      </c>
      <c r="J44" s="112">
        <v>0.63</v>
      </c>
      <c r="K44" s="112">
        <v>50.9</v>
      </c>
      <c r="L44" s="112">
        <v>23.7</v>
      </c>
      <c r="M44" s="112">
        <v>50.7</v>
      </c>
      <c r="N44" s="112">
        <v>329.4</v>
      </c>
      <c r="O44" s="112">
        <v>0</v>
      </c>
      <c r="P44" s="112">
        <v>0.86</v>
      </c>
      <c r="Q44" s="112">
        <v>5</v>
      </c>
    </row>
    <row r="45" spans="1:17" customFormat="1">
      <c r="A45" s="80">
        <v>45612.385416666664</v>
      </c>
      <c r="B45" s="112">
        <v>5.31</v>
      </c>
      <c r="C45" s="112">
        <v>8.09</v>
      </c>
      <c r="D45" s="112">
        <v>14.06</v>
      </c>
      <c r="E45" s="112">
        <v>9.83</v>
      </c>
      <c r="F45" s="112">
        <v>5.6</v>
      </c>
      <c r="G45" s="112">
        <v>101.03</v>
      </c>
      <c r="H45" s="112">
        <v>35.979999999999997</v>
      </c>
      <c r="I45" s="112">
        <v>11.61</v>
      </c>
      <c r="J45" s="112">
        <v>0.73</v>
      </c>
      <c r="K45" s="112">
        <v>41</v>
      </c>
      <c r="L45" s="112">
        <v>24.42</v>
      </c>
      <c r="M45" s="112">
        <v>48.84</v>
      </c>
      <c r="N45" s="112">
        <v>382.8</v>
      </c>
      <c r="O45" s="112">
        <v>0</v>
      </c>
      <c r="P45" s="112">
        <v>0.85</v>
      </c>
      <c r="Q45" s="112">
        <v>4.99</v>
      </c>
    </row>
    <row r="46" spans="1:17" customFormat="1">
      <c r="A46" s="80">
        <v>45612.395833333336</v>
      </c>
      <c r="B46" s="112">
        <v>5.31</v>
      </c>
      <c r="C46" s="112">
        <v>8.1</v>
      </c>
      <c r="D46" s="112">
        <v>14.06</v>
      </c>
      <c r="E46" s="112">
        <v>10.41</v>
      </c>
      <c r="F46" s="112">
        <v>5.83</v>
      </c>
      <c r="G46" s="112">
        <v>101.08</v>
      </c>
      <c r="H46" s="112">
        <v>34.369999999999997</v>
      </c>
      <c r="I46" s="112">
        <v>11.55</v>
      </c>
      <c r="J46" s="112">
        <v>0.45</v>
      </c>
      <c r="K46" s="112">
        <v>77.709999999999994</v>
      </c>
      <c r="L46" s="112">
        <v>25.41</v>
      </c>
      <c r="M46" s="112">
        <v>46.52</v>
      </c>
      <c r="N46" s="112">
        <v>318.39999999999998</v>
      </c>
      <c r="O46" s="112">
        <v>0</v>
      </c>
      <c r="P46" s="112">
        <v>0.84</v>
      </c>
      <c r="Q46" s="112">
        <v>5</v>
      </c>
    </row>
    <row r="47" spans="1:17" customFormat="1">
      <c r="A47" s="80">
        <v>45612.40625</v>
      </c>
      <c r="B47" s="112">
        <v>5.3</v>
      </c>
      <c r="C47" s="112">
        <v>8.11</v>
      </c>
      <c r="D47" s="112">
        <v>14.05</v>
      </c>
      <c r="E47" s="112">
        <v>10.47</v>
      </c>
      <c r="F47" s="112">
        <v>5.89</v>
      </c>
      <c r="G47" s="112">
        <v>101.08</v>
      </c>
      <c r="H47" s="112">
        <v>34.369999999999997</v>
      </c>
      <c r="I47" s="112">
        <v>11.51</v>
      </c>
      <c r="J47" s="112">
        <v>0.52</v>
      </c>
      <c r="K47" s="112">
        <v>67.09</v>
      </c>
      <c r="L47" s="112">
        <v>26.05</v>
      </c>
      <c r="M47" s="112">
        <v>44.13</v>
      </c>
      <c r="N47" s="112">
        <v>456.4</v>
      </c>
      <c r="O47" s="112">
        <v>0</v>
      </c>
      <c r="P47" s="112">
        <v>0.84</v>
      </c>
      <c r="Q47" s="112">
        <v>5</v>
      </c>
    </row>
    <row r="48" spans="1:17" customFormat="1">
      <c r="A48" s="80">
        <v>45612.416666666664</v>
      </c>
      <c r="B48" s="112">
        <v>5.31</v>
      </c>
      <c r="C48" s="112">
        <v>8.06</v>
      </c>
      <c r="D48" s="112">
        <v>14.04</v>
      </c>
      <c r="E48" s="112">
        <v>10.5</v>
      </c>
      <c r="F48" s="112">
        <v>6.07</v>
      </c>
      <c r="G48" s="112">
        <v>101.08</v>
      </c>
      <c r="H48" s="112">
        <v>34.369999999999997</v>
      </c>
      <c r="I48" s="112">
        <v>11.45</v>
      </c>
      <c r="J48" s="112">
        <v>0.42</v>
      </c>
      <c r="K48" s="112">
        <v>113.07</v>
      </c>
      <c r="L48" s="112">
        <v>27.01</v>
      </c>
      <c r="M48" s="112">
        <v>41.18</v>
      </c>
      <c r="N48" s="112">
        <v>497.9</v>
      </c>
      <c r="O48" s="112">
        <v>0</v>
      </c>
      <c r="P48" s="112">
        <v>0.82</v>
      </c>
      <c r="Q48" s="112">
        <v>4.99</v>
      </c>
    </row>
    <row r="49" spans="1:17" customFormat="1">
      <c r="A49" s="80">
        <v>45612.427083333336</v>
      </c>
      <c r="B49" s="112">
        <v>5.3</v>
      </c>
      <c r="C49" s="112">
        <v>8.08</v>
      </c>
      <c r="D49" s="112">
        <v>14.04</v>
      </c>
      <c r="E49" s="112">
        <v>9.5</v>
      </c>
      <c r="F49" s="112">
        <v>6.87</v>
      </c>
      <c r="G49" s="112">
        <v>100.86</v>
      </c>
      <c r="H49" s="112">
        <v>34.32</v>
      </c>
      <c r="I49" s="112">
        <v>11.31</v>
      </c>
      <c r="J49" s="112">
        <v>0.65</v>
      </c>
      <c r="K49" s="112">
        <v>58.23</v>
      </c>
      <c r="L49" s="112">
        <v>27.31</v>
      </c>
      <c r="M49" s="112">
        <v>37.85</v>
      </c>
      <c r="N49" s="112">
        <v>520.4</v>
      </c>
      <c r="O49" s="112">
        <v>0</v>
      </c>
      <c r="P49" s="112">
        <v>0.81</v>
      </c>
      <c r="Q49" s="112">
        <v>4.9800000000000004</v>
      </c>
    </row>
    <row r="50" spans="1:17" customFormat="1">
      <c r="A50" s="80">
        <v>45612.4375</v>
      </c>
      <c r="B50" s="112">
        <v>5.29</v>
      </c>
      <c r="C50" s="112">
        <v>8.08</v>
      </c>
      <c r="D50" s="112">
        <v>14.04</v>
      </c>
      <c r="E50" s="112">
        <v>11.68</v>
      </c>
      <c r="F50" s="112">
        <v>8.81</v>
      </c>
      <c r="G50" s="112">
        <v>91.14</v>
      </c>
      <c r="H50" s="112">
        <v>30.91</v>
      </c>
      <c r="I50" s="112">
        <v>11.15</v>
      </c>
      <c r="J50" s="112">
        <v>0.47</v>
      </c>
      <c r="K50" s="112">
        <v>64.959999999999994</v>
      </c>
      <c r="L50" s="112">
        <v>27.75</v>
      </c>
      <c r="M50" s="112">
        <v>36.9</v>
      </c>
      <c r="N50" s="112">
        <v>544.6</v>
      </c>
      <c r="O50" s="112">
        <v>0</v>
      </c>
      <c r="P50" s="112">
        <v>0.8</v>
      </c>
      <c r="Q50" s="112">
        <v>4.99</v>
      </c>
    </row>
    <row r="51" spans="1:17" customFormat="1">
      <c r="A51" s="80">
        <v>45612.447916666664</v>
      </c>
      <c r="B51" s="112">
        <v>5.3</v>
      </c>
      <c r="C51" s="112">
        <v>8.09</v>
      </c>
      <c r="D51" s="112">
        <v>14.04</v>
      </c>
      <c r="E51" s="112">
        <v>11.05</v>
      </c>
      <c r="F51" s="112">
        <v>7.65</v>
      </c>
      <c r="G51" s="112">
        <v>91.14</v>
      </c>
      <c r="H51" s="112">
        <v>30.91</v>
      </c>
      <c r="I51" s="112">
        <v>10.91</v>
      </c>
      <c r="J51" s="112">
        <v>0.34</v>
      </c>
      <c r="K51" s="112">
        <v>70.72</v>
      </c>
      <c r="L51" s="112">
        <v>28.28</v>
      </c>
      <c r="M51" s="112">
        <v>34.25</v>
      </c>
      <c r="N51" s="112">
        <v>504</v>
      </c>
      <c r="O51" s="112">
        <v>0</v>
      </c>
      <c r="P51" s="112">
        <v>0.8</v>
      </c>
      <c r="Q51" s="112">
        <v>4.99</v>
      </c>
    </row>
    <row r="52" spans="1:17" customFormat="1">
      <c r="A52" s="80">
        <v>45612.458333333336</v>
      </c>
      <c r="B52" s="112">
        <v>5.29</v>
      </c>
      <c r="C52" s="112">
        <v>8.09</v>
      </c>
      <c r="D52" s="112">
        <v>14.04</v>
      </c>
      <c r="E52" s="112">
        <v>10.88</v>
      </c>
      <c r="F52" s="112">
        <v>7.69</v>
      </c>
      <c r="G52" s="112">
        <v>91.14</v>
      </c>
      <c r="H52" s="112">
        <v>30.91</v>
      </c>
      <c r="I52" s="112">
        <v>10.61</v>
      </c>
      <c r="J52" s="112">
        <v>0.52</v>
      </c>
      <c r="K52" s="112">
        <v>60.43</v>
      </c>
      <c r="L52" s="112">
        <v>29.04</v>
      </c>
      <c r="M52" s="112">
        <v>30.55</v>
      </c>
      <c r="N52" s="112">
        <v>570.6</v>
      </c>
      <c r="O52" s="112">
        <v>0</v>
      </c>
      <c r="P52" s="112">
        <v>0.78</v>
      </c>
      <c r="Q52" s="112">
        <v>4.99</v>
      </c>
    </row>
    <row r="53" spans="1:17" customFormat="1">
      <c r="A53" s="80">
        <v>45612.46875</v>
      </c>
      <c r="B53" s="112">
        <v>5.29</v>
      </c>
      <c r="C53" s="112">
        <v>8.1</v>
      </c>
      <c r="D53" s="112">
        <v>14.04</v>
      </c>
      <c r="E53" s="112">
        <v>11.02</v>
      </c>
      <c r="F53" s="112">
        <v>8.73</v>
      </c>
      <c r="G53" s="112">
        <v>90.79</v>
      </c>
      <c r="H53" s="112">
        <v>30.89</v>
      </c>
      <c r="I53" s="112">
        <v>10.34</v>
      </c>
      <c r="J53" s="112">
        <v>0.67</v>
      </c>
      <c r="K53" s="112">
        <v>49.25</v>
      </c>
      <c r="L53" s="112">
        <v>28.97</v>
      </c>
      <c r="M53" s="112">
        <v>31.28</v>
      </c>
      <c r="N53" s="112">
        <v>569.6</v>
      </c>
      <c r="O53" s="112">
        <v>0</v>
      </c>
      <c r="P53" s="112">
        <v>0.75</v>
      </c>
      <c r="Q53" s="112">
        <v>5</v>
      </c>
    </row>
    <row r="54" spans="1:17" customFormat="1">
      <c r="A54" s="80">
        <v>45612.479166666664</v>
      </c>
      <c r="B54" s="112">
        <v>5.32</v>
      </c>
      <c r="C54" s="112">
        <v>8.06</v>
      </c>
      <c r="D54" s="112">
        <v>14.05</v>
      </c>
      <c r="E54" s="112">
        <v>11.23</v>
      </c>
      <c r="F54" s="112">
        <v>12.14</v>
      </c>
      <c r="G54" s="112">
        <v>75.319999999999993</v>
      </c>
      <c r="H54" s="112">
        <v>29.7</v>
      </c>
      <c r="I54" s="112">
        <v>10.050000000000001</v>
      </c>
      <c r="J54" s="112">
        <v>0.55000000000000004</v>
      </c>
      <c r="K54" s="112">
        <v>36.229999999999997</v>
      </c>
      <c r="L54" s="112">
        <v>28.59</v>
      </c>
      <c r="M54" s="112">
        <v>31.88</v>
      </c>
      <c r="N54" s="112">
        <v>566.79999999999995</v>
      </c>
      <c r="O54" s="112">
        <v>0</v>
      </c>
      <c r="P54" s="112">
        <v>0.73</v>
      </c>
      <c r="Q54" s="112">
        <v>4.9800000000000004</v>
      </c>
    </row>
    <row r="55" spans="1:17" customFormat="1">
      <c r="A55" s="80">
        <v>45612.489583333336</v>
      </c>
      <c r="B55" s="112">
        <v>5.31</v>
      </c>
      <c r="C55" s="112">
        <v>8.1</v>
      </c>
      <c r="D55" s="112">
        <v>14.05</v>
      </c>
      <c r="E55" s="112">
        <v>11.02</v>
      </c>
      <c r="F55" s="112">
        <v>10.67</v>
      </c>
      <c r="G55" s="112">
        <v>75.319999999999993</v>
      </c>
      <c r="H55" s="112">
        <v>29.7</v>
      </c>
      <c r="I55" s="112">
        <v>9.6999999999999993</v>
      </c>
      <c r="J55" s="112">
        <v>0.62</v>
      </c>
      <c r="K55" s="112">
        <v>52.6</v>
      </c>
      <c r="L55" s="112">
        <v>28.98</v>
      </c>
      <c r="M55" s="112">
        <v>31.18</v>
      </c>
      <c r="N55" s="112">
        <v>567.20000000000005</v>
      </c>
      <c r="O55" s="112">
        <v>0</v>
      </c>
      <c r="P55" s="112">
        <v>0.72</v>
      </c>
      <c r="Q55" s="112">
        <v>4.99</v>
      </c>
    </row>
    <row r="56" spans="1:17" customFormat="1">
      <c r="A56" s="80">
        <v>45612.5</v>
      </c>
      <c r="B56" s="112">
        <v>5.3</v>
      </c>
      <c r="C56" s="112">
        <v>8.09</v>
      </c>
      <c r="D56" s="112">
        <v>14.04</v>
      </c>
      <c r="E56" s="112">
        <v>10.93</v>
      </c>
      <c r="F56" s="112">
        <v>10.78</v>
      </c>
      <c r="G56" s="112">
        <v>75.319999999999993</v>
      </c>
      <c r="H56" s="112">
        <v>29.7</v>
      </c>
      <c r="I56" s="112">
        <v>9.4</v>
      </c>
      <c r="J56" s="112">
        <v>0.68</v>
      </c>
      <c r="K56" s="112">
        <v>54.26</v>
      </c>
      <c r="L56" s="112">
        <v>28.92</v>
      </c>
      <c r="M56" s="112">
        <v>30.83</v>
      </c>
      <c r="N56" s="112">
        <v>567.6</v>
      </c>
      <c r="O56" s="112">
        <v>0</v>
      </c>
      <c r="P56" s="112">
        <v>0.7</v>
      </c>
      <c r="Q56" s="112">
        <v>5</v>
      </c>
    </row>
    <row r="57" spans="1:17" customFormat="1">
      <c r="A57" s="80">
        <v>45612.510416666664</v>
      </c>
      <c r="B57" s="112">
        <v>5.3</v>
      </c>
      <c r="C57" s="112">
        <v>8.08</v>
      </c>
      <c r="D57" s="112">
        <v>14.04</v>
      </c>
      <c r="E57" s="112">
        <v>11.39</v>
      </c>
      <c r="F57" s="112">
        <v>12.47</v>
      </c>
      <c r="G57" s="112">
        <v>75.17</v>
      </c>
      <c r="H57" s="112">
        <v>29.61</v>
      </c>
      <c r="I57" s="112">
        <v>9.18</v>
      </c>
      <c r="J57" s="112">
        <v>0.85</v>
      </c>
      <c r="K57" s="112">
        <v>48.35</v>
      </c>
      <c r="L57" s="112">
        <v>29.04</v>
      </c>
      <c r="M57" s="112">
        <v>29.76</v>
      </c>
      <c r="N57" s="112">
        <v>556.5</v>
      </c>
      <c r="O57" s="112">
        <v>0</v>
      </c>
      <c r="P57" s="112">
        <v>0.68</v>
      </c>
      <c r="Q57" s="112">
        <v>5</v>
      </c>
    </row>
    <row r="58" spans="1:17" customFormat="1">
      <c r="A58" s="80">
        <v>45612.520833333336</v>
      </c>
      <c r="B58" s="112">
        <v>5.3</v>
      </c>
      <c r="C58" s="112">
        <v>8.08</v>
      </c>
      <c r="D58" s="112">
        <v>14.04</v>
      </c>
      <c r="E58" s="112">
        <v>11.06</v>
      </c>
      <c r="F58" s="112">
        <v>11.96</v>
      </c>
      <c r="G58" s="112">
        <v>68.739999999999995</v>
      </c>
      <c r="H58" s="112">
        <v>26.81</v>
      </c>
      <c r="I58" s="112">
        <v>8.9499999999999993</v>
      </c>
      <c r="J58" s="112">
        <v>0.76</v>
      </c>
      <c r="K58" s="112">
        <v>45.36</v>
      </c>
      <c r="L58" s="112">
        <v>29.07</v>
      </c>
      <c r="M58" s="112">
        <v>29.04</v>
      </c>
      <c r="N58" s="112">
        <v>529.9</v>
      </c>
      <c r="O58" s="112">
        <v>0</v>
      </c>
      <c r="P58" s="112">
        <v>0.68</v>
      </c>
      <c r="Q58" s="112">
        <v>5</v>
      </c>
    </row>
    <row r="59" spans="1:17" customFormat="1">
      <c r="A59" s="80">
        <v>45612.53125</v>
      </c>
      <c r="B59" s="112">
        <v>5.31</v>
      </c>
      <c r="C59" s="112">
        <v>8.0500000000000007</v>
      </c>
      <c r="D59" s="112">
        <v>14.03</v>
      </c>
      <c r="E59" s="112">
        <v>11.23</v>
      </c>
      <c r="F59" s="112">
        <v>13.15</v>
      </c>
      <c r="G59" s="112">
        <v>68.739999999999995</v>
      </c>
      <c r="H59" s="112">
        <v>26.81</v>
      </c>
      <c r="I59" s="112">
        <v>8.68</v>
      </c>
      <c r="J59" s="112">
        <v>0.66</v>
      </c>
      <c r="K59" s="112">
        <v>35.07</v>
      </c>
      <c r="L59" s="112">
        <v>29.25</v>
      </c>
      <c r="M59" s="112">
        <v>29.29</v>
      </c>
      <c r="N59" s="112">
        <v>517.6</v>
      </c>
      <c r="O59" s="112">
        <v>0</v>
      </c>
      <c r="P59" s="112">
        <v>0.66</v>
      </c>
      <c r="Q59" s="112">
        <v>4.99</v>
      </c>
    </row>
    <row r="60" spans="1:17" customFormat="1">
      <c r="A60" s="80">
        <v>45612.541666666664</v>
      </c>
      <c r="B60" s="112">
        <v>5.31</v>
      </c>
      <c r="C60" s="112">
        <v>8.07</v>
      </c>
      <c r="D60" s="112">
        <v>14.04</v>
      </c>
      <c r="E60" s="112">
        <v>11.02</v>
      </c>
      <c r="F60" s="112">
        <v>11.33</v>
      </c>
      <c r="G60" s="112">
        <v>68.739999999999995</v>
      </c>
      <c r="H60" s="112">
        <v>26.81</v>
      </c>
      <c r="I60" s="112">
        <v>8.4600000000000009</v>
      </c>
      <c r="J60" s="112">
        <v>0.74</v>
      </c>
      <c r="K60" s="112">
        <v>56.14</v>
      </c>
      <c r="L60" s="112">
        <v>29.51</v>
      </c>
      <c r="M60" s="112">
        <v>28.71</v>
      </c>
      <c r="N60" s="112">
        <v>493.7</v>
      </c>
      <c r="O60" s="112">
        <v>0</v>
      </c>
      <c r="P60" s="112">
        <v>0.65</v>
      </c>
      <c r="Q60" s="112">
        <v>4.99</v>
      </c>
    </row>
    <row r="61" spans="1:17" customFormat="1">
      <c r="A61" s="80">
        <v>45612.552083333336</v>
      </c>
      <c r="B61" s="112">
        <v>5.3</v>
      </c>
      <c r="C61" s="112">
        <v>8.08</v>
      </c>
      <c r="D61" s="112">
        <v>14.04</v>
      </c>
      <c r="E61" s="112">
        <v>11.02</v>
      </c>
      <c r="F61" s="112">
        <v>10.71</v>
      </c>
      <c r="G61" s="112">
        <v>68.650000000000006</v>
      </c>
      <c r="H61" s="112">
        <v>26.8</v>
      </c>
      <c r="I61" s="112">
        <v>8.2899999999999991</v>
      </c>
      <c r="J61" s="112">
        <v>0.4</v>
      </c>
      <c r="K61" s="112">
        <v>82.2</v>
      </c>
      <c r="L61" s="112">
        <v>29.83</v>
      </c>
      <c r="M61" s="112">
        <v>28.35</v>
      </c>
      <c r="N61" s="112">
        <v>487.7</v>
      </c>
      <c r="O61" s="112">
        <v>0</v>
      </c>
      <c r="P61" s="112">
        <v>0.64</v>
      </c>
      <c r="Q61" s="112">
        <v>4.99</v>
      </c>
    </row>
    <row r="62" spans="1:17" customFormat="1">
      <c r="A62" s="80">
        <v>45612.5625</v>
      </c>
      <c r="B62" s="112">
        <v>5.3</v>
      </c>
      <c r="C62" s="112">
        <v>8.09</v>
      </c>
      <c r="D62" s="112">
        <v>14.04</v>
      </c>
      <c r="E62" s="112">
        <v>10.87</v>
      </c>
      <c r="F62" s="112">
        <v>12.57</v>
      </c>
      <c r="G62" s="112">
        <v>64.78</v>
      </c>
      <c r="H62" s="112">
        <v>25.86</v>
      </c>
      <c r="I62" s="112">
        <v>8.14</v>
      </c>
      <c r="J62" s="112">
        <v>0.85</v>
      </c>
      <c r="K62" s="112">
        <v>54.37</v>
      </c>
      <c r="L62" s="112">
        <v>29.63</v>
      </c>
      <c r="M62" s="112">
        <v>28.52</v>
      </c>
      <c r="N62" s="112">
        <v>463.7</v>
      </c>
      <c r="O62" s="112">
        <v>0</v>
      </c>
      <c r="P62" s="112">
        <v>0.62</v>
      </c>
      <c r="Q62" s="112">
        <v>5</v>
      </c>
    </row>
    <row r="63" spans="1:17" customFormat="1">
      <c r="A63" s="80">
        <v>45612.572916666664</v>
      </c>
      <c r="B63" s="112">
        <v>5.3</v>
      </c>
      <c r="C63" s="112">
        <v>8.08</v>
      </c>
      <c r="D63" s="112">
        <v>14.04</v>
      </c>
      <c r="E63" s="112">
        <v>11.59</v>
      </c>
      <c r="F63" s="112">
        <v>13.31</v>
      </c>
      <c r="G63" s="112">
        <v>64.78</v>
      </c>
      <c r="H63" s="112">
        <v>25.86</v>
      </c>
      <c r="I63" s="112">
        <v>7.84</v>
      </c>
      <c r="J63" s="112">
        <v>0.49</v>
      </c>
      <c r="K63" s="112">
        <v>51.44</v>
      </c>
      <c r="L63" s="112">
        <v>29.37</v>
      </c>
      <c r="M63" s="112">
        <v>28.97</v>
      </c>
      <c r="N63" s="112">
        <v>290.60000000000002</v>
      </c>
      <c r="O63" s="112">
        <v>0</v>
      </c>
      <c r="P63" s="112">
        <v>0.61</v>
      </c>
      <c r="Q63" s="112">
        <v>4.99</v>
      </c>
    </row>
    <row r="64" spans="1:17" customFormat="1">
      <c r="A64" s="80">
        <v>45612.583333333336</v>
      </c>
      <c r="B64" s="112">
        <v>5.3</v>
      </c>
      <c r="C64" s="112">
        <v>8.0500000000000007</v>
      </c>
      <c r="D64" s="112">
        <v>14.02</v>
      </c>
      <c r="E64" s="112">
        <v>11.29</v>
      </c>
      <c r="F64" s="112">
        <v>11.88</v>
      </c>
      <c r="G64" s="112">
        <v>64.78</v>
      </c>
      <c r="H64" s="112">
        <v>25.86</v>
      </c>
      <c r="I64" s="112">
        <v>7.5</v>
      </c>
      <c r="J64" s="112">
        <v>0.39</v>
      </c>
      <c r="K64" s="112">
        <v>59.78</v>
      </c>
      <c r="L64" s="112">
        <v>29.16</v>
      </c>
      <c r="M64" s="112">
        <v>29.2</v>
      </c>
      <c r="N64" s="112">
        <v>148.5</v>
      </c>
      <c r="O64" s="112">
        <v>0</v>
      </c>
      <c r="P64" s="112">
        <v>0.6</v>
      </c>
      <c r="Q64" s="112">
        <v>4.9800000000000004</v>
      </c>
    </row>
    <row r="65" spans="1:17" customFormat="1">
      <c r="A65" s="80">
        <v>45612.59375</v>
      </c>
      <c r="B65" s="112">
        <v>5.28</v>
      </c>
      <c r="C65" s="112">
        <v>8.11</v>
      </c>
      <c r="D65" s="112">
        <v>14.04</v>
      </c>
      <c r="E65" s="112">
        <v>11.79</v>
      </c>
      <c r="F65" s="112">
        <v>15.01</v>
      </c>
      <c r="G65" s="112">
        <v>64.790000000000006</v>
      </c>
      <c r="H65" s="112">
        <v>25.84</v>
      </c>
      <c r="I65" s="112">
        <v>7.31</v>
      </c>
      <c r="J65" s="112">
        <v>0.66</v>
      </c>
      <c r="K65" s="112">
        <v>21.33</v>
      </c>
      <c r="L65" s="112">
        <v>29.09</v>
      </c>
      <c r="M65" s="112">
        <v>29.2</v>
      </c>
      <c r="N65" s="112">
        <v>101.9</v>
      </c>
      <c r="O65" s="112">
        <v>0</v>
      </c>
      <c r="P65" s="112">
        <v>0.57999999999999996</v>
      </c>
      <c r="Q65" s="112">
        <v>5</v>
      </c>
    </row>
    <row r="66" spans="1:17" customFormat="1">
      <c r="A66" s="80">
        <v>45612.604166666664</v>
      </c>
      <c r="B66" s="112">
        <v>5.29</v>
      </c>
      <c r="C66" s="112">
        <v>8.08</v>
      </c>
      <c r="D66" s="112">
        <v>14.03</v>
      </c>
      <c r="E66" s="112">
        <v>12.6</v>
      </c>
      <c r="F66" s="112">
        <v>14.81</v>
      </c>
      <c r="G66" s="112">
        <v>65.38</v>
      </c>
      <c r="H66" s="112">
        <v>24.5</v>
      </c>
      <c r="I66" s="112">
        <v>7.27</v>
      </c>
      <c r="J66" s="112">
        <v>0.63</v>
      </c>
      <c r="K66" s="112">
        <v>48.45</v>
      </c>
      <c r="L66" s="112">
        <v>28.79</v>
      </c>
      <c r="M66" s="112">
        <v>28.98</v>
      </c>
      <c r="N66" s="112">
        <v>95</v>
      </c>
      <c r="O66" s="112">
        <v>0</v>
      </c>
      <c r="P66" s="112">
        <v>0.56999999999999995</v>
      </c>
      <c r="Q66" s="112">
        <v>4.99</v>
      </c>
    </row>
    <row r="67" spans="1:17" customFormat="1">
      <c r="A67" s="80">
        <v>45612.614583333336</v>
      </c>
      <c r="B67" s="112">
        <v>5.29</v>
      </c>
      <c r="C67" s="112">
        <v>8.07</v>
      </c>
      <c r="D67" s="112">
        <v>14.02</v>
      </c>
      <c r="E67" s="112">
        <v>11.84</v>
      </c>
      <c r="F67" s="112">
        <v>14.04</v>
      </c>
      <c r="G67" s="112">
        <v>65.38</v>
      </c>
      <c r="H67" s="112">
        <v>24.5</v>
      </c>
      <c r="I67" s="112">
        <v>7.23</v>
      </c>
      <c r="J67" s="112">
        <v>0.77</v>
      </c>
      <c r="K67" s="112">
        <v>46.85</v>
      </c>
      <c r="L67" s="112">
        <v>28.75</v>
      </c>
      <c r="M67" s="112">
        <v>28.44</v>
      </c>
      <c r="N67" s="112">
        <v>78</v>
      </c>
      <c r="O67" s="112">
        <v>0</v>
      </c>
      <c r="P67" s="112">
        <v>0.56999999999999995</v>
      </c>
      <c r="Q67" s="112">
        <v>4.9800000000000004</v>
      </c>
    </row>
    <row r="68" spans="1:17" customFormat="1">
      <c r="A68" s="80">
        <v>45612.625</v>
      </c>
      <c r="B68" s="112">
        <v>5.3</v>
      </c>
      <c r="C68" s="112">
        <v>8.06</v>
      </c>
      <c r="D68" s="112">
        <v>14.03</v>
      </c>
      <c r="E68" s="112">
        <v>11.68</v>
      </c>
      <c r="F68" s="112">
        <v>15.71</v>
      </c>
      <c r="G68" s="112">
        <v>65.38</v>
      </c>
      <c r="H68" s="112">
        <v>24.5</v>
      </c>
      <c r="I68" s="112">
        <v>7.17</v>
      </c>
      <c r="J68" s="112">
        <v>0.8</v>
      </c>
      <c r="K68" s="112">
        <v>32.159999999999997</v>
      </c>
      <c r="L68" s="112">
        <v>28.55</v>
      </c>
      <c r="M68" s="112">
        <v>28.47</v>
      </c>
      <c r="N68" s="112">
        <v>74.8</v>
      </c>
      <c r="O68" s="112">
        <v>0</v>
      </c>
      <c r="P68" s="112">
        <v>0.57999999999999996</v>
      </c>
      <c r="Q68" s="112">
        <v>4.99</v>
      </c>
    </row>
    <row r="69" spans="1:17" customFormat="1">
      <c r="A69" s="80">
        <v>45612.635416666664</v>
      </c>
      <c r="B69" s="112">
        <v>5.29</v>
      </c>
      <c r="C69" s="112">
        <v>8.08</v>
      </c>
      <c r="D69" s="112">
        <v>14.03</v>
      </c>
      <c r="E69" s="112">
        <v>11.47</v>
      </c>
      <c r="F69" s="112">
        <v>15.42</v>
      </c>
      <c r="G69" s="112">
        <v>65.209999999999994</v>
      </c>
      <c r="H69" s="112">
        <v>24.39</v>
      </c>
      <c r="I69" s="112">
        <v>7.04</v>
      </c>
      <c r="J69" s="112">
        <v>0.32</v>
      </c>
      <c r="K69" s="112">
        <v>46.28</v>
      </c>
      <c r="L69" s="112">
        <v>28.46</v>
      </c>
      <c r="M69" s="112">
        <v>29.29</v>
      </c>
      <c r="N69" s="112">
        <v>59.4</v>
      </c>
      <c r="O69" s="112">
        <v>0</v>
      </c>
      <c r="P69" s="112">
        <v>0.56999999999999995</v>
      </c>
      <c r="Q69" s="112">
        <v>5</v>
      </c>
    </row>
    <row r="70" spans="1:17" customFormat="1">
      <c r="A70" s="80">
        <v>45612.645833333336</v>
      </c>
      <c r="B70" s="112">
        <v>5.28</v>
      </c>
      <c r="C70" s="112">
        <v>8.11</v>
      </c>
      <c r="D70" s="112">
        <v>14.04</v>
      </c>
      <c r="E70" s="112">
        <v>11.76</v>
      </c>
      <c r="F70" s="112">
        <v>12.78</v>
      </c>
      <c r="G70" s="112">
        <v>57.59</v>
      </c>
      <c r="H70" s="112">
        <v>20.87</v>
      </c>
      <c r="I70" s="112">
        <v>6.83</v>
      </c>
      <c r="J70" s="112">
        <v>0.4</v>
      </c>
      <c r="K70" s="112">
        <v>65.319999999999993</v>
      </c>
      <c r="L70" s="112">
        <v>28.26</v>
      </c>
      <c r="M70" s="112">
        <v>29.97</v>
      </c>
      <c r="N70" s="112">
        <v>58.2</v>
      </c>
      <c r="O70" s="112">
        <v>0</v>
      </c>
      <c r="P70" s="112">
        <v>0.55000000000000004</v>
      </c>
      <c r="Q70" s="112">
        <v>4.9800000000000004</v>
      </c>
    </row>
    <row r="71" spans="1:17" customFormat="1">
      <c r="A71" s="80">
        <v>45612.65625</v>
      </c>
      <c r="B71" s="112">
        <v>5.29</v>
      </c>
      <c r="C71" s="112">
        <v>8.11</v>
      </c>
      <c r="D71" s="112">
        <v>14.05</v>
      </c>
      <c r="E71" s="112">
        <v>12.24</v>
      </c>
      <c r="F71" s="112">
        <v>13.71</v>
      </c>
      <c r="G71" s="112">
        <v>57.59</v>
      </c>
      <c r="H71" s="112">
        <v>20.87</v>
      </c>
      <c r="I71" s="112">
        <v>6.69</v>
      </c>
      <c r="J71" s="112">
        <v>0.28999999999999998</v>
      </c>
      <c r="K71" s="112">
        <v>50.49</v>
      </c>
      <c r="L71" s="112">
        <v>28.14</v>
      </c>
      <c r="M71" s="112">
        <v>30.82</v>
      </c>
      <c r="N71" s="112">
        <v>49.5</v>
      </c>
      <c r="O71" s="112">
        <v>0</v>
      </c>
      <c r="P71" s="112">
        <v>0.55000000000000004</v>
      </c>
      <c r="Q71" s="112">
        <v>5</v>
      </c>
    </row>
    <row r="72" spans="1:17" customFormat="1">
      <c r="A72" s="80">
        <v>45612.666666666664</v>
      </c>
      <c r="B72" s="112">
        <v>5.29</v>
      </c>
      <c r="C72" s="112">
        <v>8.09</v>
      </c>
      <c r="D72" s="112">
        <v>14.04</v>
      </c>
      <c r="E72" s="112">
        <v>11.99</v>
      </c>
      <c r="F72" s="112">
        <v>9.7899999999999991</v>
      </c>
      <c r="G72" s="112">
        <v>57.59</v>
      </c>
      <c r="H72" s="112">
        <v>20.87</v>
      </c>
      <c r="I72" s="112">
        <v>6.65</v>
      </c>
      <c r="J72" s="112">
        <v>0.27</v>
      </c>
      <c r="K72" s="112">
        <v>46.64</v>
      </c>
      <c r="L72" s="112">
        <v>27.96</v>
      </c>
      <c r="M72" s="112">
        <v>32.799999999999997</v>
      </c>
      <c r="N72" s="112">
        <v>36.799999999999997</v>
      </c>
      <c r="O72" s="112">
        <v>0</v>
      </c>
      <c r="P72" s="112">
        <v>0.56000000000000005</v>
      </c>
      <c r="Q72" s="112">
        <v>4.9800000000000004</v>
      </c>
    </row>
    <row r="73" spans="1:17" customFormat="1">
      <c r="A73" s="80">
        <v>45612.677083333336</v>
      </c>
      <c r="B73" s="112">
        <v>5.32</v>
      </c>
      <c r="C73" s="112">
        <v>8.06</v>
      </c>
      <c r="D73" s="112">
        <v>14.04</v>
      </c>
      <c r="E73" s="112">
        <v>11.67</v>
      </c>
      <c r="F73" s="112">
        <v>10.37</v>
      </c>
      <c r="G73" s="112">
        <v>57.61</v>
      </c>
      <c r="H73" s="112">
        <v>20.9</v>
      </c>
      <c r="I73" s="112">
        <v>6.72</v>
      </c>
      <c r="J73" s="112">
        <v>0.24</v>
      </c>
      <c r="K73" s="112">
        <v>64.7</v>
      </c>
      <c r="L73" s="112">
        <v>27.35</v>
      </c>
      <c r="M73" s="112">
        <v>35.65</v>
      </c>
      <c r="N73" s="112">
        <v>28.5</v>
      </c>
      <c r="O73" s="112">
        <v>0</v>
      </c>
      <c r="P73" s="112">
        <v>0.55000000000000004</v>
      </c>
      <c r="Q73" s="112">
        <v>4.99</v>
      </c>
    </row>
    <row r="74" spans="1:17" customFormat="1">
      <c r="A74" s="80">
        <v>45612.6875</v>
      </c>
      <c r="B74" s="112">
        <v>5.31</v>
      </c>
      <c r="C74" s="112">
        <v>8.06</v>
      </c>
      <c r="D74" s="112">
        <v>14.04</v>
      </c>
      <c r="E74" s="112">
        <v>11.56</v>
      </c>
      <c r="F74" s="112">
        <v>9.17</v>
      </c>
      <c r="G74" s="112">
        <v>58.48</v>
      </c>
      <c r="H74" s="112">
        <v>21.64</v>
      </c>
      <c r="I74" s="112">
        <v>6.72</v>
      </c>
      <c r="J74" s="112">
        <v>0.16</v>
      </c>
      <c r="K74" s="112">
        <v>155.11000000000001</v>
      </c>
      <c r="L74" s="112">
        <v>26.37</v>
      </c>
      <c r="M74" s="112">
        <v>40.630000000000003</v>
      </c>
      <c r="N74" s="112">
        <v>22.5</v>
      </c>
      <c r="O74" s="112">
        <v>0</v>
      </c>
      <c r="P74" s="112">
        <v>0.55000000000000004</v>
      </c>
      <c r="Q74" s="112">
        <v>4.99</v>
      </c>
    </row>
    <row r="75" spans="1:17" customFormat="1">
      <c r="A75" s="80">
        <v>45612.697916666664</v>
      </c>
      <c r="B75" s="112">
        <v>5.28</v>
      </c>
      <c r="C75" s="112">
        <v>8.11</v>
      </c>
      <c r="D75" s="112">
        <v>14.04</v>
      </c>
      <c r="E75" s="112">
        <v>10.61</v>
      </c>
      <c r="F75" s="112">
        <v>7.99</v>
      </c>
      <c r="G75" s="112">
        <v>58.48</v>
      </c>
      <c r="H75" s="112">
        <v>21.64</v>
      </c>
      <c r="I75" s="112">
        <v>6.7</v>
      </c>
      <c r="J75" s="112">
        <v>0.27</v>
      </c>
      <c r="K75" s="112">
        <v>154.93</v>
      </c>
      <c r="L75" s="112">
        <v>25.72</v>
      </c>
      <c r="M75" s="112">
        <v>44.42</v>
      </c>
      <c r="N75" s="112">
        <v>19.399999999999999</v>
      </c>
      <c r="O75" s="112">
        <v>0</v>
      </c>
      <c r="P75" s="112">
        <v>0.55000000000000004</v>
      </c>
      <c r="Q75" s="112">
        <v>5.01</v>
      </c>
    </row>
    <row r="76" spans="1:17" customFormat="1">
      <c r="A76" s="80">
        <v>45612.708333333336</v>
      </c>
      <c r="B76" s="112">
        <v>5.29</v>
      </c>
      <c r="C76" s="112">
        <v>8.09</v>
      </c>
      <c r="D76" s="112">
        <v>14.04</v>
      </c>
      <c r="E76" s="112">
        <v>11.16</v>
      </c>
      <c r="F76" s="112">
        <v>7.93</v>
      </c>
      <c r="G76" s="112">
        <v>58.48</v>
      </c>
      <c r="H76" s="112">
        <v>21.64</v>
      </c>
      <c r="I76" s="112">
        <v>6.75</v>
      </c>
      <c r="J76" s="112">
        <v>0.16</v>
      </c>
      <c r="K76" s="112">
        <v>77.739999999999995</v>
      </c>
      <c r="L76" s="112">
        <v>25.42</v>
      </c>
      <c r="M76" s="112">
        <v>45.58</v>
      </c>
      <c r="N76" s="112">
        <v>9.5</v>
      </c>
      <c r="O76" s="112">
        <v>0</v>
      </c>
      <c r="P76" s="112">
        <v>0.56000000000000005</v>
      </c>
      <c r="Q76" s="112">
        <v>5</v>
      </c>
    </row>
    <row r="77" spans="1:17" customFormat="1">
      <c r="A77" s="80">
        <v>45612.71875</v>
      </c>
      <c r="B77" s="112">
        <v>5.3</v>
      </c>
      <c r="C77" s="112">
        <v>8.09</v>
      </c>
      <c r="D77" s="112">
        <v>14.04</v>
      </c>
      <c r="E77" s="112">
        <v>10.56</v>
      </c>
      <c r="F77" s="112">
        <v>7.03</v>
      </c>
      <c r="G77" s="112">
        <v>58.62</v>
      </c>
      <c r="H77" s="112">
        <v>21.61</v>
      </c>
      <c r="I77" s="112">
        <v>6.87</v>
      </c>
      <c r="J77" s="112">
        <v>0.26</v>
      </c>
      <c r="K77" s="112">
        <v>154.72999999999999</v>
      </c>
      <c r="L77" s="112">
        <v>24.93</v>
      </c>
      <c r="M77" s="112">
        <v>47.64</v>
      </c>
      <c r="N77" s="112">
        <v>4.0999999999999996</v>
      </c>
      <c r="O77" s="112">
        <v>0</v>
      </c>
      <c r="P77" s="112">
        <v>0.56999999999999995</v>
      </c>
      <c r="Q77" s="112">
        <v>4.99</v>
      </c>
    </row>
    <row r="78" spans="1:17" customFormat="1">
      <c r="A78" s="80">
        <v>45612.729166666664</v>
      </c>
      <c r="B78" s="112">
        <v>5.3</v>
      </c>
      <c r="C78" s="112">
        <v>8.08</v>
      </c>
      <c r="D78" s="112">
        <v>14.04</v>
      </c>
      <c r="E78" s="112">
        <v>11.06</v>
      </c>
      <c r="F78" s="112">
        <v>7.36</v>
      </c>
      <c r="G78" s="112">
        <v>64.760000000000005</v>
      </c>
      <c r="H78" s="112">
        <v>19.43</v>
      </c>
      <c r="I78" s="112">
        <v>7</v>
      </c>
      <c r="J78" s="112">
        <v>0.19</v>
      </c>
      <c r="K78" s="112">
        <v>153.29</v>
      </c>
      <c r="L78" s="112">
        <v>24.37</v>
      </c>
      <c r="M78" s="112">
        <v>49.74</v>
      </c>
      <c r="N78" s="112">
        <v>2.2000000000000002</v>
      </c>
      <c r="O78" s="112">
        <v>0</v>
      </c>
      <c r="P78" s="112">
        <v>0.56999999999999995</v>
      </c>
      <c r="Q78" s="112">
        <v>4.99</v>
      </c>
    </row>
    <row r="79" spans="1:17" customFormat="1">
      <c r="A79" s="80">
        <v>45612.739583333336</v>
      </c>
      <c r="B79" s="112">
        <v>5.29</v>
      </c>
      <c r="C79" s="112">
        <v>8.08</v>
      </c>
      <c r="D79" s="112">
        <v>14.03</v>
      </c>
      <c r="E79" s="112">
        <v>11.44</v>
      </c>
      <c r="F79" s="112">
        <v>6.58</v>
      </c>
      <c r="G79" s="112">
        <v>64.760000000000005</v>
      </c>
      <c r="H79" s="112">
        <v>19.43</v>
      </c>
      <c r="I79" s="112">
        <v>7.08</v>
      </c>
      <c r="J79" s="112">
        <v>0.2</v>
      </c>
      <c r="K79" s="112">
        <v>125.99</v>
      </c>
      <c r="L79" s="112">
        <v>24.23</v>
      </c>
      <c r="M79" s="112">
        <v>49.47</v>
      </c>
      <c r="N79" s="112">
        <v>1.6</v>
      </c>
      <c r="O79" s="112">
        <v>0</v>
      </c>
      <c r="P79" s="112">
        <v>0.6</v>
      </c>
      <c r="Q79" s="112">
        <v>4.97</v>
      </c>
    </row>
    <row r="80" spans="1:17" customFormat="1">
      <c r="A80" s="80">
        <v>45612.75</v>
      </c>
      <c r="B80" s="112">
        <v>5.28</v>
      </c>
      <c r="C80" s="112">
        <v>8.08</v>
      </c>
      <c r="D80" s="112">
        <v>14.03</v>
      </c>
      <c r="E80" s="112">
        <v>11.28</v>
      </c>
      <c r="F80" s="112">
        <v>6.2</v>
      </c>
      <c r="G80" s="112">
        <v>64.760000000000005</v>
      </c>
      <c r="H80" s="112">
        <v>19.43</v>
      </c>
      <c r="I80" s="112">
        <v>7.22</v>
      </c>
      <c r="J80" s="112">
        <v>0.21</v>
      </c>
      <c r="K80" s="112">
        <v>151.87</v>
      </c>
      <c r="L80" s="112">
        <v>23.77</v>
      </c>
      <c r="M80" s="112">
        <v>52.92</v>
      </c>
      <c r="N80" s="112">
        <v>1.9</v>
      </c>
      <c r="O80" s="112">
        <v>0</v>
      </c>
      <c r="P80" s="112">
        <v>0.62</v>
      </c>
      <c r="Q80" s="112">
        <v>4.9800000000000004</v>
      </c>
    </row>
    <row r="81" spans="1:17" customFormat="1">
      <c r="A81" s="80">
        <v>45612.760416666664</v>
      </c>
      <c r="B81" s="112">
        <v>5.28</v>
      </c>
      <c r="C81" s="112">
        <v>8.08</v>
      </c>
      <c r="D81" s="112">
        <v>14.03</v>
      </c>
      <c r="E81" s="112">
        <v>9.6300000000000008</v>
      </c>
      <c r="F81" s="112">
        <v>6.03</v>
      </c>
      <c r="G81" s="112">
        <v>65.17</v>
      </c>
      <c r="H81" s="112">
        <v>19.489999999999998</v>
      </c>
      <c r="I81" s="112">
        <v>7.39</v>
      </c>
      <c r="J81" s="112">
        <v>0.19</v>
      </c>
      <c r="K81" s="112">
        <v>145.72999999999999</v>
      </c>
      <c r="L81" s="112">
        <v>23.51</v>
      </c>
      <c r="M81" s="112">
        <v>52.72</v>
      </c>
      <c r="N81" s="112">
        <v>1.6</v>
      </c>
      <c r="O81" s="112">
        <v>0</v>
      </c>
      <c r="P81" s="112">
        <v>0.65</v>
      </c>
      <c r="Q81" s="112">
        <v>4.99</v>
      </c>
    </row>
    <row r="82" spans="1:17" customFormat="1">
      <c r="A82" s="80">
        <v>45612.770833333336</v>
      </c>
      <c r="B82" s="112">
        <v>5.29</v>
      </c>
      <c r="C82" s="112">
        <v>8.06</v>
      </c>
      <c r="D82" s="112">
        <v>14.02</v>
      </c>
      <c r="E82" s="112">
        <v>10.98</v>
      </c>
      <c r="F82" s="112">
        <v>6.01</v>
      </c>
      <c r="G82" s="112">
        <v>83.6</v>
      </c>
      <c r="H82" s="112">
        <v>23.66</v>
      </c>
      <c r="I82" s="112">
        <v>7.69</v>
      </c>
      <c r="J82" s="112">
        <v>0.14000000000000001</v>
      </c>
      <c r="K82" s="112">
        <v>132.83000000000001</v>
      </c>
      <c r="L82" s="112">
        <v>23.22</v>
      </c>
      <c r="M82" s="112">
        <v>53.18</v>
      </c>
      <c r="N82" s="112">
        <v>1.6</v>
      </c>
      <c r="O82" s="112">
        <v>0</v>
      </c>
      <c r="P82" s="112">
        <v>0.66</v>
      </c>
      <c r="Q82" s="112">
        <v>4.99</v>
      </c>
    </row>
    <row r="83" spans="1:17" customFormat="1">
      <c r="A83" s="80">
        <v>45612.78125</v>
      </c>
      <c r="B83" s="112">
        <v>5.27</v>
      </c>
      <c r="C83" s="112">
        <v>8.11</v>
      </c>
      <c r="D83" s="112">
        <v>14.03</v>
      </c>
      <c r="E83" s="112">
        <v>10.79</v>
      </c>
      <c r="F83" s="112">
        <v>5.84</v>
      </c>
      <c r="G83" s="112">
        <v>83.6</v>
      </c>
      <c r="H83" s="112">
        <v>23.66</v>
      </c>
      <c r="I83" s="112">
        <v>8.0500000000000007</v>
      </c>
      <c r="J83" s="112">
        <v>0.11</v>
      </c>
      <c r="K83" s="112">
        <v>149.63</v>
      </c>
      <c r="L83" s="112">
        <v>22.9</v>
      </c>
      <c r="M83" s="112">
        <v>54.24</v>
      </c>
      <c r="N83" s="112">
        <v>1.6</v>
      </c>
      <c r="O83" s="112">
        <v>0</v>
      </c>
      <c r="P83" s="112">
        <v>0.69</v>
      </c>
      <c r="Q83" s="112">
        <v>4.9800000000000004</v>
      </c>
    </row>
    <row r="84" spans="1:17" customFormat="1">
      <c r="A84" s="80">
        <v>45612.791666666664</v>
      </c>
      <c r="B84" s="112">
        <v>5.28</v>
      </c>
      <c r="C84" s="112">
        <v>8.09</v>
      </c>
      <c r="D84" s="112">
        <v>14.03</v>
      </c>
      <c r="E84" s="112">
        <v>11.34</v>
      </c>
      <c r="F84" s="112">
        <v>5.77</v>
      </c>
      <c r="G84" s="112">
        <v>83.6</v>
      </c>
      <c r="H84" s="112">
        <v>23.66</v>
      </c>
      <c r="I84" s="112">
        <v>8.26</v>
      </c>
      <c r="J84" s="112">
        <v>0.31</v>
      </c>
      <c r="K84" s="112">
        <v>36.729999999999997</v>
      </c>
      <c r="L84" s="112">
        <v>22.85</v>
      </c>
      <c r="M84" s="112">
        <v>52.61</v>
      </c>
      <c r="N84" s="112">
        <v>1</v>
      </c>
      <c r="O84" s="112">
        <v>0</v>
      </c>
      <c r="P84" s="112">
        <v>0.72</v>
      </c>
      <c r="Q84" s="112">
        <v>4.99</v>
      </c>
    </row>
    <row r="85" spans="1:17" customFormat="1">
      <c r="A85" s="80">
        <v>45612.802083333336</v>
      </c>
      <c r="B85" s="112">
        <v>5.29</v>
      </c>
      <c r="C85" s="112">
        <v>8.0500000000000007</v>
      </c>
      <c r="D85" s="112">
        <v>14.02</v>
      </c>
      <c r="E85" s="112">
        <v>11.36</v>
      </c>
      <c r="F85" s="112">
        <v>5.75</v>
      </c>
      <c r="G85" s="112">
        <v>84.21</v>
      </c>
      <c r="H85" s="112">
        <v>23.7</v>
      </c>
      <c r="I85" s="112">
        <v>8.49</v>
      </c>
      <c r="J85" s="112">
        <v>0.26</v>
      </c>
      <c r="K85" s="112">
        <v>152.41</v>
      </c>
      <c r="L85" s="112">
        <v>22.65</v>
      </c>
      <c r="M85" s="112">
        <v>56.35</v>
      </c>
      <c r="N85" s="112">
        <v>1.7</v>
      </c>
      <c r="O85" s="112">
        <v>0</v>
      </c>
      <c r="P85" s="112">
        <v>0.75</v>
      </c>
      <c r="Q85" s="112">
        <v>4.9800000000000004</v>
      </c>
    </row>
    <row r="86" spans="1:17" customFormat="1">
      <c r="A86" s="80">
        <v>45612.8125</v>
      </c>
      <c r="B86" s="112">
        <v>5.28</v>
      </c>
      <c r="C86" s="112">
        <v>8.09</v>
      </c>
      <c r="D86" s="112">
        <v>14.03</v>
      </c>
      <c r="E86" s="112">
        <v>11.64</v>
      </c>
      <c r="F86" s="112">
        <v>5.75</v>
      </c>
      <c r="G86" s="112">
        <v>111.23</v>
      </c>
      <c r="H86" s="112">
        <v>24.95</v>
      </c>
      <c r="I86" s="112">
        <v>8.7200000000000006</v>
      </c>
      <c r="J86" s="112">
        <v>0.21</v>
      </c>
      <c r="K86" s="112">
        <v>175.42</v>
      </c>
      <c r="L86" s="112">
        <v>21.8</v>
      </c>
      <c r="M86" s="112">
        <v>64.180000000000007</v>
      </c>
      <c r="N86" s="112">
        <v>2</v>
      </c>
      <c r="O86" s="112">
        <v>0</v>
      </c>
      <c r="P86" s="112">
        <v>0.76</v>
      </c>
      <c r="Q86" s="112">
        <v>4.96</v>
      </c>
    </row>
    <row r="87" spans="1:17" customFormat="1">
      <c r="A87" s="80">
        <v>45612.822916666664</v>
      </c>
      <c r="B87" s="112">
        <v>5.29</v>
      </c>
      <c r="C87" s="112">
        <v>8.09</v>
      </c>
      <c r="D87" s="112">
        <v>14.04</v>
      </c>
      <c r="E87" s="112">
        <v>11.29</v>
      </c>
      <c r="F87" s="112">
        <v>5.72</v>
      </c>
      <c r="G87" s="112">
        <v>111.23</v>
      </c>
      <c r="H87" s="112">
        <v>24.95</v>
      </c>
      <c r="I87" s="112">
        <v>8.92</v>
      </c>
      <c r="J87" s="112">
        <v>0.16</v>
      </c>
      <c r="K87" s="112">
        <v>178.27</v>
      </c>
      <c r="L87" s="112">
        <v>21.24</v>
      </c>
      <c r="M87" s="112">
        <v>65.62</v>
      </c>
      <c r="N87" s="112">
        <v>1.7</v>
      </c>
      <c r="O87" s="112">
        <v>0</v>
      </c>
      <c r="P87" s="112">
        <v>0.79</v>
      </c>
      <c r="Q87" s="112">
        <v>4.9800000000000004</v>
      </c>
    </row>
    <row r="88" spans="1:17" customFormat="1">
      <c r="A88" s="80">
        <v>45612.833333333336</v>
      </c>
      <c r="B88" s="112">
        <v>5.29</v>
      </c>
      <c r="C88" s="112">
        <v>8.11</v>
      </c>
      <c r="D88" s="112">
        <v>14.04</v>
      </c>
      <c r="E88" s="112">
        <v>11.51</v>
      </c>
      <c r="F88" s="112">
        <v>5.65</v>
      </c>
      <c r="G88" s="112">
        <v>111.23</v>
      </c>
      <c r="H88" s="112">
        <v>24.95</v>
      </c>
      <c r="I88" s="112">
        <v>9.14</v>
      </c>
      <c r="J88" s="112">
        <v>0.19</v>
      </c>
      <c r="K88" s="112">
        <v>180.56</v>
      </c>
      <c r="L88" s="112">
        <v>20.94</v>
      </c>
      <c r="M88" s="112">
        <v>66.900000000000006</v>
      </c>
      <c r="N88" s="112">
        <v>1.5</v>
      </c>
      <c r="O88" s="112">
        <v>0</v>
      </c>
      <c r="P88" s="112">
        <v>0.81</v>
      </c>
      <c r="Q88" s="112">
        <v>4.99</v>
      </c>
    </row>
    <row r="89" spans="1:17" customFormat="1">
      <c r="A89" s="80">
        <v>45612.84375</v>
      </c>
      <c r="B89" s="112">
        <v>5.29</v>
      </c>
      <c r="C89" s="112">
        <v>8.08</v>
      </c>
      <c r="D89" s="112">
        <v>14.03</v>
      </c>
      <c r="E89" s="112">
        <v>11.13</v>
      </c>
      <c r="F89" s="112">
        <v>5.68</v>
      </c>
      <c r="G89" s="112">
        <v>111.41</v>
      </c>
      <c r="H89" s="112">
        <v>25.04</v>
      </c>
      <c r="I89" s="112">
        <v>9.4</v>
      </c>
      <c r="J89" s="112">
        <v>0.1</v>
      </c>
      <c r="K89" s="112">
        <v>158.68</v>
      </c>
      <c r="L89" s="112">
        <v>20.66</v>
      </c>
      <c r="M89" s="112">
        <v>69.849999999999994</v>
      </c>
      <c r="N89" s="112">
        <v>1.4</v>
      </c>
      <c r="O89" s="112">
        <v>0</v>
      </c>
      <c r="P89" s="112">
        <v>0.83</v>
      </c>
      <c r="Q89" s="112">
        <v>4.99</v>
      </c>
    </row>
    <row r="90" spans="1:17" customFormat="1">
      <c r="A90" s="80">
        <v>45612.854166666664</v>
      </c>
      <c r="B90" s="112">
        <v>5.31</v>
      </c>
      <c r="C90" s="112">
        <v>8.0399999999999991</v>
      </c>
      <c r="D90" s="112">
        <v>14.03</v>
      </c>
      <c r="E90" s="112">
        <v>10.93</v>
      </c>
      <c r="F90" s="112">
        <v>5.7</v>
      </c>
      <c r="G90" s="112">
        <v>119.17</v>
      </c>
      <c r="H90" s="112">
        <v>27.98</v>
      </c>
      <c r="I90" s="112">
        <v>9.58</v>
      </c>
      <c r="J90" s="112">
        <v>0.15</v>
      </c>
      <c r="K90" s="112">
        <v>145.74</v>
      </c>
      <c r="L90" s="112">
        <v>20.92</v>
      </c>
      <c r="M90" s="112">
        <v>65.650000000000006</v>
      </c>
      <c r="N90" s="112">
        <v>1.1000000000000001</v>
      </c>
      <c r="O90" s="112">
        <v>0</v>
      </c>
      <c r="P90" s="112">
        <v>0.85</v>
      </c>
      <c r="Q90" s="112">
        <v>5</v>
      </c>
    </row>
    <row r="91" spans="1:17" customFormat="1">
      <c r="A91" s="80">
        <v>45612.864583333336</v>
      </c>
      <c r="B91" s="112">
        <v>5.3</v>
      </c>
      <c r="C91" s="112">
        <v>8.07</v>
      </c>
      <c r="D91" s="112">
        <v>14.04</v>
      </c>
      <c r="E91" s="112">
        <v>10.66</v>
      </c>
      <c r="F91" s="112">
        <v>5.56</v>
      </c>
      <c r="G91" s="112">
        <v>119.17</v>
      </c>
      <c r="H91" s="112">
        <v>27.98</v>
      </c>
      <c r="I91" s="112">
        <v>9.7200000000000006</v>
      </c>
      <c r="J91" s="112">
        <v>0.23</v>
      </c>
      <c r="K91" s="112">
        <v>148.09</v>
      </c>
      <c r="L91" s="112">
        <v>21.11</v>
      </c>
      <c r="M91" s="112">
        <v>64.81</v>
      </c>
      <c r="N91" s="112">
        <v>1.1000000000000001</v>
      </c>
      <c r="O91" s="112">
        <v>0</v>
      </c>
      <c r="P91" s="112">
        <v>0.88</v>
      </c>
      <c r="Q91" s="112">
        <v>4.99</v>
      </c>
    </row>
    <row r="92" spans="1:17" customFormat="1">
      <c r="A92" s="80">
        <v>45612.875</v>
      </c>
      <c r="B92" s="112">
        <v>5.31</v>
      </c>
      <c r="C92" s="112">
        <v>8.07</v>
      </c>
      <c r="D92" s="112">
        <v>14.05</v>
      </c>
      <c r="E92" s="112">
        <v>10.58</v>
      </c>
      <c r="F92" s="112">
        <v>5.49</v>
      </c>
      <c r="G92" s="112">
        <v>119.17</v>
      </c>
      <c r="H92" s="112">
        <v>27.98</v>
      </c>
      <c r="I92" s="112">
        <v>9.86</v>
      </c>
      <c r="J92" s="112">
        <v>0.18</v>
      </c>
      <c r="K92" s="112">
        <v>166.06</v>
      </c>
      <c r="L92" s="112">
        <v>20.99</v>
      </c>
      <c r="M92" s="112">
        <v>70</v>
      </c>
      <c r="N92" s="112">
        <v>1.4</v>
      </c>
      <c r="O92" s="112">
        <v>0</v>
      </c>
      <c r="P92" s="112">
        <v>0.91</v>
      </c>
      <c r="Q92" s="112">
        <v>4.99</v>
      </c>
    </row>
    <row r="93" spans="1:17" customFormat="1">
      <c r="A93" s="80">
        <v>45612.885416666664</v>
      </c>
      <c r="B93" s="112">
        <v>5.3</v>
      </c>
      <c r="C93" s="112">
        <v>8.08</v>
      </c>
      <c r="D93" s="112">
        <v>14.04</v>
      </c>
      <c r="E93" s="112">
        <v>10.49</v>
      </c>
      <c r="F93" s="112">
        <v>5.6</v>
      </c>
      <c r="G93" s="112">
        <v>119.29</v>
      </c>
      <c r="H93" s="112">
        <v>27.93</v>
      </c>
      <c r="I93" s="112">
        <v>10.1</v>
      </c>
      <c r="J93" s="112">
        <v>0.19</v>
      </c>
      <c r="K93" s="112">
        <v>158.12</v>
      </c>
      <c r="L93" s="112">
        <v>20.68</v>
      </c>
      <c r="M93" s="112">
        <v>71.400000000000006</v>
      </c>
      <c r="N93" s="112">
        <v>1.3</v>
      </c>
      <c r="O93" s="112">
        <v>0</v>
      </c>
      <c r="P93" s="112">
        <v>0.92</v>
      </c>
      <c r="Q93" s="112">
        <v>5</v>
      </c>
    </row>
    <row r="94" spans="1:17" customFormat="1">
      <c r="A94" s="80">
        <v>45612.895833333336</v>
      </c>
      <c r="B94" s="112">
        <v>5.3</v>
      </c>
      <c r="C94" s="112">
        <v>8.08</v>
      </c>
      <c r="D94" s="112">
        <v>14.04</v>
      </c>
      <c r="E94" s="112">
        <v>10.78</v>
      </c>
      <c r="F94" s="112">
        <v>5.47</v>
      </c>
      <c r="G94" s="112">
        <v>124.23</v>
      </c>
      <c r="H94" s="112">
        <v>25.03</v>
      </c>
      <c r="I94" s="112">
        <v>10.3</v>
      </c>
      <c r="J94" s="112">
        <v>0.2</v>
      </c>
      <c r="K94" s="112">
        <v>161.24</v>
      </c>
      <c r="L94" s="112">
        <v>20.88</v>
      </c>
      <c r="M94" s="112">
        <v>67.69</v>
      </c>
      <c r="N94" s="112">
        <v>1.3</v>
      </c>
      <c r="O94" s="112">
        <v>0</v>
      </c>
      <c r="P94" s="112">
        <v>0.92</v>
      </c>
      <c r="Q94" s="112">
        <v>4.99</v>
      </c>
    </row>
    <row r="95" spans="1:17" customFormat="1">
      <c r="A95" s="80">
        <v>45612.90625</v>
      </c>
      <c r="B95" s="112">
        <v>5.3</v>
      </c>
      <c r="C95" s="112">
        <v>8.07</v>
      </c>
      <c r="D95" s="112">
        <v>14.03</v>
      </c>
      <c r="E95" s="112">
        <v>10.58</v>
      </c>
      <c r="F95" s="112">
        <v>5.59</v>
      </c>
      <c r="G95" s="112">
        <v>124.23</v>
      </c>
      <c r="H95" s="112">
        <v>25.03</v>
      </c>
      <c r="I95" s="112">
        <v>10.46</v>
      </c>
      <c r="J95" s="112">
        <v>0.21</v>
      </c>
      <c r="K95" s="112">
        <v>175.59</v>
      </c>
      <c r="L95" s="112">
        <v>20.3</v>
      </c>
      <c r="M95" s="112">
        <v>74.849999999999994</v>
      </c>
      <c r="N95" s="112">
        <v>1.7</v>
      </c>
      <c r="O95" s="112">
        <v>0</v>
      </c>
      <c r="P95" s="112">
        <v>0.92</v>
      </c>
      <c r="Q95" s="112">
        <v>5</v>
      </c>
    </row>
    <row r="96" spans="1:17" customFormat="1">
      <c r="A96" s="80">
        <v>45612.916666666664</v>
      </c>
      <c r="B96" s="112">
        <v>5.3</v>
      </c>
      <c r="C96" s="112">
        <v>8.08</v>
      </c>
      <c r="D96" s="112">
        <v>14.04</v>
      </c>
      <c r="E96" s="112">
        <v>10.74</v>
      </c>
      <c r="F96" s="112">
        <v>5.69</v>
      </c>
      <c r="G96" s="112">
        <v>124.23</v>
      </c>
      <c r="H96" s="112">
        <v>25.03</v>
      </c>
      <c r="I96" s="112">
        <v>10.57</v>
      </c>
      <c r="J96" s="112">
        <v>0.18</v>
      </c>
      <c r="K96" s="112">
        <v>210.87</v>
      </c>
      <c r="L96" s="112">
        <v>19.82</v>
      </c>
      <c r="M96" s="112">
        <v>75.69</v>
      </c>
      <c r="N96" s="112">
        <v>1.7</v>
      </c>
      <c r="O96" s="112">
        <v>0</v>
      </c>
      <c r="P96" s="112">
        <v>0.92</v>
      </c>
      <c r="Q96" s="112">
        <v>4.9800000000000004</v>
      </c>
    </row>
    <row r="97" spans="1:22" customFormat="1">
      <c r="A97" s="80">
        <v>45612.927083333336</v>
      </c>
      <c r="B97" s="112">
        <v>5.3</v>
      </c>
      <c r="C97" s="112">
        <v>8.06</v>
      </c>
      <c r="D97" s="112">
        <v>14.03</v>
      </c>
      <c r="E97" s="112">
        <v>10.72</v>
      </c>
      <c r="F97" s="112">
        <v>5.46</v>
      </c>
      <c r="G97" s="112">
        <v>124.03</v>
      </c>
      <c r="H97" s="112">
        <v>25.12</v>
      </c>
      <c r="I97" s="112">
        <v>10.57</v>
      </c>
      <c r="J97" s="112">
        <v>0.21</v>
      </c>
      <c r="K97" s="112">
        <v>193.65</v>
      </c>
      <c r="L97" s="112">
        <v>19.62</v>
      </c>
      <c r="M97" s="112">
        <v>78.16</v>
      </c>
      <c r="N97" s="112">
        <v>1.4</v>
      </c>
      <c r="O97" s="112">
        <v>0</v>
      </c>
      <c r="P97" s="112">
        <v>0.92</v>
      </c>
      <c r="Q97" s="112">
        <v>4.99</v>
      </c>
    </row>
    <row r="98" spans="1:22" customFormat="1">
      <c r="A98" s="80">
        <v>45612.9375</v>
      </c>
      <c r="B98" s="112">
        <v>5.3</v>
      </c>
      <c r="C98" s="112">
        <v>8.07</v>
      </c>
      <c r="D98" s="112">
        <v>14.04</v>
      </c>
      <c r="E98" s="112">
        <v>10.81</v>
      </c>
      <c r="F98" s="112">
        <v>5.47</v>
      </c>
      <c r="G98" s="112">
        <v>114.84</v>
      </c>
      <c r="H98" s="112">
        <v>27.9</v>
      </c>
      <c r="I98" s="112">
        <v>10.55</v>
      </c>
      <c r="J98" s="112">
        <v>0.2</v>
      </c>
      <c r="K98" s="112">
        <v>190.88</v>
      </c>
      <c r="L98" s="112">
        <v>19.37</v>
      </c>
      <c r="M98" s="112">
        <v>78.56</v>
      </c>
      <c r="N98" s="112">
        <v>1.5</v>
      </c>
      <c r="O98" s="112">
        <v>0</v>
      </c>
      <c r="P98" s="112">
        <v>0.92</v>
      </c>
      <c r="Q98" s="112">
        <v>4.9800000000000004</v>
      </c>
    </row>
    <row r="99" spans="1:22" customFormat="1">
      <c r="A99" s="80">
        <v>45612.947916666664</v>
      </c>
      <c r="B99" s="112">
        <v>5.29</v>
      </c>
      <c r="C99" s="112">
        <v>8.08</v>
      </c>
      <c r="D99" s="112">
        <v>14.03</v>
      </c>
      <c r="E99" s="112">
        <v>10.5</v>
      </c>
      <c r="F99" s="112">
        <v>5.44</v>
      </c>
      <c r="G99" s="112">
        <v>114.84</v>
      </c>
      <c r="H99" s="112">
        <v>27.9</v>
      </c>
      <c r="I99" s="112">
        <v>10.56</v>
      </c>
      <c r="J99" s="112">
        <v>0.22</v>
      </c>
      <c r="K99" s="112">
        <v>204.46</v>
      </c>
      <c r="L99" s="112">
        <v>19.18</v>
      </c>
      <c r="M99" s="112">
        <v>78.099999999999994</v>
      </c>
      <c r="N99" s="112">
        <v>1.4</v>
      </c>
      <c r="O99" s="112">
        <v>0</v>
      </c>
      <c r="P99" s="112">
        <v>0.93</v>
      </c>
      <c r="Q99" s="112">
        <v>4.9800000000000004</v>
      </c>
    </row>
    <row r="100" spans="1:22" customFormat="1">
      <c r="A100" s="80">
        <v>45612.958333333336</v>
      </c>
      <c r="B100" s="112">
        <v>5.28</v>
      </c>
      <c r="C100" s="112">
        <v>8.07</v>
      </c>
      <c r="D100" s="112">
        <v>14.01</v>
      </c>
      <c r="E100" s="112">
        <v>10.5</v>
      </c>
      <c r="F100" s="112">
        <v>5.42</v>
      </c>
      <c r="G100" s="112">
        <v>114.84</v>
      </c>
      <c r="H100" s="112">
        <v>27.9</v>
      </c>
      <c r="I100" s="112">
        <v>10.57</v>
      </c>
      <c r="J100" s="112">
        <v>0.2</v>
      </c>
      <c r="K100" s="112">
        <v>214.42</v>
      </c>
      <c r="L100" s="112">
        <v>18.86</v>
      </c>
      <c r="M100" s="112">
        <v>76.87</v>
      </c>
      <c r="N100" s="112">
        <v>1.6</v>
      </c>
      <c r="O100" s="112">
        <v>0</v>
      </c>
      <c r="P100" s="112">
        <v>0.93</v>
      </c>
      <c r="Q100" s="112">
        <v>5</v>
      </c>
    </row>
    <row r="101" spans="1:22" customFormat="1">
      <c r="A101" s="80">
        <v>45612.96875</v>
      </c>
      <c r="B101" s="112">
        <v>5.28</v>
      </c>
      <c r="C101" s="112">
        <v>8.1</v>
      </c>
      <c r="D101" s="112">
        <v>14.04</v>
      </c>
      <c r="E101" s="112">
        <v>10.71</v>
      </c>
      <c r="F101" s="112">
        <v>5.64</v>
      </c>
      <c r="G101" s="112">
        <v>114.8</v>
      </c>
      <c r="H101" s="112">
        <v>27.91</v>
      </c>
      <c r="I101" s="112">
        <v>10.51</v>
      </c>
      <c r="J101" s="112">
        <v>0.18</v>
      </c>
      <c r="K101" s="112">
        <v>228.76</v>
      </c>
      <c r="L101" s="112">
        <v>18.71</v>
      </c>
      <c r="M101" s="112">
        <v>78.16</v>
      </c>
      <c r="N101" s="112">
        <v>1.4</v>
      </c>
      <c r="O101" s="112">
        <v>0</v>
      </c>
      <c r="P101" s="112">
        <v>0.92</v>
      </c>
      <c r="Q101" s="112">
        <v>4.99</v>
      </c>
    </row>
    <row r="102" spans="1:22" customFormat="1">
      <c r="A102" s="80">
        <v>45612.979166666664</v>
      </c>
      <c r="B102" s="112">
        <v>5.29</v>
      </c>
      <c r="C102" s="112">
        <v>8.08</v>
      </c>
      <c r="D102" s="112">
        <v>14.03</v>
      </c>
      <c r="E102" s="112">
        <v>10.82</v>
      </c>
      <c r="F102" s="112">
        <v>5.69</v>
      </c>
      <c r="G102" s="112">
        <v>113.43</v>
      </c>
      <c r="H102" s="112">
        <v>28.11</v>
      </c>
      <c r="I102" s="112">
        <v>10.46</v>
      </c>
      <c r="J102" s="112">
        <v>0.26</v>
      </c>
      <c r="K102" s="112">
        <v>242.43</v>
      </c>
      <c r="L102" s="112">
        <v>18.52</v>
      </c>
      <c r="M102" s="112">
        <v>77.34</v>
      </c>
      <c r="N102" s="112">
        <v>1.4</v>
      </c>
      <c r="O102" s="112">
        <v>0</v>
      </c>
      <c r="P102" s="112">
        <v>0.9</v>
      </c>
      <c r="Q102" s="112">
        <v>5</v>
      </c>
    </row>
    <row r="103" spans="1:22" customFormat="1">
      <c r="A103" s="80">
        <v>45612.989583333336</v>
      </c>
      <c r="B103" s="112">
        <v>5.3</v>
      </c>
      <c r="C103" s="112">
        <v>8.07</v>
      </c>
      <c r="D103" s="112">
        <v>14.03</v>
      </c>
      <c r="E103" s="112">
        <v>10.01</v>
      </c>
      <c r="F103" s="112">
        <v>5.75</v>
      </c>
      <c r="G103" s="112">
        <v>113.43</v>
      </c>
      <c r="H103" s="112">
        <v>28.11</v>
      </c>
      <c r="I103" s="112">
        <v>10.43</v>
      </c>
      <c r="J103" s="112">
        <v>0.12</v>
      </c>
      <c r="K103" s="112">
        <v>192.14</v>
      </c>
      <c r="L103" s="112">
        <v>18.66</v>
      </c>
      <c r="M103" s="112">
        <v>73.61</v>
      </c>
      <c r="N103" s="112">
        <v>1.2</v>
      </c>
      <c r="O103" s="112">
        <v>0</v>
      </c>
      <c r="P103" s="112">
        <v>0.89</v>
      </c>
      <c r="Q103" s="112">
        <v>5</v>
      </c>
    </row>
    <row r="104" spans="1:22" customFormat="1">
      <c r="A104" s="80">
        <v>45613</v>
      </c>
      <c r="B104" s="112">
        <v>5.3</v>
      </c>
      <c r="C104" s="112">
        <v>8.07</v>
      </c>
      <c r="D104" s="112">
        <v>14.03</v>
      </c>
      <c r="E104" s="112">
        <v>10.57</v>
      </c>
      <c r="F104" s="112">
        <v>5.92</v>
      </c>
      <c r="G104" s="112">
        <v>113.43</v>
      </c>
      <c r="H104" s="112">
        <v>28.11</v>
      </c>
      <c r="I104" s="112">
        <v>10.37</v>
      </c>
      <c r="J104" s="112">
        <v>0.14000000000000001</v>
      </c>
      <c r="K104" s="112">
        <v>213.18</v>
      </c>
      <c r="L104" s="112">
        <v>18.62</v>
      </c>
      <c r="M104" s="112">
        <v>74.44</v>
      </c>
      <c r="N104" s="112">
        <v>1.3</v>
      </c>
      <c r="O104" s="112">
        <v>0</v>
      </c>
      <c r="P104" s="112">
        <v>0.88</v>
      </c>
      <c r="Q104" s="112">
        <v>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5.23</v>
      </c>
      <c r="C106" s="183">
        <f>MIN(C9:C104)</f>
        <v>8.0399999999999991</v>
      </c>
      <c r="D106" s="183">
        <f t="shared" ref="D106:Q106" si="0">MIN(D9:D104)</f>
        <v>14</v>
      </c>
      <c r="E106" s="183">
        <f t="shared" si="0"/>
        <v>7.83</v>
      </c>
      <c r="F106" s="183">
        <f t="shared" si="0"/>
        <v>5.4</v>
      </c>
      <c r="G106" s="183">
        <f t="shared" si="0"/>
        <v>57.59</v>
      </c>
      <c r="H106" s="183">
        <f t="shared" si="0"/>
        <v>19.43</v>
      </c>
      <c r="I106" s="183">
        <f t="shared" si="0"/>
        <v>6.65</v>
      </c>
      <c r="J106" s="183">
        <f t="shared" si="0"/>
        <v>0.04</v>
      </c>
      <c r="K106" s="183">
        <f t="shared" si="0"/>
        <v>3.66</v>
      </c>
      <c r="L106" s="183">
        <f t="shared" si="0"/>
        <v>16.260000000000002</v>
      </c>
      <c r="M106" s="183">
        <f t="shared" si="0"/>
        <v>28.35</v>
      </c>
      <c r="N106" s="183">
        <f t="shared" si="0"/>
        <v>1</v>
      </c>
      <c r="O106" s="183">
        <f t="shared" si="0"/>
        <v>0</v>
      </c>
      <c r="P106" s="183">
        <f t="shared" si="0"/>
        <v>0.55000000000000004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5.34</v>
      </c>
      <c r="C107" s="184">
        <f t="shared" ref="C107:Q107" si="1">MAX(C9:C104)</f>
        <v>8.17</v>
      </c>
      <c r="D107" s="184">
        <f t="shared" si="1"/>
        <v>14.07</v>
      </c>
      <c r="E107" s="184">
        <f t="shared" si="1"/>
        <v>12.6</v>
      </c>
      <c r="F107" s="184">
        <f t="shared" si="1"/>
        <v>15.71</v>
      </c>
      <c r="G107" s="184">
        <f t="shared" si="1"/>
        <v>124.23</v>
      </c>
      <c r="H107" s="184">
        <f t="shared" si="1"/>
        <v>38.630000000000003</v>
      </c>
      <c r="I107" s="184">
        <f t="shared" si="1"/>
        <v>11.67</v>
      </c>
      <c r="J107" s="184">
        <f t="shared" si="1"/>
        <v>0.97</v>
      </c>
      <c r="K107" s="184">
        <f t="shared" si="1"/>
        <v>321.69</v>
      </c>
      <c r="L107" s="184">
        <f t="shared" si="1"/>
        <v>29.83</v>
      </c>
      <c r="M107" s="184">
        <f t="shared" si="1"/>
        <v>89.35</v>
      </c>
      <c r="N107" s="184">
        <f t="shared" si="1"/>
        <v>570.6</v>
      </c>
      <c r="O107" s="184">
        <f t="shared" si="1"/>
        <v>0</v>
      </c>
      <c r="P107" s="184">
        <f t="shared" si="1"/>
        <v>0.93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5.2933333333333357</v>
      </c>
      <c r="C108" s="183">
        <f t="shared" ref="C108:Q108" si="2">AVERAGE(C9:C104)</f>
        <v>8.0816666666666723</v>
      </c>
      <c r="D108" s="183">
        <f t="shared" si="2"/>
        <v>14.034687499999981</v>
      </c>
      <c r="E108" s="183">
        <f t="shared" si="2"/>
        <v>10.3871875</v>
      </c>
      <c r="F108" s="183">
        <f t="shared" si="2"/>
        <v>7.3532291666666678</v>
      </c>
      <c r="G108" s="183">
        <f t="shared" si="2"/>
        <v>91.952395833333313</v>
      </c>
      <c r="H108" s="183">
        <f t="shared" si="2"/>
        <v>29.344270833333308</v>
      </c>
      <c r="I108" s="183">
        <f t="shared" si="2"/>
        <v>9.5747916666666679</v>
      </c>
      <c r="J108" s="183">
        <f t="shared" si="2"/>
        <v>0.33343750000000005</v>
      </c>
      <c r="K108" s="183">
        <f t="shared" si="2"/>
        <v>116.00979166666662</v>
      </c>
      <c r="L108" s="183">
        <f t="shared" si="2"/>
        <v>22.474166666666662</v>
      </c>
      <c r="M108" s="183">
        <f t="shared" si="2"/>
        <v>58.400208333333318</v>
      </c>
      <c r="N108" s="183">
        <f t="shared" si="2"/>
        <v>122.79895833333337</v>
      </c>
      <c r="O108" s="183">
        <f t="shared" si="2"/>
        <v>0</v>
      </c>
      <c r="P108" s="183">
        <f t="shared" si="2"/>
        <v>0.76083333333333325</v>
      </c>
      <c r="Q108" s="183">
        <f t="shared" si="2"/>
        <v>4.9902083333333378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1.7451687698007021E-2</v>
      </c>
      <c r="C109" s="183">
        <f t="shared" ref="C109:Q109" si="3">STDEV(C9:C104)</f>
        <v>1.8618986725024989E-2</v>
      </c>
      <c r="D109" s="183">
        <f t="shared" si="3"/>
        <v>1.3684653332916727E-2</v>
      </c>
      <c r="E109" s="183">
        <f t="shared" si="3"/>
        <v>1.0300226907311842</v>
      </c>
      <c r="F109" s="183">
        <f t="shared" si="3"/>
        <v>2.9283307602910313</v>
      </c>
      <c r="G109" s="183">
        <f t="shared" si="3"/>
        <v>19.896853744660355</v>
      </c>
      <c r="H109" s="183">
        <f t="shared" si="3"/>
        <v>5.2773760914008347</v>
      </c>
      <c r="I109" s="183">
        <f t="shared" si="3"/>
        <v>1.5497816343069319</v>
      </c>
      <c r="J109" s="183">
        <f t="shared" si="3"/>
        <v>0.24512006993351346</v>
      </c>
      <c r="K109" s="183">
        <f t="shared" si="3"/>
        <v>73.467145782518614</v>
      </c>
      <c r="L109" s="183">
        <f t="shared" si="3"/>
        <v>4.4625738777117734</v>
      </c>
      <c r="M109" s="183">
        <f t="shared" si="3"/>
        <v>19.90622536738686</v>
      </c>
      <c r="N109" s="183">
        <f t="shared" si="3"/>
        <v>197.99478807323857</v>
      </c>
      <c r="O109" s="183">
        <f t="shared" si="3"/>
        <v>0</v>
      </c>
      <c r="P109" s="183">
        <f t="shared" si="3"/>
        <v>0.11504385128853471</v>
      </c>
      <c r="Q109" s="183">
        <f t="shared" si="3"/>
        <v>8.9418197449330807E-3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45613.010416666664</v>
      </c>
      <c r="B9" s="112">
        <v>5.18</v>
      </c>
      <c r="C9" s="112">
        <v>8.0299999999999994</v>
      </c>
      <c r="D9" s="112">
        <v>13.92</v>
      </c>
      <c r="E9" s="112">
        <v>10.74</v>
      </c>
      <c r="F9" s="112">
        <v>6.02</v>
      </c>
      <c r="G9" s="112">
        <v>113.33</v>
      </c>
      <c r="H9" s="112">
        <v>28.16</v>
      </c>
      <c r="I9" s="112">
        <v>10.29</v>
      </c>
      <c r="J9" s="112">
        <v>0.13</v>
      </c>
      <c r="K9" s="112">
        <v>213.56</v>
      </c>
      <c r="L9" s="112">
        <v>18.350000000000001</v>
      </c>
      <c r="M9" s="112">
        <v>80.84</v>
      </c>
      <c r="N9" s="112">
        <v>1.4</v>
      </c>
      <c r="O9" s="112">
        <v>0</v>
      </c>
      <c r="P9" s="112">
        <v>0.87</v>
      </c>
      <c r="Q9" s="112">
        <v>4.99</v>
      </c>
    </row>
    <row r="10" spans="1:21" customFormat="1">
      <c r="A10" s="80">
        <v>45613.020833333336</v>
      </c>
      <c r="B10" s="112">
        <v>5.18</v>
      </c>
      <c r="C10" s="112">
        <v>8.0500000000000007</v>
      </c>
      <c r="D10" s="112">
        <v>13.93</v>
      </c>
      <c r="E10" s="112">
        <v>10.59</v>
      </c>
      <c r="F10" s="112">
        <v>5.92</v>
      </c>
      <c r="G10" s="112">
        <v>108.96</v>
      </c>
      <c r="H10" s="112">
        <v>29.77</v>
      </c>
      <c r="I10" s="112">
        <v>10.220000000000001</v>
      </c>
      <c r="J10" s="112">
        <v>0.14000000000000001</v>
      </c>
      <c r="K10" s="112">
        <v>210.27</v>
      </c>
      <c r="L10" s="112">
        <v>18.22</v>
      </c>
      <c r="M10" s="112">
        <v>82.74</v>
      </c>
      <c r="N10" s="112">
        <v>1.3</v>
      </c>
      <c r="O10" s="112">
        <v>0</v>
      </c>
      <c r="P10" s="112">
        <v>0.85</v>
      </c>
      <c r="Q10" s="112">
        <v>4.99</v>
      </c>
    </row>
    <row r="11" spans="1:21" customFormat="1">
      <c r="A11" s="80">
        <v>45613.03125</v>
      </c>
      <c r="B11" s="112">
        <v>5.18</v>
      </c>
      <c r="C11" s="112">
        <v>8.07</v>
      </c>
      <c r="D11" s="112">
        <v>13.94</v>
      </c>
      <c r="E11" s="112">
        <v>10.23</v>
      </c>
      <c r="F11" s="112">
        <v>5.76</v>
      </c>
      <c r="G11" s="112">
        <v>108.96</v>
      </c>
      <c r="H11" s="112">
        <v>29.77</v>
      </c>
      <c r="I11" s="112">
        <v>10.130000000000001</v>
      </c>
      <c r="J11" s="112">
        <v>0.12</v>
      </c>
      <c r="K11" s="112">
        <v>178.57</v>
      </c>
      <c r="L11" s="112">
        <v>18.02</v>
      </c>
      <c r="M11" s="112">
        <v>80.3</v>
      </c>
      <c r="N11" s="112">
        <v>1.3</v>
      </c>
      <c r="O11" s="112">
        <v>0</v>
      </c>
      <c r="P11" s="112">
        <v>0.84</v>
      </c>
      <c r="Q11" s="112">
        <v>4.99</v>
      </c>
    </row>
    <row r="12" spans="1:21" customFormat="1">
      <c r="A12" s="80">
        <v>45613.041666666664</v>
      </c>
      <c r="B12" s="112">
        <v>5.16</v>
      </c>
      <c r="C12" s="112">
        <v>8.1199999999999992</v>
      </c>
      <c r="D12" s="112">
        <v>13.95</v>
      </c>
      <c r="E12" s="112">
        <v>10.47</v>
      </c>
      <c r="F12" s="112">
        <v>5.81</v>
      </c>
      <c r="G12" s="112">
        <v>108.96</v>
      </c>
      <c r="H12" s="112">
        <v>29.77</v>
      </c>
      <c r="I12" s="112">
        <v>10.039999999999999</v>
      </c>
      <c r="J12" s="112">
        <v>0.11</v>
      </c>
      <c r="K12" s="112">
        <v>215.88</v>
      </c>
      <c r="L12" s="112">
        <v>18.03</v>
      </c>
      <c r="M12" s="112">
        <v>85.09</v>
      </c>
      <c r="N12" s="112">
        <v>1.2</v>
      </c>
      <c r="O12" s="112">
        <v>0</v>
      </c>
      <c r="P12" s="112">
        <v>0.83</v>
      </c>
      <c r="Q12" s="112">
        <v>4.99</v>
      </c>
    </row>
    <row r="13" spans="1:21" customFormat="1">
      <c r="A13" s="80">
        <v>45613.052083333336</v>
      </c>
      <c r="B13" s="112">
        <v>5.17</v>
      </c>
      <c r="C13" s="112">
        <v>8.1</v>
      </c>
      <c r="D13" s="112">
        <v>13.94</v>
      </c>
      <c r="E13" s="112">
        <v>10.37</v>
      </c>
      <c r="F13" s="112">
        <v>5.84</v>
      </c>
      <c r="G13" s="112">
        <v>108.58</v>
      </c>
      <c r="H13" s="112">
        <v>29.74</v>
      </c>
      <c r="I13" s="112">
        <v>9.99</v>
      </c>
      <c r="J13" s="112">
        <v>0.14000000000000001</v>
      </c>
      <c r="K13" s="112">
        <v>228.44</v>
      </c>
      <c r="L13" s="112">
        <v>17.760000000000002</v>
      </c>
      <c r="M13" s="112">
        <v>83.07</v>
      </c>
      <c r="N13" s="112">
        <v>1.4</v>
      </c>
      <c r="O13" s="112">
        <v>0</v>
      </c>
      <c r="P13" s="112">
        <v>0.82</v>
      </c>
      <c r="Q13" s="112">
        <v>5.01</v>
      </c>
    </row>
    <row r="14" spans="1:21" customFormat="1">
      <c r="A14" s="80">
        <v>45613.0625</v>
      </c>
      <c r="B14" s="112">
        <v>5.17</v>
      </c>
      <c r="C14" s="112">
        <v>8.07</v>
      </c>
      <c r="D14" s="112">
        <v>13.93</v>
      </c>
      <c r="E14" s="112">
        <v>10.69</v>
      </c>
      <c r="F14" s="112">
        <v>6</v>
      </c>
      <c r="G14" s="112">
        <v>91.93</v>
      </c>
      <c r="H14" s="112">
        <v>27.84</v>
      </c>
      <c r="I14" s="112">
        <v>9.92</v>
      </c>
      <c r="J14" s="112">
        <v>0.12</v>
      </c>
      <c r="K14" s="112">
        <v>235.3</v>
      </c>
      <c r="L14" s="112">
        <v>17.71</v>
      </c>
      <c r="M14" s="112">
        <v>80.55</v>
      </c>
      <c r="N14" s="112">
        <v>1.3</v>
      </c>
      <c r="O14" s="112">
        <v>0</v>
      </c>
      <c r="P14" s="112">
        <v>0.8</v>
      </c>
      <c r="Q14" s="112">
        <v>4.9800000000000004</v>
      </c>
    </row>
    <row r="15" spans="1:21" customFormat="1">
      <c r="A15" s="80">
        <v>45613.072916666664</v>
      </c>
      <c r="B15" s="112">
        <v>5.16</v>
      </c>
      <c r="C15" s="112">
        <v>8.09</v>
      </c>
      <c r="D15" s="112">
        <v>13.94</v>
      </c>
      <c r="E15" s="112">
        <v>10.66</v>
      </c>
      <c r="F15" s="112">
        <v>5.83</v>
      </c>
      <c r="G15" s="112">
        <v>91.93</v>
      </c>
      <c r="H15" s="112">
        <v>27.84</v>
      </c>
      <c r="I15" s="112">
        <v>9.85</v>
      </c>
      <c r="J15" s="112">
        <v>0.12</v>
      </c>
      <c r="K15" s="112">
        <v>191.43</v>
      </c>
      <c r="L15" s="112">
        <v>17.8</v>
      </c>
      <c r="M15" s="112">
        <v>81.62</v>
      </c>
      <c r="N15" s="112">
        <v>1.3</v>
      </c>
      <c r="O15" s="112">
        <v>0</v>
      </c>
      <c r="P15" s="112">
        <v>0.79</v>
      </c>
      <c r="Q15" s="112">
        <v>4.9800000000000004</v>
      </c>
    </row>
    <row r="16" spans="1:21" customFormat="1">
      <c r="A16" s="80">
        <v>45613.083333333336</v>
      </c>
      <c r="B16" s="112">
        <v>5.18</v>
      </c>
      <c r="C16" s="112">
        <v>8.09</v>
      </c>
      <c r="D16" s="112">
        <v>13.95</v>
      </c>
      <c r="E16" s="112">
        <v>10.75</v>
      </c>
      <c r="F16" s="112">
        <v>5.78</v>
      </c>
      <c r="G16" s="112">
        <v>91.93</v>
      </c>
      <c r="H16" s="112">
        <v>27.84</v>
      </c>
      <c r="I16" s="112">
        <v>9.76</v>
      </c>
      <c r="J16" s="112">
        <v>0.47</v>
      </c>
      <c r="K16" s="112">
        <v>35.24</v>
      </c>
      <c r="L16" s="112">
        <v>17.98</v>
      </c>
      <c r="M16" s="112">
        <v>77.91</v>
      </c>
      <c r="N16" s="112">
        <v>0.8</v>
      </c>
      <c r="O16" s="112">
        <v>0</v>
      </c>
      <c r="P16" s="112">
        <v>0.77</v>
      </c>
      <c r="Q16" s="112">
        <v>4.99</v>
      </c>
    </row>
    <row r="17" spans="1:17" customFormat="1">
      <c r="A17" s="80">
        <v>45613.09375</v>
      </c>
      <c r="B17" s="112">
        <v>5.19</v>
      </c>
      <c r="C17" s="112">
        <v>8.11</v>
      </c>
      <c r="D17" s="112">
        <v>13.96</v>
      </c>
      <c r="E17" s="112">
        <v>8.3699999999999992</v>
      </c>
      <c r="F17" s="112">
        <v>5.75</v>
      </c>
      <c r="G17" s="112">
        <v>91.6</v>
      </c>
      <c r="H17" s="112">
        <v>27.83</v>
      </c>
      <c r="I17" s="112">
        <v>9.68</v>
      </c>
      <c r="J17" s="112">
        <v>0.2</v>
      </c>
      <c r="K17" s="112">
        <v>9.3000000000000007</v>
      </c>
      <c r="L17" s="112">
        <v>18.59</v>
      </c>
      <c r="M17" s="112">
        <v>69.67</v>
      </c>
      <c r="N17" s="112">
        <v>1</v>
      </c>
      <c r="O17" s="112">
        <v>0</v>
      </c>
      <c r="P17" s="112">
        <v>0.77</v>
      </c>
      <c r="Q17" s="112">
        <v>4.99</v>
      </c>
    </row>
    <row r="18" spans="1:17" customFormat="1">
      <c r="A18" s="80">
        <v>45613.104166666664</v>
      </c>
      <c r="B18" s="112">
        <v>5.2</v>
      </c>
      <c r="C18" s="112">
        <v>8.08</v>
      </c>
      <c r="D18" s="112">
        <v>13.96</v>
      </c>
      <c r="E18" s="112">
        <v>9.51</v>
      </c>
      <c r="F18" s="112">
        <v>5.79</v>
      </c>
      <c r="G18" s="112">
        <v>77.08</v>
      </c>
      <c r="H18" s="112">
        <v>27.59</v>
      </c>
      <c r="I18" s="112">
        <v>9.61</v>
      </c>
      <c r="J18" s="112">
        <v>0.04</v>
      </c>
      <c r="K18" s="112">
        <v>246.2</v>
      </c>
      <c r="L18" s="112">
        <v>18.329999999999998</v>
      </c>
      <c r="M18" s="112">
        <v>72.19</v>
      </c>
      <c r="N18" s="112">
        <v>1.5</v>
      </c>
      <c r="O18" s="112">
        <v>0</v>
      </c>
      <c r="P18" s="112">
        <v>0.78</v>
      </c>
      <c r="Q18" s="112">
        <v>4.99</v>
      </c>
    </row>
    <row r="19" spans="1:17" customFormat="1">
      <c r="A19" s="80">
        <v>45613.114583333336</v>
      </c>
      <c r="B19" s="112">
        <v>5.19</v>
      </c>
      <c r="C19" s="112">
        <v>8.08</v>
      </c>
      <c r="D19" s="112">
        <v>13.95</v>
      </c>
      <c r="E19" s="112">
        <v>9.56</v>
      </c>
      <c r="F19" s="112">
        <v>5.67</v>
      </c>
      <c r="G19" s="112">
        <v>77.08</v>
      </c>
      <c r="H19" s="112">
        <v>27.59</v>
      </c>
      <c r="I19" s="112">
        <v>9.6300000000000008</v>
      </c>
      <c r="J19" s="112">
        <v>0.14000000000000001</v>
      </c>
      <c r="K19" s="112">
        <v>186.86</v>
      </c>
      <c r="L19" s="112">
        <v>17.989999999999998</v>
      </c>
      <c r="M19" s="112">
        <v>75.349999999999994</v>
      </c>
      <c r="N19" s="112">
        <v>1.7</v>
      </c>
      <c r="O19" s="112">
        <v>0</v>
      </c>
      <c r="P19" s="112">
        <v>0.78</v>
      </c>
      <c r="Q19" s="112">
        <v>4.99</v>
      </c>
    </row>
    <row r="20" spans="1:17" customFormat="1">
      <c r="A20" s="80">
        <v>45613.125</v>
      </c>
      <c r="B20" s="112">
        <v>5.18</v>
      </c>
      <c r="C20" s="112">
        <v>8.09</v>
      </c>
      <c r="D20" s="112">
        <v>13.95</v>
      </c>
      <c r="E20" s="112">
        <v>9.52</v>
      </c>
      <c r="F20" s="112">
        <v>5.7</v>
      </c>
      <c r="G20" s="112">
        <v>77.08</v>
      </c>
      <c r="H20" s="112">
        <v>27.59</v>
      </c>
      <c r="I20" s="112">
        <v>9.6999999999999993</v>
      </c>
      <c r="J20" s="112">
        <v>0.16</v>
      </c>
      <c r="K20" s="112">
        <v>199.41</v>
      </c>
      <c r="L20" s="112">
        <v>17.600000000000001</v>
      </c>
      <c r="M20" s="112">
        <v>81.92</v>
      </c>
      <c r="N20" s="112">
        <v>1.7</v>
      </c>
      <c r="O20" s="112">
        <v>0</v>
      </c>
      <c r="P20" s="112">
        <v>0.8</v>
      </c>
      <c r="Q20" s="112">
        <v>5.01</v>
      </c>
    </row>
    <row r="21" spans="1:17" customFormat="1">
      <c r="A21" s="80">
        <v>45613.135416666664</v>
      </c>
      <c r="B21" s="112">
        <v>5.2</v>
      </c>
      <c r="C21" s="112">
        <v>8.07</v>
      </c>
      <c r="D21" s="112">
        <v>13.95</v>
      </c>
      <c r="E21" s="112">
        <v>9.16</v>
      </c>
      <c r="F21" s="112">
        <v>5.63</v>
      </c>
      <c r="G21" s="112">
        <v>77.59</v>
      </c>
      <c r="H21" s="112">
        <v>27.61</v>
      </c>
      <c r="I21" s="112">
        <v>9.85</v>
      </c>
      <c r="J21" s="112">
        <v>0.13</v>
      </c>
      <c r="K21" s="112">
        <v>173.29</v>
      </c>
      <c r="L21" s="112">
        <v>17.29</v>
      </c>
      <c r="M21" s="112">
        <v>84.34</v>
      </c>
      <c r="N21" s="112">
        <v>1.5</v>
      </c>
      <c r="O21" s="112">
        <v>0</v>
      </c>
      <c r="P21" s="112">
        <v>0.82</v>
      </c>
      <c r="Q21" s="112">
        <v>4.99</v>
      </c>
    </row>
    <row r="22" spans="1:17" customFormat="1">
      <c r="A22" s="80">
        <v>45613.145833333336</v>
      </c>
      <c r="B22" s="112">
        <v>5.21</v>
      </c>
      <c r="C22" s="112">
        <v>8.08</v>
      </c>
      <c r="D22" s="112">
        <v>13.97</v>
      </c>
      <c r="E22" s="112">
        <v>9.3699999999999992</v>
      </c>
      <c r="F22" s="112">
        <v>5.52</v>
      </c>
      <c r="G22" s="112">
        <v>100.26</v>
      </c>
      <c r="H22" s="112">
        <v>28.92</v>
      </c>
      <c r="I22" s="112">
        <v>10.029999999999999</v>
      </c>
      <c r="J22" s="112">
        <v>0.21</v>
      </c>
      <c r="K22" s="112">
        <v>245.58</v>
      </c>
      <c r="L22" s="112">
        <v>17.02</v>
      </c>
      <c r="M22" s="112">
        <v>84.71</v>
      </c>
      <c r="N22" s="112">
        <v>1.5</v>
      </c>
      <c r="O22" s="112">
        <v>0</v>
      </c>
      <c r="P22" s="112">
        <v>0.84</v>
      </c>
      <c r="Q22" s="112">
        <v>4.99</v>
      </c>
    </row>
    <row r="23" spans="1:17" customFormat="1">
      <c r="A23" s="80">
        <v>45613.15625</v>
      </c>
      <c r="B23" s="112">
        <v>5.2</v>
      </c>
      <c r="C23" s="112">
        <v>8.08</v>
      </c>
      <c r="D23" s="112">
        <v>13.96</v>
      </c>
      <c r="E23" s="112">
        <v>9.35</v>
      </c>
      <c r="F23" s="112">
        <v>5.57</v>
      </c>
      <c r="G23" s="112">
        <v>100.26</v>
      </c>
      <c r="H23" s="112">
        <v>28.92</v>
      </c>
      <c r="I23" s="112">
        <v>10.15</v>
      </c>
      <c r="J23" s="112">
        <v>0.12</v>
      </c>
      <c r="K23" s="112">
        <v>190.31</v>
      </c>
      <c r="L23" s="112">
        <v>17.059999999999999</v>
      </c>
      <c r="M23" s="112">
        <v>82.86</v>
      </c>
      <c r="N23" s="112">
        <v>1.3</v>
      </c>
      <c r="O23" s="112">
        <v>0</v>
      </c>
      <c r="P23" s="112">
        <v>0.86</v>
      </c>
      <c r="Q23" s="112">
        <v>4.9800000000000004</v>
      </c>
    </row>
    <row r="24" spans="1:17" customFormat="1">
      <c r="A24" s="80">
        <v>45613.166666666664</v>
      </c>
      <c r="B24" s="112">
        <v>5.2</v>
      </c>
      <c r="C24" s="112">
        <v>8.09</v>
      </c>
      <c r="D24" s="112">
        <v>13.97</v>
      </c>
      <c r="E24" s="112">
        <v>9.11</v>
      </c>
      <c r="F24" s="112">
        <v>5.53</v>
      </c>
      <c r="G24" s="112">
        <v>100.26</v>
      </c>
      <c r="H24" s="112">
        <v>28.92</v>
      </c>
      <c r="I24" s="112">
        <v>10.31</v>
      </c>
      <c r="J24" s="112">
        <v>0.12</v>
      </c>
      <c r="K24" s="112">
        <v>176.14</v>
      </c>
      <c r="L24" s="112">
        <v>16.89</v>
      </c>
      <c r="M24" s="112">
        <v>87.25</v>
      </c>
      <c r="N24" s="112">
        <v>1.4</v>
      </c>
      <c r="O24" s="112">
        <v>0</v>
      </c>
      <c r="P24" s="112">
        <v>0.89</v>
      </c>
      <c r="Q24" s="112">
        <v>4.9800000000000004</v>
      </c>
    </row>
    <row r="25" spans="1:17" customFormat="1">
      <c r="A25" s="80">
        <v>45613.177083333336</v>
      </c>
      <c r="B25" s="112">
        <v>5.21</v>
      </c>
      <c r="C25" s="112">
        <v>8.07</v>
      </c>
      <c r="D25" s="112">
        <v>13.96</v>
      </c>
      <c r="E25" s="112">
        <v>9.26</v>
      </c>
      <c r="F25" s="112">
        <v>5.55</v>
      </c>
      <c r="G25" s="112">
        <v>100.56</v>
      </c>
      <c r="H25" s="112">
        <v>28.94</v>
      </c>
      <c r="I25" s="112">
        <v>10.48</v>
      </c>
      <c r="J25" s="112">
        <v>0.12</v>
      </c>
      <c r="K25" s="112">
        <v>213.5</v>
      </c>
      <c r="L25" s="112">
        <v>16.66</v>
      </c>
      <c r="M25" s="112">
        <v>89.66</v>
      </c>
      <c r="N25" s="112">
        <v>1.4</v>
      </c>
      <c r="O25" s="112">
        <v>0</v>
      </c>
      <c r="P25" s="112">
        <v>0.92</v>
      </c>
      <c r="Q25" s="112">
        <v>4.9800000000000004</v>
      </c>
    </row>
    <row r="26" spans="1:17" customFormat="1">
      <c r="A26" s="80">
        <v>45613.1875</v>
      </c>
      <c r="B26" s="112">
        <v>5.21</v>
      </c>
      <c r="C26" s="112">
        <v>8.0399999999999991</v>
      </c>
      <c r="D26" s="112">
        <v>13.95</v>
      </c>
      <c r="E26" s="112">
        <v>8.83</v>
      </c>
      <c r="F26" s="112">
        <v>5.49</v>
      </c>
      <c r="G26" s="112">
        <v>114.09</v>
      </c>
      <c r="H26" s="112">
        <v>30.85</v>
      </c>
      <c r="I26" s="112">
        <v>10.62</v>
      </c>
      <c r="J26" s="112">
        <v>0.12</v>
      </c>
      <c r="K26" s="112">
        <v>129.62</v>
      </c>
      <c r="L26" s="112">
        <v>16.63</v>
      </c>
      <c r="M26" s="112">
        <v>89.49</v>
      </c>
      <c r="N26" s="112">
        <v>1.3</v>
      </c>
      <c r="O26" s="112">
        <v>0</v>
      </c>
      <c r="P26" s="112">
        <v>0.93</v>
      </c>
      <c r="Q26" s="112">
        <v>4.9800000000000004</v>
      </c>
    </row>
    <row r="27" spans="1:17" customFormat="1">
      <c r="A27" s="80">
        <v>45613.197916666664</v>
      </c>
      <c r="B27" s="112">
        <v>5.21</v>
      </c>
      <c r="C27" s="112">
        <v>8.02</v>
      </c>
      <c r="D27" s="112">
        <v>13.94</v>
      </c>
      <c r="E27" s="112">
        <v>8.9499999999999993</v>
      </c>
      <c r="F27" s="112">
        <v>5.44</v>
      </c>
      <c r="G27" s="112">
        <v>114.09</v>
      </c>
      <c r="H27" s="112">
        <v>30.85</v>
      </c>
      <c r="I27" s="112">
        <v>10.75</v>
      </c>
      <c r="J27" s="112">
        <v>0.15</v>
      </c>
      <c r="K27" s="112">
        <v>117.43</v>
      </c>
      <c r="L27" s="112">
        <v>16.690000000000001</v>
      </c>
      <c r="M27" s="112">
        <v>87.19</v>
      </c>
      <c r="N27" s="112">
        <v>1.3</v>
      </c>
      <c r="O27" s="112">
        <v>0</v>
      </c>
      <c r="P27" s="112">
        <v>0.95</v>
      </c>
      <c r="Q27" s="112">
        <v>4.9800000000000004</v>
      </c>
    </row>
    <row r="28" spans="1:17" customFormat="1">
      <c r="A28" s="80">
        <v>45613.208333333336</v>
      </c>
      <c r="B28" s="112">
        <v>5.21</v>
      </c>
      <c r="C28" s="112">
        <v>8.08</v>
      </c>
      <c r="D28" s="112">
        <v>13.96</v>
      </c>
      <c r="E28" s="112">
        <v>9.3000000000000007</v>
      </c>
      <c r="F28" s="112">
        <v>5.5</v>
      </c>
      <c r="G28" s="112">
        <v>114.09</v>
      </c>
      <c r="H28" s="112">
        <v>30.85</v>
      </c>
      <c r="I28" s="112">
        <v>10.87</v>
      </c>
      <c r="J28" s="112">
        <v>0.14000000000000001</v>
      </c>
      <c r="K28" s="112">
        <v>91.59</v>
      </c>
      <c r="L28" s="112">
        <v>17.059999999999999</v>
      </c>
      <c r="M28" s="112">
        <v>81.17</v>
      </c>
      <c r="N28" s="112">
        <v>1.2</v>
      </c>
      <c r="O28" s="112">
        <v>0</v>
      </c>
      <c r="P28" s="112">
        <v>0.99</v>
      </c>
      <c r="Q28" s="112">
        <v>4.9800000000000004</v>
      </c>
    </row>
    <row r="29" spans="1:17" customFormat="1">
      <c r="A29" s="80">
        <v>45613.21875</v>
      </c>
      <c r="B29" s="112">
        <v>5.22</v>
      </c>
      <c r="C29" s="112">
        <v>8.06</v>
      </c>
      <c r="D29" s="112">
        <v>13.97</v>
      </c>
      <c r="E29" s="112">
        <v>9.56</v>
      </c>
      <c r="F29" s="112">
        <v>5.59</v>
      </c>
      <c r="G29" s="112">
        <v>114.2</v>
      </c>
      <c r="H29" s="112">
        <v>30.89</v>
      </c>
      <c r="I29" s="112">
        <v>10.99</v>
      </c>
      <c r="J29" s="112">
        <v>0.2</v>
      </c>
      <c r="K29" s="112">
        <v>75.27</v>
      </c>
      <c r="L29" s="112">
        <v>17.170000000000002</v>
      </c>
      <c r="M29" s="112">
        <v>78.47</v>
      </c>
      <c r="N29" s="112">
        <v>1.1000000000000001</v>
      </c>
      <c r="O29" s="112">
        <v>0</v>
      </c>
      <c r="P29" s="112">
        <v>1.03</v>
      </c>
      <c r="Q29" s="112">
        <v>4.9800000000000004</v>
      </c>
    </row>
    <row r="30" spans="1:17" customFormat="1">
      <c r="A30" s="80">
        <v>45613.229166666664</v>
      </c>
      <c r="B30" s="112">
        <v>5.22</v>
      </c>
      <c r="C30" s="112">
        <v>8.06</v>
      </c>
      <c r="D30" s="112">
        <v>13.97</v>
      </c>
      <c r="E30" s="112">
        <v>9.5299999999999994</v>
      </c>
      <c r="F30" s="112">
        <v>5.45</v>
      </c>
      <c r="G30" s="112">
        <v>119.03</v>
      </c>
      <c r="H30" s="112">
        <v>33.47</v>
      </c>
      <c r="I30" s="112">
        <v>11.16</v>
      </c>
      <c r="J30" s="112">
        <v>0.05</v>
      </c>
      <c r="K30" s="112">
        <v>192.37</v>
      </c>
      <c r="L30" s="112">
        <v>17.13</v>
      </c>
      <c r="M30" s="112">
        <v>78.84</v>
      </c>
      <c r="N30" s="112">
        <v>1.3</v>
      </c>
      <c r="O30" s="112">
        <v>0</v>
      </c>
      <c r="P30" s="112">
        <v>1.06</v>
      </c>
      <c r="Q30" s="112">
        <v>5</v>
      </c>
    </row>
    <row r="31" spans="1:17" customFormat="1">
      <c r="A31" s="80">
        <v>45613.239583333336</v>
      </c>
      <c r="B31" s="112">
        <v>5.22</v>
      </c>
      <c r="C31" s="112">
        <v>8.0399999999999991</v>
      </c>
      <c r="D31" s="112">
        <v>13.95</v>
      </c>
      <c r="E31" s="112">
        <v>9.4</v>
      </c>
      <c r="F31" s="112">
        <v>5.49</v>
      </c>
      <c r="G31" s="112">
        <v>119.03</v>
      </c>
      <c r="H31" s="112">
        <v>33.47</v>
      </c>
      <c r="I31" s="112">
        <v>11.32</v>
      </c>
      <c r="J31" s="112">
        <v>0.11</v>
      </c>
      <c r="K31" s="112">
        <v>191.01</v>
      </c>
      <c r="L31" s="112">
        <v>16.78</v>
      </c>
      <c r="M31" s="112">
        <v>81.819999999999993</v>
      </c>
      <c r="N31" s="112">
        <v>1.6</v>
      </c>
      <c r="O31" s="112">
        <v>0</v>
      </c>
      <c r="P31" s="112">
        <v>1.1100000000000001</v>
      </c>
      <c r="Q31" s="112">
        <v>4.99</v>
      </c>
    </row>
    <row r="32" spans="1:17" customFormat="1">
      <c r="A32" s="80">
        <v>45613.25</v>
      </c>
      <c r="B32" s="112">
        <v>5.2</v>
      </c>
      <c r="C32" s="112">
        <v>8.07</v>
      </c>
      <c r="D32" s="112">
        <v>13.95</v>
      </c>
      <c r="E32" s="112">
        <v>8.8699999999999992</v>
      </c>
      <c r="F32" s="112">
        <v>5.43</v>
      </c>
      <c r="G32" s="112">
        <v>119.03</v>
      </c>
      <c r="H32" s="112">
        <v>33.47</v>
      </c>
      <c r="I32" s="112">
        <v>11.47</v>
      </c>
      <c r="J32" s="112">
        <v>0.14000000000000001</v>
      </c>
      <c r="K32" s="112">
        <v>193.11</v>
      </c>
      <c r="L32" s="112">
        <v>16.670000000000002</v>
      </c>
      <c r="M32" s="112">
        <v>84.82</v>
      </c>
      <c r="N32" s="112">
        <v>2.2000000000000002</v>
      </c>
      <c r="O32" s="112">
        <v>0</v>
      </c>
      <c r="P32" s="112">
        <v>1.1499999999999999</v>
      </c>
      <c r="Q32" s="112">
        <v>4.9800000000000004</v>
      </c>
    </row>
    <row r="33" spans="1:17" customFormat="1">
      <c r="A33" s="80">
        <v>45613.260416666664</v>
      </c>
      <c r="B33" s="112">
        <v>5.2</v>
      </c>
      <c r="C33" s="112">
        <v>8.1</v>
      </c>
      <c r="D33" s="112">
        <v>13.97</v>
      </c>
      <c r="E33" s="112">
        <v>8.9499999999999993</v>
      </c>
      <c r="F33" s="112">
        <v>5.35</v>
      </c>
      <c r="G33" s="112">
        <v>119.03</v>
      </c>
      <c r="H33" s="112">
        <v>33.520000000000003</v>
      </c>
      <c r="I33" s="112">
        <v>11.64</v>
      </c>
      <c r="J33" s="112">
        <v>0.15</v>
      </c>
      <c r="K33" s="112">
        <v>192.33</v>
      </c>
      <c r="L33" s="112">
        <v>16.54</v>
      </c>
      <c r="M33" s="112">
        <v>89.89</v>
      </c>
      <c r="N33" s="112">
        <v>5.6</v>
      </c>
      <c r="O33" s="112">
        <v>0</v>
      </c>
      <c r="P33" s="112">
        <v>1.21</v>
      </c>
      <c r="Q33" s="112">
        <v>5</v>
      </c>
    </row>
    <row r="34" spans="1:17" customFormat="1">
      <c r="A34" s="80">
        <v>45613.270833333336</v>
      </c>
      <c r="B34" s="112">
        <v>5.23</v>
      </c>
      <c r="C34" s="112">
        <v>8.07</v>
      </c>
      <c r="D34" s="112">
        <v>13.97</v>
      </c>
      <c r="E34" s="112">
        <v>8.7100000000000009</v>
      </c>
      <c r="F34" s="112">
        <v>5.21</v>
      </c>
      <c r="G34" s="112">
        <v>118.72</v>
      </c>
      <c r="H34" s="112">
        <v>36.9</v>
      </c>
      <c r="I34" s="112">
        <v>11.81</v>
      </c>
      <c r="J34" s="112">
        <v>0.15</v>
      </c>
      <c r="K34" s="112">
        <v>217.37</v>
      </c>
      <c r="L34" s="112">
        <v>16.399999999999999</v>
      </c>
      <c r="M34" s="112">
        <v>90.6</v>
      </c>
      <c r="N34" s="112">
        <v>13.1</v>
      </c>
      <c r="O34" s="112">
        <v>0</v>
      </c>
      <c r="P34" s="112">
        <v>1.24</v>
      </c>
      <c r="Q34" s="112">
        <v>5.01</v>
      </c>
    </row>
    <row r="35" spans="1:17" customFormat="1">
      <c r="A35" s="80">
        <v>45613.28125</v>
      </c>
      <c r="B35" s="112">
        <v>5.24</v>
      </c>
      <c r="C35" s="112">
        <v>8.02</v>
      </c>
      <c r="D35" s="112">
        <v>13.96</v>
      </c>
      <c r="E35" s="112">
        <v>8.51</v>
      </c>
      <c r="F35" s="112">
        <v>5.34</v>
      </c>
      <c r="G35" s="112">
        <v>118.72</v>
      </c>
      <c r="H35" s="112">
        <v>36.9</v>
      </c>
      <c r="I35" s="112">
        <v>11.89</v>
      </c>
      <c r="J35" s="112">
        <v>0.14000000000000001</v>
      </c>
      <c r="K35" s="112">
        <v>193.63</v>
      </c>
      <c r="L35" s="112">
        <v>16.59</v>
      </c>
      <c r="M35" s="112">
        <v>90.02</v>
      </c>
      <c r="N35" s="112">
        <v>23.2</v>
      </c>
      <c r="O35" s="112">
        <v>0</v>
      </c>
      <c r="P35" s="112">
        <v>1.25</v>
      </c>
      <c r="Q35" s="112">
        <v>4.99</v>
      </c>
    </row>
    <row r="36" spans="1:17" customFormat="1">
      <c r="A36" s="80">
        <v>45613.291666666664</v>
      </c>
      <c r="B36" s="112">
        <v>5.23</v>
      </c>
      <c r="C36" s="112">
        <v>8.0299999999999994</v>
      </c>
      <c r="D36" s="112">
        <v>13.96</v>
      </c>
      <c r="E36" s="112">
        <v>9.0299999999999994</v>
      </c>
      <c r="F36" s="112">
        <v>5.59</v>
      </c>
      <c r="G36" s="112">
        <v>118.72</v>
      </c>
      <c r="H36" s="112">
        <v>36.9</v>
      </c>
      <c r="I36" s="112">
        <v>11.94</v>
      </c>
      <c r="J36" s="112">
        <v>0.15</v>
      </c>
      <c r="K36" s="112">
        <v>177.89</v>
      </c>
      <c r="L36" s="112">
        <v>17.12</v>
      </c>
      <c r="M36" s="112">
        <v>88.21</v>
      </c>
      <c r="N36" s="112">
        <v>35.700000000000003</v>
      </c>
      <c r="O36" s="112">
        <v>0</v>
      </c>
      <c r="P36" s="112">
        <v>1.28</v>
      </c>
      <c r="Q36" s="112">
        <v>4.9800000000000004</v>
      </c>
    </row>
    <row r="37" spans="1:17" customFormat="1">
      <c r="A37" s="80">
        <v>45613.302083333336</v>
      </c>
      <c r="B37" s="112">
        <v>5.22</v>
      </c>
      <c r="C37" s="112">
        <v>8.07</v>
      </c>
      <c r="D37" s="112">
        <v>13.97</v>
      </c>
      <c r="E37" s="112">
        <v>8.92</v>
      </c>
      <c r="F37" s="112">
        <v>5.47</v>
      </c>
      <c r="G37" s="112">
        <v>118.63</v>
      </c>
      <c r="H37" s="112">
        <v>36.909999999999997</v>
      </c>
      <c r="I37" s="112">
        <v>11.99</v>
      </c>
      <c r="J37" s="112">
        <v>0.24</v>
      </c>
      <c r="K37" s="112">
        <v>160.41999999999999</v>
      </c>
      <c r="L37" s="112">
        <v>17.75</v>
      </c>
      <c r="M37" s="112">
        <v>83.88</v>
      </c>
      <c r="N37" s="112">
        <v>49</v>
      </c>
      <c r="O37" s="112">
        <v>0</v>
      </c>
      <c r="P37" s="112">
        <v>1.28</v>
      </c>
      <c r="Q37" s="112">
        <v>4.9800000000000004</v>
      </c>
    </row>
    <row r="38" spans="1:17" customFormat="1">
      <c r="A38" s="80">
        <v>45613.3125</v>
      </c>
      <c r="B38" s="112">
        <v>5.22</v>
      </c>
      <c r="C38" s="112">
        <v>8.0500000000000007</v>
      </c>
      <c r="D38" s="112">
        <v>13.96</v>
      </c>
      <c r="E38" s="112">
        <v>9.06</v>
      </c>
      <c r="F38" s="112">
        <v>5.35</v>
      </c>
      <c r="G38" s="112">
        <v>114.43</v>
      </c>
      <c r="H38" s="112">
        <v>37.880000000000003</v>
      </c>
      <c r="I38" s="112">
        <v>12.02</v>
      </c>
      <c r="J38" s="112">
        <v>0.12</v>
      </c>
      <c r="K38" s="112">
        <v>224.87</v>
      </c>
      <c r="L38" s="112">
        <v>18.309999999999999</v>
      </c>
      <c r="M38" s="112">
        <v>81.63</v>
      </c>
      <c r="N38" s="112">
        <v>63.1</v>
      </c>
      <c r="O38" s="112">
        <v>0</v>
      </c>
      <c r="P38" s="112">
        <v>1.28</v>
      </c>
      <c r="Q38" s="112">
        <v>4.9800000000000004</v>
      </c>
    </row>
    <row r="39" spans="1:17" customFormat="1">
      <c r="A39" s="80">
        <v>45613.322916666664</v>
      </c>
      <c r="B39" s="112">
        <v>5.22</v>
      </c>
      <c r="C39" s="112">
        <v>8.06</v>
      </c>
      <c r="D39" s="112">
        <v>13.96</v>
      </c>
      <c r="E39" s="112">
        <v>8.77</v>
      </c>
      <c r="F39" s="112">
        <v>5.44</v>
      </c>
      <c r="G39" s="112">
        <v>114.43</v>
      </c>
      <c r="H39" s="112">
        <v>37.880000000000003</v>
      </c>
      <c r="I39" s="112">
        <v>12.02</v>
      </c>
      <c r="J39" s="112">
        <v>0.17</v>
      </c>
      <c r="K39" s="112">
        <v>187.38</v>
      </c>
      <c r="L39" s="112">
        <v>19.16</v>
      </c>
      <c r="M39" s="112">
        <v>79.099999999999994</v>
      </c>
      <c r="N39" s="112">
        <v>114.6</v>
      </c>
      <c r="O39" s="112">
        <v>0</v>
      </c>
      <c r="P39" s="112">
        <v>1.29</v>
      </c>
      <c r="Q39" s="112">
        <v>4.9800000000000004</v>
      </c>
    </row>
    <row r="40" spans="1:17" customFormat="1">
      <c r="A40" s="80">
        <v>45613.333333333336</v>
      </c>
      <c r="B40" s="112">
        <v>5.21</v>
      </c>
      <c r="C40" s="112">
        <v>8.1</v>
      </c>
      <c r="D40" s="112">
        <v>13.98</v>
      </c>
      <c r="E40" s="112">
        <v>9.06</v>
      </c>
      <c r="F40" s="112">
        <v>5.49</v>
      </c>
      <c r="G40" s="112">
        <v>114.43</v>
      </c>
      <c r="H40" s="112">
        <v>37.880000000000003</v>
      </c>
      <c r="I40" s="112">
        <v>12.06</v>
      </c>
      <c r="J40" s="112">
        <v>7.0000000000000007E-2</v>
      </c>
      <c r="K40" s="112">
        <v>107.37</v>
      </c>
      <c r="L40" s="112">
        <v>20.12</v>
      </c>
      <c r="M40" s="112">
        <v>72.03</v>
      </c>
      <c r="N40" s="112">
        <v>156.6</v>
      </c>
      <c r="O40" s="112">
        <v>0</v>
      </c>
      <c r="P40" s="112">
        <v>1.29</v>
      </c>
      <c r="Q40" s="112">
        <v>4.99</v>
      </c>
    </row>
    <row r="41" spans="1:17" customFormat="1">
      <c r="A41" s="80">
        <v>45613.34375</v>
      </c>
      <c r="B41" s="112">
        <v>5.2</v>
      </c>
      <c r="C41" s="112">
        <v>8.08</v>
      </c>
      <c r="D41" s="112">
        <v>13.96</v>
      </c>
      <c r="E41" s="112">
        <v>8.92</v>
      </c>
      <c r="F41" s="112">
        <v>5.59</v>
      </c>
      <c r="G41" s="112">
        <v>114.31</v>
      </c>
      <c r="H41" s="112">
        <v>37.85</v>
      </c>
      <c r="I41" s="112">
        <v>12.11</v>
      </c>
      <c r="J41" s="112">
        <v>0.55000000000000004</v>
      </c>
      <c r="K41" s="112">
        <v>47.7</v>
      </c>
      <c r="L41" s="112">
        <v>21.25</v>
      </c>
      <c r="M41" s="112">
        <v>64.11</v>
      </c>
      <c r="N41" s="112">
        <v>187.4</v>
      </c>
      <c r="O41" s="112">
        <v>0</v>
      </c>
      <c r="P41" s="112">
        <v>1.27</v>
      </c>
      <c r="Q41" s="112">
        <v>4.9800000000000004</v>
      </c>
    </row>
    <row r="42" spans="1:17" customFormat="1">
      <c r="A42" s="80">
        <v>45613.354166666664</v>
      </c>
      <c r="B42" s="112">
        <v>5.2</v>
      </c>
      <c r="C42" s="112">
        <v>8.1</v>
      </c>
      <c r="D42" s="112">
        <v>13.97</v>
      </c>
      <c r="E42" s="112">
        <v>8.67</v>
      </c>
      <c r="F42" s="112">
        <v>5.7</v>
      </c>
      <c r="G42" s="112">
        <v>109.17</v>
      </c>
      <c r="H42" s="112">
        <v>35.82</v>
      </c>
      <c r="I42" s="112">
        <v>12.17</v>
      </c>
      <c r="J42" s="112">
        <v>0.45</v>
      </c>
      <c r="K42" s="112">
        <v>64.760000000000005</v>
      </c>
      <c r="L42" s="112">
        <v>21.93</v>
      </c>
      <c r="M42" s="112">
        <v>61.42</v>
      </c>
      <c r="N42" s="112">
        <v>187.7</v>
      </c>
      <c r="O42" s="112">
        <v>0</v>
      </c>
      <c r="P42" s="112">
        <v>1.24</v>
      </c>
      <c r="Q42" s="112">
        <v>4.9800000000000004</v>
      </c>
    </row>
    <row r="43" spans="1:17" customFormat="1">
      <c r="A43" s="80">
        <v>45613.364583333336</v>
      </c>
      <c r="B43" s="112">
        <v>5.21</v>
      </c>
      <c r="C43" s="112">
        <v>8.08</v>
      </c>
      <c r="D43" s="112">
        <v>13.96</v>
      </c>
      <c r="E43" s="112">
        <v>9.27</v>
      </c>
      <c r="F43" s="112">
        <v>5.83</v>
      </c>
      <c r="G43" s="112">
        <v>109.17</v>
      </c>
      <c r="H43" s="112">
        <v>35.82</v>
      </c>
      <c r="I43" s="112">
        <v>12.25</v>
      </c>
      <c r="J43" s="112">
        <v>0.46</v>
      </c>
      <c r="K43" s="112">
        <v>57.76</v>
      </c>
      <c r="L43" s="112">
        <v>22.88</v>
      </c>
      <c r="M43" s="112">
        <v>57.24</v>
      </c>
      <c r="N43" s="112">
        <v>204.4</v>
      </c>
      <c r="O43" s="112">
        <v>0</v>
      </c>
      <c r="P43" s="112">
        <v>1.22</v>
      </c>
      <c r="Q43" s="112">
        <v>4.99</v>
      </c>
    </row>
    <row r="44" spans="1:17" customFormat="1">
      <c r="A44" s="80">
        <v>45613.375</v>
      </c>
      <c r="B44" s="112">
        <v>5.21</v>
      </c>
      <c r="C44" s="112">
        <v>8.09</v>
      </c>
      <c r="D44" s="112">
        <v>13.97</v>
      </c>
      <c r="E44" s="112">
        <v>9.0299999999999994</v>
      </c>
      <c r="F44" s="112">
        <v>6.1</v>
      </c>
      <c r="G44" s="112">
        <v>109.17</v>
      </c>
      <c r="H44" s="112">
        <v>35.82</v>
      </c>
      <c r="I44" s="112">
        <v>12.24</v>
      </c>
      <c r="J44" s="112">
        <v>0.54</v>
      </c>
      <c r="K44" s="112">
        <v>48.23</v>
      </c>
      <c r="L44" s="112">
        <v>23.23</v>
      </c>
      <c r="M44" s="112">
        <v>56.29</v>
      </c>
      <c r="N44" s="112">
        <v>284.10000000000002</v>
      </c>
      <c r="O44" s="112">
        <v>0</v>
      </c>
      <c r="P44" s="112">
        <v>1.19</v>
      </c>
      <c r="Q44" s="112">
        <v>4.99</v>
      </c>
    </row>
    <row r="45" spans="1:17" customFormat="1">
      <c r="A45" s="80">
        <v>45613.385416666664</v>
      </c>
      <c r="B45" s="112">
        <v>5.22</v>
      </c>
      <c r="C45" s="112">
        <v>8.09</v>
      </c>
      <c r="D45" s="112">
        <v>13.98</v>
      </c>
      <c r="E45" s="112">
        <v>8.9499999999999993</v>
      </c>
      <c r="F45" s="112">
        <v>6.17</v>
      </c>
      <c r="G45" s="112">
        <v>108.92</v>
      </c>
      <c r="H45" s="112">
        <v>35.78</v>
      </c>
      <c r="I45" s="112">
        <v>12.21</v>
      </c>
      <c r="J45" s="112">
        <v>0.62</v>
      </c>
      <c r="K45" s="112">
        <v>44.02</v>
      </c>
      <c r="L45" s="112">
        <v>24.09</v>
      </c>
      <c r="M45" s="112">
        <v>52.88</v>
      </c>
      <c r="N45" s="112">
        <v>333.1</v>
      </c>
      <c r="O45" s="112">
        <v>0</v>
      </c>
      <c r="P45" s="112">
        <v>1.17</v>
      </c>
      <c r="Q45" s="112">
        <v>4.99</v>
      </c>
    </row>
    <row r="46" spans="1:17" customFormat="1">
      <c r="A46" s="80">
        <v>45613.395833333336</v>
      </c>
      <c r="B46" s="112">
        <v>5.22</v>
      </c>
      <c r="C46" s="112">
        <v>8.09</v>
      </c>
      <c r="D46" s="112">
        <v>13.98</v>
      </c>
      <c r="E46" s="112">
        <v>9.2799999999999994</v>
      </c>
      <c r="F46" s="112">
        <v>6.09</v>
      </c>
      <c r="G46" s="112">
        <v>98.01</v>
      </c>
      <c r="H46" s="112">
        <v>32.840000000000003</v>
      </c>
      <c r="I46" s="112">
        <v>12.19</v>
      </c>
      <c r="J46" s="112">
        <v>0.43</v>
      </c>
      <c r="K46" s="112">
        <v>45.64</v>
      </c>
      <c r="L46" s="112">
        <v>25</v>
      </c>
      <c r="M46" s="112">
        <v>50.28</v>
      </c>
      <c r="N46" s="112">
        <v>297.39999999999998</v>
      </c>
      <c r="O46" s="112">
        <v>0</v>
      </c>
      <c r="P46" s="112">
        <v>1.1499999999999999</v>
      </c>
      <c r="Q46" s="112">
        <v>5.01</v>
      </c>
    </row>
    <row r="47" spans="1:17" customFormat="1">
      <c r="A47" s="80">
        <v>45613.40625</v>
      </c>
      <c r="B47" s="112">
        <v>5.21</v>
      </c>
      <c r="C47" s="112">
        <v>8.08</v>
      </c>
      <c r="D47" s="112">
        <v>13.97</v>
      </c>
      <c r="E47" s="112">
        <v>9.1</v>
      </c>
      <c r="F47" s="112">
        <v>6.11</v>
      </c>
      <c r="G47" s="112">
        <v>98.01</v>
      </c>
      <c r="H47" s="112">
        <v>32.840000000000003</v>
      </c>
      <c r="I47" s="112">
        <v>12.14</v>
      </c>
      <c r="J47" s="112">
        <v>0.49</v>
      </c>
      <c r="K47" s="112">
        <v>52.12</v>
      </c>
      <c r="L47" s="112">
        <v>25.77</v>
      </c>
      <c r="M47" s="112">
        <v>48.02</v>
      </c>
      <c r="N47" s="112">
        <v>400</v>
      </c>
      <c r="O47" s="112">
        <v>0</v>
      </c>
      <c r="P47" s="112">
        <v>1.1399999999999999</v>
      </c>
      <c r="Q47" s="112">
        <v>5</v>
      </c>
    </row>
    <row r="48" spans="1:17" customFormat="1">
      <c r="A48" s="80">
        <v>45613.416666666664</v>
      </c>
      <c r="B48" s="112">
        <v>5.22</v>
      </c>
      <c r="C48" s="112">
        <v>8.08</v>
      </c>
      <c r="D48" s="112">
        <v>13.97</v>
      </c>
      <c r="E48" s="112">
        <v>9.32</v>
      </c>
      <c r="F48" s="112">
        <v>6.56</v>
      </c>
      <c r="G48" s="112">
        <v>98.01</v>
      </c>
      <c r="H48" s="112">
        <v>32.840000000000003</v>
      </c>
      <c r="I48" s="112">
        <v>12.1</v>
      </c>
      <c r="J48" s="112">
        <v>0.45</v>
      </c>
      <c r="K48" s="112">
        <v>46.08</v>
      </c>
      <c r="L48" s="112">
        <v>26.3</v>
      </c>
      <c r="M48" s="112">
        <v>45.49</v>
      </c>
      <c r="N48" s="112">
        <v>431.9</v>
      </c>
      <c r="O48" s="112">
        <v>0</v>
      </c>
      <c r="P48" s="112">
        <v>1.1299999999999999</v>
      </c>
      <c r="Q48" s="112">
        <v>5</v>
      </c>
    </row>
    <row r="49" spans="1:17" customFormat="1">
      <c r="A49" s="80">
        <v>45613.427083333336</v>
      </c>
      <c r="B49" s="112">
        <v>5.21</v>
      </c>
      <c r="C49" s="112">
        <v>8.07</v>
      </c>
      <c r="D49" s="112">
        <v>13.96</v>
      </c>
      <c r="E49" s="112">
        <v>7.28</v>
      </c>
      <c r="F49" s="112">
        <v>7.44</v>
      </c>
      <c r="G49" s="112">
        <v>97.91</v>
      </c>
      <c r="H49" s="112">
        <v>32.83</v>
      </c>
      <c r="I49" s="112">
        <v>12.16</v>
      </c>
      <c r="J49" s="112">
        <v>0.33</v>
      </c>
      <c r="K49" s="112">
        <v>72.040000000000006</v>
      </c>
      <c r="L49" s="112">
        <v>26.87</v>
      </c>
      <c r="M49" s="112">
        <v>42.93</v>
      </c>
      <c r="N49" s="112">
        <v>464.5</v>
      </c>
      <c r="O49" s="112">
        <v>0</v>
      </c>
      <c r="P49" s="112">
        <v>1.1000000000000001</v>
      </c>
      <c r="Q49" s="112">
        <v>5</v>
      </c>
    </row>
    <row r="50" spans="1:17" customFormat="1">
      <c r="A50" s="80">
        <v>45613.4375</v>
      </c>
      <c r="B50" s="112">
        <v>5.21</v>
      </c>
      <c r="C50" s="112">
        <v>8.07</v>
      </c>
      <c r="D50" s="112">
        <v>13.96</v>
      </c>
      <c r="E50" s="112">
        <v>8.75</v>
      </c>
      <c r="F50" s="112">
        <v>8.2899999999999991</v>
      </c>
      <c r="G50" s="112">
        <v>93.51</v>
      </c>
      <c r="H50" s="112">
        <v>32.68</v>
      </c>
      <c r="I50" s="112">
        <v>12.14</v>
      </c>
      <c r="J50" s="112">
        <v>0.38</v>
      </c>
      <c r="K50" s="112">
        <v>82.09</v>
      </c>
      <c r="L50" s="112">
        <v>27.7</v>
      </c>
      <c r="M50" s="112">
        <v>38.68</v>
      </c>
      <c r="N50" s="112">
        <v>481.5</v>
      </c>
      <c r="O50" s="112">
        <v>0</v>
      </c>
      <c r="P50" s="112">
        <v>1.06</v>
      </c>
      <c r="Q50" s="112">
        <v>5</v>
      </c>
    </row>
    <row r="51" spans="1:17" customFormat="1">
      <c r="A51" s="80">
        <v>45613.447916666664</v>
      </c>
      <c r="B51" s="112">
        <v>5.2</v>
      </c>
      <c r="C51" s="112">
        <v>8.07</v>
      </c>
      <c r="D51" s="112">
        <v>13.96</v>
      </c>
      <c r="E51" s="112">
        <v>7.98</v>
      </c>
      <c r="F51" s="112">
        <v>8.26</v>
      </c>
      <c r="G51" s="112">
        <v>93.51</v>
      </c>
      <c r="H51" s="112">
        <v>32.68</v>
      </c>
      <c r="I51" s="112">
        <v>11.95</v>
      </c>
      <c r="J51" s="112">
        <v>0.33</v>
      </c>
      <c r="K51" s="112">
        <v>98.55</v>
      </c>
      <c r="L51" s="112">
        <v>28.11</v>
      </c>
      <c r="M51" s="112">
        <v>39.299999999999997</v>
      </c>
      <c r="N51" s="112">
        <v>431.4</v>
      </c>
      <c r="O51" s="112">
        <v>0</v>
      </c>
      <c r="P51" s="112">
        <v>1.04</v>
      </c>
      <c r="Q51" s="112">
        <v>4.9800000000000004</v>
      </c>
    </row>
    <row r="52" spans="1:17" customFormat="1">
      <c r="A52" s="80">
        <v>45613.458333333336</v>
      </c>
      <c r="B52" s="112">
        <v>5.19</v>
      </c>
      <c r="C52" s="112">
        <v>8.07</v>
      </c>
      <c r="D52" s="112">
        <v>13.95</v>
      </c>
      <c r="E52" s="112">
        <v>8.7100000000000009</v>
      </c>
      <c r="F52" s="112">
        <v>11.41</v>
      </c>
      <c r="G52" s="112">
        <v>93.51</v>
      </c>
      <c r="H52" s="112">
        <v>32.68</v>
      </c>
      <c r="I52" s="112">
        <v>11.72</v>
      </c>
      <c r="J52" s="112">
        <v>1.07</v>
      </c>
      <c r="K52" s="112">
        <v>38.39</v>
      </c>
      <c r="L52" s="112">
        <v>27.76</v>
      </c>
      <c r="M52" s="112">
        <v>35.72</v>
      </c>
      <c r="N52" s="112">
        <v>489.6</v>
      </c>
      <c r="O52" s="112">
        <v>0</v>
      </c>
      <c r="P52" s="112">
        <v>1</v>
      </c>
      <c r="Q52" s="112">
        <v>4.9800000000000004</v>
      </c>
    </row>
    <row r="53" spans="1:17" customFormat="1">
      <c r="A53" s="80">
        <v>45613.46875</v>
      </c>
      <c r="B53" s="112">
        <v>5.19</v>
      </c>
      <c r="C53" s="112">
        <v>8.06</v>
      </c>
      <c r="D53" s="112">
        <v>13.94</v>
      </c>
      <c r="E53" s="112">
        <v>9</v>
      </c>
      <c r="F53" s="112">
        <v>11.06</v>
      </c>
      <c r="G53" s="112">
        <v>93.35</v>
      </c>
      <c r="H53" s="112">
        <v>32.68</v>
      </c>
      <c r="I53" s="112">
        <v>11.54</v>
      </c>
      <c r="J53" s="112">
        <v>1.1100000000000001</v>
      </c>
      <c r="K53" s="112">
        <v>39.619999999999997</v>
      </c>
      <c r="L53" s="112">
        <v>27.81</v>
      </c>
      <c r="M53" s="112">
        <v>33.89</v>
      </c>
      <c r="N53" s="112">
        <v>514.5</v>
      </c>
      <c r="O53" s="112">
        <v>0</v>
      </c>
      <c r="P53" s="112">
        <v>0.97</v>
      </c>
      <c r="Q53" s="112">
        <v>4.99</v>
      </c>
    </row>
    <row r="54" spans="1:17" customFormat="1">
      <c r="A54" s="80">
        <v>45613.479166666664</v>
      </c>
      <c r="B54" s="112">
        <v>5.19</v>
      </c>
      <c r="C54" s="112">
        <v>8.09</v>
      </c>
      <c r="D54" s="112">
        <v>13.95</v>
      </c>
      <c r="E54" s="112">
        <v>8.64</v>
      </c>
      <c r="F54" s="112">
        <v>10.58</v>
      </c>
      <c r="G54" s="112">
        <v>86.16</v>
      </c>
      <c r="H54" s="112">
        <v>32.18</v>
      </c>
      <c r="I54" s="112">
        <v>11.28</v>
      </c>
      <c r="J54" s="112">
        <v>0.95</v>
      </c>
      <c r="K54" s="112">
        <v>43.32</v>
      </c>
      <c r="L54" s="112">
        <v>27.88</v>
      </c>
      <c r="M54" s="112">
        <v>30.96</v>
      </c>
      <c r="N54" s="112">
        <v>516.1</v>
      </c>
      <c r="O54" s="112">
        <v>0</v>
      </c>
      <c r="P54" s="112">
        <v>0.94</v>
      </c>
      <c r="Q54" s="112">
        <v>4.99</v>
      </c>
    </row>
    <row r="55" spans="1:17" customFormat="1">
      <c r="A55" s="80">
        <v>45613.489583333336</v>
      </c>
      <c r="B55" s="112">
        <v>5.17</v>
      </c>
      <c r="C55" s="112">
        <v>8.11</v>
      </c>
      <c r="D55" s="112">
        <v>13.95</v>
      </c>
      <c r="E55" s="112">
        <v>9.27</v>
      </c>
      <c r="F55" s="112">
        <v>9.85</v>
      </c>
      <c r="G55" s="112">
        <v>86.16</v>
      </c>
      <c r="H55" s="112">
        <v>32.18</v>
      </c>
      <c r="I55" s="112">
        <v>10.97</v>
      </c>
      <c r="J55" s="112">
        <v>0.47</v>
      </c>
      <c r="K55" s="112">
        <v>57.81</v>
      </c>
      <c r="L55" s="112">
        <v>28.38</v>
      </c>
      <c r="M55" s="112">
        <v>31.48</v>
      </c>
      <c r="N55" s="112">
        <v>525.29999999999995</v>
      </c>
      <c r="O55" s="112">
        <v>0</v>
      </c>
      <c r="P55" s="112">
        <v>0.92</v>
      </c>
      <c r="Q55" s="112">
        <v>4.99</v>
      </c>
    </row>
    <row r="56" spans="1:17" customFormat="1">
      <c r="A56" s="80">
        <v>45613.5</v>
      </c>
      <c r="B56" s="112">
        <v>5.18</v>
      </c>
      <c r="C56" s="112">
        <v>8.08</v>
      </c>
      <c r="D56" s="112">
        <v>13.95</v>
      </c>
      <c r="E56" s="112">
        <v>9.3000000000000007</v>
      </c>
      <c r="F56" s="112">
        <v>8.67</v>
      </c>
      <c r="G56" s="112">
        <v>86.16</v>
      </c>
      <c r="H56" s="112">
        <v>32.18</v>
      </c>
      <c r="I56" s="112">
        <v>10.74</v>
      </c>
      <c r="J56" s="112">
        <v>0.39</v>
      </c>
      <c r="K56" s="112">
        <v>78.97</v>
      </c>
      <c r="L56" s="112">
        <v>28.89</v>
      </c>
      <c r="M56" s="112">
        <v>30.91</v>
      </c>
      <c r="N56" s="112">
        <v>514</v>
      </c>
      <c r="O56" s="112">
        <v>0</v>
      </c>
      <c r="P56" s="112">
        <v>0.9</v>
      </c>
      <c r="Q56" s="112">
        <v>4.99</v>
      </c>
    </row>
    <row r="57" spans="1:17" customFormat="1">
      <c r="A57" s="80">
        <v>45613.510416666664</v>
      </c>
      <c r="B57" s="112">
        <v>5.19</v>
      </c>
      <c r="C57" s="112">
        <v>8.08</v>
      </c>
      <c r="D57" s="112">
        <v>13.95</v>
      </c>
      <c r="E57" s="112">
        <v>9.59</v>
      </c>
      <c r="F57" s="112">
        <v>11.73</v>
      </c>
      <c r="G57" s="112">
        <v>85.89</v>
      </c>
      <c r="H57" s="112">
        <v>32.119999999999997</v>
      </c>
      <c r="I57" s="112">
        <v>10.58</v>
      </c>
      <c r="J57" s="112">
        <v>0.24</v>
      </c>
      <c r="K57" s="112">
        <v>59.22</v>
      </c>
      <c r="L57" s="112">
        <v>29.14</v>
      </c>
      <c r="M57" s="112">
        <v>30.71</v>
      </c>
      <c r="N57" s="112">
        <v>510.3</v>
      </c>
      <c r="O57" s="112">
        <v>0</v>
      </c>
      <c r="P57" s="112">
        <v>0.87</v>
      </c>
      <c r="Q57" s="112">
        <v>5</v>
      </c>
    </row>
    <row r="58" spans="1:17" customFormat="1">
      <c r="A58" s="80">
        <v>45613.520833333336</v>
      </c>
      <c r="B58" s="112">
        <v>5.2</v>
      </c>
      <c r="C58" s="112">
        <v>8.07</v>
      </c>
      <c r="D58" s="112">
        <v>13.95</v>
      </c>
      <c r="E58" s="112">
        <v>9.0399999999999991</v>
      </c>
      <c r="F58" s="112">
        <v>9.02</v>
      </c>
      <c r="G58" s="112">
        <v>73.83</v>
      </c>
      <c r="H58" s="112">
        <v>28.31</v>
      </c>
      <c r="I58" s="112">
        <v>10.4</v>
      </c>
      <c r="J58" s="112">
        <v>0.4</v>
      </c>
      <c r="K58" s="112">
        <v>43.71</v>
      </c>
      <c r="L58" s="112">
        <v>29.17</v>
      </c>
      <c r="M58" s="112">
        <v>30.17</v>
      </c>
      <c r="N58" s="112">
        <v>493.4</v>
      </c>
      <c r="O58" s="112">
        <v>0</v>
      </c>
      <c r="P58" s="112">
        <v>0.86</v>
      </c>
      <c r="Q58" s="112">
        <v>5</v>
      </c>
    </row>
    <row r="59" spans="1:17" customFormat="1">
      <c r="A59" s="80">
        <v>45613.53125</v>
      </c>
      <c r="B59" s="112">
        <v>5.19</v>
      </c>
      <c r="C59" s="112">
        <v>8.08</v>
      </c>
      <c r="D59" s="112">
        <v>13.96</v>
      </c>
      <c r="E59" s="112">
        <v>9.24</v>
      </c>
      <c r="F59" s="112">
        <v>12.32</v>
      </c>
      <c r="G59" s="112">
        <v>73.83</v>
      </c>
      <c r="H59" s="112">
        <v>28.31</v>
      </c>
      <c r="I59" s="112">
        <v>10.15</v>
      </c>
      <c r="J59" s="112">
        <v>0.53</v>
      </c>
      <c r="K59" s="112">
        <v>54.6</v>
      </c>
      <c r="L59" s="112">
        <v>29.39</v>
      </c>
      <c r="M59" s="112">
        <v>28.24</v>
      </c>
      <c r="N59" s="112">
        <v>466</v>
      </c>
      <c r="O59" s="112">
        <v>0</v>
      </c>
      <c r="P59" s="112">
        <v>0.83</v>
      </c>
      <c r="Q59" s="112">
        <v>5</v>
      </c>
    </row>
    <row r="60" spans="1:17" customFormat="1">
      <c r="A60" s="80">
        <v>45613.541666666664</v>
      </c>
      <c r="B60" s="112">
        <v>5.2</v>
      </c>
      <c r="C60" s="112">
        <v>8.11</v>
      </c>
      <c r="D60" s="112">
        <v>13.97</v>
      </c>
      <c r="E60" s="112">
        <v>10.02</v>
      </c>
      <c r="F60" s="112">
        <v>13.87</v>
      </c>
      <c r="G60" s="112">
        <v>73.83</v>
      </c>
      <c r="H60" s="112">
        <v>28.31</v>
      </c>
      <c r="I60" s="112">
        <v>9.9700000000000006</v>
      </c>
      <c r="J60" s="112">
        <v>0.78</v>
      </c>
      <c r="K60" s="112">
        <v>39.69</v>
      </c>
      <c r="L60" s="112">
        <v>29.22</v>
      </c>
      <c r="M60" s="112">
        <v>28.53</v>
      </c>
      <c r="N60" s="112">
        <v>449</v>
      </c>
      <c r="O60" s="112">
        <v>0</v>
      </c>
      <c r="P60" s="112">
        <v>0.82</v>
      </c>
      <c r="Q60" s="112">
        <v>4.9800000000000004</v>
      </c>
    </row>
    <row r="61" spans="1:17" customFormat="1">
      <c r="A61" s="80">
        <v>45613.552083333336</v>
      </c>
      <c r="B61" s="112">
        <v>5.2</v>
      </c>
      <c r="C61" s="112">
        <v>8.1</v>
      </c>
      <c r="D61" s="112">
        <v>13.97</v>
      </c>
      <c r="E61" s="112">
        <v>10.14</v>
      </c>
      <c r="F61" s="112">
        <v>12.33</v>
      </c>
      <c r="G61" s="112">
        <v>73.67</v>
      </c>
      <c r="H61" s="112">
        <v>28.32</v>
      </c>
      <c r="I61" s="112">
        <v>9.6999999999999993</v>
      </c>
      <c r="J61" s="112">
        <v>0.73</v>
      </c>
      <c r="K61" s="112">
        <v>60.43</v>
      </c>
      <c r="L61" s="112">
        <v>29.46</v>
      </c>
      <c r="M61" s="112">
        <v>28.68</v>
      </c>
      <c r="N61" s="112">
        <v>438.9</v>
      </c>
      <c r="O61" s="112">
        <v>0</v>
      </c>
      <c r="P61" s="112">
        <v>0.81</v>
      </c>
      <c r="Q61" s="112">
        <v>4.9800000000000004</v>
      </c>
    </row>
    <row r="62" spans="1:17" customFormat="1">
      <c r="A62" s="80">
        <v>45613.5625</v>
      </c>
      <c r="B62" s="112">
        <v>5.19</v>
      </c>
      <c r="C62" s="112">
        <v>8.1</v>
      </c>
      <c r="D62" s="112">
        <v>13.96</v>
      </c>
      <c r="E62" s="112">
        <v>10.86</v>
      </c>
      <c r="F62" s="112">
        <v>13.37</v>
      </c>
      <c r="G62" s="112">
        <v>66.36</v>
      </c>
      <c r="H62" s="112">
        <v>28.73</v>
      </c>
      <c r="I62" s="112">
        <v>9.4700000000000006</v>
      </c>
      <c r="J62" s="112">
        <v>0.77</v>
      </c>
      <c r="K62" s="112">
        <v>36.520000000000003</v>
      </c>
      <c r="L62" s="112">
        <v>29.53</v>
      </c>
      <c r="M62" s="112">
        <v>27.8</v>
      </c>
      <c r="N62" s="112">
        <v>418.5</v>
      </c>
      <c r="O62" s="112">
        <v>0</v>
      </c>
      <c r="P62" s="112">
        <v>0.78</v>
      </c>
      <c r="Q62" s="112">
        <v>4.97</v>
      </c>
    </row>
    <row r="63" spans="1:17" customFormat="1">
      <c r="A63" s="80">
        <v>45613.572916666664</v>
      </c>
      <c r="B63" s="112">
        <v>5.19</v>
      </c>
      <c r="C63" s="112">
        <v>8.09</v>
      </c>
      <c r="D63" s="112">
        <v>13.96</v>
      </c>
      <c r="E63" s="112">
        <v>10.8</v>
      </c>
      <c r="F63" s="112">
        <v>11.31</v>
      </c>
      <c r="G63" s="112">
        <v>66.36</v>
      </c>
      <c r="H63" s="112">
        <v>28.73</v>
      </c>
      <c r="I63" s="112">
        <v>9.35</v>
      </c>
      <c r="J63" s="112">
        <v>0.8</v>
      </c>
      <c r="K63" s="112">
        <v>49.86</v>
      </c>
      <c r="L63" s="112">
        <v>29.32</v>
      </c>
      <c r="M63" s="112">
        <v>28.6</v>
      </c>
      <c r="N63" s="112">
        <v>289.5</v>
      </c>
      <c r="O63" s="112">
        <v>0</v>
      </c>
      <c r="P63" s="112">
        <v>0.77</v>
      </c>
      <c r="Q63" s="112">
        <v>4.9800000000000004</v>
      </c>
    </row>
    <row r="64" spans="1:17" customFormat="1">
      <c r="A64" s="80">
        <v>45613.583333333336</v>
      </c>
      <c r="B64" s="112">
        <v>5.19</v>
      </c>
      <c r="C64" s="112">
        <v>8.1</v>
      </c>
      <c r="D64" s="112">
        <v>13.96</v>
      </c>
      <c r="E64" s="112">
        <v>11.27</v>
      </c>
      <c r="F64" s="112">
        <v>15.77</v>
      </c>
      <c r="G64" s="112">
        <v>66.36</v>
      </c>
      <c r="H64" s="112">
        <v>28.73</v>
      </c>
      <c r="I64" s="112">
        <v>9.15</v>
      </c>
      <c r="J64" s="112">
        <v>1.06</v>
      </c>
      <c r="K64" s="112">
        <v>35.450000000000003</v>
      </c>
      <c r="L64" s="112">
        <v>28.89</v>
      </c>
      <c r="M64" s="112">
        <v>28.17</v>
      </c>
      <c r="N64" s="112">
        <v>149.30000000000001</v>
      </c>
      <c r="O64" s="112">
        <v>0</v>
      </c>
      <c r="P64" s="112">
        <v>0.75</v>
      </c>
      <c r="Q64" s="112">
        <v>4.97</v>
      </c>
    </row>
    <row r="65" spans="1:17" customFormat="1">
      <c r="A65" s="80">
        <v>45613.59375</v>
      </c>
      <c r="B65" s="112">
        <v>5.2</v>
      </c>
      <c r="C65" s="112">
        <v>8.06</v>
      </c>
      <c r="D65" s="112">
        <v>13.95</v>
      </c>
      <c r="E65" s="112">
        <v>12.45</v>
      </c>
      <c r="F65" s="112">
        <v>19.62</v>
      </c>
      <c r="G65" s="112">
        <v>66.319999999999993</v>
      </c>
      <c r="H65" s="112">
        <v>28.68</v>
      </c>
      <c r="I65" s="112">
        <v>8.9700000000000006</v>
      </c>
      <c r="J65" s="112">
        <v>0.68</v>
      </c>
      <c r="K65" s="112">
        <v>33.619999999999997</v>
      </c>
      <c r="L65" s="112">
        <v>28.8</v>
      </c>
      <c r="M65" s="112">
        <v>28.49</v>
      </c>
      <c r="N65" s="112">
        <v>102.8</v>
      </c>
      <c r="O65" s="112">
        <v>0</v>
      </c>
      <c r="P65" s="112">
        <v>0.69</v>
      </c>
      <c r="Q65" s="112">
        <v>4.9800000000000004</v>
      </c>
    </row>
    <row r="66" spans="1:17" customFormat="1">
      <c r="A66" s="80">
        <v>45613.604166666664</v>
      </c>
      <c r="B66" s="112">
        <v>5.21</v>
      </c>
      <c r="C66" s="112">
        <v>8.06</v>
      </c>
      <c r="D66" s="112">
        <v>13.95</v>
      </c>
      <c r="E66" s="112">
        <v>12.67</v>
      </c>
      <c r="F66" s="112">
        <v>17.420000000000002</v>
      </c>
      <c r="G66" s="112">
        <v>64.569999999999993</v>
      </c>
      <c r="H66" s="112">
        <v>25.63</v>
      </c>
      <c r="I66" s="112">
        <v>8.76</v>
      </c>
      <c r="J66" s="112">
        <v>0.67</v>
      </c>
      <c r="K66" s="112">
        <v>35.380000000000003</v>
      </c>
      <c r="L66" s="112">
        <v>28.78</v>
      </c>
      <c r="M66" s="112">
        <v>28.71</v>
      </c>
      <c r="N66" s="112">
        <v>91.5</v>
      </c>
      <c r="O66" s="112">
        <v>0</v>
      </c>
      <c r="P66" s="112">
        <v>0.73</v>
      </c>
      <c r="Q66" s="112">
        <v>4.99</v>
      </c>
    </row>
    <row r="67" spans="1:17" customFormat="1">
      <c r="A67" s="80">
        <v>45613.614583333336</v>
      </c>
      <c r="B67" s="112">
        <v>5.2</v>
      </c>
      <c r="C67" s="112">
        <v>8.07</v>
      </c>
      <c r="D67" s="112">
        <v>13.95</v>
      </c>
      <c r="E67" s="112">
        <v>12.15</v>
      </c>
      <c r="F67" s="112">
        <v>14.73</v>
      </c>
      <c r="G67" s="112">
        <v>64.569999999999993</v>
      </c>
      <c r="H67" s="112">
        <v>25.63</v>
      </c>
      <c r="I67" s="112">
        <v>8.68</v>
      </c>
      <c r="J67" s="112">
        <v>0.73</v>
      </c>
      <c r="K67" s="112">
        <v>47.63</v>
      </c>
      <c r="L67" s="112">
        <v>28.76</v>
      </c>
      <c r="M67" s="112">
        <v>29.01</v>
      </c>
      <c r="N67" s="112">
        <v>81.2</v>
      </c>
      <c r="O67" s="112">
        <v>0</v>
      </c>
      <c r="P67" s="112">
        <v>0.72</v>
      </c>
      <c r="Q67" s="112">
        <v>4.97</v>
      </c>
    </row>
    <row r="68" spans="1:17" customFormat="1">
      <c r="A68" s="80">
        <v>45613.625</v>
      </c>
      <c r="B68" s="112">
        <v>5.19</v>
      </c>
      <c r="C68" s="112">
        <v>8.1</v>
      </c>
      <c r="D68" s="112">
        <v>13.96</v>
      </c>
      <c r="E68" s="112">
        <v>12.81</v>
      </c>
      <c r="F68" s="112">
        <v>16.25</v>
      </c>
      <c r="G68" s="112">
        <v>64.569999999999993</v>
      </c>
      <c r="H68" s="112">
        <v>25.63</v>
      </c>
      <c r="I68" s="112">
        <v>8.65</v>
      </c>
      <c r="J68" s="112">
        <v>0.83</v>
      </c>
      <c r="K68" s="112">
        <v>45.91</v>
      </c>
      <c r="L68" s="112">
        <v>28.66</v>
      </c>
      <c r="M68" s="112">
        <v>29.11</v>
      </c>
      <c r="N68" s="112">
        <v>72.099999999999994</v>
      </c>
      <c r="O68" s="112">
        <v>0</v>
      </c>
      <c r="P68" s="112">
        <v>0.71</v>
      </c>
      <c r="Q68" s="112">
        <v>4.9800000000000004</v>
      </c>
    </row>
    <row r="69" spans="1:17" customFormat="1">
      <c r="A69" s="80">
        <v>45613.635416666664</v>
      </c>
      <c r="B69" s="112">
        <v>5.2</v>
      </c>
      <c r="C69" s="112">
        <v>8.09</v>
      </c>
      <c r="D69" s="112">
        <v>13.96</v>
      </c>
      <c r="E69" s="112">
        <v>12.29</v>
      </c>
      <c r="F69" s="112">
        <v>19.45</v>
      </c>
      <c r="G69" s="112">
        <v>64.47</v>
      </c>
      <c r="H69" s="112">
        <v>25.59</v>
      </c>
      <c r="I69" s="112">
        <v>8.44</v>
      </c>
      <c r="J69" s="112">
        <v>0.53</v>
      </c>
      <c r="K69" s="112">
        <v>44.32</v>
      </c>
      <c r="L69" s="112">
        <v>28.52</v>
      </c>
      <c r="M69" s="112">
        <v>29.41</v>
      </c>
      <c r="N69" s="112">
        <v>63.3</v>
      </c>
      <c r="O69" s="112">
        <v>0</v>
      </c>
      <c r="P69" s="112">
        <v>0.7</v>
      </c>
      <c r="Q69" s="112">
        <v>4.99</v>
      </c>
    </row>
    <row r="70" spans="1:17" customFormat="1">
      <c r="A70" s="80">
        <v>45613.645833333336</v>
      </c>
      <c r="B70" s="112">
        <v>5.2</v>
      </c>
      <c r="C70" s="112">
        <v>8.0500000000000007</v>
      </c>
      <c r="D70" s="112">
        <v>13.95</v>
      </c>
      <c r="E70" s="112">
        <v>11.86</v>
      </c>
      <c r="F70" s="112">
        <v>12.16</v>
      </c>
      <c r="G70" s="112">
        <v>60.21</v>
      </c>
      <c r="H70" s="112">
        <v>22.99</v>
      </c>
      <c r="I70" s="112">
        <v>8.32</v>
      </c>
      <c r="J70" s="112">
        <v>0.57999999999999996</v>
      </c>
      <c r="K70" s="112">
        <v>61.1</v>
      </c>
      <c r="L70" s="112">
        <v>28.33</v>
      </c>
      <c r="M70" s="112">
        <v>29.66</v>
      </c>
      <c r="N70" s="112">
        <v>54.4</v>
      </c>
      <c r="O70" s="112">
        <v>0</v>
      </c>
      <c r="P70" s="112">
        <v>0.7</v>
      </c>
      <c r="Q70" s="112">
        <v>4.97</v>
      </c>
    </row>
    <row r="71" spans="1:17" customFormat="1">
      <c r="A71" s="80">
        <v>45613.65625</v>
      </c>
      <c r="B71" s="112">
        <v>5.19</v>
      </c>
      <c r="C71" s="112">
        <v>8.0500000000000007</v>
      </c>
      <c r="D71" s="112">
        <v>13.94</v>
      </c>
      <c r="E71" s="112">
        <v>11.63</v>
      </c>
      <c r="F71" s="112">
        <v>14.65</v>
      </c>
      <c r="G71" s="112">
        <v>60.21</v>
      </c>
      <c r="H71" s="112">
        <v>22.99</v>
      </c>
      <c r="I71" s="112">
        <v>8.18</v>
      </c>
      <c r="J71" s="112">
        <v>0.6</v>
      </c>
      <c r="K71" s="112">
        <v>47.02</v>
      </c>
      <c r="L71" s="112">
        <v>28.22</v>
      </c>
      <c r="M71" s="112">
        <v>29.93</v>
      </c>
      <c r="N71" s="112">
        <v>46.4</v>
      </c>
      <c r="O71" s="112">
        <v>0</v>
      </c>
      <c r="P71" s="112">
        <v>0.69</v>
      </c>
      <c r="Q71" s="112">
        <v>4.97</v>
      </c>
    </row>
    <row r="72" spans="1:17" customFormat="1">
      <c r="A72" s="80">
        <v>45613.666666666664</v>
      </c>
      <c r="B72" s="112">
        <v>5.19</v>
      </c>
      <c r="C72" s="112">
        <v>8.07</v>
      </c>
      <c r="D72" s="112">
        <v>13.94</v>
      </c>
      <c r="E72" s="112">
        <v>11.81</v>
      </c>
      <c r="F72" s="112">
        <v>14.25</v>
      </c>
      <c r="G72" s="112">
        <v>60.21</v>
      </c>
      <c r="H72" s="112">
        <v>22.99</v>
      </c>
      <c r="I72" s="112">
        <v>8.1300000000000008</v>
      </c>
      <c r="J72" s="112">
        <v>0.62</v>
      </c>
      <c r="K72" s="112">
        <v>52.29</v>
      </c>
      <c r="L72" s="112">
        <v>28.06</v>
      </c>
      <c r="M72" s="112">
        <v>30.19</v>
      </c>
      <c r="N72" s="112">
        <v>39.700000000000003</v>
      </c>
      <c r="O72" s="112">
        <v>0</v>
      </c>
      <c r="P72" s="112">
        <v>0.71</v>
      </c>
      <c r="Q72" s="112">
        <v>4.9800000000000004</v>
      </c>
    </row>
    <row r="73" spans="1:17" customFormat="1">
      <c r="A73" s="80">
        <v>45613.677083333336</v>
      </c>
      <c r="B73" s="112">
        <v>5.2</v>
      </c>
      <c r="C73" s="112">
        <v>8.07</v>
      </c>
      <c r="D73" s="112">
        <v>13.96</v>
      </c>
      <c r="E73" s="112">
        <v>11.7</v>
      </c>
      <c r="F73" s="112">
        <v>17.18</v>
      </c>
      <c r="G73" s="112">
        <v>60.26</v>
      </c>
      <c r="H73" s="112">
        <v>22.99</v>
      </c>
      <c r="I73" s="112">
        <v>8.15</v>
      </c>
      <c r="J73" s="112">
        <v>0.44</v>
      </c>
      <c r="K73" s="112">
        <v>58.61</v>
      </c>
      <c r="L73" s="112">
        <v>27.84</v>
      </c>
      <c r="M73" s="112">
        <v>31.06</v>
      </c>
      <c r="N73" s="112">
        <v>29.6</v>
      </c>
      <c r="O73" s="112">
        <v>0</v>
      </c>
      <c r="P73" s="112">
        <v>0.71</v>
      </c>
      <c r="Q73" s="112">
        <v>4.99</v>
      </c>
    </row>
    <row r="74" spans="1:17" customFormat="1">
      <c r="A74" s="80">
        <v>45613.6875</v>
      </c>
      <c r="B74" s="112">
        <v>5.21</v>
      </c>
      <c r="C74" s="112">
        <v>8.0500000000000007</v>
      </c>
      <c r="D74" s="112">
        <v>13.95</v>
      </c>
      <c r="E74" s="112">
        <v>10.91</v>
      </c>
      <c r="F74" s="112">
        <v>11.67</v>
      </c>
      <c r="G74" s="112">
        <v>62.55</v>
      </c>
      <c r="H74" s="112">
        <v>22.49</v>
      </c>
      <c r="I74" s="112">
        <v>8.0299999999999994</v>
      </c>
      <c r="J74" s="112">
        <v>0.22</v>
      </c>
      <c r="K74" s="112">
        <v>118.14</v>
      </c>
      <c r="L74" s="112">
        <v>27.35</v>
      </c>
      <c r="M74" s="112">
        <v>35.82</v>
      </c>
      <c r="N74" s="112">
        <v>22</v>
      </c>
      <c r="O74" s="112">
        <v>0</v>
      </c>
      <c r="P74" s="112">
        <v>0.7</v>
      </c>
      <c r="Q74" s="112">
        <v>5</v>
      </c>
    </row>
    <row r="75" spans="1:17" customFormat="1">
      <c r="A75" s="80">
        <v>45613.697916666664</v>
      </c>
      <c r="B75" s="112">
        <v>5.2</v>
      </c>
      <c r="C75" s="112">
        <v>8.0500000000000007</v>
      </c>
      <c r="D75" s="112">
        <v>13.94</v>
      </c>
      <c r="E75" s="112">
        <v>9.91</v>
      </c>
      <c r="F75" s="112">
        <v>11.4</v>
      </c>
      <c r="G75" s="112">
        <v>62.55</v>
      </c>
      <c r="H75" s="112">
        <v>22.49</v>
      </c>
      <c r="I75" s="112">
        <v>7.82</v>
      </c>
      <c r="J75" s="112">
        <v>0.23</v>
      </c>
      <c r="K75" s="112">
        <v>159.62</v>
      </c>
      <c r="L75" s="112">
        <v>26.47</v>
      </c>
      <c r="M75" s="112">
        <v>40.19</v>
      </c>
      <c r="N75" s="112">
        <v>13.9</v>
      </c>
      <c r="O75" s="112">
        <v>0</v>
      </c>
      <c r="P75" s="112">
        <v>0.69</v>
      </c>
      <c r="Q75" s="112">
        <v>4.99</v>
      </c>
    </row>
    <row r="76" spans="1:17" customFormat="1">
      <c r="A76" s="80">
        <v>45613.708333333336</v>
      </c>
      <c r="B76" s="112">
        <v>5.18</v>
      </c>
      <c r="C76" s="112">
        <v>8.07</v>
      </c>
      <c r="D76" s="112">
        <v>13.94</v>
      </c>
      <c r="E76" s="112">
        <v>9.52</v>
      </c>
      <c r="F76" s="112">
        <v>9.5500000000000007</v>
      </c>
      <c r="G76" s="112">
        <v>62.55</v>
      </c>
      <c r="H76" s="112">
        <v>22.49</v>
      </c>
      <c r="I76" s="112">
        <v>7.61</v>
      </c>
      <c r="J76" s="112">
        <v>0.32</v>
      </c>
      <c r="K76" s="112">
        <v>161.22</v>
      </c>
      <c r="L76" s="112">
        <v>25.65</v>
      </c>
      <c r="M76" s="112">
        <v>43.65</v>
      </c>
      <c r="N76" s="112">
        <v>7.3</v>
      </c>
      <c r="O76" s="112">
        <v>0</v>
      </c>
      <c r="P76" s="112">
        <v>0.7</v>
      </c>
      <c r="Q76" s="112">
        <v>4.99</v>
      </c>
    </row>
    <row r="77" spans="1:17" customFormat="1">
      <c r="A77" s="80">
        <v>45613.71875</v>
      </c>
      <c r="B77" s="112">
        <v>5.19</v>
      </c>
      <c r="C77" s="112">
        <v>8.07</v>
      </c>
      <c r="D77" s="112">
        <v>13.95</v>
      </c>
      <c r="E77" s="112">
        <v>9.31</v>
      </c>
      <c r="F77" s="112">
        <v>8.43</v>
      </c>
      <c r="G77" s="112">
        <v>62.76</v>
      </c>
      <c r="H77" s="112">
        <v>22.59</v>
      </c>
      <c r="I77" s="112">
        <v>7.59</v>
      </c>
      <c r="J77" s="112">
        <v>0.32</v>
      </c>
      <c r="K77" s="112">
        <v>157.84</v>
      </c>
      <c r="L77" s="112">
        <v>24.8</v>
      </c>
      <c r="M77" s="112">
        <v>48.28</v>
      </c>
      <c r="N77" s="112">
        <v>3.5</v>
      </c>
      <c r="O77" s="112">
        <v>0</v>
      </c>
      <c r="P77" s="112">
        <v>0.69</v>
      </c>
      <c r="Q77" s="112">
        <v>4.9800000000000004</v>
      </c>
    </row>
    <row r="78" spans="1:17" customFormat="1">
      <c r="A78" s="80">
        <v>45613.729166666664</v>
      </c>
      <c r="B78" s="112">
        <v>5.18</v>
      </c>
      <c r="C78" s="112">
        <v>8.09</v>
      </c>
      <c r="D78" s="112">
        <v>13.95</v>
      </c>
      <c r="E78" s="112">
        <v>9.0299999999999994</v>
      </c>
      <c r="F78" s="112">
        <v>7.76</v>
      </c>
      <c r="G78" s="112">
        <v>72.010000000000005</v>
      </c>
      <c r="H78" s="112">
        <v>25.92</v>
      </c>
      <c r="I78" s="112">
        <v>7.69</v>
      </c>
      <c r="J78" s="112">
        <v>0.28999999999999998</v>
      </c>
      <c r="K78" s="112">
        <v>158.37</v>
      </c>
      <c r="L78" s="112">
        <v>24.13</v>
      </c>
      <c r="M78" s="112">
        <v>50.83</v>
      </c>
      <c r="N78" s="112">
        <v>2.1</v>
      </c>
      <c r="O78" s="112">
        <v>0</v>
      </c>
      <c r="P78" s="112">
        <v>0.7</v>
      </c>
      <c r="Q78" s="112">
        <v>4.99</v>
      </c>
    </row>
    <row r="79" spans="1:17" customFormat="1">
      <c r="A79" s="80">
        <v>45613.739583333336</v>
      </c>
      <c r="B79" s="112">
        <v>5.18</v>
      </c>
      <c r="C79" s="112">
        <v>8.1</v>
      </c>
      <c r="D79" s="112">
        <v>13.95</v>
      </c>
      <c r="E79" s="112">
        <v>8.9600000000000009</v>
      </c>
      <c r="F79" s="112">
        <v>7</v>
      </c>
      <c r="G79" s="112">
        <v>72.010000000000005</v>
      </c>
      <c r="H79" s="112">
        <v>25.92</v>
      </c>
      <c r="I79" s="112">
        <v>7.75</v>
      </c>
      <c r="J79" s="112">
        <v>0.22</v>
      </c>
      <c r="K79" s="112">
        <v>157.07</v>
      </c>
      <c r="L79" s="112">
        <v>23.58</v>
      </c>
      <c r="M79" s="112">
        <v>55.71</v>
      </c>
      <c r="N79" s="112">
        <v>1.8</v>
      </c>
      <c r="O79" s="112">
        <v>0</v>
      </c>
      <c r="P79" s="112">
        <v>0.71</v>
      </c>
      <c r="Q79" s="112">
        <v>4.99</v>
      </c>
    </row>
    <row r="80" spans="1:17" customFormat="1">
      <c r="A80" s="80">
        <v>45613.75</v>
      </c>
      <c r="B80" s="112">
        <v>5.18</v>
      </c>
      <c r="C80" s="112">
        <v>8.09</v>
      </c>
      <c r="D80" s="112">
        <v>13.95</v>
      </c>
      <c r="E80" s="112">
        <v>8.9700000000000006</v>
      </c>
      <c r="F80" s="112">
        <v>6.75</v>
      </c>
      <c r="G80" s="112">
        <v>72.010000000000005</v>
      </c>
      <c r="H80" s="112">
        <v>25.92</v>
      </c>
      <c r="I80" s="112">
        <v>7.85</v>
      </c>
      <c r="J80" s="112">
        <v>0.2</v>
      </c>
      <c r="K80" s="112">
        <v>148.78</v>
      </c>
      <c r="L80" s="112">
        <v>23.55</v>
      </c>
      <c r="M80" s="112">
        <v>53.49</v>
      </c>
      <c r="N80" s="112">
        <v>1.5</v>
      </c>
      <c r="O80" s="112">
        <v>0</v>
      </c>
      <c r="P80" s="112">
        <v>0.73</v>
      </c>
      <c r="Q80" s="112">
        <v>4.97</v>
      </c>
    </row>
    <row r="81" spans="1:17" customFormat="1">
      <c r="A81" s="80">
        <v>45613.760416666664</v>
      </c>
      <c r="B81" s="112">
        <v>5.18</v>
      </c>
      <c r="C81" s="112">
        <v>8.07</v>
      </c>
      <c r="D81" s="112">
        <v>13.94</v>
      </c>
      <c r="E81" s="112">
        <v>7.5</v>
      </c>
      <c r="F81" s="112">
        <v>6.6</v>
      </c>
      <c r="G81" s="112">
        <v>72.28</v>
      </c>
      <c r="H81" s="112">
        <v>25.92</v>
      </c>
      <c r="I81" s="112">
        <v>8.01</v>
      </c>
      <c r="J81" s="112">
        <v>0.27</v>
      </c>
      <c r="K81" s="112">
        <v>161.75</v>
      </c>
      <c r="L81" s="112">
        <v>23.1</v>
      </c>
      <c r="M81" s="112">
        <v>61.83</v>
      </c>
      <c r="N81" s="112">
        <v>1.7</v>
      </c>
      <c r="O81" s="112">
        <v>0</v>
      </c>
      <c r="P81" s="112">
        <v>0.74</v>
      </c>
      <c r="Q81" s="112">
        <v>4.9800000000000004</v>
      </c>
    </row>
    <row r="82" spans="1:17" customFormat="1">
      <c r="A82" s="80">
        <v>45613.770833333336</v>
      </c>
      <c r="B82" s="112">
        <v>5.19</v>
      </c>
      <c r="C82" s="112">
        <v>8.07</v>
      </c>
      <c r="D82" s="112">
        <v>13.94</v>
      </c>
      <c r="E82" s="112">
        <v>9.06</v>
      </c>
      <c r="F82" s="112">
        <v>6.35</v>
      </c>
      <c r="G82" s="112">
        <v>84.48</v>
      </c>
      <c r="H82" s="112">
        <v>25.92</v>
      </c>
      <c r="I82" s="112">
        <v>8.18</v>
      </c>
      <c r="J82" s="112">
        <v>0.18</v>
      </c>
      <c r="K82" s="112">
        <v>177.89</v>
      </c>
      <c r="L82" s="112">
        <v>22.57</v>
      </c>
      <c r="M82" s="112">
        <v>64.319999999999993</v>
      </c>
      <c r="N82" s="112">
        <v>1.7</v>
      </c>
      <c r="O82" s="112">
        <v>0</v>
      </c>
      <c r="P82" s="112">
        <v>0.75</v>
      </c>
      <c r="Q82" s="112">
        <v>5</v>
      </c>
    </row>
    <row r="83" spans="1:17" customFormat="1">
      <c r="A83" s="80">
        <v>45613.78125</v>
      </c>
      <c r="B83" s="112">
        <v>5.18</v>
      </c>
      <c r="C83" s="112">
        <v>8.08</v>
      </c>
      <c r="D83" s="112">
        <v>13.94</v>
      </c>
      <c r="E83" s="112">
        <v>8.82</v>
      </c>
      <c r="F83" s="112">
        <v>6.28</v>
      </c>
      <c r="G83" s="112">
        <v>84.48</v>
      </c>
      <c r="H83" s="112">
        <v>25.92</v>
      </c>
      <c r="I83" s="112">
        <v>8.3000000000000007</v>
      </c>
      <c r="J83" s="112">
        <v>0.21</v>
      </c>
      <c r="K83" s="112">
        <v>162.22999999999999</v>
      </c>
      <c r="L83" s="112">
        <v>22.18</v>
      </c>
      <c r="M83" s="112">
        <v>60.41</v>
      </c>
      <c r="N83" s="112">
        <v>1.5</v>
      </c>
      <c r="O83" s="112">
        <v>0</v>
      </c>
      <c r="P83" s="112">
        <v>0.77</v>
      </c>
      <c r="Q83" s="112">
        <v>5</v>
      </c>
    </row>
    <row r="84" spans="1:17" customFormat="1">
      <c r="A84" s="80">
        <v>45613.791666666664</v>
      </c>
      <c r="B84" s="112">
        <v>5.18</v>
      </c>
      <c r="C84" s="112">
        <v>8.08</v>
      </c>
      <c r="D84" s="112">
        <v>13.94</v>
      </c>
      <c r="E84" s="112">
        <v>8.77</v>
      </c>
      <c r="F84" s="112">
        <v>5.72</v>
      </c>
      <c r="G84" s="112">
        <v>84.48</v>
      </c>
      <c r="H84" s="112">
        <v>25.92</v>
      </c>
      <c r="I84" s="112">
        <v>8.4600000000000009</v>
      </c>
      <c r="J84" s="112">
        <v>0.28000000000000003</v>
      </c>
      <c r="K84" s="112">
        <v>166.97</v>
      </c>
      <c r="L84" s="112">
        <v>22.13</v>
      </c>
      <c r="M84" s="112">
        <v>64.06</v>
      </c>
      <c r="N84" s="112">
        <v>1.5</v>
      </c>
      <c r="O84" s="112">
        <v>0</v>
      </c>
      <c r="P84" s="112">
        <v>0.81</v>
      </c>
      <c r="Q84" s="112">
        <v>4.9800000000000004</v>
      </c>
    </row>
    <row r="85" spans="1:17" customFormat="1">
      <c r="A85" s="80">
        <v>45613.802083333336</v>
      </c>
      <c r="B85" s="112">
        <v>5.19</v>
      </c>
      <c r="C85" s="112">
        <v>8.07</v>
      </c>
      <c r="D85" s="112">
        <v>13.95</v>
      </c>
      <c r="E85" s="112">
        <v>8.48</v>
      </c>
      <c r="F85" s="112">
        <v>5.77</v>
      </c>
      <c r="G85" s="112">
        <v>84.86</v>
      </c>
      <c r="H85" s="112">
        <v>26.03</v>
      </c>
      <c r="I85" s="112">
        <v>8.65</v>
      </c>
      <c r="J85" s="112">
        <v>0.19</v>
      </c>
      <c r="K85" s="112">
        <v>205.24</v>
      </c>
      <c r="L85" s="112">
        <v>21.52</v>
      </c>
      <c r="M85" s="112">
        <v>73.95</v>
      </c>
      <c r="N85" s="112">
        <v>1.8</v>
      </c>
      <c r="O85" s="112">
        <v>0</v>
      </c>
      <c r="P85" s="112">
        <v>0.83</v>
      </c>
      <c r="Q85" s="112">
        <v>4.99</v>
      </c>
    </row>
    <row r="86" spans="1:17" customFormat="1">
      <c r="A86" s="80">
        <v>45613.8125</v>
      </c>
      <c r="B86" s="112">
        <v>5.17</v>
      </c>
      <c r="C86" s="112">
        <v>8.11</v>
      </c>
      <c r="D86" s="112">
        <v>13.95</v>
      </c>
      <c r="E86" s="112">
        <v>8.56</v>
      </c>
      <c r="F86" s="112">
        <v>5.6</v>
      </c>
      <c r="G86" s="112">
        <v>101.77</v>
      </c>
      <c r="H86" s="112">
        <v>29.85</v>
      </c>
      <c r="I86" s="112">
        <v>8.8800000000000008</v>
      </c>
      <c r="J86" s="112">
        <v>0.16</v>
      </c>
      <c r="K86" s="112">
        <v>199.09</v>
      </c>
      <c r="L86" s="112">
        <v>21.11</v>
      </c>
      <c r="M86" s="112">
        <v>68.91</v>
      </c>
      <c r="N86" s="112">
        <v>1.4</v>
      </c>
      <c r="O86" s="112">
        <v>0</v>
      </c>
      <c r="P86" s="112">
        <v>0.85</v>
      </c>
      <c r="Q86" s="112">
        <v>4.99</v>
      </c>
    </row>
    <row r="87" spans="1:17" customFormat="1">
      <c r="A87" s="80">
        <v>45613.822916666664</v>
      </c>
      <c r="B87" s="112">
        <v>5.17</v>
      </c>
      <c r="C87" s="112">
        <v>8.08</v>
      </c>
      <c r="D87" s="112">
        <v>13.94</v>
      </c>
      <c r="E87" s="112">
        <v>8.76</v>
      </c>
      <c r="F87" s="112">
        <v>5.62</v>
      </c>
      <c r="G87" s="112">
        <v>101.77</v>
      </c>
      <c r="H87" s="112">
        <v>29.85</v>
      </c>
      <c r="I87" s="112">
        <v>9.06</v>
      </c>
      <c r="J87" s="112">
        <v>0.16</v>
      </c>
      <c r="K87" s="112">
        <v>200.14</v>
      </c>
      <c r="L87" s="112">
        <v>20.98</v>
      </c>
      <c r="M87" s="112">
        <v>71.98</v>
      </c>
      <c r="N87" s="112">
        <v>1.5</v>
      </c>
      <c r="O87" s="112">
        <v>0</v>
      </c>
      <c r="P87" s="112">
        <v>0.88</v>
      </c>
      <c r="Q87" s="112">
        <v>4.99</v>
      </c>
    </row>
    <row r="88" spans="1:17" customFormat="1">
      <c r="A88" s="80">
        <v>45613.833333333336</v>
      </c>
      <c r="B88" s="112">
        <v>5.17</v>
      </c>
      <c r="C88" s="112">
        <v>8.07</v>
      </c>
      <c r="D88" s="112">
        <v>13.93</v>
      </c>
      <c r="E88" s="112">
        <v>8.66</v>
      </c>
      <c r="F88" s="112">
        <v>5.61</v>
      </c>
      <c r="G88" s="112">
        <v>101.77</v>
      </c>
      <c r="H88" s="112">
        <v>29.85</v>
      </c>
      <c r="I88" s="112">
        <v>9.27</v>
      </c>
      <c r="J88" s="112">
        <v>0.17</v>
      </c>
      <c r="K88" s="112">
        <v>175.03</v>
      </c>
      <c r="L88" s="112">
        <v>20.56</v>
      </c>
      <c r="M88" s="112">
        <v>74.400000000000006</v>
      </c>
      <c r="N88" s="112">
        <v>1.4</v>
      </c>
      <c r="O88" s="112">
        <v>0</v>
      </c>
      <c r="P88" s="112">
        <v>0.9</v>
      </c>
      <c r="Q88" s="112">
        <v>4.99</v>
      </c>
    </row>
    <row r="89" spans="1:17" customFormat="1">
      <c r="A89" s="80">
        <v>45613.84375</v>
      </c>
      <c r="B89" s="112">
        <v>5.17</v>
      </c>
      <c r="C89" s="112">
        <v>8.08</v>
      </c>
      <c r="D89" s="112">
        <v>13.94</v>
      </c>
      <c r="E89" s="112">
        <v>8.35</v>
      </c>
      <c r="F89" s="112">
        <v>5.75</v>
      </c>
      <c r="G89" s="112">
        <v>102</v>
      </c>
      <c r="H89" s="112">
        <v>29.82</v>
      </c>
      <c r="I89" s="112">
        <v>9.52</v>
      </c>
      <c r="J89" s="112">
        <v>0.16</v>
      </c>
      <c r="K89" s="112">
        <v>204.63</v>
      </c>
      <c r="L89" s="112">
        <v>20.3</v>
      </c>
      <c r="M89" s="112">
        <v>77.75</v>
      </c>
      <c r="N89" s="112">
        <v>1.4</v>
      </c>
      <c r="O89" s="112">
        <v>0</v>
      </c>
      <c r="P89" s="112">
        <v>0.91</v>
      </c>
      <c r="Q89" s="112">
        <v>4.99</v>
      </c>
    </row>
    <row r="90" spans="1:17" customFormat="1">
      <c r="A90" s="80">
        <v>45613.854166666664</v>
      </c>
      <c r="B90" s="112">
        <v>5.18</v>
      </c>
      <c r="C90" s="112">
        <v>8.07</v>
      </c>
      <c r="D90" s="112">
        <v>13.94</v>
      </c>
      <c r="E90" s="112">
        <v>9.0399999999999991</v>
      </c>
      <c r="F90" s="112">
        <v>5.56</v>
      </c>
      <c r="G90" s="112">
        <v>112.12</v>
      </c>
      <c r="H90" s="112">
        <v>28.29</v>
      </c>
      <c r="I90" s="112">
        <v>9.6999999999999993</v>
      </c>
      <c r="J90" s="112">
        <v>0.23</v>
      </c>
      <c r="K90" s="112">
        <v>179.85</v>
      </c>
      <c r="L90" s="112">
        <v>20.03</v>
      </c>
      <c r="M90" s="112">
        <v>76.64</v>
      </c>
      <c r="N90" s="112">
        <v>1.4</v>
      </c>
      <c r="O90" s="112">
        <v>0</v>
      </c>
      <c r="P90" s="112">
        <v>0.92</v>
      </c>
      <c r="Q90" s="112">
        <v>4.99</v>
      </c>
    </row>
    <row r="91" spans="1:17" customFormat="1">
      <c r="A91" s="80">
        <v>45613.864583333336</v>
      </c>
      <c r="B91" s="112">
        <v>5.18</v>
      </c>
      <c r="C91" s="112">
        <v>8.1</v>
      </c>
      <c r="D91" s="112">
        <v>13.95</v>
      </c>
      <c r="E91" s="112">
        <v>9.08</v>
      </c>
      <c r="F91" s="112">
        <v>5.72</v>
      </c>
      <c r="G91" s="112">
        <v>112.12</v>
      </c>
      <c r="H91" s="112">
        <v>28.29</v>
      </c>
      <c r="I91" s="112">
        <v>9.86</v>
      </c>
      <c r="J91" s="112">
        <v>0.18</v>
      </c>
      <c r="K91" s="112">
        <v>168.22</v>
      </c>
      <c r="L91" s="112">
        <v>19.93</v>
      </c>
      <c r="M91" s="112">
        <v>73.52</v>
      </c>
      <c r="N91" s="112">
        <v>1.4</v>
      </c>
      <c r="O91" s="112">
        <v>0</v>
      </c>
      <c r="P91" s="112">
        <v>0.93</v>
      </c>
      <c r="Q91" s="112">
        <v>4.99</v>
      </c>
    </row>
    <row r="92" spans="1:17" customFormat="1">
      <c r="A92" s="80">
        <v>45613.875</v>
      </c>
      <c r="B92" s="112">
        <v>5.17</v>
      </c>
      <c r="C92" s="112">
        <v>8.09</v>
      </c>
      <c r="D92" s="112">
        <v>13.94</v>
      </c>
      <c r="E92" s="112">
        <v>8.32</v>
      </c>
      <c r="F92" s="112">
        <v>5.66</v>
      </c>
      <c r="G92" s="112">
        <v>112.12</v>
      </c>
      <c r="H92" s="112">
        <v>28.29</v>
      </c>
      <c r="I92" s="112">
        <v>9.9600000000000009</v>
      </c>
      <c r="J92" s="112">
        <v>0.19</v>
      </c>
      <c r="K92" s="112">
        <v>153.06</v>
      </c>
      <c r="L92" s="112">
        <v>19.850000000000001</v>
      </c>
      <c r="M92" s="112">
        <v>71.569999999999993</v>
      </c>
      <c r="N92" s="112">
        <v>1.3</v>
      </c>
      <c r="O92" s="112">
        <v>0</v>
      </c>
      <c r="P92" s="112">
        <v>0.93</v>
      </c>
      <c r="Q92" s="112">
        <v>4.99</v>
      </c>
    </row>
    <row r="93" spans="1:17" customFormat="1">
      <c r="A93" s="80">
        <v>45613.885416666664</v>
      </c>
      <c r="B93" s="112">
        <v>5.17</v>
      </c>
      <c r="C93" s="112">
        <v>8.07</v>
      </c>
      <c r="D93" s="112">
        <v>13.93</v>
      </c>
      <c r="E93" s="112">
        <v>8.83</v>
      </c>
      <c r="F93" s="112">
        <v>5.71</v>
      </c>
      <c r="G93" s="112">
        <v>112.17</v>
      </c>
      <c r="H93" s="112">
        <v>28.22</v>
      </c>
      <c r="I93" s="112">
        <v>9.99</v>
      </c>
      <c r="J93" s="112">
        <v>0.19</v>
      </c>
      <c r="K93" s="112">
        <v>180.23</v>
      </c>
      <c r="L93" s="112">
        <v>19.760000000000002</v>
      </c>
      <c r="M93" s="112">
        <v>71.05</v>
      </c>
      <c r="N93" s="112">
        <v>1.3</v>
      </c>
      <c r="O93" s="112">
        <v>0</v>
      </c>
      <c r="P93" s="112">
        <v>0.91</v>
      </c>
      <c r="Q93" s="112">
        <v>4.99</v>
      </c>
    </row>
    <row r="94" spans="1:17" customFormat="1">
      <c r="A94" s="80">
        <v>45613.895833333336</v>
      </c>
      <c r="B94" s="112">
        <v>5.19</v>
      </c>
      <c r="C94" s="112">
        <v>8.07</v>
      </c>
      <c r="D94" s="112">
        <v>13.94</v>
      </c>
      <c r="E94" s="112">
        <v>9.06</v>
      </c>
      <c r="F94" s="112">
        <v>5.61</v>
      </c>
      <c r="G94" s="112">
        <v>114.29</v>
      </c>
      <c r="H94" s="112">
        <v>25.89</v>
      </c>
      <c r="I94" s="112">
        <v>9.9600000000000009</v>
      </c>
      <c r="J94" s="112">
        <v>0.16</v>
      </c>
      <c r="K94" s="112">
        <v>224.18</v>
      </c>
      <c r="L94" s="112">
        <v>19.57</v>
      </c>
      <c r="M94" s="112">
        <v>79.930000000000007</v>
      </c>
      <c r="N94" s="112">
        <v>1.3</v>
      </c>
      <c r="O94" s="112">
        <v>0</v>
      </c>
      <c r="P94" s="112">
        <v>0.91</v>
      </c>
      <c r="Q94" s="112">
        <v>4.9800000000000004</v>
      </c>
    </row>
    <row r="95" spans="1:17" customFormat="1">
      <c r="A95" s="80">
        <v>45613.90625</v>
      </c>
      <c r="B95" s="112">
        <v>5.19</v>
      </c>
      <c r="C95" s="112">
        <v>8.07</v>
      </c>
      <c r="D95" s="112">
        <v>13.95</v>
      </c>
      <c r="E95" s="112">
        <v>9.19</v>
      </c>
      <c r="F95" s="112">
        <v>5.49</v>
      </c>
      <c r="G95" s="112">
        <v>114.29</v>
      </c>
      <c r="H95" s="112">
        <v>25.89</v>
      </c>
      <c r="I95" s="112">
        <v>9.99</v>
      </c>
      <c r="J95" s="112">
        <v>0.19</v>
      </c>
      <c r="K95" s="112">
        <v>215.84</v>
      </c>
      <c r="L95" s="112">
        <v>19.47</v>
      </c>
      <c r="M95" s="112">
        <v>79.63</v>
      </c>
      <c r="N95" s="112">
        <v>1.4</v>
      </c>
      <c r="O95" s="112">
        <v>0</v>
      </c>
      <c r="P95" s="112">
        <v>0.93</v>
      </c>
      <c r="Q95" s="112">
        <v>4.9800000000000004</v>
      </c>
    </row>
    <row r="96" spans="1:17" customFormat="1">
      <c r="A96" s="80">
        <v>45613.916666666664</v>
      </c>
      <c r="B96" s="112">
        <v>5.21</v>
      </c>
      <c r="C96" s="112">
        <v>8.06</v>
      </c>
      <c r="D96" s="112">
        <v>13.96</v>
      </c>
      <c r="E96" s="112">
        <v>8.7799999999999994</v>
      </c>
      <c r="F96" s="112">
        <v>5.63</v>
      </c>
      <c r="G96" s="112">
        <v>114.29</v>
      </c>
      <c r="H96" s="112">
        <v>25.89</v>
      </c>
      <c r="I96" s="112">
        <v>10.039999999999999</v>
      </c>
      <c r="J96" s="112">
        <v>0.13</v>
      </c>
      <c r="K96" s="112">
        <v>178.25</v>
      </c>
      <c r="L96" s="112">
        <v>19.14</v>
      </c>
      <c r="M96" s="112">
        <v>83.67</v>
      </c>
      <c r="N96" s="112">
        <v>1.4</v>
      </c>
      <c r="O96" s="112">
        <v>0</v>
      </c>
      <c r="P96" s="112">
        <v>0.93</v>
      </c>
      <c r="Q96" s="112">
        <v>4.9800000000000004</v>
      </c>
    </row>
    <row r="97" spans="1:22" customFormat="1">
      <c r="A97" s="80">
        <v>45613.927083333336</v>
      </c>
      <c r="B97" s="112">
        <v>5.21</v>
      </c>
      <c r="C97" s="112">
        <v>8.0500000000000007</v>
      </c>
      <c r="D97" s="112">
        <v>13.95</v>
      </c>
      <c r="E97" s="112">
        <v>8.4499999999999993</v>
      </c>
      <c r="F97" s="112">
        <v>5.7</v>
      </c>
      <c r="G97" s="112">
        <v>114.18</v>
      </c>
      <c r="H97" s="112">
        <v>25.91</v>
      </c>
      <c r="I97" s="112">
        <v>10.08</v>
      </c>
      <c r="J97" s="112">
        <v>0.18</v>
      </c>
      <c r="K97" s="112">
        <v>187.89</v>
      </c>
      <c r="L97" s="112">
        <v>18.920000000000002</v>
      </c>
      <c r="M97" s="112">
        <v>81.62</v>
      </c>
      <c r="N97" s="112">
        <v>1.3</v>
      </c>
      <c r="O97" s="112">
        <v>0</v>
      </c>
      <c r="P97" s="112">
        <v>0.92</v>
      </c>
      <c r="Q97" s="112">
        <v>4.99</v>
      </c>
    </row>
    <row r="98" spans="1:22" customFormat="1">
      <c r="A98" s="80">
        <v>45613.9375</v>
      </c>
      <c r="B98" s="112">
        <v>5.2</v>
      </c>
      <c r="C98" s="112">
        <v>8.07</v>
      </c>
      <c r="D98" s="112">
        <v>13.96</v>
      </c>
      <c r="E98" s="112">
        <v>9.16</v>
      </c>
      <c r="F98" s="112">
        <v>5.52</v>
      </c>
      <c r="G98" s="112">
        <v>109.65</v>
      </c>
      <c r="H98" s="112">
        <v>26.59</v>
      </c>
      <c r="I98" s="112">
        <v>10.119999999999999</v>
      </c>
      <c r="J98" s="112">
        <v>0.17</v>
      </c>
      <c r="K98" s="112">
        <v>207.81</v>
      </c>
      <c r="L98" s="112">
        <v>18.63</v>
      </c>
      <c r="M98" s="112">
        <v>83.54</v>
      </c>
      <c r="N98" s="112">
        <v>1.6</v>
      </c>
      <c r="O98" s="112">
        <v>0</v>
      </c>
      <c r="P98" s="112">
        <v>0.93</v>
      </c>
      <c r="Q98" s="112">
        <v>4.9800000000000004</v>
      </c>
    </row>
    <row r="99" spans="1:22" customFormat="1">
      <c r="A99" s="80">
        <v>45613.947916666664</v>
      </c>
      <c r="B99" s="112">
        <v>5.2</v>
      </c>
      <c r="C99" s="112">
        <v>8.07</v>
      </c>
      <c r="D99" s="112">
        <v>13.95</v>
      </c>
      <c r="E99" s="112">
        <v>9.23</v>
      </c>
      <c r="F99" s="112">
        <v>5.5</v>
      </c>
      <c r="G99" s="112">
        <v>109.65</v>
      </c>
      <c r="H99" s="112">
        <v>26.59</v>
      </c>
      <c r="I99" s="112">
        <v>10.17</v>
      </c>
      <c r="J99" s="112">
        <v>0.16</v>
      </c>
      <c r="K99" s="112">
        <v>227.55</v>
      </c>
      <c r="L99" s="112">
        <v>18.11</v>
      </c>
      <c r="M99" s="112">
        <v>84.23</v>
      </c>
      <c r="N99" s="112">
        <v>1.7</v>
      </c>
      <c r="O99" s="112">
        <v>0</v>
      </c>
      <c r="P99" s="112">
        <v>0.93</v>
      </c>
      <c r="Q99" s="112">
        <v>4.99</v>
      </c>
    </row>
    <row r="100" spans="1:22" customFormat="1">
      <c r="A100" s="80">
        <v>45613.958333333336</v>
      </c>
      <c r="B100" s="112">
        <v>5.18</v>
      </c>
      <c r="C100" s="112">
        <v>8.1</v>
      </c>
      <c r="D100" s="112">
        <v>13.95</v>
      </c>
      <c r="E100" s="112">
        <v>8.64</v>
      </c>
      <c r="F100" s="112">
        <v>5.61</v>
      </c>
      <c r="G100" s="112">
        <v>109.65</v>
      </c>
      <c r="H100" s="112">
        <v>26.59</v>
      </c>
      <c r="I100" s="112">
        <v>10.210000000000001</v>
      </c>
      <c r="J100" s="112">
        <v>0.19</v>
      </c>
      <c r="K100" s="112">
        <v>235</v>
      </c>
      <c r="L100" s="112">
        <v>17.809999999999999</v>
      </c>
      <c r="M100" s="112">
        <v>83.71</v>
      </c>
      <c r="N100" s="112">
        <v>1.5</v>
      </c>
      <c r="O100" s="112">
        <v>0</v>
      </c>
      <c r="P100" s="112">
        <v>0.94</v>
      </c>
      <c r="Q100" s="112">
        <v>4.99</v>
      </c>
    </row>
    <row r="101" spans="1:22" customFormat="1">
      <c r="A101" s="80">
        <v>45613.96875</v>
      </c>
      <c r="B101" s="112">
        <v>5.17</v>
      </c>
      <c r="C101" s="112">
        <v>8.09</v>
      </c>
      <c r="D101" s="112">
        <v>13.94</v>
      </c>
      <c r="E101" s="112">
        <v>9.0500000000000007</v>
      </c>
      <c r="F101" s="112">
        <v>5.67</v>
      </c>
      <c r="G101" s="112">
        <v>109.45</v>
      </c>
      <c r="H101" s="112">
        <v>26.61</v>
      </c>
      <c r="I101" s="112">
        <v>10.25</v>
      </c>
      <c r="J101" s="112">
        <v>0.13</v>
      </c>
      <c r="K101" s="112">
        <v>232.23</v>
      </c>
      <c r="L101" s="112">
        <v>17.82</v>
      </c>
      <c r="M101" s="112">
        <v>83.17</v>
      </c>
      <c r="N101" s="112">
        <v>1.2</v>
      </c>
      <c r="O101" s="112">
        <v>0</v>
      </c>
      <c r="P101" s="112">
        <v>0.94</v>
      </c>
      <c r="Q101" s="112">
        <v>4.99</v>
      </c>
    </row>
    <row r="102" spans="1:22" customFormat="1">
      <c r="A102" s="80">
        <v>45613.979166666664</v>
      </c>
      <c r="B102" s="112">
        <v>5.19</v>
      </c>
      <c r="C102" s="112">
        <v>8.07</v>
      </c>
      <c r="D102" s="112">
        <v>13.95</v>
      </c>
      <c r="E102" s="112">
        <v>9.09</v>
      </c>
      <c r="F102" s="112">
        <v>5.58</v>
      </c>
      <c r="G102" s="112">
        <v>100.56</v>
      </c>
      <c r="H102" s="112">
        <v>28.36</v>
      </c>
      <c r="I102" s="112">
        <v>10.31</v>
      </c>
      <c r="J102" s="112">
        <v>0.11</v>
      </c>
      <c r="K102" s="112">
        <v>226.51</v>
      </c>
      <c r="L102" s="112">
        <v>17.760000000000002</v>
      </c>
      <c r="M102" s="112">
        <v>82.23</v>
      </c>
      <c r="N102" s="112">
        <v>1.3</v>
      </c>
      <c r="O102" s="112">
        <v>0</v>
      </c>
      <c r="P102" s="112">
        <v>0.94</v>
      </c>
      <c r="Q102" s="112">
        <v>4.97</v>
      </c>
    </row>
    <row r="103" spans="1:22" customFormat="1">
      <c r="A103" s="80">
        <v>45613.989583333336</v>
      </c>
      <c r="B103" s="112">
        <v>5.18</v>
      </c>
      <c r="C103" s="112">
        <v>8.08</v>
      </c>
      <c r="D103" s="112">
        <v>13.95</v>
      </c>
      <c r="E103" s="112">
        <v>8.91</v>
      </c>
      <c r="F103" s="112">
        <v>5.65</v>
      </c>
      <c r="G103" s="112">
        <v>100.56</v>
      </c>
      <c r="H103" s="112">
        <v>28.36</v>
      </c>
      <c r="I103" s="112">
        <v>10.36</v>
      </c>
      <c r="J103" s="112">
        <v>0.13</v>
      </c>
      <c r="K103" s="112">
        <v>215.08</v>
      </c>
      <c r="L103" s="112">
        <v>17.84</v>
      </c>
      <c r="M103" s="112">
        <v>81.38</v>
      </c>
      <c r="N103" s="112">
        <v>1.2</v>
      </c>
      <c r="O103" s="112">
        <v>0</v>
      </c>
      <c r="P103" s="112">
        <v>0.94</v>
      </c>
      <c r="Q103" s="112">
        <v>4.9800000000000004</v>
      </c>
    </row>
    <row r="104" spans="1:22" customFormat="1">
      <c r="A104" s="80">
        <v>45614</v>
      </c>
      <c r="B104" s="112">
        <v>5.19</v>
      </c>
      <c r="C104" s="112">
        <v>8.0500000000000007</v>
      </c>
      <c r="D104" s="112">
        <v>13.93</v>
      </c>
      <c r="E104" s="112">
        <v>9.08</v>
      </c>
      <c r="F104" s="112">
        <v>5.8</v>
      </c>
      <c r="G104" s="112">
        <v>100.56</v>
      </c>
      <c r="H104" s="112">
        <v>28.36</v>
      </c>
      <c r="I104" s="112">
        <v>10.38</v>
      </c>
      <c r="J104" s="112">
        <v>0.11</v>
      </c>
      <c r="K104" s="112">
        <v>164.39</v>
      </c>
      <c r="L104" s="112">
        <v>17.93</v>
      </c>
      <c r="M104" s="112">
        <v>82.93</v>
      </c>
      <c r="N104" s="112">
        <v>1.2</v>
      </c>
      <c r="O104" s="112">
        <v>0</v>
      </c>
      <c r="P104" s="112">
        <v>0.93</v>
      </c>
      <c r="Q104" s="112">
        <v>4.96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5.16</v>
      </c>
      <c r="C106" s="183">
        <f>MIN(C9:C104)</f>
        <v>8.02</v>
      </c>
      <c r="D106" s="183">
        <f t="shared" ref="D106:Q106" si="0">MIN(D9:D104)</f>
        <v>13.92</v>
      </c>
      <c r="E106" s="183">
        <f t="shared" si="0"/>
        <v>7.28</v>
      </c>
      <c r="F106" s="183">
        <f t="shared" si="0"/>
        <v>5.21</v>
      </c>
      <c r="G106" s="183">
        <f t="shared" si="0"/>
        <v>60.21</v>
      </c>
      <c r="H106" s="183">
        <f t="shared" si="0"/>
        <v>22.49</v>
      </c>
      <c r="I106" s="183">
        <f t="shared" si="0"/>
        <v>7.59</v>
      </c>
      <c r="J106" s="183">
        <f t="shared" si="0"/>
        <v>0.04</v>
      </c>
      <c r="K106" s="183">
        <f t="shared" si="0"/>
        <v>9.3000000000000007</v>
      </c>
      <c r="L106" s="183">
        <f t="shared" si="0"/>
        <v>16.399999999999999</v>
      </c>
      <c r="M106" s="183">
        <f t="shared" si="0"/>
        <v>27.8</v>
      </c>
      <c r="N106" s="183">
        <f t="shared" si="0"/>
        <v>0.8</v>
      </c>
      <c r="O106" s="183">
        <f t="shared" si="0"/>
        <v>0</v>
      </c>
      <c r="P106" s="183">
        <f t="shared" si="0"/>
        <v>0.69</v>
      </c>
      <c r="Q106" s="183">
        <f t="shared" si="0"/>
        <v>4.96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5.24</v>
      </c>
      <c r="C107" s="184">
        <f t="shared" ref="C107:Q107" si="1">MAX(C9:C104)</f>
        <v>8.1199999999999992</v>
      </c>
      <c r="D107" s="184">
        <f t="shared" si="1"/>
        <v>13.98</v>
      </c>
      <c r="E107" s="184">
        <f t="shared" si="1"/>
        <v>12.81</v>
      </c>
      <c r="F107" s="184">
        <f t="shared" si="1"/>
        <v>19.62</v>
      </c>
      <c r="G107" s="184">
        <f t="shared" si="1"/>
        <v>119.03</v>
      </c>
      <c r="H107" s="184">
        <f t="shared" si="1"/>
        <v>37.880000000000003</v>
      </c>
      <c r="I107" s="184">
        <f t="shared" si="1"/>
        <v>12.25</v>
      </c>
      <c r="J107" s="184">
        <f t="shared" si="1"/>
        <v>1.1100000000000001</v>
      </c>
      <c r="K107" s="184">
        <f t="shared" si="1"/>
        <v>246.2</v>
      </c>
      <c r="L107" s="184">
        <f t="shared" si="1"/>
        <v>29.53</v>
      </c>
      <c r="M107" s="184">
        <f t="shared" si="1"/>
        <v>90.6</v>
      </c>
      <c r="N107" s="184">
        <f t="shared" si="1"/>
        <v>525.29999999999995</v>
      </c>
      <c r="O107" s="184">
        <f t="shared" si="1"/>
        <v>0</v>
      </c>
      <c r="P107" s="184">
        <f t="shared" si="1"/>
        <v>1.29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5.1948958333333328</v>
      </c>
      <c r="C108" s="183">
        <f t="shared" ref="C108:Q108" si="2">AVERAGE(C9:C104)</f>
        <v>8.0754166666666745</v>
      </c>
      <c r="D108" s="183">
        <f t="shared" si="2"/>
        <v>13.95270833333336</v>
      </c>
      <c r="E108" s="183">
        <f t="shared" si="2"/>
        <v>9.5045833333333292</v>
      </c>
      <c r="F108" s="183">
        <f t="shared" si="2"/>
        <v>7.799062499999998</v>
      </c>
      <c r="G108" s="183">
        <f t="shared" si="2"/>
        <v>94.037187499999973</v>
      </c>
      <c r="H108" s="183">
        <f t="shared" si="2"/>
        <v>29.402812500000007</v>
      </c>
      <c r="I108" s="183">
        <f t="shared" si="2"/>
        <v>10.116666666666669</v>
      </c>
      <c r="J108" s="183">
        <f t="shared" si="2"/>
        <v>0.32010416666666675</v>
      </c>
      <c r="K108" s="183">
        <f t="shared" si="2"/>
        <v>135.76562499999997</v>
      </c>
      <c r="L108" s="183">
        <f t="shared" si="2"/>
        <v>22.061562499999997</v>
      </c>
      <c r="M108" s="183">
        <f t="shared" si="2"/>
        <v>62.476041666666653</v>
      </c>
      <c r="N108" s="183">
        <f t="shared" si="2"/>
        <v>110.82499999999995</v>
      </c>
      <c r="O108" s="183">
        <f t="shared" si="2"/>
        <v>0</v>
      </c>
      <c r="P108" s="183">
        <f t="shared" si="2"/>
        <v>0.91614583333333366</v>
      </c>
      <c r="Q108" s="183">
        <f t="shared" si="2"/>
        <v>4.9869791666666732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1.6858219401927037E-2</v>
      </c>
      <c r="C109" s="183">
        <f t="shared" ref="C109:Q109" si="3">STDEV(C9:C104)</f>
        <v>1.9783920460109097E-2</v>
      </c>
      <c r="D109" s="183">
        <f t="shared" si="3"/>
        <v>1.2267129091208024E-2</v>
      </c>
      <c r="E109" s="183">
        <f t="shared" si="3"/>
        <v>1.1141944615935404</v>
      </c>
      <c r="F109" s="183">
        <f t="shared" si="3"/>
        <v>3.6130282030524841</v>
      </c>
      <c r="G109" s="183">
        <f t="shared" si="3"/>
        <v>19.269360173089925</v>
      </c>
      <c r="H109" s="183">
        <f t="shared" si="3"/>
        <v>3.9763304170461216</v>
      </c>
      <c r="I109" s="183">
        <f t="shared" si="3"/>
        <v>1.3516435739044399</v>
      </c>
      <c r="J109" s="183">
        <f t="shared" si="3"/>
        <v>0.25120549269751935</v>
      </c>
      <c r="K109" s="183">
        <f t="shared" si="3"/>
        <v>71.741857910479197</v>
      </c>
      <c r="L109" s="183">
        <f t="shared" si="3"/>
        <v>4.6285785764269027</v>
      </c>
      <c r="M109" s="183">
        <f t="shared" si="3"/>
        <v>22.18260169256251</v>
      </c>
      <c r="N109" s="183">
        <f t="shared" si="3"/>
        <v>177.40841788608037</v>
      </c>
      <c r="O109" s="183">
        <f t="shared" si="3"/>
        <v>0</v>
      </c>
      <c r="P109" s="183">
        <f t="shared" si="3"/>
        <v>0.1747381185881309</v>
      </c>
      <c r="Q109" s="183">
        <f t="shared" si="3"/>
        <v>9.6376227322832707E-3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45614.010416666664</v>
      </c>
      <c r="B9" s="112">
        <v>5.16</v>
      </c>
      <c r="C9" s="112">
        <v>8.07</v>
      </c>
      <c r="D9" s="112">
        <v>13.93</v>
      </c>
      <c r="E9" s="112">
        <v>8.74</v>
      </c>
      <c r="F9" s="112">
        <v>5.71</v>
      </c>
      <c r="G9" s="112">
        <v>100.36</v>
      </c>
      <c r="H9" s="112">
        <v>28.38</v>
      </c>
      <c r="I9" s="112">
        <v>10.36</v>
      </c>
      <c r="J9" s="112">
        <v>0.03</v>
      </c>
      <c r="K9" s="112">
        <v>203.53</v>
      </c>
      <c r="L9" s="112">
        <v>17.89</v>
      </c>
      <c r="M9" s="112">
        <v>85.31</v>
      </c>
      <c r="N9" s="112">
        <v>1.3</v>
      </c>
      <c r="O9" s="112">
        <v>0</v>
      </c>
      <c r="P9" s="112">
        <v>0.93</v>
      </c>
      <c r="Q9" s="112">
        <v>4.9800000000000004</v>
      </c>
    </row>
    <row r="10" spans="1:21" customFormat="1">
      <c r="A10" s="80">
        <v>45614.020833333336</v>
      </c>
      <c r="B10" s="112">
        <v>5.2</v>
      </c>
      <c r="C10" s="112">
        <v>8.0500000000000007</v>
      </c>
      <c r="D10" s="112">
        <v>13.94</v>
      </c>
      <c r="E10" s="112">
        <v>8.98</v>
      </c>
      <c r="F10" s="112">
        <v>5.62</v>
      </c>
      <c r="G10" s="112">
        <v>91.46</v>
      </c>
      <c r="H10" s="112">
        <v>29.86</v>
      </c>
      <c r="I10" s="112">
        <v>10.35</v>
      </c>
      <c r="J10" s="112">
        <v>0.09</v>
      </c>
      <c r="K10" s="112">
        <v>172.88</v>
      </c>
      <c r="L10" s="112">
        <v>17.7</v>
      </c>
      <c r="M10" s="112">
        <v>82.96</v>
      </c>
      <c r="N10" s="112">
        <v>1.4</v>
      </c>
      <c r="O10" s="112">
        <v>0</v>
      </c>
      <c r="P10" s="112">
        <v>0.93</v>
      </c>
      <c r="Q10" s="112">
        <v>4.99</v>
      </c>
    </row>
    <row r="11" spans="1:21" customFormat="1">
      <c r="A11" s="80">
        <v>45614.03125</v>
      </c>
      <c r="B11" s="112">
        <v>5.22</v>
      </c>
      <c r="C11" s="112">
        <v>8.06</v>
      </c>
      <c r="D11" s="112">
        <v>13.96</v>
      </c>
      <c r="E11" s="112">
        <v>8.81</v>
      </c>
      <c r="F11" s="112">
        <v>5.67</v>
      </c>
      <c r="G11" s="112">
        <v>91.46</v>
      </c>
      <c r="H11" s="112">
        <v>29.86</v>
      </c>
      <c r="I11" s="112">
        <v>10.35</v>
      </c>
      <c r="J11" s="112">
        <v>0.15</v>
      </c>
      <c r="K11" s="112">
        <v>297.01</v>
      </c>
      <c r="L11" s="112">
        <v>17.670000000000002</v>
      </c>
      <c r="M11" s="112">
        <v>82.39</v>
      </c>
      <c r="N11" s="112">
        <v>1.2</v>
      </c>
      <c r="O11" s="112">
        <v>0</v>
      </c>
      <c r="P11" s="112">
        <v>0.92</v>
      </c>
      <c r="Q11" s="112">
        <v>4.99</v>
      </c>
    </row>
    <row r="12" spans="1:21" customFormat="1">
      <c r="A12" s="80">
        <v>45614.041666666664</v>
      </c>
      <c r="B12" s="112">
        <v>5.23</v>
      </c>
      <c r="C12" s="112">
        <v>8.08</v>
      </c>
      <c r="D12" s="112">
        <v>13.98</v>
      </c>
      <c r="E12" s="112">
        <v>8.81</v>
      </c>
      <c r="F12" s="112">
        <v>5.52</v>
      </c>
      <c r="G12" s="112">
        <v>91.46</v>
      </c>
      <c r="H12" s="112">
        <v>29.86</v>
      </c>
      <c r="I12" s="112">
        <v>10.33</v>
      </c>
      <c r="J12" s="112">
        <v>0.16</v>
      </c>
      <c r="K12" s="112">
        <v>322.06</v>
      </c>
      <c r="L12" s="112">
        <v>17.899999999999999</v>
      </c>
      <c r="M12" s="112">
        <v>76.36</v>
      </c>
      <c r="N12" s="112">
        <v>0.9</v>
      </c>
      <c r="O12" s="112">
        <v>0</v>
      </c>
      <c r="P12" s="112">
        <v>0.92</v>
      </c>
      <c r="Q12" s="112">
        <v>4.9800000000000004</v>
      </c>
    </row>
    <row r="13" spans="1:21" customFormat="1">
      <c r="A13" s="80">
        <v>45614.052083333336</v>
      </c>
      <c r="B13" s="112">
        <v>5.2</v>
      </c>
      <c r="C13" s="112">
        <v>8.1</v>
      </c>
      <c r="D13" s="112">
        <v>13.97</v>
      </c>
      <c r="E13" s="112">
        <v>9.01</v>
      </c>
      <c r="F13" s="112">
        <v>5.42</v>
      </c>
      <c r="G13" s="112">
        <v>91.38</v>
      </c>
      <c r="H13" s="112">
        <v>29.86</v>
      </c>
      <c r="I13" s="112">
        <v>10.3</v>
      </c>
      <c r="J13" s="112">
        <v>0.05</v>
      </c>
      <c r="K13" s="112">
        <v>26.11</v>
      </c>
      <c r="L13" s="112">
        <v>18.39</v>
      </c>
      <c r="M13" s="112">
        <v>72.900000000000006</v>
      </c>
      <c r="N13" s="112">
        <v>0.9</v>
      </c>
      <c r="O13" s="112">
        <v>0</v>
      </c>
      <c r="P13" s="112">
        <v>0.92</v>
      </c>
      <c r="Q13" s="112">
        <v>4.97</v>
      </c>
    </row>
    <row r="14" spans="1:21" customFormat="1">
      <c r="A14" s="80">
        <v>45614.0625</v>
      </c>
      <c r="B14" s="112">
        <v>5.22</v>
      </c>
      <c r="C14" s="112">
        <v>8.07</v>
      </c>
      <c r="D14" s="112">
        <v>13.97</v>
      </c>
      <c r="E14" s="112">
        <v>8.9499999999999993</v>
      </c>
      <c r="F14" s="112">
        <v>5.54</v>
      </c>
      <c r="G14" s="112">
        <v>88.09</v>
      </c>
      <c r="H14" s="112">
        <v>29.45</v>
      </c>
      <c r="I14" s="112">
        <v>10.37</v>
      </c>
      <c r="J14" s="112">
        <v>0.31</v>
      </c>
      <c r="K14" s="112">
        <v>49.5</v>
      </c>
      <c r="L14" s="112">
        <v>18.55</v>
      </c>
      <c r="M14" s="112">
        <v>71.75</v>
      </c>
      <c r="N14" s="112">
        <v>1</v>
      </c>
      <c r="O14" s="112">
        <v>0</v>
      </c>
      <c r="P14" s="112">
        <v>0.93</v>
      </c>
      <c r="Q14" s="112">
        <v>4.99</v>
      </c>
    </row>
    <row r="15" spans="1:21" customFormat="1">
      <c r="A15" s="80">
        <v>45614.072916666664</v>
      </c>
      <c r="B15" s="112">
        <v>5.21</v>
      </c>
      <c r="C15" s="112">
        <v>8.06</v>
      </c>
      <c r="D15" s="112">
        <v>13.96</v>
      </c>
      <c r="E15" s="112">
        <v>8.69</v>
      </c>
      <c r="F15" s="112">
        <v>5.65</v>
      </c>
      <c r="G15" s="112">
        <v>88.09</v>
      </c>
      <c r="H15" s="112">
        <v>29.45</v>
      </c>
      <c r="I15" s="112">
        <v>10.49</v>
      </c>
      <c r="J15" s="112">
        <v>0.24</v>
      </c>
      <c r="K15" s="112">
        <v>38.03</v>
      </c>
      <c r="L15" s="112">
        <v>18.82</v>
      </c>
      <c r="M15" s="112">
        <v>70.349999999999994</v>
      </c>
      <c r="N15" s="112">
        <v>1.1000000000000001</v>
      </c>
      <c r="O15" s="112">
        <v>0</v>
      </c>
      <c r="P15" s="112">
        <v>0.97</v>
      </c>
      <c r="Q15" s="112">
        <v>4.99</v>
      </c>
    </row>
    <row r="16" spans="1:21" customFormat="1">
      <c r="A16" s="80">
        <v>45614.083333333336</v>
      </c>
      <c r="B16" s="112">
        <v>5.22</v>
      </c>
      <c r="C16" s="112">
        <v>8.08</v>
      </c>
      <c r="D16" s="112">
        <v>13.97</v>
      </c>
      <c r="E16" s="112">
        <v>9</v>
      </c>
      <c r="F16" s="112">
        <v>5.51</v>
      </c>
      <c r="G16" s="112">
        <v>88.09</v>
      </c>
      <c r="H16" s="112">
        <v>29.45</v>
      </c>
      <c r="I16" s="112">
        <v>10.65</v>
      </c>
      <c r="J16" s="112">
        <v>0.13</v>
      </c>
      <c r="K16" s="112">
        <v>42.32</v>
      </c>
      <c r="L16" s="112">
        <v>18.68</v>
      </c>
      <c r="M16" s="112">
        <v>72.040000000000006</v>
      </c>
      <c r="N16" s="112">
        <v>1.6</v>
      </c>
      <c r="O16" s="112">
        <v>0</v>
      </c>
      <c r="P16" s="112">
        <v>1.03</v>
      </c>
      <c r="Q16" s="112">
        <v>5</v>
      </c>
    </row>
    <row r="17" spans="1:17" customFormat="1">
      <c r="A17" s="80">
        <v>45614.09375</v>
      </c>
      <c r="B17" s="112">
        <v>5.21</v>
      </c>
      <c r="C17" s="112">
        <v>8.11</v>
      </c>
      <c r="D17" s="112">
        <v>13.98</v>
      </c>
      <c r="E17" s="112">
        <v>7.36</v>
      </c>
      <c r="F17" s="112">
        <v>5.46</v>
      </c>
      <c r="G17" s="112">
        <v>90.17</v>
      </c>
      <c r="H17" s="112">
        <v>29.53</v>
      </c>
      <c r="I17" s="112">
        <v>10.88</v>
      </c>
      <c r="J17" s="112">
        <v>0.06</v>
      </c>
      <c r="K17" s="112">
        <v>170.67</v>
      </c>
      <c r="L17" s="112">
        <v>18.21</v>
      </c>
      <c r="M17" s="112">
        <v>76.36</v>
      </c>
      <c r="N17" s="112">
        <v>1.8</v>
      </c>
      <c r="O17" s="112">
        <v>0</v>
      </c>
      <c r="P17" s="112">
        <v>1.07</v>
      </c>
      <c r="Q17" s="112">
        <v>5</v>
      </c>
    </row>
    <row r="18" spans="1:17" customFormat="1">
      <c r="A18" s="80">
        <v>45614.104166666664</v>
      </c>
      <c r="B18" s="112">
        <v>5.21</v>
      </c>
      <c r="C18" s="112">
        <v>8.1300000000000008</v>
      </c>
      <c r="D18" s="112">
        <v>14</v>
      </c>
      <c r="E18" s="112">
        <v>8.6</v>
      </c>
      <c r="F18" s="112">
        <v>5.38</v>
      </c>
      <c r="G18" s="112">
        <v>181.64</v>
      </c>
      <c r="H18" s="112">
        <v>34.299999999999997</v>
      </c>
      <c r="I18" s="112">
        <v>11.15</v>
      </c>
      <c r="J18" s="112">
        <v>0.15</v>
      </c>
      <c r="K18" s="112">
        <v>197.51</v>
      </c>
      <c r="L18" s="112">
        <v>17.93</v>
      </c>
      <c r="M18" s="112">
        <v>78.27</v>
      </c>
      <c r="N18" s="112">
        <v>1.6</v>
      </c>
      <c r="O18" s="112">
        <v>0</v>
      </c>
      <c r="P18" s="112">
        <v>1.1000000000000001</v>
      </c>
      <c r="Q18" s="112">
        <v>5</v>
      </c>
    </row>
    <row r="19" spans="1:17" customFormat="1">
      <c r="A19" s="80">
        <v>45614.114583333336</v>
      </c>
      <c r="B19" s="112">
        <v>5.22</v>
      </c>
      <c r="C19" s="112">
        <v>8.1</v>
      </c>
      <c r="D19" s="112">
        <v>13.99</v>
      </c>
      <c r="E19" s="112">
        <v>8.5</v>
      </c>
      <c r="F19" s="112">
        <v>5.53</v>
      </c>
      <c r="G19" s="112">
        <v>181.64</v>
      </c>
      <c r="H19" s="112">
        <v>34.299999999999997</v>
      </c>
      <c r="I19" s="112">
        <v>11.42</v>
      </c>
      <c r="J19" s="112">
        <v>0.17</v>
      </c>
      <c r="K19" s="112">
        <v>203.85</v>
      </c>
      <c r="L19" s="112">
        <v>17.7</v>
      </c>
      <c r="M19" s="112">
        <v>84.05</v>
      </c>
      <c r="N19" s="112">
        <v>1.7</v>
      </c>
      <c r="O19" s="112">
        <v>0</v>
      </c>
      <c r="P19" s="112">
        <v>1.1399999999999999</v>
      </c>
      <c r="Q19" s="112">
        <v>4.9800000000000004</v>
      </c>
    </row>
    <row r="20" spans="1:17" customFormat="1">
      <c r="A20" s="80">
        <v>45614.125</v>
      </c>
      <c r="B20" s="112">
        <v>5.22</v>
      </c>
      <c r="C20" s="112">
        <v>8.11</v>
      </c>
      <c r="D20" s="112">
        <v>13.99</v>
      </c>
      <c r="E20" s="112">
        <v>8.2200000000000006</v>
      </c>
      <c r="F20" s="112">
        <v>5.39</v>
      </c>
      <c r="G20" s="112">
        <v>181.64</v>
      </c>
      <c r="H20" s="112">
        <v>34.299999999999997</v>
      </c>
      <c r="I20" s="112">
        <v>11.66</v>
      </c>
      <c r="J20" s="112">
        <v>0.2</v>
      </c>
      <c r="K20" s="112">
        <v>220.23</v>
      </c>
      <c r="L20" s="112">
        <v>17.309999999999999</v>
      </c>
      <c r="M20" s="112">
        <v>85.38</v>
      </c>
      <c r="N20" s="112">
        <v>1.6</v>
      </c>
      <c r="O20" s="112">
        <v>0</v>
      </c>
      <c r="P20" s="112">
        <v>1.17</v>
      </c>
      <c r="Q20" s="112">
        <v>5</v>
      </c>
    </row>
    <row r="21" spans="1:17" customFormat="1">
      <c r="A21" s="80">
        <v>45614.135416666664</v>
      </c>
      <c r="B21" s="112">
        <v>5.22</v>
      </c>
      <c r="C21" s="112">
        <v>8.1</v>
      </c>
      <c r="D21" s="112">
        <v>13.98</v>
      </c>
      <c r="E21" s="112">
        <v>8.59</v>
      </c>
      <c r="F21" s="112">
        <v>5.37</v>
      </c>
      <c r="G21" s="112">
        <v>181.21</v>
      </c>
      <c r="H21" s="112">
        <v>34.340000000000003</v>
      </c>
      <c r="I21" s="112">
        <v>11.88</v>
      </c>
      <c r="J21" s="112">
        <v>0.14000000000000001</v>
      </c>
      <c r="K21" s="112">
        <v>225.54</v>
      </c>
      <c r="L21" s="112">
        <v>17.04</v>
      </c>
      <c r="M21" s="112">
        <v>85.86</v>
      </c>
      <c r="N21" s="112">
        <v>1.6</v>
      </c>
      <c r="O21" s="112">
        <v>0</v>
      </c>
      <c r="P21" s="112">
        <v>1.2</v>
      </c>
      <c r="Q21" s="112">
        <v>4.99</v>
      </c>
    </row>
    <row r="22" spans="1:17" customFormat="1">
      <c r="A22" s="80">
        <v>45614.145833333336</v>
      </c>
      <c r="B22" s="112">
        <v>5.22</v>
      </c>
      <c r="C22" s="112">
        <v>8.07</v>
      </c>
      <c r="D22" s="112">
        <v>13.97</v>
      </c>
      <c r="E22" s="112">
        <v>8.6199999999999992</v>
      </c>
      <c r="F22" s="112">
        <v>5.37</v>
      </c>
      <c r="G22" s="112">
        <v>161.94</v>
      </c>
      <c r="H22" s="112">
        <v>37.29</v>
      </c>
      <c r="I22" s="112">
        <v>12.04</v>
      </c>
      <c r="J22" s="112">
        <v>0.15</v>
      </c>
      <c r="K22" s="112">
        <v>193.62</v>
      </c>
      <c r="L22" s="112">
        <v>16.82</v>
      </c>
      <c r="M22" s="112">
        <v>85.12</v>
      </c>
      <c r="N22" s="112">
        <v>1.5</v>
      </c>
      <c r="O22" s="112">
        <v>0</v>
      </c>
      <c r="P22" s="112">
        <v>1.21</v>
      </c>
      <c r="Q22" s="112">
        <v>4.9800000000000004</v>
      </c>
    </row>
    <row r="23" spans="1:17" customFormat="1">
      <c r="A23" s="80">
        <v>45614.15625</v>
      </c>
      <c r="B23" s="112">
        <v>5.21</v>
      </c>
      <c r="C23" s="112">
        <v>8.08</v>
      </c>
      <c r="D23" s="112">
        <v>13.97</v>
      </c>
      <c r="E23" s="112">
        <v>8.2200000000000006</v>
      </c>
      <c r="F23" s="112">
        <v>5.32</v>
      </c>
      <c r="G23" s="112">
        <v>161.94</v>
      </c>
      <c r="H23" s="112">
        <v>37.29</v>
      </c>
      <c r="I23" s="112">
        <v>12.18</v>
      </c>
      <c r="J23" s="112">
        <v>0.18</v>
      </c>
      <c r="K23" s="112">
        <v>147.91</v>
      </c>
      <c r="L23" s="112">
        <v>16.66</v>
      </c>
      <c r="M23" s="112">
        <v>86.48</v>
      </c>
      <c r="N23" s="112">
        <v>1.4</v>
      </c>
      <c r="O23" s="112">
        <v>0</v>
      </c>
      <c r="P23" s="112">
        <v>1.23</v>
      </c>
      <c r="Q23" s="112">
        <v>4.99</v>
      </c>
    </row>
    <row r="24" spans="1:17" customFormat="1">
      <c r="A24" s="80">
        <v>45614.166666666664</v>
      </c>
      <c r="B24" s="112">
        <v>5.21</v>
      </c>
      <c r="C24" s="112">
        <v>8.07</v>
      </c>
      <c r="D24" s="112">
        <v>13.97</v>
      </c>
      <c r="E24" s="112">
        <v>8.1999999999999993</v>
      </c>
      <c r="F24" s="112">
        <v>5.47</v>
      </c>
      <c r="G24" s="112">
        <v>161.94</v>
      </c>
      <c r="H24" s="112">
        <v>37.29</v>
      </c>
      <c r="I24" s="112">
        <v>12.28</v>
      </c>
      <c r="J24" s="112">
        <v>0.19</v>
      </c>
      <c r="K24" s="112">
        <v>90.18</v>
      </c>
      <c r="L24" s="112">
        <v>16.52</v>
      </c>
      <c r="M24" s="112">
        <v>85.88</v>
      </c>
      <c r="N24" s="112">
        <v>1.5</v>
      </c>
      <c r="O24" s="112">
        <v>0</v>
      </c>
      <c r="P24" s="112">
        <v>1.23</v>
      </c>
      <c r="Q24" s="112">
        <v>5</v>
      </c>
    </row>
    <row r="25" spans="1:17" customFormat="1">
      <c r="A25" s="80">
        <v>45614.177083333336</v>
      </c>
      <c r="B25" s="112">
        <v>5.22</v>
      </c>
      <c r="C25" s="112">
        <v>8.07</v>
      </c>
      <c r="D25" s="112">
        <v>13.97</v>
      </c>
      <c r="E25" s="112">
        <v>8.09</v>
      </c>
      <c r="F25" s="112">
        <v>5.3</v>
      </c>
      <c r="G25" s="112">
        <v>161.37</v>
      </c>
      <c r="H25" s="112">
        <v>37.29</v>
      </c>
      <c r="I25" s="112">
        <v>12.42</v>
      </c>
      <c r="J25" s="112">
        <v>0.13</v>
      </c>
      <c r="K25" s="112">
        <v>102.87</v>
      </c>
      <c r="L25" s="112">
        <v>16.829999999999998</v>
      </c>
      <c r="M25" s="112">
        <v>83.08</v>
      </c>
      <c r="N25" s="112">
        <v>1.1000000000000001</v>
      </c>
      <c r="O25" s="112">
        <v>0</v>
      </c>
      <c r="P25" s="112">
        <v>1.25</v>
      </c>
      <c r="Q25" s="112">
        <v>4.9800000000000004</v>
      </c>
    </row>
    <row r="26" spans="1:17" customFormat="1">
      <c r="A26" s="80">
        <v>45614.1875</v>
      </c>
      <c r="B26" s="112">
        <v>5.22</v>
      </c>
      <c r="C26" s="112">
        <v>8.07</v>
      </c>
      <c r="D26" s="112">
        <v>13.98</v>
      </c>
      <c r="E26" s="112">
        <v>7.72</v>
      </c>
      <c r="F26" s="112">
        <v>5.33</v>
      </c>
      <c r="G26" s="112">
        <v>136.61000000000001</v>
      </c>
      <c r="H26" s="112">
        <v>37.479999999999997</v>
      </c>
      <c r="I26" s="112">
        <v>12.51</v>
      </c>
      <c r="J26" s="112">
        <v>0.08</v>
      </c>
      <c r="K26" s="112">
        <v>75.36</v>
      </c>
      <c r="L26" s="112">
        <v>17.07</v>
      </c>
      <c r="M26" s="112">
        <v>81.84</v>
      </c>
      <c r="N26" s="112">
        <v>1</v>
      </c>
      <c r="O26" s="112">
        <v>0</v>
      </c>
      <c r="P26" s="112">
        <v>1.25</v>
      </c>
      <c r="Q26" s="112">
        <v>4.9800000000000004</v>
      </c>
    </row>
    <row r="27" spans="1:17" customFormat="1">
      <c r="A27" s="80">
        <v>45614.197916666664</v>
      </c>
      <c r="B27" s="112">
        <v>5.23</v>
      </c>
      <c r="C27" s="112">
        <v>8.06</v>
      </c>
      <c r="D27" s="112">
        <v>13.97</v>
      </c>
      <c r="E27" s="112">
        <v>7.89</v>
      </c>
      <c r="F27" s="112">
        <v>5.26</v>
      </c>
      <c r="G27" s="112">
        <v>136.61000000000001</v>
      </c>
      <c r="H27" s="112">
        <v>37.479999999999997</v>
      </c>
      <c r="I27" s="112">
        <v>12.58</v>
      </c>
      <c r="J27" s="112">
        <v>0.13</v>
      </c>
      <c r="K27" s="112">
        <v>158.66999999999999</v>
      </c>
      <c r="L27" s="112">
        <v>17.079999999999998</v>
      </c>
      <c r="M27" s="112">
        <v>82.46</v>
      </c>
      <c r="N27" s="112">
        <v>1.4</v>
      </c>
      <c r="O27" s="112">
        <v>0</v>
      </c>
      <c r="P27" s="112">
        <v>1.26</v>
      </c>
      <c r="Q27" s="112">
        <v>4.99</v>
      </c>
    </row>
    <row r="28" spans="1:17" customFormat="1">
      <c r="A28" s="80">
        <v>45614.208333333336</v>
      </c>
      <c r="B28" s="112">
        <v>5.22</v>
      </c>
      <c r="C28" s="112">
        <v>8.08</v>
      </c>
      <c r="D28" s="112">
        <v>13.97</v>
      </c>
      <c r="E28" s="112">
        <v>8.06</v>
      </c>
      <c r="F28" s="112">
        <v>5.29</v>
      </c>
      <c r="G28" s="112">
        <v>136.61000000000001</v>
      </c>
      <c r="H28" s="112">
        <v>37.479999999999997</v>
      </c>
      <c r="I28" s="112">
        <v>12.66</v>
      </c>
      <c r="J28" s="112">
        <v>0.15</v>
      </c>
      <c r="K28" s="112">
        <v>183.85</v>
      </c>
      <c r="L28" s="112">
        <v>17</v>
      </c>
      <c r="M28" s="112">
        <v>85.31</v>
      </c>
      <c r="N28" s="112">
        <v>1.3</v>
      </c>
      <c r="O28" s="112">
        <v>0</v>
      </c>
      <c r="P28" s="112">
        <v>1.26</v>
      </c>
      <c r="Q28" s="112">
        <v>4.9800000000000004</v>
      </c>
    </row>
    <row r="29" spans="1:17" customFormat="1">
      <c r="A29" s="80">
        <v>45614.21875</v>
      </c>
      <c r="B29" s="112">
        <v>5.21</v>
      </c>
      <c r="C29" s="112">
        <v>8.1</v>
      </c>
      <c r="D29" s="112">
        <v>13.98</v>
      </c>
      <c r="E29" s="112">
        <v>8.23</v>
      </c>
      <c r="F29" s="112">
        <v>5.45</v>
      </c>
      <c r="G29" s="112">
        <v>135.93</v>
      </c>
      <c r="H29" s="112">
        <v>37.49</v>
      </c>
      <c r="I29" s="112">
        <v>12.71</v>
      </c>
      <c r="J29" s="112">
        <v>0.15</v>
      </c>
      <c r="K29" s="112">
        <v>185.98</v>
      </c>
      <c r="L29" s="112">
        <v>16.850000000000001</v>
      </c>
      <c r="M29" s="112">
        <v>88.78</v>
      </c>
      <c r="N29" s="112">
        <v>1.4</v>
      </c>
      <c r="O29" s="112">
        <v>0</v>
      </c>
      <c r="P29" s="112">
        <v>1.25</v>
      </c>
      <c r="Q29" s="112">
        <v>4.9800000000000004</v>
      </c>
    </row>
    <row r="30" spans="1:17" customFormat="1">
      <c r="A30" s="80">
        <v>45614.229166666664</v>
      </c>
      <c r="B30" s="112">
        <v>5.21</v>
      </c>
      <c r="C30" s="112">
        <v>8.11</v>
      </c>
      <c r="D30" s="112">
        <v>13.98</v>
      </c>
      <c r="E30" s="112">
        <v>8.33</v>
      </c>
      <c r="F30" s="112">
        <v>5.38</v>
      </c>
      <c r="G30" s="112">
        <v>106.35</v>
      </c>
      <c r="H30" s="112">
        <v>38.229999999999997</v>
      </c>
      <c r="I30" s="112">
        <v>12.72</v>
      </c>
      <c r="J30" s="112">
        <v>0.13</v>
      </c>
      <c r="K30" s="112">
        <v>198</v>
      </c>
      <c r="L30" s="112">
        <v>16.39</v>
      </c>
      <c r="M30" s="112">
        <v>90.13</v>
      </c>
      <c r="N30" s="112">
        <v>1.5</v>
      </c>
      <c r="O30" s="112">
        <v>0</v>
      </c>
      <c r="P30" s="112">
        <v>1.25</v>
      </c>
      <c r="Q30" s="112">
        <v>5</v>
      </c>
    </row>
    <row r="31" spans="1:17" customFormat="1">
      <c r="A31" s="80">
        <v>45614.239583333336</v>
      </c>
      <c r="B31" s="112">
        <v>5.22</v>
      </c>
      <c r="C31" s="112">
        <v>8.07</v>
      </c>
      <c r="D31" s="112">
        <v>13.97</v>
      </c>
      <c r="E31" s="112">
        <v>8.59</v>
      </c>
      <c r="F31" s="112">
        <v>5.3</v>
      </c>
      <c r="G31" s="112">
        <v>106.35</v>
      </c>
      <c r="H31" s="112">
        <v>38.229999999999997</v>
      </c>
      <c r="I31" s="112">
        <v>12.7</v>
      </c>
      <c r="J31" s="112">
        <v>0.14000000000000001</v>
      </c>
      <c r="K31" s="112">
        <v>221.95</v>
      </c>
      <c r="L31" s="112">
        <v>16.27</v>
      </c>
      <c r="M31" s="112">
        <v>90.6</v>
      </c>
      <c r="N31" s="112">
        <v>1.4</v>
      </c>
      <c r="O31" s="112">
        <v>0</v>
      </c>
      <c r="P31" s="112">
        <v>1.24</v>
      </c>
      <c r="Q31" s="112">
        <v>5</v>
      </c>
    </row>
    <row r="32" spans="1:17" customFormat="1">
      <c r="A32" s="80">
        <v>45614.25</v>
      </c>
      <c r="B32" s="112">
        <v>5.23</v>
      </c>
      <c r="C32" s="112">
        <v>8.0399999999999991</v>
      </c>
      <c r="D32" s="112">
        <v>13.97</v>
      </c>
      <c r="E32" s="112">
        <v>7.83</v>
      </c>
      <c r="F32" s="112">
        <v>5.23</v>
      </c>
      <c r="G32" s="112">
        <v>106.35</v>
      </c>
      <c r="H32" s="112">
        <v>38.229999999999997</v>
      </c>
      <c r="I32" s="112">
        <v>12.69</v>
      </c>
      <c r="J32" s="112">
        <v>0.11</v>
      </c>
      <c r="K32" s="112">
        <v>195.03</v>
      </c>
      <c r="L32" s="112">
        <v>16.13</v>
      </c>
      <c r="M32" s="112">
        <v>90.23</v>
      </c>
      <c r="N32" s="112">
        <v>2.2000000000000002</v>
      </c>
      <c r="O32" s="112">
        <v>0</v>
      </c>
      <c r="P32" s="112">
        <v>1.24</v>
      </c>
      <c r="Q32" s="112">
        <v>5</v>
      </c>
    </row>
    <row r="33" spans="1:17" customFormat="1">
      <c r="A33" s="80">
        <v>45614.260416666664</v>
      </c>
      <c r="B33" s="112">
        <v>5.23</v>
      </c>
      <c r="C33" s="112">
        <v>8.02</v>
      </c>
      <c r="D33" s="112">
        <v>13.95</v>
      </c>
      <c r="E33" s="112">
        <v>8.11</v>
      </c>
      <c r="F33" s="112">
        <v>5.5</v>
      </c>
      <c r="G33" s="112">
        <v>106.3</v>
      </c>
      <c r="H33" s="112">
        <v>38.200000000000003</v>
      </c>
      <c r="I33" s="112">
        <v>12.68</v>
      </c>
      <c r="J33" s="112">
        <v>0.11</v>
      </c>
      <c r="K33" s="112">
        <v>163.72999999999999</v>
      </c>
      <c r="L33" s="112">
        <v>16.37</v>
      </c>
      <c r="M33" s="112">
        <v>88.58</v>
      </c>
      <c r="N33" s="112">
        <v>5.2</v>
      </c>
      <c r="O33" s="112">
        <v>0</v>
      </c>
      <c r="P33" s="112">
        <v>1.24</v>
      </c>
      <c r="Q33" s="112">
        <v>5</v>
      </c>
    </row>
    <row r="34" spans="1:17" customFormat="1">
      <c r="A34" s="80">
        <v>45614.270833333336</v>
      </c>
      <c r="B34" s="112">
        <v>5.22</v>
      </c>
      <c r="C34" s="112">
        <v>8.0500000000000007</v>
      </c>
      <c r="D34" s="112">
        <v>13.96</v>
      </c>
      <c r="E34" s="112">
        <v>8.57</v>
      </c>
      <c r="F34" s="112">
        <v>5.48</v>
      </c>
      <c r="G34" s="112">
        <v>104.45</v>
      </c>
      <c r="H34" s="112">
        <v>35.78</v>
      </c>
      <c r="I34" s="112">
        <v>12.67</v>
      </c>
      <c r="J34" s="112">
        <v>7.0000000000000007E-2</v>
      </c>
      <c r="K34" s="112">
        <v>105.95</v>
      </c>
      <c r="L34" s="112">
        <v>16.52</v>
      </c>
      <c r="M34" s="112">
        <v>87.19</v>
      </c>
      <c r="N34" s="112">
        <v>12.4</v>
      </c>
      <c r="O34" s="112">
        <v>0</v>
      </c>
      <c r="P34" s="112">
        <v>1.24</v>
      </c>
      <c r="Q34" s="112">
        <v>4.9800000000000004</v>
      </c>
    </row>
    <row r="35" spans="1:17" customFormat="1">
      <c r="A35" s="80">
        <v>45614.28125</v>
      </c>
      <c r="B35" s="112">
        <v>5.2</v>
      </c>
      <c r="C35" s="112">
        <v>8.08</v>
      </c>
      <c r="D35" s="112">
        <v>13.96</v>
      </c>
      <c r="E35" s="112">
        <v>8.4700000000000006</v>
      </c>
      <c r="F35" s="112">
        <v>5.47</v>
      </c>
      <c r="G35" s="112">
        <v>104.45</v>
      </c>
      <c r="H35" s="112">
        <v>35.78</v>
      </c>
      <c r="I35" s="112">
        <v>12.68</v>
      </c>
      <c r="J35" s="112">
        <v>0.19</v>
      </c>
      <c r="K35" s="112">
        <v>37.97</v>
      </c>
      <c r="L35" s="112">
        <v>16.97</v>
      </c>
      <c r="M35" s="112">
        <v>83.31</v>
      </c>
      <c r="N35" s="112">
        <v>22.5</v>
      </c>
      <c r="O35" s="112">
        <v>0</v>
      </c>
      <c r="P35" s="112">
        <v>1.23</v>
      </c>
      <c r="Q35" s="112">
        <v>4.99</v>
      </c>
    </row>
    <row r="36" spans="1:17" customFormat="1">
      <c r="A36" s="80">
        <v>45614.291666666664</v>
      </c>
      <c r="B36" s="112">
        <v>5.19</v>
      </c>
      <c r="C36" s="112">
        <v>8.08</v>
      </c>
      <c r="D36" s="112">
        <v>13.95</v>
      </c>
      <c r="E36" s="112">
        <v>8.4600000000000009</v>
      </c>
      <c r="F36" s="112">
        <v>5.57</v>
      </c>
      <c r="G36" s="112">
        <v>104.45</v>
      </c>
      <c r="H36" s="112">
        <v>35.78</v>
      </c>
      <c r="I36" s="112">
        <v>12.73</v>
      </c>
      <c r="J36" s="112">
        <v>0.28000000000000003</v>
      </c>
      <c r="K36" s="112">
        <v>38.14</v>
      </c>
      <c r="L36" s="112">
        <v>17.489999999999998</v>
      </c>
      <c r="M36" s="112">
        <v>80.56</v>
      </c>
      <c r="N36" s="112">
        <v>34.6</v>
      </c>
      <c r="O36" s="112">
        <v>0</v>
      </c>
      <c r="P36" s="112">
        <v>1.24</v>
      </c>
      <c r="Q36" s="112">
        <v>4.99</v>
      </c>
    </row>
    <row r="37" spans="1:17" customFormat="1">
      <c r="A37" s="80">
        <v>45614.302083333336</v>
      </c>
      <c r="B37" s="112">
        <v>5.2</v>
      </c>
      <c r="C37" s="112">
        <v>8.09</v>
      </c>
      <c r="D37" s="112">
        <v>13.96</v>
      </c>
      <c r="E37" s="112">
        <v>8.7799999999999994</v>
      </c>
      <c r="F37" s="112">
        <v>5.68</v>
      </c>
      <c r="G37" s="112">
        <v>104.64</v>
      </c>
      <c r="H37" s="112">
        <v>35.82</v>
      </c>
      <c r="I37" s="112">
        <v>12.79</v>
      </c>
      <c r="J37" s="112">
        <v>0.28000000000000003</v>
      </c>
      <c r="K37" s="112">
        <v>42.84</v>
      </c>
      <c r="L37" s="112">
        <v>18.04</v>
      </c>
      <c r="M37" s="112">
        <v>78.19</v>
      </c>
      <c r="N37" s="112">
        <v>46.2</v>
      </c>
      <c r="O37" s="112">
        <v>0</v>
      </c>
      <c r="P37" s="112">
        <v>1.22</v>
      </c>
      <c r="Q37" s="112">
        <v>4.99</v>
      </c>
    </row>
    <row r="38" spans="1:17" customFormat="1">
      <c r="A38" s="80">
        <v>45614.3125</v>
      </c>
      <c r="B38" s="112">
        <v>5.22</v>
      </c>
      <c r="C38" s="112">
        <v>8.07</v>
      </c>
      <c r="D38" s="112">
        <v>13.97</v>
      </c>
      <c r="E38" s="112">
        <v>8.5</v>
      </c>
      <c r="F38" s="112">
        <v>5.56</v>
      </c>
      <c r="G38" s="112">
        <v>113.41</v>
      </c>
      <c r="H38" s="112">
        <v>38.18</v>
      </c>
      <c r="I38" s="112">
        <v>12.84</v>
      </c>
      <c r="J38" s="112">
        <v>0.33</v>
      </c>
      <c r="K38" s="112">
        <v>42.02</v>
      </c>
      <c r="L38" s="112">
        <v>18.59</v>
      </c>
      <c r="M38" s="112">
        <v>75.069999999999993</v>
      </c>
      <c r="N38" s="112">
        <v>58.3</v>
      </c>
      <c r="O38" s="112">
        <v>0</v>
      </c>
      <c r="P38" s="112">
        <v>1.22</v>
      </c>
      <c r="Q38" s="112">
        <v>4.99</v>
      </c>
    </row>
    <row r="39" spans="1:17" customFormat="1">
      <c r="A39" s="80">
        <v>45614.322916666664</v>
      </c>
      <c r="B39" s="112">
        <v>5.21</v>
      </c>
      <c r="C39" s="112">
        <v>8.09</v>
      </c>
      <c r="D39" s="112">
        <v>13.98</v>
      </c>
      <c r="E39" s="112">
        <v>9.06</v>
      </c>
      <c r="F39" s="112">
        <v>5.66</v>
      </c>
      <c r="G39" s="112">
        <v>113.41</v>
      </c>
      <c r="H39" s="112">
        <v>38.18</v>
      </c>
      <c r="I39" s="112">
        <v>12.89</v>
      </c>
      <c r="J39" s="112">
        <v>0.51</v>
      </c>
      <c r="K39" s="112">
        <v>48.65</v>
      </c>
      <c r="L39" s="112">
        <v>19.309999999999999</v>
      </c>
      <c r="M39" s="112">
        <v>70.17</v>
      </c>
      <c r="N39" s="112">
        <v>121.6</v>
      </c>
      <c r="O39" s="112">
        <v>0</v>
      </c>
      <c r="P39" s="112">
        <v>1.22</v>
      </c>
      <c r="Q39" s="112">
        <v>5.01</v>
      </c>
    </row>
    <row r="40" spans="1:17" customFormat="1">
      <c r="A40" s="80">
        <v>45614.333333333336</v>
      </c>
      <c r="B40" s="112">
        <v>5.23</v>
      </c>
      <c r="C40" s="112">
        <v>8.0500000000000007</v>
      </c>
      <c r="D40" s="112">
        <v>13.97</v>
      </c>
      <c r="E40" s="112">
        <v>8.92</v>
      </c>
      <c r="F40" s="112">
        <v>5.61</v>
      </c>
      <c r="G40" s="112">
        <v>113.41</v>
      </c>
      <c r="H40" s="112">
        <v>38.18</v>
      </c>
      <c r="I40" s="112">
        <v>12.95</v>
      </c>
      <c r="J40" s="112">
        <v>0.52</v>
      </c>
      <c r="K40" s="112">
        <v>57.51</v>
      </c>
      <c r="L40" s="112">
        <v>20.02</v>
      </c>
      <c r="M40" s="112">
        <v>67.19</v>
      </c>
      <c r="N40" s="112">
        <v>173</v>
      </c>
      <c r="O40" s="112">
        <v>0</v>
      </c>
      <c r="P40" s="112">
        <v>1.21</v>
      </c>
      <c r="Q40" s="112">
        <v>5</v>
      </c>
    </row>
    <row r="41" spans="1:17" customFormat="1">
      <c r="A41" s="80">
        <v>45614.34375</v>
      </c>
      <c r="B41" s="112">
        <v>5.22</v>
      </c>
      <c r="C41" s="112">
        <v>8.06</v>
      </c>
      <c r="D41" s="112">
        <v>13.97</v>
      </c>
      <c r="E41" s="112">
        <v>8.8800000000000008</v>
      </c>
      <c r="F41" s="112">
        <v>5.64</v>
      </c>
      <c r="G41" s="112">
        <v>113.39</v>
      </c>
      <c r="H41" s="112">
        <v>38.17</v>
      </c>
      <c r="I41" s="112">
        <v>12.99</v>
      </c>
      <c r="J41" s="112">
        <v>0.44</v>
      </c>
      <c r="K41" s="112">
        <v>37.799999999999997</v>
      </c>
      <c r="L41" s="112">
        <v>20.81</v>
      </c>
      <c r="M41" s="112">
        <v>66.099999999999994</v>
      </c>
      <c r="N41" s="112">
        <v>204.1</v>
      </c>
      <c r="O41" s="112">
        <v>0</v>
      </c>
      <c r="P41" s="112">
        <v>1.2</v>
      </c>
      <c r="Q41" s="112">
        <v>4.9800000000000004</v>
      </c>
    </row>
    <row r="42" spans="1:17" customFormat="1">
      <c r="A42" s="80">
        <v>45614.354166666664</v>
      </c>
      <c r="B42" s="112">
        <v>5.22</v>
      </c>
      <c r="C42" s="112">
        <v>8.07</v>
      </c>
      <c r="D42" s="112">
        <v>13.97</v>
      </c>
      <c r="E42" s="112">
        <v>8.85</v>
      </c>
      <c r="F42" s="112">
        <v>5.64</v>
      </c>
      <c r="G42" s="112">
        <v>112.59</v>
      </c>
      <c r="H42" s="112">
        <v>37.68</v>
      </c>
      <c r="I42" s="112">
        <v>12.99</v>
      </c>
      <c r="J42" s="112">
        <v>0.27</v>
      </c>
      <c r="K42" s="112">
        <v>16.66</v>
      </c>
      <c r="L42" s="112">
        <v>21.81</v>
      </c>
      <c r="M42" s="112">
        <v>63.24</v>
      </c>
      <c r="N42" s="112">
        <v>196.3</v>
      </c>
      <c r="O42" s="112">
        <v>0</v>
      </c>
      <c r="P42" s="112">
        <v>1.2</v>
      </c>
      <c r="Q42" s="112">
        <v>4.9800000000000004</v>
      </c>
    </row>
    <row r="43" spans="1:17" customFormat="1">
      <c r="A43" s="80">
        <v>45614.364583333336</v>
      </c>
      <c r="B43" s="112">
        <v>5.22</v>
      </c>
      <c r="C43" s="112">
        <v>8.07</v>
      </c>
      <c r="D43" s="112">
        <v>13.98</v>
      </c>
      <c r="E43" s="112">
        <v>8.9499999999999993</v>
      </c>
      <c r="F43" s="112">
        <v>5.41</v>
      </c>
      <c r="G43" s="112">
        <v>112.59</v>
      </c>
      <c r="H43" s="112">
        <v>37.68</v>
      </c>
      <c r="I43" s="112">
        <v>12.98</v>
      </c>
      <c r="J43" s="112">
        <v>0.54</v>
      </c>
      <c r="K43" s="112">
        <v>37.04</v>
      </c>
      <c r="L43" s="112">
        <v>22.6</v>
      </c>
      <c r="M43" s="112">
        <v>59.19</v>
      </c>
      <c r="N43" s="112">
        <v>211.8</v>
      </c>
      <c r="O43" s="112">
        <v>0</v>
      </c>
      <c r="P43" s="112">
        <v>1.19</v>
      </c>
      <c r="Q43" s="112">
        <v>4.9800000000000004</v>
      </c>
    </row>
    <row r="44" spans="1:17" customFormat="1">
      <c r="A44" s="80">
        <v>45614.375</v>
      </c>
      <c r="B44" s="112">
        <v>5.24</v>
      </c>
      <c r="C44" s="112">
        <v>8.0299999999999994</v>
      </c>
      <c r="D44" s="112">
        <v>13.96</v>
      </c>
      <c r="E44" s="112">
        <v>9.23</v>
      </c>
      <c r="F44" s="112">
        <v>5.64</v>
      </c>
      <c r="G44" s="112">
        <v>112.59</v>
      </c>
      <c r="H44" s="112">
        <v>37.68</v>
      </c>
      <c r="I44" s="112">
        <v>12.97</v>
      </c>
      <c r="J44" s="112">
        <v>0.52</v>
      </c>
      <c r="K44" s="112">
        <v>52.66</v>
      </c>
      <c r="L44" s="112">
        <v>23.57</v>
      </c>
      <c r="M44" s="112">
        <v>55.47</v>
      </c>
      <c r="N44" s="112">
        <v>307.39999999999998</v>
      </c>
      <c r="O44" s="112">
        <v>0</v>
      </c>
      <c r="P44" s="112">
        <v>1.18</v>
      </c>
      <c r="Q44" s="112">
        <v>4.99</v>
      </c>
    </row>
    <row r="45" spans="1:17" customFormat="1">
      <c r="A45" s="80">
        <v>45614.385416666664</v>
      </c>
      <c r="B45" s="112">
        <v>5.24</v>
      </c>
      <c r="C45" s="112">
        <v>8.0399999999999991</v>
      </c>
      <c r="D45" s="112">
        <v>13.97</v>
      </c>
      <c r="E45" s="112">
        <v>9.15</v>
      </c>
      <c r="F45" s="112">
        <v>5.82</v>
      </c>
      <c r="G45" s="112">
        <v>112.56</v>
      </c>
      <c r="H45" s="112">
        <v>37.58</v>
      </c>
      <c r="I45" s="112">
        <v>12.94</v>
      </c>
      <c r="J45" s="112">
        <v>0.43</v>
      </c>
      <c r="K45" s="112">
        <v>73.78</v>
      </c>
      <c r="L45" s="112">
        <v>24.45</v>
      </c>
      <c r="M45" s="112">
        <v>50.17</v>
      </c>
      <c r="N45" s="112">
        <v>353.4</v>
      </c>
      <c r="O45" s="112">
        <v>0</v>
      </c>
      <c r="P45" s="112">
        <v>1.17</v>
      </c>
      <c r="Q45" s="112">
        <v>4.99</v>
      </c>
    </row>
    <row r="46" spans="1:17" customFormat="1">
      <c r="A46" s="80">
        <v>45614.395833333336</v>
      </c>
      <c r="B46" s="112">
        <v>5.23</v>
      </c>
      <c r="C46" s="112">
        <v>8.09</v>
      </c>
      <c r="D46" s="112">
        <v>13.98</v>
      </c>
      <c r="E46" s="112">
        <v>8.8699999999999992</v>
      </c>
      <c r="F46" s="112">
        <v>6.09</v>
      </c>
      <c r="G46" s="112">
        <v>111.63</v>
      </c>
      <c r="H46" s="112">
        <v>30.52</v>
      </c>
      <c r="I46" s="112">
        <v>12.87</v>
      </c>
      <c r="J46" s="112">
        <v>0.77</v>
      </c>
      <c r="K46" s="112">
        <v>39.020000000000003</v>
      </c>
      <c r="L46" s="112">
        <v>25.04</v>
      </c>
      <c r="M46" s="112">
        <v>48.44</v>
      </c>
      <c r="N46" s="112">
        <v>308</v>
      </c>
      <c r="O46" s="112">
        <v>0</v>
      </c>
      <c r="P46" s="112">
        <v>1.1499999999999999</v>
      </c>
      <c r="Q46" s="112">
        <v>4.99</v>
      </c>
    </row>
    <row r="47" spans="1:17" customFormat="1">
      <c r="A47" s="80">
        <v>45614.40625</v>
      </c>
      <c r="B47" s="112">
        <v>5.22</v>
      </c>
      <c r="C47" s="112">
        <v>8.09</v>
      </c>
      <c r="D47" s="112">
        <v>13.98</v>
      </c>
      <c r="E47" s="112">
        <v>9.4600000000000009</v>
      </c>
      <c r="F47" s="112">
        <v>6.42</v>
      </c>
      <c r="G47" s="112">
        <v>111.63</v>
      </c>
      <c r="H47" s="112">
        <v>30.52</v>
      </c>
      <c r="I47" s="112">
        <v>12.78</v>
      </c>
      <c r="J47" s="112">
        <v>0.61</v>
      </c>
      <c r="K47" s="112">
        <v>40.21</v>
      </c>
      <c r="L47" s="112">
        <v>25.72</v>
      </c>
      <c r="M47" s="112">
        <v>47.11</v>
      </c>
      <c r="N47" s="112">
        <v>416.5</v>
      </c>
      <c r="O47" s="112">
        <v>0</v>
      </c>
      <c r="P47" s="112">
        <v>1.1399999999999999</v>
      </c>
      <c r="Q47" s="112">
        <v>5</v>
      </c>
    </row>
    <row r="48" spans="1:17" customFormat="1">
      <c r="A48" s="80">
        <v>45614.416666666664</v>
      </c>
      <c r="B48" s="112">
        <v>5.2</v>
      </c>
      <c r="C48" s="112">
        <v>8.1</v>
      </c>
      <c r="D48" s="112">
        <v>13.97</v>
      </c>
      <c r="E48" s="112">
        <v>9.49</v>
      </c>
      <c r="F48" s="112">
        <v>6.25</v>
      </c>
      <c r="G48" s="112">
        <v>111.63</v>
      </c>
      <c r="H48" s="112">
        <v>30.52</v>
      </c>
      <c r="I48" s="112">
        <v>12.69</v>
      </c>
      <c r="J48" s="112">
        <v>0.46</v>
      </c>
      <c r="K48" s="112">
        <v>54.3</v>
      </c>
      <c r="L48" s="112">
        <v>26.41</v>
      </c>
      <c r="M48" s="112">
        <v>43.75</v>
      </c>
      <c r="N48" s="112">
        <v>440.2</v>
      </c>
      <c r="O48" s="112">
        <v>0</v>
      </c>
      <c r="P48" s="112">
        <v>1.1299999999999999</v>
      </c>
      <c r="Q48" s="112">
        <v>4.99</v>
      </c>
    </row>
    <row r="49" spans="1:17" customFormat="1">
      <c r="A49" s="80">
        <v>45614.427083333336</v>
      </c>
      <c r="B49" s="112">
        <v>5.2</v>
      </c>
      <c r="C49" s="112">
        <v>8.09</v>
      </c>
      <c r="D49" s="112">
        <v>13.96</v>
      </c>
      <c r="E49" s="112">
        <v>8.68</v>
      </c>
      <c r="F49" s="112">
        <v>6.41</v>
      </c>
      <c r="G49" s="112">
        <v>111.59</v>
      </c>
      <c r="H49" s="112">
        <v>30.53</v>
      </c>
      <c r="I49" s="112">
        <v>12.62</v>
      </c>
      <c r="J49" s="112">
        <v>0.57999999999999996</v>
      </c>
      <c r="K49" s="112">
        <v>53.11</v>
      </c>
      <c r="L49" s="112">
        <v>26.95</v>
      </c>
      <c r="M49" s="112">
        <v>41.85</v>
      </c>
      <c r="N49" s="112">
        <v>461.4</v>
      </c>
      <c r="O49" s="112">
        <v>0</v>
      </c>
      <c r="P49" s="112">
        <v>1.1200000000000001</v>
      </c>
      <c r="Q49" s="112">
        <v>4.9800000000000004</v>
      </c>
    </row>
    <row r="50" spans="1:17" customFormat="1">
      <c r="A50" s="80">
        <v>45614.4375</v>
      </c>
      <c r="B50" s="112">
        <v>5.21</v>
      </c>
      <c r="C50" s="112">
        <v>8.09</v>
      </c>
      <c r="D50" s="112">
        <v>13.97</v>
      </c>
      <c r="E50" s="112">
        <v>10.79</v>
      </c>
      <c r="F50" s="112">
        <v>6.78</v>
      </c>
      <c r="G50" s="112">
        <v>109.98</v>
      </c>
      <c r="H50" s="112">
        <v>31.06</v>
      </c>
      <c r="I50" s="112">
        <v>12.53</v>
      </c>
      <c r="J50" s="112">
        <v>0.6</v>
      </c>
      <c r="K50" s="112">
        <v>67.56</v>
      </c>
      <c r="L50" s="112">
        <v>27.49</v>
      </c>
      <c r="M50" s="112">
        <v>36.29</v>
      </c>
      <c r="N50" s="112">
        <v>495.8</v>
      </c>
      <c r="O50" s="112">
        <v>0</v>
      </c>
      <c r="P50" s="112">
        <v>1.1000000000000001</v>
      </c>
      <c r="Q50" s="112">
        <v>4.99</v>
      </c>
    </row>
    <row r="51" spans="1:17" customFormat="1">
      <c r="A51" s="80">
        <v>45614.447916666664</v>
      </c>
      <c r="B51" s="112">
        <v>5.22</v>
      </c>
      <c r="C51" s="112">
        <v>8.06</v>
      </c>
      <c r="D51" s="112">
        <v>13.97</v>
      </c>
      <c r="E51" s="112">
        <v>10.58</v>
      </c>
      <c r="F51" s="112">
        <v>7.27</v>
      </c>
      <c r="G51" s="112">
        <v>109.98</v>
      </c>
      <c r="H51" s="112">
        <v>31.06</v>
      </c>
      <c r="I51" s="112">
        <v>12.39</v>
      </c>
      <c r="J51" s="112">
        <v>0.46</v>
      </c>
      <c r="K51" s="112">
        <v>76.040000000000006</v>
      </c>
      <c r="L51" s="112">
        <v>28</v>
      </c>
      <c r="M51" s="112">
        <v>35.619999999999997</v>
      </c>
      <c r="N51" s="112">
        <v>447.3</v>
      </c>
      <c r="O51" s="112">
        <v>0</v>
      </c>
      <c r="P51" s="112">
        <v>1.06</v>
      </c>
      <c r="Q51" s="112">
        <v>4.9800000000000004</v>
      </c>
    </row>
    <row r="52" spans="1:17" customFormat="1">
      <c r="A52" s="80">
        <v>45614.458333333336</v>
      </c>
      <c r="B52" s="112">
        <v>5.21</v>
      </c>
      <c r="C52" s="112">
        <v>8.0500000000000007</v>
      </c>
      <c r="D52" s="112">
        <v>13.95</v>
      </c>
      <c r="E52" s="112">
        <v>10.91</v>
      </c>
      <c r="F52" s="112">
        <v>7.39</v>
      </c>
      <c r="G52" s="112">
        <v>109.98</v>
      </c>
      <c r="H52" s="112">
        <v>31.06</v>
      </c>
      <c r="I52" s="112">
        <v>12.17</v>
      </c>
      <c r="J52" s="112">
        <v>0.47</v>
      </c>
      <c r="K52" s="112">
        <v>56.79</v>
      </c>
      <c r="L52" s="112">
        <v>28.35</v>
      </c>
      <c r="M52" s="112">
        <v>35.92</v>
      </c>
      <c r="N52" s="112">
        <v>510</v>
      </c>
      <c r="O52" s="112">
        <v>0</v>
      </c>
      <c r="P52" s="112">
        <v>1.05</v>
      </c>
      <c r="Q52" s="112">
        <v>4.9800000000000004</v>
      </c>
    </row>
    <row r="53" spans="1:17" customFormat="1">
      <c r="A53" s="80">
        <v>45614.46875</v>
      </c>
      <c r="B53" s="112">
        <v>5.19</v>
      </c>
      <c r="C53" s="112">
        <v>8.1</v>
      </c>
      <c r="D53" s="112">
        <v>13.96</v>
      </c>
      <c r="E53" s="112">
        <v>11.08</v>
      </c>
      <c r="F53" s="112">
        <v>6.51</v>
      </c>
      <c r="G53" s="112">
        <v>109.02</v>
      </c>
      <c r="H53" s="112">
        <v>31.03</v>
      </c>
      <c r="I53" s="112">
        <v>11.93</v>
      </c>
      <c r="J53" s="112">
        <v>0.52</v>
      </c>
      <c r="K53" s="112">
        <v>75.790000000000006</v>
      </c>
      <c r="L53" s="112">
        <v>28.57</v>
      </c>
      <c r="M53" s="112">
        <v>34.53</v>
      </c>
      <c r="N53" s="112">
        <v>510.9</v>
      </c>
      <c r="O53" s="112">
        <v>0</v>
      </c>
      <c r="P53" s="112">
        <v>1.03</v>
      </c>
      <c r="Q53" s="112">
        <v>5</v>
      </c>
    </row>
    <row r="54" spans="1:17" customFormat="1">
      <c r="A54" s="80">
        <v>45614.479166666664</v>
      </c>
      <c r="B54" s="112">
        <v>5.2</v>
      </c>
      <c r="C54" s="112">
        <v>8.09</v>
      </c>
      <c r="D54" s="112">
        <v>13.97</v>
      </c>
      <c r="E54" s="112">
        <v>10.38</v>
      </c>
      <c r="F54" s="112">
        <v>7.54</v>
      </c>
      <c r="G54" s="112">
        <v>67.010000000000005</v>
      </c>
      <c r="H54" s="112">
        <v>29.13</v>
      </c>
      <c r="I54" s="112">
        <v>11.69</v>
      </c>
      <c r="J54" s="112">
        <v>0.6</v>
      </c>
      <c r="K54" s="112">
        <v>66.959999999999994</v>
      </c>
      <c r="L54" s="112">
        <v>28.68</v>
      </c>
      <c r="M54" s="112">
        <v>29.25</v>
      </c>
      <c r="N54" s="112">
        <v>505.2</v>
      </c>
      <c r="O54" s="112">
        <v>0</v>
      </c>
      <c r="P54" s="112">
        <v>1</v>
      </c>
      <c r="Q54" s="112">
        <v>5</v>
      </c>
    </row>
    <row r="55" spans="1:17" customFormat="1">
      <c r="A55" s="80">
        <v>45614.489583333336</v>
      </c>
      <c r="B55" s="112">
        <v>5.2</v>
      </c>
      <c r="C55" s="112">
        <v>8.1</v>
      </c>
      <c r="D55" s="112">
        <v>13.97</v>
      </c>
      <c r="E55" s="112">
        <v>11.13</v>
      </c>
      <c r="F55" s="112">
        <v>9.81</v>
      </c>
      <c r="G55" s="112">
        <v>67.010000000000005</v>
      </c>
      <c r="H55" s="112">
        <v>29.13</v>
      </c>
      <c r="I55" s="112">
        <v>11.46</v>
      </c>
      <c r="J55" s="112">
        <v>0.73</v>
      </c>
      <c r="K55" s="112">
        <v>22.08</v>
      </c>
      <c r="L55" s="112">
        <v>28.88</v>
      </c>
      <c r="M55" s="112">
        <v>28.07</v>
      </c>
      <c r="N55" s="112">
        <v>527.79999999999995</v>
      </c>
      <c r="O55" s="112">
        <v>0</v>
      </c>
      <c r="P55" s="112">
        <v>0.98</v>
      </c>
      <c r="Q55" s="112">
        <v>5</v>
      </c>
    </row>
    <row r="56" spans="1:17" customFormat="1">
      <c r="A56" s="80">
        <v>45614.5</v>
      </c>
      <c r="B56" s="112">
        <v>5.22</v>
      </c>
      <c r="C56" s="112">
        <v>8.0500000000000007</v>
      </c>
      <c r="D56" s="112">
        <v>13.96</v>
      </c>
      <c r="E56" s="112">
        <v>11.55</v>
      </c>
      <c r="F56" s="112">
        <v>10.84</v>
      </c>
      <c r="G56" s="112">
        <v>67.010000000000005</v>
      </c>
      <c r="H56" s="112">
        <v>29.13</v>
      </c>
      <c r="I56" s="112">
        <v>11.2</v>
      </c>
      <c r="J56" s="112">
        <v>0.97</v>
      </c>
      <c r="K56" s="112">
        <v>51.59</v>
      </c>
      <c r="L56" s="112">
        <v>28.6</v>
      </c>
      <c r="M56" s="112">
        <v>26.92</v>
      </c>
      <c r="N56" s="112">
        <v>531.9</v>
      </c>
      <c r="O56" s="112">
        <v>0</v>
      </c>
      <c r="P56" s="112">
        <v>0.96</v>
      </c>
      <c r="Q56" s="112">
        <v>4.99</v>
      </c>
    </row>
    <row r="57" spans="1:17" customFormat="1">
      <c r="A57" s="80">
        <v>45614.510416666664</v>
      </c>
      <c r="B57" s="112">
        <v>5.23</v>
      </c>
      <c r="C57" s="112">
        <v>8.07</v>
      </c>
      <c r="D57" s="112">
        <v>13.98</v>
      </c>
      <c r="E57" s="112">
        <v>10.39</v>
      </c>
      <c r="F57" s="112">
        <v>9.48</v>
      </c>
      <c r="G57" s="112">
        <v>66.8</v>
      </c>
      <c r="H57" s="112">
        <v>29.07</v>
      </c>
      <c r="I57" s="112">
        <v>10.86</v>
      </c>
      <c r="J57" s="112">
        <v>0.84</v>
      </c>
      <c r="K57" s="112">
        <v>53.8</v>
      </c>
      <c r="L57" s="112">
        <v>29.06</v>
      </c>
      <c r="M57" s="112">
        <v>24.39</v>
      </c>
      <c r="N57" s="112">
        <v>548</v>
      </c>
      <c r="O57" s="112">
        <v>0</v>
      </c>
      <c r="P57" s="112">
        <v>0.93</v>
      </c>
      <c r="Q57" s="112">
        <v>4.9800000000000004</v>
      </c>
    </row>
    <row r="58" spans="1:17" customFormat="1">
      <c r="A58" s="80">
        <v>45614.520833333336</v>
      </c>
      <c r="B58" s="112">
        <v>5.24</v>
      </c>
      <c r="C58" s="112">
        <v>8.07</v>
      </c>
      <c r="D58" s="112">
        <v>13.99</v>
      </c>
      <c r="E58" s="112">
        <v>10.220000000000001</v>
      </c>
      <c r="F58" s="112">
        <v>13.1</v>
      </c>
      <c r="G58" s="112">
        <v>57.5</v>
      </c>
      <c r="H58" s="112">
        <v>27.12</v>
      </c>
      <c r="I58" s="112">
        <v>10.57</v>
      </c>
      <c r="J58" s="112">
        <v>0.95</v>
      </c>
      <c r="K58" s="112">
        <v>50.94</v>
      </c>
      <c r="L58" s="112">
        <v>29.36</v>
      </c>
      <c r="M58" s="112">
        <v>23.51</v>
      </c>
      <c r="N58" s="112">
        <v>531.9</v>
      </c>
      <c r="O58" s="112">
        <v>0</v>
      </c>
      <c r="P58" s="112">
        <v>0.87</v>
      </c>
      <c r="Q58" s="112">
        <v>5</v>
      </c>
    </row>
    <row r="59" spans="1:17" customFormat="1">
      <c r="A59" s="80">
        <v>45614.53125</v>
      </c>
      <c r="B59" s="112">
        <v>5.3</v>
      </c>
      <c r="C59" s="112">
        <v>8.07</v>
      </c>
      <c r="D59" s="112">
        <v>14.03</v>
      </c>
      <c r="E59" s="112">
        <v>9.4700000000000006</v>
      </c>
      <c r="F59" s="112">
        <v>26.92</v>
      </c>
      <c r="G59" s="112">
        <v>57.5</v>
      </c>
      <c r="H59" s="112">
        <v>27.12</v>
      </c>
      <c r="I59" s="112">
        <v>10.26</v>
      </c>
      <c r="J59" s="112">
        <v>0.77</v>
      </c>
      <c r="K59" s="112">
        <v>58.49</v>
      </c>
      <c r="L59" s="112">
        <v>29.27</v>
      </c>
      <c r="M59" s="112">
        <v>23.97</v>
      </c>
      <c r="N59" s="112">
        <v>497.5</v>
      </c>
      <c r="O59" s="112">
        <v>0</v>
      </c>
      <c r="P59" s="112">
        <v>0.74</v>
      </c>
      <c r="Q59" s="112">
        <v>4.99</v>
      </c>
    </row>
    <row r="60" spans="1:17" customFormat="1">
      <c r="A60" s="80">
        <v>45614.541666666664</v>
      </c>
      <c r="B60" s="112">
        <v>5.3</v>
      </c>
      <c r="C60" s="112">
        <v>8.06</v>
      </c>
      <c r="D60" s="112">
        <v>14.03</v>
      </c>
      <c r="E60" s="112">
        <v>8.57</v>
      </c>
      <c r="F60" s="112">
        <v>24.81</v>
      </c>
      <c r="G60" s="112">
        <v>57.5</v>
      </c>
      <c r="H60" s="112">
        <v>27.12</v>
      </c>
      <c r="I60" s="112">
        <v>9.66</v>
      </c>
      <c r="J60" s="112">
        <v>0.53</v>
      </c>
      <c r="K60" s="112">
        <v>73.16</v>
      </c>
      <c r="L60" s="112">
        <v>29.62</v>
      </c>
      <c r="M60" s="112">
        <v>24.48</v>
      </c>
      <c r="N60" s="112">
        <v>471</v>
      </c>
      <c r="O60" s="112">
        <v>0</v>
      </c>
      <c r="P60" s="112">
        <v>0.66</v>
      </c>
      <c r="Q60" s="112">
        <v>5.01</v>
      </c>
    </row>
    <row r="61" spans="1:17" customFormat="1">
      <c r="A61" s="80">
        <v>45614.552083333336</v>
      </c>
      <c r="B61" s="112">
        <v>5.31</v>
      </c>
      <c r="C61" s="112">
        <v>8.07</v>
      </c>
      <c r="D61" s="112">
        <v>14.04</v>
      </c>
      <c r="E61" s="112">
        <v>19.399999999999999</v>
      </c>
      <c r="F61" s="112">
        <v>38.409999999999997</v>
      </c>
      <c r="G61" s="112">
        <v>57.64</v>
      </c>
      <c r="H61" s="112">
        <v>27.06</v>
      </c>
      <c r="I61" s="112">
        <v>8.5299999999999994</v>
      </c>
      <c r="J61" s="112">
        <v>1.1100000000000001</v>
      </c>
      <c r="K61" s="112">
        <v>36.1</v>
      </c>
      <c r="L61" s="112">
        <v>29.49</v>
      </c>
      <c r="M61" s="112">
        <v>25.28</v>
      </c>
      <c r="N61" s="112">
        <v>457.6</v>
      </c>
      <c r="O61" s="112">
        <v>0</v>
      </c>
      <c r="P61" s="112">
        <v>0.57999999999999996</v>
      </c>
      <c r="Q61" s="112">
        <v>5</v>
      </c>
    </row>
    <row r="62" spans="1:17" customFormat="1">
      <c r="A62" s="80">
        <v>45614.5625</v>
      </c>
      <c r="B62" s="112">
        <v>5.23</v>
      </c>
      <c r="C62" s="112">
        <v>8.1300000000000008</v>
      </c>
      <c r="D62" s="112">
        <v>14.01</v>
      </c>
      <c r="E62" s="112">
        <v>10.83</v>
      </c>
      <c r="F62" s="112">
        <v>21.7</v>
      </c>
      <c r="G62" s="112">
        <v>63.84</v>
      </c>
      <c r="H62" s="112">
        <v>22.96</v>
      </c>
      <c r="I62" s="112">
        <v>7.12</v>
      </c>
      <c r="J62" s="112">
        <v>0.91</v>
      </c>
      <c r="K62" s="112">
        <v>45.84</v>
      </c>
      <c r="L62" s="112">
        <v>29.21</v>
      </c>
      <c r="M62" s="112">
        <v>24.96</v>
      </c>
      <c r="N62" s="112">
        <v>431.8</v>
      </c>
      <c r="O62" s="112">
        <v>0</v>
      </c>
      <c r="P62" s="112">
        <v>0.56000000000000005</v>
      </c>
      <c r="Q62" s="112">
        <v>5</v>
      </c>
    </row>
    <row r="63" spans="1:17" customFormat="1">
      <c r="A63" s="80">
        <v>45614.572916666664</v>
      </c>
      <c r="B63" s="112">
        <v>5.21</v>
      </c>
      <c r="C63" s="112">
        <v>8.11</v>
      </c>
      <c r="D63" s="112">
        <v>13.98</v>
      </c>
      <c r="E63" s="112">
        <v>8.64</v>
      </c>
      <c r="F63" s="112">
        <v>18.22</v>
      </c>
      <c r="G63" s="112">
        <v>63.84</v>
      </c>
      <c r="H63" s="112">
        <v>22.96</v>
      </c>
      <c r="I63" s="112">
        <v>6.07</v>
      </c>
      <c r="J63" s="112">
        <v>0.69</v>
      </c>
      <c r="K63" s="112">
        <v>52.31</v>
      </c>
      <c r="L63" s="112">
        <v>29.16</v>
      </c>
      <c r="M63" s="112">
        <v>24.77</v>
      </c>
      <c r="N63" s="112">
        <v>275</v>
      </c>
      <c r="O63" s="112">
        <v>0</v>
      </c>
      <c r="P63" s="112">
        <v>0.55000000000000004</v>
      </c>
      <c r="Q63" s="112">
        <v>5.01</v>
      </c>
    </row>
    <row r="64" spans="1:17" customFormat="1">
      <c r="A64" s="80">
        <v>45614.583333333336</v>
      </c>
      <c r="B64" s="112">
        <v>5.2</v>
      </c>
      <c r="C64" s="112">
        <v>8.09</v>
      </c>
      <c r="D64" s="112">
        <v>13.97</v>
      </c>
      <c r="E64" s="112">
        <v>8.1999999999999993</v>
      </c>
      <c r="F64" s="112">
        <v>17.46</v>
      </c>
      <c r="G64" s="112">
        <v>63.84</v>
      </c>
      <c r="H64" s="112">
        <v>22.96</v>
      </c>
      <c r="I64" s="112">
        <v>5.69</v>
      </c>
      <c r="J64" s="112">
        <v>1</v>
      </c>
      <c r="K64" s="112">
        <v>54.42</v>
      </c>
      <c r="L64" s="112">
        <v>28.99</v>
      </c>
      <c r="M64" s="112">
        <v>25.41</v>
      </c>
      <c r="N64" s="112">
        <v>140.6</v>
      </c>
      <c r="O64" s="112">
        <v>0</v>
      </c>
      <c r="P64" s="112">
        <v>0.54</v>
      </c>
      <c r="Q64" s="112">
        <v>5</v>
      </c>
    </row>
    <row r="65" spans="1:17" customFormat="1">
      <c r="A65" s="80">
        <v>45614.59375</v>
      </c>
      <c r="B65" s="112">
        <v>5.2</v>
      </c>
      <c r="C65" s="112">
        <v>8.11</v>
      </c>
      <c r="D65" s="112">
        <v>13.97</v>
      </c>
      <c r="E65" s="112">
        <v>9.56</v>
      </c>
      <c r="F65" s="112">
        <v>19.73</v>
      </c>
      <c r="G65" s="112">
        <v>63.79</v>
      </c>
      <c r="H65" s="112">
        <v>22.95</v>
      </c>
      <c r="I65" s="112">
        <v>5.6</v>
      </c>
      <c r="J65" s="112">
        <v>0.9</v>
      </c>
      <c r="K65" s="112">
        <v>42.65</v>
      </c>
      <c r="L65" s="112">
        <v>28.66</v>
      </c>
      <c r="M65" s="112">
        <v>25.37</v>
      </c>
      <c r="N65" s="112">
        <v>94.7</v>
      </c>
      <c r="O65" s="112">
        <v>0</v>
      </c>
      <c r="P65" s="112">
        <v>0.47</v>
      </c>
      <c r="Q65" s="112">
        <v>5</v>
      </c>
    </row>
    <row r="66" spans="1:17" customFormat="1">
      <c r="A66" s="80">
        <v>45614.604166666664</v>
      </c>
      <c r="B66" s="112">
        <v>5.2</v>
      </c>
      <c r="C66" s="112">
        <v>8.1199999999999992</v>
      </c>
      <c r="D66" s="112">
        <v>13.97</v>
      </c>
      <c r="E66" s="112">
        <v>9.57</v>
      </c>
      <c r="F66" s="112">
        <v>19.079999999999998</v>
      </c>
      <c r="G66" s="112">
        <v>61.33</v>
      </c>
      <c r="H66" s="112">
        <v>22.21</v>
      </c>
      <c r="I66" s="112">
        <v>5.53</v>
      </c>
      <c r="J66" s="112">
        <v>0.9</v>
      </c>
      <c r="K66" s="112">
        <v>50.84</v>
      </c>
      <c r="L66" s="112">
        <v>28.68</v>
      </c>
      <c r="M66" s="112">
        <v>25.61</v>
      </c>
      <c r="N66" s="112">
        <v>82.6</v>
      </c>
      <c r="O66" s="112">
        <v>0</v>
      </c>
      <c r="P66" s="112">
        <v>0.48</v>
      </c>
      <c r="Q66" s="112">
        <v>5.01</v>
      </c>
    </row>
    <row r="67" spans="1:17" customFormat="1">
      <c r="A67" s="80">
        <v>45614.614583333336</v>
      </c>
      <c r="B67" s="112">
        <v>5.22</v>
      </c>
      <c r="C67" s="112">
        <v>8.08</v>
      </c>
      <c r="D67" s="112">
        <v>13.97</v>
      </c>
      <c r="E67" s="112">
        <v>8.7200000000000006</v>
      </c>
      <c r="F67" s="112">
        <v>19.16</v>
      </c>
      <c r="G67" s="112">
        <v>61.33</v>
      </c>
      <c r="H67" s="112">
        <v>22.21</v>
      </c>
      <c r="I67" s="112">
        <v>5.45</v>
      </c>
      <c r="J67" s="112">
        <v>0.67</v>
      </c>
      <c r="K67" s="112">
        <v>48.73</v>
      </c>
      <c r="L67" s="112">
        <v>28.44</v>
      </c>
      <c r="M67" s="112">
        <v>26.07</v>
      </c>
      <c r="N67" s="112">
        <v>73.400000000000006</v>
      </c>
      <c r="O67" s="112">
        <v>0</v>
      </c>
      <c r="P67" s="112">
        <v>0.48</v>
      </c>
      <c r="Q67" s="112">
        <v>5.01</v>
      </c>
    </row>
    <row r="68" spans="1:17" customFormat="1">
      <c r="A68" s="80">
        <v>45614.625</v>
      </c>
      <c r="B68" s="112">
        <v>5.23</v>
      </c>
      <c r="C68" s="112">
        <v>8.07</v>
      </c>
      <c r="D68" s="112">
        <v>13.97</v>
      </c>
      <c r="E68" s="112">
        <v>9.83</v>
      </c>
      <c r="F68" s="112">
        <v>21.29</v>
      </c>
      <c r="G68" s="112">
        <v>61.33</v>
      </c>
      <c r="H68" s="112">
        <v>22.21</v>
      </c>
      <c r="I68" s="112">
        <v>5.46</v>
      </c>
      <c r="J68" s="112">
        <v>0.6</v>
      </c>
      <c r="K68" s="112">
        <v>59.82</v>
      </c>
      <c r="L68" s="112">
        <v>28.46</v>
      </c>
      <c r="M68" s="112">
        <v>26.24</v>
      </c>
      <c r="N68" s="112">
        <v>66.5</v>
      </c>
      <c r="O68" s="112">
        <v>0</v>
      </c>
      <c r="P68" s="112">
        <v>0.48</v>
      </c>
      <c r="Q68" s="112">
        <v>4.99</v>
      </c>
    </row>
    <row r="69" spans="1:17" customFormat="1">
      <c r="A69" s="80">
        <v>45614.635416666664</v>
      </c>
      <c r="B69" s="112">
        <v>5.22</v>
      </c>
      <c r="C69" s="112">
        <v>8.08</v>
      </c>
      <c r="D69" s="112">
        <v>13.97</v>
      </c>
      <c r="E69" s="112">
        <v>9.19</v>
      </c>
      <c r="F69" s="112">
        <v>21.51</v>
      </c>
      <c r="G69" s="112">
        <v>61.18</v>
      </c>
      <c r="H69" s="112">
        <v>22.19</v>
      </c>
      <c r="I69" s="112">
        <v>5.58</v>
      </c>
      <c r="J69" s="112">
        <v>0.51</v>
      </c>
      <c r="K69" s="112">
        <v>55.67</v>
      </c>
      <c r="L69" s="112">
        <v>28.34</v>
      </c>
      <c r="M69" s="112">
        <v>27.32</v>
      </c>
      <c r="N69" s="112">
        <v>60.1</v>
      </c>
      <c r="O69" s="112">
        <v>0</v>
      </c>
      <c r="P69" s="112">
        <v>0.48</v>
      </c>
      <c r="Q69" s="112">
        <v>4.9800000000000004</v>
      </c>
    </row>
    <row r="70" spans="1:17" customFormat="1">
      <c r="A70" s="80">
        <v>45614.645833333336</v>
      </c>
      <c r="B70" s="112">
        <v>5.21</v>
      </c>
      <c r="C70" s="112">
        <v>8.07</v>
      </c>
      <c r="D70" s="112">
        <v>13.97</v>
      </c>
      <c r="E70" s="112">
        <v>9.6199999999999992</v>
      </c>
      <c r="F70" s="112">
        <v>21.98</v>
      </c>
      <c r="G70" s="112">
        <v>54.45</v>
      </c>
      <c r="H70" s="112">
        <v>21.09</v>
      </c>
      <c r="I70" s="112">
        <v>5.65</v>
      </c>
      <c r="J70" s="112">
        <v>0.83</v>
      </c>
      <c r="K70" s="112">
        <v>51.5</v>
      </c>
      <c r="L70" s="112">
        <v>28.28</v>
      </c>
      <c r="M70" s="112">
        <v>27.99</v>
      </c>
      <c r="N70" s="112">
        <v>52.7</v>
      </c>
      <c r="O70" s="112">
        <v>0</v>
      </c>
      <c r="P70" s="112">
        <v>0.48</v>
      </c>
      <c r="Q70" s="112">
        <v>4.9800000000000004</v>
      </c>
    </row>
    <row r="71" spans="1:17" customFormat="1">
      <c r="A71" s="80">
        <v>45614.65625</v>
      </c>
      <c r="B71" s="112">
        <v>5.2</v>
      </c>
      <c r="C71" s="112">
        <v>8.09</v>
      </c>
      <c r="D71" s="112">
        <v>13.97</v>
      </c>
      <c r="E71" s="112">
        <v>9.5399999999999991</v>
      </c>
      <c r="F71" s="112">
        <v>23.07</v>
      </c>
      <c r="G71" s="112">
        <v>54.45</v>
      </c>
      <c r="H71" s="112">
        <v>21.09</v>
      </c>
      <c r="I71" s="112">
        <v>5.72</v>
      </c>
      <c r="J71" s="112">
        <v>0.7</v>
      </c>
      <c r="K71" s="112">
        <v>50.89</v>
      </c>
      <c r="L71" s="112">
        <v>28.09</v>
      </c>
      <c r="M71" s="112">
        <v>28.59</v>
      </c>
      <c r="N71" s="112">
        <v>45.3</v>
      </c>
      <c r="O71" s="112">
        <v>0</v>
      </c>
      <c r="P71" s="112">
        <v>0.5</v>
      </c>
      <c r="Q71" s="112">
        <v>4.99</v>
      </c>
    </row>
    <row r="72" spans="1:17" customFormat="1">
      <c r="A72" s="80">
        <v>45614.666666666664</v>
      </c>
      <c r="B72" s="112">
        <v>5.22</v>
      </c>
      <c r="C72" s="112">
        <v>8.08</v>
      </c>
      <c r="D72" s="112">
        <v>13.97</v>
      </c>
      <c r="E72" s="112">
        <v>9.15</v>
      </c>
      <c r="F72" s="112">
        <v>20.7</v>
      </c>
      <c r="G72" s="112">
        <v>54.45</v>
      </c>
      <c r="H72" s="112">
        <v>21.09</v>
      </c>
      <c r="I72" s="112">
        <v>5.75</v>
      </c>
      <c r="J72" s="112">
        <v>0.51</v>
      </c>
      <c r="K72" s="112">
        <v>56.95</v>
      </c>
      <c r="L72" s="112">
        <v>27.88</v>
      </c>
      <c r="M72" s="112">
        <v>29.16</v>
      </c>
      <c r="N72" s="112">
        <v>40.6</v>
      </c>
      <c r="O72" s="112">
        <v>0</v>
      </c>
      <c r="P72" s="112">
        <v>0.51</v>
      </c>
      <c r="Q72" s="112">
        <v>5</v>
      </c>
    </row>
    <row r="73" spans="1:17" customFormat="1">
      <c r="A73" s="80">
        <v>45614.677083333336</v>
      </c>
      <c r="B73" s="112">
        <v>5.22</v>
      </c>
      <c r="C73" s="112">
        <v>8.1</v>
      </c>
      <c r="D73" s="112">
        <v>13.98</v>
      </c>
      <c r="E73" s="112">
        <v>8.94</v>
      </c>
      <c r="F73" s="112">
        <v>20.100000000000001</v>
      </c>
      <c r="G73" s="112">
        <v>54.51</v>
      </c>
      <c r="H73" s="112">
        <v>21.03</v>
      </c>
      <c r="I73" s="112">
        <v>5.76</v>
      </c>
      <c r="J73" s="112">
        <v>0.69</v>
      </c>
      <c r="K73" s="112">
        <v>47.03</v>
      </c>
      <c r="L73" s="112">
        <v>27.58</v>
      </c>
      <c r="M73" s="112">
        <v>29.54</v>
      </c>
      <c r="N73" s="112">
        <v>29.5</v>
      </c>
      <c r="O73" s="112">
        <v>0</v>
      </c>
      <c r="P73" s="112">
        <v>0.52</v>
      </c>
      <c r="Q73" s="112">
        <v>5.01</v>
      </c>
    </row>
    <row r="74" spans="1:17" customFormat="1">
      <c r="A74" s="80">
        <v>45614.6875</v>
      </c>
      <c r="B74" s="112">
        <v>5.22</v>
      </c>
      <c r="C74" s="112">
        <v>8.11</v>
      </c>
      <c r="D74" s="112">
        <v>13.99</v>
      </c>
      <c r="E74" s="112">
        <v>8.85</v>
      </c>
      <c r="F74" s="112">
        <v>13.19</v>
      </c>
      <c r="G74" s="112">
        <v>57.1</v>
      </c>
      <c r="H74" s="112">
        <v>19.11</v>
      </c>
      <c r="I74" s="112">
        <v>6.02</v>
      </c>
      <c r="J74" s="112">
        <v>0.43</v>
      </c>
      <c r="K74" s="112">
        <v>57.77</v>
      </c>
      <c r="L74" s="112">
        <v>27.22</v>
      </c>
      <c r="M74" s="112">
        <v>31.27</v>
      </c>
      <c r="N74" s="112">
        <v>21.6</v>
      </c>
      <c r="O74" s="112">
        <v>0</v>
      </c>
      <c r="P74" s="112">
        <v>0.53</v>
      </c>
      <c r="Q74" s="112">
        <v>4.99</v>
      </c>
    </row>
    <row r="75" spans="1:17" customFormat="1">
      <c r="A75" s="80">
        <v>45614.697916666664</v>
      </c>
      <c r="B75" s="112">
        <v>5.23</v>
      </c>
      <c r="C75" s="112">
        <v>8.08</v>
      </c>
      <c r="D75" s="112">
        <v>13.98</v>
      </c>
      <c r="E75" s="112">
        <v>8.48</v>
      </c>
      <c r="F75" s="112">
        <v>9.3800000000000008</v>
      </c>
      <c r="G75" s="112">
        <v>57.1</v>
      </c>
      <c r="H75" s="112">
        <v>19.11</v>
      </c>
      <c r="I75" s="112">
        <v>6.39</v>
      </c>
      <c r="J75" s="112">
        <v>0.45</v>
      </c>
      <c r="K75" s="112">
        <v>55.3</v>
      </c>
      <c r="L75" s="112">
        <v>26.74</v>
      </c>
      <c r="M75" s="112">
        <v>32.08</v>
      </c>
      <c r="N75" s="112">
        <v>13.6</v>
      </c>
      <c r="O75" s="112">
        <v>0</v>
      </c>
      <c r="P75" s="112">
        <v>0.52</v>
      </c>
      <c r="Q75" s="112">
        <v>4.99</v>
      </c>
    </row>
    <row r="76" spans="1:17" customFormat="1">
      <c r="A76" s="80">
        <v>45614.708333333336</v>
      </c>
      <c r="B76" s="112">
        <v>5.23</v>
      </c>
      <c r="C76" s="112">
        <v>8.08</v>
      </c>
      <c r="D76" s="112">
        <v>13.98</v>
      </c>
      <c r="E76" s="112">
        <v>8.01</v>
      </c>
      <c r="F76" s="112">
        <v>8.8800000000000008</v>
      </c>
      <c r="G76" s="112">
        <v>57.1</v>
      </c>
      <c r="H76" s="112">
        <v>19.11</v>
      </c>
      <c r="I76" s="112">
        <v>6.66</v>
      </c>
      <c r="J76" s="112">
        <v>0.41</v>
      </c>
      <c r="K76" s="112">
        <v>50.5</v>
      </c>
      <c r="L76" s="112">
        <v>26.23</v>
      </c>
      <c r="M76" s="112">
        <v>33.520000000000003</v>
      </c>
      <c r="N76" s="112">
        <v>7.1</v>
      </c>
      <c r="O76" s="112">
        <v>0</v>
      </c>
      <c r="P76" s="112">
        <v>0.53</v>
      </c>
      <c r="Q76" s="112">
        <v>5</v>
      </c>
    </row>
    <row r="77" spans="1:17" customFormat="1">
      <c r="A77" s="80">
        <v>45614.71875</v>
      </c>
      <c r="B77" s="112">
        <v>5.25</v>
      </c>
      <c r="C77" s="112">
        <v>8.0500000000000007</v>
      </c>
      <c r="D77" s="112">
        <v>13.99</v>
      </c>
      <c r="E77" s="112">
        <v>7.8</v>
      </c>
      <c r="F77" s="112">
        <v>7.5</v>
      </c>
      <c r="G77" s="112">
        <v>57.58</v>
      </c>
      <c r="H77" s="112">
        <v>19.23</v>
      </c>
      <c r="I77" s="112">
        <v>6.95</v>
      </c>
      <c r="J77" s="112">
        <v>0.16</v>
      </c>
      <c r="K77" s="112">
        <v>107.27</v>
      </c>
      <c r="L77" s="112">
        <v>25.33</v>
      </c>
      <c r="M77" s="112">
        <v>40.28</v>
      </c>
      <c r="N77" s="112">
        <v>3.6</v>
      </c>
      <c r="O77" s="112">
        <v>0</v>
      </c>
      <c r="P77" s="112">
        <v>0.53</v>
      </c>
      <c r="Q77" s="112">
        <v>4.99</v>
      </c>
    </row>
    <row r="78" spans="1:17" customFormat="1">
      <c r="A78" s="80">
        <v>45614.729166666664</v>
      </c>
      <c r="B78" s="112">
        <v>5.26</v>
      </c>
      <c r="C78" s="112">
        <v>8.0399999999999991</v>
      </c>
      <c r="D78" s="112">
        <v>13.99</v>
      </c>
      <c r="E78" s="112">
        <v>7.65</v>
      </c>
      <c r="F78" s="112">
        <v>7.02</v>
      </c>
      <c r="G78" s="112">
        <v>78.819999999999993</v>
      </c>
      <c r="H78" s="112">
        <v>23.13</v>
      </c>
      <c r="I78" s="112">
        <v>7.24</v>
      </c>
      <c r="J78" s="112">
        <v>0.21</v>
      </c>
      <c r="K78" s="112">
        <v>152.05000000000001</v>
      </c>
      <c r="L78" s="112">
        <v>24.01</v>
      </c>
      <c r="M78" s="112">
        <v>46.05</v>
      </c>
      <c r="N78" s="112">
        <v>2.4</v>
      </c>
      <c r="O78" s="112">
        <v>0</v>
      </c>
      <c r="P78" s="112">
        <v>0.54</v>
      </c>
      <c r="Q78" s="112">
        <v>4.9800000000000004</v>
      </c>
    </row>
    <row r="79" spans="1:17" customFormat="1">
      <c r="A79" s="80">
        <v>45614.739583333336</v>
      </c>
      <c r="B79" s="112">
        <v>5.26</v>
      </c>
      <c r="C79" s="112">
        <v>8.09</v>
      </c>
      <c r="D79" s="112">
        <v>14.01</v>
      </c>
      <c r="E79" s="112">
        <v>7.61</v>
      </c>
      <c r="F79" s="112">
        <v>6.19</v>
      </c>
      <c r="G79" s="112">
        <v>78.819999999999993</v>
      </c>
      <c r="H79" s="112">
        <v>23.13</v>
      </c>
      <c r="I79" s="112">
        <v>7.35</v>
      </c>
      <c r="J79" s="112">
        <v>0.17</v>
      </c>
      <c r="K79" s="112">
        <v>131.88999999999999</v>
      </c>
      <c r="L79" s="112">
        <v>23.37</v>
      </c>
      <c r="M79" s="112">
        <v>48.13</v>
      </c>
      <c r="N79" s="112">
        <v>1.8</v>
      </c>
      <c r="O79" s="112">
        <v>0</v>
      </c>
      <c r="P79" s="112">
        <v>0.56000000000000005</v>
      </c>
      <c r="Q79" s="112">
        <v>4.9800000000000004</v>
      </c>
    </row>
    <row r="80" spans="1:17" customFormat="1">
      <c r="A80" s="80">
        <v>45614.75</v>
      </c>
      <c r="B80" s="112">
        <v>5.24</v>
      </c>
      <c r="C80" s="112">
        <v>8.09</v>
      </c>
      <c r="D80" s="112">
        <v>14</v>
      </c>
      <c r="E80" s="112">
        <v>7.88</v>
      </c>
      <c r="F80" s="112">
        <v>5.97</v>
      </c>
      <c r="G80" s="112">
        <v>78.819999999999993</v>
      </c>
      <c r="H80" s="112">
        <v>23.13</v>
      </c>
      <c r="I80" s="112">
        <v>7.53</v>
      </c>
      <c r="J80" s="112">
        <v>0.17</v>
      </c>
      <c r="K80" s="112">
        <v>113.18</v>
      </c>
      <c r="L80" s="112">
        <v>23.16</v>
      </c>
      <c r="M80" s="112">
        <v>48.3</v>
      </c>
      <c r="N80" s="112">
        <v>1.6</v>
      </c>
      <c r="O80" s="112">
        <v>0</v>
      </c>
      <c r="P80" s="112">
        <v>0.57999999999999996</v>
      </c>
      <c r="Q80" s="112">
        <v>4.97</v>
      </c>
    </row>
    <row r="81" spans="1:17" customFormat="1">
      <c r="A81" s="80">
        <v>45614.760416666664</v>
      </c>
      <c r="B81" s="112">
        <v>5.21</v>
      </c>
      <c r="C81" s="112">
        <v>8.08</v>
      </c>
      <c r="D81" s="112">
        <v>13.97</v>
      </c>
      <c r="E81" s="112">
        <v>6.84</v>
      </c>
      <c r="F81" s="112">
        <v>5.84</v>
      </c>
      <c r="G81" s="112">
        <v>79.73</v>
      </c>
      <c r="H81" s="112">
        <v>23.18</v>
      </c>
      <c r="I81" s="112">
        <v>8.07</v>
      </c>
      <c r="J81" s="112">
        <v>0.11</v>
      </c>
      <c r="K81" s="112">
        <v>120.26</v>
      </c>
      <c r="L81" s="112">
        <v>22.66</v>
      </c>
      <c r="M81" s="112">
        <v>51.33</v>
      </c>
      <c r="N81" s="112">
        <v>1.7</v>
      </c>
      <c r="O81" s="112">
        <v>0</v>
      </c>
      <c r="P81" s="112">
        <v>0.59</v>
      </c>
      <c r="Q81" s="112">
        <v>4.97</v>
      </c>
    </row>
    <row r="82" spans="1:17" customFormat="1">
      <c r="A82" s="80">
        <v>45614.770833333336</v>
      </c>
      <c r="B82" s="112">
        <v>5.21</v>
      </c>
      <c r="C82" s="112">
        <v>8.08</v>
      </c>
      <c r="D82" s="112">
        <v>13.97</v>
      </c>
      <c r="E82" s="112">
        <v>7.17</v>
      </c>
      <c r="F82" s="112">
        <v>5.71</v>
      </c>
      <c r="G82" s="112">
        <v>119.77</v>
      </c>
      <c r="H82" s="112">
        <v>24.77</v>
      </c>
      <c r="I82" s="112">
        <v>8.94</v>
      </c>
      <c r="J82" s="112">
        <v>0.18</v>
      </c>
      <c r="K82" s="112">
        <v>160.91</v>
      </c>
      <c r="L82" s="112">
        <v>22.33</v>
      </c>
      <c r="M82" s="112">
        <v>53.07</v>
      </c>
      <c r="N82" s="112">
        <v>1.8</v>
      </c>
      <c r="O82" s="112">
        <v>0</v>
      </c>
      <c r="P82" s="112">
        <v>0.61</v>
      </c>
      <c r="Q82" s="112">
        <v>4.97</v>
      </c>
    </row>
    <row r="83" spans="1:17" customFormat="1">
      <c r="A83" s="80">
        <v>45614.78125</v>
      </c>
      <c r="B83" s="112">
        <v>5.21</v>
      </c>
      <c r="C83" s="112">
        <v>8.09</v>
      </c>
      <c r="D83" s="112">
        <v>13.97</v>
      </c>
      <c r="E83" s="112">
        <v>7.3</v>
      </c>
      <c r="F83" s="112">
        <v>5.61</v>
      </c>
      <c r="G83" s="112">
        <v>119.77</v>
      </c>
      <c r="H83" s="112">
        <v>24.77</v>
      </c>
      <c r="I83" s="112">
        <v>9.75</v>
      </c>
      <c r="J83" s="112">
        <v>0.13</v>
      </c>
      <c r="K83" s="112">
        <v>96.91</v>
      </c>
      <c r="L83" s="112">
        <v>22.05</v>
      </c>
      <c r="M83" s="112">
        <v>53.13</v>
      </c>
      <c r="N83" s="112">
        <v>1.4</v>
      </c>
      <c r="O83" s="112">
        <v>0</v>
      </c>
      <c r="P83" s="112">
        <v>0.62</v>
      </c>
      <c r="Q83" s="112">
        <v>4.99</v>
      </c>
    </row>
    <row r="84" spans="1:17" customFormat="1">
      <c r="A84" s="80">
        <v>45614.791666666664</v>
      </c>
      <c r="B84" s="112">
        <v>5.23</v>
      </c>
      <c r="C84" s="112">
        <v>8.08</v>
      </c>
      <c r="D84" s="112">
        <v>13.99</v>
      </c>
      <c r="E84" s="112">
        <v>7.88</v>
      </c>
      <c r="F84" s="112">
        <v>5.84</v>
      </c>
      <c r="G84" s="112">
        <v>119.77</v>
      </c>
      <c r="H84" s="112">
        <v>24.77</v>
      </c>
      <c r="I84" s="112">
        <v>10.4</v>
      </c>
      <c r="J84" s="112">
        <v>0.27</v>
      </c>
      <c r="K84" s="112">
        <v>164.73</v>
      </c>
      <c r="L84" s="112">
        <v>21.81</v>
      </c>
      <c r="M84" s="112">
        <v>55.41</v>
      </c>
      <c r="N84" s="112">
        <v>1.6</v>
      </c>
      <c r="O84" s="112">
        <v>0</v>
      </c>
      <c r="P84" s="112">
        <v>0.64</v>
      </c>
      <c r="Q84" s="112">
        <v>5</v>
      </c>
    </row>
    <row r="85" spans="1:17" customFormat="1">
      <c r="A85" s="80">
        <v>45614.802083333336</v>
      </c>
      <c r="B85" s="112">
        <v>5.23</v>
      </c>
      <c r="C85" s="112">
        <v>8.09</v>
      </c>
      <c r="D85" s="112">
        <v>13.99</v>
      </c>
      <c r="E85" s="112">
        <v>7.69</v>
      </c>
      <c r="F85" s="112">
        <v>5.95</v>
      </c>
      <c r="G85" s="112">
        <v>119.86</v>
      </c>
      <c r="H85" s="112">
        <v>24.78</v>
      </c>
      <c r="I85" s="112">
        <v>10.93</v>
      </c>
      <c r="J85" s="112">
        <v>0.22</v>
      </c>
      <c r="K85" s="112">
        <v>164.18</v>
      </c>
      <c r="L85" s="112">
        <v>21.37</v>
      </c>
      <c r="M85" s="112">
        <v>57</v>
      </c>
      <c r="N85" s="112">
        <v>1.6</v>
      </c>
      <c r="O85" s="112">
        <v>0</v>
      </c>
      <c r="P85" s="112">
        <v>0.66</v>
      </c>
      <c r="Q85" s="112">
        <v>4.99</v>
      </c>
    </row>
    <row r="86" spans="1:17" customFormat="1">
      <c r="A86" s="80">
        <v>45614.8125</v>
      </c>
      <c r="B86" s="112">
        <v>5.22</v>
      </c>
      <c r="C86" s="112">
        <v>8.07</v>
      </c>
      <c r="D86" s="112">
        <v>13.97</v>
      </c>
      <c r="E86" s="112">
        <v>7.76</v>
      </c>
      <c r="F86" s="112">
        <v>5.97</v>
      </c>
      <c r="G86" s="112">
        <v>123.59</v>
      </c>
      <c r="H86" s="112">
        <v>25.54</v>
      </c>
      <c r="I86" s="112">
        <v>11.24</v>
      </c>
      <c r="J86" s="112">
        <v>0.18</v>
      </c>
      <c r="K86" s="112">
        <v>178.52</v>
      </c>
      <c r="L86" s="112">
        <v>20.97</v>
      </c>
      <c r="M86" s="112">
        <v>60.61</v>
      </c>
      <c r="N86" s="112">
        <v>1.6</v>
      </c>
      <c r="O86" s="112">
        <v>0</v>
      </c>
      <c r="P86" s="112">
        <v>0.67</v>
      </c>
      <c r="Q86" s="112">
        <v>4.9800000000000004</v>
      </c>
    </row>
    <row r="87" spans="1:17" customFormat="1">
      <c r="A87" s="80">
        <v>45614.822916666664</v>
      </c>
      <c r="B87" s="112">
        <v>5.23</v>
      </c>
      <c r="C87" s="112">
        <v>8.0500000000000007</v>
      </c>
      <c r="D87" s="112">
        <v>13.96</v>
      </c>
      <c r="E87" s="112">
        <v>7.82</v>
      </c>
      <c r="F87" s="112">
        <v>6.02</v>
      </c>
      <c r="G87" s="112">
        <v>123.59</v>
      </c>
      <c r="H87" s="112">
        <v>25.54</v>
      </c>
      <c r="I87" s="112">
        <v>11.45</v>
      </c>
      <c r="J87" s="112">
        <v>0.15</v>
      </c>
      <c r="K87" s="112">
        <v>198.41</v>
      </c>
      <c r="L87" s="112">
        <v>20.58</v>
      </c>
      <c r="M87" s="112">
        <v>68.010000000000005</v>
      </c>
      <c r="N87" s="112">
        <v>1.7</v>
      </c>
      <c r="O87" s="112">
        <v>0</v>
      </c>
      <c r="P87" s="112">
        <v>0.69</v>
      </c>
      <c r="Q87" s="112">
        <v>5</v>
      </c>
    </row>
    <row r="88" spans="1:17" customFormat="1">
      <c r="A88" s="80">
        <v>45614.833333333336</v>
      </c>
      <c r="B88" s="112">
        <v>5.21</v>
      </c>
      <c r="C88" s="112">
        <v>8.08</v>
      </c>
      <c r="D88" s="112">
        <v>13.97</v>
      </c>
      <c r="E88" s="112">
        <v>8.1</v>
      </c>
      <c r="F88" s="112">
        <v>5.95</v>
      </c>
      <c r="G88" s="112">
        <v>123.59</v>
      </c>
      <c r="H88" s="112">
        <v>25.54</v>
      </c>
      <c r="I88" s="112">
        <v>11.56</v>
      </c>
      <c r="J88" s="112">
        <v>0.16</v>
      </c>
      <c r="K88" s="112">
        <v>207.69</v>
      </c>
      <c r="L88" s="112">
        <v>20.149999999999999</v>
      </c>
      <c r="M88" s="112">
        <v>70.7</v>
      </c>
      <c r="N88" s="112">
        <v>1.6</v>
      </c>
      <c r="O88" s="112">
        <v>0</v>
      </c>
      <c r="P88" s="112">
        <v>0.71</v>
      </c>
      <c r="Q88" s="112">
        <v>5</v>
      </c>
    </row>
    <row r="89" spans="1:17" customFormat="1">
      <c r="A89" s="80">
        <v>45614.84375</v>
      </c>
      <c r="B89" s="112">
        <v>5.22</v>
      </c>
      <c r="C89" s="112">
        <v>8.06</v>
      </c>
      <c r="D89" s="112">
        <v>13.96</v>
      </c>
      <c r="E89" s="112">
        <v>7.92</v>
      </c>
      <c r="F89" s="112">
        <v>5.79</v>
      </c>
      <c r="G89" s="112">
        <v>123.35</v>
      </c>
      <c r="H89" s="112">
        <v>25.6</v>
      </c>
      <c r="I89" s="112">
        <v>11.61</v>
      </c>
      <c r="J89" s="112">
        <v>0.22</v>
      </c>
      <c r="K89" s="112">
        <v>198.36</v>
      </c>
      <c r="L89" s="112">
        <v>19.73</v>
      </c>
      <c r="M89" s="112">
        <v>72.569999999999993</v>
      </c>
      <c r="N89" s="112">
        <v>1.7</v>
      </c>
      <c r="O89" s="112">
        <v>0</v>
      </c>
      <c r="P89" s="112">
        <v>0.73</v>
      </c>
      <c r="Q89" s="112">
        <v>4.99</v>
      </c>
    </row>
    <row r="90" spans="1:17" customFormat="1">
      <c r="A90" s="80">
        <v>45614.854166666664</v>
      </c>
      <c r="B90" s="112">
        <v>5.23</v>
      </c>
      <c r="C90" s="112">
        <v>8.0399999999999991</v>
      </c>
      <c r="D90" s="112">
        <v>13.96</v>
      </c>
      <c r="E90" s="112">
        <v>7.48</v>
      </c>
      <c r="F90" s="112">
        <v>5.7</v>
      </c>
      <c r="G90" s="112">
        <v>112.71</v>
      </c>
      <c r="H90" s="112">
        <v>29.8</v>
      </c>
      <c r="I90" s="112">
        <v>11.65</v>
      </c>
      <c r="J90" s="112">
        <v>0.17</v>
      </c>
      <c r="K90" s="112">
        <v>224.88</v>
      </c>
      <c r="L90" s="112">
        <v>19.329999999999998</v>
      </c>
      <c r="M90" s="112">
        <v>73.430000000000007</v>
      </c>
      <c r="N90" s="112">
        <v>1.6</v>
      </c>
      <c r="O90" s="112">
        <v>0</v>
      </c>
      <c r="P90" s="112">
        <v>0.73</v>
      </c>
      <c r="Q90" s="112">
        <v>4.9800000000000004</v>
      </c>
    </row>
    <row r="91" spans="1:17" customFormat="1">
      <c r="A91" s="80">
        <v>45614.864583333336</v>
      </c>
      <c r="B91" s="112">
        <v>5.22</v>
      </c>
      <c r="C91" s="112">
        <v>8.0500000000000007</v>
      </c>
      <c r="D91" s="112">
        <v>13.96</v>
      </c>
      <c r="E91" s="112">
        <v>8.35</v>
      </c>
      <c r="F91" s="112">
        <v>5.73</v>
      </c>
      <c r="G91" s="112">
        <v>112.71</v>
      </c>
      <c r="H91" s="112">
        <v>29.8</v>
      </c>
      <c r="I91" s="112">
        <v>11.61</v>
      </c>
      <c r="J91" s="112">
        <v>0.2</v>
      </c>
      <c r="K91" s="112">
        <v>223.97</v>
      </c>
      <c r="L91" s="112">
        <v>19.13</v>
      </c>
      <c r="M91" s="112">
        <v>71.010000000000005</v>
      </c>
      <c r="N91" s="112">
        <v>1.4</v>
      </c>
      <c r="O91" s="112">
        <v>0</v>
      </c>
      <c r="P91" s="112">
        <v>0.74</v>
      </c>
      <c r="Q91" s="112">
        <v>4.99</v>
      </c>
    </row>
    <row r="92" spans="1:17" customFormat="1">
      <c r="A92" s="80">
        <v>45614.875</v>
      </c>
      <c r="B92" s="112">
        <v>5.23</v>
      </c>
      <c r="C92" s="112">
        <v>8.06</v>
      </c>
      <c r="D92" s="112">
        <v>13.97</v>
      </c>
      <c r="E92" s="112">
        <v>8.0500000000000007</v>
      </c>
      <c r="F92" s="112">
        <v>5.67</v>
      </c>
      <c r="G92" s="112">
        <v>112.71</v>
      </c>
      <c r="H92" s="112">
        <v>29.8</v>
      </c>
      <c r="I92" s="112">
        <v>11.58</v>
      </c>
      <c r="J92" s="112">
        <v>0.16</v>
      </c>
      <c r="K92" s="112">
        <v>216.08</v>
      </c>
      <c r="L92" s="112">
        <v>19</v>
      </c>
      <c r="M92" s="112">
        <v>74.36</v>
      </c>
      <c r="N92" s="112">
        <v>1.4</v>
      </c>
      <c r="O92" s="112">
        <v>0</v>
      </c>
      <c r="P92" s="112">
        <v>0.76</v>
      </c>
      <c r="Q92" s="112">
        <v>4.9800000000000004</v>
      </c>
    </row>
    <row r="93" spans="1:17" customFormat="1">
      <c r="A93" s="80">
        <v>45614.885416666664</v>
      </c>
      <c r="B93" s="112">
        <v>5.22</v>
      </c>
      <c r="C93" s="112">
        <v>8.08</v>
      </c>
      <c r="D93" s="112">
        <v>13.97</v>
      </c>
      <c r="E93" s="112">
        <v>7.49</v>
      </c>
      <c r="F93" s="112">
        <v>5.67</v>
      </c>
      <c r="G93" s="112">
        <v>112.4</v>
      </c>
      <c r="H93" s="112">
        <v>29.82</v>
      </c>
      <c r="I93" s="112">
        <v>11.54</v>
      </c>
      <c r="J93" s="112">
        <v>0.16</v>
      </c>
      <c r="K93" s="112">
        <v>219.32</v>
      </c>
      <c r="L93" s="112">
        <v>18.739999999999998</v>
      </c>
      <c r="M93" s="112">
        <v>77.150000000000006</v>
      </c>
      <c r="N93" s="112">
        <v>1.4</v>
      </c>
      <c r="O93" s="112">
        <v>0</v>
      </c>
      <c r="P93" s="112">
        <v>0.77</v>
      </c>
      <c r="Q93" s="112">
        <v>4.99</v>
      </c>
    </row>
    <row r="94" spans="1:17" customFormat="1">
      <c r="A94" s="80">
        <v>45614.895833333336</v>
      </c>
      <c r="B94" s="112">
        <v>5.23</v>
      </c>
      <c r="C94" s="112">
        <v>8.08</v>
      </c>
      <c r="D94" s="112">
        <v>13.98</v>
      </c>
      <c r="E94" s="112">
        <v>7.5</v>
      </c>
      <c r="F94" s="112">
        <v>5.89</v>
      </c>
      <c r="G94" s="112">
        <v>98.89</v>
      </c>
      <c r="H94" s="112">
        <v>30.55</v>
      </c>
      <c r="I94" s="112">
        <v>11.48</v>
      </c>
      <c r="J94" s="112">
        <v>0.16</v>
      </c>
      <c r="K94" s="112">
        <v>219.66</v>
      </c>
      <c r="L94" s="112">
        <v>18.73</v>
      </c>
      <c r="M94" s="112">
        <v>76.290000000000006</v>
      </c>
      <c r="N94" s="112">
        <v>1.2</v>
      </c>
      <c r="O94" s="112">
        <v>0</v>
      </c>
      <c r="P94" s="112">
        <v>0.78</v>
      </c>
      <c r="Q94" s="112">
        <v>4.9800000000000004</v>
      </c>
    </row>
    <row r="95" spans="1:17" customFormat="1">
      <c r="A95" s="80">
        <v>45614.90625</v>
      </c>
      <c r="B95" s="112">
        <v>5.22</v>
      </c>
      <c r="C95" s="112">
        <v>8.1</v>
      </c>
      <c r="D95" s="112">
        <v>13.99</v>
      </c>
      <c r="E95" s="112">
        <v>8.19</v>
      </c>
      <c r="F95" s="112">
        <v>5.7</v>
      </c>
      <c r="G95" s="112">
        <v>98.89</v>
      </c>
      <c r="H95" s="112">
        <v>30.55</v>
      </c>
      <c r="I95" s="112">
        <v>11.42</v>
      </c>
      <c r="J95" s="112">
        <v>0.16</v>
      </c>
      <c r="K95" s="112">
        <v>234.25</v>
      </c>
      <c r="L95" s="112">
        <v>18.61</v>
      </c>
      <c r="M95" s="112">
        <v>75.88</v>
      </c>
      <c r="N95" s="112">
        <v>1.3</v>
      </c>
      <c r="O95" s="112">
        <v>0</v>
      </c>
      <c r="P95" s="112">
        <v>0.78</v>
      </c>
      <c r="Q95" s="112">
        <v>4.9800000000000004</v>
      </c>
    </row>
    <row r="96" spans="1:17" customFormat="1">
      <c r="A96" s="80">
        <v>45614.916666666664</v>
      </c>
      <c r="B96" s="112">
        <v>5.21</v>
      </c>
      <c r="C96" s="112">
        <v>8.07</v>
      </c>
      <c r="D96" s="112">
        <v>13.96</v>
      </c>
      <c r="E96" s="112">
        <v>7.85</v>
      </c>
      <c r="F96" s="112">
        <v>5.9</v>
      </c>
      <c r="G96" s="112">
        <v>98.89</v>
      </c>
      <c r="H96" s="112">
        <v>30.55</v>
      </c>
      <c r="I96" s="112">
        <v>11.35</v>
      </c>
      <c r="J96" s="112">
        <v>0.13</v>
      </c>
      <c r="K96" s="112">
        <v>180.37</v>
      </c>
      <c r="L96" s="112">
        <v>18.62</v>
      </c>
      <c r="M96" s="112">
        <v>73.319999999999993</v>
      </c>
      <c r="N96" s="112">
        <v>1.2</v>
      </c>
      <c r="O96" s="112">
        <v>0</v>
      </c>
      <c r="P96" s="112">
        <v>0.79</v>
      </c>
      <c r="Q96" s="112">
        <v>4.9800000000000004</v>
      </c>
    </row>
    <row r="97" spans="1:22" customFormat="1">
      <c r="A97" s="80">
        <v>45614.927083333336</v>
      </c>
      <c r="B97" s="112">
        <v>5.21</v>
      </c>
      <c r="C97" s="112">
        <v>8.09</v>
      </c>
      <c r="D97" s="112">
        <v>13.97</v>
      </c>
      <c r="E97" s="112">
        <v>7.99</v>
      </c>
      <c r="F97" s="112">
        <v>5.82</v>
      </c>
      <c r="G97" s="112">
        <v>98.79</v>
      </c>
      <c r="H97" s="112">
        <v>30.52</v>
      </c>
      <c r="I97" s="112">
        <v>11.28</v>
      </c>
      <c r="J97" s="112">
        <v>0.11</v>
      </c>
      <c r="K97" s="112">
        <v>187.96</v>
      </c>
      <c r="L97" s="112">
        <v>18.72</v>
      </c>
      <c r="M97" s="112">
        <v>72.02</v>
      </c>
      <c r="N97" s="112">
        <v>1</v>
      </c>
      <c r="O97" s="112">
        <v>0</v>
      </c>
      <c r="P97" s="112">
        <v>0.79</v>
      </c>
      <c r="Q97" s="112">
        <v>4.9800000000000004</v>
      </c>
    </row>
    <row r="98" spans="1:22" customFormat="1">
      <c r="A98" s="80">
        <v>45614.9375</v>
      </c>
      <c r="B98" s="112">
        <v>5.21</v>
      </c>
      <c r="C98" s="112">
        <v>8.07</v>
      </c>
      <c r="D98" s="112">
        <v>13.97</v>
      </c>
      <c r="E98" s="112">
        <v>7.82</v>
      </c>
      <c r="F98" s="112">
        <v>5.77</v>
      </c>
      <c r="G98" s="112">
        <v>94.58</v>
      </c>
      <c r="H98" s="112">
        <v>29.46</v>
      </c>
      <c r="I98" s="112">
        <v>11.2</v>
      </c>
      <c r="J98" s="112">
        <v>0.17</v>
      </c>
      <c r="K98" s="112">
        <v>188.55</v>
      </c>
      <c r="L98" s="112">
        <v>18.940000000000001</v>
      </c>
      <c r="M98" s="112">
        <v>69.83</v>
      </c>
      <c r="N98" s="112">
        <v>1.1000000000000001</v>
      </c>
      <c r="O98" s="112">
        <v>0</v>
      </c>
      <c r="P98" s="112">
        <v>0.79</v>
      </c>
      <c r="Q98" s="112">
        <v>4.9800000000000004</v>
      </c>
    </row>
    <row r="99" spans="1:22" customFormat="1">
      <c r="A99" s="80">
        <v>45614.947916666664</v>
      </c>
      <c r="B99" s="112">
        <v>5.22</v>
      </c>
      <c r="C99" s="112">
        <v>8.07</v>
      </c>
      <c r="D99" s="112">
        <v>13.97</v>
      </c>
      <c r="E99" s="112">
        <v>8.09</v>
      </c>
      <c r="F99" s="112">
        <v>5.86</v>
      </c>
      <c r="G99" s="112">
        <v>94.58</v>
      </c>
      <c r="H99" s="112">
        <v>29.46</v>
      </c>
      <c r="I99" s="112">
        <v>11.15</v>
      </c>
      <c r="J99" s="112">
        <v>0.1</v>
      </c>
      <c r="K99" s="112">
        <v>197.56</v>
      </c>
      <c r="L99" s="112">
        <v>18.760000000000002</v>
      </c>
      <c r="M99" s="112">
        <v>70.83</v>
      </c>
      <c r="N99" s="112">
        <v>1.3</v>
      </c>
      <c r="O99" s="112">
        <v>0</v>
      </c>
      <c r="P99" s="112">
        <v>0.78</v>
      </c>
      <c r="Q99" s="112">
        <v>4.99</v>
      </c>
    </row>
    <row r="100" spans="1:22" customFormat="1">
      <c r="A100" s="80">
        <v>45614.958333333336</v>
      </c>
      <c r="B100" s="112">
        <v>5.23</v>
      </c>
      <c r="C100" s="112">
        <v>8.0399999999999991</v>
      </c>
      <c r="D100" s="112">
        <v>13.96</v>
      </c>
      <c r="E100" s="112">
        <v>8.5399999999999991</v>
      </c>
      <c r="F100" s="112">
        <v>5.63</v>
      </c>
      <c r="G100" s="112">
        <v>94.58</v>
      </c>
      <c r="H100" s="112">
        <v>29.46</v>
      </c>
      <c r="I100" s="112">
        <v>11.05</v>
      </c>
      <c r="J100" s="112">
        <v>0.1</v>
      </c>
      <c r="K100" s="112">
        <v>165.52</v>
      </c>
      <c r="L100" s="112">
        <v>18.73</v>
      </c>
      <c r="M100" s="112">
        <v>72</v>
      </c>
      <c r="N100" s="112">
        <v>1.2</v>
      </c>
      <c r="O100" s="112">
        <v>0</v>
      </c>
      <c r="P100" s="112">
        <v>0.79</v>
      </c>
      <c r="Q100" s="112">
        <v>4.9800000000000004</v>
      </c>
    </row>
    <row r="101" spans="1:22" customFormat="1">
      <c r="A101" s="80">
        <v>45614.96875</v>
      </c>
      <c r="B101" s="112">
        <v>5.22</v>
      </c>
      <c r="C101" s="112">
        <v>8.08</v>
      </c>
      <c r="D101" s="112">
        <v>13.97</v>
      </c>
      <c r="E101" s="112">
        <v>7.87</v>
      </c>
      <c r="F101" s="112">
        <v>5.47</v>
      </c>
      <c r="G101" s="112">
        <v>94.55</v>
      </c>
      <c r="H101" s="112">
        <v>29.53</v>
      </c>
      <c r="I101" s="112">
        <v>10.92</v>
      </c>
      <c r="J101" s="112">
        <v>0.19</v>
      </c>
      <c r="K101" s="112">
        <v>197.59</v>
      </c>
      <c r="L101" s="112">
        <v>18.57</v>
      </c>
      <c r="M101" s="112">
        <v>76.31</v>
      </c>
      <c r="N101" s="112">
        <v>1.4</v>
      </c>
      <c r="O101" s="112">
        <v>0</v>
      </c>
      <c r="P101" s="112">
        <v>0.8</v>
      </c>
      <c r="Q101" s="112">
        <v>4.9800000000000004</v>
      </c>
    </row>
    <row r="102" spans="1:22" customFormat="1">
      <c r="A102" s="80">
        <v>45614.979166666664</v>
      </c>
      <c r="B102" s="112">
        <v>5.21</v>
      </c>
      <c r="C102" s="112">
        <v>8.09</v>
      </c>
      <c r="D102" s="112">
        <v>13.98</v>
      </c>
      <c r="E102" s="112">
        <v>8.3800000000000008</v>
      </c>
      <c r="F102" s="112">
        <v>5.47</v>
      </c>
      <c r="G102" s="112">
        <v>93.48</v>
      </c>
      <c r="H102" s="112">
        <v>31.82</v>
      </c>
      <c r="I102" s="112">
        <v>10.82</v>
      </c>
      <c r="J102" s="112">
        <v>0.17</v>
      </c>
      <c r="K102" s="112">
        <v>159.84</v>
      </c>
      <c r="L102" s="112">
        <v>18.579999999999998</v>
      </c>
      <c r="M102" s="112">
        <v>81.319999999999993</v>
      </c>
      <c r="N102" s="112">
        <v>1.3</v>
      </c>
      <c r="O102" s="112">
        <v>0</v>
      </c>
      <c r="P102" s="112">
        <v>0.79</v>
      </c>
      <c r="Q102" s="112">
        <v>4.99</v>
      </c>
    </row>
    <row r="103" spans="1:22" customFormat="1">
      <c r="A103" s="80">
        <v>45614.989583333336</v>
      </c>
      <c r="B103" s="112">
        <v>5.21</v>
      </c>
      <c r="C103" s="112">
        <v>8.07</v>
      </c>
      <c r="D103" s="112">
        <v>13.97</v>
      </c>
      <c r="E103" s="112">
        <v>8.1</v>
      </c>
      <c r="F103" s="112">
        <v>5.55</v>
      </c>
      <c r="G103" s="112">
        <v>93.48</v>
      </c>
      <c r="H103" s="112">
        <v>31.82</v>
      </c>
      <c r="I103" s="112">
        <v>10.73</v>
      </c>
      <c r="J103" s="112">
        <v>0.15</v>
      </c>
      <c r="K103" s="112">
        <v>188.04</v>
      </c>
      <c r="L103" s="112">
        <v>18.440000000000001</v>
      </c>
      <c r="M103" s="112">
        <v>82.45</v>
      </c>
      <c r="N103" s="112">
        <v>1.4</v>
      </c>
      <c r="O103" s="112">
        <v>0</v>
      </c>
      <c r="P103" s="112">
        <v>0.8</v>
      </c>
      <c r="Q103" s="112">
        <v>4.99</v>
      </c>
    </row>
    <row r="104" spans="1:22" customFormat="1">
      <c r="A104" s="80">
        <v>45615</v>
      </c>
      <c r="B104" s="112">
        <v>5.23</v>
      </c>
      <c r="C104" s="112">
        <v>8.06</v>
      </c>
      <c r="D104" s="112">
        <v>13.97</v>
      </c>
      <c r="E104" s="112">
        <v>8.33</v>
      </c>
      <c r="F104" s="112">
        <v>5.63</v>
      </c>
      <c r="G104" s="112">
        <v>93.48</v>
      </c>
      <c r="H104" s="112">
        <v>31.82</v>
      </c>
      <c r="I104" s="112">
        <v>10.66</v>
      </c>
      <c r="J104" s="112">
        <v>0.13</v>
      </c>
      <c r="K104" s="112">
        <v>187.41</v>
      </c>
      <c r="L104" s="112">
        <v>18.170000000000002</v>
      </c>
      <c r="M104" s="112">
        <v>79.819999999999993</v>
      </c>
      <c r="N104" s="112">
        <v>1.4</v>
      </c>
      <c r="O104" s="112">
        <v>0</v>
      </c>
      <c r="P104" s="112">
        <v>0.78</v>
      </c>
      <c r="Q104" s="112">
        <v>4.9800000000000004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5.16</v>
      </c>
      <c r="C106" s="183">
        <f>MIN(C9:C104)</f>
        <v>8.02</v>
      </c>
      <c r="D106" s="183">
        <f t="shared" ref="D106:Q106" si="0">MIN(D9:D104)</f>
        <v>13.93</v>
      </c>
      <c r="E106" s="183">
        <f t="shared" si="0"/>
        <v>6.84</v>
      </c>
      <c r="F106" s="183">
        <f t="shared" si="0"/>
        <v>5.23</v>
      </c>
      <c r="G106" s="183">
        <f t="shared" si="0"/>
        <v>54.45</v>
      </c>
      <c r="H106" s="183">
        <f t="shared" si="0"/>
        <v>19.11</v>
      </c>
      <c r="I106" s="183">
        <f t="shared" si="0"/>
        <v>5.45</v>
      </c>
      <c r="J106" s="183">
        <f t="shared" si="0"/>
        <v>0.03</v>
      </c>
      <c r="K106" s="183">
        <f t="shared" si="0"/>
        <v>16.66</v>
      </c>
      <c r="L106" s="183">
        <f t="shared" si="0"/>
        <v>16.13</v>
      </c>
      <c r="M106" s="183">
        <f t="shared" si="0"/>
        <v>23.51</v>
      </c>
      <c r="N106" s="183">
        <f t="shared" si="0"/>
        <v>0.9</v>
      </c>
      <c r="O106" s="183">
        <f t="shared" si="0"/>
        <v>0</v>
      </c>
      <c r="P106" s="183">
        <f t="shared" si="0"/>
        <v>0.47</v>
      </c>
      <c r="Q106" s="183">
        <f t="shared" si="0"/>
        <v>4.97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5.31</v>
      </c>
      <c r="C107" s="184">
        <f t="shared" ref="C107:Q107" si="1">MAX(C9:C104)</f>
        <v>8.1300000000000008</v>
      </c>
      <c r="D107" s="184">
        <f t="shared" si="1"/>
        <v>14.04</v>
      </c>
      <c r="E107" s="184">
        <f t="shared" si="1"/>
        <v>19.399999999999999</v>
      </c>
      <c r="F107" s="184">
        <f t="shared" si="1"/>
        <v>38.409999999999997</v>
      </c>
      <c r="G107" s="184">
        <f t="shared" si="1"/>
        <v>181.64</v>
      </c>
      <c r="H107" s="184">
        <f t="shared" si="1"/>
        <v>38.229999999999997</v>
      </c>
      <c r="I107" s="184">
        <f t="shared" si="1"/>
        <v>12.99</v>
      </c>
      <c r="J107" s="184">
        <f t="shared" si="1"/>
        <v>1.1100000000000001</v>
      </c>
      <c r="K107" s="184">
        <f t="shared" si="1"/>
        <v>322.06</v>
      </c>
      <c r="L107" s="184">
        <f t="shared" si="1"/>
        <v>29.62</v>
      </c>
      <c r="M107" s="184">
        <f t="shared" si="1"/>
        <v>90.6</v>
      </c>
      <c r="N107" s="184">
        <f t="shared" si="1"/>
        <v>548</v>
      </c>
      <c r="O107" s="184">
        <f t="shared" si="1"/>
        <v>0</v>
      </c>
      <c r="P107" s="184">
        <f t="shared" si="1"/>
        <v>1.26</v>
      </c>
      <c r="Q107" s="184">
        <f t="shared" si="1"/>
        <v>5.01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5.2206250000000018</v>
      </c>
      <c r="C108" s="183">
        <f t="shared" ref="C108:Q108" si="2">AVERAGE(C9:C104)</f>
        <v>8.0769791666666695</v>
      </c>
      <c r="D108" s="183">
        <f t="shared" si="2"/>
        <v>13.974166666666681</v>
      </c>
      <c r="E108" s="183">
        <f t="shared" si="2"/>
        <v>8.7866666666666706</v>
      </c>
      <c r="F108" s="183">
        <f t="shared" si="2"/>
        <v>8.7234375000000028</v>
      </c>
      <c r="G108" s="183">
        <f t="shared" si="2"/>
        <v>100.12249999999996</v>
      </c>
      <c r="H108" s="183">
        <f t="shared" si="2"/>
        <v>29.820208333333358</v>
      </c>
      <c r="I108" s="183">
        <f t="shared" si="2"/>
        <v>10.509375000000004</v>
      </c>
      <c r="J108" s="183">
        <f t="shared" si="2"/>
        <v>0.3507291666666667</v>
      </c>
      <c r="K108" s="183">
        <f t="shared" si="2"/>
        <v>117.90552083333334</v>
      </c>
      <c r="L108" s="183">
        <f t="shared" si="2"/>
        <v>22.020833333333329</v>
      </c>
      <c r="M108" s="183">
        <f t="shared" si="2"/>
        <v>59.335520833333327</v>
      </c>
      <c r="N108" s="183">
        <f t="shared" si="2"/>
        <v>113.75000000000001</v>
      </c>
      <c r="O108" s="183">
        <f t="shared" si="2"/>
        <v>0</v>
      </c>
      <c r="P108" s="183">
        <f t="shared" si="2"/>
        <v>0.89156250000000004</v>
      </c>
      <c r="Q108" s="183">
        <f t="shared" si="2"/>
        <v>4.9896875000000049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2.0714220896968848E-2</v>
      </c>
      <c r="C109" s="183">
        <f t="shared" ref="C109:Q109" si="3">STDEV(C9:C104)</f>
        <v>2.1330471984644762E-2</v>
      </c>
      <c r="D109" s="183">
        <f t="shared" si="3"/>
        <v>1.6522180731984047E-2</v>
      </c>
      <c r="E109" s="183">
        <f t="shared" si="3"/>
        <v>1.4463417858180729</v>
      </c>
      <c r="F109" s="183">
        <f t="shared" si="3"/>
        <v>6.3415875196780824</v>
      </c>
      <c r="G109" s="183">
        <f t="shared" si="3"/>
        <v>31.681799058433501</v>
      </c>
      <c r="H109" s="183">
        <f t="shared" si="3"/>
        <v>5.6946991009951686</v>
      </c>
      <c r="I109" s="183">
        <f t="shared" si="3"/>
        <v>2.4002762176575851</v>
      </c>
      <c r="J109" s="183">
        <f t="shared" si="3"/>
        <v>0.27151522121398147</v>
      </c>
      <c r="K109" s="183">
        <f t="shared" si="3"/>
        <v>74.530985698563967</v>
      </c>
      <c r="L109" s="183">
        <f t="shared" si="3"/>
        <v>4.6670695565433737</v>
      </c>
      <c r="M109" s="183">
        <f t="shared" si="3"/>
        <v>22.805376506881352</v>
      </c>
      <c r="N109" s="183">
        <f t="shared" si="3"/>
        <v>183.3704797455284</v>
      </c>
      <c r="O109" s="183">
        <f t="shared" si="3"/>
        <v>0</v>
      </c>
      <c r="P109" s="183">
        <f t="shared" si="3"/>
        <v>0.27104992014484325</v>
      </c>
      <c r="Q109" s="183">
        <f t="shared" si="3"/>
        <v>9.9950645715508376E-3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45615.010416666664</v>
      </c>
      <c r="B9" s="112">
        <v>5.21</v>
      </c>
      <c r="C9" s="112">
        <v>8.0500000000000007</v>
      </c>
      <c r="D9" s="112">
        <v>13.95</v>
      </c>
      <c r="E9" s="112">
        <v>8.2899999999999991</v>
      </c>
      <c r="F9" s="112">
        <v>5.56</v>
      </c>
      <c r="G9" s="112">
        <v>93.56</v>
      </c>
      <c r="H9" s="112">
        <v>31.81</v>
      </c>
      <c r="I9" s="112">
        <v>10.56</v>
      </c>
      <c r="J9" s="112">
        <v>0.08</v>
      </c>
      <c r="K9" s="112">
        <v>200.98</v>
      </c>
      <c r="L9" s="112">
        <v>18.239999999999998</v>
      </c>
      <c r="M9" s="112">
        <v>78.790000000000006</v>
      </c>
      <c r="N9" s="112">
        <v>1.2</v>
      </c>
      <c r="O9" s="112">
        <v>0</v>
      </c>
      <c r="P9" s="112">
        <v>0.79</v>
      </c>
      <c r="Q9" s="112">
        <v>4.99</v>
      </c>
    </row>
    <row r="10" spans="1:21" customFormat="1">
      <c r="A10" s="80">
        <v>45615.020833333336</v>
      </c>
      <c r="B10" s="112">
        <v>5.22</v>
      </c>
      <c r="C10" s="112">
        <v>8.06</v>
      </c>
      <c r="D10" s="112">
        <v>13.96</v>
      </c>
      <c r="E10" s="112">
        <v>8.18</v>
      </c>
      <c r="F10" s="112">
        <v>5.33</v>
      </c>
      <c r="G10" s="112">
        <v>97.01</v>
      </c>
      <c r="H10" s="112">
        <v>31.36</v>
      </c>
      <c r="I10" s="112">
        <v>10.47</v>
      </c>
      <c r="J10" s="112">
        <v>0.14000000000000001</v>
      </c>
      <c r="K10" s="112">
        <v>204.74</v>
      </c>
      <c r="L10" s="112">
        <v>18.21</v>
      </c>
      <c r="M10" s="112">
        <v>78.69</v>
      </c>
      <c r="N10" s="112">
        <v>1.3</v>
      </c>
      <c r="O10" s="112">
        <v>0</v>
      </c>
      <c r="P10" s="112">
        <v>0.79</v>
      </c>
      <c r="Q10" s="112">
        <v>4.99</v>
      </c>
    </row>
    <row r="11" spans="1:21" customFormat="1">
      <c r="A11" s="80">
        <v>45615.03125</v>
      </c>
      <c r="B11" s="112">
        <v>5.21</v>
      </c>
      <c r="C11" s="112">
        <v>8.09</v>
      </c>
      <c r="D11" s="112">
        <v>13.97</v>
      </c>
      <c r="E11" s="112">
        <v>8.68</v>
      </c>
      <c r="F11" s="112">
        <v>5.34</v>
      </c>
      <c r="G11" s="112">
        <v>97.01</v>
      </c>
      <c r="H11" s="112">
        <v>31.36</v>
      </c>
      <c r="I11" s="112">
        <v>10.41</v>
      </c>
      <c r="J11" s="112">
        <v>0.11</v>
      </c>
      <c r="K11" s="112">
        <v>232.98</v>
      </c>
      <c r="L11" s="112">
        <v>18.010000000000002</v>
      </c>
      <c r="M11" s="112">
        <v>79.959999999999994</v>
      </c>
      <c r="N11" s="112">
        <v>1.4</v>
      </c>
      <c r="O11" s="112">
        <v>0</v>
      </c>
      <c r="P11" s="112">
        <v>0.81</v>
      </c>
      <c r="Q11" s="112">
        <v>4.99</v>
      </c>
    </row>
    <row r="12" spans="1:21" customFormat="1">
      <c r="A12" s="80">
        <v>45615.041666666664</v>
      </c>
      <c r="B12" s="112">
        <v>5.21</v>
      </c>
      <c r="C12" s="112">
        <v>8.11</v>
      </c>
      <c r="D12" s="112">
        <v>13.98</v>
      </c>
      <c r="E12" s="112">
        <v>8.57</v>
      </c>
      <c r="F12" s="112">
        <v>5.36</v>
      </c>
      <c r="G12" s="112">
        <v>97.01</v>
      </c>
      <c r="H12" s="112">
        <v>31.36</v>
      </c>
      <c r="I12" s="112">
        <v>10.37</v>
      </c>
      <c r="J12" s="112">
        <v>0.34</v>
      </c>
      <c r="K12" s="112">
        <v>21.55</v>
      </c>
      <c r="L12" s="112">
        <v>17.93</v>
      </c>
      <c r="M12" s="112">
        <v>74.2</v>
      </c>
      <c r="N12" s="112">
        <v>1.1000000000000001</v>
      </c>
      <c r="O12" s="112">
        <v>0</v>
      </c>
      <c r="P12" s="112">
        <v>0.82</v>
      </c>
      <c r="Q12" s="112">
        <v>4.99</v>
      </c>
    </row>
    <row r="13" spans="1:21" customFormat="1">
      <c r="A13" s="80">
        <v>45615.052083333336</v>
      </c>
      <c r="B13" s="112">
        <v>5.21</v>
      </c>
      <c r="C13" s="112">
        <v>8.09</v>
      </c>
      <c r="D13" s="112">
        <v>13.98</v>
      </c>
      <c r="E13" s="112">
        <v>8.5299999999999994</v>
      </c>
      <c r="F13" s="112">
        <v>5.36</v>
      </c>
      <c r="G13" s="112">
        <v>97.25</v>
      </c>
      <c r="H13" s="112">
        <v>31.33</v>
      </c>
      <c r="I13" s="112">
        <v>10.38</v>
      </c>
      <c r="J13" s="112">
        <v>0.22</v>
      </c>
      <c r="K13" s="112">
        <v>47.39</v>
      </c>
      <c r="L13" s="112">
        <v>18.37</v>
      </c>
      <c r="M13" s="112">
        <v>68.75</v>
      </c>
      <c r="N13" s="112">
        <v>1</v>
      </c>
      <c r="O13" s="112">
        <v>0</v>
      </c>
      <c r="P13" s="112">
        <v>0.82</v>
      </c>
      <c r="Q13" s="112">
        <v>4.99</v>
      </c>
    </row>
    <row r="14" spans="1:21" customFormat="1">
      <c r="A14" s="80">
        <v>45615.0625</v>
      </c>
      <c r="B14" s="112">
        <v>5.21</v>
      </c>
      <c r="C14" s="112">
        <v>8.07</v>
      </c>
      <c r="D14" s="112">
        <v>13.96</v>
      </c>
      <c r="E14" s="112">
        <v>8.4700000000000006</v>
      </c>
      <c r="F14" s="112">
        <v>5.33</v>
      </c>
      <c r="G14" s="112">
        <v>107.61</v>
      </c>
      <c r="H14" s="112">
        <v>29.25</v>
      </c>
      <c r="I14" s="112">
        <v>10.49</v>
      </c>
      <c r="J14" s="112">
        <v>0.26</v>
      </c>
      <c r="K14" s="112">
        <v>44.41</v>
      </c>
      <c r="L14" s="112">
        <v>18.399999999999999</v>
      </c>
      <c r="M14" s="112">
        <v>67.69</v>
      </c>
      <c r="N14" s="112">
        <v>1.2</v>
      </c>
      <c r="O14" s="112">
        <v>0</v>
      </c>
      <c r="P14" s="112">
        <v>0.82</v>
      </c>
      <c r="Q14" s="112">
        <v>4.97</v>
      </c>
    </row>
    <row r="15" spans="1:21" customFormat="1">
      <c r="A15" s="80">
        <v>45615.072916666664</v>
      </c>
      <c r="B15" s="112">
        <v>5.2</v>
      </c>
      <c r="C15" s="112">
        <v>8.07</v>
      </c>
      <c r="D15" s="112">
        <v>13.96</v>
      </c>
      <c r="E15" s="112">
        <v>8.56</v>
      </c>
      <c r="F15" s="112">
        <v>5.5</v>
      </c>
      <c r="G15" s="112">
        <v>107.61</v>
      </c>
      <c r="H15" s="112">
        <v>29.25</v>
      </c>
      <c r="I15" s="112">
        <v>10.58</v>
      </c>
      <c r="J15" s="112">
        <v>0.23</v>
      </c>
      <c r="K15" s="112">
        <v>40.68</v>
      </c>
      <c r="L15" s="112">
        <v>18.39</v>
      </c>
      <c r="M15" s="112">
        <v>67.569999999999993</v>
      </c>
      <c r="N15" s="112">
        <v>1.3</v>
      </c>
      <c r="O15" s="112">
        <v>0</v>
      </c>
      <c r="P15" s="112">
        <v>0.83</v>
      </c>
      <c r="Q15" s="112">
        <v>4.9800000000000004</v>
      </c>
    </row>
    <row r="16" spans="1:21" customFormat="1">
      <c r="A16" s="80">
        <v>45615.083333333336</v>
      </c>
      <c r="B16" s="112">
        <v>5.2</v>
      </c>
      <c r="C16" s="112">
        <v>8.1</v>
      </c>
      <c r="D16" s="112">
        <v>13.97</v>
      </c>
      <c r="E16" s="112">
        <v>8.35</v>
      </c>
      <c r="F16" s="112">
        <v>5.53</v>
      </c>
      <c r="G16" s="112">
        <v>107.61</v>
      </c>
      <c r="H16" s="112">
        <v>29.25</v>
      </c>
      <c r="I16" s="112">
        <v>10.61</v>
      </c>
      <c r="J16" s="112">
        <v>0.05</v>
      </c>
      <c r="K16" s="112">
        <v>209.1</v>
      </c>
      <c r="L16" s="112">
        <v>18.170000000000002</v>
      </c>
      <c r="M16" s="112">
        <v>69.760000000000005</v>
      </c>
      <c r="N16" s="112">
        <v>1.5</v>
      </c>
      <c r="O16" s="112">
        <v>0</v>
      </c>
      <c r="P16" s="112">
        <v>0.83</v>
      </c>
      <c r="Q16" s="112">
        <v>4.97</v>
      </c>
    </row>
    <row r="17" spans="1:17" customFormat="1">
      <c r="A17" s="80">
        <v>45615.09375</v>
      </c>
      <c r="B17" s="112">
        <v>5.2</v>
      </c>
      <c r="C17" s="112">
        <v>8.09</v>
      </c>
      <c r="D17" s="112">
        <v>13.96</v>
      </c>
      <c r="E17" s="112">
        <v>7.46</v>
      </c>
      <c r="F17" s="112">
        <v>5.54</v>
      </c>
      <c r="G17" s="112">
        <v>107.63</v>
      </c>
      <c r="H17" s="112">
        <v>29.3</v>
      </c>
      <c r="I17" s="112">
        <v>10.64</v>
      </c>
      <c r="J17" s="112">
        <v>0.1</v>
      </c>
      <c r="K17" s="112">
        <v>137.44</v>
      </c>
      <c r="L17" s="112">
        <v>17.88</v>
      </c>
      <c r="M17" s="112">
        <v>71.42</v>
      </c>
      <c r="N17" s="112">
        <v>1.6</v>
      </c>
      <c r="O17" s="112">
        <v>0</v>
      </c>
      <c r="P17" s="112">
        <v>0.84</v>
      </c>
      <c r="Q17" s="112">
        <v>4.9800000000000004</v>
      </c>
    </row>
    <row r="18" spans="1:17" customFormat="1">
      <c r="A18" s="80">
        <v>45615.104166666664</v>
      </c>
      <c r="B18" s="112">
        <v>5.19</v>
      </c>
      <c r="C18" s="112">
        <v>8.1</v>
      </c>
      <c r="D18" s="112">
        <v>13.96</v>
      </c>
      <c r="E18" s="112">
        <v>8.6300000000000008</v>
      </c>
      <c r="F18" s="112">
        <v>5.56</v>
      </c>
      <c r="G18" s="112">
        <v>108.73</v>
      </c>
      <c r="H18" s="112">
        <v>32.729999999999997</v>
      </c>
      <c r="I18" s="112">
        <v>10.66</v>
      </c>
      <c r="J18" s="112">
        <v>0.12</v>
      </c>
      <c r="K18" s="112">
        <v>184.25</v>
      </c>
      <c r="L18" s="112">
        <v>17.649999999999999</v>
      </c>
      <c r="M18" s="112">
        <v>73.14</v>
      </c>
      <c r="N18" s="112">
        <v>1.5</v>
      </c>
      <c r="O18" s="112">
        <v>0</v>
      </c>
      <c r="P18" s="112">
        <v>0.83</v>
      </c>
      <c r="Q18" s="112">
        <v>4.97</v>
      </c>
    </row>
    <row r="19" spans="1:17" customFormat="1">
      <c r="A19" s="80">
        <v>45615.114583333336</v>
      </c>
      <c r="B19" s="112">
        <v>5.19</v>
      </c>
      <c r="C19" s="112">
        <v>8.09</v>
      </c>
      <c r="D19" s="112">
        <v>13.96</v>
      </c>
      <c r="E19" s="112">
        <v>8.74</v>
      </c>
      <c r="F19" s="112">
        <v>5.55</v>
      </c>
      <c r="G19" s="112">
        <v>108.73</v>
      </c>
      <c r="H19" s="112">
        <v>32.729999999999997</v>
      </c>
      <c r="I19" s="112">
        <v>10.69</v>
      </c>
      <c r="J19" s="112">
        <v>0.16</v>
      </c>
      <c r="K19" s="112">
        <v>229.33</v>
      </c>
      <c r="L19" s="112">
        <v>17.2</v>
      </c>
      <c r="M19" s="112">
        <v>75.66</v>
      </c>
      <c r="N19" s="112">
        <v>1.7</v>
      </c>
      <c r="O19" s="112">
        <v>0</v>
      </c>
      <c r="P19" s="112">
        <v>0.82</v>
      </c>
      <c r="Q19" s="112">
        <v>4.97</v>
      </c>
    </row>
    <row r="20" spans="1:17" customFormat="1">
      <c r="A20" s="80">
        <v>45615.125</v>
      </c>
      <c r="B20" s="112">
        <v>5.2</v>
      </c>
      <c r="C20" s="112">
        <v>8.07</v>
      </c>
      <c r="D20" s="112">
        <v>13.95</v>
      </c>
      <c r="E20" s="112">
        <v>8.83</v>
      </c>
      <c r="F20" s="112">
        <v>5.45</v>
      </c>
      <c r="G20" s="112">
        <v>108.73</v>
      </c>
      <c r="H20" s="112">
        <v>32.729999999999997</v>
      </c>
      <c r="I20" s="112">
        <v>10.73</v>
      </c>
      <c r="J20" s="112">
        <v>0.13</v>
      </c>
      <c r="K20" s="112">
        <v>159.85</v>
      </c>
      <c r="L20" s="112">
        <v>17.010000000000002</v>
      </c>
      <c r="M20" s="112">
        <v>81.81</v>
      </c>
      <c r="N20" s="112">
        <v>1.4</v>
      </c>
      <c r="O20" s="112">
        <v>0</v>
      </c>
      <c r="P20" s="112">
        <v>0.83</v>
      </c>
      <c r="Q20" s="112">
        <v>4.9800000000000004</v>
      </c>
    </row>
    <row r="21" spans="1:17" customFormat="1">
      <c r="A21" s="80">
        <v>45615.135416666664</v>
      </c>
      <c r="B21" s="112">
        <v>5.21</v>
      </c>
      <c r="C21" s="112">
        <v>8.08</v>
      </c>
      <c r="D21" s="112">
        <v>13.97</v>
      </c>
      <c r="E21" s="112">
        <v>8.83</v>
      </c>
      <c r="F21" s="112">
        <v>5.58</v>
      </c>
      <c r="G21" s="112">
        <v>108.3</v>
      </c>
      <c r="H21" s="112">
        <v>32.65</v>
      </c>
      <c r="I21" s="112">
        <v>10.76</v>
      </c>
      <c r="J21" s="112">
        <v>0.11</v>
      </c>
      <c r="K21" s="112">
        <v>217.47</v>
      </c>
      <c r="L21" s="112">
        <v>16.77</v>
      </c>
      <c r="M21" s="112">
        <v>85.75</v>
      </c>
      <c r="N21" s="112">
        <v>1.4</v>
      </c>
      <c r="O21" s="112">
        <v>0</v>
      </c>
      <c r="P21" s="112">
        <v>0.81</v>
      </c>
      <c r="Q21" s="112">
        <v>4.99</v>
      </c>
    </row>
    <row r="22" spans="1:17" customFormat="1">
      <c r="A22" s="80">
        <v>45615.145833333336</v>
      </c>
      <c r="B22" s="112">
        <v>5.21</v>
      </c>
      <c r="C22" s="112">
        <v>8.0500000000000007</v>
      </c>
      <c r="D22" s="112">
        <v>13.95</v>
      </c>
      <c r="E22" s="112">
        <v>8.57</v>
      </c>
      <c r="F22" s="112">
        <v>5.53</v>
      </c>
      <c r="G22" s="112">
        <v>89.43</v>
      </c>
      <c r="H22" s="112">
        <v>27.55</v>
      </c>
      <c r="I22" s="112">
        <v>10.75</v>
      </c>
      <c r="J22" s="112">
        <v>0.13</v>
      </c>
      <c r="K22" s="112">
        <v>222.45</v>
      </c>
      <c r="L22" s="112">
        <v>16.57</v>
      </c>
      <c r="M22" s="112">
        <v>87.92</v>
      </c>
      <c r="N22" s="112">
        <v>1.6</v>
      </c>
      <c r="O22" s="112">
        <v>0</v>
      </c>
      <c r="P22" s="112">
        <v>0.8</v>
      </c>
      <c r="Q22" s="112">
        <v>4.99</v>
      </c>
    </row>
    <row r="23" spans="1:17" customFormat="1">
      <c r="A23" s="80">
        <v>45615.15625</v>
      </c>
      <c r="B23" s="112">
        <v>5.2</v>
      </c>
      <c r="C23" s="112">
        <v>8.06</v>
      </c>
      <c r="D23" s="112">
        <v>13.95</v>
      </c>
      <c r="E23" s="112">
        <v>8.82</v>
      </c>
      <c r="F23" s="112">
        <v>5.59</v>
      </c>
      <c r="G23" s="112">
        <v>89.43</v>
      </c>
      <c r="H23" s="112">
        <v>27.55</v>
      </c>
      <c r="I23" s="112">
        <v>10.75</v>
      </c>
      <c r="J23" s="112">
        <v>0.14000000000000001</v>
      </c>
      <c r="K23" s="112">
        <v>230.26</v>
      </c>
      <c r="L23" s="112">
        <v>16.329999999999998</v>
      </c>
      <c r="M23" s="112">
        <v>89.05</v>
      </c>
      <c r="N23" s="112">
        <v>1.4</v>
      </c>
      <c r="O23" s="112">
        <v>0</v>
      </c>
      <c r="P23" s="112">
        <v>0.8</v>
      </c>
      <c r="Q23" s="112">
        <v>4.97</v>
      </c>
    </row>
    <row r="24" spans="1:17" customFormat="1">
      <c r="A24" s="80">
        <v>45615.166666666664</v>
      </c>
      <c r="B24" s="112">
        <v>5.19</v>
      </c>
      <c r="C24" s="112">
        <v>8.1</v>
      </c>
      <c r="D24" s="112">
        <v>13.96</v>
      </c>
      <c r="E24" s="112">
        <v>8.6999999999999993</v>
      </c>
      <c r="F24" s="112">
        <v>5.71</v>
      </c>
      <c r="G24" s="112">
        <v>89.43</v>
      </c>
      <c r="H24" s="112">
        <v>27.55</v>
      </c>
      <c r="I24" s="112">
        <v>10.72</v>
      </c>
      <c r="J24" s="112">
        <v>0.14000000000000001</v>
      </c>
      <c r="K24" s="112">
        <v>203.61</v>
      </c>
      <c r="L24" s="112">
        <v>16.239999999999998</v>
      </c>
      <c r="M24" s="112">
        <v>87.23</v>
      </c>
      <c r="N24" s="112">
        <v>1.4</v>
      </c>
      <c r="O24" s="112">
        <v>0</v>
      </c>
      <c r="P24" s="112">
        <v>0.8</v>
      </c>
      <c r="Q24" s="112">
        <v>4.97</v>
      </c>
    </row>
    <row r="25" spans="1:17" customFormat="1">
      <c r="A25" s="80">
        <v>45615.177083333336</v>
      </c>
      <c r="B25" s="112">
        <v>5.2</v>
      </c>
      <c r="C25" s="112">
        <v>8.09</v>
      </c>
      <c r="D25" s="112">
        <v>13.96</v>
      </c>
      <c r="E25" s="112">
        <v>8.56</v>
      </c>
      <c r="F25" s="112">
        <v>5.59</v>
      </c>
      <c r="G25" s="112">
        <v>89.36</v>
      </c>
      <c r="H25" s="112">
        <v>27.55</v>
      </c>
      <c r="I25" s="112">
        <v>10.67</v>
      </c>
      <c r="J25" s="112">
        <v>0.21</v>
      </c>
      <c r="K25" s="112">
        <v>160.41999999999999</v>
      </c>
      <c r="L25" s="112">
        <v>16.190000000000001</v>
      </c>
      <c r="M25" s="112">
        <v>85.71</v>
      </c>
      <c r="N25" s="112">
        <v>1.3</v>
      </c>
      <c r="O25" s="112">
        <v>0</v>
      </c>
      <c r="P25" s="112">
        <v>0.8</v>
      </c>
      <c r="Q25" s="112">
        <v>4.99</v>
      </c>
    </row>
    <row r="26" spans="1:17" customFormat="1">
      <c r="A26" s="80">
        <v>45615.1875</v>
      </c>
      <c r="B26" s="112">
        <v>5.21</v>
      </c>
      <c r="C26" s="112">
        <v>8.08</v>
      </c>
      <c r="D26" s="112">
        <v>13.97</v>
      </c>
      <c r="E26" s="112">
        <v>8.18</v>
      </c>
      <c r="F26" s="112">
        <v>5.63</v>
      </c>
      <c r="G26" s="112">
        <v>86.01</v>
      </c>
      <c r="H26" s="112">
        <v>27.12</v>
      </c>
      <c r="I26" s="112">
        <v>10.6</v>
      </c>
      <c r="J26" s="112">
        <v>7.0000000000000007E-2</v>
      </c>
      <c r="K26" s="112">
        <v>214.98</v>
      </c>
      <c r="L26" s="112">
        <v>16.010000000000002</v>
      </c>
      <c r="M26" s="112">
        <v>85.02</v>
      </c>
      <c r="N26" s="112">
        <v>1.4</v>
      </c>
      <c r="O26" s="112">
        <v>0</v>
      </c>
      <c r="P26" s="112">
        <v>0.8</v>
      </c>
      <c r="Q26" s="112">
        <v>4.99</v>
      </c>
    </row>
    <row r="27" spans="1:17" customFormat="1">
      <c r="A27" s="80">
        <v>45615.197916666664</v>
      </c>
      <c r="B27" s="112">
        <v>5.2</v>
      </c>
      <c r="C27" s="112">
        <v>8.06</v>
      </c>
      <c r="D27" s="112">
        <v>13.95</v>
      </c>
      <c r="E27" s="112">
        <v>8.14</v>
      </c>
      <c r="F27" s="112">
        <v>5.46</v>
      </c>
      <c r="G27" s="112">
        <v>86.01</v>
      </c>
      <c r="H27" s="112">
        <v>27.12</v>
      </c>
      <c r="I27" s="112">
        <v>10.55</v>
      </c>
      <c r="J27" s="112">
        <v>7.0000000000000007E-2</v>
      </c>
      <c r="K27" s="112">
        <v>190.05</v>
      </c>
      <c r="L27" s="112">
        <v>15.85</v>
      </c>
      <c r="M27" s="112">
        <v>86.89</v>
      </c>
      <c r="N27" s="112">
        <v>1.4</v>
      </c>
      <c r="O27" s="112">
        <v>0</v>
      </c>
      <c r="P27" s="112">
        <v>0.78</v>
      </c>
      <c r="Q27" s="112">
        <v>5</v>
      </c>
    </row>
    <row r="28" spans="1:17" customFormat="1">
      <c r="A28" s="80">
        <v>45615.208333333336</v>
      </c>
      <c r="B28" s="112">
        <v>5.2</v>
      </c>
      <c r="C28" s="112">
        <v>8.0500000000000007</v>
      </c>
      <c r="D28" s="112">
        <v>13.95</v>
      </c>
      <c r="E28" s="112">
        <v>8.7100000000000009</v>
      </c>
      <c r="F28" s="112">
        <v>5.61</v>
      </c>
      <c r="G28" s="112">
        <v>86.01</v>
      </c>
      <c r="H28" s="112">
        <v>27.12</v>
      </c>
      <c r="I28" s="112">
        <v>10.49</v>
      </c>
      <c r="J28" s="112">
        <v>0.1</v>
      </c>
      <c r="K28" s="112">
        <v>237.83</v>
      </c>
      <c r="L28" s="112">
        <v>15.77</v>
      </c>
      <c r="M28" s="112">
        <v>88.96</v>
      </c>
      <c r="N28" s="112">
        <v>1.3</v>
      </c>
      <c r="O28" s="112">
        <v>0</v>
      </c>
      <c r="P28" s="112">
        <v>0.78</v>
      </c>
      <c r="Q28" s="112">
        <v>5</v>
      </c>
    </row>
    <row r="29" spans="1:17" customFormat="1">
      <c r="A29" s="80">
        <v>45615.21875</v>
      </c>
      <c r="B29" s="112">
        <v>5.19</v>
      </c>
      <c r="C29" s="112">
        <v>8.06</v>
      </c>
      <c r="D29" s="112">
        <v>13.94</v>
      </c>
      <c r="E29" s="112">
        <v>8.07</v>
      </c>
      <c r="F29" s="112">
        <v>5.65</v>
      </c>
      <c r="G29" s="112">
        <v>85.93</v>
      </c>
      <c r="H29" s="112">
        <v>27.16</v>
      </c>
      <c r="I29" s="112">
        <v>10.41</v>
      </c>
      <c r="J29" s="112">
        <v>0.15</v>
      </c>
      <c r="K29" s="112">
        <v>240.21</v>
      </c>
      <c r="L29" s="112">
        <v>15.57</v>
      </c>
      <c r="M29" s="112">
        <v>88.73</v>
      </c>
      <c r="N29" s="112">
        <v>1.4</v>
      </c>
      <c r="O29" s="112">
        <v>0</v>
      </c>
      <c r="P29" s="112">
        <v>0.77</v>
      </c>
      <c r="Q29" s="112">
        <v>4.9800000000000004</v>
      </c>
    </row>
    <row r="30" spans="1:17" customFormat="1">
      <c r="A30" s="80">
        <v>45615.229166666664</v>
      </c>
      <c r="B30" s="112">
        <v>5.2</v>
      </c>
      <c r="C30" s="112">
        <v>8.06</v>
      </c>
      <c r="D30" s="112">
        <v>13.94</v>
      </c>
      <c r="E30" s="112">
        <v>8.6199999999999992</v>
      </c>
      <c r="F30" s="112">
        <v>5.52</v>
      </c>
      <c r="G30" s="112">
        <v>82.43</v>
      </c>
      <c r="H30" s="112">
        <v>29.47</v>
      </c>
      <c r="I30" s="112">
        <v>10.3</v>
      </c>
      <c r="J30" s="112">
        <v>0.08</v>
      </c>
      <c r="K30" s="112">
        <v>228.6</v>
      </c>
      <c r="L30" s="112">
        <v>15.67</v>
      </c>
      <c r="M30" s="112">
        <v>87.21</v>
      </c>
      <c r="N30" s="112">
        <v>1.3</v>
      </c>
      <c r="O30" s="112">
        <v>0</v>
      </c>
      <c r="P30" s="112">
        <v>0.76</v>
      </c>
      <c r="Q30" s="112">
        <v>4.99</v>
      </c>
    </row>
    <row r="31" spans="1:17" customFormat="1">
      <c r="A31" s="80">
        <v>45615.239583333336</v>
      </c>
      <c r="B31" s="112">
        <v>5.21</v>
      </c>
      <c r="C31" s="112">
        <v>8.06</v>
      </c>
      <c r="D31" s="112">
        <v>13.96</v>
      </c>
      <c r="E31" s="112">
        <v>8.14</v>
      </c>
      <c r="F31" s="112">
        <v>5.44</v>
      </c>
      <c r="G31" s="112">
        <v>82.43</v>
      </c>
      <c r="H31" s="112">
        <v>29.47</v>
      </c>
      <c r="I31" s="112">
        <v>10.220000000000001</v>
      </c>
      <c r="J31" s="112">
        <v>0.08</v>
      </c>
      <c r="K31" s="112">
        <v>223.68</v>
      </c>
      <c r="L31" s="112">
        <v>15.78</v>
      </c>
      <c r="M31" s="112">
        <v>85.66</v>
      </c>
      <c r="N31" s="112">
        <v>1.4</v>
      </c>
      <c r="O31" s="112">
        <v>0</v>
      </c>
      <c r="P31" s="112">
        <v>0.78</v>
      </c>
      <c r="Q31" s="112">
        <v>4.99</v>
      </c>
    </row>
    <row r="32" spans="1:17" customFormat="1">
      <c r="A32" s="80">
        <v>45615.25</v>
      </c>
      <c r="B32" s="112">
        <v>5.21</v>
      </c>
      <c r="C32" s="112">
        <v>8.0500000000000007</v>
      </c>
      <c r="D32" s="112">
        <v>13.95</v>
      </c>
      <c r="E32" s="112">
        <v>8.7899999999999991</v>
      </c>
      <c r="F32" s="112">
        <v>5.43</v>
      </c>
      <c r="G32" s="112">
        <v>82.43</v>
      </c>
      <c r="H32" s="112">
        <v>29.47</v>
      </c>
      <c r="I32" s="112">
        <v>10.17</v>
      </c>
      <c r="J32" s="112">
        <v>0.1</v>
      </c>
      <c r="K32" s="112">
        <v>209.15</v>
      </c>
      <c r="L32" s="112">
        <v>16</v>
      </c>
      <c r="M32" s="112">
        <v>83.64</v>
      </c>
      <c r="N32" s="112">
        <v>1.9</v>
      </c>
      <c r="O32" s="112">
        <v>0</v>
      </c>
      <c r="P32" s="112">
        <v>0.77</v>
      </c>
      <c r="Q32" s="112">
        <v>4.9800000000000004</v>
      </c>
    </row>
    <row r="33" spans="1:17" customFormat="1">
      <c r="A33" s="80">
        <v>45615.260416666664</v>
      </c>
      <c r="B33" s="112">
        <v>5.2</v>
      </c>
      <c r="C33" s="112">
        <v>8.09</v>
      </c>
      <c r="D33" s="112">
        <v>13.96</v>
      </c>
      <c r="E33" s="112">
        <v>8.67</v>
      </c>
      <c r="F33" s="112">
        <v>5.52</v>
      </c>
      <c r="G33" s="112">
        <v>82.58</v>
      </c>
      <c r="H33" s="112">
        <v>29.45</v>
      </c>
      <c r="I33" s="112">
        <v>10.11</v>
      </c>
      <c r="J33" s="112">
        <v>0.1</v>
      </c>
      <c r="K33" s="112">
        <v>192.93</v>
      </c>
      <c r="L33" s="112">
        <v>15.92</v>
      </c>
      <c r="M33" s="112">
        <v>87.41</v>
      </c>
      <c r="N33" s="112">
        <v>5</v>
      </c>
      <c r="O33" s="112">
        <v>0</v>
      </c>
      <c r="P33" s="112">
        <v>0.78</v>
      </c>
      <c r="Q33" s="112">
        <v>4.9800000000000004</v>
      </c>
    </row>
    <row r="34" spans="1:17" customFormat="1">
      <c r="A34" s="80">
        <v>45615.270833333336</v>
      </c>
      <c r="B34" s="112">
        <v>5.2</v>
      </c>
      <c r="C34" s="112">
        <v>8.08</v>
      </c>
      <c r="D34" s="112">
        <v>13.96</v>
      </c>
      <c r="E34" s="112">
        <v>8.9600000000000009</v>
      </c>
      <c r="F34" s="112">
        <v>5.52</v>
      </c>
      <c r="G34" s="112">
        <v>89.22</v>
      </c>
      <c r="H34" s="112">
        <v>28.26</v>
      </c>
      <c r="I34" s="112">
        <v>10.08</v>
      </c>
      <c r="J34" s="112">
        <v>0.12</v>
      </c>
      <c r="K34" s="112">
        <v>126.42</v>
      </c>
      <c r="L34" s="112">
        <v>16.05</v>
      </c>
      <c r="M34" s="112">
        <v>89.83</v>
      </c>
      <c r="N34" s="112">
        <v>12.1</v>
      </c>
      <c r="O34" s="112">
        <v>0</v>
      </c>
      <c r="P34" s="112">
        <v>0.77</v>
      </c>
      <c r="Q34" s="112">
        <v>4.9800000000000004</v>
      </c>
    </row>
    <row r="35" spans="1:17" customFormat="1">
      <c r="A35" s="80">
        <v>45615.28125</v>
      </c>
      <c r="B35" s="112">
        <v>5.2</v>
      </c>
      <c r="C35" s="112">
        <v>8.0500000000000007</v>
      </c>
      <c r="D35" s="112">
        <v>13.95</v>
      </c>
      <c r="E35" s="112">
        <v>9.1</v>
      </c>
      <c r="F35" s="112">
        <v>5.5</v>
      </c>
      <c r="G35" s="112">
        <v>89.22</v>
      </c>
      <c r="H35" s="112">
        <v>28.26</v>
      </c>
      <c r="I35" s="112">
        <v>10.07</v>
      </c>
      <c r="J35" s="112">
        <v>0.14000000000000001</v>
      </c>
      <c r="K35" s="112">
        <v>83.42</v>
      </c>
      <c r="L35" s="112">
        <v>16.37</v>
      </c>
      <c r="M35" s="112">
        <v>86.87</v>
      </c>
      <c r="N35" s="112">
        <v>21.6</v>
      </c>
      <c r="O35" s="112">
        <v>0</v>
      </c>
      <c r="P35" s="112">
        <v>0.79</v>
      </c>
      <c r="Q35" s="112">
        <v>4.9800000000000004</v>
      </c>
    </row>
    <row r="36" spans="1:17" customFormat="1">
      <c r="A36" s="80">
        <v>45615.291666666664</v>
      </c>
      <c r="B36" s="112">
        <v>5.22</v>
      </c>
      <c r="C36" s="112">
        <v>8.0500000000000007</v>
      </c>
      <c r="D36" s="112">
        <v>13.96</v>
      </c>
      <c r="E36" s="112">
        <v>8.67</v>
      </c>
      <c r="F36" s="112">
        <v>5.57</v>
      </c>
      <c r="G36" s="112">
        <v>89.22</v>
      </c>
      <c r="H36" s="112">
        <v>28.26</v>
      </c>
      <c r="I36" s="112">
        <v>10.08</v>
      </c>
      <c r="J36" s="112">
        <v>0.14000000000000001</v>
      </c>
      <c r="K36" s="112">
        <v>116.66</v>
      </c>
      <c r="L36" s="112">
        <v>17.13</v>
      </c>
      <c r="M36" s="112">
        <v>81.77</v>
      </c>
      <c r="N36" s="112">
        <v>33.6</v>
      </c>
      <c r="O36" s="112">
        <v>0</v>
      </c>
      <c r="P36" s="112">
        <v>0.81</v>
      </c>
      <c r="Q36" s="112">
        <v>4.97</v>
      </c>
    </row>
    <row r="37" spans="1:17" customFormat="1">
      <c r="A37" s="80">
        <v>45615.302083333336</v>
      </c>
      <c r="B37" s="112">
        <v>5.23</v>
      </c>
      <c r="C37" s="112">
        <v>8.07</v>
      </c>
      <c r="D37" s="112">
        <v>13.98</v>
      </c>
      <c r="E37" s="112">
        <v>8.23</v>
      </c>
      <c r="F37" s="112">
        <v>5.63</v>
      </c>
      <c r="G37" s="112">
        <v>89.46</v>
      </c>
      <c r="H37" s="112">
        <v>28.36</v>
      </c>
      <c r="I37" s="112">
        <v>10.19</v>
      </c>
      <c r="J37" s="112">
        <v>0.33</v>
      </c>
      <c r="K37" s="112">
        <v>43.53</v>
      </c>
      <c r="L37" s="112">
        <v>17.78</v>
      </c>
      <c r="M37" s="112">
        <v>75.83</v>
      </c>
      <c r="N37" s="112">
        <v>47.2</v>
      </c>
      <c r="O37" s="112">
        <v>0</v>
      </c>
      <c r="P37" s="112">
        <v>0.84</v>
      </c>
      <c r="Q37" s="112">
        <v>4.99</v>
      </c>
    </row>
    <row r="38" spans="1:17" customFormat="1">
      <c r="A38" s="80">
        <v>45615.3125</v>
      </c>
      <c r="B38" s="112">
        <v>5.23</v>
      </c>
      <c r="C38" s="112">
        <v>8.07</v>
      </c>
      <c r="D38" s="112">
        <v>13.98</v>
      </c>
      <c r="E38" s="112">
        <v>8.48</v>
      </c>
      <c r="F38" s="112">
        <v>5.51</v>
      </c>
      <c r="G38" s="112">
        <v>99.84</v>
      </c>
      <c r="H38" s="112">
        <v>34.72</v>
      </c>
      <c r="I38" s="112">
        <v>10.43</v>
      </c>
      <c r="J38" s="112">
        <v>0.3</v>
      </c>
      <c r="K38" s="112">
        <v>34.28</v>
      </c>
      <c r="L38" s="112">
        <v>18.399999999999999</v>
      </c>
      <c r="M38" s="112">
        <v>72.290000000000006</v>
      </c>
      <c r="N38" s="112">
        <v>61.4</v>
      </c>
      <c r="O38" s="112">
        <v>0</v>
      </c>
      <c r="P38" s="112">
        <v>0.87</v>
      </c>
      <c r="Q38" s="112">
        <v>5</v>
      </c>
    </row>
    <row r="39" spans="1:17" customFormat="1">
      <c r="A39" s="80">
        <v>45615.322916666664</v>
      </c>
      <c r="B39" s="112">
        <v>5.23</v>
      </c>
      <c r="C39" s="112">
        <v>8.07</v>
      </c>
      <c r="D39" s="112">
        <v>13.97</v>
      </c>
      <c r="E39" s="112">
        <v>8.49</v>
      </c>
      <c r="F39" s="112">
        <v>5.5</v>
      </c>
      <c r="G39" s="112">
        <v>99.84</v>
      </c>
      <c r="H39" s="112">
        <v>34.72</v>
      </c>
      <c r="I39" s="112">
        <v>10.79</v>
      </c>
      <c r="J39" s="112">
        <v>0.54</v>
      </c>
      <c r="K39" s="112">
        <v>53.13</v>
      </c>
      <c r="L39" s="112">
        <v>18.96</v>
      </c>
      <c r="M39" s="112">
        <v>70.05</v>
      </c>
      <c r="N39" s="112">
        <v>108.3</v>
      </c>
      <c r="O39" s="112">
        <v>0</v>
      </c>
      <c r="P39" s="112">
        <v>0.9</v>
      </c>
      <c r="Q39" s="112">
        <v>4.97</v>
      </c>
    </row>
    <row r="40" spans="1:17" customFormat="1">
      <c r="A40" s="80">
        <v>45615.333333333336</v>
      </c>
      <c r="B40" s="112">
        <v>5.2</v>
      </c>
      <c r="C40" s="112">
        <v>8.0399999999999991</v>
      </c>
      <c r="D40" s="112">
        <v>13.94</v>
      </c>
      <c r="E40" s="112">
        <v>8.8800000000000008</v>
      </c>
      <c r="F40" s="112">
        <v>5.25</v>
      </c>
      <c r="G40" s="112">
        <v>99.84</v>
      </c>
      <c r="H40" s="112">
        <v>34.72</v>
      </c>
      <c r="I40" s="112">
        <v>11.15</v>
      </c>
      <c r="J40" s="112">
        <v>0.37</v>
      </c>
      <c r="K40" s="112">
        <v>34.659999999999997</v>
      </c>
      <c r="L40" s="112">
        <v>19.690000000000001</v>
      </c>
      <c r="M40" s="112">
        <v>67.900000000000006</v>
      </c>
      <c r="N40" s="112">
        <v>150.19999999999999</v>
      </c>
      <c r="O40" s="112">
        <v>0</v>
      </c>
      <c r="P40" s="112">
        <v>0.92</v>
      </c>
      <c r="Q40" s="112">
        <v>4.9800000000000004</v>
      </c>
    </row>
    <row r="41" spans="1:17" customFormat="1">
      <c r="A41" s="80">
        <v>45615.34375</v>
      </c>
      <c r="B41" s="112">
        <v>5.2</v>
      </c>
      <c r="C41" s="112">
        <v>8.06</v>
      </c>
      <c r="D41" s="112">
        <v>13.95</v>
      </c>
      <c r="E41" s="112">
        <v>8.73</v>
      </c>
      <c r="F41" s="112">
        <v>5.46</v>
      </c>
      <c r="G41" s="112">
        <v>100.07</v>
      </c>
      <c r="H41" s="112">
        <v>34.76</v>
      </c>
      <c r="I41" s="112">
        <v>11.5</v>
      </c>
      <c r="J41" s="112">
        <v>0.49</v>
      </c>
      <c r="K41" s="112">
        <v>41.65</v>
      </c>
      <c r="L41" s="112">
        <v>20.420000000000002</v>
      </c>
      <c r="M41" s="112">
        <v>63.35</v>
      </c>
      <c r="N41" s="112">
        <v>178.2</v>
      </c>
      <c r="O41" s="112">
        <v>0</v>
      </c>
      <c r="P41" s="112">
        <v>0.93</v>
      </c>
      <c r="Q41" s="112">
        <v>4.9800000000000004</v>
      </c>
    </row>
    <row r="42" spans="1:17" customFormat="1">
      <c r="A42" s="80">
        <v>45615.354166666664</v>
      </c>
      <c r="B42" s="112">
        <v>5.2</v>
      </c>
      <c r="C42" s="112">
        <v>8.1</v>
      </c>
      <c r="D42" s="112">
        <v>13.97</v>
      </c>
      <c r="E42" s="112">
        <v>8.83</v>
      </c>
      <c r="F42" s="112">
        <v>5.48</v>
      </c>
      <c r="G42" s="112">
        <v>110.3</v>
      </c>
      <c r="H42" s="112">
        <v>37.28</v>
      </c>
      <c r="I42" s="112">
        <v>11.82</v>
      </c>
      <c r="J42" s="112">
        <v>0.56000000000000005</v>
      </c>
      <c r="K42" s="112">
        <v>40.72</v>
      </c>
      <c r="L42" s="112">
        <v>21.28</v>
      </c>
      <c r="M42" s="112">
        <v>61.1</v>
      </c>
      <c r="N42" s="112">
        <v>178.5</v>
      </c>
      <c r="O42" s="112">
        <v>0</v>
      </c>
      <c r="P42" s="112">
        <v>0.93</v>
      </c>
      <c r="Q42" s="112">
        <v>4.99</v>
      </c>
    </row>
    <row r="43" spans="1:17" customFormat="1">
      <c r="A43" s="80">
        <v>45615.364583333336</v>
      </c>
      <c r="B43" s="112">
        <v>5.21</v>
      </c>
      <c r="C43" s="112">
        <v>8.1</v>
      </c>
      <c r="D43" s="112">
        <v>13.98</v>
      </c>
      <c r="E43" s="112">
        <v>8.6999999999999993</v>
      </c>
      <c r="F43" s="112">
        <v>5.51</v>
      </c>
      <c r="G43" s="112">
        <v>110.3</v>
      </c>
      <c r="H43" s="112">
        <v>37.28</v>
      </c>
      <c r="I43" s="112">
        <v>12.01</v>
      </c>
      <c r="J43" s="112">
        <v>0.57999999999999996</v>
      </c>
      <c r="K43" s="112">
        <v>46.78</v>
      </c>
      <c r="L43" s="112">
        <v>21.93</v>
      </c>
      <c r="M43" s="112">
        <v>60.8</v>
      </c>
      <c r="N43" s="112">
        <v>195</v>
      </c>
      <c r="O43" s="112">
        <v>0</v>
      </c>
      <c r="P43" s="112">
        <v>0.94</v>
      </c>
      <c r="Q43" s="112">
        <v>4.99</v>
      </c>
    </row>
    <row r="44" spans="1:17" customFormat="1">
      <c r="A44" s="80">
        <v>45615.375</v>
      </c>
      <c r="B44" s="112">
        <v>5.21</v>
      </c>
      <c r="C44" s="112">
        <v>8.1</v>
      </c>
      <c r="D44" s="112">
        <v>13.98</v>
      </c>
      <c r="E44" s="112">
        <v>8.7799999999999994</v>
      </c>
      <c r="F44" s="112">
        <v>5.66</v>
      </c>
      <c r="G44" s="112">
        <v>110.3</v>
      </c>
      <c r="H44" s="112">
        <v>37.28</v>
      </c>
      <c r="I44" s="112">
        <v>12.05</v>
      </c>
      <c r="J44" s="112">
        <v>0.51</v>
      </c>
      <c r="K44" s="112">
        <v>51.62</v>
      </c>
      <c r="L44" s="112">
        <v>22.75</v>
      </c>
      <c r="M44" s="112">
        <v>57.49</v>
      </c>
      <c r="N44" s="112">
        <v>269.39999999999998</v>
      </c>
      <c r="O44" s="112">
        <v>0</v>
      </c>
      <c r="P44" s="112">
        <v>0.95</v>
      </c>
      <c r="Q44" s="112">
        <v>4.99</v>
      </c>
    </row>
    <row r="45" spans="1:17" customFormat="1">
      <c r="A45" s="80">
        <v>45615.385416666664</v>
      </c>
      <c r="B45" s="112">
        <v>5.22</v>
      </c>
      <c r="C45" s="112">
        <v>8.09</v>
      </c>
      <c r="D45" s="112">
        <v>13.98</v>
      </c>
      <c r="E45" s="112">
        <v>8.24</v>
      </c>
      <c r="F45" s="112">
        <v>5.84</v>
      </c>
      <c r="G45" s="112">
        <v>110.46</v>
      </c>
      <c r="H45" s="112">
        <v>37.29</v>
      </c>
      <c r="I45" s="112">
        <v>12.09</v>
      </c>
      <c r="J45" s="112">
        <v>0.41</v>
      </c>
      <c r="K45" s="112">
        <v>58.13</v>
      </c>
      <c r="L45" s="112">
        <v>23.56</v>
      </c>
      <c r="M45" s="112">
        <v>53.27</v>
      </c>
      <c r="N45" s="112">
        <v>312</v>
      </c>
      <c r="O45" s="112">
        <v>0</v>
      </c>
      <c r="P45" s="112">
        <v>0.95</v>
      </c>
      <c r="Q45" s="112">
        <v>4.97</v>
      </c>
    </row>
    <row r="46" spans="1:17" customFormat="1">
      <c r="A46" s="80">
        <v>45615.395833333336</v>
      </c>
      <c r="B46" s="112">
        <v>5.22</v>
      </c>
      <c r="C46" s="112">
        <v>8.09</v>
      </c>
      <c r="D46" s="112">
        <v>13.98</v>
      </c>
      <c r="E46" s="112">
        <v>8.64</v>
      </c>
      <c r="F46" s="112">
        <v>5.71</v>
      </c>
      <c r="G46" s="112">
        <v>117.33</v>
      </c>
      <c r="H46" s="112">
        <v>37.96</v>
      </c>
      <c r="I46" s="112">
        <v>12.11</v>
      </c>
      <c r="J46" s="112">
        <v>0.62</v>
      </c>
      <c r="K46" s="112">
        <v>50.82</v>
      </c>
      <c r="L46" s="112">
        <v>24.39</v>
      </c>
      <c r="M46" s="112">
        <v>50.31</v>
      </c>
      <c r="N46" s="112">
        <v>282.89999999999998</v>
      </c>
      <c r="O46" s="112">
        <v>0</v>
      </c>
      <c r="P46" s="112">
        <v>0.95</v>
      </c>
      <c r="Q46" s="112">
        <v>4.9800000000000004</v>
      </c>
    </row>
    <row r="47" spans="1:17" customFormat="1">
      <c r="A47" s="80">
        <v>45615.40625</v>
      </c>
      <c r="B47" s="112">
        <v>5.23</v>
      </c>
      <c r="C47" s="112">
        <v>8.07</v>
      </c>
      <c r="D47" s="112">
        <v>13.97</v>
      </c>
      <c r="E47" s="112">
        <v>8.6</v>
      </c>
      <c r="F47" s="112">
        <v>5.99</v>
      </c>
      <c r="G47" s="112">
        <v>117.33</v>
      </c>
      <c r="H47" s="112">
        <v>37.96</v>
      </c>
      <c r="I47" s="112">
        <v>12.06</v>
      </c>
      <c r="J47" s="112">
        <v>0.68</v>
      </c>
      <c r="K47" s="112">
        <v>53.35</v>
      </c>
      <c r="L47" s="112">
        <v>24.69</v>
      </c>
      <c r="M47" s="112">
        <v>48.16</v>
      </c>
      <c r="N47" s="112">
        <v>373.9</v>
      </c>
      <c r="O47" s="112">
        <v>0</v>
      </c>
      <c r="P47" s="112">
        <v>0.96</v>
      </c>
      <c r="Q47" s="112">
        <v>4.9800000000000004</v>
      </c>
    </row>
    <row r="48" spans="1:17" customFormat="1">
      <c r="A48" s="80">
        <v>45615.416666666664</v>
      </c>
      <c r="B48" s="112">
        <v>5.22</v>
      </c>
      <c r="C48" s="112">
        <v>8.07</v>
      </c>
      <c r="D48" s="112">
        <v>13.97</v>
      </c>
      <c r="E48" s="112">
        <v>8.36</v>
      </c>
      <c r="F48" s="112">
        <v>6.24</v>
      </c>
      <c r="G48" s="112">
        <v>117.33</v>
      </c>
      <c r="H48" s="112">
        <v>37.96</v>
      </c>
      <c r="I48" s="112">
        <v>12</v>
      </c>
      <c r="J48" s="112">
        <v>0.24</v>
      </c>
      <c r="K48" s="112">
        <v>26.58</v>
      </c>
      <c r="L48" s="112">
        <v>25.44</v>
      </c>
      <c r="M48" s="112">
        <v>46.3</v>
      </c>
      <c r="N48" s="112">
        <v>400.7</v>
      </c>
      <c r="O48" s="112">
        <v>0</v>
      </c>
      <c r="P48" s="112">
        <v>0.95</v>
      </c>
      <c r="Q48" s="112">
        <v>4.97</v>
      </c>
    </row>
    <row r="49" spans="1:17" customFormat="1">
      <c r="A49" s="80">
        <v>45615.427083333336</v>
      </c>
      <c r="B49" s="112">
        <v>5.21</v>
      </c>
      <c r="C49" s="112">
        <v>8.08</v>
      </c>
      <c r="D49" s="112">
        <v>13.97</v>
      </c>
      <c r="E49" s="112">
        <v>7.8</v>
      </c>
      <c r="F49" s="112">
        <v>6.31</v>
      </c>
      <c r="G49" s="112">
        <v>117.1</v>
      </c>
      <c r="H49" s="112">
        <v>37.94</v>
      </c>
      <c r="I49" s="112">
        <v>11.91</v>
      </c>
      <c r="J49" s="112">
        <v>0.08</v>
      </c>
      <c r="K49" s="112">
        <v>111.96</v>
      </c>
      <c r="L49" s="112">
        <v>26.64</v>
      </c>
      <c r="M49" s="112">
        <v>42.32</v>
      </c>
      <c r="N49" s="112">
        <v>416.6</v>
      </c>
      <c r="O49" s="112">
        <v>0</v>
      </c>
      <c r="P49" s="112">
        <v>0.93</v>
      </c>
      <c r="Q49" s="112">
        <v>4.99</v>
      </c>
    </row>
    <row r="50" spans="1:17" customFormat="1">
      <c r="A50" s="80">
        <v>45615.4375</v>
      </c>
      <c r="B50" s="112">
        <v>5.22</v>
      </c>
      <c r="C50" s="112">
        <v>8.07</v>
      </c>
      <c r="D50" s="112">
        <v>13.97</v>
      </c>
      <c r="E50" s="112">
        <v>9.1999999999999993</v>
      </c>
      <c r="F50" s="112">
        <v>6.54</v>
      </c>
      <c r="G50" s="112">
        <v>106.76</v>
      </c>
      <c r="H50" s="112">
        <v>36.76</v>
      </c>
      <c r="I50" s="112">
        <v>11.76</v>
      </c>
      <c r="J50" s="112">
        <v>0.44</v>
      </c>
      <c r="K50" s="112">
        <v>66.47</v>
      </c>
      <c r="L50" s="112">
        <v>27.18</v>
      </c>
      <c r="M50" s="112">
        <v>37.99</v>
      </c>
      <c r="N50" s="112">
        <v>445.7</v>
      </c>
      <c r="O50" s="112">
        <v>0</v>
      </c>
      <c r="P50" s="112">
        <v>0.91</v>
      </c>
      <c r="Q50" s="112">
        <v>5</v>
      </c>
    </row>
    <row r="51" spans="1:17" customFormat="1">
      <c r="A51" s="80">
        <v>45615.447916666664</v>
      </c>
      <c r="B51" s="112">
        <v>5.24</v>
      </c>
      <c r="C51" s="112">
        <v>8.07</v>
      </c>
      <c r="D51" s="112">
        <v>13.99</v>
      </c>
      <c r="E51" s="112">
        <v>9.09</v>
      </c>
      <c r="F51" s="112">
        <v>6.99</v>
      </c>
      <c r="G51" s="112">
        <v>106.76</v>
      </c>
      <c r="H51" s="112">
        <v>36.76</v>
      </c>
      <c r="I51" s="112">
        <v>11.6</v>
      </c>
      <c r="J51" s="112">
        <v>0.42</v>
      </c>
      <c r="K51" s="112">
        <v>63.59</v>
      </c>
      <c r="L51" s="112">
        <v>27.42</v>
      </c>
      <c r="M51" s="112">
        <v>37.520000000000003</v>
      </c>
      <c r="N51" s="112">
        <v>389.6</v>
      </c>
      <c r="O51" s="112">
        <v>0</v>
      </c>
      <c r="P51" s="112">
        <v>0.89</v>
      </c>
      <c r="Q51" s="112">
        <v>4.99</v>
      </c>
    </row>
    <row r="52" spans="1:17" customFormat="1">
      <c r="A52" s="80">
        <v>45615.458333333336</v>
      </c>
      <c r="B52" s="112">
        <v>5.23</v>
      </c>
      <c r="C52" s="112">
        <v>8.1</v>
      </c>
      <c r="D52" s="112">
        <v>14</v>
      </c>
      <c r="E52" s="112">
        <v>9.58</v>
      </c>
      <c r="F52" s="112">
        <v>7.99</v>
      </c>
      <c r="G52" s="112">
        <v>106.76</v>
      </c>
      <c r="H52" s="112">
        <v>36.76</v>
      </c>
      <c r="I52" s="112">
        <v>11.36</v>
      </c>
      <c r="J52" s="112">
        <v>0.66</v>
      </c>
      <c r="K52" s="112">
        <v>51.21</v>
      </c>
      <c r="L52" s="112">
        <v>27.47</v>
      </c>
      <c r="M52" s="112">
        <v>36.409999999999997</v>
      </c>
      <c r="N52" s="112">
        <v>462.6</v>
      </c>
      <c r="O52" s="112">
        <v>0</v>
      </c>
      <c r="P52" s="112">
        <v>0.88</v>
      </c>
      <c r="Q52" s="112">
        <v>4.97</v>
      </c>
    </row>
    <row r="53" spans="1:17" customFormat="1">
      <c r="A53" s="80">
        <v>45615.46875</v>
      </c>
      <c r="B53" s="112">
        <v>5.23</v>
      </c>
      <c r="C53" s="112">
        <v>8.07</v>
      </c>
      <c r="D53" s="112">
        <v>13.98</v>
      </c>
      <c r="E53" s="112">
        <v>9.33</v>
      </c>
      <c r="F53" s="112">
        <v>9.01</v>
      </c>
      <c r="G53" s="112">
        <v>106.47</v>
      </c>
      <c r="H53" s="112">
        <v>36.68</v>
      </c>
      <c r="I53" s="112">
        <v>11.05</v>
      </c>
      <c r="J53" s="112">
        <v>0.84</v>
      </c>
      <c r="K53" s="112">
        <v>43.15</v>
      </c>
      <c r="L53" s="112">
        <v>27.6</v>
      </c>
      <c r="M53" s="112">
        <v>34.67</v>
      </c>
      <c r="N53" s="112">
        <v>482.2</v>
      </c>
      <c r="O53" s="112">
        <v>0</v>
      </c>
      <c r="P53" s="112">
        <v>0.86</v>
      </c>
      <c r="Q53" s="112">
        <v>4.9800000000000004</v>
      </c>
    </row>
    <row r="54" spans="1:17" customFormat="1">
      <c r="A54" s="80">
        <v>45615.479166666664</v>
      </c>
      <c r="B54" s="112">
        <v>5.23</v>
      </c>
      <c r="C54" s="112">
        <v>8.08</v>
      </c>
      <c r="D54" s="112">
        <v>13.98</v>
      </c>
      <c r="E54" s="112">
        <v>9.74</v>
      </c>
      <c r="F54" s="112">
        <v>9.73</v>
      </c>
      <c r="G54" s="112">
        <v>94.01</v>
      </c>
      <c r="H54" s="112">
        <v>31.47</v>
      </c>
      <c r="I54" s="112">
        <v>10.79</v>
      </c>
      <c r="J54" s="112">
        <v>0.54</v>
      </c>
      <c r="K54" s="112">
        <v>38.24</v>
      </c>
      <c r="L54" s="112">
        <v>27.84</v>
      </c>
      <c r="M54" s="112">
        <v>33.5</v>
      </c>
      <c r="N54" s="112">
        <v>492.6</v>
      </c>
      <c r="O54" s="112">
        <v>0</v>
      </c>
      <c r="P54" s="112">
        <v>0.83</v>
      </c>
      <c r="Q54" s="112">
        <v>4.97</v>
      </c>
    </row>
    <row r="55" spans="1:17" customFormat="1">
      <c r="A55" s="80">
        <v>45615.489583333336</v>
      </c>
      <c r="B55" s="112">
        <v>5.23</v>
      </c>
      <c r="C55" s="112">
        <v>8.08</v>
      </c>
      <c r="D55" s="112">
        <v>13.99</v>
      </c>
      <c r="E55" s="112">
        <v>9.4600000000000009</v>
      </c>
      <c r="F55" s="112">
        <v>9.39</v>
      </c>
      <c r="G55" s="112">
        <v>94.01</v>
      </c>
      <c r="H55" s="112">
        <v>31.47</v>
      </c>
      <c r="I55" s="112">
        <v>10.53</v>
      </c>
      <c r="J55" s="112">
        <v>0.67</v>
      </c>
      <c r="K55" s="112">
        <v>55.11</v>
      </c>
      <c r="L55" s="112">
        <v>27.88</v>
      </c>
      <c r="M55" s="112">
        <v>33.65</v>
      </c>
      <c r="N55" s="112">
        <v>474.9</v>
      </c>
      <c r="O55" s="112">
        <v>0</v>
      </c>
      <c r="P55" s="112">
        <v>0.82</v>
      </c>
      <c r="Q55" s="112">
        <v>4.9800000000000004</v>
      </c>
    </row>
    <row r="56" spans="1:17" customFormat="1">
      <c r="A56" s="80">
        <v>45615.5</v>
      </c>
      <c r="B56" s="112">
        <v>5.24</v>
      </c>
      <c r="C56" s="112">
        <v>8.08</v>
      </c>
      <c r="D56" s="112">
        <v>13.99</v>
      </c>
      <c r="E56" s="112">
        <v>9.3000000000000007</v>
      </c>
      <c r="F56" s="112">
        <v>10.199999999999999</v>
      </c>
      <c r="G56" s="112">
        <v>94.01</v>
      </c>
      <c r="H56" s="112">
        <v>31.47</v>
      </c>
      <c r="I56" s="112">
        <v>10.25</v>
      </c>
      <c r="J56" s="112">
        <v>0.66</v>
      </c>
      <c r="K56" s="112">
        <v>45.8</v>
      </c>
      <c r="L56" s="112">
        <v>27.99</v>
      </c>
      <c r="M56" s="112">
        <v>32.21</v>
      </c>
      <c r="N56" s="112">
        <v>484.3</v>
      </c>
      <c r="O56" s="112">
        <v>0</v>
      </c>
      <c r="P56" s="112">
        <v>0.8</v>
      </c>
      <c r="Q56" s="112">
        <v>4.9800000000000004</v>
      </c>
    </row>
    <row r="57" spans="1:17" customFormat="1">
      <c r="A57" s="80">
        <v>45615.510416666664</v>
      </c>
      <c r="B57" s="112">
        <v>5.23</v>
      </c>
      <c r="C57" s="112">
        <v>8.08</v>
      </c>
      <c r="D57" s="112">
        <v>13.98</v>
      </c>
      <c r="E57" s="112">
        <v>9.49</v>
      </c>
      <c r="F57" s="112">
        <v>10.73</v>
      </c>
      <c r="G57" s="112">
        <v>93.77</v>
      </c>
      <c r="H57" s="112">
        <v>31.46</v>
      </c>
      <c r="I57" s="112">
        <v>9.99</v>
      </c>
      <c r="J57" s="112">
        <v>0.66</v>
      </c>
      <c r="K57" s="112">
        <v>39.04</v>
      </c>
      <c r="L57" s="112">
        <v>28.27</v>
      </c>
      <c r="M57" s="112">
        <v>32.130000000000003</v>
      </c>
      <c r="N57" s="112">
        <v>474.4</v>
      </c>
      <c r="O57" s="112">
        <v>0</v>
      </c>
      <c r="P57" s="112">
        <v>0.78</v>
      </c>
      <c r="Q57" s="112">
        <v>4.9800000000000004</v>
      </c>
    </row>
    <row r="58" spans="1:17" customFormat="1">
      <c r="A58" s="80">
        <v>45615.520833333336</v>
      </c>
      <c r="B58" s="112">
        <v>5.23</v>
      </c>
      <c r="C58" s="112">
        <v>8.06</v>
      </c>
      <c r="D58" s="112">
        <v>13.97</v>
      </c>
      <c r="E58" s="112">
        <v>9.7200000000000006</v>
      </c>
      <c r="F58" s="112">
        <v>10.26</v>
      </c>
      <c r="G58" s="112">
        <v>83.3</v>
      </c>
      <c r="H58" s="112">
        <v>31.17</v>
      </c>
      <c r="I58" s="112">
        <v>9.73</v>
      </c>
      <c r="J58" s="112">
        <v>0.85</v>
      </c>
      <c r="K58" s="112">
        <v>53.06</v>
      </c>
      <c r="L58" s="112">
        <v>28.07</v>
      </c>
      <c r="M58" s="112">
        <v>32.630000000000003</v>
      </c>
      <c r="N58" s="112">
        <v>448.9</v>
      </c>
      <c r="O58" s="112">
        <v>0</v>
      </c>
      <c r="P58" s="112">
        <v>0.76</v>
      </c>
      <c r="Q58" s="112">
        <v>4.99</v>
      </c>
    </row>
    <row r="59" spans="1:17" customFormat="1">
      <c r="A59" s="80">
        <v>45615.53125</v>
      </c>
      <c r="B59" s="112">
        <v>5.22</v>
      </c>
      <c r="C59" s="112">
        <v>8.08</v>
      </c>
      <c r="D59" s="112">
        <v>13.97</v>
      </c>
      <c r="E59" s="112">
        <v>10.53</v>
      </c>
      <c r="F59" s="112">
        <v>10.65</v>
      </c>
      <c r="G59" s="112">
        <v>83.3</v>
      </c>
      <c r="H59" s="112">
        <v>31.17</v>
      </c>
      <c r="I59" s="112">
        <v>9.5399999999999991</v>
      </c>
      <c r="J59" s="112">
        <v>0.53</v>
      </c>
      <c r="K59" s="112">
        <v>7.64</v>
      </c>
      <c r="L59" s="112">
        <v>28.23</v>
      </c>
      <c r="M59" s="112">
        <v>31.96</v>
      </c>
      <c r="N59" s="112">
        <v>425.4</v>
      </c>
      <c r="O59" s="112">
        <v>0</v>
      </c>
      <c r="P59" s="112">
        <v>0.73</v>
      </c>
      <c r="Q59" s="112">
        <v>4.99</v>
      </c>
    </row>
    <row r="60" spans="1:17" customFormat="1">
      <c r="A60" s="80">
        <v>45615.541666666664</v>
      </c>
      <c r="B60" s="112">
        <v>5.21</v>
      </c>
      <c r="C60" s="112">
        <v>8.08</v>
      </c>
      <c r="D60" s="112">
        <v>13.97</v>
      </c>
      <c r="E60" s="112">
        <v>10.37</v>
      </c>
      <c r="F60" s="112">
        <v>9.75</v>
      </c>
      <c r="G60" s="112">
        <v>83.3</v>
      </c>
      <c r="H60" s="112">
        <v>31.17</v>
      </c>
      <c r="I60" s="112">
        <v>9.43</v>
      </c>
      <c r="J60" s="112">
        <v>0.61</v>
      </c>
      <c r="K60" s="112">
        <v>30.52</v>
      </c>
      <c r="L60" s="112">
        <v>28.27</v>
      </c>
      <c r="M60" s="112">
        <v>31.31</v>
      </c>
      <c r="N60" s="112">
        <v>409.3</v>
      </c>
      <c r="O60" s="112">
        <v>0</v>
      </c>
      <c r="P60" s="112">
        <v>0.73</v>
      </c>
      <c r="Q60" s="112">
        <v>4.9800000000000004</v>
      </c>
    </row>
    <row r="61" spans="1:17" customFormat="1">
      <c r="A61" s="80">
        <v>45615.552083333336</v>
      </c>
      <c r="B61" s="112">
        <v>5.21</v>
      </c>
      <c r="C61" s="112">
        <v>8.09</v>
      </c>
      <c r="D61" s="112">
        <v>13.97</v>
      </c>
      <c r="E61" s="112">
        <v>10.16</v>
      </c>
      <c r="F61" s="112">
        <v>11.8</v>
      </c>
      <c r="G61" s="112">
        <v>83.14</v>
      </c>
      <c r="H61" s="112">
        <v>31.15</v>
      </c>
      <c r="I61" s="112">
        <v>9.2799999999999994</v>
      </c>
      <c r="J61" s="112">
        <v>0.85</v>
      </c>
      <c r="K61" s="112">
        <v>37.43</v>
      </c>
      <c r="L61" s="112">
        <v>28.4</v>
      </c>
      <c r="M61" s="112">
        <v>30.64</v>
      </c>
      <c r="N61" s="112">
        <v>407.5</v>
      </c>
      <c r="O61" s="112">
        <v>0</v>
      </c>
      <c r="P61" s="112">
        <v>0.71</v>
      </c>
      <c r="Q61" s="112">
        <v>4.9800000000000004</v>
      </c>
    </row>
    <row r="62" spans="1:17" customFormat="1">
      <c r="A62" s="80">
        <v>45615.5625</v>
      </c>
      <c r="B62" s="112">
        <v>5.22</v>
      </c>
      <c r="C62" s="112">
        <v>8.09</v>
      </c>
      <c r="D62" s="112">
        <v>13.98</v>
      </c>
      <c r="E62" s="112">
        <v>10.06</v>
      </c>
      <c r="F62" s="112">
        <v>11.02</v>
      </c>
      <c r="G62" s="112">
        <v>75.92</v>
      </c>
      <c r="H62" s="112">
        <v>29.4</v>
      </c>
      <c r="I62" s="112">
        <v>9.16</v>
      </c>
      <c r="J62" s="112">
        <v>0.57999999999999996</v>
      </c>
      <c r="K62" s="112">
        <v>44.39</v>
      </c>
      <c r="L62" s="112">
        <v>28.49</v>
      </c>
      <c r="M62" s="112">
        <v>30.29</v>
      </c>
      <c r="N62" s="112">
        <v>388.7</v>
      </c>
      <c r="O62" s="112">
        <v>0</v>
      </c>
      <c r="P62" s="112">
        <v>0.71</v>
      </c>
      <c r="Q62" s="112">
        <v>4.99</v>
      </c>
    </row>
    <row r="63" spans="1:17" customFormat="1">
      <c r="A63" s="80">
        <v>45615.572916666664</v>
      </c>
      <c r="B63" s="112">
        <v>5.23</v>
      </c>
      <c r="C63" s="112">
        <v>8.1</v>
      </c>
      <c r="D63" s="112">
        <v>13.99</v>
      </c>
      <c r="E63" s="112">
        <v>9.92</v>
      </c>
      <c r="F63" s="112">
        <v>10.99</v>
      </c>
      <c r="G63" s="112">
        <v>75.92</v>
      </c>
      <c r="H63" s="112">
        <v>29.4</v>
      </c>
      <c r="I63" s="112">
        <v>9.02</v>
      </c>
      <c r="J63" s="112">
        <v>0.57999999999999996</v>
      </c>
      <c r="K63" s="112">
        <v>23.12</v>
      </c>
      <c r="L63" s="112">
        <v>28.41</v>
      </c>
      <c r="M63" s="112">
        <v>30.26</v>
      </c>
      <c r="N63" s="112">
        <v>257.60000000000002</v>
      </c>
      <c r="O63" s="112">
        <v>0</v>
      </c>
      <c r="P63" s="112">
        <v>0.7</v>
      </c>
      <c r="Q63" s="112">
        <v>5</v>
      </c>
    </row>
    <row r="64" spans="1:17" customFormat="1">
      <c r="A64" s="80">
        <v>45615.583333333336</v>
      </c>
      <c r="B64" s="112">
        <v>5.22</v>
      </c>
      <c r="C64" s="112">
        <v>8.1</v>
      </c>
      <c r="D64" s="112">
        <v>13.99</v>
      </c>
      <c r="E64" s="112">
        <v>10.18</v>
      </c>
      <c r="F64" s="112">
        <v>13</v>
      </c>
      <c r="G64" s="112">
        <v>75.92</v>
      </c>
      <c r="H64" s="112">
        <v>29.4</v>
      </c>
      <c r="I64" s="112">
        <v>8.8800000000000008</v>
      </c>
      <c r="J64" s="112">
        <v>0.75</v>
      </c>
      <c r="K64" s="112">
        <v>38.76</v>
      </c>
      <c r="L64" s="112">
        <v>28</v>
      </c>
      <c r="M64" s="112">
        <v>30.05</v>
      </c>
      <c r="N64" s="112">
        <v>133.69999999999999</v>
      </c>
      <c r="O64" s="112">
        <v>0</v>
      </c>
      <c r="P64" s="112">
        <v>0.68</v>
      </c>
      <c r="Q64" s="112">
        <v>5</v>
      </c>
    </row>
    <row r="65" spans="1:17" customFormat="1">
      <c r="A65" s="80">
        <v>45615.59375</v>
      </c>
      <c r="B65" s="112">
        <v>5.23</v>
      </c>
      <c r="C65" s="112">
        <v>8.09</v>
      </c>
      <c r="D65" s="112">
        <v>13.99</v>
      </c>
      <c r="E65" s="112">
        <v>9.98</v>
      </c>
      <c r="F65" s="112">
        <v>13.86</v>
      </c>
      <c r="G65" s="112">
        <v>75.680000000000007</v>
      </c>
      <c r="H65" s="112">
        <v>29.37</v>
      </c>
      <c r="I65" s="112">
        <v>8.77</v>
      </c>
      <c r="J65" s="112">
        <v>0.48</v>
      </c>
      <c r="K65" s="112">
        <v>9.58</v>
      </c>
      <c r="L65" s="112">
        <v>28.03</v>
      </c>
      <c r="M65" s="112">
        <v>31.54</v>
      </c>
      <c r="N65" s="112">
        <v>107.8</v>
      </c>
      <c r="O65" s="112">
        <v>0</v>
      </c>
      <c r="P65" s="112">
        <v>0.68</v>
      </c>
      <c r="Q65" s="112">
        <v>4.99</v>
      </c>
    </row>
    <row r="66" spans="1:17" customFormat="1">
      <c r="A66" s="80">
        <v>45615.604166666664</v>
      </c>
      <c r="B66" s="112">
        <v>5.22</v>
      </c>
      <c r="C66" s="112">
        <v>8.09</v>
      </c>
      <c r="D66" s="112">
        <v>13.98</v>
      </c>
      <c r="E66" s="112">
        <v>10.73</v>
      </c>
      <c r="F66" s="112">
        <v>14.7</v>
      </c>
      <c r="G66" s="112">
        <v>65.14</v>
      </c>
      <c r="H66" s="112">
        <v>27.6</v>
      </c>
      <c r="I66" s="112">
        <v>8.6300000000000008</v>
      </c>
      <c r="J66" s="112">
        <v>0.7</v>
      </c>
      <c r="K66" s="112">
        <v>16.149999999999999</v>
      </c>
      <c r="L66" s="112">
        <v>27.97</v>
      </c>
      <c r="M66" s="112">
        <v>30.58</v>
      </c>
      <c r="N66" s="112">
        <v>92</v>
      </c>
      <c r="O66" s="112">
        <v>0</v>
      </c>
      <c r="P66" s="112">
        <v>0.71</v>
      </c>
      <c r="Q66" s="112">
        <v>4.97</v>
      </c>
    </row>
    <row r="67" spans="1:17" customFormat="1">
      <c r="A67" s="80">
        <v>45615.614583333336</v>
      </c>
      <c r="B67" s="112">
        <v>5.2</v>
      </c>
      <c r="C67" s="112">
        <v>8.1199999999999992</v>
      </c>
      <c r="D67" s="112">
        <v>13.98</v>
      </c>
      <c r="E67" s="112">
        <v>10.57</v>
      </c>
      <c r="F67" s="112">
        <v>13.52</v>
      </c>
      <c r="G67" s="112">
        <v>65.14</v>
      </c>
      <c r="H67" s="112">
        <v>27.6</v>
      </c>
      <c r="I67" s="112">
        <v>8.4499999999999993</v>
      </c>
      <c r="J67" s="112">
        <v>0.97</v>
      </c>
      <c r="K67" s="112">
        <v>40.92</v>
      </c>
      <c r="L67" s="112">
        <v>27.78</v>
      </c>
      <c r="M67" s="112">
        <v>29.8</v>
      </c>
      <c r="N67" s="112">
        <v>79.2</v>
      </c>
      <c r="O67" s="112">
        <v>0</v>
      </c>
      <c r="P67" s="112">
        <v>0.71</v>
      </c>
      <c r="Q67" s="112">
        <v>4.97</v>
      </c>
    </row>
    <row r="68" spans="1:17" customFormat="1">
      <c r="A68" s="80">
        <v>45615.625</v>
      </c>
      <c r="B68" s="112">
        <v>5.2</v>
      </c>
      <c r="C68" s="112">
        <v>8.1</v>
      </c>
      <c r="D68" s="112">
        <v>13.97</v>
      </c>
      <c r="E68" s="112">
        <v>9.9499999999999993</v>
      </c>
      <c r="F68" s="112">
        <v>15.7</v>
      </c>
      <c r="G68" s="112">
        <v>65.14</v>
      </c>
      <c r="H68" s="112">
        <v>27.6</v>
      </c>
      <c r="I68" s="112">
        <v>8.32</v>
      </c>
      <c r="J68" s="112">
        <v>0.77</v>
      </c>
      <c r="K68" s="112">
        <v>32.44</v>
      </c>
      <c r="L68" s="112">
        <v>27.68</v>
      </c>
      <c r="M68" s="112">
        <v>30.73</v>
      </c>
      <c r="N68" s="112">
        <v>69.599999999999994</v>
      </c>
      <c r="O68" s="112">
        <v>0</v>
      </c>
      <c r="P68" s="112">
        <v>0.69</v>
      </c>
      <c r="Q68" s="112">
        <v>4.97</v>
      </c>
    </row>
    <row r="69" spans="1:17" customFormat="1">
      <c r="A69" s="80">
        <v>45615.635416666664</v>
      </c>
      <c r="B69" s="112">
        <v>5.21</v>
      </c>
      <c r="C69" s="112">
        <v>8.08</v>
      </c>
      <c r="D69" s="112">
        <v>13.97</v>
      </c>
      <c r="E69" s="112">
        <v>10.09</v>
      </c>
      <c r="F69" s="112">
        <v>12.39</v>
      </c>
      <c r="G69" s="112">
        <v>64.98</v>
      </c>
      <c r="H69" s="112">
        <v>27.55</v>
      </c>
      <c r="I69" s="112">
        <v>8.27</v>
      </c>
      <c r="J69" s="112">
        <v>0.62</v>
      </c>
      <c r="K69" s="112">
        <v>31.75</v>
      </c>
      <c r="L69" s="112">
        <v>27.61</v>
      </c>
      <c r="M69" s="112">
        <v>31.48</v>
      </c>
      <c r="N69" s="112">
        <v>62.5</v>
      </c>
      <c r="O69" s="112">
        <v>0</v>
      </c>
      <c r="P69" s="112">
        <v>0.7</v>
      </c>
      <c r="Q69" s="112">
        <v>4.97</v>
      </c>
    </row>
    <row r="70" spans="1:17" customFormat="1">
      <c r="A70" s="80">
        <v>45615.645833333336</v>
      </c>
      <c r="B70" s="112">
        <v>5.21</v>
      </c>
      <c r="C70" s="112">
        <v>8.07</v>
      </c>
      <c r="D70" s="112">
        <v>13.96</v>
      </c>
      <c r="E70" s="112">
        <v>10.69</v>
      </c>
      <c r="F70" s="112">
        <v>15.76</v>
      </c>
      <c r="G70" s="112">
        <v>57.77</v>
      </c>
      <c r="H70" s="112">
        <v>24.43</v>
      </c>
      <c r="I70" s="112">
        <v>8.1300000000000008</v>
      </c>
      <c r="J70" s="112">
        <v>0.75</v>
      </c>
      <c r="K70" s="112">
        <v>21.82</v>
      </c>
      <c r="L70" s="112">
        <v>27.43</v>
      </c>
      <c r="M70" s="112">
        <v>32.020000000000003</v>
      </c>
      <c r="N70" s="112">
        <v>54.7</v>
      </c>
      <c r="O70" s="112">
        <v>0</v>
      </c>
      <c r="P70" s="112">
        <v>0.69</v>
      </c>
      <c r="Q70" s="112">
        <v>4.9800000000000004</v>
      </c>
    </row>
    <row r="71" spans="1:17" customFormat="1">
      <c r="A71" s="80">
        <v>45615.65625</v>
      </c>
      <c r="B71" s="112">
        <v>5.2</v>
      </c>
      <c r="C71" s="112">
        <v>8.06</v>
      </c>
      <c r="D71" s="112">
        <v>13.95</v>
      </c>
      <c r="E71" s="112">
        <v>10.97</v>
      </c>
      <c r="F71" s="112">
        <v>13.15</v>
      </c>
      <c r="G71" s="112">
        <v>57.77</v>
      </c>
      <c r="H71" s="112">
        <v>24.43</v>
      </c>
      <c r="I71" s="112">
        <v>8.07</v>
      </c>
      <c r="J71" s="112">
        <v>0.7</v>
      </c>
      <c r="K71" s="112">
        <v>30.68</v>
      </c>
      <c r="L71" s="112">
        <v>27.28</v>
      </c>
      <c r="M71" s="112">
        <v>32.549999999999997</v>
      </c>
      <c r="N71" s="112">
        <v>46.2</v>
      </c>
      <c r="O71" s="112">
        <v>0</v>
      </c>
      <c r="P71" s="112">
        <v>0.7</v>
      </c>
      <c r="Q71" s="112">
        <v>4.97</v>
      </c>
    </row>
    <row r="72" spans="1:17" customFormat="1">
      <c r="A72" s="80">
        <v>45615.666666666664</v>
      </c>
      <c r="B72" s="112">
        <v>5.19</v>
      </c>
      <c r="C72" s="112">
        <v>8.06</v>
      </c>
      <c r="D72" s="112">
        <v>13.94</v>
      </c>
      <c r="E72" s="112">
        <v>10.62</v>
      </c>
      <c r="F72" s="112">
        <v>12.08</v>
      </c>
      <c r="G72" s="112">
        <v>57.77</v>
      </c>
      <c r="H72" s="112">
        <v>24.43</v>
      </c>
      <c r="I72" s="112">
        <v>8.08</v>
      </c>
      <c r="J72" s="112">
        <v>0.51</v>
      </c>
      <c r="K72" s="112">
        <v>26.29</v>
      </c>
      <c r="L72" s="112">
        <v>27.14</v>
      </c>
      <c r="M72" s="112">
        <v>32.520000000000003</v>
      </c>
      <c r="N72" s="112">
        <v>41.2</v>
      </c>
      <c r="O72" s="112">
        <v>0</v>
      </c>
      <c r="P72" s="112">
        <v>0.69</v>
      </c>
      <c r="Q72" s="112">
        <v>4.9800000000000004</v>
      </c>
    </row>
    <row r="73" spans="1:17" customFormat="1">
      <c r="A73" s="80">
        <v>45615.677083333336</v>
      </c>
      <c r="B73" s="112">
        <v>5.17</v>
      </c>
      <c r="C73" s="112">
        <v>8.08</v>
      </c>
      <c r="D73" s="112">
        <v>13.94</v>
      </c>
      <c r="E73" s="112">
        <v>10.43</v>
      </c>
      <c r="F73" s="112">
        <v>11.51</v>
      </c>
      <c r="G73" s="112">
        <v>58.03</v>
      </c>
      <c r="H73" s="112">
        <v>24.44</v>
      </c>
      <c r="I73" s="112">
        <v>8</v>
      </c>
      <c r="J73" s="112">
        <v>0.56000000000000005</v>
      </c>
      <c r="K73" s="112">
        <v>35.619999999999997</v>
      </c>
      <c r="L73" s="112">
        <v>26.89</v>
      </c>
      <c r="M73" s="112">
        <v>33.28</v>
      </c>
      <c r="N73" s="112">
        <v>30.2</v>
      </c>
      <c r="O73" s="112">
        <v>0</v>
      </c>
      <c r="P73" s="112">
        <v>0.7</v>
      </c>
      <c r="Q73" s="112">
        <v>4.97</v>
      </c>
    </row>
    <row r="74" spans="1:17" customFormat="1">
      <c r="A74" s="80">
        <v>45615.6875</v>
      </c>
      <c r="B74" s="112">
        <v>5.17</v>
      </c>
      <c r="C74" s="112">
        <v>8.08</v>
      </c>
      <c r="D74" s="112">
        <v>13.94</v>
      </c>
      <c r="E74" s="112">
        <v>10.87</v>
      </c>
      <c r="F74" s="112">
        <v>11.37</v>
      </c>
      <c r="G74" s="112">
        <v>69.540000000000006</v>
      </c>
      <c r="H74" s="112">
        <v>25.27</v>
      </c>
      <c r="I74" s="112">
        <v>7.96</v>
      </c>
      <c r="J74" s="112">
        <v>0.44</v>
      </c>
      <c r="K74" s="112">
        <v>30.12</v>
      </c>
      <c r="L74" s="112">
        <v>26.5</v>
      </c>
      <c r="M74" s="112">
        <v>35.200000000000003</v>
      </c>
      <c r="N74" s="112">
        <v>22.7</v>
      </c>
      <c r="O74" s="112">
        <v>0</v>
      </c>
      <c r="P74" s="112">
        <v>0.71</v>
      </c>
      <c r="Q74" s="112">
        <v>4.9800000000000004</v>
      </c>
    </row>
    <row r="75" spans="1:17" customFormat="1">
      <c r="A75" s="80">
        <v>45615.697916666664</v>
      </c>
      <c r="B75" s="112">
        <v>5.17</v>
      </c>
      <c r="C75" s="112">
        <v>8.08</v>
      </c>
      <c r="D75" s="112">
        <v>13.94</v>
      </c>
      <c r="E75" s="112">
        <v>10.59</v>
      </c>
      <c r="F75" s="112">
        <v>9.2200000000000006</v>
      </c>
      <c r="G75" s="112">
        <v>69.540000000000006</v>
      </c>
      <c r="H75" s="112">
        <v>25.27</v>
      </c>
      <c r="I75" s="112">
        <v>7.99</v>
      </c>
      <c r="J75" s="112">
        <v>0.38</v>
      </c>
      <c r="K75" s="112">
        <v>41.1</v>
      </c>
      <c r="L75" s="112">
        <v>26.06</v>
      </c>
      <c r="M75" s="112">
        <v>36.93</v>
      </c>
      <c r="N75" s="112">
        <v>14</v>
      </c>
      <c r="O75" s="112">
        <v>0</v>
      </c>
      <c r="P75" s="112">
        <v>0.71</v>
      </c>
      <c r="Q75" s="112">
        <v>4.99</v>
      </c>
    </row>
    <row r="76" spans="1:17" customFormat="1">
      <c r="A76" s="80">
        <v>45615.708333333336</v>
      </c>
      <c r="B76" s="112">
        <v>5.17</v>
      </c>
      <c r="C76" s="112">
        <v>8.07</v>
      </c>
      <c r="D76" s="112">
        <v>13.93</v>
      </c>
      <c r="E76" s="112">
        <v>9.85</v>
      </c>
      <c r="F76" s="112">
        <v>6.95</v>
      </c>
      <c r="G76" s="112">
        <v>69.540000000000006</v>
      </c>
      <c r="H76" s="112">
        <v>25.27</v>
      </c>
      <c r="I76" s="112">
        <v>7.88</v>
      </c>
      <c r="J76" s="112">
        <v>0.33</v>
      </c>
      <c r="K76" s="112">
        <v>45.9</v>
      </c>
      <c r="L76" s="112">
        <v>25.57</v>
      </c>
      <c r="M76" s="112">
        <v>38.979999999999997</v>
      </c>
      <c r="N76" s="112">
        <v>7.1</v>
      </c>
      <c r="O76" s="112">
        <v>0</v>
      </c>
      <c r="P76" s="112">
        <v>0.73</v>
      </c>
      <c r="Q76" s="112">
        <v>4.99</v>
      </c>
    </row>
    <row r="77" spans="1:17" customFormat="1">
      <c r="A77" s="80">
        <v>45615.71875</v>
      </c>
      <c r="B77" s="112">
        <v>5.17</v>
      </c>
      <c r="C77" s="112">
        <v>8.09</v>
      </c>
      <c r="D77" s="112">
        <v>13.94</v>
      </c>
      <c r="E77" s="112">
        <v>9.7100000000000009</v>
      </c>
      <c r="F77" s="112">
        <v>6.24</v>
      </c>
      <c r="G77" s="112">
        <v>69.92</v>
      </c>
      <c r="H77" s="112">
        <v>25.25</v>
      </c>
      <c r="I77" s="112">
        <v>7.9</v>
      </c>
      <c r="J77" s="112">
        <v>0.23</v>
      </c>
      <c r="K77" s="112">
        <v>76.55</v>
      </c>
      <c r="L77" s="112">
        <v>24.9</v>
      </c>
      <c r="M77" s="112">
        <v>42.9</v>
      </c>
      <c r="N77" s="112">
        <v>3.2</v>
      </c>
      <c r="O77" s="112">
        <v>0</v>
      </c>
      <c r="P77" s="112">
        <v>0.75</v>
      </c>
      <c r="Q77" s="112">
        <v>4.9800000000000004</v>
      </c>
    </row>
    <row r="78" spans="1:17" customFormat="1">
      <c r="A78" s="80">
        <v>45615.729166666664</v>
      </c>
      <c r="B78" s="112">
        <v>5.18</v>
      </c>
      <c r="C78" s="112">
        <v>8.06</v>
      </c>
      <c r="D78" s="112">
        <v>13.94</v>
      </c>
      <c r="E78" s="112">
        <v>9.24</v>
      </c>
      <c r="F78" s="112">
        <v>5.96</v>
      </c>
      <c r="G78" s="112">
        <v>86.49</v>
      </c>
      <c r="H78" s="112">
        <v>23.85</v>
      </c>
      <c r="I78" s="112">
        <v>7.96</v>
      </c>
      <c r="J78" s="112">
        <v>0.31</v>
      </c>
      <c r="K78" s="112">
        <v>160.18</v>
      </c>
      <c r="L78" s="112">
        <v>24.07</v>
      </c>
      <c r="M78" s="112">
        <v>49.95</v>
      </c>
      <c r="N78" s="112">
        <v>2.4</v>
      </c>
      <c r="O78" s="112">
        <v>0</v>
      </c>
      <c r="P78" s="112">
        <v>0.75</v>
      </c>
      <c r="Q78" s="112">
        <v>4.99</v>
      </c>
    </row>
    <row r="79" spans="1:17" customFormat="1">
      <c r="A79" s="80">
        <v>45615.739583333336</v>
      </c>
      <c r="B79" s="112">
        <v>5.57</v>
      </c>
      <c r="C79" s="112">
        <v>9.1300000000000008</v>
      </c>
      <c r="D79" s="112">
        <v>14.81</v>
      </c>
      <c r="E79" s="112">
        <v>19.25</v>
      </c>
      <c r="F79" s="112">
        <v>12.43</v>
      </c>
      <c r="G79" s="112">
        <v>86.49</v>
      </c>
      <c r="H79" s="112">
        <v>23.85</v>
      </c>
      <c r="I79" s="112">
        <v>7.92</v>
      </c>
      <c r="J79" s="112">
        <v>0.3</v>
      </c>
      <c r="K79" s="112">
        <v>159.79</v>
      </c>
      <c r="L79" s="112">
        <v>23.26</v>
      </c>
      <c r="M79" s="112">
        <v>53.07</v>
      </c>
      <c r="N79" s="112">
        <v>2</v>
      </c>
      <c r="O79" s="112">
        <v>0</v>
      </c>
      <c r="P79" s="112">
        <v>0.85</v>
      </c>
      <c r="Q79" s="112">
        <v>0</v>
      </c>
    </row>
    <row r="80" spans="1:17" customFormat="1">
      <c r="A80" s="80">
        <v>45615.75</v>
      </c>
      <c r="B80" s="112">
        <v>0</v>
      </c>
      <c r="C80" s="112">
        <v>0</v>
      </c>
      <c r="D80" s="112">
        <v>0</v>
      </c>
      <c r="E80" s="112">
        <v>11.87</v>
      </c>
      <c r="F80" s="112">
        <v>12.16</v>
      </c>
      <c r="G80" s="112">
        <v>86.49</v>
      </c>
      <c r="H80" s="112">
        <v>23.85</v>
      </c>
      <c r="I80" s="112">
        <v>8.08</v>
      </c>
      <c r="J80" s="112">
        <v>0.23</v>
      </c>
      <c r="K80" s="112">
        <v>152.76</v>
      </c>
      <c r="L80" s="112">
        <v>22.91</v>
      </c>
      <c r="M80" s="112">
        <v>56.58</v>
      </c>
      <c r="N80" s="112">
        <v>1.8</v>
      </c>
      <c r="O80" s="112">
        <v>0</v>
      </c>
      <c r="P80" s="112">
        <v>0.97</v>
      </c>
      <c r="Q80" s="112">
        <v>0</v>
      </c>
    </row>
    <row r="81" spans="1:17" customFormat="1">
      <c r="A81" s="80">
        <v>45615.760416666664</v>
      </c>
      <c r="B81" s="112">
        <v>54.16</v>
      </c>
      <c r="C81" s="112">
        <v>30.24</v>
      </c>
      <c r="D81" s="112">
        <v>35.29</v>
      </c>
      <c r="E81" s="112">
        <v>6.71</v>
      </c>
      <c r="F81" s="112">
        <v>7.19</v>
      </c>
      <c r="G81" s="112">
        <v>86.85</v>
      </c>
      <c r="H81" s="112">
        <v>23.93</v>
      </c>
      <c r="I81" s="112">
        <v>8.59</v>
      </c>
      <c r="J81" s="112">
        <v>0.24</v>
      </c>
      <c r="K81" s="112">
        <v>164.27</v>
      </c>
      <c r="L81" s="112">
        <v>22.65</v>
      </c>
      <c r="M81" s="112">
        <v>54.96</v>
      </c>
      <c r="N81" s="112">
        <v>1.6</v>
      </c>
      <c r="O81" s="112">
        <v>0</v>
      </c>
      <c r="P81" s="112">
        <v>1.05</v>
      </c>
      <c r="Q81" s="112">
        <v>0</v>
      </c>
    </row>
    <row r="82" spans="1:17" customFormat="1">
      <c r="A82" s="80">
        <v>45615.770833333336</v>
      </c>
      <c r="B82" s="112">
        <v>7.3</v>
      </c>
      <c r="C82" s="112">
        <v>29.82</v>
      </c>
      <c r="D82" s="112">
        <v>22.61</v>
      </c>
      <c r="E82" s="112">
        <v>14.53</v>
      </c>
      <c r="F82" s="112">
        <v>6.79</v>
      </c>
      <c r="G82" s="112">
        <v>102.62</v>
      </c>
      <c r="H82" s="112">
        <v>26.6</v>
      </c>
      <c r="I82" s="112">
        <v>9.26</v>
      </c>
      <c r="J82" s="112">
        <v>0.21</v>
      </c>
      <c r="K82" s="112">
        <v>179.9</v>
      </c>
      <c r="L82" s="112">
        <v>22.07</v>
      </c>
      <c r="M82" s="112">
        <v>58.93</v>
      </c>
      <c r="N82" s="112">
        <v>1.7</v>
      </c>
      <c r="O82" s="112">
        <v>0</v>
      </c>
      <c r="P82" s="112">
        <v>1.07</v>
      </c>
      <c r="Q82" s="112">
        <v>5.12</v>
      </c>
    </row>
    <row r="83" spans="1:17" customFormat="1">
      <c r="A83" s="80">
        <v>45615.78125</v>
      </c>
      <c r="B83" s="112">
        <v>7.01</v>
      </c>
      <c r="C83" s="112">
        <v>39.229999999999997</v>
      </c>
      <c r="D83" s="112">
        <v>27.47</v>
      </c>
      <c r="E83" s="112">
        <v>9.61</v>
      </c>
      <c r="F83" s="112">
        <v>6.35</v>
      </c>
      <c r="G83" s="112">
        <v>102.62</v>
      </c>
      <c r="H83" s="112">
        <v>26.6</v>
      </c>
      <c r="I83" s="112">
        <v>9.9</v>
      </c>
      <c r="J83" s="112">
        <v>0.19</v>
      </c>
      <c r="K83" s="112">
        <v>165.11</v>
      </c>
      <c r="L83" s="112">
        <v>21.5</v>
      </c>
      <c r="M83" s="112">
        <v>64.209999999999994</v>
      </c>
      <c r="N83" s="112">
        <v>1.6</v>
      </c>
      <c r="O83" s="112">
        <v>0</v>
      </c>
      <c r="P83" s="112">
        <v>1.04</v>
      </c>
      <c r="Q83" s="112">
        <v>5.76</v>
      </c>
    </row>
    <row r="84" spans="1:17" customFormat="1">
      <c r="A84" s="80">
        <v>45615.791666666664</v>
      </c>
      <c r="B84" s="112">
        <v>6.17</v>
      </c>
      <c r="C84" s="112">
        <v>35.94</v>
      </c>
      <c r="D84" s="112">
        <v>25.07</v>
      </c>
      <c r="E84" s="112">
        <v>7.29</v>
      </c>
      <c r="F84" s="112">
        <v>5.88</v>
      </c>
      <c r="G84" s="112">
        <v>102.62</v>
      </c>
      <c r="H84" s="112">
        <v>26.6</v>
      </c>
      <c r="I84" s="112">
        <v>10.74</v>
      </c>
      <c r="J84" s="112">
        <v>0.2</v>
      </c>
      <c r="K84" s="112">
        <v>172.52</v>
      </c>
      <c r="L84" s="112">
        <v>21.16</v>
      </c>
      <c r="M84" s="112">
        <v>72.319999999999993</v>
      </c>
      <c r="N84" s="112">
        <v>1.7</v>
      </c>
      <c r="O84" s="112">
        <v>0</v>
      </c>
      <c r="P84" s="112">
        <v>1.04</v>
      </c>
      <c r="Q84" s="112">
        <v>5</v>
      </c>
    </row>
    <row r="85" spans="1:17" customFormat="1">
      <c r="A85" s="80">
        <v>45615.802083333336</v>
      </c>
      <c r="B85" s="112">
        <v>6.05</v>
      </c>
      <c r="C85" s="112">
        <v>32.840000000000003</v>
      </c>
      <c r="D85" s="112">
        <v>23.36</v>
      </c>
      <c r="E85" s="112">
        <v>6.73</v>
      </c>
      <c r="F85" s="112">
        <v>5.84</v>
      </c>
      <c r="G85" s="112">
        <v>102.92</v>
      </c>
      <c r="H85" s="112">
        <v>26.65</v>
      </c>
      <c r="I85" s="112">
        <v>11.04</v>
      </c>
      <c r="J85" s="112">
        <v>0.24</v>
      </c>
      <c r="K85" s="112">
        <v>168.32</v>
      </c>
      <c r="L85" s="112">
        <v>20.64</v>
      </c>
      <c r="M85" s="112">
        <v>73.760000000000005</v>
      </c>
      <c r="N85" s="112">
        <v>1.7</v>
      </c>
      <c r="O85" s="112">
        <v>0</v>
      </c>
      <c r="P85" s="112">
        <v>1.04</v>
      </c>
      <c r="Q85" s="112">
        <v>4.8099999999999996</v>
      </c>
    </row>
    <row r="86" spans="1:17" customFormat="1">
      <c r="A86" s="80">
        <v>45615.8125</v>
      </c>
      <c r="B86" s="112">
        <v>6.06</v>
      </c>
      <c r="C86" s="112">
        <v>30.45</v>
      </c>
      <c r="D86" s="112">
        <v>22.12</v>
      </c>
      <c r="E86" s="112">
        <v>6.03</v>
      </c>
      <c r="F86" s="112">
        <v>5.88</v>
      </c>
      <c r="G86" s="112">
        <v>115.99</v>
      </c>
      <c r="H86" s="112">
        <v>29.83</v>
      </c>
      <c r="I86" s="112">
        <v>11.21</v>
      </c>
      <c r="J86" s="112">
        <v>0.23</v>
      </c>
      <c r="K86" s="112">
        <v>162.97</v>
      </c>
      <c r="L86" s="112">
        <v>20.350000000000001</v>
      </c>
      <c r="M86" s="112">
        <v>73.36</v>
      </c>
      <c r="N86" s="112">
        <v>1.6</v>
      </c>
      <c r="O86" s="112">
        <v>0</v>
      </c>
      <c r="P86" s="112">
        <v>1.05</v>
      </c>
      <c r="Q86" s="112">
        <v>4.76</v>
      </c>
    </row>
    <row r="87" spans="1:17" customFormat="1">
      <c r="A87" s="80">
        <v>45615.822916666664</v>
      </c>
      <c r="B87" s="112">
        <v>6.23</v>
      </c>
      <c r="C87" s="112">
        <v>28.06</v>
      </c>
      <c r="D87" s="112">
        <v>21.01</v>
      </c>
      <c r="E87" s="112">
        <v>6.49</v>
      </c>
      <c r="F87" s="112">
        <v>5.78</v>
      </c>
      <c r="G87" s="112">
        <v>115.99</v>
      </c>
      <c r="H87" s="112">
        <v>29.83</v>
      </c>
      <c r="I87" s="112">
        <v>11.4</v>
      </c>
      <c r="J87" s="112">
        <v>0.2</v>
      </c>
      <c r="K87" s="112">
        <v>210.12</v>
      </c>
      <c r="L87" s="112">
        <v>20.079999999999998</v>
      </c>
      <c r="M87" s="112">
        <v>73.569999999999993</v>
      </c>
      <c r="N87" s="112">
        <v>1.5</v>
      </c>
      <c r="O87" s="112">
        <v>0</v>
      </c>
      <c r="P87" s="112">
        <v>1.06</v>
      </c>
      <c r="Q87" s="112">
        <v>4.75</v>
      </c>
    </row>
    <row r="88" spans="1:17" customFormat="1">
      <c r="A88" s="80">
        <v>45615.833333333336</v>
      </c>
      <c r="B88" s="112">
        <v>6.45</v>
      </c>
      <c r="C88" s="112">
        <v>26.23</v>
      </c>
      <c r="D88" s="112">
        <v>20.23</v>
      </c>
      <c r="E88" s="112">
        <v>5.98</v>
      </c>
      <c r="F88" s="112">
        <v>5.75</v>
      </c>
      <c r="G88" s="112">
        <v>115.99</v>
      </c>
      <c r="H88" s="112">
        <v>29.83</v>
      </c>
      <c r="I88" s="112">
        <v>11.59</v>
      </c>
      <c r="J88" s="112">
        <v>0.17</v>
      </c>
      <c r="K88" s="112">
        <v>174.11</v>
      </c>
      <c r="L88" s="112">
        <v>19.82</v>
      </c>
      <c r="M88" s="112">
        <v>73.47</v>
      </c>
      <c r="N88" s="112">
        <v>1.4</v>
      </c>
      <c r="O88" s="112">
        <v>0</v>
      </c>
      <c r="P88" s="112">
        <v>1.05</v>
      </c>
      <c r="Q88" s="112">
        <v>4.7300000000000004</v>
      </c>
    </row>
    <row r="89" spans="1:17" customFormat="1">
      <c r="A89" s="80">
        <v>45615.84375</v>
      </c>
      <c r="B89" s="112">
        <v>6.6</v>
      </c>
      <c r="C89" s="112">
        <v>24.52</v>
      </c>
      <c r="D89" s="112">
        <v>19.46</v>
      </c>
      <c r="E89" s="112">
        <v>6.39</v>
      </c>
      <c r="F89" s="112">
        <v>5.73</v>
      </c>
      <c r="G89" s="112">
        <v>115.77</v>
      </c>
      <c r="H89" s="112">
        <v>29.83</v>
      </c>
      <c r="I89" s="112">
        <v>11.65</v>
      </c>
      <c r="J89" s="112">
        <v>0.21</v>
      </c>
      <c r="K89" s="112">
        <v>168.48</v>
      </c>
      <c r="L89" s="112">
        <v>19.95</v>
      </c>
      <c r="M89" s="112">
        <v>76.06</v>
      </c>
      <c r="N89" s="112">
        <v>1.3</v>
      </c>
      <c r="O89" s="112">
        <v>0</v>
      </c>
      <c r="P89" s="112">
        <v>1.05</v>
      </c>
      <c r="Q89" s="112">
        <v>4.74</v>
      </c>
    </row>
    <row r="90" spans="1:17" customFormat="1">
      <c r="A90" s="80">
        <v>45615.854166666664</v>
      </c>
      <c r="B90" s="112">
        <v>7.21</v>
      </c>
      <c r="C90" s="112">
        <v>23.14</v>
      </c>
      <c r="D90" s="112">
        <v>19.22</v>
      </c>
      <c r="E90" s="112">
        <v>6.04</v>
      </c>
      <c r="F90" s="112">
        <v>5.62</v>
      </c>
      <c r="G90" s="112">
        <v>106</v>
      </c>
      <c r="H90" s="112">
        <v>29.48</v>
      </c>
      <c r="I90" s="112">
        <v>11.62</v>
      </c>
      <c r="J90" s="112">
        <v>0.16</v>
      </c>
      <c r="K90" s="112">
        <v>198.87</v>
      </c>
      <c r="L90" s="112">
        <v>19.61</v>
      </c>
      <c r="M90" s="112">
        <v>78.8</v>
      </c>
      <c r="N90" s="112">
        <v>1.5</v>
      </c>
      <c r="O90" s="112">
        <v>0</v>
      </c>
      <c r="P90" s="112">
        <v>1.05</v>
      </c>
      <c r="Q90" s="112">
        <v>4.7300000000000004</v>
      </c>
    </row>
    <row r="91" spans="1:17" customFormat="1">
      <c r="A91" s="80">
        <v>45615.864583333336</v>
      </c>
      <c r="B91" s="112">
        <v>7.04</v>
      </c>
      <c r="C91" s="112">
        <v>22.34</v>
      </c>
      <c r="D91" s="112">
        <v>18.670000000000002</v>
      </c>
      <c r="E91" s="112">
        <v>6.54</v>
      </c>
      <c r="F91" s="112">
        <v>5.69</v>
      </c>
      <c r="G91" s="112">
        <v>106</v>
      </c>
      <c r="H91" s="112">
        <v>29.48</v>
      </c>
      <c r="I91" s="112">
        <v>11.62</v>
      </c>
      <c r="J91" s="112">
        <v>0.23</v>
      </c>
      <c r="K91" s="112">
        <v>205.4</v>
      </c>
      <c r="L91" s="112">
        <v>19.48</v>
      </c>
      <c r="M91" s="112">
        <v>77.05</v>
      </c>
      <c r="N91" s="112">
        <v>1.5</v>
      </c>
      <c r="O91" s="112">
        <v>0</v>
      </c>
      <c r="P91" s="112">
        <v>1.04</v>
      </c>
      <c r="Q91" s="112">
        <v>4.74</v>
      </c>
    </row>
    <row r="92" spans="1:17" customFormat="1">
      <c r="A92" s="80">
        <v>45615.875</v>
      </c>
      <c r="B92" s="112">
        <v>6.37</v>
      </c>
      <c r="C92" s="112">
        <v>22.39</v>
      </c>
      <c r="D92" s="112">
        <v>18.16</v>
      </c>
      <c r="E92" s="112">
        <v>6.69</v>
      </c>
      <c r="F92" s="112">
        <v>5.72</v>
      </c>
      <c r="G92" s="112">
        <v>106</v>
      </c>
      <c r="H92" s="112">
        <v>29.48</v>
      </c>
      <c r="I92" s="112">
        <v>11.61</v>
      </c>
      <c r="J92" s="112">
        <v>0.17</v>
      </c>
      <c r="K92" s="112">
        <v>214.73</v>
      </c>
      <c r="L92" s="112">
        <v>19.22</v>
      </c>
      <c r="M92" s="112">
        <v>76.41</v>
      </c>
      <c r="N92" s="112">
        <v>1.5</v>
      </c>
      <c r="O92" s="112">
        <v>0</v>
      </c>
      <c r="P92" s="112">
        <v>1.03</v>
      </c>
      <c r="Q92" s="112">
        <v>4.74</v>
      </c>
    </row>
    <row r="93" spans="1:17" customFormat="1">
      <c r="A93" s="80">
        <v>45615.885416666664</v>
      </c>
      <c r="B93" s="112">
        <v>5.74</v>
      </c>
      <c r="C93" s="112">
        <v>22.26</v>
      </c>
      <c r="D93" s="112">
        <v>17.59</v>
      </c>
      <c r="E93" s="112">
        <v>6.67</v>
      </c>
      <c r="F93" s="112">
        <v>5.73</v>
      </c>
      <c r="G93" s="112">
        <v>106.03</v>
      </c>
      <c r="H93" s="112">
        <v>29.41</v>
      </c>
      <c r="I93" s="112">
        <v>11.61</v>
      </c>
      <c r="J93" s="112">
        <v>0.15</v>
      </c>
      <c r="K93" s="112">
        <v>190.36</v>
      </c>
      <c r="L93" s="112">
        <v>19.260000000000002</v>
      </c>
      <c r="M93" s="112">
        <v>75.510000000000005</v>
      </c>
      <c r="N93" s="112">
        <v>1.4</v>
      </c>
      <c r="O93" s="112">
        <v>0</v>
      </c>
      <c r="P93" s="112">
        <v>1.04</v>
      </c>
      <c r="Q93" s="112">
        <v>4.74</v>
      </c>
    </row>
    <row r="94" spans="1:17" customFormat="1">
      <c r="A94" s="80">
        <v>45615.895833333336</v>
      </c>
      <c r="B94" s="112">
        <v>5.57</v>
      </c>
      <c r="C94" s="112">
        <v>22.11</v>
      </c>
      <c r="D94" s="112">
        <v>17.37</v>
      </c>
      <c r="E94" s="112">
        <v>6.04</v>
      </c>
      <c r="F94" s="112">
        <v>5.68</v>
      </c>
      <c r="G94" s="112">
        <v>107.47</v>
      </c>
      <c r="H94" s="112">
        <v>27.34</v>
      </c>
      <c r="I94" s="112">
        <v>11.65</v>
      </c>
      <c r="J94" s="112">
        <v>0.15</v>
      </c>
      <c r="K94" s="112">
        <v>188.28</v>
      </c>
      <c r="L94" s="112">
        <v>19.14</v>
      </c>
      <c r="M94" s="112">
        <v>79.12</v>
      </c>
      <c r="N94" s="112">
        <v>1.4</v>
      </c>
      <c r="O94" s="112">
        <v>0</v>
      </c>
      <c r="P94" s="112">
        <v>1.04</v>
      </c>
      <c r="Q94" s="112">
        <v>4.72</v>
      </c>
    </row>
    <row r="95" spans="1:17" customFormat="1">
      <c r="A95" s="80">
        <v>45615.90625</v>
      </c>
      <c r="B95" s="112">
        <v>5.55</v>
      </c>
      <c r="C95" s="112">
        <v>21.69</v>
      </c>
      <c r="D95" s="112">
        <v>17.13</v>
      </c>
      <c r="E95" s="112">
        <v>6.44</v>
      </c>
      <c r="F95" s="112">
        <v>5.64</v>
      </c>
      <c r="G95" s="112">
        <v>107.47</v>
      </c>
      <c r="H95" s="112">
        <v>27.34</v>
      </c>
      <c r="I95" s="112">
        <v>11.67</v>
      </c>
      <c r="J95" s="112">
        <v>0.15</v>
      </c>
      <c r="K95" s="112">
        <v>187.48</v>
      </c>
      <c r="L95" s="112">
        <v>19.09</v>
      </c>
      <c r="M95" s="112">
        <v>75.66</v>
      </c>
      <c r="N95" s="112">
        <v>1.3</v>
      </c>
      <c r="O95" s="112">
        <v>0</v>
      </c>
      <c r="P95" s="112">
        <v>1.03</v>
      </c>
      <c r="Q95" s="112">
        <v>4.72</v>
      </c>
    </row>
    <row r="96" spans="1:17" customFormat="1">
      <c r="A96" s="80">
        <v>45615.916666666664</v>
      </c>
      <c r="B96" s="112">
        <v>5.68</v>
      </c>
      <c r="C96" s="112">
        <v>20.62</v>
      </c>
      <c r="D96" s="112">
        <v>16.68</v>
      </c>
      <c r="E96" s="112">
        <v>6.71</v>
      </c>
      <c r="F96" s="112">
        <v>5.64</v>
      </c>
      <c r="G96" s="112">
        <v>107.47</v>
      </c>
      <c r="H96" s="112">
        <v>27.34</v>
      </c>
      <c r="I96" s="112">
        <v>11.7</v>
      </c>
      <c r="J96" s="112">
        <v>0.17</v>
      </c>
      <c r="K96" s="112">
        <v>203.28</v>
      </c>
      <c r="L96" s="112">
        <v>19.12</v>
      </c>
      <c r="M96" s="112">
        <v>80.489999999999995</v>
      </c>
      <c r="N96" s="112">
        <v>1.3</v>
      </c>
      <c r="O96" s="112">
        <v>0</v>
      </c>
      <c r="P96" s="112">
        <v>1.03</v>
      </c>
      <c r="Q96" s="112">
        <v>4.74</v>
      </c>
    </row>
    <row r="97" spans="1:22" customFormat="1">
      <c r="A97" s="80">
        <v>45615.927083333336</v>
      </c>
      <c r="B97" s="112">
        <v>5.7</v>
      </c>
      <c r="C97" s="112">
        <v>19.920000000000002</v>
      </c>
      <c r="D97" s="112">
        <v>16.329999999999998</v>
      </c>
      <c r="E97" s="112">
        <v>6.43</v>
      </c>
      <c r="F97" s="112">
        <v>5.6</v>
      </c>
      <c r="G97" s="112">
        <v>107.62</v>
      </c>
      <c r="H97" s="112">
        <v>27.35</v>
      </c>
      <c r="I97" s="112">
        <v>11.67</v>
      </c>
      <c r="J97" s="112">
        <v>0.14000000000000001</v>
      </c>
      <c r="K97" s="112">
        <v>189.49</v>
      </c>
      <c r="L97" s="112">
        <v>18.64</v>
      </c>
      <c r="M97" s="112">
        <v>79.150000000000006</v>
      </c>
      <c r="N97" s="112">
        <v>1.5</v>
      </c>
      <c r="O97" s="112">
        <v>0</v>
      </c>
      <c r="P97" s="112">
        <v>1.04</v>
      </c>
      <c r="Q97" s="112">
        <v>4.7300000000000004</v>
      </c>
    </row>
    <row r="98" spans="1:22" customFormat="1">
      <c r="A98" s="80">
        <v>45615.9375</v>
      </c>
      <c r="B98" s="112">
        <v>5.63</v>
      </c>
      <c r="C98" s="112">
        <v>20.22</v>
      </c>
      <c r="D98" s="112">
        <v>16.43</v>
      </c>
      <c r="E98" s="112">
        <v>6.63</v>
      </c>
      <c r="F98" s="112">
        <v>5.67</v>
      </c>
      <c r="G98" s="112">
        <v>114.52</v>
      </c>
      <c r="H98" s="112">
        <v>27.74</v>
      </c>
      <c r="I98" s="112">
        <v>11.65</v>
      </c>
      <c r="J98" s="112">
        <v>0.13</v>
      </c>
      <c r="K98" s="112">
        <v>171.55</v>
      </c>
      <c r="L98" s="112">
        <v>18.57</v>
      </c>
      <c r="M98" s="112">
        <v>76.489999999999995</v>
      </c>
      <c r="N98" s="112">
        <v>1.4</v>
      </c>
      <c r="O98" s="112">
        <v>0</v>
      </c>
      <c r="P98" s="112">
        <v>1.03</v>
      </c>
      <c r="Q98" s="112">
        <v>4.74</v>
      </c>
    </row>
    <row r="99" spans="1:22" customFormat="1">
      <c r="A99" s="80">
        <v>45615.947916666664</v>
      </c>
      <c r="B99" s="112">
        <v>5.66</v>
      </c>
      <c r="C99" s="112">
        <v>20.149999999999999</v>
      </c>
      <c r="D99" s="112">
        <v>16.420000000000002</v>
      </c>
      <c r="E99" s="112">
        <v>6.44</v>
      </c>
      <c r="F99" s="112">
        <v>5.77</v>
      </c>
      <c r="G99" s="112">
        <v>114.52</v>
      </c>
      <c r="H99" s="112">
        <v>27.74</v>
      </c>
      <c r="I99" s="112">
        <v>11.63</v>
      </c>
      <c r="J99" s="112">
        <v>0.14000000000000001</v>
      </c>
      <c r="K99" s="112">
        <v>161.78</v>
      </c>
      <c r="L99" s="112">
        <v>18.47</v>
      </c>
      <c r="M99" s="112">
        <v>80.73</v>
      </c>
      <c r="N99" s="112">
        <v>1.3</v>
      </c>
      <c r="O99" s="112">
        <v>0</v>
      </c>
      <c r="P99" s="112">
        <v>1.03</v>
      </c>
      <c r="Q99" s="112">
        <v>4.7300000000000004</v>
      </c>
    </row>
    <row r="100" spans="1:22" customFormat="1">
      <c r="A100" s="80">
        <v>45615.958333333336</v>
      </c>
      <c r="B100" s="112">
        <v>5.88</v>
      </c>
      <c r="C100" s="112">
        <v>20</v>
      </c>
      <c r="D100" s="112">
        <v>16.510000000000002</v>
      </c>
      <c r="E100" s="112">
        <v>6.42</v>
      </c>
      <c r="F100" s="112">
        <v>5.64</v>
      </c>
      <c r="G100" s="112">
        <v>114.52</v>
      </c>
      <c r="H100" s="112">
        <v>27.74</v>
      </c>
      <c r="I100" s="112">
        <v>11.56</v>
      </c>
      <c r="J100" s="112">
        <v>0.12</v>
      </c>
      <c r="K100" s="112">
        <v>166.25</v>
      </c>
      <c r="L100" s="112">
        <v>18.38</v>
      </c>
      <c r="M100" s="112">
        <v>77.42</v>
      </c>
      <c r="N100" s="112">
        <v>1.3</v>
      </c>
      <c r="O100" s="112">
        <v>0</v>
      </c>
      <c r="P100" s="112">
        <v>1.02</v>
      </c>
      <c r="Q100" s="112">
        <v>4.7300000000000004</v>
      </c>
    </row>
    <row r="101" spans="1:22" customFormat="1">
      <c r="A101" s="80">
        <v>45615.96875</v>
      </c>
      <c r="B101" s="112">
        <v>6.79</v>
      </c>
      <c r="C101" s="112">
        <v>20.43</v>
      </c>
      <c r="D101" s="112">
        <v>17.47</v>
      </c>
      <c r="E101" s="112">
        <v>6.53</v>
      </c>
      <c r="F101" s="112">
        <v>5.43</v>
      </c>
      <c r="G101" s="112">
        <v>114.82</v>
      </c>
      <c r="H101" s="112">
        <v>27.84</v>
      </c>
      <c r="I101" s="112">
        <v>11.52</v>
      </c>
      <c r="J101" s="112">
        <v>0.17</v>
      </c>
      <c r="K101" s="112">
        <v>158.93</v>
      </c>
      <c r="L101" s="112">
        <v>18.59</v>
      </c>
      <c r="M101" s="112">
        <v>75.59</v>
      </c>
      <c r="N101" s="112">
        <v>1.2</v>
      </c>
      <c r="O101" s="112">
        <v>0</v>
      </c>
      <c r="P101" s="112">
        <v>1.02</v>
      </c>
      <c r="Q101" s="112">
        <v>4.72</v>
      </c>
    </row>
    <row r="102" spans="1:22" customFormat="1">
      <c r="A102" s="80">
        <v>45615.979166666664</v>
      </c>
      <c r="B102" s="112">
        <v>8.69</v>
      </c>
      <c r="C102" s="112">
        <v>20.96</v>
      </c>
      <c r="D102" s="112">
        <v>19.27</v>
      </c>
      <c r="E102" s="112">
        <v>7.08</v>
      </c>
      <c r="F102" s="112">
        <v>5.46</v>
      </c>
      <c r="G102" s="112">
        <v>128.12</v>
      </c>
      <c r="H102" s="112">
        <v>31.14</v>
      </c>
      <c r="I102" s="112">
        <v>11.49</v>
      </c>
      <c r="J102" s="112">
        <v>0.16</v>
      </c>
      <c r="K102" s="112">
        <v>161.62</v>
      </c>
      <c r="L102" s="112">
        <v>18.43</v>
      </c>
      <c r="M102" s="112">
        <v>78</v>
      </c>
      <c r="N102" s="112">
        <v>1.3</v>
      </c>
      <c r="O102" s="112">
        <v>0</v>
      </c>
      <c r="P102" s="112">
        <v>1.02</v>
      </c>
      <c r="Q102" s="112">
        <v>4.71</v>
      </c>
    </row>
    <row r="103" spans="1:22" customFormat="1">
      <c r="A103" s="80">
        <v>45615.989583333336</v>
      </c>
      <c r="B103" s="112">
        <v>10.33</v>
      </c>
      <c r="C103" s="112">
        <v>21.52</v>
      </c>
      <c r="D103" s="112">
        <v>20.88</v>
      </c>
      <c r="E103" s="112">
        <v>7.1</v>
      </c>
      <c r="F103" s="112">
        <v>5.49</v>
      </c>
      <c r="G103" s="112">
        <v>128.12</v>
      </c>
      <c r="H103" s="112">
        <v>31.14</v>
      </c>
      <c r="I103" s="112">
        <v>11.42</v>
      </c>
      <c r="J103" s="112">
        <v>0.11</v>
      </c>
      <c r="K103" s="112">
        <v>149.04</v>
      </c>
      <c r="L103" s="112">
        <v>18.329999999999998</v>
      </c>
      <c r="M103" s="112">
        <v>84.34</v>
      </c>
      <c r="N103" s="112">
        <v>1.3</v>
      </c>
      <c r="O103" s="112">
        <v>0</v>
      </c>
      <c r="P103" s="112">
        <v>1.02</v>
      </c>
      <c r="Q103" s="112">
        <v>4.71</v>
      </c>
    </row>
    <row r="104" spans="1:22" customFormat="1">
      <c r="A104" s="80">
        <v>45616</v>
      </c>
      <c r="B104" s="112">
        <v>11.64</v>
      </c>
      <c r="C104" s="112">
        <v>21.79</v>
      </c>
      <c r="D104" s="112">
        <v>22.07</v>
      </c>
      <c r="E104" s="112">
        <v>7.14</v>
      </c>
      <c r="F104" s="112">
        <v>5.52</v>
      </c>
      <c r="G104" s="112">
        <v>128.12</v>
      </c>
      <c r="H104" s="112">
        <v>31.14</v>
      </c>
      <c r="I104" s="112">
        <v>11.41</v>
      </c>
      <c r="J104" s="112">
        <v>0.09</v>
      </c>
      <c r="K104" s="112">
        <v>223.37</v>
      </c>
      <c r="L104" s="112">
        <v>18.16</v>
      </c>
      <c r="M104" s="112">
        <v>82.49</v>
      </c>
      <c r="N104" s="112">
        <v>1.3</v>
      </c>
      <c r="O104" s="112">
        <v>0</v>
      </c>
      <c r="P104" s="112">
        <v>1.01</v>
      </c>
      <c r="Q104" s="112">
        <v>4.72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0</v>
      </c>
      <c r="C106" s="183">
        <f>MIN(C9:C104)</f>
        <v>0</v>
      </c>
      <c r="D106" s="183">
        <f t="shared" ref="D106:Q106" si="0">MIN(D9:D104)</f>
        <v>0</v>
      </c>
      <c r="E106" s="183">
        <f t="shared" si="0"/>
        <v>5.98</v>
      </c>
      <c r="F106" s="183">
        <f t="shared" si="0"/>
        <v>5.25</v>
      </c>
      <c r="G106" s="183">
        <f t="shared" si="0"/>
        <v>57.77</v>
      </c>
      <c r="H106" s="183">
        <f t="shared" si="0"/>
        <v>23.85</v>
      </c>
      <c r="I106" s="183">
        <f t="shared" si="0"/>
        <v>7.88</v>
      </c>
      <c r="J106" s="183">
        <f t="shared" si="0"/>
        <v>0.05</v>
      </c>
      <c r="K106" s="183">
        <f t="shared" si="0"/>
        <v>7.64</v>
      </c>
      <c r="L106" s="183">
        <f t="shared" si="0"/>
        <v>15.57</v>
      </c>
      <c r="M106" s="183">
        <f t="shared" si="0"/>
        <v>29.8</v>
      </c>
      <c r="N106" s="183">
        <f t="shared" si="0"/>
        <v>1</v>
      </c>
      <c r="O106" s="183">
        <f t="shared" si="0"/>
        <v>0</v>
      </c>
      <c r="P106" s="183">
        <f t="shared" si="0"/>
        <v>0.68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54.16</v>
      </c>
      <c r="C107" s="184">
        <f t="shared" ref="C107:Q107" si="1">MAX(C9:C104)</f>
        <v>39.229999999999997</v>
      </c>
      <c r="D107" s="184">
        <f t="shared" si="1"/>
        <v>35.29</v>
      </c>
      <c r="E107" s="184">
        <f t="shared" si="1"/>
        <v>19.25</v>
      </c>
      <c r="F107" s="184">
        <f t="shared" si="1"/>
        <v>15.76</v>
      </c>
      <c r="G107" s="184">
        <f t="shared" si="1"/>
        <v>128.12</v>
      </c>
      <c r="H107" s="184">
        <f t="shared" si="1"/>
        <v>37.96</v>
      </c>
      <c r="I107" s="184">
        <f t="shared" si="1"/>
        <v>12.11</v>
      </c>
      <c r="J107" s="184">
        <f t="shared" si="1"/>
        <v>0.97</v>
      </c>
      <c r="K107" s="184">
        <f t="shared" si="1"/>
        <v>240.21</v>
      </c>
      <c r="L107" s="184">
        <f t="shared" si="1"/>
        <v>28.49</v>
      </c>
      <c r="M107" s="184">
        <f t="shared" si="1"/>
        <v>89.83</v>
      </c>
      <c r="N107" s="184">
        <f t="shared" si="1"/>
        <v>492.6</v>
      </c>
      <c r="O107" s="184">
        <f t="shared" si="1"/>
        <v>0</v>
      </c>
      <c r="P107" s="184">
        <f t="shared" si="1"/>
        <v>1.07</v>
      </c>
      <c r="Q107" s="184">
        <f t="shared" si="1"/>
        <v>5.76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6.0382291666666665</v>
      </c>
      <c r="C108" s="183">
        <f t="shared" ref="C108:Q108" si="2">AVERAGE(C9:C104)</f>
        <v>12.202395833333339</v>
      </c>
      <c r="D108" s="183">
        <f t="shared" si="2"/>
        <v>15.408125000000007</v>
      </c>
      <c r="E108" s="183">
        <f t="shared" si="2"/>
        <v>8.7477083333333354</v>
      </c>
      <c r="F108" s="183">
        <f t="shared" si="2"/>
        <v>7.321770833333332</v>
      </c>
      <c r="G108" s="183">
        <f t="shared" si="2"/>
        <v>95.545625000000086</v>
      </c>
      <c r="H108" s="183">
        <f t="shared" si="2"/>
        <v>29.915104166666662</v>
      </c>
      <c r="I108" s="183">
        <f t="shared" si="2"/>
        <v>10.368958333333332</v>
      </c>
      <c r="J108" s="183">
        <f t="shared" si="2"/>
        <v>0.3289583333333333</v>
      </c>
      <c r="K108" s="183">
        <f t="shared" si="2"/>
        <v>118.16104166666672</v>
      </c>
      <c r="L108" s="183">
        <f t="shared" si="2"/>
        <v>21.572083333333335</v>
      </c>
      <c r="M108" s="183">
        <f t="shared" si="2"/>
        <v>61.827916666666674</v>
      </c>
      <c r="N108" s="183">
        <f t="shared" si="2"/>
        <v>103.42291666666667</v>
      </c>
      <c r="O108" s="183">
        <f t="shared" si="2"/>
        <v>0</v>
      </c>
      <c r="P108" s="183">
        <f t="shared" si="2"/>
        <v>0.8633333333333334</v>
      </c>
      <c r="Q108" s="183">
        <f t="shared" si="2"/>
        <v>4.7851041666666712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5.0935329471568087</v>
      </c>
      <c r="C109" s="183">
        <f t="shared" ref="C109:Q109" si="3">STDEV(C9:C104)</f>
        <v>7.8774915516888795</v>
      </c>
      <c r="D109" s="183">
        <f t="shared" si="3"/>
        <v>3.8284951867197909</v>
      </c>
      <c r="E109" s="183">
        <f t="shared" si="3"/>
        <v>1.8425488519791784</v>
      </c>
      <c r="F109" s="183">
        <f t="shared" si="3"/>
        <v>2.8557708867232598</v>
      </c>
      <c r="G109" s="183">
        <f t="shared" si="3"/>
        <v>17.184216859633963</v>
      </c>
      <c r="H109" s="183">
        <f t="shared" si="3"/>
        <v>3.7695614696202671</v>
      </c>
      <c r="I109" s="183">
        <f t="shared" si="3"/>
        <v>1.2631751798890527</v>
      </c>
      <c r="J109" s="183">
        <f t="shared" si="3"/>
        <v>0.23644507169705306</v>
      </c>
      <c r="K109" s="183">
        <f t="shared" si="3"/>
        <v>77.027092902489585</v>
      </c>
      <c r="L109" s="183">
        <f t="shared" si="3"/>
        <v>4.4497801049553161</v>
      </c>
      <c r="M109" s="183">
        <f t="shared" si="3"/>
        <v>20.998123220229196</v>
      </c>
      <c r="N109" s="183">
        <f t="shared" si="3"/>
        <v>164.17471661178953</v>
      </c>
      <c r="O109" s="183">
        <f t="shared" si="3"/>
        <v>0</v>
      </c>
      <c r="P109" s="183">
        <f t="shared" si="3"/>
        <v>0.12319147840202858</v>
      </c>
      <c r="Q109" s="183">
        <f t="shared" si="3"/>
        <v>0.87415642920432779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45616.010416666664</v>
      </c>
      <c r="B9" s="112">
        <v>15.45</v>
      </c>
      <c r="C9" s="112">
        <v>21.96</v>
      </c>
      <c r="D9" s="112">
        <v>25.22</v>
      </c>
      <c r="E9" s="112">
        <v>7.74</v>
      </c>
      <c r="F9" s="112">
        <v>5.56</v>
      </c>
      <c r="G9" s="112">
        <v>128.08000000000001</v>
      </c>
      <c r="H9" s="112">
        <v>31.23</v>
      </c>
      <c r="I9" s="112">
        <v>11.41</v>
      </c>
      <c r="J9" s="112">
        <v>0.08</v>
      </c>
      <c r="K9" s="112">
        <v>268.52</v>
      </c>
      <c r="L9" s="112">
        <v>17.98</v>
      </c>
      <c r="M9" s="112">
        <v>81.459999999999994</v>
      </c>
      <c r="N9" s="112">
        <v>1.4</v>
      </c>
      <c r="O9" s="112">
        <v>0</v>
      </c>
      <c r="P9" s="112">
        <v>1.02</v>
      </c>
      <c r="Q9" s="112">
        <v>4.7300000000000004</v>
      </c>
    </row>
    <row r="10" spans="1:21" customFormat="1">
      <c r="A10" s="80">
        <v>45616.020833333336</v>
      </c>
      <c r="B10" s="112">
        <v>17.45</v>
      </c>
      <c r="C10" s="112">
        <v>22.33</v>
      </c>
      <c r="D10" s="112">
        <v>27.01</v>
      </c>
      <c r="E10" s="112">
        <v>7.44</v>
      </c>
      <c r="F10" s="112">
        <v>5.58</v>
      </c>
      <c r="G10" s="112">
        <v>126.49</v>
      </c>
      <c r="H10" s="112">
        <v>34.15</v>
      </c>
      <c r="I10" s="112">
        <v>11.41</v>
      </c>
      <c r="J10" s="112">
        <v>0.1</v>
      </c>
      <c r="K10" s="112">
        <v>157.13999999999999</v>
      </c>
      <c r="L10" s="112">
        <v>18.079999999999998</v>
      </c>
      <c r="M10" s="112">
        <v>77.010000000000005</v>
      </c>
      <c r="N10" s="112">
        <v>1.2</v>
      </c>
      <c r="O10" s="112">
        <v>0</v>
      </c>
      <c r="P10" s="112">
        <v>1.03</v>
      </c>
      <c r="Q10" s="112">
        <v>4.74</v>
      </c>
    </row>
    <row r="11" spans="1:21" customFormat="1">
      <c r="A11" s="80">
        <v>45616.03125</v>
      </c>
      <c r="B11" s="112">
        <v>18.670000000000002</v>
      </c>
      <c r="C11" s="112">
        <v>22.47</v>
      </c>
      <c r="D11" s="112">
        <v>28.06</v>
      </c>
      <c r="E11" s="112">
        <v>7.07</v>
      </c>
      <c r="F11" s="112">
        <v>5.55</v>
      </c>
      <c r="G11" s="112">
        <v>126.49</v>
      </c>
      <c r="H11" s="112">
        <v>34.15</v>
      </c>
      <c r="I11" s="112">
        <v>11.48</v>
      </c>
      <c r="J11" s="112">
        <v>0.17</v>
      </c>
      <c r="K11" s="112">
        <v>54.29</v>
      </c>
      <c r="L11" s="112">
        <v>18.22</v>
      </c>
      <c r="M11" s="112">
        <v>73.73</v>
      </c>
      <c r="N11" s="112">
        <v>1.1000000000000001</v>
      </c>
      <c r="O11" s="112">
        <v>0</v>
      </c>
      <c r="P11" s="112">
        <v>1.02</v>
      </c>
      <c r="Q11" s="112">
        <v>4.72</v>
      </c>
    </row>
    <row r="12" spans="1:21" customFormat="1">
      <c r="A12" s="80">
        <v>45616.041666666664</v>
      </c>
      <c r="B12" s="112">
        <v>19.010000000000002</v>
      </c>
      <c r="C12" s="112">
        <v>22.33</v>
      </c>
      <c r="D12" s="112">
        <v>28.26</v>
      </c>
      <c r="E12" s="112">
        <v>7.26</v>
      </c>
      <c r="F12" s="112">
        <v>5.64</v>
      </c>
      <c r="G12" s="112">
        <v>126.49</v>
      </c>
      <c r="H12" s="112">
        <v>34.15</v>
      </c>
      <c r="I12" s="112">
        <v>11.56</v>
      </c>
      <c r="J12" s="112">
        <v>0.41</v>
      </c>
      <c r="K12" s="112">
        <v>44.91</v>
      </c>
      <c r="L12" s="112">
        <v>18.48</v>
      </c>
      <c r="M12" s="112">
        <v>70.81</v>
      </c>
      <c r="N12" s="112">
        <v>1</v>
      </c>
      <c r="O12" s="112">
        <v>0</v>
      </c>
      <c r="P12" s="112">
        <v>1.02</v>
      </c>
      <c r="Q12" s="112">
        <v>4.72</v>
      </c>
    </row>
    <row r="13" spans="1:21" customFormat="1">
      <c r="A13" s="80">
        <v>45616.052083333336</v>
      </c>
      <c r="B13" s="112">
        <v>18.86</v>
      </c>
      <c r="C13" s="112">
        <v>22.37</v>
      </c>
      <c r="D13" s="112">
        <v>28.16</v>
      </c>
      <c r="E13" s="112">
        <v>7.06</v>
      </c>
      <c r="F13" s="112">
        <v>5.7</v>
      </c>
      <c r="G13" s="112">
        <v>126.37</v>
      </c>
      <c r="H13" s="112">
        <v>34.159999999999997</v>
      </c>
      <c r="I13" s="112">
        <v>11.59</v>
      </c>
      <c r="J13" s="112">
        <v>0.21</v>
      </c>
      <c r="K13" s="112">
        <v>35.92</v>
      </c>
      <c r="L13" s="112">
        <v>18.510000000000002</v>
      </c>
      <c r="M13" s="112">
        <v>70.569999999999993</v>
      </c>
      <c r="N13" s="112">
        <v>1.2</v>
      </c>
      <c r="O13" s="112">
        <v>0</v>
      </c>
      <c r="P13" s="112">
        <v>1.02</v>
      </c>
      <c r="Q13" s="112">
        <v>4.71</v>
      </c>
    </row>
    <row r="14" spans="1:21" customFormat="1">
      <c r="A14" s="80">
        <v>45616.0625</v>
      </c>
      <c r="B14" s="112">
        <v>18.649999999999999</v>
      </c>
      <c r="C14" s="112">
        <v>22.56</v>
      </c>
      <c r="D14" s="112">
        <v>28.1</v>
      </c>
      <c r="E14" s="112">
        <v>7.42</v>
      </c>
      <c r="F14" s="112">
        <v>5.48</v>
      </c>
      <c r="G14" s="112">
        <v>121.3</v>
      </c>
      <c r="H14" s="112">
        <v>34.47</v>
      </c>
      <c r="I14" s="112">
        <v>11.86</v>
      </c>
      <c r="J14" s="112">
        <v>0.15</v>
      </c>
      <c r="K14" s="112">
        <v>136.16</v>
      </c>
      <c r="L14" s="112">
        <v>18.25</v>
      </c>
      <c r="M14" s="112">
        <v>73.83</v>
      </c>
      <c r="N14" s="112">
        <v>1.7</v>
      </c>
      <c r="O14" s="112">
        <v>0</v>
      </c>
      <c r="P14" s="112">
        <v>1.04</v>
      </c>
      <c r="Q14" s="112">
        <v>4.72</v>
      </c>
    </row>
    <row r="15" spans="1:21" customFormat="1">
      <c r="A15" s="80">
        <v>45616.072916666664</v>
      </c>
      <c r="B15" s="112">
        <v>18.329999999999998</v>
      </c>
      <c r="C15" s="112">
        <v>22.12</v>
      </c>
      <c r="D15" s="112">
        <v>27.61</v>
      </c>
      <c r="E15" s="112">
        <v>7.54</v>
      </c>
      <c r="F15" s="112">
        <v>5.54</v>
      </c>
      <c r="G15" s="112">
        <v>121.3</v>
      </c>
      <c r="H15" s="112">
        <v>34.47</v>
      </c>
      <c r="I15" s="112">
        <v>12.33</v>
      </c>
      <c r="J15" s="112">
        <v>0.18</v>
      </c>
      <c r="K15" s="112">
        <v>202.44</v>
      </c>
      <c r="L15" s="112">
        <v>17.73</v>
      </c>
      <c r="M15" s="112">
        <v>76.459999999999994</v>
      </c>
      <c r="N15" s="112">
        <v>1.7</v>
      </c>
      <c r="O15" s="112">
        <v>0</v>
      </c>
      <c r="P15" s="112">
        <v>1.03</v>
      </c>
      <c r="Q15" s="112">
        <v>4.72</v>
      </c>
    </row>
    <row r="16" spans="1:21" customFormat="1">
      <c r="A16" s="80">
        <v>45616.083333333336</v>
      </c>
      <c r="B16" s="112">
        <v>17.79</v>
      </c>
      <c r="C16" s="112">
        <v>21.77</v>
      </c>
      <c r="D16" s="112">
        <v>26.99</v>
      </c>
      <c r="E16" s="112">
        <v>7.52</v>
      </c>
      <c r="F16" s="112">
        <v>5.58</v>
      </c>
      <c r="G16" s="112">
        <v>121.3</v>
      </c>
      <c r="H16" s="112">
        <v>34.47</v>
      </c>
      <c r="I16" s="112">
        <v>12.75</v>
      </c>
      <c r="J16" s="112">
        <v>0.13</v>
      </c>
      <c r="K16" s="112">
        <v>240.88</v>
      </c>
      <c r="L16" s="112">
        <v>17.13</v>
      </c>
      <c r="M16" s="112">
        <v>80.84</v>
      </c>
      <c r="N16" s="112">
        <v>1.8</v>
      </c>
      <c r="O16" s="112">
        <v>0</v>
      </c>
      <c r="P16" s="112">
        <v>1.03</v>
      </c>
      <c r="Q16" s="112">
        <v>4.74</v>
      </c>
    </row>
    <row r="17" spans="1:17" customFormat="1">
      <c r="A17" s="80">
        <v>45616.09375</v>
      </c>
      <c r="B17" s="112">
        <v>17.03</v>
      </c>
      <c r="C17" s="112">
        <v>21.42</v>
      </c>
      <c r="D17" s="112">
        <v>26.2</v>
      </c>
      <c r="E17" s="112">
        <v>9.1999999999999993</v>
      </c>
      <c r="F17" s="112">
        <v>5.6</v>
      </c>
      <c r="G17" s="112">
        <v>121.16</v>
      </c>
      <c r="H17" s="112">
        <v>34.49</v>
      </c>
      <c r="I17" s="112">
        <v>13.11</v>
      </c>
      <c r="J17" s="112">
        <v>0.1</v>
      </c>
      <c r="K17" s="112">
        <v>203.98</v>
      </c>
      <c r="L17" s="112">
        <v>16.75</v>
      </c>
      <c r="M17" s="112">
        <v>83.49</v>
      </c>
      <c r="N17" s="112">
        <v>1.6</v>
      </c>
      <c r="O17" s="112">
        <v>0</v>
      </c>
      <c r="P17" s="112">
        <v>1.03</v>
      </c>
      <c r="Q17" s="112">
        <v>4.74</v>
      </c>
    </row>
    <row r="18" spans="1:17" customFormat="1">
      <c r="A18" s="80">
        <v>45616.104166666664</v>
      </c>
      <c r="B18" s="112">
        <v>16.34</v>
      </c>
      <c r="C18" s="112">
        <v>21.09</v>
      </c>
      <c r="D18" s="112">
        <v>25.47</v>
      </c>
      <c r="E18" s="112">
        <v>10.51</v>
      </c>
      <c r="F18" s="112">
        <v>5.57</v>
      </c>
      <c r="G18" s="112">
        <v>114.87</v>
      </c>
      <c r="H18" s="112">
        <v>36.33</v>
      </c>
      <c r="I18" s="112">
        <v>13.39</v>
      </c>
      <c r="J18" s="112">
        <v>0.08</v>
      </c>
      <c r="K18" s="112">
        <v>171.85</v>
      </c>
      <c r="L18" s="112">
        <v>16.690000000000001</v>
      </c>
      <c r="M18" s="112">
        <v>86.06</v>
      </c>
      <c r="N18" s="112">
        <v>1.4</v>
      </c>
      <c r="O18" s="112">
        <v>0</v>
      </c>
      <c r="P18" s="112">
        <v>1.02</v>
      </c>
      <c r="Q18" s="112">
        <v>4.7300000000000004</v>
      </c>
    </row>
    <row r="19" spans="1:17" customFormat="1">
      <c r="A19" s="80">
        <v>45616.114583333336</v>
      </c>
      <c r="B19" s="112">
        <v>15.95</v>
      </c>
      <c r="C19" s="112">
        <v>20.18</v>
      </c>
      <c r="D19" s="112">
        <v>24.68</v>
      </c>
      <c r="E19" s="112">
        <v>10.44</v>
      </c>
      <c r="F19" s="112">
        <v>5.61</v>
      </c>
      <c r="G19" s="112">
        <v>114.87</v>
      </c>
      <c r="H19" s="112">
        <v>36.33</v>
      </c>
      <c r="I19" s="112">
        <v>13.67</v>
      </c>
      <c r="J19" s="112">
        <v>0.14000000000000001</v>
      </c>
      <c r="K19" s="112">
        <v>160.63999999999999</v>
      </c>
      <c r="L19" s="112">
        <v>16.71</v>
      </c>
      <c r="M19" s="112">
        <v>87.47</v>
      </c>
      <c r="N19" s="112">
        <v>1.3</v>
      </c>
      <c r="O19" s="112">
        <v>0</v>
      </c>
      <c r="P19" s="112">
        <v>1.01</v>
      </c>
      <c r="Q19" s="112">
        <v>4.72</v>
      </c>
    </row>
    <row r="20" spans="1:17" customFormat="1">
      <c r="A20" s="80">
        <v>45616.125</v>
      </c>
      <c r="B20" s="112">
        <v>15.98</v>
      </c>
      <c r="C20" s="112">
        <v>20.66</v>
      </c>
      <c r="D20" s="112">
        <v>24.96</v>
      </c>
      <c r="E20" s="112">
        <v>10.34</v>
      </c>
      <c r="F20" s="112">
        <v>5.36</v>
      </c>
      <c r="G20" s="112">
        <v>114.87</v>
      </c>
      <c r="H20" s="112">
        <v>36.33</v>
      </c>
      <c r="I20" s="112">
        <v>13.96</v>
      </c>
      <c r="J20" s="112">
        <v>0.12</v>
      </c>
      <c r="K20" s="112">
        <v>182.07</v>
      </c>
      <c r="L20" s="112">
        <v>16.760000000000002</v>
      </c>
      <c r="M20" s="112">
        <v>86.57</v>
      </c>
      <c r="N20" s="112">
        <v>1.2</v>
      </c>
      <c r="O20" s="112">
        <v>0</v>
      </c>
      <c r="P20" s="112">
        <v>1.04</v>
      </c>
      <c r="Q20" s="112">
        <v>4.74</v>
      </c>
    </row>
    <row r="21" spans="1:17" customFormat="1">
      <c r="A21" s="80">
        <v>45616.135416666664</v>
      </c>
      <c r="B21" s="112">
        <v>17.420000000000002</v>
      </c>
      <c r="C21" s="112">
        <v>20.8</v>
      </c>
      <c r="D21" s="112">
        <v>26.19</v>
      </c>
      <c r="E21" s="112">
        <v>10</v>
      </c>
      <c r="F21" s="112">
        <v>5.42</v>
      </c>
      <c r="G21" s="112">
        <v>114.65</v>
      </c>
      <c r="H21" s="112">
        <v>36.28</v>
      </c>
      <c r="I21" s="112">
        <v>14.35</v>
      </c>
      <c r="J21" s="112">
        <v>0.16</v>
      </c>
      <c r="K21" s="112">
        <v>160.88999999999999</v>
      </c>
      <c r="L21" s="112">
        <v>16.73</v>
      </c>
      <c r="M21" s="112">
        <v>86.08</v>
      </c>
      <c r="N21" s="112">
        <v>1.3</v>
      </c>
      <c r="O21" s="112">
        <v>0</v>
      </c>
      <c r="P21" s="112">
        <v>1.05</v>
      </c>
      <c r="Q21" s="112">
        <v>4.75</v>
      </c>
    </row>
    <row r="22" spans="1:17" customFormat="1">
      <c r="A22" s="80">
        <v>45616.145833333336</v>
      </c>
      <c r="B22" s="112">
        <v>18.41</v>
      </c>
      <c r="C22" s="112">
        <v>21.14</v>
      </c>
      <c r="D22" s="112">
        <v>27.16</v>
      </c>
      <c r="E22" s="112">
        <v>10.11</v>
      </c>
      <c r="F22" s="112">
        <v>5.35</v>
      </c>
      <c r="G22" s="112">
        <v>105.06</v>
      </c>
      <c r="H22" s="112">
        <v>33.479999999999997</v>
      </c>
      <c r="I22" s="112">
        <v>14.72</v>
      </c>
      <c r="J22" s="112">
        <v>0.14000000000000001</v>
      </c>
      <c r="K22" s="112">
        <v>160.93</v>
      </c>
      <c r="L22" s="112">
        <v>16.71</v>
      </c>
      <c r="M22" s="112">
        <v>88.82</v>
      </c>
      <c r="N22" s="112">
        <v>1.3</v>
      </c>
      <c r="O22" s="112">
        <v>0</v>
      </c>
      <c r="P22" s="112">
        <v>1.05</v>
      </c>
      <c r="Q22" s="112">
        <v>4.75</v>
      </c>
    </row>
    <row r="23" spans="1:17" customFormat="1">
      <c r="A23" s="80">
        <v>45616.15625</v>
      </c>
      <c r="B23" s="112">
        <v>18.38</v>
      </c>
      <c r="C23" s="112">
        <v>21.15</v>
      </c>
      <c r="D23" s="112">
        <v>27.14</v>
      </c>
      <c r="E23" s="112">
        <v>10.16</v>
      </c>
      <c r="F23" s="112">
        <v>5.34</v>
      </c>
      <c r="G23" s="112">
        <v>105.06</v>
      </c>
      <c r="H23" s="112">
        <v>33.479999999999997</v>
      </c>
      <c r="I23" s="112">
        <v>15.01</v>
      </c>
      <c r="J23" s="112">
        <v>0.15</v>
      </c>
      <c r="K23" s="112">
        <v>143.54</v>
      </c>
      <c r="L23" s="112">
        <v>16.61</v>
      </c>
      <c r="M23" s="112">
        <v>87.44</v>
      </c>
      <c r="N23" s="112">
        <v>1.3</v>
      </c>
      <c r="O23" s="112">
        <v>0</v>
      </c>
      <c r="P23" s="112">
        <v>1.05</v>
      </c>
      <c r="Q23" s="112">
        <v>4.74</v>
      </c>
    </row>
    <row r="24" spans="1:17" customFormat="1">
      <c r="A24" s="80">
        <v>45616.166666666664</v>
      </c>
      <c r="B24" s="112">
        <v>18.89</v>
      </c>
      <c r="C24" s="112">
        <v>21</v>
      </c>
      <c r="D24" s="112">
        <v>27.47</v>
      </c>
      <c r="E24" s="112">
        <v>10.38</v>
      </c>
      <c r="F24" s="112">
        <v>5.33</v>
      </c>
      <c r="G24" s="112">
        <v>105.06</v>
      </c>
      <c r="H24" s="112">
        <v>33.479999999999997</v>
      </c>
      <c r="I24" s="112">
        <v>15.21</v>
      </c>
      <c r="J24" s="112">
        <v>0.13</v>
      </c>
      <c r="K24" s="112">
        <v>133.5</v>
      </c>
      <c r="L24" s="112">
        <v>16.71</v>
      </c>
      <c r="M24" s="112">
        <v>83.35</v>
      </c>
      <c r="N24" s="112">
        <v>1.3</v>
      </c>
      <c r="O24" s="112">
        <v>0</v>
      </c>
      <c r="P24" s="112">
        <v>1.05</v>
      </c>
      <c r="Q24" s="112">
        <v>4.7300000000000004</v>
      </c>
    </row>
    <row r="25" spans="1:17" customFormat="1">
      <c r="A25" s="80">
        <v>45616.177083333336</v>
      </c>
      <c r="B25" s="112">
        <v>20.07</v>
      </c>
      <c r="C25" s="112">
        <v>21.32</v>
      </c>
      <c r="D25" s="112">
        <v>28.59</v>
      </c>
      <c r="E25" s="112">
        <v>9.99</v>
      </c>
      <c r="F25" s="112">
        <v>5.51</v>
      </c>
      <c r="G25" s="112">
        <v>105.02</v>
      </c>
      <c r="H25" s="112">
        <v>33.49</v>
      </c>
      <c r="I25" s="112">
        <v>15.34</v>
      </c>
      <c r="J25" s="112">
        <v>0.13</v>
      </c>
      <c r="K25" s="112">
        <v>153.30000000000001</v>
      </c>
      <c r="L25" s="112">
        <v>16.690000000000001</v>
      </c>
      <c r="M25" s="112">
        <v>83.09</v>
      </c>
      <c r="N25" s="112">
        <v>1.4</v>
      </c>
      <c r="O25" s="112">
        <v>0</v>
      </c>
      <c r="P25" s="112">
        <v>1.04</v>
      </c>
      <c r="Q25" s="112">
        <v>4.7300000000000004</v>
      </c>
    </row>
    <row r="26" spans="1:17" customFormat="1">
      <c r="A26" s="80">
        <v>45616.1875</v>
      </c>
      <c r="B26" s="112">
        <v>20.98</v>
      </c>
      <c r="C26" s="112">
        <v>21.63</v>
      </c>
      <c r="D26" s="112">
        <v>29.48</v>
      </c>
      <c r="E26" s="112">
        <v>10.220000000000001</v>
      </c>
      <c r="F26" s="112">
        <v>5.36</v>
      </c>
      <c r="G26" s="112">
        <v>103.14</v>
      </c>
      <c r="H26" s="112">
        <v>34.200000000000003</v>
      </c>
      <c r="I26" s="112">
        <v>15.38</v>
      </c>
      <c r="J26" s="112">
        <v>0.03</v>
      </c>
      <c r="K26" s="112">
        <v>103.89</v>
      </c>
      <c r="L26" s="112">
        <v>16.75</v>
      </c>
      <c r="M26" s="112">
        <v>82.28</v>
      </c>
      <c r="N26" s="112">
        <v>1.2</v>
      </c>
      <c r="O26" s="112">
        <v>0</v>
      </c>
      <c r="P26" s="112">
        <v>1.03</v>
      </c>
      <c r="Q26" s="112">
        <v>4.74</v>
      </c>
    </row>
    <row r="27" spans="1:17" customFormat="1">
      <c r="A27" s="80">
        <v>45616.197916666664</v>
      </c>
      <c r="B27" s="112">
        <v>21.48</v>
      </c>
      <c r="C27" s="112">
        <v>21.68</v>
      </c>
      <c r="D27" s="112">
        <v>29.9</v>
      </c>
      <c r="E27" s="112">
        <v>10.47</v>
      </c>
      <c r="F27" s="112">
        <v>5.3</v>
      </c>
      <c r="G27" s="112">
        <v>103.14</v>
      </c>
      <c r="H27" s="112">
        <v>34.200000000000003</v>
      </c>
      <c r="I27" s="112">
        <v>15.39</v>
      </c>
      <c r="J27" s="112">
        <v>0.18</v>
      </c>
      <c r="K27" s="112">
        <v>51.3</v>
      </c>
      <c r="L27" s="112">
        <v>16.79</v>
      </c>
      <c r="M27" s="112">
        <v>81.739999999999995</v>
      </c>
      <c r="N27" s="112">
        <v>1</v>
      </c>
      <c r="O27" s="112">
        <v>0</v>
      </c>
      <c r="P27" s="112">
        <v>1.02</v>
      </c>
      <c r="Q27" s="112">
        <v>4.74</v>
      </c>
    </row>
    <row r="28" spans="1:17" customFormat="1">
      <c r="A28" s="80">
        <v>45616.208333333336</v>
      </c>
      <c r="B28" s="112">
        <v>21.76</v>
      </c>
      <c r="C28" s="112">
        <v>21.75</v>
      </c>
      <c r="D28" s="112">
        <v>30.16</v>
      </c>
      <c r="E28" s="112">
        <v>10.46</v>
      </c>
      <c r="F28" s="112">
        <v>5.3</v>
      </c>
      <c r="G28" s="112">
        <v>103.14</v>
      </c>
      <c r="H28" s="112">
        <v>34.200000000000003</v>
      </c>
      <c r="I28" s="112">
        <v>15.31</v>
      </c>
      <c r="J28" s="112">
        <v>0.25</v>
      </c>
      <c r="K28" s="112">
        <v>48.66</v>
      </c>
      <c r="L28" s="112">
        <v>16.84</v>
      </c>
      <c r="M28" s="112">
        <v>81.430000000000007</v>
      </c>
      <c r="N28" s="112">
        <v>1.1000000000000001</v>
      </c>
      <c r="O28" s="112">
        <v>0</v>
      </c>
      <c r="P28" s="112">
        <v>1.02</v>
      </c>
      <c r="Q28" s="112">
        <v>4.75</v>
      </c>
    </row>
    <row r="29" spans="1:17" customFormat="1">
      <c r="A29" s="80">
        <v>45616.21875</v>
      </c>
      <c r="B29" s="112">
        <v>21.8</v>
      </c>
      <c r="C29" s="112">
        <v>21.86</v>
      </c>
      <c r="D29" s="112">
        <v>30.25</v>
      </c>
      <c r="E29" s="112">
        <v>10.23</v>
      </c>
      <c r="F29" s="112">
        <v>5.23</v>
      </c>
      <c r="G29" s="112">
        <v>103.21</v>
      </c>
      <c r="H29" s="112">
        <v>34.26</v>
      </c>
      <c r="I29" s="112">
        <v>15.19</v>
      </c>
      <c r="J29" s="112">
        <v>0.25</v>
      </c>
      <c r="K29" s="112">
        <v>39.21</v>
      </c>
      <c r="L29" s="112">
        <v>16.79</v>
      </c>
      <c r="M29" s="112">
        <v>82.06</v>
      </c>
      <c r="N29" s="112">
        <v>1.2</v>
      </c>
      <c r="O29" s="112">
        <v>0</v>
      </c>
      <c r="P29" s="112">
        <v>1.02</v>
      </c>
      <c r="Q29" s="112">
        <v>4.74</v>
      </c>
    </row>
    <row r="30" spans="1:17" customFormat="1">
      <c r="A30" s="80">
        <v>45616.229166666664</v>
      </c>
      <c r="B30" s="112">
        <v>22.06</v>
      </c>
      <c r="C30" s="112">
        <v>21.65</v>
      </c>
      <c r="D30" s="112">
        <v>30.36</v>
      </c>
      <c r="E30" s="112">
        <v>10.68</v>
      </c>
      <c r="F30" s="112">
        <v>5.35</v>
      </c>
      <c r="G30" s="112">
        <v>106.22</v>
      </c>
      <c r="H30" s="112">
        <v>38.49</v>
      </c>
      <c r="I30" s="112">
        <v>15.08</v>
      </c>
      <c r="J30" s="112">
        <v>0.32</v>
      </c>
      <c r="K30" s="112">
        <v>31.12</v>
      </c>
      <c r="L30" s="112">
        <v>16.760000000000002</v>
      </c>
      <c r="M30" s="112">
        <v>81.849999999999994</v>
      </c>
      <c r="N30" s="112">
        <v>1.3</v>
      </c>
      <c r="O30" s="112">
        <v>0</v>
      </c>
      <c r="P30" s="112">
        <v>1.02</v>
      </c>
      <c r="Q30" s="112">
        <v>4.7300000000000004</v>
      </c>
    </row>
    <row r="31" spans="1:17" customFormat="1">
      <c r="A31" s="80">
        <v>45616.239583333336</v>
      </c>
      <c r="B31" s="112">
        <v>22.11</v>
      </c>
      <c r="C31" s="112">
        <v>21.71</v>
      </c>
      <c r="D31" s="112">
        <v>30.42</v>
      </c>
      <c r="E31" s="112">
        <v>10.44</v>
      </c>
      <c r="F31" s="112">
        <v>5.36</v>
      </c>
      <c r="G31" s="112">
        <v>106.22</v>
      </c>
      <c r="H31" s="112">
        <v>38.49</v>
      </c>
      <c r="I31" s="112">
        <v>15</v>
      </c>
      <c r="J31" s="112">
        <v>0.28999999999999998</v>
      </c>
      <c r="K31" s="112">
        <v>21.83</v>
      </c>
      <c r="L31" s="112">
        <v>16.61</v>
      </c>
      <c r="M31" s="112">
        <v>82.14</v>
      </c>
      <c r="N31" s="112">
        <v>1.4</v>
      </c>
      <c r="O31" s="112">
        <v>0</v>
      </c>
      <c r="P31" s="112">
        <v>1.02</v>
      </c>
      <c r="Q31" s="112">
        <v>4.75</v>
      </c>
    </row>
    <row r="32" spans="1:17" customFormat="1">
      <c r="A32" s="80">
        <v>45616.25</v>
      </c>
      <c r="B32" s="112">
        <v>21.9</v>
      </c>
      <c r="C32" s="112">
        <v>21.87</v>
      </c>
      <c r="D32" s="112">
        <v>30.34</v>
      </c>
      <c r="E32" s="112">
        <v>9.9700000000000006</v>
      </c>
      <c r="F32" s="112">
        <v>5.33</v>
      </c>
      <c r="G32" s="112">
        <v>106.22</v>
      </c>
      <c r="H32" s="112">
        <v>38.49</v>
      </c>
      <c r="I32" s="112">
        <v>14.89</v>
      </c>
      <c r="J32" s="112">
        <v>0.3</v>
      </c>
      <c r="K32" s="112">
        <v>31.82</v>
      </c>
      <c r="L32" s="112">
        <v>16.5</v>
      </c>
      <c r="M32" s="112">
        <v>82.59</v>
      </c>
      <c r="N32" s="112">
        <v>2</v>
      </c>
      <c r="O32" s="112">
        <v>0</v>
      </c>
      <c r="P32" s="112">
        <v>1.02</v>
      </c>
      <c r="Q32" s="112">
        <v>4.74</v>
      </c>
    </row>
    <row r="33" spans="1:17" customFormat="1">
      <c r="A33" s="80">
        <v>45616.260416666664</v>
      </c>
      <c r="B33" s="112">
        <v>21.75</v>
      </c>
      <c r="C33" s="112">
        <v>21.78</v>
      </c>
      <c r="D33" s="112">
        <v>30.17</v>
      </c>
      <c r="E33" s="112">
        <v>10.49</v>
      </c>
      <c r="F33" s="112">
        <v>5.47</v>
      </c>
      <c r="G33" s="112">
        <v>106.36</v>
      </c>
      <c r="H33" s="112">
        <v>38.479999999999997</v>
      </c>
      <c r="I33" s="112">
        <v>14.7</v>
      </c>
      <c r="J33" s="112">
        <v>0.28999999999999998</v>
      </c>
      <c r="K33" s="112">
        <v>35.46</v>
      </c>
      <c r="L33" s="112">
        <v>16.5</v>
      </c>
      <c r="M33" s="112">
        <v>82.42</v>
      </c>
      <c r="N33" s="112">
        <v>4.7</v>
      </c>
      <c r="O33" s="112">
        <v>0</v>
      </c>
      <c r="P33" s="112">
        <v>1.02</v>
      </c>
      <c r="Q33" s="112">
        <v>4.75</v>
      </c>
    </row>
    <row r="34" spans="1:17" customFormat="1">
      <c r="A34" s="80">
        <v>45616.270833333336</v>
      </c>
      <c r="B34" s="112">
        <v>21.74</v>
      </c>
      <c r="C34" s="112">
        <v>21.95</v>
      </c>
      <c r="D34" s="112">
        <v>30.25</v>
      </c>
      <c r="E34" s="112">
        <v>10.14</v>
      </c>
      <c r="F34" s="112">
        <v>5.37</v>
      </c>
      <c r="G34" s="112">
        <v>112.17</v>
      </c>
      <c r="H34" s="112">
        <v>38.4</v>
      </c>
      <c r="I34" s="112">
        <v>14.51</v>
      </c>
      <c r="J34" s="112">
        <v>0.32</v>
      </c>
      <c r="K34" s="112">
        <v>40.479999999999997</v>
      </c>
      <c r="L34" s="112">
        <v>16.600000000000001</v>
      </c>
      <c r="M34" s="112">
        <v>81.680000000000007</v>
      </c>
      <c r="N34" s="112">
        <v>11.7</v>
      </c>
      <c r="O34" s="112">
        <v>0</v>
      </c>
      <c r="P34" s="112">
        <v>1.02</v>
      </c>
      <c r="Q34" s="112">
        <v>4.74</v>
      </c>
    </row>
    <row r="35" spans="1:17" customFormat="1">
      <c r="A35" s="80">
        <v>45616.28125</v>
      </c>
      <c r="B35" s="112">
        <v>21.74</v>
      </c>
      <c r="C35" s="112">
        <v>22.1</v>
      </c>
      <c r="D35" s="112">
        <v>30.33</v>
      </c>
      <c r="E35" s="112">
        <v>10.199999999999999</v>
      </c>
      <c r="F35" s="112">
        <v>5.49</v>
      </c>
      <c r="G35" s="112">
        <v>112.17</v>
      </c>
      <c r="H35" s="112">
        <v>38.4</v>
      </c>
      <c r="I35" s="112">
        <v>14.36</v>
      </c>
      <c r="J35" s="112">
        <v>0.27</v>
      </c>
      <c r="K35" s="112">
        <v>44.07</v>
      </c>
      <c r="L35" s="112">
        <v>16.760000000000002</v>
      </c>
      <c r="M35" s="112">
        <v>81.319999999999993</v>
      </c>
      <c r="N35" s="112">
        <v>21.2</v>
      </c>
      <c r="O35" s="112">
        <v>0</v>
      </c>
      <c r="P35" s="112">
        <v>1.02</v>
      </c>
      <c r="Q35" s="112">
        <v>4.7300000000000004</v>
      </c>
    </row>
    <row r="36" spans="1:17" customFormat="1">
      <c r="A36" s="80">
        <v>45616.291666666664</v>
      </c>
      <c r="B36" s="112">
        <v>21.69</v>
      </c>
      <c r="C36" s="112">
        <v>22.13</v>
      </c>
      <c r="D36" s="112">
        <v>30.31</v>
      </c>
      <c r="E36" s="112">
        <v>10.46</v>
      </c>
      <c r="F36" s="112">
        <v>5.46</v>
      </c>
      <c r="G36" s="112">
        <v>112.17</v>
      </c>
      <c r="H36" s="112">
        <v>38.4</v>
      </c>
      <c r="I36" s="112">
        <v>14.21</v>
      </c>
      <c r="J36" s="112">
        <v>0.33</v>
      </c>
      <c r="K36" s="112">
        <v>37.21</v>
      </c>
      <c r="L36" s="112">
        <v>17.02</v>
      </c>
      <c r="M36" s="112">
        <v>80.02</v>
      </c>
      <c r="N36" s="112">
        <v>32.700000000000003</v>
      </c>
      <c r="O36" s="112">
        <v>0</v>
      </c>
      <c r="P36" s="112">
        <v>1.02</v>
      </c>
      <c r="Q36" s="112">
        <v>4.74</v>
      </c>
    </row>
    <row r="37" spans="1:17" customFormat="1">
      <c r="A37" s="80">
        <v>45616.302083333336</v>
      </c>
      <c r="B37" s="112">
        <v>21.74</v>
      </c>
      <c r="C37" s="112">
        <v>22.17</v>
      </c>
      <c r="D37" s="112">
        <v>30.37</v>
      </c>
      <c r="E37" s="112">
        <v>10.199999999999999</v>
      </c>
      <c r="F37" s="112">
        <v>5.41</v>
      </c>
      <c r="G37" s="112">
        <v>112.24</v>
      </c>
      <c r="H37" s="112">
        <v>38.44</v>
      </c>
      <c r="I37" s="112">
        <v>14.13</v>
      </c>
      <c r="J37" s="112">
        <v>0.49</v>
      </c>
      <c r="K37" s="112">
        <v>43.58</v>
      </c>
      <c r="L37" s="112">
        <v>17.309999999999999</v>
      </c>
      <c r="M37" s="112">
        <v>78.97</v>
      </c>
      <c r="N37" s="112">
        <v>46.4</v>
      </c>
      <c r="O37" s="112">
        <v>0</v>
      </c>
      <c r="P37" s="112">
        <v>1.02</v>
      </c>
      <c r="Q37" s="112">
        <v>4.75</v>
      </c>
    </row>
    <row r="38" spans="1:17" customFormat="1">
      <c r="A38" s="80">
        <v>45616.3125</v>
      </c>
      <c r="B38" s="112">
        <v>21.6</v>
      </c>
      <c r="C38" s="112">
        <v>22.4</v>
      </c>
      <c r="D38" s="112">
        <v>30.38</v>
      </c>
      <c r="E38" s="112">
        <v>9.85</v>
      </c>
      <c r="F38" s="112">
        <v>5.31</v>
      </c>
      <c r="G38" s="112">
        <v>115.16</v>
      </c>
      <c r="H38" s="112">
        <v>40.75</v>
      </c>
      <c r="I38" s="112">
        <v>14.09</v>
      </c>
      <c r="J38" s="112">
        <v>0.41</v>
      </c>
      <c r="K38" s="112">
        <v>37.56</v>
      </c>
      <c r="L38" s="112">
        <v>17.670000000000002</v>
      </c>
      <c r="M38" s="112">
        <v>77.73</v>
      </c>
      <c r="N38" s="112">
        <v>60.5</v>
      </c>
      <c r="O38" s="112">
        <v>0</v>
      </c>
      <c r="P38" s="112">
        <v>1.03</v>
      </c>
      <c r="Q38" s="112">
        <v>4.75</v>
      </c>
    </row>
    <row r="39" spans="1:17" customFormat="1">
      <c r="A39" s="80">
        <v>45616.322916666664</v>
      </c>
      <c r="B39" s="112">
        <v>21</v>
      </c>
      <c r="C39" s="112">
        <v>22.39</v>
      </c>
      <c r="D39" s="112">
        <v>29.89</v>
      </c>
      <c r="E39" s="112">
        <v>9.8000000000000007</v>
      </c>
      <c r="F39" s="112">
        <v>5.41</v>
      </c>
      <c r="G39" s="112">
        <v>115.16</v>
      </c>
      <c r="H39" s="112">
        <v>40.75</v>
      </c>
      <c r="I39" s="112">
        <v>13.99</v>
      </c>
      <c r="J39" s="112">
        <v>0.5</v>
      </c>
      <c r="K39" s="112">
        <v>41.11</v>
      </c>
      <c r="L39" s="112">
        <v>18.13</v>
      </c>
      <c r="M39" s="112">
        <v>76.11</v>
      </c>
      <c r="N39" s="112">
        <v>99.6</v>
      </c>
      <c r="O39" s="112">
        <v>0</v>
      </c>
      <c r="P39" s="112">
        <v>1.03</v>
      </c>
      <c r="Q39" s="112">
        <v>4.75</v>
      </c>
    </row>
    <row r="40" spans="1:17" customFormat="1">
      <c r="A40" s="80">
        <v>45616.333333333336</v>
      </c>
      <c r="B40" s="112">
        <v>20.59</v>
      </c>
      <c r="C40" s="112">
        <v>22.27</v>
      </c>
      <c r="D40" s="112">
        <v>29.5</v>
      </c>
      <c r="E40" s="112">
        <v>10.029999999999999</v>
      </c>
      <c r="F40" s="112">
        <v>5.49</v>
      </c>
      <c r="G40" s="112">
        <v>115.16</v>
      </c>
      <c r="H40" s="112">
        <v>40.75</v>
      </c>
      <c r="I40" s="112">
        <v>13.87</v>
      </c>
      <c r="J40" s="112">
        <v>0.49</v>
      </c>
      <c r="K40" s="112">
        <v>38.200000000000003</v>
      </c>
      <c r="L40" s="112">
        <v>18.78</v>
      </c>
      <c r="M40" s="112">
        <v>74.23</v>
      </c>
      <c r="N40" s="112">
        <v>138.19999999999999</v>
      </c>
      <c r="O40" s="112">
        <v>0</v>
      </c>
      <c r="P40" s="112">
        <v>1.02</v>
      </c>
      <c r="Q40" s="112">
        <v>4.74</v>
      </c>
    </row>
    <row r="41" spans="1:17" customFormat="1">
      <c r="A41" s="80">
        <v>45616.34375</v>
      </c>
      <c r="B41" s="112">
        <v>20.2</v>
      </c>
      <c r="C41" s="112">
        <v>21.79</v>
      </c>
      <c r="D41" s="112">
        <v>28.94</v>
      </c>
      <c r="E41" s="112">
        <v>10.4</v>
      </c>
      <c r="F41" s="112">
        <v>5.65</v>
      </c>
      <c r="G41" s="112">
        <v>115.15</v>
      </c>
      <c r="H41" s="112">
        <v>40.75</v>
      </c>
      <c r="I41" s="112">
        <v>13.77</v>
      </c>
      <c r="J41" s="112">
        <v>0.79</v>
      </c>
      <c r="K41" s="112">
        <v>52.99</v>
      </c>
      <c r="L41" s="112">
        <v>19.29</v>
      </c>
      <c r="M41" s="112">
        <v>71.010000000000005</v>
      </c>
      <c r="N41" s="112">
        <v>165.5</v>
      </c>
      <c r="O41" s="112">
        <v>0</v>
      </c>
      <c r="P41" s="112">
        <v>1</v>
      </c>
      <c r="Q41" s="112">
        <v>4.74</v>
      </c>
    </row>
    <row r="42" spans="1:17" customFormat="1">
      <c r="A42" s="80">
        <v>45616.354166666664</v>
      </c>
      <c r="B42" s="112">
        <v>19.600000000000001</v>
      </c>
      <c r="C42" s="112">
        <v>21.8</v>
      </c>
      <c r="D42" s="112">
        <v>28.46</v>
      </c>
      <c r="E42" s="112">
        <v>10.35</v>
      </c>
      <c r="F42" s="112">
        <v>5.61</v>
      </c>
      <c r="G42" s="112">
        <v>114.74</v>
      </c>
      <c r="H42" s="112">
        <v>40.729999999999997</v>
      </c>
      <c r="I42" s="112">
        <v>13.69</v>
      </c>
      <c r="J42" s="112">
        <v>0.62</v>
      </c>
      <c r="K42" s="112">
        <v>53.24</v>
      </c>
      <c r="L42" s="112">
        <v>20.03</v>
      </c>
      <c r="M42" s="112">
        <v>67.040000000000006</v>
      </c>
      <c r="N42" s="112">
        <v>168</v>
      </c>
      <c r="O42" s="112">
        <v>0</v>
      </c>
      <c r="P42" s="112">
        <v>1</v>
      </c>
      <c r="Q42" s="112">
        <v>4.7300000000000004</v>
      </c>
    </row>
    <row r="43" spans="1:17" customFormat="1">
      <c r="A43" s="80">
        <v>45616.364583333336</v>
      </c>
      <c r="B43" s="112">
        <v>18.88</v>
      </c>
      <c r="C43" s="112">
        <v>21.64</v>
      </c>
      <c r="D43" s="112">
        <v>27.8</v>
      </c>
      <c r="E43" s="112">
        <v>10.62</v>
      </c>
      <c r="F43" s="112">
        <v>5.54</v>
      </c>
      <c r="G43" s="112">
        <v>114.74</v>
      </c>
      <c r="H43" s="112">
        <v>40.729999999999997</v>
      </c>
      <c r="I43" s="112">
        <v>13.61</v>
      </c>
      <c r="J43" s="112">
        <v>0.64</v>
      </c>
      <c r="K43" s="112">
        <v>46.15</v>
      </c>
      <c r="L43" s="112">
        <v>20.98</v>
      </c>
      <c r="M43" s="112">
        <v>63.96</v>
      </c>
      <c r="N43" s="112">
        <v>185.6</v>
      </c>
      <c r="O43" s="112">
        <v>0</v>
      </c>
      <c r="P43" s="112">
        <v>1</v>
      </c>
      <c r="Q43" s="112">
        <v>4.72</v>
      </c>
    </row>
    <row r="44" spans="1:17" customFormat="1">
      <c r="A44" s="80">
        <v>45616.375</v>
      </c>
      <c r="B44" s="112">
        <v>18.100000000000001</v>
      </c>
      <c r="C44" s="112">
        <v>21.61</v>
      </c>
      <c r="D44" s="112">
        <v>27.15</v>
      </c>
      <c r="E44" s="112">
        <v>10.64</v>
      </c>
      <c r="F44" s="112">
        <v>5.48</v>
      </c>
      <c r="G44" s="112">
        <v>114.74</v>
      </c>
      <c r="H44" s="112">
        <v>40.729999999999997</v>
      </c>
      <c r="I44" s="112">
        <v>13.5</v>
      </c>
      <c r="J44" s="112">
        <v>0.65</v>
      </c>
      <c r="K44" s="112">
        <v>48.26</v>
      </c>
      <c r="L44" s="112">
        <v>21.58</v>
      </c>
      <c r="M44" s="112">
        <v>60.93</v>
      </c>
      <c r="N44" s="112">
        <v>254.4</v>
      </c>
      <c r="O44" s="112">
        <v>0</v>
      </c>
      <c r="P44" s="112">
        <v>0.99</v>
      </c>
      <c r="Q44" s="112">
        <v>4.74</v>
      </c>
    </row>
    <row r="45" spans="1:17" customFormat="1">
      <c r="A45" s="80">
        <v>45616.385416666664</v>
      </c>
      <c r="B45" s="112">
        <v>17.34</v>
      </c>
      <c r="C45" s="112">
        <v>21.33</v>
      </c>
      <c r="D45" s="112">
        <v>26.4</v>
      </c>
      <c r="E45" s="112">
        <v>10.78</v>
      </c>
      <c r="F45" s="112">
        <v>5.56</v>
      </c>
      <c r="G45" s="112">
        <v>114.69</v>
      </c>
      <c r="H45" s="112">
        <v>40.68</v>
      </c>
      <c r="I45" s="112">
        <v>13.4</v>
      </c>
      <c r="J45" s="112">
        <v>0.4</v>
      </c>
      <c r="K45" s="112">
        <v>67.44</v>
      </c>
      <c r="L45" s="112">
        <v>22.58</v>
      </c>
      <c r="M45" s="112">
        <v>57.08</v>
      </c>
      <c r="N45" s="112">
        <v>288.39999999999998</v>
      </c>
      <c r="O45" s="112">
        <v>0</v>
      </c>
      <c r="P45" s="112">
        <v>1</v>
      </c>
      <c r="Q45" s="112">
        <v>4.7300000000000004</v>
      </c>
    </row>
    <row r="46" spans="1:17" customFormat="1">
      <c r="A46" s="80">
        <v>45616.395833333336</v>
      </c>
      <c r="B46" s="112">
        <v>16.48</v>
      </c>
      <c r="C46" s="112">
        <v>21.25</v>
      </c>
      <c r="D46" s="112">
        <v>25.67</v>
      </c>
      <c r="E46" s="112">
        <v>10.93</v>
      </c>
      <c r="F46" s="112">
        <v>5.66</v>
      </c>
      <c r="G46" s="112">
        <v>112.26</v>
      </c>
      <c r="H46" s="112">
        <v>37.58</v>
      </c>
      <c r="I46" s="112">
        <v>13.34</v>
      </c>
      <c r="J46" s="112">
        <v>0.38</v>
      </c>
      <c r="K46" s="112">
        <v>82.18</v>
      </c>
      <c r="L46" s="112">
        <v>23.7</v>
      </c>
      <c r="M46" s="112">
        <v>51.59</v>
      </c>
      <c r="N46" s="112">
        <v>272.89999999999998</v>
      </c>
      <c r="O46" s="112">
        <v>0</v>
      </c>
      <c r="P46" s="112">
        <v>0.99</v>
      </c>
      <c r="Q46" s="112">
        <v>4.72</v>
      </c>
    </row>
    <row r="47" spans="1:17" customFormat="1">
      <c r="A47" s="80">
        <v>45616.40625</v>
      </c>
      <c r="B47" s="112">
        <v>15.32</v>
      </c>
      <c r="C47" s="112">
        <v>21.25</v>
      </c>
      <c r="D47" s="112">
        <v>24.74</v>
      </c>
      <c r="E47" s="112">
        <v>10.83</v>
      </c>
      <c r="F47" s="112">
        <v>5.9</v>
      </c>
      <c r="G47" s="112">
        <v>112.26</v>
      </c>
      <c r="H47" s="112">
        <v>37.58</v>
      </c>
      <c r="I47" s="112">
        <v>13.3</v>
      </c>
      <c r="J47" s="112">
        <v>0.42</v>
      </c>
      <c r="K47" s="112">
        <v>85.77</v>
      </c>
      <c r="L47" s="112">
        <v>24.22</v>
      </c>
      <c r="M47" s="112">
        <v>46.55</v>
      </c>
      <c r="N47" s="112">
        <v>356.1</v>
      </c>
      <c r="O47" s="112">
        <v>0</v>
      </c>
      <c r="P47" s="112">
        <v>0.99</v>
      </c>
      <c r="Q47" s="112">
        <v>4.7300000000000004</v>
      </c>
    </row>
    <row r="48" spans="1:17" customFormat="1">
      <c r="A48" s="80">
        <v>45616.416666666664</v>
      </c>
      <c r="B48" s="112">
        <v>13.82</v>
      </c>
      <c r="C48" s="112">
        <v>21.39</v>
      </c>
      <c r="D48" s="112">
        <v>23.61</v>
      </c>
      <c r="E48" s="112">
        <v>11.2</v>
      </c>
      <c r="F48" s="112">
        <v>6.13</v>
      </c>
      <c r="G48" s="112">
        <v>112.26</v>
      </c>
      <c r="H48" s="112">
        <v>37.58</v>
      </c>
      <c r="I48" s="112">
        <v>13.19</v>
      </c>
      <c r="J48" s="112">
        <v>0.43</v>
      </c>
      <c r="K48" s="112">
        <v>93.23</v>
      </c>
      <c r="L48" s="112">
        <v>24.81</v>
      </c>
      <c r="M48" s="112">
        <v>44.25</v>
      </c>
      <c r="N48" s="112">
        <v>382.9</v>
      </c>
      <c r="O48" s="112">
        <v>0</v>
      </c>
      <c r="P48" s="112">
        <v>0.97</v>
      </c>
      <c r="Q48" s="112">
        <v>4.74</v>
      </c>
    </row>
    <row r="49" spans="1:17" customFormat="1">
      <c r="A49" s="80">
        <v>45616.427083333336</v>
      </c>
      <c r="B49" s="112">
        <v>12.39</v>
      </c>
      <c r="C49" s="112">
        <v>21.09</v>
      </c>
      <c r="D49" s="112">
        <v>22.31</v>
      </c>
      <c r="E49" s="112">
        <v>6.96</v>
      </c>
      <c r="F49" s="112">
        <v>6.24</v>
      </c>
      <c r="G49" s="112">
        <v>112.02</v>
      </c>
      <c r="H49" s="112">
        <v>38.840000000000003</v>
      </c>
      <c r="I49" s="112">
        <v>13.04</v>
      </c>
      <c r="J49" s="112">
        <v>0.5</v>
      </c>
      <c r="K49" s="112">
        <v>78.849999999999994</v>
      </c>
      <c r="L49" s="112">
        <v>25.26</v>
      </c>
      <c r="M49" s="112">
        <v>42.79</v>
      </c>
      <c r="N49" s="112">
        <v>405.9</v>
      </c>
      <c r="O49" s="112">
        <v>0</v>
      </c>
      <c r="P49" s="112">
        <v>0.96</v>
      </c>
      <c r="Q49" s="112">
        <v>4.7300000000000004</v>
      </c>
    </row>
    <row r="50" spans="1:17" customFormat="1">
      <c r="A50" s="80">
        <v>45616.4375</v>
      </c>
      <c r="B50" s="112">
        <v>10.93</v>
      </c>
      <c r="C50" s="112">
        <v>21.34</v>
      </c>
      <c r="D50" s="112">
        <v>21.26</v>
      </c>
      <c r="E50" s="112">
        <v>8.51</v>
      </c>
      <c r="F50" s="112">
        <v>6.18</v>
      </c>
      <c r="G50" s="112">
        <v>101.71</v>
      </c>
      <c r="H50" s="112">
        <v>120.94</v>
      </c>
      <c r="I50" s="112">
        <v>12.83</v>
      </c>
      <c r="J50" s="112">
        <v>0.52</v>
      </c>
      <c r="K50" s="112">
        <v>82.8</v>
      </c>
      <c r="L50" s="112">
        <v>25.48</v>
      </c>
      <c r="M50" s="112">
        <v>41.04</v>
      </c>
      <c r="N50" s="112">
        <v>422.9</v>
      </c>
      <c r="O50" s="112">
        <v>0</v>
      </c>
      <c r="P50" s="112">
        <v>0.94</v>
      </c>
      <c r="Q50" s="112">
        <v>4.7300000000000004</v>
      </c>
    </row>
    <row r="51" spans="1:17" customFormat="1">
      <c r="A51" s="80">
        <v>45616.447916666664</v>
      </c>
      <c r="B51" s="112">
        <v>9.5399999999999991</v>
      </c>
      <c r="C51" s="112">
        <v>21.29</v>
      </c>
      <c r="D51" s="112">
        <v>20.13</v>
      </c>
      <c r="E51" s="112">
        <v>8.82</v>
      </c>
      <c r="F51" s="112">
        <v>6.41</v>
      </c>
      <c r="G51" s="112">
        <v>101.71</v>
      </c>
      <c r="H51" s="112">
        <v>120.94</v>
      </c>
      <c r="I51" s="112">
        <v>12.62</v>
      </c>
      <c r="J51" s="112">
        <v>0.87</v>
      </c>
      <c r="K51" s="112">
        <v>52.04</v>
      </c>
      <c r="L51" s="112">
        <v>25.83</v>
      </c>
      <c r="M51" s="112">
        <v>39.020000000000003</v>
      </c>
      <c r="N51" s="112">
        <v>367</v>
      </c>
      <c r="O51" s="112">
        <v>0</v>
      </c>
      <c r="P51" s="112">
        <v>0.92</v>
      </c>
      <c r="Q51" s="112">
        <v>4.7300000000000004</v>
      </c>
    </row>
    <row r="52" spans="1:17" customFormat="1">
      <c r="A52" s="80">
        <v>45616.458333333336</v>
      </c>
      <c r="B52" s="112">
        <v>8.4600000000000009</v>
      </c>
      <c r="C52" s="112">
        <v>21.45</v>
      </c>
      <c r="D52" s="112">
        <v>19.34</v>
      </c>
      <c r="E52" s="112">
        <v>8.59</v>
      </c>
      <c r="F52" s="112">
        <v>6.55</v>
      </c>
      <c r="G52" s="112">
        <v>101.71</v>
      </c>
      <c r="H52" s="112">
        <v>120.94</v>
      </c>
      <c r="I52" s="112">
        <v>12.41</v>
      </c>
      <c r="J52" s="112">
        <v>0.7</v>
      </c>
      <c r="K52" s="112">
        <v>60.97</v>
      </c>
      <c r="L52" s="112">
        <v>26.05</v>
      </c>
      <c r="M52" s="112">
        <v>36.6</v>
      </c>
      <c r="N52" s="112">
        <v>445</v>
      </c>
      <c r="O52" s="112">
        <v>0</v>
      </c>
      <c r="P52" s="112">
        <v>0.91</v>
      </c>
      <c r="Q52" s="112">
        <v>4.72</v>
      </c>
    </row>
    <row r="53" spans="1:17" customFormat="1">
      <c r="A53" s="80">
        <v>45616.46875</v>
      </c>
      <c r="B53" s="112">
        <v>7.38</v>
      </c>
      <c r="C53" s="112">
        <v>21.44</v>
      </c>
      <c r="D53" s="112">
        <v>18.47</v>
      </c>
      <c r="E53" s="112">
        <v>9.1</v>
      </c>
      <c r="F53" s="112">
        <v>7.75</v>
      </c>
      <c r="G53" s="112">
        <v>101.5</v>
      </c>
      <c r="H53" s="112">
        <v>119.1</v>
      </c>
      <c r="I53" s="112">
        <v>12.16</v>
      </c>
      <c r="J53" s="112">
        <v>0.78</v>
      </c>
      <c r="K53" s="112">
        <v>53.1</v>
      </c>
      <c r="L53" s="112">
        <v>26.52</v>
      </c>
      <c r="M53" s="112">
        <v>34.69</v>
      </c>
      <c r="N53" s="112">
        <v>461.9</v>
      </c>
      <c r="O53" s="112">
        <v>0</v>
      </c>
      <c r="P53" s="112">
        <v>0.89</v>
      </c>
      <c r="Q53" s="112">
        <v>4.74</v>
      </c>
    </row>
    <row r="54" spans="1:17" customFormat="1">
      <c r="A54" s="80">
        <v>45616.479166666664</v>
      </c>
      <c r="B54" s="112">
        <v>6.56</v>
      </c>
      <c r="C54" s="112">
        <v>21.19</v>
      </c>
      <c r="D54" s="112">
        <v>17.68</v>
      </c>
      <c r="E54" s="112">
        <v>8.75</v>
      </c>
      <c r="F54" s="112">
        <v>7.13</v>
      </c>
      <c r="G54" s="112">
        <v>92.53</v>
      </c>
      <c r="H54" s="112">
        <v>0</v>
      </c>
      <c r="I54" s="112">
        <v>11.92</v>
      </c>
      <c r="J54" s="112">
        <v>0.61</v>
      </c>
      <c r="K54" s="112">
        <v>60.58</v>
      </c>
      <c r="L54" s="112">
        <v>26.75</v>
      </c>
      <c r="M54" s="112">
        <v>33.75</v>
      </c>
      <c r="N54" s="112">
        <v>453.3</v>
      </c>
      <c r="O54" s="112">
        <v>0</v>
      </c>
      <c r="P54" s="112">
        <v>0.89</v>
      </c>
      <c r="Q54" s="112">
        <v>4.7300000000000004</v>
      </c>
    </row>
    <row r="55" spans="1:17" customFormat="1">
      <c r="A55" s="80">
        <v>45616.489583333336</v>
      </c>
      <c r="B55" s="112">
        <v>5.68</v>
      </c>
      <c r="C55" s="112">
        <v>21.02</v>
      </c>
      <c r="D55" s="112">
        <v>16.89</v>
      </c>
      <c r="E55" s="112">
        <v>8.25</v>
      </c>
      <c r="F55" s="112">
        <v>7.44</v>
      </c>
      <c r="G55" s="112">
        <v>92.53</v>
      </c>
      <c r="H55" s="112">
        <v>0</v>
      </c>
      <c r="I55" s="112">
        <v>11.7</v>
      </c>
      <c r="J55" s="112">
        <v>0.72</v>
      </c>
      <c r="K55" s="112">
        <v>55.97</v>
      </c>
      <c r="L55" s="112">
        <v>26.86</v>
      </c>
      <c r="M55" s="112">
        <v>33.119999999999997</v>
      </c>
      <c r="N55" s="112">
        <v>462.8</v>
      </c>
      <c r="O55" s="112">
        <v>0</v>
      </c>
      <c r="P55" s="112">
        <v>0.88</v>
      </c>
      <c r="Q55" s="112">
        <v>4.75</v>
      </c>
    </row>
    <row r="56" spans="1:17" customFormat="1">
      <c r="A56" s="80">
        <v>45616.5</v>
      </c>
      <c r="B56" s="112">
        <v>4.99</v>
      </c>
      <c r="C56" s="112">
        <v>20.85</v>
      </c>
      <c r="D56" s="112">
        <v>16.25</v>
      </c>
      <c r="E56" s="112">
        <v>8.8800000000000008</v>
      </c>
      <c r="F56" s="112">
        <v>8.64</v>
      </c>
      <c r="G56" s="112">
        <v>92.53</v>
      </c>
      <c r="H56" s="112">
        <v>0</v>
      </c>
      <c r="I56" s="112">
        <v>11.49</v>
      </c>
      <c r="J56" s="112">
        <v>0.8</v>
      </c>
      <c r="K56" s="112">
        <v>47.52</v>
      </c>
      <c r="L56" s="112">
        <v>26.9</v>
      </c>
      <c r="M56" s="112">
        <v>32.31</v>
      </c>
      <c r="N56" s="112">
        <v>469.1</v>
      </c>
      <c r="O56" s="112">
        <v>0</v>
      </c>
      <c r="P56" s="112">
        <v>0.86</v>
      </c>
      <c r="Q56" s="112">
        <v>4.74</v>
      </c>
    </row>
    <row r="57" spans="1:17" customFormat="1">
      <c r="A57" s="80">
        <v>45616.510416666664</v>
      </c>
      <c r="B57" s="112">
        <v>4.5</v>
      </c>
      <c r="C57" s="112">
        <v>20.399999999999999</v>
      </c>
      <c r="D57" s="112">
        <v>15.62</v>
      </c>
      <c r="E57" s="112">
        <v>8.89</v>
      </c>
      <c r="F57" s="112">
        <v>8.0399999999999991</v>
      </c>
      <c r="G57" s="112">
        <v>92.26</v>
      </c>
      <c r="H57" s="112">
        <v>0.22</v>
      </c>
      <c r="I57" s="112">
        <v>11.29</v>
      </c>
      <c r="J57" s="112">
        <v>0.7</v>
      </c>
      <c r="K57" s="112">
        <v>61.82</v>
      </c>
      <c r="L57" s="112">
        <v>27.28</v>
      </c>
      <c r="M57" s="112">
        <v>31.99</v>
      </c>
      <c r="N57" s="112">
        <v>462.9</v>
      </c>
      <c r="O57" s="112">
        <v>0</v>
      </c>
      <c r="P57" s="112">
        <v>0.85</v>
      </c>
      <c r="Q57" s="112">
        <v>4.74</v>
      </c>
    </row>
    <row r="58" spans="1:17" customFormat="1">
      <c r="A58" s="80">
        <v>45616.520833333336</v>
      </c>
      <c r="B58" s="112">
        <v>4.13</v>
      </c>
      <c r="C58" s="112">
        <v>19.989999999999998</v>
      </c>
      <c r="D58" s="112">
        <v>15.1</v>
      </c>
      <c r="E58" s="112">
        <v>9.1300000000000008</v>
      </c>
      <c r="F58" s="112">
        <v>7.81</v>
      </c>
      <c r="G58" s="112">
        <v>80.680000000000007</v>
      </c>
      <c r="H58" s="112">
        <v>14.36</v>
      </c>
      <c r="I58" s="112">
        <v>11.09</v>
      </c>
      <c r="J58" s="112">
        <v>0.66</v>
      </c>
      <c r="K58" s="112">
        <v>41.14</v>
      </c>
      <c r="L58" s="112">
        <v>27.1</v>
      </c>
      <c r="M58" s="112">
        <v>31.79</v>
      </c>
      <c r="N58" s="112">
        <v>443.2</v>
      </c>
      <c r="O58" s="112">
        <v>0</v>
      </c>
      <c r="P58" s="112">
        <v>0.83</v>
      </c>
      <c r="Q58" s="112">
        <v>4.74</v>
      </c>
    </row>
    <row r="59" spans="1:17" customFormat="1">
      <c r="A59" s="80">
        <v>45616.53125</v>
      </c>
      <c r="B59" s="112">
        <v>3.77</v>
      </c>
      <c r="C59" s="112">
        <v>19.97</v>
      </c>
      <c r="D59" s="112">
        <v>14.81</v>
      </c>
      <c r="E59" s="112">
        <v>8.4700000000000006</v>
      </c>
      <c r="F59" s="112">
        <v>9.44</v>
      </c>
      <c r="G59" s="112">
        <v>80.680000000000007</v>
      </c>
      <c r="H59" s="112">
        <v>14.36</v>
      </c>
      <c r="I59" s="112">
        <v>10.91</v>
      </c>
      <c r="J59" s="112">
        <v>0.91</v>
      </c>
      <c r="K59" s="112">
        <v>49.89</v>
      </c>
      <c r="L59" s="112">
        <v>27.46</v>
      </c>
      <c r="M59" s="112">
        <v>31.22</v>
      </c>
      <c r="N59" s="112">
        <v>415.1</v>
      </c>
      <c r="O59" s="112">
        <v>0</v>
      </c>
      <c r="P59" s="112">
        <v>0.86</v>
      </c>
      <c r="Q59" s="112">
        <v>4.7300000000000004</v>
      </c>
    </row>
    <row r="60" spans="1:17" customFormat="1">
      <c r="A60" s="80">
        <v>45616.541666666664</v>
      </c>
      <c r="B60" s="112">
        <v>3.5</v>
      </c>
      <c r="C60" s="112">
        <v>20.16</v>
      </c>
      <c r="D60" s="112">
        <v>14.69</v>
      </c>
      <c r="E60" s="112">
        <v>8.89</v>
      </c>
      <c r="F60" s="112">
        <v>10.31</v>
      </c>
      <c r="G60" s="112">
        <v>80.680000000000007</v>
      </c>
      <c r="H60" s="112">
        <v>14.36</v>
      </c>
      <c r="I60" s="112">
        <v>10.73</v>
      </c>
      <c r="J60" s="112">
        <v>0.49</v>
      </c>
      <c r="K60" s="112">
        <v>22.71</v>
      </c>
      <c r="L60" s="112">
        <v>27.34</v>
      </c>
      <c r="M60" s="112">
        <v>31.56</v>
      </c>
      <c r="N60" s="112">
        <v>402.6</v>
      </c>
      <c r="O60" s="112">
        <v>0</v>
      </c>
      <c r="P60" s="112">
        <v>0.85</v>
      </c>
      <c r="Q60" s="112">
        <v>4.76</v>
      </c>
    </row>
    <row r="61" spans="1:17" customFormat="1">
      <c r="A61" s="80">
        <v>45616.552083333336</v>
      </c>
      <c r="B61" s="112">
        <v>3.38</v>
      </c>
      <c r="C61" s="112">
        <v>20.329999999999998</v>
      </c>
      <c r="D61" s="112">
        <v>14.68</v>
      </c>
      <c r="E61" s="112">
        <v>8.84</v>
      </c>
      <c r="F61" s="112">
        <v>11.46</v>
      </c>
      <c r="G61" s="112">
        <v>80.72</v>
      </c>
      <c r="H61" s="112">
        <v>14.54</v>
      </c>
      <c r="I61" s="112">
        <v>10.46</v>
      </c>
      <c r="J61" s="112">
        <v>0.72</v>
      </c>
      <c r="K61" s="112">
        <v>36.06</v>
      </c>
      <c r="L61" s="112">
        <v>27.41</v>
      </c>
      <c r="M61" s="112">
        <v>31.19</v>
      </c>
      <c r="N61" s="112">
        <v>387.9</v>
      </c>
      <c r="O61" s="112">
        <v>0</v>
      </c>
      <c r="P61" s="112">
        <v>0.86</v>
      </c>
      <c r="Q61" s="112">
        <v>4.7699999999999996</v>
      </c>
    </row>
    <row r="62" spans="1:17" customFormat="1">
      <c r="A62" s="80">
        <v>45616.5625</v>
      </c>
      <c r="B62" s="112">
        <v>3.39</v>
      </c>
      <c r="C62" s="112">
        <v>20.51</v>
      </c>
      <c r="D62" s="112">
        <v>14.79</v>
      </c>
      <c r="E62" s="112">
        <v>9.08</v>
      </c>
      <c r="F62" s="112">
        <v>11.71</v>
      </c>
      <c r="G62" s="112">
        <v>82.13</v>
      </c>
      <c r="H62" s="112">
        <v>26.21</v>
      </c>
      <c r="I62" s="112">
        <v>10.19</v>
      </c>
      <c r="J62" s="112">
        <v>0.93</v>
      </c>
      <c r="K62" s="112">
        <v>36.14</v>
      </c>
      <c r="L62" s="112">
        <v>27.47</v>
      </c>
      <c r="M62" s="112">
        <v>31.08</v>
      </c>
      <c r="N62" s="112">
        <v>364</v>
      </c>
      <c r="O62" s="112">
        <v>0</v>
      </c>
      <c r="P62" s="112">
        <v>0.84</v>
      </c>
      <c r="Q62" s="112">
        <v>4.76</v>
      </c>
    </row>
    <row r="63" spans="1:17" customFormat="1">
      <c r="A63" s="80">
        <v>45616.572916666664</v>
      </c>
      <c r="B63" s="112">
        <v>3.34</v>
      </c>
      <c r="C63" s="112">
        <v>20.57</v>
      </c>
      <c r="D63" s="112">
        <v>14.78</v>
      </c>
      <c r="E63" s="112">
        <v>8.6199999999999992</v>
      </c>
      <c r="F63" s="112">
        <v>11.03</v>
      </c>
      <c r="G63" s="112">
        <v>82.13</v>
      </c>
      <c r="H63" s="112">
        <v>26.21</v>
      </c>
      <c r="I63" s="112">
        <v>9.98</v>
      </c>
      <c r="J63" s="112">
        <v>0.72</v>
      </c>
      <c r="K63" s="112">
        <v>35.04</v>
      </c>
      <c r="L63" s="112">
        <v>27.31</v>
      </c>
      <c r="M63" s="112">
        <v>30.6</v>
      </c>
      <c r="N63" s="112">
        <v>236.7</v>
      </c>
      <c r="O63" s="112">
        <v>0</v>
      </c>
      <c r="P63" s="112">
        <v>0.84</v>
      </c>
      <c r="Q63" s="112">
        <v>4.75</v>
      </c>
    </row>
    <row r="64" spans="1:17" customFormat="1">
      <c r="A64" s="80">
        <v>45616.583333333336</v>
      </c>
      <c r="B64" s="112">
        <v>3.35</v>
      </c>
      <c r="C64" s="112">
        <v>20.51</v>
      </c>
      <c r="D64" s="112">
        <v>14.75</v>
      </c>
      <c r="E64" s="112">
        <v>8.4</v>
      </c>
      <c r="F64" s="112">
        <v>12.16</v>
      </c>
      <c r="G64" s="112">
        <v>82.13</v>
      </c>
      <c r="H64" s="112">
        <v>26.21</v>
      </c>
      <c r="I64" s="112">
        <v>9.7899999999999991</v>
      </c>
      <c r="J64" s="112">
        <v>0.81</v>
      </c>
      <c r="K64" s="112">
        <v>41.08</v>
      </c>
      <c r="L64" s="112">
        <v>27.19</v>
      </c>
      <c r="M64" s="112">
        <v>30.73</v>
      </c>
      <c r="N64" s="112">
        <v>134.6</v>
      </c>
      <c r="O64" s="112">
        <v>0</v>
      </c>
      <c r="P64" s="112">
        <v>0.83</v>
      </c>
      <c r="Q64" s="112">
        <v>4.76</v>
      </c>
    </row>
    <row r="65" spans="1:17" customFormat="1">
      <c r="A65" s="80">
        <v>45616.59375</v>
      </c>
      <c r="B65" s="112">
        <v>3.3</v>
      </c>
      <c r="C65" s="112">
        <v>20.46</v>
      </c>
      <c r="D65" s="112">
        <v>14.69</v>
      </c>
      <c r="E65" s="112">
        <v>8.5399999999999991</v>
      </c>
      <c r="F65" s="112">
        <v>12.3</v>
      </c>
      <c r="G65" s="112">
        <v>82.08</v>
      </c>
      <c r="H65" s="112">
        <v>26.57</v>
      </c>
      <c r="I65" s="112">
        <v>9.61</v>
      </c>
      <c r="J65" s="112">
        <v>0.47</v>
      </c>
      <c r="K65" s="112">
        <v>29.2</v>
      </c>
      <c r="L65" s="112">
        <v>27.15</v>
      </c>
      <c r="M65" s="112">
        <v>30.61</v>
      </c>
      <c r="N65" s="112">
        <v>115.7</v>
      </c>
      <c r="O65" s="112">
        <v>0</v>
      </c>
      <c r="P65" s="112">
        <v>0.67</v>
      </c>
      <c r="Q65" s="112">
        <v>4.74</v>
      </c>
    </row>
    <row r="66" spans="1:17" customFormat="1">
      <c r="A66" s="80">
        <v>45616.604166666664</v>
      </c>
      <c r="B66" s="112">
        <v>3.25</v>
      </c>
      <c r="C66" s="112">
        <v>20.29</v>
      </c>
      <c r="D66" s="112">
        <v>14.55</v>
      </c>
      <c r="E66" s="112">
        <v>9.33</v>
      </c>
      <c r="F66" s="112">
        <v>12.74</v>
      </c>
      <c r="G66" s="112">
        <v>80.12</v>
      </c>
      <c r="H66" s="112">
        <v>38.24</v>
      </c>
      <c r="I66" s="112">
        <v>9.42</v>
      </c>
      <c r="J66" s="112">
        <v>0.87</v>
      </c>
      <c r="K66" s="112">
        <v>22.01</v>
      </c>
      <c r="L66" s="112">
        <v>26.95</v>
      </c>
      <c r="M66" s="112">
        <v>31.32</v>
      </c>
      <c r="N66" s="112">
        <v>99.1</v>
      </c>
      <c r="O66" s="112">
        <v>0</v>
      </c>
      <c r="P66" s="112">
        <v>0.69</v>
      </c>
      <c r="Q66" s="112">
        <v>4.7300000000000004</v>
      </c>
    </row>
    <row r="67" spans="1:17" customFormat="1">
      <c r="A67" s="80">
        <v>45616.614583333336</v>
      </c>
      <c r="B67" s="112">
        <v>3.26</v>
      </c>
      <c r="C67" s="112">
        <v>20.28</v>
      </c>
      <c r="D67" s="112">
        <v>14.57</v>
      </c>
      <c r="E67" s="112">
        <v>9.67</v>
      </c>
      <c r="F67" s="112">
        <v>14.63</v>
      </c>
      <c r="G67" s="112">
        <v>80.12</v>
      </c>
      <c r="H67" s="112">
        <v>38.24</v>
      </c>
      <c r="I67" s="112">
        <v>9.2100000000000009</v>
      </c>
      <c r="J67" s="112">
        <v>0.55000000000000004</v>
      </c>
      <c r="K67" s="112">
        <v>22.78</v>
      </c>
      <c r="L67" s="112">
        <v>26.86</v>
      </c>
      <c r="M67" s="112">
        <v>31.74</v>
      </c>
      <c r="N67" s="112">
        <v>86.6</v>
      </c>
      <c r="O67" s="112">
        <v>0</v>
      </c>
      <c r="P67" s="112">
        <v>0.68</v>
      </c>
      <c r="Q67" s="112">
        <v>4.76</v>
      </c>
    </row>
    <row r="68" spans="1:17" customFormat="1">
      <c r="A68" s="80">
        <v>45616.625</v>
      </c>
      <c r="B68" s="112">
        <v>3.29</v>
      </c>
      <c r="C68" s="112">
        <v>20.350000000000001</v>
      </c>
      <c r="D68" s="112">
        <v>14.63</v>
      </c>
      <c r="E68" s="112">
        <v>8.66</v>
      </c>
      <c r="F68" s="112">
        <v>12.87</v>
      </c>
      <c r="G68" s="112">
        <v>80.12</v>
      </c>
      <c r="H68" s="112">
        <v>38.24</v>
      </c>
      <c r="I68" s="112">
        <v>8.99</v>
      </c>
      <c r="J68" s="112">
        <v>0.9</v>
      </c>
      <c r="K68" s="112">
        <v>31.35</v>
      </c>
      <c r="L68" s="112">
        <v>26.85</v>
      </c>
      <c r="M68" s="112">
        <v>31.26</v>
      </c>
      <c r="N68" s="112">
        <v>76</v>
      </c>
      <c r="O68" s="112">
        <v>0</v>
      </c>
      <c r="P68" s="112">
        <v>0.69</v>
      </c>
      <c r="Q68" s="112">
        <v>4.7699999999999996</v>
      </c>
    </row>
    <row r="69" spans="1:17" customFormat="1">
      <c r="A69" s="80">
        <v>45616.635416666664</v>
      </c>
      <c r="B69" s="112">
        <v>3.33</v>
      </c>
      <c r="C69" s="112">
        <v>20.59</v>
      </c>
      <c r="D69" s="112">
        <v>14.77</v>
      </c>
      <c r="E69" s="112">
        <v>9.8699999999999992</v>
      </c>
      <c r="F69" s="112">
        <v>14.88</v>
      </c>
      <c r="G69" s="112">
        <v>79.95</v>
      </c>
      <c r="H69" s="112">
        <v>38.32</v>
      </c>
      <c r="I69" s="112">
        <v>8.83</v>
      </c>
      <c r="J69" s="112">
        <v>0.71</v>
      </c>
      <c r="K69" s="112">
        <v>20.89</v>
      </c>
      <c r="L69" s="112">
        <v>26.67</v>
      </c>
      <c r="M69" s="112">
        <v>31.31</v>
      </c>
      <c r="N69" s="112">
        <v>66.2</v>
      </c>
      <c r="O69" s="112">
        <v>0</v>
      </c>
      <c r="P69" s="112">
        <v>0.67</v>
      </c>
      <c r="Q69" s="112">
        <v>4.75</v>
      </c>
    </row>
    <row r="70" spans="1:17" customFormat="1">
      <c r="A70" s="80">
        <v>45616.645833333336</v>
      </c>
      <c r="B70" s="112">
        <v>3.29</v>
      </c>
      <c r="C70" s="112">
        <v>20.9</v>
      </c>
      <c r="D70" s="112">
        <v>14.91</v>
      </c>
      <c r="E70" s="112">
        <v>9.2899999999999991</v>
      </c>
      <c r="F70" s="112">
        <v>11.91</v>
      </c>
      <c r="G70" s="112">
        <v>72.69</v>
      </c>
      <c r="H70" s="112">
        <v>43.06</v>
      </c>
      <c r="I70" s="112">
        <v>8.6999999999999993</v>
      </c>
      <c r="J70" s="112">
        <v>0.86</v>
      </c>
      <c r="K70" s="112">
        <v>40.880000000000003</v>
      </c>
      <c r="L70" s="112">
        <v>26.54</v>
      </c>
      <c r="M70" s="112">
        <v>32.07</v>
      </c>
      <c r="N70" s="112">
        <v>58.7</v>
      </c>
      <c r="O70" s="112">
        <v>0</v>
      </c>
      <c r="P70" s="112">
        <v>0.68</v>
      </c>
      <c r="Q70" s="112">
        <v>4.76</v>
      </c>
    </row>
    <row r="71" spans="1:17" customFormat="1">
      <c r="A71" s="80">
        <v>45616.65625</v>
      </c>
      <c r="B71" s="112">
        <v>3.34</v>
      </c>
      <c r="C71" s="112">
        <v>21.15</v>
      </c>
      <c r="D71" s="112">
        <v>15.08</v>
      </c>
      <c r="E71" s="112">
        <v>8.92</v>
      </c>
      <c r="F71" s="112">
        <v>12.2</v>
      </c>
      <c r="G71" s="112">
        <v>72.69</v>
      </c>
      <c r="H71" s="112">
        <v>43.06</v>
      </c>
      <c r="I71" s="112">
        <v>8.56</v>
      </c>
      <c r="J71" s="112">
        <v>0.6</v>
      </c>
      <c r="K71" s="112">
        <v>27.76</v>
      </c>
      <c r="L71" s="112">
        <v>26.44</v>
      </c>
      <c r="M71" s="112">
        <v>32.85</v>
      </c>
      <c r="N71" s="112">
        <v>48</v>
      </c>
      <c r="O71" s="112">
        <v>0</v>
      </c>
      <c r="P71" s="112">
        <v>0.67</v>
      </c>
      <c r="Q71" s="112">
        <v>4.76</v>
      </c>
    </row>
    <row r="72" spans="1:17" customFormat="1">
      <c r="A72" s="80">
        <v>45616.666666666664</v>
      </c>
      <c r="B72" s="112">
        <v>3.33</v>
      </c>
      <c r="C72" s="112">
        <v>21.46</v>
      </c>
      <c r="D72" s="112">
        <v>15.23</v>
      </c>
      <c r="E72" s="112">
        <v>8.66</v>
      </c>
      <c r="F72" s="112">
        <v>11.51</v>
      </c>
      <c r="G72" s="112">
        <v>72.69</v>
      </c>
      <c r="H72" s="112">
        <v>43.06</v>
      </c>
      <c r="I72" s="112">
        <v>8.51</v>
      </c>
      <c r="J72" s="112">
        <v>0.75</v>
      </c>
      <c r="K72" s="112">
        <v>42.89</v>
      </c>
      <c r="L72" s="112">
        <v>26.25</v>
      </c>
      <c r="M72" s="112">
        <v>33.340000000000003</v>
      </c>
      <c r="N72" s="112">
        <v>38.9</v>
      </c>
      <c r="O72" s="112">
        <v>0</v>
      </c>
      <c r="P72" s="112">
        <v>0.68</v>
      </c>
      <c r="Q72" s="112">
        <v>4.75</v>
      </c>
    </row>
    <row r="73" spans="1:17" customFormat="1">
      <c r="A73" s="80">
        <v>45616.677083333336</v>
      </c>
      <c r="B73" s="112">
        <v>3.38</v>
      </c>
      <c r="C73" s="112">
        <v>22.09</v>
      </c>
      <c r="D73" s="112">
        <v>15.6</v>
      </c>
      <c r="E73" s="112">
        <v>8.91</v>
      </c>
      <c r="F73" s="112">
        <v>11.55</v>
      </c>
      <c r="G73" s="112">
        <v>72.84</v>
      </c>
      <c r="H73" s="112">
        <v>42.86</v>
      </c>
      <c r="I73" s="112">
        <v>8.4499999999999993</v>
      </c>
      <c r="J73" s="112">
        <v>0.56000000000000005</v>
      </c>
      <c r="K73" s="112">
        <v>40.71</v>
      </c>
      <c r="L73" s="112">
        <v>26.02</v>
      </c>
      <c r="M73" s="112">
        <v>34.15</v>
      </c>
      <c r="N73" s="112">
        <v>29.3</v>
      </c>
      <c r="O73" s="112">
        <v>0</v>
      </c>
      <c r="P73" s="112">
        <v>0.68</v>
      </c>
      <c r="Q73" s="112">
        <v>4.75</v>
      </c>
    </row>
    <row r="74" spans="1:17" customFormat="1">
      <c r="A74" s="80">
        <v>45616.6875</v>
      </c>
      <c r="B74" s="112">
        <v>3.45</v>
      </c>
      <c r="C74" s="112">
        <v>22.76</v>
      </c>
      <c r="D74" s="112">
        <v>16</v>
      </c>
      <c r="E74" s="112">
        <v>8.64</v>
      </c>
      <c r="F74" s="112">
        <v>9.64</v>
      </c>
      <c r="G74" s="112">
        <v>79.239999999999995</v>
      </c>
      <c r="H74" s="112">
        <v>29.46</v>
      </c>
      <c r="I74" s="112">
        <v>8.39</v>
      </c>
      <c r="J74" s="112">
        <v>0.47</v>
      </c>
      <c r="K74" s="112">
        <v>43.75</v>
      </c>
      <c r="L74" s="112">
        <v>25.63</v>
      </c>
      <c r="M74" s="112">
        <v>35.869999999999997</v>
      </c>
      <c r="N74" s="112">
        <v>20.5</v>
      </c>
      <c r="O74" s="112">
        <v>0</v>
      </c>
      <c r="P74" s="112">
        <v>0.69</v>
      </c>
      <c r="Q74" s="112">
        <v>4.7300000000000004</v>
      </c>
    </row>
    <row r="75" spans="1:17" customFormat="1">
      <c r="A75" s="80">
        <v>45616.697916666664</v>
      </c>
      <c r="B75" s="112">
        <v>3.5</v>
      </c>
      <c r="C75" s="112">
        <v>23.4</v>
      </c>
      <c r="D75" s="112">
        <v>16.38</v>
      </c>
      <c r="E75" s="112">
        <v>8.2899999999999991</v>
      </c>
      <c r="F75" s="112">
        <v>8.58</v>
      </c>
      <c r="G75" s="112">
        <v>79.239999999999995</v>
      </c>
      <c r="H75" s="112">
        <v>29.46</v>
      </c>
      <c r="I75" s="112">
        <v>8.36</v>
      </c>
      <c r="J75" s="112">
        <v>0.47</v>
      </c>
      <c r="K75" s="112">
        <v>46.19</v>
      </c>
      <c r="L75" s="112">
        <v>25.13</v>
      </c>
      <c r="M75" s="112">
        <v>37.159999999999997</v>
      </c>
      <c r="N75" s="112">
        <v>12.9</v>
      </c>
      <c r="O75" s="112">
        <v>0</v>
      </c>
      <c r="P75" s="112">
        <v>0.7</v>
      </c>
      <c r="Q75" s="112">
        <v>4.75</v>
      </c>
    </row>
    <row r="76" spans="1:17" customFormat="1">
      <c r="A76" s="80">
        <v>45616.708333333336</v>
      </c>
      <c r="B76" s="112">
        <v>3.57</v>
      </c>
      <c r="C76" s="112">
        <v>24.07</v>
      </c>
      <c r="D76" s="112">
        <v>16.79</v>
      </c>
      <c r="E76" s="112">
        <v>7.67</v>
      </c>
      <c r="F76" s="112">
        <v>7.74</v>
      </c>
      <c r="G76" s="112">
        <v>79.239999999999995</v>
      </c>
      <c r="H76" s="112">
        <v>29.46</v>
      </c>
      <c r="I76" s="112">
        <v>8.36</v>
      </c>
      <c r="J76" s="112">
        <v>0.5</v>
      </c>
      <c r="K76" s="112">
        <v>51.37</v>
      </c>
      <c r="L76" s="112">
        <v>24.6</v>
      </c>
      <c r="M76" s="112">
        <v>38.590000000000003</v>
      </c>
      <c r="N76" s="112">
        <v>6.7</v>
      </c>
      <c r="O76" s="112">
        <v>0</v>
      </c>
      <c r="P76" s="112">
        <v>0.71</v>
      </c>
      <c r="Q76" s="112">
        <v>4.75</v>
      </c>
    </row>
    <row r="77" spans="1:17" customFormat="1">
      <c r="A77" s="80">
        <v>45616.71875</v>
      </c>
      <c r="B77" s="112">
        <v>3.72</v>
      </c>
      <c r="C77" s="112">
        <v>24.65</v>
      </c>
      <c r="D77" s="112">
        <v>17.21</v>
      </c>
      <c r="E77" s="112">
        <v>7.48</v>
      </c>
      <c r="F77" s="112">
        <v>7.15</v>
      </c>
      <c r="G77" s="112">
        <v>79.37</v>
      </c>
      <c r="H77" s="112">
        <v>29.56</v>
      </c>
      <c r="I77" s="112">
        <v>8.4</v>
      </c>
      <c r="J77" s="112">
        <v>0.43</v>
      </c>
      <c r="K77" s="112">
        <v>55.1</v>
      </c>
      <c r="L77" s="112">
        <v>24.2</v>
      </c>
      <c r="M77" s="112">
        <v>39.69</v>
      </c>
      <c r="N77" s="112">
        <v>2.9</v>
      </c>
      <c r="O77" s="112">
        <v>0</v>
      </c>
      <c r="P77" s="112">
        <v>0.73</v>
      </c>
      <c r="Q77" s="112">
        <v>4.76</v>
      </c>
    </row>
    <row r="78" spans="1:17" customFormat="1">
      <c r="A78" s="80">
        <v>45616.729166666664</v>
      </c>
      <c r="B78" s="112">
        <v>4.04</v>
      </c>
      <c r="C78" s="112">
        <v>25.07</v>
      </c>
      <c r="D78" s="112">
        <v>17.690000000000001</v>
      </c>
      <c r="E78" s="112">
        <v>7.97</v>
      </c>
      <c r="F78" s="112">
        <v>6.46</v>
      </c>
      <c r="G78" s="112">
        <v>84.92</v>
      </c>
      <c r="H78" s="112">
        <v>35.92</v>
      </c>
      <c r="I78" s="112">
        <v>8.4600000000000009</v>
      </c>
      <c r="J78" s="112">
        <v>0.41</v>
      </c>
      <c r="K78" s="112">
        <v>53.06</v>
      </c>
      <c r="L78" s="112">
        <v>23.81</v>
      </c>
      <c r="M78" s="112">
        <v>40.869999999999997</v>
      </c>
      <c r="N78" s="112">
        <v>1.8</v>
      </c>
      <c r="O78" s="112">
        <v>0</v>
      </c>
      <c r="P78" s="112">
        <v>0.74</v>
      </c>
      <c r="Q78" s="112">
        <v>4.76</v>
      </c>
    </row>
    <row r="79" spans="1:17" customFormat="1">
      <c r="A79" s="80">
        <v>45616.739583333336</v>
      </c>
      <c r="B79" s="112">
        <v>4.3899999999999997</v>
      </c>
      <c r="C79" s="112">
        <v>25.07</v>
      </c>
      <c r="D79" s="112">
        <v>17.97</v>
      </c>
      <c r="E79" s="112">
        <v>7.7</v>
      </c>
      <c r="F79" s="112">
        <v>6.19</v>
      </c>
      <c r="G79" s="112">
        <v>84.92</v>
      </c>
      <c r="H79" s="112">
        <v>35.92</v>
      </c>
      <c r="I79" s="112">
        <v>8.52</v>
      </c>
      <c r="J79" s="112">
        <v>0.19</v>
      </c>
      <c r="K79" s="112">
        <v>135.88</v>
      </c>
      <c r="L79" s="112">
        <v>22.8</v>
      </c>
      <c r="M79" s="112">
        <v>49.71</v>
      </c>
      <c r="N79" s="112">
        <v>2.2000000000000002</v>
      </c>
      <c r="O79" s="112">
        <v>0</v>
      </c>
      <c r="P79" s="112">
        <v>0.74</v>
      </c>
      <c r="Q79" s="112">
        <v>4.75</v>
      </c>
    </row>
    <row r="80" spans="1:17" customFormat="1">
      <c r="A80" s="80">
        <v>45616.75</v>
      </c>
      <c r="B80" s="112">
        <v>4.74</v>
      </c>
      <c r="C80" s="112">
        <v>24.68</v>
      </c>
      <c r="D80" s="112">
        <v>18.04</v>
      </c>
      <c r="E80" s="112">
        <v>8.3000000000000007</v>
      </c>
      <c r="F80" s="112">
        <v>6</v>
      </c>
      <c r="G80" s="112">
        <v>84.92</v>
      </c>
      <c r="H80" s="112">
        <v>35.92</v>
      </c>
      <c r="I80" s="112">
        <v>8.58</v>
      </c>
      <c r="J80" s="112">
        <v>0.33</v>
      </c>
      <c r="K80" s="112">
        <v>46.81</v>
      </c>
      <c r="L80" s="112">
        <v>22.49</v>
      </c>
      <c r="M80" s="112">
        <v>46.61</v>
      </c>
      <c r="N80" s="112">
        <v>1.3</v>
      </c>
      <c r="O80" s="112">
        <v>0</v>
      </c>
      <c r="P80" s="112">
        <v>0.73</v>
      </c>
      <c r="Q80" s="112">
        <v>4.7300000000000004</v>
      </c>
    </row>
    <row r="81" spans="1:17" customFormat="1">
      <c r="A81" s="80">
        <v>45616.760416666664</v>
      </c>
      <c r="B81" s="112">
        <v>5.2</v>
      </c>
      <c r="C81" s="112">
        <v>24.21</v>
      </c>
      <c r="D81" s="112">
        <v>18.170000000000002</v>
      </c>
      <c r="E81" s="112">
        <v>8.8800000000000008</v>
      </c>
      <c r="F81" s="112">
        <v>6.04</v>
      </c>
      <c r="G81" s="112">
        <v>85.29</v>
      </c>
      <c r="H81" s="112">
        <v>35.96</v>
      </c>
      <c r="I81" s="112">
        <v>8.66</v>
      </c>
      <c r="J81" s="112">
        <v>0.41</v>
      </c>
      <c r="K81" s="112">
        <v>46.06</v>
      </c>
      <c r="L81" s="112">
        <v>22.76</v>
      </c>
      <c r="M81" s="112">
        <v>44.28</v>
      </c>
      <c r="N81" s="112">
        <v>1.1000000000000001</v>
      </c>
      <c r="O81" s="112">
        <v>0</v>
      </c>
      <c r="P81" s="112">
        <v>0.74</v>
      </c>
      <c r="Q81" s="112">
        <v>4.72</v>
      </c>
    </row>
    <row r="82" spans="1:17" customFormat="1">
      <c r="A82" s="80">
        <v>45616.770833333336</v>
      </c>
      <c r="B82" s="112">
        <v>5.73</v>
      </c>
      <c r="C82" s="112">
        <v>23.8</v>
      </c>
      <c r="D82" s="112">
        <v>18.38</v>
      </c>
      <c r="E82" s="112">
        <v>9.75</v>
      </c>
      <c r="F82" s="112">
        <v>6.03</v>
      </c>
      <c r="G82" s="112">
        <v>101.87</v>
      </c>
      <c r="H82" s="112">
        <v>38.69</v>
      </c>
      <c r="I82" s="112">
        <v>8.7799999999999994</v>
      </c>
      <c r="J82" s="112">
        <v>0.37</v>
      </c>
      <c r="K82" s="112">
        <v>33.97</v>
      </c>
      <c r="L82" s="112">
        <v>22.73</v>
      </c>
      <c r="M82" s="112">
        <v>43.87</v>
      </c>
      <c r="N82" s="112">
        <v>1.1000000000000001</v>
      </c>
      <c r="O82" s="112">
        <v>0</v>
      </c>
      <c r="P82" s="112">
        <v>0.75</v>
      </c>
      <c r="Q82" s="112">
        <v>4.7300000000000004</v>
      </c>
    </row>
    <row r="83" spans="1:17" customFormat="1">
      <c r="A83" s="80">
        <v>45616.78125</v>
      </c>
      <c r="B83" s="112">
        <v>6.24</v>
      </c>
      <c r="C83" s="112">
        <v>23.54</v>
      </c>
      <c r="D83" s="112">
        <v>18.649999999999999</v>
      </c>
      <c r="E83" s="112">
        <v>10.38</v>
      </c>
      <c r="F83" s="112">
        <v>5.99</v>
      </c>
      <c r="G83" s="112">
        <v>101.87</v>
      </c>
      <c r="H83" s="112">
        <v>38.69</v>
      </c>
      <c r="I83" s="112">
        <v>8.91</v>
      </c>
      <c r="J83" s="112">
        <v>0.18</v>
      </c>
      <c r="K83" s="112">
        <v>43.96</v>
      </c>
      <c r="L83" s="112">
        <v>22.42</v>
      </c>
      <c r="M83" s="112">
        <v>47.76</v>
      </c>
      <c r="N83" s="112">
        <v>1.7</v>
      </c>
      <c r="O83" s="112">
        <v>0</v>
      </c>
      <c r="P83" s="112">
        <v>0.77</v>
      </c>
      <c r="Q83" s="112">
        <v>4.74</v>
      </c>
    </row>
    <row r="84" spans="1:17" customFormat="1">
      <c r="A84" s="80">
        <v>45616.791666666664</v>
      </c>
      <c r="B84" s="112">
        <v>6.45</v>
      </c>
      <c r="C84" s="112">
        <v>23.43</v>
      </c>
      <c r="D84" s="112">
        <v>18.760000000000002</v>
      </c>
      <c r="E84" s="112">
        <v>10.14</v>
      </c>
      <c r="F84" s="112">
        <v>5.83</v>
      </c>
      <c r="G84" s="112">
        <v>101.87</v>
      </c>
      <c r="H84" s="112">
        <v>38.69</v>
      </c>
      <c r="I84" s="112">
        <v>9.02</v>
      </c>
      <c r="J84" s="112">
        <v>0.2</v>
      </c>
      <c r="K84" s="112">
        <v>170.63</v>
      </c>
      <c r="L84" s="112">
        <v>21.29</v>
      </c>
      <c r="M84" s="112">
        <v>53.21</v>
      </c>
      <c r="N84" s="112">
        <v>2.1</v>
      </c>
      <c r="O84" s="112">
        <v>0</v>
      </c>
      <c r="P84" s="112">
        <v>0.79</v>
      </c>
      <c r="Q84" s="112">
        <v>4.7300000000000004</v>
      </c>
    </row>
    <row r="85" spans="1:17" customFormat="1">
      <c r="A85" s="80">
        <v>45616.802083333336</v>
      </c>
      <c r="B85" s="112">
        <v>6.42</v>
      </c>
      <c r="C85" s="112">
        <v>23.24</v>
      </c>
      <c r="D85" s="112">
        <v>18.64</v>
      </c>
      <c r="E85" s="112">
        <v>10.29</v>
      </c>
      <c r="F85" s="112">
        <v>5.82</v>
      </c>
      <c r="G85" s="112">
        <v>102.15</v>
      </c>
      <c r="H85" s="112">
        <v>38.96</v>
      </c>
      <c r="I85" s="112">
        <v>9.1300000000000008</v>
      </c>
      <c r="J85" s="112">
        <v>0.19</v>
      </c>
      <c r="K85" s="112">
        <v>174.82</v>
      </c>
      <c r="L85" s="112">
        <v>20.56</v>
      </c>
      <c r="M85" s="112">
        <v>63.39</v>
      </c>
      <c r="N85" s="112">
        <v>1.9</v>
      </c>
      <c r="O85" s="112">
        <v>0</v>
      </c>
      <c r="P85" s="112">
        <v>0.8</v>
      </c>
      <c r="Q85" s="112">
        <v>4.7300000000000004</v>
      </c>
    </row>
    <row r="86" spans="1:17" customFormat="1">
      <c r="A86" s="80">
        <v>45616.8125</v>
      </c>
      <c r="B86" s="112">
        <v>6.31</v>
      </c>
      <c r="C86" s="112">
        <v>22.74</v>
      </c>
      <c r="D86" s="112">
        <v>18.29</v>
      </c>
      <c r="E86" s="112">
        <v>9.93</v>
      </c>
      <c r="F86" s="112">
        <v>5.83</v>
      </c>
      <c r="G86" s="112">
        <v>114.47</v>
      </c>
      <c r="H86" s="112">
        <v>47.7</v>
      </c>
      <c r="I86" s="112">
        <v>9.24</v>
      </c>
      <c r="J86" s="112">
        <v>0.21</v>
      </c>
      <c r="K86" s="112">
        <v>171.08</v>
      </c>
      <c r="L86" s="112">
        <v>20.12</v>
      </c>
      <c r="M86" s="112">
        <v>68.150000000000006</v>
      </c>
      <c r="N86" s="112">
        <v>1.7</v>
      </c>
      <c r="O86" s="112">
        <v>0</v>
      </c>
      <c r="P86" s="112">
        <v>0.81</v>
      </c>
      <c r="Q86" s="112">
        <v>4.72</v>
      </c>
    </row>
    <row r="87" spans="1:17" customFormat="1">
      <c r="A87" s="80">
        <v>45616.822916666664</v>
      </c>
      <c r="B87" s="112">
        <v>6.3</v>
      </c>
      <c r="C87" s="112">
        <v>22.31</v>
      </c>
      <c r="D87" s="112">
        <v>18.059999999999999</v>
      </c>
      <c r="E87" s="112">
        <v>10.02</v>
      </c>
      <c r="F87" s="112">
        <v>5.77</v>
      </c>
      <c r="G87" s="112">
        <v>114.47</v>
      </c>
      <c r="H87" s="112">
        <v>47.7</v>
      </c>
      <c r="I87" s="112">
        <v>9.35</v>
      </c>
      <c r="J87" s="112">
        <v>0.19</v>
      </c>
      <c r="K87" s="112">
        <v>202.48</v>
      </c>
      <c r="L87" s="112">
        <v>19.600000000000001</v>
      </c>
      <c r="M87" s="112">
        <v>74.59</v>
      </c>
      <c r="N87" s="112">
        <v>1.9</v>
      </c>
      <c r="O87" s="112">
        <v>0</v>
      </c>
      <c r="P87" s="112">
        <v>0.81</v>
      </c>
      <c r="Q87" s="112">
        <v>4.74</v>
      </c>
    </row>
    <row r="88" spans="1:17" customFormat="1">
      <c r="A88" s="80">
        <v>45616.833333333336</v>
      </c>
      <c r="B88" s="112">
        <v>6.27</v>
      </c>
      <c r="C88" s="112">
        <v>21.77</v>
      </c>
      <c r="D88" s="112">
        <v>17.760000000000002</v>
      </c>
      <c r="E88" s="112">
        <v>10.220000000000001</v>
      </c>
      <c r="F88" s="112">
        <v>5.79</v>
      </c>
      <c r="G88" s="112">
        <v>114.47</v>
      </c>
      <c r="H88" s="112">
        <v>47.7</v>
      </c>
      <c r="I88" s="112">
        <v>9.44</v>
      </c>
      <c r="J88" s="112">
        <v>0.15</v>
      </c>
      <c r="K88" s="112">
        <v>170.72</v>
      </c>
      <c r="L88" s="112">
        <v>19.05</v>
      </c>
      <c r="M88" s="112">
        <v>73.709999999999994</v>
      </c>
      <c r="N88" s="112">
        <v>1.6</v>
      </c>
      <c r="O88" s="112">
        <v>0</v>
      </c>
      <c r="P88" s="112">
        <v>0.82</v>
      </c>
      <c r="Q88" s="112">
        <v>4.75</v>
      </c>
    </row>
    <row r="89" spans="1:17" customFormat="1">
      <c r="A89" s="80">
        <v>45616.84375</v>
      </c>
      <c r="B89" s="112">
        <v>6.26</v>
      </c>
      <c r="C89" s="112">
        <v>21.29</v>
      </c>
      <c r="D89" s="112">
        <v>17.489999999999998</v>
      </c>
      <c r="E89" s="112">
        <v>9.9700000000000006</v>
      </c>
      <c r="F89" s="112">
        <v>5.8</v>
      </c>
      <c r="G89" s="112">
        <v>114.11</v>
      </c>
      <c r="H89" s="112">
        <v>47.46</v>
      </c>
      <c r="I89" s="112">
        <v>9.5500000000000007</v>
      </c>
      <c r="J89" s="112">
        <v>0.16</v>
      </c>
      <c r="K89" s="112">
        <v>162.11000000000001</v>
      </c>
      <c r="L89" s="112">
        <v>18.989999999999998</v>
      </c>
      <c r="M89" s="112">
        <v>72.260000000000005</v>
      </c>
      <c r="N89" s="112">
        <v>1.4</v>
      </c>
      <c r="O89" s="112">
        <v>0</v>
      </c>
      <c r="P89" s="112">
        <v>0.85</v>
      </c>
      <c r="Q89" s="112">
        <v>4.74</v>
      </c>
    </row>
    <row r="90" spans="1:17" customFormat="1">
      <c r="A90" s="80">
        <v>45616.854166666664</v>
      </c>
      <c r="B90" s="112">
        <v>6.33</v>
      </c>
      <c r="C90" s="112">
        <v>21.08</v>
      </c>
      <c r="D90" s="112">
        <v>17.440000000000001</v>
      </c>
      <c r="E90" s="112">
        <v>10.19</v>
      </c>
      <c r="F90" s="112">
        <v>5.67</v>
      </c>
      <c r="G90" s="112">
        <v>98.2</v>
      </c>
      <c r="H90" s="112">
        <v>31.62</v>
      </c>
      <c r="I90" s="112">
        <v>9.68</v>
      </c>
      <c r="J90" s="112">
        <v>0.13</v>
      </c>
      <c r="K90" s="112">
        <v>205.22</v>
      </c>
      <c r="L90" s="112">
        <v>19.04</v>
      </c>
      <c r="M90" s="112">
        <v>71.73</v>
      </c>
      <c r="N90" s="112">
        <v>1.2</v>
      </c>
      <c r="O90" s="112">
        <v>0</v>
      </c>
      <c r="P90" s="112">
        <v>0.85</v>
      </c>
      <c r="Q90" s="112">
        <v>4.72</v>
      </c>
    </row>
    <row r="91" spans="1:17" customFormat="1">
      <c r="A91" s="80">
        <v>45616.864583333336</v>
      </c>
      <c r="B91" s="112">
        <v>6.95</v>
      </c>
      <c r="C91" s="112">
        <v>21.12</v>
      </c>
      <c r="D91" s="112">
        <v>17.96</v>
      </c>
      <c r="E91" s="112">
        <v>10.27</v>
      </c>
      <c r="F91" s="112">
        <v>5.61</v>
      </c>
      <c r="G91" s="112">
        <v>98.2</v>
      </c>
      <c r="H91" s="112">
        <v>31.62</v>
      </c>
      <c r="I91" s="112">
        <v>9.82</v>
      </c>
      <c r="J91" s="112">
        <v>0.15</v>
      </c>
      <c r="K91" s="112">
        <v>204.37</v>
      </c>
      <c r="L91" s="112">
        <v>18.77</v>
      </c>
      <c r="M91" s="112">
        <v>75.11</v>
      </c>
      <c r="N91" s="112">
        <v>1.4</v>
      </c>
      <c r="O91" s="112">
        <v>0</v>
      </c>
      <c r="P91" s="112">
        <v>0.88</v>
      </c>
      <c r="Q91" s="112">
        <v>4.74</v>
      </c>
    </row>
    <row r="92" spans="1:17" customFormat="1">
      <c r="A92" s="80">
        <v>45616.875</v>
      </c>
      <c r="B92" s="112">
        <v>7.48</v>
      </c>
      <c r="C92" s="112">
        <v>21.05</v>
      </c>
      <c r="D92" s="112">
        <v>18.350000000000001</v>
      </c>
      <c r="E92" s="112">
        <v>10.09</v>
      </c>
      <c r="F92" s="112">
        <v>5.51</v>
      </c>
      <c r="G92" s="112">
        <v>98.2</v>
      </c>
      <c r="H92" s="112">
        <v>31.62</v>
      </c>
      <c r="I92" s="112">
        <v>9.99</v>
      </c>
      <c r="J92" s="112">
        <v>0.2</v>
      </c>
      <c r="K92" s="112">
        <v>202.21</v>
      </c>
      <c r="L92" s="112">
        <v>18.329999999999998</v>
      </c>
      <c r="M92" s="112">
        <v>81.05</v>
      </c>
      <c r="N92" s="112">
        <v>1.7</v>
      </c>
      <c r="O92" s="112">
        <v>0</v>
      </c>
      <c r="P92" s="112">
        <v>0.88</v>
      </c>
      <c r="Q92" s="112">
        <v>4.7300000000000004</v>
      </c>
    </row>
    <row r="93" spans="1:17" customFormat="1">
      <c r="A93" s="80">
        <v>45616.885416666664</v>
      </c>
      <c r="B93" s="112">
        <v>7.57</v>
      </c>
      <c r="C93" s="112">
        <v>20.61</v>
      </c>
      <c r="D93" s="112">
        <v>18.190000000000001</v>
      </c>
      <c r="E93" s="112">
        <v>10.039999999999999</v>
      </c>
      <c r="F93" s="112">
        <v>5.51</v>
      </c>
      <c r="G93" s="112">
        <v>98.29</v>
      </c>
      <c r="H93" s="112">
        <v>31.43</v>
      </c>
      <c r="I93" s="112">
        <v>10.199999999999999</v>
      </c>
      <c r="J93" s="112">
        <v>0.19</v>
      </c>
      <c r="K93" s="112">
        <v>220.43</v>
      </c>
      <c r="L93" s="112">
        <v>18.03</v>
      </c>
      <c r="M93" s="112">
        <v>79.95</v>
      </c>
      <c r="N93" s="112">
        <v>1.5</v>
      </c>
      <c r="O93" s="112">
        <v>0</v>
      </c>
      <c r="P93" s="112">
        <v>0.9</v>
      </c>
      <c r="Q93" s="112">
        <v>4.74</v>
      </c>
    </row>
    <row r="94" spans="1:17" customFormat="1">
      <c r="A94" s="80">
        <v>45616.895833333336</v>
      </c>
      <c r="B94" s="112">
        <v>7.44</v>
      </c>
      <c r="C94" s="112">
        <v>20.239999999999998</v>
      </c>
      <c r="D94" s="112">
        <v>17.899999999999999</v>
      </c>
      <c r="E94" s="112">
        <v>10.15</v>
      </c>
      <c r="F94" s="112">
        <v>5.52</v>
      </c>
      <c r="G94" s="112">
        <v>102.38</v>
      </c>
      <c r="H94" s="112">
        <v>18.920000000000002</v>
      </c>
      <c r="I94" s="112">
        <v>10.33</v>
      </c>
      <c r="J94" s="112">
        <v>0.14000000000000001</v>
      </c>
      <c r="K94" s="112">
        <v>223.1</v>
      </c>
      <c r="L94" s="112">
        <v>17.899999999999999</v>
      </c>
      <c r="M94" s="112">
        <v>79.92</v>
      </c>
      <c r="N94" s="112">
        <v>1.4</v>
      </c>
      <c r="O94" s="112">
        <v>0</v>
      </c>
      <c r="P94" s="112">
        <v>0.9</v>
      </c>
      <c r="Q94" s="112">
        <v>4.7300000000000004</v>
      </c>
    </row>
    <row r="95" spans="1:17" customFormat="1">
      <c r="A95" s="80">
        <v>45616.90625</v>
      </c>
      <c r="B95" s="112">
        <v>7.33</v>
      </c>
      <c r="C95" s="112">
        <v>19.760000000000002</v>
      </c>
      <c r="D95" s="112">
        <v>17.55</v>
      </c>
      <c r="E95" s="112">
        <v>10</v>
      </c>
      <c r="F95" s="112">
        <v>5.57</v>
      </c>
      <c r="G95" s="112">
        <v>102.38</v>
      </c>
      <c r="H95" s="112">
        <v>18.920000000000002</v>
      </c>
      <c r="I95" s="112">
        <v>10.38</v>
      </c>
      <c r="J95" s="112">
        <v>0.15</v>
      </c>
      <c r="K95" s="112">
        <v>196.16</v>
      </c>
      <c r="L95" s="112">
        <v>17.97</v>
      </c>
      <c r="M95" s="112">
        <v>78.959999999999994</v>
      </c>
      <c r="N95" s="112">
        <v>1.3</v>
      </c>
      <c r="O95" s="112">
        <v>0</v>
      </c>
      <c r="P95" s="112">
        <v>0.9</v>
      </c>
      <c r="Q95" s="112">
        <v>4.7300000000000004</v>
      </c>
    </row>
    <row r="96" spans="1:17" customFormat="1">
      <c r="A96" s="80">
        <v>45616.916666666664</v>
      </c>
      <c r="B96" s="112">
        <v>7.24</v>
      </c>
      <c r="C96" s="112">
        <v>19.36</v>
      </c>
      <c r="D96" s="112">
        <v>17.27</v>
      </c>
      <c r="E96" s="112">
        <v>9.94</v>
      </c>
      <c r="F96" s="112">
        <v>5.56</v>
      </c>
      <c r="G96" s="112">
        <v>102.38</v>
      </c>
      <c r="H96" s="112">
        <v>18.920000000000002</v>
      </c>
      <c r="I96" s="112">
        <v>10.4</v>
      </c>
      <c r="J96" s="112">
        <v>0.14000000000000001</v>
      </c>
      <c r="K96" s="112">
        <v>193.49</v>
      </c>
      <c r="L96" s="112">
        <v>17.91</v>
      </c>
      <c r="M96" s="112">
        <v>81.73</v>
      </c>
      <c r="N96" s="112">
        <v>1.3</v>
      </c>
      <c r="O96" s="112">
        <v>0</v>
      </c>
      <c r="P96" s="112">
        <v>0.91</v>
      </c>
      <c r="Q96" s="112">
        <v>4.74</v>
      </c>
    </row>
    <row r="97" spans="1:22" customFormat="1">
      <c r="A97" s="80">
        <v>45616.927083333336</v>
      </c>
      <c r="B97" s="112">
        <v>7.18</v>
      </c>
      <c r="C97" s="112">
        <v>19.100000000000001</v>
      </c>
      <c r="D97" s="112">
        <v>17.09</v>
      </c>
      <c r="E97" s="112">
        <v>10.220000000000001</v>
      </c>
      <c r="F97" s="112">
        <v>5.57</v>
      </c>
      <c r="G97" s="112">
        <v>102.32</v>
      </c>
      <c r="H97" s="112">
        <v>19.059999999999999</v>
      </c>
      <c r="I97" s="112">
        <v>10.4</v>
      </c>
      <c r="J97" s="112">
        <v>0.17</v>
      </c>
      <c r="K97" s="112">
        <v>220.97</v>
      </c>
      <c r="L97" s="112">
        <v>17.649999999999999</v>
      </c>
      <c r="M97" s="112">
        <v>83.52</v>
      </c>
      <c r="N97" s="112">
        <v>1.5</v>
      </c>
      <c r="O97" s="112">
        <v>0</v>
      </c>
      <c r="P97" s="112">
        <v>0.91</v>
      </c>
      <c r="Q97" s="112">
        <v>4.74</v>
      </c>
    </row>
    <row r="98" spans="1:22" customFormat="1">
      <c r="A98" s="80">
        <v>45616.9375</v>
      </c>
      <c r="B98" s="112">
        <v>7.06</v>
      </c>
      <c r="C98" s="112">
        <v>18.77</v>
      </c>
      <c r="D98" s="112">
        <v>16.82</v>
      </c>
      <c r="E98" s="112">
        <v>10.34</v>
      </c>
      <c r="F98" s="112">
        <v>5.53</v>
      </c>
      <c r="G98" s="112">
        <v>99.55</v>
      </c>
      <c r="H98" s="112">
        <v>27.96</v>
      </c>
      <c r="I98" s="112">
        <v>10.45</v>
      </c>
      <c r="J98" s="112">
        <v>0.15</v>
      </c>
      <c r="K98" s="112">
        <v>224.95</v>
      </c>
      <c r="L98" s="112">
        <v>17.489999999999998</v>
      </c>
      <c r="M98" s="112">
        <v>81.760000000000005</v>
      </c>
      <c r="N98" s="112">
        <v>1.4</v>
      </c>
      <c r="O98" s="112">
        <v>0</v>
      </c>
      <c r="P98" s="112">
        <v>0.93</v>
      </c>
      <c r="Q98" s="112">
        <v>4.76</v>
      </c>
    </row>
    <row r="99" spans="1:22" customFormat="1">
      <c r="A99" s="80">
        <v>45616.947916666664</v>
      </c>
      <c r="B99" s="112">
        <v>6.9</v>
      </c>
      <c r="C99" s="112">
        <v>18.850000000000001</v>
      </c>
      <c r="D99" s="112">
        <v>16.73</v>
      </c>
      <c r="E99" s="112">
        <v>9.73</v>
      </c>
      <c r="F99" s="112">
        <v>5.59</v>
      </c>
      <c r="G99" s="112">
        <v>99.55</v>
      </c>
      <c r="H99" s="112">
        <v>27.96</v>
      </c>
      <c r="I99" s="112">
        <v>10.53</v>
      </c>
      <c r="J99" s="112">
        <v>0.13</v>
      </c>
      <c r="K99" s="112">
        <v>226.41</v>
      </c>
      <c r="L99" s="112">
        <v>17.46</v>
      </c>
      <c r="M99" s="112">
        <v>81.08</v>
      </c>
      <c r="N99" s="112">
        <v>1.3</v>
      </c>
      <c r="O99" s="112">
        <v>0</v>
      </c>
      <c r="P99" s="112">
        <v>0.94</v>
      </c>
      <c r="Q99" s="112">
        <v>4.7699999999999996</v>
      </c>
    </row>
    <row r="100" spans="1:22" customFormat="1">
      <c r="A100" s="80">
        <v>45616.958333333336</v>
      </c>
      <c r="B100" s="112">
        <v>6.7</v>
      </c>
      <c r="C100" s="112">
        <v>18.93</v>
      </c>
      <c r="D100" s="112">
        <v>16.62</v>
      </c>
      <c r="E100" s="112">
        <v>10.02</v>
      </c>
      <c r="F100" s="112">
        <v>5.46</v>
      </c>
      <c r="G100" s="112">
        <v>99.55</v>
      </c>
      <c r="H100" s="112">
        <v>27.96</v>
      </c>
      <c r="I100" s="112">
        <v>10.61</v>
      </c>
      <c r="J100" s="112">
        <v>0.17</v>
      </c>
      <c r="K100" s="112">
        <v>231.96</v>
      </c>
      <c r="L100" s="112">
        <v>17.440000000000001</v>
      </c>
      <c r="M100" s="112">
        <v>83.63</v>
      </c>
      <c r="N100" s="112">
        <v>1.3</v>
      </c>
      <c r="O100" s="112">
        <v>0</v>
      </c>
      <c r="P100" s="112">
        <v>0.96</v>
      </c>
      <c r="Q100" s="112">
        <v>4.75</v>
      </c>
    </row>
    <row r="101" spans="1:22" customFormat="1">
      <c r="A101" s="80">
        <v>45616.96875</v>
      </c>
      <c r="B101" s="112">
        <v>6.51</v>
      </c>
      <c r="C101" s="112">
        <v>18.97</v>
      </c>
      <c r="D101" s="112">
        <v>16.48</v>
      </c>
      <c r="E101" s="112">
        <v>9.8800000000000008</v>
      </c>
      <c r="F101" s="112">
        <v>5.46</v>
      </c>
      <c r="G101" s="112">
        <v>99.8</v>
      </c>
      <c r="H101" s="112">
        <v>28.45</v>
      </c>
      <c r="I101" s="112">
        <v>10.74</v>
      </c>
      <c r="J101" s="112">
        <v>0.15</v>
      </c>
      <c r="K101" s="112">
        <v>225.49</v>
      </c>
      <c r="L101" s="112">
        <v>17.309999999999999</v>
      </c>
      <c r="M101" s="112">
        <v>82.27</v>
      </c>
      <c r="N101" s="112">
        <v>1.4</v>
      </c>
      <c r="O101" s="112">
        <v>0</v>
      </c>
      <c r="P101" s="112">
        <v>0.96</v>
      </c>
      <c r="Q101" s="112">
        <v>4.75</v>
      </c>
    </row>
    <row r="102" spans="1:22" customFormat="1">
      <c r="A102" s="80">
        <v>45616.979166666664</v>
      </c>
      <c r="B102" s="112">
        <v>6.39</v>
      </c>
      <c r="C102" s="112">
        <v>19.13</v>
      </c>
      <c r="D102" s="112">
        <v>16.47</v>
      </c>
      <c r="E102" s="112">
        <v>9.94</v>
      </c>
      <c r="F102" s="112">
        <v>5.58</v>
      </c>
      <c r="G102" s="112">
        <v>111.23</v>
      </c>
      <c r="H102" s="112">
        <v>60.13</v>
      </c>
      <c r="I102" s="112">
        <v>10.91</v>
      </c>
      <c r="J102" s="112">
        <v>0.2</v>
      </c>
      <c r="K102" s="112">
        <v>234.06</v>
      </c>
      <c r="L102" s="112">
        <v>17.29</v>
      </c>
      <c r="M102" s="112">
        <v>81.16</v>
      </c>
      <c r="N102" s="112">
        <v>1.3</v>
      </c>
      <c r="O102" s="112">
        <v>0</v>
      </c>
      <c r="P102" s="112">
        <v>0.95</v>
      </c>
      <c r="Q102" s="112">
        <v>4.75</v>
      </c>
    </row>
    <row r="103" spans="1:22" customFormat="1">
      <c r="A103" s="80">
        <v>45616.989583333336</v>
      </c>
      <c r="B103" s="112">
        <v>6.33</v>
      </c>
      <c r="C103" s="112">
        <v>19.03</v>
      </c>
      <c r="D103" s="112">
        <v>16.37</v>
      </c>
      <c r="E103" s="112">
        <v>10.26</v>
      </c>
      <c r="F103" s="112">
        <v>5.77</v>
      </c>
      <c r="G103" s="112">
        <v>111.23</v>
      </c>
      <c r="H103" s="112">
        <v>60.13</v>
      </c>
      <c r="I103" s="112">
        <v>11.07</v>
      </c>
      <c r="J103" s="112">
        <v>0.12</v>
      </c>
      <c r="K103" s="112">
        <v>198.95</v>
      </c>
      <c r="L103" s="112">
        <v>17.07</v>
      </c>
      <c r="M103" s="112">
        <v>80.17</v>
      </c>
      <c r="N103" s="112">
        <v>1.4</v>
      </c>
      <c r="O103" s="112">
        <v>0</v>
      </c>
      <c r="P103" s="112">
        <v>0.96</v>
      </c>
      <c r="Q103" s="112">
        <v>4.74</v>
      </c>
    </row>
    <row r="104" spans="1:22" customFormat="1">
      <c r="A104" s="80">
        <v>45617</v>
      </c>
      <c r="B104" s="112">
        <v>6.25</v>
      </c>
      <c r="C104" s="112">
        <v>19.079999999999998</v>
      </c>
      <c r="D104" s="112">
        <v>16.329999999999998</v>
      </c>
      <c r="E104" s="112">
        <v>10.02</v>
      </c>
      <c r="F104" s="112">
        <v>5.6</v>
      </c>
      <c r="G104" s="112">
        <v>111.23</v>
      </c>
      <c r="H104" s="112">
        <v>60.13</v>
      </c>
      <c r="I104" s="112">
        <v>11.18</v>
      </c>
      <c r="J104" s="112">
        <v>0.14000000000000001</v>
      </c>
      <c r="K104" s="112">
        <v>222.47</v>
      </c>
      <c r="L104" s="112">
        <v>17.11</v>
      </c>
      <c r="M104" s="112">
        <v>80.17</v>
      </c>
      <c r="N104" s="112">
        <v>1.3</v>
      </c>
      <c r="O104" s="112">
        <v>0</v>
      </c>
      <c r="P104" s="112">
        <v>0.96</v>
      </c>
      <c r="Q104" s="112">
        <v>4.74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3.25</v>
      </c>
      <c r="C106" s="183">
        <f>MIN(C9:C104)</f>
        <v>18.77</v>
      </c>
      <c r="D106" s="183">
        <f t="shared" ref="D106:Q106" si="0">MIN(D9:D104)</f>
        <v>14.55</v>
      </c>
      <c r="E106" s="183">
        <f t="shared" si="0"/>
        <v>6.96</v>
      </c>
      <c r="F106" s="183">
        <f t="shared" si="0"/>
        <v>5.23</v>
      </c>
      <c r="G106" s="183">
        <f t="shared" si="0"/>
        <v>72.69</v>
      </c>
      <c r="H106" s="183">
        <f t="shared" si="0"/>
        <v>0</v>
      </c>
      <c r="I106" s="183">
        <f t="shared" si="0"/>
        <v>8.36</v>
      </c>
      <c r="J106" s="183">
        <f t="shared" si="0"/>
        <v>0.03</v>
      </c>
      <c r="K106" s="183">
        <f t="shared" si="0"/>
        <v>20.89</v>
      </c>
      <c r="L106" s="183">
        <f t="shared" si="0"/>
        <v>16.5</v>
      </c>
      <c r="M106" s="183">
        <f t="shared" si="0"/>
        <v>30.6</v>
      </c>
      <c r="N106" s="183">
        <f t="shared" si="0"/>
        <v>1</v>
      </c>
      <c r="O106" s="183">
        <f t="shared" si="0"/>
        <v>0</v>
      </c>
      <c r="P106" s="183">
        <f t="shared" si="0"/>
        <v>0.67</v>
      </c>
      <c r="Q106" s="183">
        <f t="shared" si="0"/>
        <v>4.71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22.11</v>
      </c>
      <c r="C107" s="184">
        <f t="shared" ref="C107:Q107" si="1">MAX(C9:C104)</f>
        <v>25.07</v>
      </c>
      <c r="D107" s="184">
        <f t="shared" si="1"/>
        <v>30.42</v>
      </c>
      <c r="E107" s="184">
        <f t="shared" si="1"/>
        <v>11.2</v>
      </c>
      <c r="F107" s="184">
        <f t="shared" si="1"/>
        <v>14.88</v>
      </c>
      <c r="G107" s="184">
        <f t="shared" si="1"/>
        <v>128.08000000000001</v>
      </c>
      <c r="H107" s="184">
        <f t="shared" si="1"/>
        <v>120.94</v>
      </c>
      <c r="I107" s="184">
        <f t="shared" si="1"/>
        <v>15.39</v>
      </c>
      <c r="J107" s="184">
        <f t="shared" si="1"/>
        <v>0.93</v>
      </c>
      <c r="K107" s="184">
        <f t="shared" si="1"/>
        <v>268.52</v>
      </c>
      <c r="L107" s="184">
        <f t="shared" si="1"/>
        <v>27.47</v>
      </c>
      <c r="M107" s="184">
        <f t="shared" si="1"/>
        <v>88.82</v>
      </c>
      <c r="N107" s="184">
        <f t="shared" si="1"/>
        <v>469.1</v>
      </c>
      <c r="O107" s="184">
        <f t="shared" si="1"/>
        <v>0</v>
      </c>
      <c r="P107" s="184">
        <f t="shared" si="1"/>
        <v>1.05</v>
      </c>
      <c r="Q107" s="184">
        <f t="shared" si="1"/>
        <v>4.7699999999999996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11.225729166666673</v>
      </c>
      <c r="C108" s="183">
        <f t="shared" ref="C108:Q108" si="2">AVERAGE(C9:C104)</f>
        <v>21.446458333333329</v>
      </c>
      <c r="D108" s="183">
        <f t="shared" si="2"/>
        <v>21.558125000000004</v>
      </c>
      <c r="E108" s="183">
        <f t="shared" si="2"/>
        <v>9.4408333333333285</v>
      </c>
      <c r="F108" s="183">
        <f t="shared" si="2"/>
        <v>6.884895833333335</v>
      </c>
      <c r="G108" s="183">
        <f t="shared" si="2"/>
        <v>101.55229166666659</v>
      </c>
      <c r="H108" s="183">
        <f t="shared" si="2"/>
        <v>37.280833333333327</v>
      </c>
      <c r="I108" s="183">
        <f t="shared" si="2"/>
        <v>11.581041666666669</v>
      </c>
      <c r="J108" s="183">
        <f t="shared" si="2"/>
        <v>0.3805208333333332</v>
      </c>
      <c r="K108" s="183">
        <f t="shared" si="2"/>
        <v>101.23052083333336</v>
      </c>
      <c r="L108" s="183">
        <f t="shared" si="2"/>
        <v>21.027395833333333</v>
      </c>
      <c r="M108" s="183">
        <f t="shared" si="2"/>
        <v>61.563749999999992</v>
      </c>
      <c r="N108" s="183">
        <f t="shared" si="2"/>
        <v>99.563541666666652</v>
      </c>
      <c r="O108" s="183">
        <f t="shared" si="2"/>
        <v>0</v>
      </c>
      <c r="P108" s="183">
        <f t="shared" si="2"/>
        <v>0.90531249999999963</v>
      </c>
      <c r="Q108" s="183">
        <f t="shared" si="2"/>
        <v>4.7398958333333354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7.0757126097943903</v>
      </c>
      <c r="C109" s="183">
        <f t="shared" ref="C109:Q109" si="3">STDEV(C9:C104)</f>
        <v>1.3652853792034954</v>
      </c>
      <c r="D109" s="183">
        <f t="shared" si="3"/>
        <v>5.8183620977041217</v>
      </c>
      <c r="E109" s="183">
        <f t="shared" si="3"/>
        <v>1.0610964207060416</v>
      </c>
      <c r="F109" s="183">
        <f t="shared" si="3"/>
        <v>2.4308244192981414</v>
      </c>
      <c r="G109" s="183">
        <f t="shared" si="3"/>
        <v>14.784175856151952</v>
      </c>
      <c r="H109" s="183">
        <f t="shared" si="3"/>
        <v>20.603322096290942</v>
      </c>
      <c r="I109" s="183">
        <f t="shared" si="3"/>
        <v>2.2444792992053517</v>
      </c>
      <c r="J109" s="183">
        <f t="shared" si="3"/>
        <v>0.24960756479623955</v>
      </c>
      <c r="K109" s="183">
        <f t="shared" si="3"/>
        <v>74.495148755787611</v>
      </c>
      <c r="L109" s="183">
        <f t="shared" si="3"/>
        <v>4.0983632791618785</v>
      </c>
      <c r="M109" s="183">
        <f t="shared" si="3"/>
        <v>21.322808309660498</v>
      </c>
      <c r="N109" s="183">
        <f t="shared" si="3"/>
        <v>157.34790692822384</v>
      </c>
      <c r="O109" s="183">
        <f t="shared" si="3"/>
        <v>0</v>
      </c>
      <c r="P109" s="183">
        <f t="shared" si="3"/>
        <v>0.12262010760668168</v>
      </c>
      <c r="Q109" s="183">
        <f t="shared" si="3"/>
        <v>1.2936670983693927E-2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45617.010416666664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45617.010416666664</v>
      </c>
      <c r="B9" s="112">
        <v>6.71</v>
      </c>
      <c r="C9" s="112">
        <v>18.510000000000002</v>
      </c>
      <c r="D9" s="112">
        <v>16.41</v>
      </c>
      <c r="E9" s="112">
        <v>9.9600000000000009</v>
      </c>
      <c r="F9" s="112">
        <v>5.35</v>
      </c>
      <c r="G9" s="112">
        <v>111.55</v>
      </c>
      <c r="H9" s="112">
        <v>59.59</v>
      </c>
      <c r="I9" s="112">
        <v>11.32</v>
      </c>
      <c r="J9" s="112">
        <v>0.11</v>
      </c>
      <c r="K9" s="112">
        <v>212.91</v>
      </c>
      <c r="L9" s="112">
        <v>17.09</v>
      </c>
      <c r="M9" s="112">
        <v>81.010000000000005</v>
      </c>
      <c r="N9" s="112">
        <v>1.3</v>
      </c>
      <c r="O9" s="112">
        <v>0</v>
      </c>
      <c r="P9" s="112">
        <v>0.97</v>
      </c>
      <c r="Q9" s="112">
        <v>4.76</v>
      </c>
    </row>
    <row r="10" spans="1:21" customFormat="1">
      <c r="A10" s="80">
        <v>45617.020833333336</v>
      </c>
      <c r="B10" s="112">
        <v>7.19</v>
      </c>
      <c r="C10" s="112">
        <v>19.170000000000002</v>
      </c>
      <c r="D10" s="112">
        <v>17.13</v>
      </c>
      <c r="E10" s="112">
        <v>9.89</v>
      </c>
      <c r="F10" s="112">
        <v>5.31</v>
      </c>
      <c r="G10" s="112">
        <v>125.77</v>
      </c>
      <c r="H10" s="112">
        <v>24.27</v>
      </c>
      <c r="I10" s="112">
        <v>11.52</v>
      </c>
      <c r="J10" s="112">
        <v>0.11</v>
      </c>
      <c r="K10" s="112">
        <v>173.21</v>
      </c>
      <c r="L10" s="112">
        <v>17.03</v>
      </c>
      <c r="M10" s="112">
        <v>80.87</v>
      </c>
      <c r="N10" s="112">
        <v>1.4</v>
      </c>
      <c r="O10" s="112">
        <v>0</v>
      </c>
      <c r="P10" s="112">
        <v>0.97</v>
      </c>
      <c r="Q10" s="112">
        <v>4.7699999999999996</v>
      </c>
    </row>
    <row r="11" spans="1:21" customFormat="1">
      <c r="A11" s="80">
        <v>45617.03125</v>
      </c>
      <c r="B11" s="112">
        <v>8.34</v>
      </c>
      <c r="C11" s="112">
        <v>19.559999999999999</v>
      </c>
      <c r="D11" s="112">
        <v>18.260000000000002</v>
      </c>
      <c r="E11" s="112">
        <v>9.8699999999999992</v>
      </c>
      <c r="F11" s="112">
        <v>5.36</v>
      </c>
      <c r="G11" s="112">
        <v>125.77</v>
      </c>
      <c r="H11" s="112">
        <v>24.27</v>
      </c>
      <c r="I11" s="112">
        <v>11.7</v>
      </c>
      <c r="J11" s="112">
        <v>0.15</v>
      </c>
      <c r="K11" s="112">
        <v>166.76</v>
      </c>
      <c r="L11" s="112">
        <v>17.010000000000002</v>
      </c>
      <c r="M11" s="112">
        <v>81.84</v>
      </c>
      <c r="N11" s="112">
        <v>1.3</v>
      </c>
      <c r="O11" s="112">
        <v>0</v>
      </c>
      <c r="P11" s="112">
        <v>0.98</v>
      </c>
      <c r="Q11" s="112">
        <v>4.74</v>
      </c>
    </row>
    <row r="12" spans="1:21" customFormat="1">
      <c r="A12" s="80">
        <v>45617.041666666664</v>
      </c>
      <c r="B12" s="112">
        <v>9.83</v>
      </c>
      <c r="C12" s="112">
        <v>19.829999999999998</v>
      </c>
      <c r="D12" s="112">
        <v>19.600000000000001</v>
      </c>
      <c r="E12" s="112">
        <v>10.029999999999999</v>
      </c>
      <c r="F12" s="112">
        <v>5.47</v>
      </c>
      <c r="G12" s="112">
        <v>125.77</v>
      </c>
      <c r="H12" s="112">
        <v>24.27</v>
      </c>
      <c r="I12" s="112">
        <v>11.9</v>
      </c>
      <c r="J12" s="112">
        <v>0.16</v>
      </c>
      <c r="K12" s="112">
        <v>193.32</v>
      </c>
      <c r="L12" s="112">
        <v>17.059999999999999</v>
      </c>
      <c r="M12" s="112">
        <v>81.41</v>
      </c>
      <c r="N12" s="112">
        <v>1.2</v>
      </c>
      <c r="O12" s="112">
        <v>0</v>
      </c>
      <c r="P12" s="112">
        <v>0.99</v>
      </c>
      <c r="Q12" s="112">
        <v>4.74</v>
      </c>
    </row>
    <row r="13" spans="1:21" customFormat="1">
      <c r="A13" s="80">
        <v>45617.052083333336</v>
      </c>
      <c r="B13" s="112">
        <v>12.24</v>
      </c>
      <c r="C13" s="112">
        <v>20.39</v>
      </c>
      <c r="D13" s="112">
        <v>21.83</v>
      </c>
      <c r="E13" s="112">
        <v>10.19</v>
      </c>
      <c r="F13" s="112">
        <v>5.44</v>
      </c>
      <c r="G13" s="112">
        <v>125.79</v>
      </c>
      <c r="H13" s="112">
        <v>24.51</v>
      </c>
      <c r="I13" s="112">
        <v>12.09</v>
      </c>
      <c r="J13" s="112">
        <v>0.1</v>
      </c>
      <c r="K13" s="112">
        <v>232.99</v>
      </c>
      <c r="L13" s="112">
        <v>16.91</v>
      </c>
      <c r="M13" s="112">
        <v>86.17</v>
      </c>
      <c r="N13" s="112">
        <v>1.4</v>
      </c>
      <c r="O13" s="112">
        <v>0</v>
      </c>
      <c r="P13" s="112">
        <v>1.01</v>
      </c>
      <c r="Q13" s="112">
        <v>4.76</v>
      </c>
    </row>
    <row r="14" spans="1:21" customFormat="1">
      <c r="A14" s="80">
        <v>45617.0625</v>
      </c>
      <c r="B14" s="112">
        <v>13.52</v>
      </c>
      <c r="C14" s="112">
        <v>20.46</v>
      </c>
      <c r="D14" s="112">
        <v>22.88</v>
      </c>
      <c r="E14" s="112">
        <v>10.35</v>
      </c>
      <c r="F14" s="112">
        <v>5.41</v>
      </c>
      <c r="G14" s="112">
        <v>126.55</v>
      </c>
      <c r="H14" s="112">
        <v>40.5</v>
      </c>
      <c r="I14" s="112">
        <v>12.32</v>
      </c>
      <c r="J14" s="112">
        <v>0.13</v>
      </c>
      <c r="K14" s="112">
        <v>210.76</v>
      </c>
      <c r="L14" s="112">
        <v>16.71</v>
      </c>
      <c r="M14" s="112">
        <v>88.48</v>
      </c>
      <c r="N14" s="112">
        <v>1.4</v>
      </c>
      <c r="O14" s="112">
        <v>0</v>
      </c>
      <c r="P14" s="112">
        <v>1.02</v>
      </c>
      <c r="Q14" s="112">
        <v>4.7699999999999996</v>
      </c>
    </row>
    <row r="15" spans="1:21" customFormat="1">
      <c r="A15" s="80">
        <v>45617.072916666664</v>
      </c>
      <c r="B15" s="112">
        <v>14.25</v>
      </c>
      <c r="C15" s="112">
        <v>20.260000000000002</v>
      </c>
      <c r="D15" s="112">
        <v>23.36</v>
      </c>
      <c r="E15" s="112">
        <v>9.84</v>
      </c>
      <c r="F15" s="112">
        <v>5.6</v>
      </c>
      <c r="G15" s="112">
        <v>126.55</v>
      </c>
      <c r="H15" s="112">
        <v>40.5</v>
      </c>
      <c r="I15" s="112">
        <v>12.58</v>
      </c>
      <c r="J15" s="112">
        <v>0.1</v>
      </c>
      <c r="K15" s="112">
        <v>155.97999999999999</v>
      </c>
      <c r="L15" s="112">
        <v>16.649999999999999</v>
      </c>
      <c r="M15" s="112">
        <v>88.41</v>
      </c>
      <c r="N15" s="112">
        <v>1.3</v>
      </c>
      <c r="O15" s="112">
        <v>0</v>
      </c>
      <c r="P15" s="112">
        <v>1.03</v>
      </c>
      <c r="Q15" s="112">
        <v>4.7699999999999996</v>
      </c>
    </row>
    <row r="16" spans="1:21" customFormat="1">
      <c r="A16" s="80">
        <v>45617.083333333336</v>
      </c>
      <c r="B16" s="112">
        <v>16.329999999999998</v>
      </c>
      <c r="C16" s="112">
        <v>20.440000000000001</v>
      </c>
      <c r="D16" s="112">
        <v>25.13</v>
      </c>
      <c r="E16" s="112">
        <v>9.68</v>
      </c>
      <c r="F16" s="112">
        <v>5.52</v>
      </c>
      <c r="G16" s="112">
        <v>126.55</v>
      </c>
      <c r="H16" s="112">
        <v>40.5</v>
      </c>
      <c r="I16" s="112">
        <v>12.81</v>
      </c>
      <c r="J16" s="112">
        <v>0.17</v>
      </c>
      <c r="K16" s="112">
        <v>159.15</v>
      </c>
      <c r="L16" s="112">
        <v>16.600000000000001</v>
      </c>
      <c r="M16" s="112">
        <v>86.65</v>
      </c>
      <c r="N16" s="112">
        <v>1.3</v>
      </c>
      <c r="O16" s="112">
        <v>0</v>
      </c>
      <c r="P16" s="112">
        <v>1.04</v>
      </c>
      <c r="Q16" s="112">
        <v>4.76</v>
      </c>
    </row>
    <row r="17" spans="1:17" customFormat="1">
      <c r="A17" s="80">
        <v>45617.09375</v>
      </c>
      <c r="B17" s="112">
        <v>18.73</v>
      </c>
      <c r="C17" s="112">
        <v>20.62</v>
      </c>
      <c r="D17" s="112">
        <v>27.15</v>
      </c>
      <c r="E17" s="112">
        <v>8.35</v>
      </c>
      <c r="F17" s="112">
        <v>5.33</v>
      </c>
      <c r="G17" s="112">
        <v>126.39</v>
      </c>
      <c r="H17" s="112">
        <v>40.49</v>
      </c>
      <c r="I17" s="112">
        <v>13.06</v>
      </c>
      <c r="J17" s="112">
        <v>0.22</v>
      </c>
      <c r="K17" s="112">
        <v>43.13</v>
      </c>
      <c r="L17" s="112">
        <v>16.690000000000001</v>
      </c>
      <c r="M17" s="112">
        <v>80.98</v>
      </c>
      <c r="N17" s="112">
        <v>1</v>
      </c>
      <c r="O17" s="112">
        <v>0</v>
      </c>
      <c r="P17" s="112">
        <v>1.06</v>
      </c>
      <c r="Q17" s="112">
        <v>4.75</v>
      </c>
    </row>
    <row r="18" spans="1:17" customFormat="1">
      <c r="A18" s="80">
        <v>45617.104166666664</v>
      </c>
      <c r="B18" s="112">
        <v>20.2</v>
      </c>
      <c r="C18" s="112">
        <v>20.87</v>
      </c>
      <c r="D18" s="112">
        <v>28.45</v>
      </c>
      <c r="E18" s="112">
        <v>9.7200000000000006</v>
      </c>
      <c r="F18" s="112">
        <v>5.35</v>
      </c>
      <c r="G18" s="112">
        <v>119.34</v>
      </c>
      <c r="H18" s="112">
        <v>39.43</v>
      </c>
      <c r="I18" s="112">
        <v>13.3</v>
      </c>
      <c r="J18" s="112">
        <v>0.28000000000000003</v>
      </c>
      <c r="K18" s="112">
        <v>53.84</v>
      </c>
      <c r="L18" s="112">
        <v>16.98</v>
      </c>
      <c r="M18" s="112">
        <v>76.41</v>
      </c>
      <c r="N18" s="112">
        <v>1.1000000000000001</v>
      </c>
      <c r="O18" s="112">
        <v>0</v>
      </c>
      <c r="P18" s="112">
        <v>1.06</v>
      </c>
      <c r="Q18" s="112">
        <v>4.75</v>
      </c>
    </row>
    <row r="19" spans="1:17" customFormat="1">
      <c r="A19" s="80">
        <v>45617.114583333336</v>
      </c>
      <c r="B19" s="112">
        <v>20.47</v>
      </c>
      <c r="C19" s="112">
        <v>20.91</v>
      </c>
      <c r="D19" s="112">
        <v>28.69</v>
      </c>
      <c r="E19" s="112">
        <v>10.02</v>
      </c>
      <c r="F19" s="112">
        <v>5.36</v>
      </c>
      <c r="G19" s="112">
        <v>119.34</v>
      </c>
      <c r="H19" s="112">
        <v>39.43</v>
      </c>
      <c r="I19" s="112">
        <v>13.49</v>
      </c>
      <c r="J19" s="112">
        <v>0.17</v>
      </c>
      <c r="K19" s="112">
        <v>40.36</v>
      </c>
      <c r="L19" s="112">
        <v>16.899999999999999</v>
      </c>
      <c r="M19" s="112">
        <v>75.540000000000006</v>
      </c>
      <c r="N19" s="112">
        <v>1.3</v>
      </c>
      <c r="O19" s="112">
        <v>0</v>
      </c>
      <c r="P19" s="112">
        <v>1.07</v>
      </c>
      <c r="Q19" s="112">
        <v>4.76</v>
      </c>
    </row>
    <row r="20" spans="1:17" customFormat="1">
      <c r="A20" s="80">
        <v>45617.125</v>
      </c>
      <c r="B20" s="112">
        <v>20.16</v>
      </c>
      <c r="C20" s="112">
        <v>20.97</v>
      </c>
      <c r="D20" s="112">
        <v>28.47</v>
      </c>
      <c r="E20" s="112">
        <v>10.16</v>
      </c>
      <c r="F20" s="112">
        <v>5.32</v>
      </c>
      <c r="G20" s="112">
        <v>119.34</v>
      </c>
      <c r="H20" s="112">
        <v>39.43</v>
      </c>
      <c r="I20" s="112">
        <v>13.64</v>
      </c>
      <c r="J20" s="112">
        <v>0.05</v>
      </c>
      <c r="K20" s="112">
        <v>41.87</v>
      </c>
      <c r="L20" s="112">
        <v>16.68</v>
      </c>
      <c r="M20" s="112">
        <v>76.3</v>
      </c>
      <c r="N20" s="112">
        <v>1.4</v>
      </c>
      <c r="O20" s="112">
        <v>0</v>
      </c>
      <c r="P20" s="112">
        <v>1.07</v>
      </c>
      <c r="Q20" s="112">
        <v>4.7699999999999996</v>
      </c>
    </row>
    <row r="21" spans="1:17" customFormat="1">
      <c r="A21" s="80">
        <v>45617.135416666664</v>
      </c>
      <c r="B21" s="112">
        <v>19.71</v>
      </c>
      <c r="C21" s="112">
        <v>21.03</v>
      </c>
      <c r="D21" s="112">
        <v>28.15</v>
      </c>
      <c r="E21" s="112">
        <v>10.52</v>
      </c>
      <c r="F21" s="112">
        <v>5.21</v>
      </c>
      <c r="G21" s="112">
        <v>119.22</v>
      </c>
      <c r="H21" s="112">
        <v>39.43</v>
      </c>
      <c r="I21" s="112">
        <v>13.76</v>
      </c>
      <c r="J21" s="112">
        <v>0.17</v>
      </c>
      <c r="K21" s="112">
        <v>135.81</v>
      </c>
      <c r="L21" s="112">
        <v>16.600000000000001</v>
      </c>
      <c r="M21" s="112">
        <v>77.75</v>
      </c>
      <c r="N21" s="112">
        <v>1.5</v>
      </c>
      <c r="O21" s="112">
        <v>0</v>
      </c>
      <c r="P21" s="112">
        <v>1.07</v>
      </c>
      <c r="Q21" s="112">
        <v>4.7699999999999996</v>
      </c>
    </row>
    <row r="22" spans="1:17" customFormat="1">
      <c r="A22" s="80">
        <v>45617.145833333336</v>
      </c>
      <c r="B22" s="112">
        <v>19.100000000000001</v>
      </c>
      <c r="C22" s="112">
        <v>21.15</v>
      </c>
      <c r="D22" s="112">
        <v>27.72</v>
      </c>
      <c r="E22" s="112">
        <v>9.93</v>
      </c>
      <c r="F22" s="112">
        <v>5.42</v>
      </c>
      <c r="G22" s="112">
        <v>113.81</v>
      </c>
      <c r="H22" s="112">
        <v>39.24</v>
      </c>
      <c r="I22" s="112">
        <v>13.73</v>
      </c>
      <c r="J22" s="112">
        <v>0.23</v>
      </c>
      <c r="K22" s="112">
        <v>67.16</v>
      </c>
      <c r="L22" s="112">
        <v>16.46</v>
      </c>
      <c r="M22" s="112">
        <v>76.569999999999993</v>
      </c>
      <c r="N22" s="112">
        <v>1.4</v>
      </c>
      <c r="O22" s="112">
        <v>0</v>
      </c>
      <c r="P22" s="112">
        <v>1.05</v>
      </c>
      <c r="Q22" s="112">
        <v>4.75</v>
      </c>
    </row>
    <row r="23" spans="1:17" customFormat="1">
      <c r="A23" s="80">
        <v>45617.15625</v>
      </c>
      <c r="B23" s="112">
        <v>18.52</v>
      </c>
      <c r="C23" s="112">
        <v>20.76</v>
      </c>
      <c r="D23" s="112">
        <v>27.05</v>
      </c>
      <c r="E23" s="112">
        <v>10.039999999999999</v>
      </c>
      <c r="F23" s="112">
        <v>5.64</v>
      </c>
      <c r="G23" s="112">
        <v>113.81</v>
      </c>
      <c r="H23" s="112">
        <v>39.24</v>
      </c>
      <c r="I23" s="112">
        <v>13.64</v>
      </c>
      <c r="J23" s="112">
        <v>0.11</v>
      </c>
      <c r="K23" s="112">
        <v>138.30000000000001</v>
      </c>
      <c r="L23" s="112">
        <v>16.3</v>
      </c>
      <c r="M23" s="112">
        <v>78.97</v>
      </c>
      <c r="N23" s="112">
        <v>1.4</v>
      </c>
      <c r="O23" s="112">
        <v>0</v>
      </c>
      <c r="P23" s="112">
        <v>1.02</v>
      </c>
      <c r="Q23" s="112">
        <v>4.7300000000000004</v>
      </c>
    </row>
    <row r="24" spans="1:17" customFormat="1">
      <c r="A24" s="80">
        <v>45617.166666666664</v>
      </c>
      <c r="B24" s="112">
        <v>17.89</v>
      </c>
      <c r="C24" s="112">
        <v>20.399999999999999</v>
      </c>
      <c r="D24" s="112">
        <v>26.36</v>
      </c>
      <c r="E24" s="112">
        <v>9.94</v>
      </c>
      <c r="F24" s="112">
        <v>5.69</v>
      </c>
      <c r="G24" s="112">
        <v>113.81</v>
      </c>
      <c r="H24" s="112">
        <v>39.24</v>
      </c>
      <c r="I24" s="112">
        <v>13.53</v>
      </c>
      <c r="J24" s="112">
        <v>0.08</v>
      </c>
      <c r="K24" s="112">
        <v>138.31</v>
      </c>
      <c r="L24" s="112">
        <v>16.09</v>
      </c>
      <c r="M24" s="112">
        <v>80</v>
      </c>
      <c r="N24" s="112">
        <v>1.4</v>
      </c>
      <c r="O24" s="112">
        <v>0</v>
      </c>
      <c r="P24" s="112">
        <v>1</v>
      </c>
      <c r="Q24" s="112">
        <v>4.7300000000000004</v>
      </c>
    </row>
    <row r="25" spans="1:17" customFormat="1">
      <c r="A25" s="80">
        <v>45617.177083333336</v>
      </c>
      <c r="B25" s="112">
        <v>17.55</v>
      </c>
      <c r="C25" s="112">
        <v>20.29</v>
      </c>
      <c r="D25" s="112">
        <v>26.03</v>
      </c>
      <c r="E25" s="112">
        <v>10.25</v>
      </c>
      <c r="F25" s="112">
        <v>5.48</v>
      </c>
      <c r="G25" s="112">
        <v>113.68</v>
      </c>
      <c r="H25" s="112">
        <v>39.17</v>
      </c>
      <c r="I25" s="112">
        <v>13.42</v>
      </c>
      <c r="J25" s="112">
        <v>0.09</v>
      </c>
      <c r="K25" s="112">
        <v>156.01</v>
      </c>
      <c r="L25" s="112">
        <v>16.010000000000002</v>
      </c>
      <c r="M25" s="112">
        <v>81.099999999999994</v>
      </c>
      <c r="N25" s="112">
        <v>1.4</v>
      </c>
      <c r="O25" s="112">
        <v>0</v>
      </c>
      <c r="P25" s="112">
        <v>0.99</v>
      </c>
      <c r="Q25" s="112">
        <v>4.74</v>
      </c>
    </row>
    <row r="26" spans="1:17" customFormat="1">
      <c r="A26" s="80">
        <v>45617.1875</v>
      </c>
      <c r="B26" s="112">
        <v>17.440000000000001</v>
      </c>
      <c r="C26" s="112">
        <v>20.03</v>
      </c>
      <c r="D26" s="112">
        <v>25.8</v>
      </c>
      <c r="E26" s="112">
        <v>10.48</v>
      </c>
      <c r="F26" s="112">
        <v>5.49</v>
      </c>
      <c r="G26" s="112">
        <v>108.15</v>
      </c>
      <c r="H26" s="112">
        <v>35.049999999999997</v>
      </c>
      <c r="I26" s="112">
        <v>13.41</v>
      </c>
      <c r="J26" s="112">
        <v>0.19</v>
      </c>
      <c r="K26" s="112">
        <v>186.86</v>
      </c>
      <c r="L26" s="112">
        <v>15.74</v>
      </c>
      <c r="M26" s="112">
        <v>84.52</v>
      </c>
      <c r="N26" s="112">
        <v>1.4</v>
      </c>
      <c r="O26" s="112">
        <v>0</v>
      </c>
      <c r="P26" s="112">
        <v>0.97</v>
      </c>
      <c r="Q26" s="112">
        <v>4.7300000000000004</v>
      </c>
    </row>
    <row r="27" spans="1:17" customFormat="1">
      <c r="A27" s="80">
        <v>45617.197916666664</v>
      </c>
      <c r="B27" s="112">
        <v>17.09</v>
      </c>
      <c r="C27" s="112">
        <v>19.87</v>
      </c>
      <c r="D27" s="112">
        <v>25.43</v>
      </c>
      <c r="E27" s="112">
        <v>10.48</v>
      </c>
      <c r="F27" s="112">
        <v>5.55</v>
      </c>
      <c r="G27" s="112">
        <v>108.15</v>
      </c>
      <c r="H27" s="112">
        <v>35.049999999999997</v>
      </c>
      <c r="I27" s="112">
        <v>13.45</v>
      </c>
      <c r="J27" s="112">
        <v>0.1</v>
      </c>
      <c r="K27" s="112">
        <v>219.42</v>
      </c>
      <c r="L27" s="112">
        <v>15.4</v>
      </c>
      <c r="M27" s="112">
        <v>87.03</v>
      </c>
      <c r="N27" s="112">
        <v>1.6</v>
      </c>
      <c r="O27" s="112">
        <v>0</v>
      </c>
      <c r="P27" s="112">
        <v>0.97</v>
      </c>
      <c r="Q27" s="112">
        <v>4.76</v>
      </c>
    </row>
    <row r="28" spans="1:17" customFormat="1">
      <c r="A28" s="80">
        <v>45617.208333333336</v>
      </c>
      <c r="B28" s="112">
        <v>17.75</v>
      </c>
      <c r="C28" s="112">
        <v>19.64</v>
      </c>
      <c r="D28" s="112">
        <v>25.85</v>
      </c>
      <c r="E28" s="112">
        <v>10.27</v>
      </c>
      <c r="F28" s="112">
        <v>5.56</v>
      </c>
      <c r="G28" s="112">
        <v>108.15</v>
      </c>
      <c r="H28" s="112">
        <v>35.049999999999997</v>
      </c>
      <c r="I28" s="112">
        <v>13.39</v>
      </c>
      <c r="J28" s="112">
        <v>0.1</v>
      </c>
      <c r="K28" s="112">
        <v>209.53</v>
      </c>
      <c r="L28" s="112">
        <v>15.16</v>
      </c>
      <c r="M28" s="112">
        <v>86.74</v>
      </c>
      <c r="N28" s="112">
        <v>1.4</v>
      </c>
      <c r="O28" s="112">
        <v>0</v>
      </c>
      <c r="P28" s="112">
        <v>0.96</v>
      </c>
      <c r="Q28" s="112">
        <v>4.75</v>
      </c>
    </row>
    <row r="29" spans="1:17" customFormat="1">
      <c r="A29" s="80">
        <v>45617.21875</v>
      </c>
      <c r="B29" s="112">
        <v>19.41</v>
      </c>
      <c r="C29" s="112">
        <v>19.649999999999999</v>
      </c>
      <c r="D29" s="112">
        <v>27.18</v>
      </c>
      <c r="E29" s="112">
        <v>10.18</v>
      </c>
      <c r="F29" s="112">
        <v>5.57</v>
      </c>
      <c r="G29" s="112">
        <v>108.04</v>
      </c>
      <c r="H29" s="112">
        <v>35.1</v>
      </c>
      <c r="I29" s="112">
        <v>13.29</v>
      </c>
      <c r="J29" s="112">
        <v>0.1</v>
      </c>
      <c r="K29" s="112">
        <v>194.81</v>
      </c>
      <c r="L29" s="112">
        <v>15.2</v>
      </c>
      <c r="M29" s="112">
        <v>87</v>
      </c>
      <c r="N29" s="112">
        <v>1.3</v>
      </c>
      <c r="O29" s="112">
        <v>0</v>
      </c>
      <c r="P29" s="112">
        <v>0.95</v>
      </c>
      <c r="Q29" s="112">
        <v>4.74</v>
      </c>
    </row>
    <row r="30" spans="1:17" customFormat="1">
      <c r="A30" s="80">
        <v>45617.229166666664</v>
      </c>
      <c r="B30" s="112">
        <v>20.86</v>
      </c>
      <c r="C30" s="112">
        <v>19.739999999999998</v>
      </c>
      <c r="D30" s="112">
        <v>28.39</v>
      </c>
      <c r="E30" s="112">
        <v>9.8699999999999992</v>
      </c>
      <c r="F30" s="112">
        <v>5.4</v>
      </c>
      <c r="G30" s="112">
        <v>103.26</v>
      </c>
      <c r="H30" s="112">
        <v>38.659999999999997</v>
      </c>
      <c r="I30" s="112">
        <v>13.21</v>
      </c>
      <c r="J30" s="112">
        <v>0.13</v>
      </c>
      <c r="K30" s="112">
        <v>224.55</v>
      </c>
      <c r="L30" s="112">
        <v>15.17</v>
      </c>
      <c r="M30" s="112">
        <v>87.05</v>
      </c>
      <c r="N30" s="112">
        <v>1.4</v>
      </c>
      <c r="O30" s="112">
        <v>0</v>
      </c>
      <c r="P30" s="112">
        <v>0.95</v>
      </c>
      <c r="Q30" s="112">
        <v>4.75</v>
      </c>
    </row>
    <row r="31" spans="1:17" customFormat="1">
      <c r="A31" s="80">
        <v>45617.239583333336</v>
      </c>
      <c r="B31" s="112">
        <v>21.96</v>
      </c>
      <c r="C31" s="112">
        <v>19.61</v>
      </c>
      <c r="D31" s="112">
        <v>29.21</v>
      </c>
      <c r="E31" s="112">
        <v>9.76</v>
      </c>
      <c r="F31" s="112">
        <v>5.42</v>
      </c>
      <c r="G31" s="112">
        <v>103.26</v>
      </c>
      <c r="H31" s="112">
        <v>38.659999999999997</v>
      </c>
      <c r="I31" s="112">
        <v>13.16</v>
      </c>
      <c r="J31" s="112">
        <v>0.11</v>
      </c>
      <c r="K31" s="112">
        <v>210.26</v>
      </c>
      <c r="L31" s="112">
        <v>15.11</v>
      </c>
      <c r="M31" s="112">
        <v>88.84</v>
      </c>
      <c r="N31" s="112">
        <v>1.3</v>
      </c>
      <c r="O31" s="112">
        <v>0</v>
      </c>
      <c r="P31" s="112">
        <v>0.95</v>
      </c>
      <c r="Q31" s="112">
        <v>4.74</v>
      </c>
    </row>
    <row r="32" spans="1:17" customFormat="1">
      <c r="A32" s="80">
        <v>45617.25</v>
      </c>
      <c r="B32" s="112">
        <v>22.24</v>
      </c>
      <c r="C32" s="112">
        <v>19.190000000000001</v>
      </c>
      <c r="D32" s="112">
        <v>29.21</v>
      </c>
      <c r="E32" s="112">
        <v>10.31</v>
      </c>
      <c r="F32" s="112">
        <v>5.51</v>
      </c>
      <c r="G32" s="112">
        <v>103.26</v>
      </c>
      <c r="H32" s="112">
        <v>38.659999999999997</v>
      </c>
      <c r="I32" s="112">
        <v>13.11</v>
      </c>
      <c r="J32" s="112">
        <v>0.1</v>
      </c>
      <c r="K32" s="112">
        <v>222.46</v>
      </c>
      <c r="L32" s="112">
        <v>14.99</v>
      </c>
      <c r="M32" s="112">
        <v>92.96</v>
      </c>
      <c r="N32" s="112">
        <v>1.9</v>
      </c>
      <c r="O32" s="112">
        <v>0</v>
      </c>
      <c r="P32" s="112">
        <v>0.94</v>
      </c>
      <c r="Q32" s="112">
        <v>4.75</v>
      </c>
    </row>
    <row r="33" spans="1:17" customFormat="1">
      <c r="A33" s="80">
        <v>45617.260416666664</v>
      </c>
      <c r="B33" s="112">
        <v>21.95</v>
      </c>
      <c r="C33" s="112">
        <v>18.88</v>
      </c>
      <c r="D33" s="112">
        <v>28.81</v>
      </c>
      <c r="E33" s="112">
        <v>9.98</v>
      </c>
      <c r="F33" s="112">
        <v>5.45</v>
      </c>
      <c r="G33" s="112">
        <v>103.19</v>
      </c>
      <c r="H33" s="112">
        <v>38.64</v>
      </c>
      <c r="I33" s="112">
        <v>13.02</v>
      </c>
      <c r="J33" s="112">
        <v>0.1</v>
      </c>
      <c r="K33" s="112">
        <v>178.4</v>
      </c>
      <c r="L33" s="112">
        <v>14.93</v>
      </c>
      <c r="M33" s="112">
        <v>92.77</v>
      </c>
      <c r="N33" s="112">
        <v>4.4000000000000004</v>
      </c>
      <c r="O33" s="112">
        <v>0</v>
      </c>
      <c r="P33" s="112">
        <v>0.93</v>
      </c>
      <c r="Q33" s="112">
        <v>4.74</v>
      </c>
    </row>
    <row r="34" spans="1:17" customFormat="1">
      <c r="A34" s="80">
        <v>45617.270833333336</v>
      </c>
      <c r="B34" s="112">
        <v>23.34</v>
      </c>
      <c r="C34" s="112">
        <v>18.86</v>
      </c>
      <c r="D34" s="112">
        <v>29.92</v>
      </c>
      <c r="E34" s="112">
        <v>10.09</v>
      </c>
      <c r="F34" s="112">
        <v>5.53</v>
      </c>
      <c r="G34" s="112">
        <v>99.9</v>
      </c>
      <c r="H34" s="112">
        <v>37.89</v>
      </c>
      <c r="I34" s="112">
        <v>12.93</v>
      </c>
      <c r="J34" s="112">
        <v>0.11</v>
      </c>
      <c r="K34" s="112">
        <v>221.66</v>
      </c>
      <c r="L34" s="112">
        <v>15.12</v>
      </c>
      <c r="M34" s="112">
        <v>89.59</v>
      </c>
      <c r="N34" s="112">
        <v>11.1</v>
      </c>
      <c r="O34" s="112">
        <v>0</v>
      </c>
      <c r="P34" s="112">
        <v>0.94</v>
      </c>
      <c r="Q34" s="112">
        <v>4.75</v>
      </c>
    </row>
    <row r="35" spans="1:17" customFormat="1">
      <c r="A35" s="80">
        <v>45617.28125</v>
      </c>
      <c r="B35" s="112">
        <v>25.44</v>
      </c>
      <c r="C35" s="112">
        <v>18.79</v>
      </c>
      <c r="D35" s="112">
        <v>31.57</v>
      </c>
      <c r="E35" s="112">
        <v>10.4</v>
      </c>
      <c r="F35" s="112">
        <v>5.47</v>
      </c>
      <c r="G35" s="112">
        <v>99.9</v>
      </c>
      <c r="H35" s="112">
        <v>37.89</v>
      </c>
      <c r="I35" s="112">
        <v>12.87</v>
      </c>
      <c r="J35" s="112">
        <v>0.14000000000000001</v>
      </c>
      <c r="K35" s="112">
        <v>163.33000000000001</v>
      </c>
      <c r="L35" s="112">
        <v>15.43</v>
      </c>
      <c r="M35" s="112">
        <v>90.97</v>
      </c>
      <c r="N35" s="112">
        <v>20.399999999999999</v>
      </c>
      <c r="O35" s="112">
        <v>0</v>
      </c>
      <c r="P35" s="112">
        <v>0.95</v>
      </c>
      <c r="Q35" s="112">
        <v>4.74</v>
      </c>
    </row>
    <row r="36" spans="1:17" customFormat="1">
      <c r="A36" s="80">
        <v>45617.291666666664</v>
      </c>
      <c r="B36" s="112">
        <v>26.21</v>
      </c>
      <c r="C36" s="112">
        <v>18.77</v>
      </c>
      <c r="D36" s="112">
        <v>32.18</v>
      </c>
      <c r="E36" s="112">
        <v>10.119999999999999</v>
      </c>
      <c r="F36" s="112">
        <v>5.44</v>
      </c>
      <c r="G36" s="112">
        <v>99.9</v>
      </c>
      <c r="H36" s="112">
        <v>37.89</v>
      </c>
      <c r="I36" s="112">
        <v>12.87</v>
      </c>
      <c r="J36" s="112">
        <v>0.12</v>
      </c>
      <c r="K36" s="112">
        <v>155.65</v>
      </c>
      <c r="L36" s="112">
        <v>15.85</v>
      </c>
      <c r="M36" s="112">
        <v>90.39</v>
      </c>
      <c r="N36" s="112">
        <v>32</v>
      </c>
      <c r="O36" s="112">
        <v>0</v>
      </c>
      <c r="P36" s="112">
        <v>0.94</v>
      </c>
      <c r="Q36" s="112">
        <v>4.74</v>
      </c>
    </row>
    <row r="37" spans="1:17" customFormat="1">
      <c r="A37" s="80">
        <v>45617.302083333336</v>
      </c>
      <c r="B37" s="112">
        <v>26.47</v>
      </c>
      <c r="C37" s="112">
        <v>18.47</v>
      </c>
      <c r="D37" s="112">
        <v>32.229999999999997</v>
      </c>
      <c r="E37" s="112">
        <v>9.91</v>
      </c>
      <c r="F37" s="112">
        <v>5.46</v>
      </c>
      <c r="G37" s="112">
        <v>99.83</v>
      </c>
      <c r="H37" s="112">
        <v>37.83</v>
      </c>
      <c r="I37" s="112">
        <v>12.9</v>
      </c>
      <c r="J37" s="112">
        <v>0.28999999999999998</v>
      </c>
      <c r="K37" s="112">
        <v>52.13</v>
      </c>
      <c r="L37" s="112">
        <v>16.489999999999998</v>
      </c>
      <c r="M37" s="112">
        <v>82.14</v>
      </c>
      <c r="N37" s="112">
        <v>44.5</v>
      </c>
      <c r="O37" s="112">
        <v>0</v>
      </c>
      <c r="P37" s="112">
        <v>0.95</v>
      </c>
      <c r="Q37" s="112">
        <v>4.75</v>
      </c>
    </row>
    <row r="38" spans="1:17" customFormat="1">
      <c r="A38" s="80">
        <v>45617.3125</v>
      </c>
      <c r="B38" s="112">
        <v>26.61</v>
      </c>
      <c r="C38" s="112">
        <v>18.66</v>
      </c>
      <c r="D38" s="112">
        <v>32.44</v>
      </c>
      <c r="E38" s="112">
        <v>10.029999999999999</v>
      </c>
      <c r="F38" s="112">
        <v>5.45</v>
      </c>
      <c r="G38" s="112">
        <v>96.72</v>
      </c>
      <c r="H38" s="112">
        <v>33.409999999999997</v>
      </c>
      <c r="I38" s="112">
        <v>12.9</v>
      </c>
      <c r="J38" s="112">
        <v>0.48</v>
      </c>
      <c r="K38" s="112">
        <v>47.88</v>
      </c>
      <c r="L38" s="112">
        <v>17.37</v>
      </c>
      <c r="M38" s="112">
        <v>72.39</v>
      </c>
      <c r="N38" s="112">
        <v>58.4</v>
      </c>
      <c r="O38" s="112">
        <v>0</v>
      </c>
      <c r="P38" s="112">
        <v>0.95</v>
      </c>
      <c r="Q38" s="112">
        <v>4.75</v>
      </c>
    </row>
    <row r="39" spans="1:17" customFormat="1">
      <c r="A39" s="80">
        <v>45617.322916666664</v>
      </c>
      <c r="B39" s="112">
        <v>26.22</v>
      </c>
      <c r="C39" s="112">
        <v>18.91</v>
      </c>
      <c r="D39" s="112">
        <v>32.26</v>
      </c>
      <c r="E39" s="112">
        <v>10.050000000000001</v>
      </c>
      <c r="F39" s="112">
        <v>5.51</v>
      </c>
      <c r="G39" s="112">
        <v>96.72</v>
      </c>
      <c r="H39" s="112">
        <v>33.409999999999997</v>
      </c>
      <c r="I39" s="112">
        <v>12.92</v>
      </c>
      <c r="J39" s="112">
        <v>0.68</v>
      </c>
      <c r="K39" s="112">
        <v>50.94</v>
      </c>
      <c r="L39" s="112">
        <v>17.809999999999999</v>
      </c>
      <c r="M39" s="112">
        <v>70.17</v>
      </c>
      <c r="N39" s="112">
        <v>99.8</v>
      </c>
      <c r="O39" s="112">
        <v>0</v>
      </c>
      <c r="P39" s="112">
        <v>0.96</v>
      </c>
      <c r="Q39" s="112">
        <v>4.7300000000000004</v>
      </c>
    </row>
    <row r="40" spans="1:17" customFormat="1">
      <c r="A40" s="80">
        <v>45617.333333333336</v>
      </c>
      <c r="B40" s="112">
        <v>25.53</v>
      </c>
      <c r="C40" s="112">
        <v>19.3</v>
      </c>
      <c r="D40" s="112">
        <v>31.91</v>
      </c>
      <c r="E40" s="112">
        <v>9.86</v>
      </c>
      <c r="F40" s="112">
        <v>5.57</v>
      </c>
      <c r="G40" s="112">
        <v>96.72</v>
      </c>
      <c r="H40" s="112">
        <v>33.409999999999997</v>
      </c>
      <c r="I40" s="112">
        <v>12.99</v>
      </c>
      <c r="J40" s="112">
        <v>0.55000000000000004</v>
      </c>
      <c r="K40" s="112">
        <v>45.59</v>
      </c>
      <c r="L40" s="112">
        <v>18.45</v>
      </c>
      <c r="M40" s="112">
        <v>69.819999999999993</v>
      </c>
      <c r="N40" s="112">
        <v>136.4</v>
      </c>
      <c r="O40" s="112">
        <v>0</v>
      </c>
      <c r="P40" s="112">
        <v>0.97</v>
      </c>
      <c r="Q40" s="112">
        <v>4.74</v>
      </c>
    </row>
    <row r="41" spans="1:17" customFormat="1">
      <c r="A41" s="80">
        <v>45617.34375</v>
      </c>
      <c r="B41" s="112">
        <v>24.62</v>
      </c>
      <c r="C41" s="112">
        <v>19.46</v>
      </c>
      <c r="D41" s="112">
        <v>31.27</v>
      </c>
      <c r="E41" s="112">
        <v>9.7899999999999991</v>
      </c>
      <c r="F41" s="112">
        <v>5.67</v>
      </c>
      <c r="G41" s="112">
        <v>96.93</v>
      </c>
      <c r="H41" s="112">
        <v>33.51</v>
      </c>
      <c r="I41" s="112">
        <v>13.1</v>
      </c>
      <c r="J41" s="112">
        <v>0.42</v>
      </c>
      <c r="K41" s="112">
        <v>49.61</v>
      </c>
      <c r="L41" s="112">
        <v>19.2</v>
      </c>
      <c r="M41" s="112">
        <v>67.08</v>
      </c>
      <c r="N41" s="112">
        <v>160</v>
      </c>
      <c r="O41" s="112">
        <v>0</v>
      </c>
      <c r="P41" s="112">
        <v>1</v>
      </c>
      <c r="Q41" s="112">
        <v>4.76</v>
      </c>
    </row>
    <row r="42" spans="1:17" customFormat="1">
      <c r="A42" s="80">
        <v>45617.354166666664</v>
      </c>
      <c r="B42" s="112">
        <v>23.52</v>
      </c>
      <c r="C42" s="112">
        <v>20.12</v>
      </c>
      <c r="D42" s="112">
        <v>30.72</v>
      </c>
      <c r="E42" s="112">
        <v>10.01</v>
      </c>
      <c r="F42" s="112">
        <v>5.59</v>
      </c>
      <c r="G42" s="112">
        <v>106.22</v>
      </c>
      <c r="H42" s="112">
        <v>39.97</v>
      </c>
      <c r="I42" s="112">
        <v>13.24</v>
      </c>
      <c r="J42" s="112">
        <v>0.24</v>
      </c>
      <c r="K42" s="112">
        <v>56.76</v>
      </c>
      <c r="L42" s="112">
        <v>20.18</v>
      </c>
      <c r="M42" s="112">
        <v>64.84</v>
      </c>
      <c r="N42" s="112">
        <v>161.80000000000001</v>
      </c>
      <c r="O42" s="112">
        <v>0</v>
      </c>
      <c r="P42" s="112">
        <v>1.01</v>
      </c>
      <c r="Q42" s="112">
        <v>4.76</v>
      </c>
    </row>
    <row r="43" spans="1:17" customFormat="1">
      <c r="A43" s="80">
        <v>45617.364583333336</v>
      </c>
      <c r="B43" s="112">
        <v>22.28</v>
      </c>
      <c r="C43" s="112">
        <v>20.87</v>
      </c>
      <c r="D43" s="112">
        <v>30.12</v>
      </c>
      <c r="E43" s="112">
        <v>9.82</v>
      </c>
      <c r="F43" s="112">
        <v>5.49</v>
      </c>
      <c r="G43" s="112">
        <v>106.22</v>
      </c>
      <c r="H43" s="112">
        <v>39.97</v>
      </c>
      <c r="I43" s="112">
        <v>13.35</v>
      </c>
      <c r="J43" s="112">
        <v>0.24</v>
      </c>
      <c r="K43" s="112">
        <v>71.010000000000005</v>
      </c>
      <c r="L43" s="112">
        <v>21.2</v>
      </c>
      <c r="M43" s="112">
        <v>61.84</v>
      </c>
      <c r="N43" s="112">
        <v>179.9</v>
      </c>
      <c r="O43" s="112">
        <v>0</v>
      </c>
      <c r="P43" s="112">
        <v>1.02</v>
      </c>
      <c r="Q43" s="112">
        <v>4.75</v>
      </c>
    </row>
    <row r="44" spans="1:17" customFormat="1">
      <c r="A44" s="80">
        <v>45617.375</v>
      </c>
      <c r="B44" s="112">
        <v>20.6</v>
      </c>
      <c r="C44" s="112">
        <v>21.44</v>
      </c>
      <c r="D44" s="112">
        <v>29.07</v>
      </c>
      <c r="E44" s="112">
        <v>10</v>
      </c>
      <c r="F44" s="112">
        <v>5.65</v>
      </c>
      <c r="G44" s="112">
        <v>106.22</v>
      </c>
      <c r="H44" s="112">
        <v>39.97</v>
      </c>
      <c r="I44" s="112">
        <v>13.4</v>
      </c>
      <c r="J44" s="112">
        <v>0.31</v>
      </c>
      <c r="K44" s="112">
        <v>64.11</v>
      </c>
      <c r="L44" s="112">
        <v>22.01</v>
      </c>
      <c r="M44" s="112">
        <v>58.62</v>
      </c>
      <c r="N44" s="112">
        <v>241</v>
      </c>
      <c r="O44" s="112">
        <v>0</v>
      </c>
      <c r="P44" s="112">
        <v>1.01</v>
      </c>
      <c r="Q44" s="112">
        <v>4.75</v>
      </c>
    </row>
    <row r="45" spans="1:17" customFormat="1">
      <c r="A45" s="80">
        <v>45617.385416666664</v>
      </c>
      <c r="B45" s="112">
        <v>18.829999999999998</v>
      </c>
      <c r="C45" s="112">
        <v>22.08</v>
      </c>
      <c r="D45" s="112">
        <v>27.99</v>
      </c>
      <c r="E45" s="112">
        <v>9.7200000000000006</v>
      </c>
      <c r="F45" s="112">
        <v>5.59</v>
      </c>
      <c r="G45" s="112">
        <v>106.23</v>
      </c>
      <c r="H45" s="112">
        <v>39.99</v>
      </c>
      <c r="I45" s="112">
        <v>13.42</v>
      </c>
      <c r="J45" s="112">
        <v>0.34</v>
      </c>
      <c r="K45" s="112">
        <v>81.14</v>
      </c>
      <c r="L45" s="112">
        <v>22.63</v>
      </c>
      <c r="M45" s="112">
        <v>55.21</v>
      </c>
      <c r="N45" s="112">
        <v>275.89999999999998</v>
      </c>
      <c r="O45" s="112">
        <v>0</v>
      </c>
      <c r="P45" s="112">
        <v>1.02</v>
      </c>
      <c r="Q45" s="112">
        <v>4.75</v>
      </c>
    </row>
    <row r="46" spans="1:17" customFormat="1">
      <c r="A46" s="80">
        <v>45617.395833333336</v>
      </c>
      <c r="B46" s="112">
        <v>16.79</v>
      </c>
      <c r="C46" s="112">
        <v>22.78</v>
      </c>
      <c r="D46" s="112">
        <v>26.72</v>
      </c>
      <c r="E46" s="112">
        <v>9.5500000000000007</v>
      </c>
      <c r="F46" s="112">
        <v>5.77</v>
      </c>
      <c r="G46" s="112">
        <v>106.93</v>
      </c>
      <c r="H46" s="112">
        <v>41.36</v>
      </c>
      <c r="I46" s="112">
        <v>13.34</v>
      </c>
      <c r="J46" s="112">
        <v>0.28999999999999998</v>
      </c>
      <c r="K46" s="112">
        <v>73.900000000000006</v>
      </c>
      <c r="L46" s="112">
        <v>23.39</v>
      </c>
      <c r="M46" s="112">
        <v>52.57</v>
      </c>
      <c r="N46" s="112">
        <v>260</v>
      </c>
      <c r="O46" s="112">
        <v>0</v>
      </c>
      <c r="P46" s="112">
        <v>1</v>
      </c>
      <c r="Q46" s="112">
        <v>4.74</v>
      </c>
    </row>
    <row r="47" spans="1:17" customFormat="1">
      <c r="A47" s="80">
        <v>45617.40625</v>
      </c>
      <c r="B47" s="112">
        <v>14.85</v>
      </c>
      <c r="C47" s="112">
        <v>23.24</v>
      </c>
      <c r="D47" s="112">
        <v>25.4</v>
      </c>
      <c r="E47" s="112">
        <v>9.39</v>
      </c>
      <c r="F47" s="112">
        <v>5.84</v>
      </c>
      <c r="G47" s="112">
        <v>106.93</v>
      </c>
      <c r="H47" s="112">
        <v>41.36</v>
      </c>
      <c r="I47" s="112">
        <v>13.16</v>
      </c>
      <c r="J47" s="112">
        <v>0.43</v>
      </c>
      <c r="K47" s="112">
        <v>67.06</v>
      </c>
      <c r="L47" s="112">
        <v>23.82</v>
      </c>
      <c r="M47" s="112">
        <v>51.77</v>
      </c>
      <c r="N47" s="112">
        <v>334.7</v>
      </c>
      <c r="O47" s="112">
        <v>0</v>
      </c>
      <c r="P47" s="112">
        <v>1.01</v>
      </c>
      <c r="Q47" s="112">
        <v>4.75</v>
      </c>
    </row>
    <row r="48" spans="1:17" customFormat="1">
      <c r="A48" s="80">
        <v>45617.416666666664</v>
      </c>
      <c r="B48" s="112">
        <v>13.07</v>
      </c>
      <c r="C48" s="112">
        <v>23.72</v>
      </c>
      <c r="D48" s="112">
        <v>24.23</v>
      </c>
      <c r="E48" s="112">
        <v>9.77</v>
      </c>
      <c r="F48" s="112">
        <v>6</v>
      </c>
      <c r="G48" s="112">
        <v>106.93</v>
      </c>
      <c r="H48" s="112">
        <v>41.36</v>
      </c>
      <c r="I48" s="112">
        <v>13.01</v>
      </c>
      <c r="J48" s="112">
        <v>0.17</v>
      </c>
      <c r="K48" s="112">
        <v>55.02</v>
      </c>
      <c r="L48" s="112">
        <v>24.43</v>
      </c>
      <c r="M48" s="112">
        <v>50.47</v>
      </c>
      <c r="N48" s="112">
        <v>355.9</v>
      </c>
      <c r="O48" s="112">
        <v>0</v>
      </c>
      <c r="P48" s="112">
        <v>1</v>
      </c>
      <c r="Q48" s="112">
        <v>4.76</v>
      </c>
    </row>
    <row r="49" spans="1:17" customFormat="1">
      <c r="A49" s="80">
        <v>45617.427083333336</v>
      </c>
      <c r="B49" s="112">
        <v>11.25</v>
      </c>
      <c r="C49" s="112">
        <v>24.1</v>
      </c>
      <c r="D49" s="112">
        <v>22.96</v>
      </c>
      <c r="E49" s="112">
        <v>7.4</v>
      </c>
      <c r="F49" s="112">
        <v>6.18</v>
      </c>
      <c r="G49" s="112">
        <v>106.92</v>
      </c>
      <c r="H49" s="112">
        <v>41.46</v>
      </c>
      <c r="I49" s="112">
        <v>12.89</v>
      </c>
      <c r="J49" s="112">
        <v>0.56000000000000005</v>
      </c>
      <c r="K49" s="112">
        <v>41.25</v>
      </c>
      <c r="L49" s="112">
        <v>24.71</v>
      </c>
      <c r="M49" s="112">
        <v>48.06</v>
      </c>
      <c r="N49" s="112">
        <v>377.3</v>
      </c>
      <c r="O49" s="112">
        <v>0</v>
      </c>
      <c r="P49" s="112">
        <v>1</v>
      </c>
      <c r="Q49" s="112">
        <v>4.76</v>
      </c>
    </row>
    <row r="50" spans="1:17" customFormat="1">
      <c r="A50" s="80">
        <v>45617.4375</v>
      </c>
      <c r="B50" s="112">
        <v>9.65</v>
      </c>
      <c r="C50" s="112">
        <v>24.59</v>
      </c>
      <c r="D50" s="112">
        <v>21.94</v>
      </c>
      <c r="E50" s="112">
        <v>8.2200000000000006</v>
      </c>
      <c r="F50" s="112">
        <v>6.17</v>
      </c>
      <c r="G50" s="112">
        <v>106.49</v>
      </c>
      <c r="H50" s="112">
        <v>48.27</v>
      </c>
      <c r="I50" s="112">
        <v>12.78</v>
      </c>
      <c r="J50" s="112">
        <v>0.36</v>
      </c>
      <c r="K50" s="112">
        <v>36.130000000000003</v>
      </c>
      <c r="L50" s="112">
        <v>24.97</v>
      </c>
      <c r="M50" s="112">
        <v>47.16</v>
      </c>
      <c r="N50" s="112">
        <v>394.1</v>
      </c>
      <c r="O50" s="112">
        <v>0</v>
      </c>
      <c r="P50" s="112">
        <v>0.99</v>
      </c>
      <c r="Q50" s="112">
        <v>4.7699999999999996</v>
      </c>
    </row>
    <row r="51" spans="1:17" customFormat="1">
      <c r="A51" s="80">
        <v>45617.447916666664</v>
      </c>
      <c r="B51" s="112">
        <v>8.18</v>
      </c>
      <c r="C51" s="112">
        <v>24.81</v>
      </c>
      <c r="D51" s="112">
        <v>20.88</v>
      </c>
      <c r="E51" s="112">
        <v>7.86</v>
      </c>
      <c r="F51" s="112">
        <v>6.54</v>
      </c>
      <c r="G51" s="112">
        <v>106.49</v>
      </c>
      <c r="H51" s="112">
        <v>48.27</v>
      </c>
      <c r="I51" s="112">
        <v>12.75</v>
      </c>
      <c r="J51" s="112">
        <v>0.47</v>
      </c>
      <c r="K51" s="112">
        <v>58.82</v>
      </c>
      <c r="L51" s="112">
        <v>25.51</v>
      </c>
      <c r="M51" s="112">
        <v>45.11</v>
      </c>
      <c r="N51" s="112">
        <v>324.60000000000002</v>
      </c>
      <c r="O51" s="112">
        <v>0</v>
      </c>
      <c r="P51" s="112">
        <v>0.97</v>
      </c>
      <c r="Q51" s="112">
        <v>4.76</v>
      </c>
    </row>
    <row r="52" spans="1:17" customFormat="1">
      <c r="A52" s="80">
        <v>45617.458333333336</v>
      </c>
      <c r="B52" s="112">
        <v>6.83</v>
      </c>
      <c r="C52" s="112">
        <v>24.7</v>
      </c>
      <c r="D52" s="112">
        <v>19.73</v>
      </c>
      <c r="E52" s="112">
        <v>8</v>
      </c>
      <c r="F52" s="112">
        <v>6.87</v>
      </c>
      <c r="G52" s="112">
        <v>106.49</v>
      </c>
      <c r="H52" s="112">
        <v>48.27</v>
      </c>
      <c r="I52" s="112">
        <v>12.75</v>
      </c>
      <c r="J52" s="112">
        <v>0.56000000000000005</v>
      </c>
      <c r="K52" s="112">
        <v>54.31</v>
      </c>
      <c r="L52" s="112">
        <v>25.89</v>
      </c>
      <c r="M52" s="112">
        <v>42.68</v>
      </c>
      <c r="N52" s="112">
        <v>420.2</v>
      </c>
      <c r="O52" s="112">
        <v>0</v>
      </c>
      <c r="P52" s="112">
        <v>0.97</v>
      </c>
      <c r="Q52" s="112">
        <v>4.76</v>
      </c>
    </row>
    <row r="53" spans="1:17" customFormat="1">
      <c r="A53" s="80">
        <v>45617.46875</v>
      </c>
      <c r="B53" s="112">
        <v>5.85</v>
      </c>
      <c r="C53" s="112">
        <v>24.64</v>
      </c>
      <c r="D53" s="112">
        <v>18.91</v>
      </c>
      <c r="E53" s="112">
        <v>8.4</v>
      </c>
      <c r="F53" s="112">
        <v>7.48</v>
      </c>
      <c r="G53" s="112">
        <v>106.26</v>
      </c>
      <c r="H53" s="112">
        <v>48.34</v>
      </c>
      <c r="I53" s="112">
        <v>12.73</v>
      </c>
      <c r="J53" s="112">
        <v>0.59</v>
      </c>
      <c r="K53" s="112">
        <v>31.75</v>
      </c>
      <c r="L53" s="112">
        <v>26.21</v>
      </c>
      <c r="M53" s="112">
        <v>41.55</v>
      </c>
      <c r="N53" s="112">
        <v>425.6</v>
      </c>
      <c r="O53" s="112">
        <v>0</v>
      </c>
      <c r="P53" s="112">
        <v>0.95</v>
      </c>
      <c r="Q53" s="112">
        <v>4.76</v>
      </c>
    </row>
    <row r="54" spans="1:17" customFormat="1">
      <c r="A54" s="80">
        <v>45617.479166666664</v>
      </c>
      <c r="B54" s="112">
        <v>5.21</v>
      </c>
      <c r="C54" s="112">
        <v>24.65</v>
      </c>
      <c r="D54" s="112">
        <v>18.41</v>
      </c>
      <c r="E54" s="112">
        <v>8.75</v>
      </c>
      <c r="F54" s="112">
        <v>7.8</v>
      </c>
      <c r="G54" s="112">
        <v>96.14</v>
      </c>
      <c r="H54" s="112">
        <v>52.78</v>
      </c>
      <c r="I54" s="112">
        <v>12.73</v>
      </c>
      <c r="J54" s="112">
        <v>0.23</v>
      </c>
      <c r="K54" s="112">
        <v>58.77</v>
      </c>
      <c r="L54" s="112">
        <v>26.56</v>
      </c>
      <c r="M54" s="112">
        <v>40.020000000000003</v>
      </c>
      <c r="N54" s="112">
        <v>423.4</v>
      </c>
      <c r="O54" s="112">
        <v>0</v>
      </c>
      <c r="P54" s="112">
        <v>0.95</v>
      </c>
      <c r="Q54" s="112">
        <v>4.78</v>
      </c>
    </row>
    <row r="55" spans="1:17" customFormat="1">
      <c r="A55" s="80">
        <v>45617.489583333336</v>
      </c>
      <c r="B55" s="112">
        <v>4.66</v>
      </c>
      <c r="C55" s="112">
        <v>24.2</v>
      </c>
      <c r="D55" s="112">
        <v>17.73</v>
      </c>
      <c r="E55" s="112">
        <v>8.4499999999999993</v>
      </c>
      <c r="F55" s="112">
        <v>8.23</v>
      </c>
      <c r="G55" s="112">
        <v>96.14</v>
      </c>
      <c r="H55" s="112">
        <v>52.78</v>
      </c>
      <c r="I55" s="112">
        <v>12.79</v>
      </c>
      <c r="J55" s="112">
        <v>0.23</v>
      </c>
      <c r="K55" s="112">
        <v>97.98</v>
      </c>
      <c r="L55" s="112">
        <v>27.17</v>
      </c>
      <c r="M55" s="112">
        <v>37.99</v>
      </c>
      <c r="N55" s="112">
        <v>428.7</v>
      </c>
      <c r="O55" s="112">
        <v>0</v>
      </c>
      <c r="P55" s="112">
        <v>0.95</v>
      </c>
      <c r="Q55" s="112">
        <v>4.76</v>
      </c>
    </row>
    <row r="56" spans="1:17" customFormat="1">
      <c r="A56" s="80">
        <v>45617.5</v>
      </c>
      <c r="B56" s="112">
        <v>4.28</v>
      </c>
      <c r="C56" s="112">
        <v>23.43</v>
      </c>
      <c r="D56" s="112">
        <v>17.02</v>
      </c>
      <c r="E56" s="112">
        <v>8.35</v>
      </c>
      <c r="F56" s="112">
        <v>8.8000000000000007</v>
      </c>
      <c r="G56" s="112">
        <v>96.14</v>
      </c>
      <c r="H56" s="112">
        <v>52.78</v>
      </c>
      <c r="I56" s="112">
        <v>12.84</v>
      </c>
      <c r="J56" s="112">
        <v>0.28999999999999998</v>
      </c>
      <c r="K56" s="112">
        <v>59.67</v>
      </c>
      <c r="L56" s="112">
        <v>27.14</v>
      </c>
      <c r="M56" s="112">
        <v>36.78</v>
      </c>
      <c r="N56" s="112">
        <v>433.9</v>
      </c>
      <c r="O56" s="112">
        <v>0</v>
      </c>
      <c r="P56" s="112">
        <v>0.93</v>
      </c>
      <c r="Q56" s="112">
        <v>4.76</v>
      </c>
    </row>
    <row r="57" spans="1:17" customFormat="1">
      <c r="A57" s="80">
        <v>45617.510416666664</v>
      </c>
      <c r="B57" s="112">
        <v>4.05</v>
      </c>
      <c r="C57" s="112">
        <v>22.64</v>
      </c>
      <c r="D57" s="112">
        <v>16.43</v>
      </c>
      <c r="E57" s="112">
        <v>8.11</v>
      </c>
      <c r="F57" s="112">
        <v>9.3000000000000007</v>
      </c>
      <c r="G57" s="112">
        <v>96.05</v>
      </c>
      <c r="H57" s="112">
        <v>52.67</v>
      </c>
      <c r="I57" s="112">
        <v>12.77</v>
      </c>
      <c r="J57" s="112">
        <v>0.31</v>
      </c>
      <c r="K57" s="112">
        <v>89.01</v>
      </c>
      <c r="L57" s="112">
        <v>27.59</v>
      </c>
      <c r="M57" s="112">
        <v>35.619999999999997</v>
      </c>
      <c r="N57" s="112">
        <v>424.9</v>
      </c>
      <c r="O57" s="112">
        <v>0</v>
      </c>
      <c r="P57" s="112">
        <v>0.91</v>
      </c>
      <c r="Q57" s="112">
        <v>4.78</v>
      </c>
    </row>
    <row r="58" spans="1:17" customFormat="1">
      <c r="A58" s="80">
        <v>45617.520833333336</v>
      </c>
      <c r="B58" s="112">
        <v>3.96</v>
      </c>
      <c r="C58" s="112">
        <v>21.87</v>
      </c>
      <c r="D58" s="112">
        <v>15.95</v>
      </c>
      <c r="E58" s="112">
        <v>8.18</v>
      </c>
      <c r="F58" s="112">
        <v>9.5</v>
      </c>
      <c r="G58" s="112">
        <v>92.1</v>
      </c>
      <c r="H58" s="112">
        <v>45.19</v>
      </c>
      <c r="I58" s="112">
        <v>12.51</v>
      </c>
      <c r="J58" s="112">
        <v>0.59</v>
      </c>
      <c r="K58" s="112">
        <v>56.57</v>
      </c>
      <c r="L58" s="112">
        <v>27.44</v>
      </c>
      <c r="M58" s="112">
        <v>35.24</v>
      </c>
      <c r="N58" s="112">
        <v>407</v>
      </c>
      <c r="O58" s="112">
        <v>0</v>
      </c>
      <c r="P58" s="112">
        <v>0.88</v>
      </c>
      <c r="Q58" s="112">
        <v>4.7699999999999996</v>
      </c>
    </row>
    <row r="59" spans="1:17" customFormat="1">
      <c r="A59" s="80">
        <v>45617.53125</v>
      </c>
      <c r="B59" s="112">
        <v>3.97</v>
      </c>
      <c r="C59" s="112">
        <v>21.52</v>
      </c>
      <c r="D59" s="112">
        <v>15.78</v>
      </c>
      <c r="E59" s="112">
        <v>8.44</v>
      </c>
      <c r="F59" s="112">
        <v>9.6199999999999992</v>
      </c>
      <c r="G59" s="112">
        <v>92.1</v>
      </c>
      <c r="H59" s="112">
        <v>45.19</v>
      </c>
      <c r="I59" s="112">
        <v>12.19</v>
      </c>
      <c r="J59" s="112">
        <v>0.34</v>
      </c>
      <c r="K59" s="112">
        <v>48.03</v>
      </c>
      <c r="L59" s="112">
        <v>27.25</v>
      </c>
      <c r="M59" s="112">
        <v>35.65</v>
      </c>
      <c r="N59" s="112">
        <v>375.2</v>
      </c>
      <c r="O59" s="112">
        <v>0</v>
      </c>
      <c r="P59" s="112">
        <v>0.87</v>
      </c>
      <c r="Q59" s="112">
        <v>4.75</v>
      </c>
    </row>
    <row r="60" spans="1:17" customFormat="1">
      <c r="A60" s="80">
        <v>45617.541666666664</v>
      </c>
      <c r="B60" s="112">
        <v>3.91</v>
      </c>
      <c r="C60" s="112">
        <v>20.98</v>
      </c>
      <c r="D60" s="112">
        <v>15.45</v>
      </c>
      <c r="E60" s="112">
        <v>7.77</v>
      </c>
      <c r="F60" s="112">
        <v>9.9499999999999993</v>
      </c>
      <c r="G60" s="112">
        <v>92.1</v>
      </c>
      <c r="H60" s="112">
        <v>45.19</v>
      </c>
      <c r="I60" s="112">
        <v>11.88</v>
      </c>
      <c r="J60" s="112">
        <v>0.17</v>
      </c>
      <c r="K60" s="112">
        <v>95.87</v>
      </c>
      <c r="L60" s="112">
        <v>27.66</v>
      </c>
      <c r="M60" s="112">
        <v>35.57</v>
      </c>
      <c r="N60" s="112">
        <v>361.2</v>
      </c>
      <c r="O60" s="112">
        <v>0</v>
      </c>
      <c r="P60" s="112">
        <v>0.85</v>
      </c>
      <c r="Q60" s="112">
        <v>4.75</v>
      </c>
    </row>
    <row r="61" spans="1:17" customFormat="1">
      <c r="A61" s="80">
        <v>45617.552083333336</v>
      </c>
      <c r="B61" s="112">
        <v>3.89</v>
      </c>
      <c r="C61" s="112">
        <v>20.38</v>
      </c>
      <c r="D61" s="112">
        <v>15.12</v>
      </c>
      <c r="E61" s="112">
        <v>8.4700000000000006</v>
      </c>
      <c r="F61" s="112">
        <v>10.96</v>
      </c>
      <c r="G61" s="112">
        <v>92.01</v>
      </c>
      <c r="H61" s="112">
        <v>45.24</v>
      </c>
      <c r="I61" s="112">
        <v>11.59</v>
      </c>
      <c r="J61" s="112">
        <v>0.54</v>
      </c>
      <c r="K61" s="112">
        <v>49.04</v>
      </c>
      <c r="L61" s="112">
        <v>27.5</v>
      </c>
      <c r="M61" s="112">
        <v>35.6</v>
      </c>
      <c r="N61" s="112">
        <v>338.2</v>
      </c>
      <c r="O61" s="112">
        <v>0</v>
      </c>
      <c r="P61" s="112">
        <v>0.83</v>
      </c>
      <c r="Q61" s="112">
        <v>4.75</v>
      </c>
    </row>
    <row r="62" spans="1:17" customFormat="1">
      <c r="A62" s="80">
        <v>45617.5625</v>
      </c>
      <c r="B62" s="112">
        <v>4</v>
      </c>
      <c r="C62" s="112">
        <v>19.86</v>
      </c>
      <c r="D62" s="112">
        <v>14.94</v>
      </c>
      <c r="E62" s="112">
        <v>8.5299999999999994</v>
      </c>
      <c r="F62" s="112">
        <v>9.56</v>
      </c>
      <c r="G62" s="112">
        <v>87.9</v>
      </c>
      <c r="H62" s="112">
        <v>46.81</v>
      </c>
      <c r="I62" s="112">
        <v>11.32</v>
      </c>
      <c r="J62" s="112">
        <v>0.48</v>
      </c>
      <c r="K62" s="112">
        <v>58.86</v>
      </c>
      <c r="L62" s="112">
        <v>27.56</v>
      </c>
      <c r="M62" s="112">
        <v>35.26</v>
      </c>
      <c r="N62" s="112">
        <v>317.60000000000002</v>
      </c>
      <c r="O62" s="112">
        <v>0</v>
      </c>
      <c r="P62" s="112">
        <v>0.81</v>
      </c>
      <c r="Q62" s="112">
        <v>4.72</v>
      </c>
    </row>
    <row r="63" spans="1:17" customFormat="1">
      <c r="A63" s="80">
        <v>45617.572916666664</v>
      </c>
      <c r="B63" s="112">
        <v>4.08</v>
      </c>
      <c r="C63" s="112">
        <v>19.010000000000002</v>
      </c>
      <c r="D63" s="112">
        <v>14.56</v>
      </c>
      <c r="E63" s="112">
        <v>8.4600000000000009</v>
      </c>
      <c r="F63" s="112">
        <v>9.06</v>
      </c>
      <c r="G63" s="112">
        <v>87.9</v>
      </c>
      <c r="H63" s="112">
        <v>46.81</v>
      </c>
      <c r="I63" s="112">
        <v>11.09</v>
      </c>
      <c r="J63" s="112">
        <v>0.34</v>
      </c>
      <c r="K63" s="112">
        <v>71.89</v>
      </c>
      <c r="L63" s="112">
        <v>27.46</v>
      </c>
      <c r="M63" s="112">
        <v>34.979999999999997</v>
      </c>
      <c r="N63" s="112">
        <v>226.3</v>
      </c>
      <c r="O63" s="112">
        <v>0</v>
      </c>
      <c r="P63" s="112">
        <v>0.78</v>
      </c>
      <c r="Q63" s="112">
        <v>4.75</v>
      </c>
    </row>
    <row r="64" spans="1:17" customFormat="1">
      <c r="A64" s="80">
        <v>45617.583333333336</v>
      </c>
      <c r="B64" s="112">
        <v>4.08</v>
      </c>
      <c r="C64" s="112">
        <v>18.55</v>
      </c>
      <c r="D64" s="112">
        <v>14.32</v>
      </c>
      <c r="E64" s="112">
        <v>9.1300000000000008</v>
      </c>
      <c r="F64" s="112">
        <v>9.76</v>
      </c>
      <c r="G64" s="112">
        <v>87.9</v>
      </c>
      <c r="H64" s="112">
        <v>46.81</v>
      </c>
      <c r="I64" s="112">
        <v>10.96</v>
      </c>
      <c r="J64" s="112">
        <v>0.31</v>
      </c>
      <c r="K64" s="112">
        <v>10.83</v>
      </c>
      <c r="L64" s="112">
        <v>27.15</v>
      </c>
      <c r="M64" s="112">
        <v>35.26</v>
      </c>
      <c r="N64" s="112">
        <v>140.1</v>
      </c>
      <c r="O64" s="112">
        <v>0</v>
      </c>
      <c r="P64" s="112">
        <v>0.78</v>
      </c>
      <c r="Q64" s="112">
        <v>4.7300000000000004</v>
      </c>
    </row>
    <row r="65" spans="1:17" customFormat="1">
      <c r="A65" s="80">
        <v>45617.59375</v>
      </c>
      <c r="B65" s="112">
        <v>4.12</v>
      </c>
      <c r="C65" s="112">
        <v>18.16</v>
      </c>
      <c r="D65" s="112">
        <v>14.14</v>
      </c>
      <c r="E65" s="112">
        <v>9.43</v>
      </c>
      <c r="F65" s="112">
        <v>12.49</v>
      </c>
      <c r="G65" s="112">
        <v>87.84</v>
      </c>
      <c r="H65" s="112">
        <v>46.75</v>
      </c>
      <c r="I65" s="112">
        <v>10.83</v>
      </c>
      <c r="J65" s="112">
        <v>0.43</v>
      </c>
      <c r="K65" s="112">
        <v>349.27</v>
      </c>
      <c r="L65" s="112">
        <v>27.04</v>
      </c>
      <c r="M65" s="112">
        <v>36.1</v>
      </c>
      <c r="N65" s="112">
        <v>128.30000000000001</v>
      </c>
      <c r="O65" s="112">
        <v>0</v>
      </c>
      <c r="P65" s="112">
        <v>0.77</v>
      </c>
      <c r="Q65" s="112">
        <v>4.75</v>
      </c>
    </row>
    <row r="66" spans="1:17" customFormat="1">
      <c r="A66" s="80">
        <v>45617.604166666664</v>
      </c>
      <c r="B66" s="112">
        <v>4.1399999999999997</v>
      </c>
      <c r="C66" s="112">
        <v>17.91</v>
      </c>
      <c r="D66" s="112">
        <v>14.03</v>
      </c>
      <c r="E66" s="112">
        <v>9.0399999999999991</v>
      </c>
      <c r="F66" s="112">
        <v>8</v>
      </c>
      <c r="G66" s="112">
        <v>85.03</v>
      </c>
      <c r="H66" s="112">
        <v>43.01</v>
      </c>
      <c r="I66" s="112">
        <v>10.69</v>
      </c>
      <c r="J66" s="112">
        <v>0.21</v>
      </c>
      <c r="K66" s="112">
        <v>219.12</v>
      </c>
      <c r="L66" s="112">
        <v>26.63</v>
      </c>
      <c r="M66" s="112">
        <v>37.65</v>
      </c>
      <c r="N66" s="112">
        <v>111.6</v>
      </c>
      <c r="O66" s="112">
        <v>0</v>
      </c>
      <c r="P66" s="112">
        <v>0.84</v>
      </c>
      <c r="Q66" s="112">
        <v>4.74</v>
      </c>
    </row>
    <row r="67" spans="1:17" customFormat="1">
      <c r="A67" s="80">
        <v>45617.614583333336</v>
      </c>
      <c r="B67" s="112">
        <v>4.1100000000000003</v>
      </c>
      <c r="C67" s="112">
        <v>17.46</v>
      </c>
      <c r="D67" s="112">
        <v>13.77</v>
      </c>
      <c r="E67" s="112">
        <v>8.98</v>
      </c>
      <c r="F67" s="112">
        <v>8.25</v>
      </c>
      <c r="G67" s="112">
        <v>85.03</v>
      </c>
      <c r="H67" s="112">
        <v>43.01</v>
      </c>
      <c r="I67" s="112">
        <v>10.55</v>
      </c>
      <c r="J67" s="112">
        <v>0.26</v>
      </c>
      <c r="K67" s="112">
        <v>98.07</v>
      </c>
      <c r="L67" s="112">
        <v>26.79</v>
      </c>
      <c r="M67" s="112">
        <v>36.82</v>
      </c>
      <c r="N67" s="112">
        <v>96.3</v>
      </c>
      <c r="O67" s="112">
        <v>0</v>
      </c>
      <c r="P67" s="112">
        <v>0.83</v>
      </c>
      <c r="Q67" s="112">
        <v>4.74</v>
      </c>
    </row>
    <row r="68" spans="1:17" customFormat="1">
      <c r="A68" s="80">
        <v>45617.625</v>
      </c>
      <c r="B68" s="112">
        <v>4.07</v>
      </c>
      <c r="C68" s="112">
        <v>17.09</v>
      </c>
      <c r="D68" s="112">
        <v>13.54</v>
      </c>
      <c r="E68" s="112">
        <v>9.99</v>
      </c>
      <c r="F68" s="112">
        <v>9.5299999999999994</v>
      </c>
      <c r="G68" s="112">
        <v>85.03</v>
      </c>
      <c r="H68" s="112">
        <v>43.01</v>
      </c>
      <c r="I68" s="112">
        <v>10.44</v>
      </c>
      <c r="J68" s="112">
        <v>0.31</v>
      </c>
      <c r="K68" s="112">
        <v>147.41999999999999</v>
      </c>
      <c r="L68" s="112">
        <v>26.86</v>
      </c>
      <c r="M68" s="112">
        <v>36.51</v>
      </c>
      <c r="N68" s="112">
        <v>84.5</v>
      </c>
      <c r="O68" s="112">
        <v>0</v>
      </c>
      <c r="P68" s="112">
        <v>0.84</v>
      </c>
      <c r="Q68" s="112">
        <v>4.74</v>
      </c>
    </row>
    <row r="69" spans="1:17" customFormat="1">
      <c r="A69" s="80">
        <v>45617.635416666664</v>
      </c>
      <c r="B69" s="112">
        <v>4.03</v>
      </c>
      <c r="C69" s="112">
        <v>16.73</v>
      </c>
      <c r="D69" s="112">
        <v>13.32</v>
      </c>
      <c r="E69" s="112">
        <v>9.5299999999999994</v>
      </c>
      <c r="F69" s="112">
        <v>11.38</v>
      </c>
      <c r="G69" s="112">
        <v>84.9</v>
      </c>
      <c r="H69" s="112">
        <v>42.98</v>
      </c>
      <c r="I69" s="112">
        <v>10.41</v>
      </c>
      <c r="J69" s="112">
        <v>0.33</v>
      </c>
      <c r="K69" s="112">
        <v>165.13</v>
      </c>
      <c r="L69" s="112">
        <v>26.44</v>
      </c>
      <c r="M69" s="112">
        <v>37.81</v>
      </c>
      <c r="N69" s="112">
        <v>74.2</v>
      </c>
      <c r="O69" s="112">
        <v>0</v>
      </c>
      <c r="P69" s="112">
        <v>0.82</v>
      </c>
      <c r="Q69" s="112">
        <v>4.7300000000000004</v>
      </c>
    </row>
    <row r="70" spans="1:17" customFormat="1">
      <c r="A70" s="80">
        <v>45617.645833333336</v>
      </c>
      <c r="B70" s="112">
        <v>4.01</v>
      </c>
      <c r="C70" s="112">
        <v>16.38</v>
      </c>
      <c r="D70" s="112">
        <v>13.13</v>
      </c>
      <c r="E70" s="112">
        <v>9.99</v>
      </c>
      <c r="F70" s="112">
        <v>10.38</v>
      </c>
      <c r="G70" s="112">
        <v>79.2</v>
      </c>
      <c r="H70" s="112">
        <v>41.22</v>
      </c>
      <c r="I70" s="112">
        <v>10.31</v>
      </c>
      <c r="J70" s="112">
        <v>0.15</v>
      </c>
      <c r="K70" s="112">
        <v>98.13</v>
      </c>
      <c r="L70" s="112">
        <v>26.14</v>
      </c>
      <c r="M70" s="112">
        <v>39.74</v>
      </c>
      <c r="N70" s="112">
        <v>63.2</v>
      </c>
      <c r="O70" s="112">
        <v>0</v>
      </c>
      <c r="P70" s="112">
        <v>0.82</v>
      </c>
      <c r="Q70" s="112">
        <v>4.74</v>
      </c>
    </row>
    <row r="71" spans="1:17" customFormat="1">
      <c r="A71" s="80">
        <v>45617.65625</v>
      </c>
      <c r="B71" s="112">
        <v>4.03</v>
      </c>
      <c r="C71" s="112">
        <v>16.25</v>
      </c>
      <c r="D71" s="112">
        <v>13.08</v>
      </c>
      <c r="E71" s="112">
        <v>9.9600000000000009</v>
      </c>
      <c r="F71" s="112">
        <v>11.21</v>
      </c>
      <c r="G71" s="112">
        <v>79.2</v>
      </c>
      <c r="H71" s="112">
        <v>41.22</v>
      </c>
      <c r="I71" s="112">
        <v>10.17</v>
      </c>
      <c r="J71" s="112">
        <v>0.64</v>
      </c>
      <c r="K71" s="112">
        <v>47.2</v>
      </c>
      <c r="L71" s="112">
        <v>26.49</v>
      </c>
      <c r="M71" s="112">
        <v>36.67</v>
      </c>
      <c r="N71" s="112">
        <v>51.7</v>
      </c>
      <c r="O71" s="112">
        <v>0</v>
      </c>
      <c r="P71" s="112">
        <v>0.82</v>
      </c>
      <c r="Q71" s="112">
        <v>4.75</v>
      </c>
    </row>
    <row r="72" spans="1:17" customFormat="1">
      <c r="A72" s="80">
        <v>45617.666666666664</v>
      </c>
      <c r="B72" s="112">
        <v>4.1100000000000003</v>
      </c>
      <c r="C72" s="112">
        <v>16.600000000000001</v>
      </c>
      <c r="D72" s="112">
        <v>13.32</v>
      </c>
      <c r="E72" s="112">
        <v>10.1</v>
      </c>
      <c r="F72" s="112">
        <v>9.1199999999999992</v>
      </c>
      <c r="G72" s="112">
        <v>79.2</v>
      </c>
      <c r="H72" s="112">
        <v>41.22</v>
      </c>
      <c r="I72" s="112">
        <v>10.06</v>
      </c>
      <c r="J72" s="112">
        <v>0.36</v>
      </c>
      <c r="K72" s="112">
        <v>57.61</v>
      </c>
      <c r="L72" s="112">
        <v>26.34</v>
      </c>
      <c r="M72" s="112">
        <v>37.479999999999997</v>
      </c>
      <c r="N72" s="112">
        <v>40.200000000000003</v>
      </c>
      <c r="O72" s="112">
        <v>0</v>
      </c>
      <c r="P72" s="112">
        <v>0.82</v>
      </c>
      <c r="Q72" s="112">
        <v>4.75</v>
      </c>
    </row>
    <row r="73" spans="1:17" customFormat="1">
      <c r="A73" s="80">
        <v>45617.677083333336</v>
      </c>
      <c r="B73" s="112">
        <v>4.1399999999999997</v>
      </c>
      <c r="C73" s="112">
        <v>16.739999999999998</v>
      </c>
      <c r="D73" s="112">
        <v>13.42</v>
      </c>
      <c r="E73" s="112">
        <v>9.74</v>
      </c>
      <c r="F73" s="112">
        <v>8.4499999999999993</v>
      </c>
      <c r="G73" s="112">
        <v>79.33</v>
      </c>
      <c r="H73" s="112">
        <v>41.27</v>
      </c>
      <c r="I73" s="112">
        <v>10.07</v>
      </c>
      <c r="J73" s="112">
        <v>0.21</v>
      </c>
      <c r="K73" s="112">
        <v>58.5</v>
      </c>
      <c r="L73" s="112">
        <v>25.84</v>
      </c>
      <c r="M73" s="112">
        <v>41.2</v>
      </c>
      <c r="N73" s="112">
        <v>30.1</v>
      </c>
      <c r="O73" s="112">
        <v>0</v>
      </c>
      <c r="P73" s="112">
        <v>0.83</v>
      </c>
      <c r="Q73" s="112">
        <v>4.74</v>
      </c>
    </row>
    <row r="74" spans="1:17" customFormat="1">
      <c r="A74" s="80">
        <v>45617.6875</v>
      </c>
      <c r="B74" s="112">
        <v>4.22</v>
      </c>
      <c r="C74" s="112">
        <v>16.829999999999998</v>
      </c>
      <c r="D74" s="112">
        <v>13.53</v>
      </c>
      <c r="E74" s="112">
        <v>9.48</v>
      </c>
      <c r="F74" s="112">
        <v>8.32</v>
      </c>
      <c r="G74" s="112">
        <v>85.37</v>
      </c>
      <c r="H74" s="112">
        <v>44.53</v>
      </c>
      <c r="I74" s="112">
        <v>10.11</v>
      </c>
      <c r="J74" s="112">
        <v>0.55000000000000004</v>
      </c>
      <c r="K74" s="112">
        <v>48.49</v>
      </c>
      <c r="L74" s="112">
        <v>25.68</v>
      </c>
      <c r="M74" s="112">
        <v>39.71</v>
      </c>
      <c r="N74" s="112">
        <v>20.8</v>
      </c>
      <c r="O74" s="112">
        <v>0</v>
      </c>
      <c r="P74" s="112">
        <v>0.83</v>
      </c>
      <c r="Q74" s="112">
        <v>4.7300000000000004</v>
      </c>
    </row>
    <row r="75" spans="1:17" customFormat="1">
      <c r="A75" s="80">
        <v>45617.697916666664</v>
      </c>
      <c r="B75" s="112">
        <v>4.33</v>
      </c>
      <c r="C75" s="112">
        <v>17.16</v>
      </c>
      <c r="D75" s="112">
        <v>13.79</v>
      </c>
      <c r="E75" s="112">
        <v>9.52</v>
      </c>
      <c r="F75" s="112">
        <v>8.2899999999999991</v>
      </c>
      <c r="G75" s="112">
        <v>85.37</v>
      </c>
      <c r="H75" s="112">
        <v>44.53</v>
      </c>
      <c r="I75" s="112">
        <v>10.130000000000001</v>
      </c>
      <c r="J75" s="112">
        <v>0.43</v>
      </c>
      <c r="K75" s="112">
        <v>52.41</v>
      </c>
      <c r="L75" s="112">
        <v>25.35</v>
      </c>
      <c r="M75" s="112">
        <v>40.86</v>
      </c>
      <c r="N75" s="112">
        <v>12.5</v>
      </c>
      <c r="O75" s="112">
        <v>0</v>
      </c>
      <c r="P75" s="112">
        <v>0.84</v>
      </c>
      <c r="Q75" s="112">
        <v>4.7300000000000004</v>
      </c>
    </row>
    <row r="76" spans="1:17" customFormat="1">
      <c r="A76" s="80">
        <v>45617.708333333336</v>
      </c>
      <c r="B76" s="112">
        <v>4.46</v>
      </c>
      <c r="C76" s="112">
        <v>17.54</v>
      </c>
      <c r="D76" s="112">
        <v>14.1</v>
      </c>
      <c r="E76" s="112">
        <v>9.39</v>
      </c>
      <c r="F76" s="112">
        <v>7.2</v>
      </c>
      <c r="G76" s="112">
        <v>85.37</v>
      </c>
      <c r="H76" s="112">
        <v>44.53</v>
      </c>
      <c r="I76" s="112">
        <v>10.130000000000001</v>
      </c>
      <c r="J76" s="112">
        <v>0.23</v>
      </c>
      <c r="K76" s="112">
        <v>53.35</v>
      </c>
      <c r="L76" s="112">
        <v>24.73</v>
      </c>
      <c r="M76" s="112">
        <v>45.12</v>
      </c>
      <c r="N76" s="112">
        <v>6.6</v>
      </c>
      <c r="O76" s="112">
        <v>0</v>
      </c>
      <c r="P76" s="112">
        <v>0.85</v>
      </c>
      <c r="Q76" s="112">
        <v>4.7300000000000004</v>
      </c>
    </row>
    <row r="77" spans="1:17" customFormat="1">
      <c r="A77" s="80">
        <v>45617.71875</v>
      </c>
      <c r="B77" s="112">
        <v>4.5999999999999996</v>
      </c>
      <c r="C77" s="112">
        <v>17.96</v>
      </c>
      <c r="D77" s="112">
        <v>14.43</v>
      </c>
      <c r="E77" s="112">
        <v>9.25</v>
      </c>
      <c r="F77" s="112">
        <v>6.94</v>
      </c>
      <c r="G77" s="112">
        <v>85.71</v>
      </c>
      <c r="H77" s="112">
        <v>44.51</v>
      </c>
      <c r="I77" s="112">
        <v>10.44</v>
      </c>
      <c r="J77" s="112">
        <v>0.23</v>
      </c>
      <c r="K77" s="112">
        <v>159.06</v>
      </c>
      <c r="L77" s="112">
        <v>23.58</v>
      </c>
      <c r="M77" s="112">
        <v>52</v>
      </c>
      <c r="N77" s="112">
        <v>3.5</v>
      </c>
      <c r="O77" s="112">
        <v>0</v>
      </c>
      <c r="P77" s="112">
        <v>0.87</v>
      </c>
      <c r="Q77" s="112">
        <v>4.7300000000000004</v>
      </c>
    </row>
    <row r="78" spans="1:17" customFormat="1">
      <c r="A78" s="80">
        <v>45617.729166666664</v>
      </c>
      <c r="B78" s="112">
        <v>4.6900000000000004</v>
      </c>
      <c r="C78" s="112">
        <v>18.239999999999998</v>
      </c>
      <c r="D78" s="112">
        <v>14.64</v>
      </c>
      <c r="E78" s="112">
        <v>9.49</v>
      </c>
      <c r="F78" s="112">
        <v>6.77</v>
      </c>
      <c r="G78" s="112">
        <v>100.62</v>
      </c>
      <c r="H78" s="112">
        <v>43.62</v>
      </c>
      <c r="I78" s="112">
        <v>10.96</v>
      </c>
      <c r="J78" s="112">
        <v>0.13</v>
      </c>
      <c r="K78" s="112">
        <v>122.15</v>
      </c>
      <c r="L78" s="112">
        <v>22.64</v>
      </c>
      <c r="M78" s="112">
        <v>55.77</v>
      </c>
      <c r="N78" s="112">
        <v>2.1</v>
      </c>
      <c r="O78" s="112">
        <v>0</v>
      </c>
      <c r="P78" s="112">
        <v>0.88</v>
      </c>
      <c r="Q78" s="112">
        <v>4.75</v>
      </c>
    </row>
    <row r="79" spans="1:17" customFormat="1">
      <c r="A79" s="80">
        <v>45617.739583333336</v>
      </c>
      <c r="B79" s="112">
        <v>5.04</v>
      </c>
      <c r="C79" s="112">
        <v>18.79</v>
      </c>
      <c r="D79" s="112">
        <v>15.21</v>
      </c>
      <c r="E79" s="112">
        <v>9.89</v>
      </c>
      <c r="F79" s="112">
        <v>6.21</v>
      </c>
      <c r="G79" s="112">
        <v>100.62</v>
      </c>
      <c r="H79" s="112">
        <v>43.62</v>
      </c>
      <c r="I79" s="112">
        <v>11.27</v>
      </c>
      <c r="J79" s="112">
        <v>0.4</v>
      </c>
      <c r="K79" s="112">
        <v>48.94</v>
      </c>
      <c r="L79" s="112">
        <v>23.23</v>
      </c>
      <c r="M79" s="112">
        <v>48.63</v>
      </c>
      <c r="N79" s="112">
        <v>1</v>
      </c>
      <c r="O79" s="112">
        <v>0</v>
      </c>
      <c r="P79" s="112">
        <v>0.9</v>
      </c>
      <c r="Q79" s="112">
        <v>4.7300000000000004</v>
      </c>
    </row>
    <row r="80" spans="1:17" customFormat="1">
      <c r="A80" s="80">
        <v>45617.75</v>
      </c>
      <c r="B80" s="112">
        <v>5.67</v>
      </c>
      <c r="C80" s="112">
        <v>19.87</v>
      </c>
      <c r="D80" s="112">
        <v>16.28</v>
      </c>
      <c r="E80" s="112">
        <v>9.58</v>
      </c>
      <c r="F80" s="112">
        <v>5.97</v>
      </c>
      <c r="G80" s="112">
        <v>100.62</v>
      </c>
      <c r="H80" s="112">
        <v>43.62</v>
      </c>
      <c r="I80" s="112">
        <v>11.57</v>
      </c>
      <c r="J80" s="112">
        <v>0.4</v>
      </c>
      <c r="K80" s="112">
        <v>46.98</v>
      </c>
      <c r="L80" s="112">
        <v>23.29</v>
      </c>
      <c r="M80" s="112">
        <v>47.94</v>
      </c>
      <c r="N80" s="112">
        <v>1.3</v>
      </c>
      <c r="O80" s="112">
        <v>0</v>
      </c>
      <c r="P80" s="112">
        <v>0.93</v>
      </c>
      <c r="Q80" s="112">
        <v>4.7300000000000004</v>
      </c>
    </row>
    <row r="81" spans="1:17" customFormat="1">
      <c r="A81" s="80">
        <v>45617.760416666664</v>
      </c>
      <c r="B81" s="112">
        <v>5.98</v>
      </c>
      <c r="C81" s="112">
        <v>21.53</v>
      </c>
      <c r="D81" s="112">
        <v>17.39</v>
      </c>
      <c r="E81" s="112">
        <v>7.86</v>
      </c>
      <c r="F81" s="112">
        <v>5.89</v>
      </c>
      <c r="G81" s="112">
        <v>101.37</v>
      </c>
      <c r="H81" s="112">
        <v>43.65</v>
      </c>
      <c r="I81" s="112">
        <v>11.79</v>
      </c>
      <c r="J81" s="112">
        <v>0.28999999999999998</v>
      </c>
      <c r="K81" s="112">
        <v>159.62</v>
      </c>
      <c r="L81" s="112">
        <v>22.48</v>
      </c>
      <c r="M81" s="112">
        <v>59.06</v>
      </c>
      <c r="N81" s="112">
        <v>2.4</v>
      </c>
      <c r="O81" s="112">
        <v>0</v>
      </c>
      <c r="P81" s="112">
        <v>0.98</v>
      </c>
      <c r="Q81" s="112">
        <v>4.76</v>
      </c>
    </row>
    <row r="82" spans="1:17" customFormat="1">
      <c r="A82" s="80">
        <v>45617.770833333336</v>
      </c>
      <c r="B82" s="112">
        <v>5.88</v>
      </c>
      <c r="C82" s="112">
        <v>22.42</v>
      </c>
      <c r="D82" s="112">
        <v>17.78</v>
      </c>
      <c r="E82" s="112">
        <v>9.4499999999999993</v>
      </c>
      <c r="F82" s="112">
        <v>5.93</v>
      </c>
      <c r="G82" s="112">
        <v>134.1</v>
      </c>
      <c r="H82" s="112">
        <v>45.48</v>
      </c>
      <c r="I82" s="112">
        <v>11.93</v>
      </c>
      <c r="J82" s="112">
        <v>0.24</v>
      </c>
      <c r="K82" s="112">
        <v>163.36000000000001</v>
      </c>
      <c r="L82" s="112">
        <v>21.45</v>
      </c>
      <c r="M82" s="112">
        <v>64.73</v>
      </c>
      <c r="N82" s="112">
        <v>2.1</v>
      </c>
      <c r="O82" s="112">
        <v>0</v>
      </c>
      <c r="P82" s="112">
        <v>1</v>
      </c>
      <c r="Q82" s="112">
        <v>4.75</v>
      </c>
    </row>
    <row r="83" spans="1:17" customFormat="1">
      <c r="A83" s="80">
        <v>45617.78125</v>
      </c>
      <c r="B83" s="112">
        <v>5.72</v>
      </c>
      <c r="C83" s="112">
        <v>23.18</v>
      </c>
      <c r="D83" s="112">
        <v>18.05</v>
      </c>
      <c r="E83" s="112">
        <v>9.2799999999999994</v>
      </c>
      <c r="F83" s="112">
        <v>5.85</v>
      </c>
      <c r="G83" s="112">
        <v>134.1</v>
      </c>
      <c r="H83" s="112">
        <v>45.48</v>
      </c>
      <c r="I83" s="112">
        <v>11.97</v>
      </c>
      <c r="J83" s="112">
        <v>0.25</v>
      </c>
      <c r="K83" s="112">
        <v>160.88</v>
      </c>
      <c r="L83" s="112">
        <v>21.06</v>
      </c>
      <c r="M83" s="112">
        <v>65.099999999999994</v>
      </c>
      <c r="N83" s="112">
        <v>1.6</v>
      </c>
      <c r="O83" s="112">
        <v>0</v>
      </c>
      <c r="P83" s="112">
        <v>1.02</v>
      </c>
      <c r="Q83" s="112">
        <v>4.74</v>
      </c>
    </row>
    <row r="84" spans="1:17" customFormat="1">
      <c r="A84" s="80">
        <v>45617.791666666664</v>
      </c>
      <c r="B84" s="112">
        <v>5.76</v>
      </c>
      <c r="C84" s="112">
        <v>24.04</v>
      </c>
      <c r="D84" s="112">
        <v>18.53</v>
      </c>
      <c r="E84" s="112">
        <v>9.08</v>
      </c>
      <c r="F84" s="112">
        <v>5.77</v>
      </c>
      <c r="G84" s="112">
        <v>134.1</v>
      </c>
      <c r="H84" s="112">
        <v>45.48</v>
      </c>
      <c r="I84" s="112">
        <v>12.06</v>
      </c>
      <c r="J84" s="112">
        <v>0.25</v>
      </c>
      <c r="K84" s="112">
        <v>166.82</v>
      </c>
      <c r="L84" s="112">
        <v>21</v>
      </c>
      <c r="M84" s="112">
        <v>64.650000000000006</v>
      </c>
      <c r="N84" s="112">
        <v>1.6</v>
      </c>
      <c r="O84" s="112">
        <v>0</v>
      </c>
      <c r="P84" s="112">
        <v>1.06</v>
      </c>
      <c r="Q84" s="112">
        <v>4.74</v>
      </c>
    </row>
    <row r="85" spans="1:17" customFormat="1">
      <c r="A85" s="80">
        <v>45617.802083333336</v>
      </c>
      <c r="B85" s="112">
        <v>5.86</v>
      </c>
      <c r="C85" s="112">
        <v>24.8</v>
      </c>
      <c r="D85" s="112">
        <v>19</v>
      </c>
      <c r="E85" s="112">
        <v>9.01</v>
      </c>
      <c r="F85" s="112">
        <v>5.53</v>
      </c>
      <c r="G85" s="112">
        <v>134.28</v>
      </c>
      <c r="H85" s="112">
        <v>45.53</v>
      </c>
      <c r="I85" s="112">
        <v>12.3</v>
      </c>
      <c r="J85" s="112">
        <v>0.25</v>
      </c>
      <c r="K85" s="112">
        <v>174.74</v>
      </c>
      <c r="L85" s="112">
        <v>20.67</v>
      </c>
      <c r="M85" s="112">
        <v>70.58</v>
      </c>
      <c r="N85" s="112">
        <v>1.6</v>
      </c>
      <c r="O85" s="112">
        <v>0</v>
      </c>
      <c r="P85" s="112">
        <v>1.1000000000000001</v>
      </c>
      <c r="Q85" s="112">
        <v>4.75</v>
      </c>
    </row>
    <row r="86" spans="1:17" customFormat="1">
      <c r="A86" s="80">
        <v>45617.8125</v>
      </c>
      <c r="B86" s="112">
        <v>5.85</v>
      </c>
      <c r="C86" s="112">
        <v>24.96</v>
      </c>
      <c r="D86" s="112">
        <v>19.079999999999998</v>
      </c>
      <c r="E86" s="112">
        <v>8.5299999999999994</v>
      </c>
      <c r="F86" s="112">
        <v>5.5</v>
      </c>
      <c r="G86" s="112">
        <v>141.99</v>
      </c>
      <c r="H86" s="112">
        <v>49.03</v>
      </c>
      <c r="I86" s="112">
        <v>12.59</v>
      </c>
      <c r="J86" s="112">
        <v>0.19</v>
      </c>
      <c r="K86" s="112">
        <v>188.79</v>
      </c>
      <c r="L86" s="112">
        <v>19.97</v>
      </c>
      <c r="M86" s="112">
        <v>74.53</v>
      </c>
      <c r="N86" s="112">
        <v>1.8</v>
      </c>
      <c r="O86" s="112">
        <v>0</v>
      </c>
      <c r="P86" s="112">
        <v>1.1100000000000001</v>
      </c>
      <c r="Q86" s="112">
        <v>4.75</v>
      </c>
    </row>
    <row r="87" spans="1:17" customFormat="1">
      <c r="A87" s="80">
        <v>45617.822916666664</v>
      </c>
      <c r="B87" s="112">
        <v>5.76</v>
      </c>
      <c r="C87" s="112">
        <v>24.75</v>
      </c>
      <c r="D87" s="112">
        <v>18.899999999999999</v>
      </c>
      <c r="E87" s="112">
        <v>9.07</v>
      </c>
      <c r="F87" s="112">
        <v>5.57</v>
      </c>
      <c r="G87" s="112">
        <v>141.99</v>
      </c>
      <c r="H87" s="112">
        <v>49.03</v>
      </c>
      <c r="I87" s="112">
        <v>12.79</v>
      </c>
      <c r="J87" s="112">
        <v>0.16</v>
      </c>
      <c r="K87" s="112">
        <v>179.32</v>
      </c>
      <c r="L87" s="112">
        <v>19.600000000000001</v>
      </c>
      <c r="M87" s="112">
        <v>75.02</v>
      </c>
      <c r="N87" s="112">
        <v>1.6</v>
      </c>
      <c r="O87" s="112">
        <v>0</v>
      </c>
      <c r="P87" s="112">
        <v>1.1299999999999999</v>
      </c>
      <c r="Q87" s="112">
        <v>4.75</v>
      </c>
    </row>
    <row r="88" spans="1:17" customFormat="1">
      <c r="A88" s="80">
        <v>45617.833333333336</v>
      </c>
      <c r="B88" s="112">
        <v>5.61</v>
      </c>
      <c r="C88" s="112">
        <v>24.42</v>
      </c>
      <c r="D88" s="112">
        <v>18.61</v>
      </c>
      <c r="E88" s="112">
        <v>9</v>
      </c>
      <c r="F88" s="112">
        <v>5.89</v>
      </c>
      <c r="G88" s="112">
        <v>141.99</v>
      </c>
      <c r="H88" s="112">
        <v>49.03</v>
      </c>
      <c r="I88" s="112">
        <v>12.95</v>
      </c>
      <c r="J88" s="112">
        <v>0.18</v>
      </c>
      <c r="K88" s="112">
        <v>203.32</v>
      </c>
      <c r="L88" s="112">
        <v>19.46</v>
      </c>
      <c r="M88" s="112">
        <v>78.56</v>
      </c>
      <c r="N88" s="112">
        <v>1.5</v>
      </c>
      <c r="O88" s="112">
        <v>0</v>
      </c>
      <c r="P88" s="112">
        <v>1.1399999999999999</v>
      </c>
      <c r="Q88" s="112">
        <v>4.74</v>
      </c>
    </row>
    <row r="89" spans="1:17" customFormat="1">
      <c r="A89" s="80">
        <v>45617.84375</v>
      </c>
      <c r="B89" s="112">
        <v>5.51</v>
      </c>
      <c r="C89" s="112">
        <v>23.96</v>
      </c>
      <c r="D89" s="112">
        <v>18.29</v>
      </c>
      <c r="E89" s="112">
        <v>8.5</v>
      </c>
      <c r="F89" s="112">
        <v>5.84</v>
      </c>
      <c r="G89" s="112">
        <v>141.9</v>
      </c>
      <c r="H89" s="112">
        <v>49.05</v>
      </c>
      <c r="I89" s="112">
        <v>13.03</v>
      </c>
      <c r="J89" s="112">
        <v>0.16</v>
      </c>
      <c r="K89" s="112">
        <v>173.41</v>
      </c>
      <c r="L89" s="112">
        <v>19.21</v>
      </c>
      <c r="M89" s="112">
        <v>80.040000000000006</v>
      </c>
      <c r="N89" s="112">
        <v>1.4</v>
      </c>
      <c r="O89" s="112">
        <v>0</v>
      </c>
      <c r="P89" s="112">
        <v>1.1499999999999999</v>
      </c>
      <c r="Q89" s="112">
        <v>4.75</v>
      </c>
    </row>
    <row r="90" spans="1:17" customFormat="1">
      <c r="A90" s="80">
        <v>45617.854166666664</v>
      </c>
      <c r="B90" s="112">
        <v>5.42</v>
      </c>
      <c r="C90" s="112">
        <v>23.58</v>
      </c>
      <c r="D90" s="112">
        <v>18.02</v>
      </c>
      <c r="E90" s="112">
        <v>8.6199999999999992</v>
      </c>
      <c r="F90" s="112">
        <v>5.73</v>
      </c>
      <c r="G90" s="112">
        <v>137.83000000000001</v>
      </c>
      <c r="H90" s="112">
        <v>50.8</v>
      </c>
      <c r="I90" s="112">
        <v>13.01</v>
      </c>
      <c r="J90" s="112">
        <v>0.2</v>
      </c>
      <c r="K90" s="112">
        <v>181.55</v>
      </c>
      <c r="L90" s="112">
        <v>19.059999999999999</v>
      </c>
      <c r="M90" s="112">
        <v>80.69</v>
      </c>
      <c r="N90" s="112">
        <v>1.4</v>
      </c>
      <c r="O90" s="112">
        <v>0</v>
      </c>
      <c r="P90" s="112">
        <v>1.1499999999999999</v>
      </c>
      <c r="Q90" s="112">
        <v>4.75</v>
      </c>
    </row>
    <row r="91" spans="1:17" customFormat="1">
      <c r="A91" s="80">
        <v>45617.864583333336</v>
      </c>
      <c r="B91" s="112">
        <v>5.36</v>
      </c>
      <c r="C91" s="112">
        <v>22.98</v>
      </c>
      <c r="D91" s="112">
        <v>17.66</v>
      </c>
      <c r="E91" s="112">
        <v>9.24</v>
      </c>
      <c r="F91" s="112">
        <v>5.76</v>
      </c>
      <c r="G91" s="112">
        <v>137.83000000000001</v>
      </c>
      <c r="H91" s="112">
        <v>50.8</v>
      </c>
      <c r="I91" s="112">
        <v>13</v>
      </c>
      <c r="J91" s="112">
        <v>0.19</v>
      </c>
      <c r="K91" s="112">
        <v>215.14</v>
      </c>
      <c r="L91" s="112">
        <v>18.87</v>
      </c>
      <c r="M91" s="112">
        <v>80.459999999999994</v>
      </c>
      <c r="N91" s="112">
        <v>1.4</v>
      </c>
      <c r="O91" s="112">
        <v>0</v>
      </c>
      <c r="P91" s="112">
        <v>1.1599999999999999</v>
      </c>
      <c r="Q91" s="112">
        <v>4.75</v>
      </c>
    </row>
    <row r="92" spans="1:17" customFormat="1">
      <c r="A92" s="80">
        <v>45617.875</v>
      </c>
      <c r="B92" s="112">
        <v>5.3</v>
      </c>
      <c r="C92" s="112">
        <v>22.75</v>
      </c>
      <c r="D92" s="112">
        <v>17.48</v>
      </c>
      <c r="E92" s="112">
        <v>8.76</v>
      </c>
      <c r="F92" s="112">
        <v>5.78</v>
      </c>
      <c r="G92" s="112">
        <v>137.83000000000001</v>
      </c>
      <c r="H92" s="112">
        <v>50.8</v>
      </c>
      <c r="I92" s="112">
        <v>12.98</v>
      </c>
      <c r="J92" s="112">
        <v>0.16</v>
      </c>
      <c r="K92" s="112">
        <v>230.51</v>
      </c>
      <c r="L92" s="112">
        <v>18.72</v>
      </c>
      <c r="M92" s="112">
        <v>80.34</v>
      </c>
      <c r="N92" s="112">
        <v>1.5</v>
      </c>
      <c r="O92" s="112">
        <v>0</v>
      </c>
      <c r="P92" s="112">
        <v>1.1499999999999999</v>
      </c>
      <c r="Q92" s="112">
        <v>4.7699999999999996</v>
      </c>
    </row>
    <row r="93" spans="1:17" customFormat="1">
      <c r="A93" s="80">
        <v>45617.885416666664</v>
      </c>
      <c r="B93" s="112">
        <v>5.28</v>
      </c>
      <c r="C93" s="112">
        <v>22.39</v>
      </c>
      <c r="D93" s="112">
        <v>17.29</v>
      </c>
      <c r="E93" s="112">
        <v>9.0399999999999991</v>
      </c>
      <c r="F93" s="112">
        <v>6.03</v>
      </c>
      <c r="G93" s="112">
        <v>137.83000000000001</v>
      </c>
      <c r="H93" s="112">
        <v>50.76</v>
      </c>
      <c r="I93" s="112">
        <v>12.97</v>
      </c>
      <c r="J93" s="112">
        <v>0.13</v>
      </c>
      <c r="K93" s="112">
        <v>215.52</v>
      </c>
      <c r="L93" s="112">
        <v>18.55</v>
      </c>
      <c r="M93" s="112">
        <v>79.849999999999994</v>
      </c>
      <c r="N93" s="112">
        <v>1.4</v>
      </c>
      <c r="O93" s="112">
        <v>0</v>
      </c>
      <c r="P93" s="112">
        <v>1.1599999999999999</v>
      </c>
      <c r="Q93" s="112">
        <v>4.76</v>
      </c>
    </row>
    <row r="94" spans="1:17" customFormat="1">
      <c r="A94" s="80">
        <v>45617.895833333336</v>
      </c>
      <c r="B94" s="112">
        <v>5.33</v>
      </c>
      <c r="C94" s="112">
        <v>22.48</v>
      </c>
      <c r="D94" s="112">
        <v>17.37</v>
      </c>
      <c r="E94" s="112">
        <v>8.7899999999999991</v>
      </c>
      <c r="F94" s="112">
        <v>5.9</v>
      </c>
      <c r="G94" s="112">
        <v>137.66999999999999</v>
      </c>
      <c r="H94" s="112">
        <v>48.22</v>
      </c>
      <c r="I94" s="112">
        <v>12.99</v>
      </c>
      <c r="J94" s="112">
        <v>0.16</v>
      </c>
      <c r="K94" s="112">
        <v>198.88</v>
      </c>
      <c r="L94" s="112">
        <v>18.649999999999999</v>
      </c>
      <c r="M94" s="112">
        <v>78.5</v>
      </c>
      <c r="N94" s="112">
        <v>1.3</v>
      </c>
      <c r="O94" s="112">
        <v>0</v>
      </c>
      <c r="P94" s="112">
        <v>1.1599999999999999</v>
      </c>
      <c r="Q94" s="112">
        <v>4.75</v>
      </c>
    </row>
    <row r="95" spans="1:17" customFormat="1">
      <c r="A95" s="80">
        <v>45617.90625</v>
      </c>
      <c r="B95" s="112">
        <v>5.36</v>
      </c>
      <c r="C95" s="112">
        <v>22.3</v>
      </c>
      <c r="D95" s="112">
        <v>17.3</v>
      </c>
      <c r="E95" s="112">
        <v>8.98</v>
      </c>
      <c r="F95" s="112">
        <v>5.89</v>
      </c>
      <c r="G95" s="112">
        <v>137.66999999999999</v>
      </c>
      <c r="H95" s="112">
        <v>48.22</v>
      </c>
      <c r="I95" s="112">
        <v>12.98</v>
      </c>
      <c r="J95" s="112">
        <v>0.16</v>
      </c>
      <c r="K95" s="112">
        <v>225.54</v>
      </c>
      <c r="L95" s="112">
        <v>18.36</v>
      </c>
      <c r="M95" s="112">
        <v>80.89</v>
      </c>
      <c r="N95" s="112">
        <v>1.5</v>
      </c>
      <c r="O95" s="112">
        <v>0</v>
      </c>
      <c r="P95" s="112">
        <v>1.1499999999999999</v>
      </c>
      <c r="Q95" s="112">
        <v>4.76</v>
      </c>
    </row>
    <row r="96" spans="1:17" customFormat="1">
      <c r="A96" s="80">
        <v>45617.916666666664</v>
      </c>
      <c r="B96" s="112">
        <v>5.34</v>
      </c>
      <c r="C96" s="112">
        <v>22.25</v>
      </c>
      <c r="D96" s="112">
        <v>17.25</v>
      </c>
      <c r="E96" s="112">
        <v>9.2200000000000006</v>
      </c>
      <c r="F96" s="112">
        <v>5.72</v>
      </c>
      <c r="G96" s="112">
        <v>137.66999999999999</v>
      </c>
      <c r="H96" s="112">
        <v>48.22</v>
      </c>
      <c r="I96" s="112">
        <v>12.91</v>
      </c>
      <c r="J96" s="112">
        <v>0.15</v>
      </c>
      <c r="K96" s="112">
        <v>236.07</v>
      </c>
      <c r="L96" s="112">
        <v>18.12</v>
      </c>
      <c r="M96" s="112">
        <v>80.59</v>
      </c>
      <c r="N96" s="112">
        <v>1.4</v>
      </c>
      <c r="O96" s="112">
        <v>0</v>
      </c>
      <c r="P96" s="112">
        <v>1.1499999999999999</v>
      </c>
      <c r="Q96" s="112">
        <v>4.76</v>
      </c>
    </row>
    <row r="97" spans="1:22" customFormat="1">
      <c r="A97" s="80">
        <v>45617.927083333336</v>
      </c>
      <c r="B97" s="112">
        <v>5.36</v>
      </c>
      <c r="C97" s="112">
        <v>22.1</v>
      </c>
      <c r="D97" s="112">
        <v>17.190000000000001</v>
      </c>
      <c r="E97" s="112">
        <v>9.01</v>
      </c>
      <c r="F97" s="112">
        <v>5.61</v>
      </c>
      <c r="G97" s="112">
        <v>137.71</v>
      </c>
      <c r="H97" s="112">
        <v>48.19</v>
      </c>
      <c r="I97" s="112">
        <v>12.8</v>
      </c>
      <c r="J97" s="112">
        <v>0.17</v>
      </c>
      <c r="K97" s="112">
        <v>217.86</v>
      </c>
      <c r="L97" s="112">
        <v>18.14</v>
      </c>
      <c r="M97" s="112">
        <v>79.680000000000007</v>
      </c>
      <c r="N97" s="112">
        <v>1.2</v>
      </c>
      <c r="O97" s="112">
        <v>0</v>
      </c>
      <c r="P97" s="112">
        <v>1.1499999999999999</v>
      </c>
      <c r="Q97" s="112">
        <v>4.76</v>
      </c>
    </row>
    <row r="98" spans="1:22" customFormat="1">
      <c r="A98" s="80">
        <v>45617.9375</v>
      </c>
      <c r="B98" s="112">
        <v>5.73</v>
      </c>
      <c r="C98" s="112">
        <v>22.38</v>
      </c>
      <c r="D98" s="112">
        <v>17.64</v>
      </c>
      <c r="E98" s="112">
        <v>8.8699999999999992</v>
      </c>
      <c r="F98" s="112">
        <v>5.41</v>
      </c>
      <c r="G98" s="112">
        <v>139.72</v>
      </c>
      <c r="H98" s="112">
        <v>47.11</v>
      </c>
      <c r="I98" s="112">
        <v>12.75</v>
      </c>
      <c r="J98" s="112">
        <v>0.16</v>
      </c>
      <c r="K98" s="112">
        <v>92.58</v>
      </c>
      <c r="L98" s="112">
        <v>18.329999999999998</v>
      </c>
      <c r="M98" s="112">
        <v>77.59</v>
      </c>
      <c r="N98" s="112">
        <v>1.1000000000000001</v>
      </c>
      <c r="O98" s="112">
        <v>0</v>
      </c>
      <c r="P98" s="112">
        <v>1.1499999999999999</v>
      </c>
      <c r="Q98" s="112">
        <v>4.74</v>
      </c>
    </row>
    <row r="99" spans="1:22" customFormat="1">
      <c r="A99" s="80">
        <v>45617.947916666664</v>
      </c>
      <c r="B99" s="112">
        <v>6.55</v>
      </c>
      <c r="C99" s="112">
        <v>22.75</v>
      </c>
      <c r="D99" s="112">
        <v>18.489999999999998</v>
      </c>
      <c r="E99" s="112">
        <v>8.91</v>
      </c>
      <c r="F99" s="112">
        <v>5.35</v>
      </c>
      <c r="G99" s="112">
        <v>139.72</v>
      </c>
      <c r="H99" s="112">
        <v>47.11</v>
      </c>
      <c r="I99" s="112">
        <v>12.71</v>
      </c>
      <c r="J99" s="112">
        <v>0.14000000000000001</v>
      </c>
      <c r="K99" s="112">
        <v>153.68</v>
      </c>
      <c r="L99" s="112">
        <v>18.55</v>
      </c>
      <c r="M99" s="112">
        <v>77.459999999999994</v>
      </c>
      <c r="N99" s="112">
        <v>1.4</v>
      </c>
      <c r="O99" s="112">
        <v>0</v>
      </c>
      <c r="P99" s="112">
        <v>1.1599999999999999</v>
      </c>
      <c r="Q99" s="112">
        <v>4.75</v>
      </c>
    </row>
    <row r="100" spans="1:22" customFormat="1">
      <c r="A100" s="80">
        <v>45617.958333333336</v>
      </c>
      <c r="B100" s="112">
        <v>7.04</v>
      </c>
      <c r="C100" s="112">
        <v>23.47</v>
      </c>
      <c r="D100" s="112">
        <v>19.260000000000002</v>
      </c>
      <c r="E100" s="112">
        <v>9.17</v>
      </c>
      <c r="F100" s="112">
        <v>5.3</v>
      </c>
      <c r="G100" s="112">
        <v>139.72</v>
      </c>
      <c r="H100" s="112">
        <v>47.11</v>
      </c>
      <c r="I100" s="112">
        <v>12.72</v>
      </c>
      <c r="J100" s="112">
        <v>0.12</v>
      </c>
      <c r="K100" s="112">
        <v>200.86</v>
      </c>
      <c r="L100" s="112">
        <v>18.28</v>
      </c>
      <c r="M100" s="112">
        <v>77.23</v>
      </c>
      <c r="N100" s="112">
        <v>1.4</v>
      </c>
      <c r="O100" s="112">
        <v>0</v>
      </c>
      <c r="P100" s="112">
        <v>1.1599999999999999</v>
      </c>
      <c r="Q100" s="112">
        <v>4.76</v>
      </c>
    </row>
    <row r="101" spans="1:22" customFormat="1">
      <c r="A101" s="80">
        <v>45617.96875</v>
      </c>
      <c r="B101" s="112">
        <v>7.58</v>
      </c>
      <c r="C101" s="112">
        <v>23.75</v>
      </c>
      <c r="D101" s="112">
        <v>19.84</v>
      </c>
      <c r="E101" s="112">
        <v>9.27</v>
      </c>
      <c r="F101" s="112">
        <v>5.32</v>
      </c>
      <c r="G101" s="112">
        <v>139.78</v>
      </c>
      <c r="H101" s="112">
        <v>47.15</v>
      </c>
      <c r="I101" s="112">
        <v>12.81</v>
      </c>
      <c r="J101" s="112">
        <v>0.16</v>
      </c>
      <c r="K101" s="112">
        <v>207.34</v>
      </c>
      <c r="L101" s="112">
        <v>18.07</v>
      </c>
      <c r="M101" s="112">
        <v>81.08</v>
      </c>
      <c r="N101" s="112">
        <v>1.6</v>
      </c>
      <c r="O101" s="112">
        <v>0</v>
      </c>
      <c r="P101" s="112">
        <v>1.1599999999999999</v>
      </c>
      <c r="Q101" s="112">
        <v>4.74</v>
      </c>
    </row>
    <row r="102" spans="1:22" customFormat="1">
      <c r="A102" s="80">
        <v>45617.979166666664</v>
      </c>
      <c r="B102" s="112">
        <v>7.77</v>
      </c>
      <c r="C102" s="112">
        <v>23.5</v>
      </c>
      <c r="D102" s="112">
        <v>19.86</v>
      </c>
      <c r="E102" s="112">
        <v>9.5500000000000007</v>
      </c>
      <c r="F102" s="112">
        <v>5.62</v>
      </c>
      <c r="G102" s="112">
        <v>142.56</v>
      </c>
      <c r="H102" s="112">
        <v>49.36</v>
      </c>
      <c r="I102" s="112">
        <v>12.88</v>
      </c>
      <c r="J102" s="112">
        <v>0.14000000000000001</v>
      </c>
      <c r="K102" s="112">
        <v>204.51</v>
      </c>
      <c r="L102" s="112">
        <v>17.71</v>
      </c>
      <c r="M102" s="112">
        <v>84.32</v>
      </c>
      <c r="N102" s="112">
        <v>1.6</v>
      </c>
      <c r="O102" s="112">
        <v>0</v>
      </c>
      <c r="P102" s="112">
        <v>1.1299999999999999</v>
      </c>
      <c r="Q102" s="112">
        <v>4.75</v>
      </c>
    </row>
    <row r="103" spans="1:22" customFormat="1">
      <c r="A103" s="80">
        <v>45617.989583333336</v>
      </c>
      <c r="B103" s="112">
        <v>7.76</v>
      </c>
      <c r="C103" s="112">
        <v>22.95</v>
      </c>
      <c r="D103" s="112">
        <v>19.57</v>
      </c>
      <c r="E103" s="112">
        <v>9.16</v>
      </c>
      <c r="F103" s="112">
        <v>5.58</v>
      </c>
      <c r="G103" s="112">
        <v>142.56</v>
      </c>
      <c r="H103" s="112">
        <v>49.36</v>
      </c>
      <c r="I103" s="112">
        <v>12.86</v>
      </c>
      <c r="J103" s="112">
        <v>0.14000000000000001</v>
      </c>
      <c r="K103" s="112">
        <v>204.18</v>
      </c>
      <c r="L103" s="112">
        <v>17.53</v>
      </c>
      <c r="M103" s="112">
        <v>85.66</v>
      </c>
      <c r="N103" s="112">
        <v>1.5</v>
      </c>
      <c r="O103" s="112">
        <v>0</v>
      </c>
      <c r="P103" s="112">
        <v>1.1200000000000001</v>
      </c>
      <c r="Q103" s="112">
        <v>4.75</v>
      </c>
    </row>
    <row r="104" spans="1:22" customFormat="1">
      <c r="A104" s="80">
        <v>45618</v>
      </c>
      <c r="B104" s="112">
        <v>7.66</v>
      </c>
      <c r="C104" s="112">
        <v>22.43</v>
      </c>
      <c r="D104" s="112">
        <v>19.21</v>
      </c>
      <c r="E104" s="112">
        <v>8.9</v>
      </c>
      <c r="F104" s="112">
        <v>5.59</v>
      </c>
      <c r="G104" s="112">
        <v>142.56</v>
      </c>
      <c r="H104" s="112">
        <v>49.36</v>
      </c>
      <c r="I104" s="112">
        <v>12.81</v>
      </c>
      <c r="J104" s="112">
        <v>0.25</v>
      </c>
      <c r="K104" s="112">
        <v>247.43</v>
      </c>
      <c r="L104" s="112">
        <v>17.16</v>
      </c>
      <c r="M104" s="112">
        <v>85.24</v>
      </c>
      <c r="N104" s="112">
        <v>1.7</v>
      </c>
      <c r="O104" s="112">
        <v>0</v>
      </c>
      <c r="P104" s="112">
        <v>1.1100000000000001</v>
      </c>
      <c r="Q104" s="112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3.89</v>
      </c>
      <c r="C106" s="183">
        <f>MIN(C9:C104)</f>
        <v>16.25</v>
      </c>
      <c r="D106" s="183">
        <f t="shared" ref="D106:Q106" si="0">MIN(D9:D104)</f>
        <v>13.08</v>
      </c>
      <c r="E106" s="183">
        <f t="shared" si="0"/>
        <v>7.4</v>
      </c>
      <c r="F106" s="183">
        <f t="shared" si="0"/>
        <v>5.21</v>
      </c>
      <c r="G106" s="183">
        <f t="shared" si="0"/>
        <v>79.2</v>
      </c>
      <c r="H106" s="183">
        <f t="shared" si="0"/>
        <v>24.27</v>
      </c>
      <c r="I106" s="183">
        <f t="shared" si="0"/>
        <v>10.06</v>
      </c>
      <c r="J106" s="183">
        <f t="shared" si="0"/>
        <v>0.05</v>
      </c>
      <c r="K106" s="183">
        <f t="shared" si="0"/>
        <v>10.83</v>
      </c>
      <c r="L106" s="183">
        <f t="shared" si="0"/>
        <v>14.93</v>
      </c>
      <c r="M106" s="183">
        <f t="shared" si="0"/>
        <v>34.979999999999997</v>
      </c>
      <c r="N106" s="183">
        <f t="shared" si="0"/>
        <v>1</v>
      </c>
      <c r="O106" s="183">
        <f t="shared" si="0"/>
        <v>0</v>
      </c>
      <c r="P106" s="183">
        <f t="shared" si="0"/>
        <v>0.77</v>
      </c>
      <c r="Q106" s="183">
        <f t="shared" si="0"/>
        <v>4.72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26.61</v>
      </c>
      <c r="C107" s="184">
        <f t="shared" ref="C107:Q107" si="1">MAX(C9:C104)</f>
        <v>24.96</v>
      </c>
      <c r="D107" s="184">
        <f t="shared" si="1"/>
        <v>32.44</v>
      </c>
      <c r="E107" s="184">
        <f t="shared" si="1"/>
        <v>10.52</v>
      </c>
      <c r="F107" s="184">
        <f t="shared" si="1"/>
        <v>12.49</v>
      </c>
      <c r="G107" s="184">
        <f t="shared" si="1"/>
        <v>142.56</v>
      </c>
      <c r="H107" s="184">
        <f t="shared" si="1"/>
        <v>59.59</v>
      </c>
      <c r="I107" s="184">
        <f t="shared" si="1"/>
        <v>13.76</v>
      </c>
      <c r="J107" s="184">
        <f t="shared" si="1"/>
        <v>0.68</v>
      </c>
      <c r="K107" s="184">
        <f t="shared" si="1"/>
        <v>349.27</v>
      </c>
      <c r="L107" s="184">
        <f t="shared" si="1"/>
        <v>27.66</v>
      </c>
      <c r="M107" s="184">
        <f t="shared" si="1"/>
        <v>92.96</v>
      </c>
      <c r="N107" s="184">
        <f t="shared" si="1"/>
        <v>433.9</v>
      </c>
      <c r="O107" s="184">
        <f t="shared" si="1"/>
        <v>0</v>
      </c>
      <c r="P107" s="184">
        <f t="shared" si="1"/>
        <v>1.1599999999999999</v>
      </c>
      <c r="Q107" s="184">
        <f t="shared" si="1"/>
        <v>4.78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11.002187500000003</v>
      </c>
      <c r="C108" s="183">
        <f t="shared" ref="C108:Q108" si="2">AVERAGE(C9:C104)</f>
        <v>20.869375000000002</v>
      </c>
      <c r="D108" s="183">
        <f t="shared" si="2"/>
        <v>21.078125000000004</v>
      </c>
      <c r="E108" s="183">
        <f t="shared" si="2"/>
        <v>9.372187499999999</v>
      </c>
      <c r="F108" s="183">
        <f t="shared" si="2"/>
        <v>6.5717708333333329</v>
      </c>
      <c r="G108" s="183">
        <f t="shared" si="2"/>
        <v>111.07135416666661</v>
      </c>
      <c r="H108" s="183">
        <f t="shared" si="2"/>
        <v>42.827500000000015</v>
      </c>
      <c r="I108" s="183">
        <f t="shared" si="2"/>
        <v>12.391145833333335</v>
      </c>
      <c r="J108" s="183">
        <f t="shared" si="2"/>
        <v>0.25218750000000001</v>
      </c>
      <c r="K108" s="183">
        <f t="shared" si="2"/>
        <v>130.35906249999999</v>
      </c>
      <c r="L108" s="183">
        <f t="shared" si="2"/>
        <v>20.757187500000001</v>
      </c>
      <c r="M108" s="183">
        <f t="shared" si="2"/>
        <v>65.079479166666673</v>
      </c>
      <c r="N108" s="183">
        <f t="shared" si="2"/>
        <v>93.668750000000003</v>
      </c>
      <c r="O108" s="183">
        <f t="shared" si="2"/>
        <v>0</v>
      </c>
      <c r="P108" s="183">
        <f t="shared" si="2"/>
        <v>0.985104166666667</v>
      </c>
      <c r="Q108" s="183">
        <f t="shared" si="2"/>
        <v>4.749479166666668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7.5601101639320891</v>
      </c>
      <c r="C109" s="183">
        <f t="shared" ref="C109:Q109" si="3">STDEV(C9:C104)</f>
        <v>2.3835620458288482</v>
      </c>
      <c r="D109" s="183">
        <f t="shared" si="3"/>
        <v>5.9808609330095663</v>
      </c>
      <c r="E109" s="183">
        <f t="shared" si="3"/>
        <v>0.72455315176793889</v>
      </c>
      <c r="F109" s="183">
        <f t="shared" si="3"/>
        <v>1.7257352329654287</v>
      </c>
      <c r="G109" s="183">
        <f t="shared" si="3"/>
        <v>19.515370224237362</v>
      </c>
      <c r="H109" s="183">
        <f t="shared" si="3"/>
        <v>6.4475981656164993</v>
      </c>
      <c r="I109" s="183">
        <f t="shared" si="3"/>
        <v>1.0321034931701674</v>
      </c>
      <c r="J109" s="183">
        <f t="shared" si="3"/>
        <v>0.14774232992826261</v>
      </c>
      <c r="K109" s="183">
        <f t="shared" si="3"/>
        <v>72.931234794054575</v>
      </c>
      <c r="L109" s="183">
        <f t="shared" si="3"/>
        <v>4.3174245985857906</v>
      </c>
      <c r="M109" s="183">
        <f t="shared" si="3"/>
        <v>19.705211032392913</v>
      </c>
      <c r="N109" s="183">
        <f t="shared" si="3"/>
        <v>144.88623000387872</v>
      </c>
      <c r="O109" s="183">
        <f t="shared" si="3"/>
        <v>0</v>
      </c>
      <c r="P109" s="183">
        <f t="shared" si="3"/>
        <v>0.10842406794052663</v>
      </c>
      <c r="Q109" s="183">
        <f t="shared" si="3"/>
        <v>1.2428303154423007E-2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102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45618.010416666664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45618.010416666664</v>
      </c>
      <c r="B9" s="112">
        <v>7.34</v>
      </c>
      <c r="C9" s="112">
        <v>21.97</v>
      </c>
      <c r="D9" s="112">
        <v>18.72</v>
      </c>
      <c r="E9" s="112">
        <v>9.3000000000000007</v>
      </c>
      <c r="F9" s="112">
        <v>5.72</v>
      </c>
      <c r="G9" s="112">
        <v>142.24</v>
      </c>
      <c r="H9" s="112">
        <v>49.32</v>
      </c>
      <c r="I9" s="112">
        <v>12.75</v>
      </c>
      <c r="J9" s="112">
        <v>0.18</v>
      </c>
      <c r="K9" s="112">
        <v>219.27</v>
      </c>
      <c r="L9" s="112">
        <v>16.97</v>
      </c>
      <c r="M9" s="112">
        <v>83.43</v>
      </c>
      <c r="N9" s="112">
        <v>1.7</v>
      </c>
      <c r="O9" s="112">
        <v>0</v>
      </c>
      <c r="P9" s="112">
        <v>1.1100000000000001</v>
      </c>
      <c r="Q9" s="112">
        <v>4.72</v>
      </c>
    </row>
    <row r="10" spans="1:21" customFormat="1">
      <c r="A10" s="80">
        <v>45618.020833333336</v>
      </c>
      <c r="B10" s="112">
        <v>7.29</v>
      </c>
      <c r="C10" s="112">
        <v>21.52</v>
      </c>
      <c r="D10" s="112">
        <v>18.440000000000001</v>
      </c>
      <c r="E10" s="112">
        <v>9.1999999999999993</v>
      </c>
      <c r="F10" s="112">
        <v>5.58</v>
      </c>
      <c r="G10" s="112">
        <v>128.29</v>
      </c>
      <c r="H10" s="112">
        <v>47.01</v>
      </c>
      <c r="I10" s="112">
        <v>12.66</v>
      </c>
      <c r="J10" s="112">
        <v>0.1</v>
      </c>
      <c r="K10" s="112">
        <v>203.09</v>
      </c>
      <c r="L10" s="112">
        <v>16.899999999999999</v>
      </c>
      <c r="M10" s="112">
        <v>86.72</v>
      </c>
      <c r="N10" s="112">
        <v>1.4</v>
      </c>
      <c r="O10" s="112">
        <v>0</v>
      </c>
      <c r="P10" s="112">
        <v>1.1000000000000001</v>
      </c>
      <c r="Q10" s="112">
        <v>4.7300000000000004</v>
      </c>
    </row>
    <row r="11" spans="1:21" customFormat="1">
      <c r="A11" s="80">
        <v>45618.03125</v>
      </c>
      <c r="B11" s="112">
        <v>7.19</v>
      </c>
      <c r="C11" s="112">
        <v>20.98</v>
      </c>
      <c r="D11" s="112">
        <v>18.079999999999998</v>
      </c>
      <c r="E11" s="112">
        <v>8.89</v>
      </c>
      <c r="F11" s="112">
        <v>5.7</v>
      </c>
      <c r="G11" s="112">
        <v>128.29</v>
      </c>
      <c r="H11" s="112">
        <v>47.01</v>
      </c>
      <c r="I11" s="112">
        <v>12.63</v>
      </c>
      <c r="J11" s="112">
        <v>0.21</v>
      </c>
      <c r="K11" s="112">
        <v>240.66</v>
      </c>
      <c r="L11" s="112">
        <v>16.72</v>
      </c>
      <c r="M11" s="112">
        <v>87.68</v>
      </c>
      <c r="N11" s="112">
        <v>1.5</v>
      </c>
      <c r="O11" s="112">
        <v>0</v>
      </c>
      <c r="P11" s="112">
        <v>1.1000000000000001</v>
      </c>
      <c r="Q11" s="112">
        <v>4.74</v>
      </c>
    </row>
    <row r="12" spans="1:21" customFormat="1">
      <c r="A12" s="80">
        <v>45618.041666666664</v>
      </c>
      <c r="B12" s="112">
        <v>7.1</v>
      </c>
      <c r="C12" s="112">
        <v>20.440000000000001</v>
      </c>
      <c r="D12" s="112">
        <v>17.73</v>
      </c>
      <c r="E12" s="112">
        <v>8.42</v>
      </c>
      <c r="F12" s="112">
        <v>5.65</v>
      </c>
      <c r="G12" s="112">
        <v>128.29</v>
      </c>
      <c r="H12" s="112">
        <v>47.01</v>
      </c>
      <c r="I12" s="112">
        <v>12.6</v>
      </c>
      <c r="J12" s="112">
        <v>0.2</v>
      </c>
      <c r="K12" s="112">
        <v>281.70999999999998</v>
      </c>
      <c r="L12" s="112">
        <v>16.62</v>
      </c>
      <c r="M12" s="112">
        <v>85.38</v>
      </c>
      <c r="N12" s="112">
        <v>1.4</v>
      </c>
      <c r="O12" s="112">
        <v>0</v>
      </c>
      <c r="P12" s="112">
        <v>1.1100000000000001</v>
      </c>
      <c r="Q12" s="112">
        <v>4.74</v>
      </c>
    </row>
    <row r="13" spans="1:21" customFormat="1">
      <c r="A13" s="80">
        <v>45618.052083333336</v>
      </c>
      <c r="B13" s="112">
        <v>7.21</v>
      </c>
      <c r="C13" s="112">
        <v>20.34</v>
      </c>
      <c r="D13" s="112">
        <v>17.760000000000002</v>
      </c>
      <c r="E13" s="112">
        <v>9.2799999999999994</v>
      </c>
      <c r="F13" s="112">
        <v>5.49</v>
      </c>
      <c r="G13" s="112">
        <v>128.16</v>
      </c>
      <c r="H13" s="112">
        <v>46.98</v>
      </c>
      <c r="I13" s="112">
        <v>12.55</v>
      </c>
      <c r="J13" s="112">
        <v>0.17</v>
      </c>
      <c r="K13" s="112">
        <v>163.21</v>
      </c>
      <c r="L13" s="112">
        <v>16.88</v>
      </c>
      <c r="M13" s="112">
        <v>82.65</v>
      </c>
      <c r="N13" s="112">
        <v>1.3</v>
      </c>
      <c r="O13" s="112">
        <v>0</v>
      </c>
      <c r="P13" s="112">
        <v>1.1000000000000001</v>
      </c>
      <c r="Q13" s="112">
        <v>4.7300000000000004</v>
      </c>
    </row>
    <row r="14" spans="1:21" customFormat="1">
      <c r="A14" s="80">
        <v>45618.0625</v>
      </c>
      <c r="B14" s="112">
        <v>7.44</v>
      </c>
      <c r="C14" s="112">
        <v>20.6</v>
      </c>
      <c r="D14" s="112">
        <v>18.079999999999998</v>
      </c>
      <c r="E14" s="112">
        <v>9.43</v>
      </c>
      <c r="F14" s="112">
        <v>5.47</v>
      </c>
      <c r="G14" s="112">
        <v>122.54</v>
      </c>
      <c r="H14" s="112">
        <v>46.23</v>
      </c>
      <c r="I14" s="112">
        <v>12.56</v>
      </c>
      <c r="J14" s="112">
        <v>0.11</v>
      </c>
      <c r="K14" s="112">
        <v>119.11</v>
      </c>
      <c r="L14" s="112">
        <v>17.059999999999999</v>
      </c>
      <c r="M14" s="112">
        <v>81.790000000000006</v>
      </c>
      <c r="N14" s="112">
        <v>1.3</v>
      </c>
      <c r="O14" s="112">
        <v>0</v>
      </c>
      <c r="P14" s="112">
        <v>1.1000000000000001</v>
      </c>
      <c r="Q14" s="112">
        <v>4.74</v>
      </c>
    </row>
    <row r="15" spans="1:21" customFormat="1">
      <c r="A15" s="80">
        <v>45618.072916666664</v>
      </c>
      <c r="B15" s="112">
        <v>8.2899999999999991</v>
      </c>
      <c r="C15" s="112">
        <v>20.85</v>
      </c>
      <c r="D15" s="112">
        <v>18.899999999999999</v>
      </c>
      <c r="E15" s="112">
        <v>9.4600000000000009</v>
      </c>
      <c r="F15" s="112">
        <v>5.61</v>
      </c>
      <c r="G15" s="112">
        <v>122.54</v>
      </c>
      <c r="H15" s="112">
        <v>46.23</v>
      </c>
      <c r="I15" s="112">
        <v>12.59</v>
      </c>
      <c r="J15" s="112">
        <v>0.14000000000000001</v>
      </c>
      <c r="K15" s="112">
        <v>184.24</v>
      </c>
      <c r="L15" s="112">
        <v>17.11</v>
      </c>
      <c r="M15" s="112">
        <v>84.28</v>
      </c>
      <c r="N15" s="112">
        <v>1.2</v>
      </c>
      <c r="O15" s="112">
        <v>0</v>
      </c>
      <c r="P15" s="112">
        <v>1.1100000000000001</v>
      </c>
      <c r="Q15" s="112">
        <v>4.74</v>
      </c>
    </row>
    <row r="16" spans="1:21" customFormat="1">
      <c r="A16" s="80">
        <v>45618.083333333336</v>
      </c>
      <c r="B16" s="112">
        <v>8.82</v>
      </c>
      <c r="C16" s="112">
        <v>21.26</v>
      </c>
      <c r="D16" s="112">
        <v>19.53</v>
      </c>
      <c r="E16" s="112">
        <v>9.2899999999999991</v>
      </c>
      <c r="F16" s="112">
        <v>5.55</v>
      </c>
      <c r="G16" s="112">
        <v>122.54</v>
      </c>
      <c r="H16" s="112">
        <v>46.23</v>
      </c>
      <c r="I16" s="112">
        <v>12.57</v>
      </c>
      <c r="J16" s="112">
        <v>0.13</v>
      </c>
      <c r="K16" s="112">
        <v>195.64</v>
      </c>
      <c r="L16" s="112">
        <v>16.79</v>
      </c>
      <c r="M16" s="112">
        <v>87.89</v>
      </c>
      <c r="N16" s="112">
        <v>1.6</v>
      </c>
      <c r="O16" s="112">
        <v>0</v>
      </c>
      <c r="P16" s="112">
        <v>1.1100000000000001</v>
      </c>
      <c r="Q16" s="112">
        <v>4.74</v>
      </c>
    </row>
    <row r="17" spans="1:17" customFormat="1">
      <c r="A17" s="80">
        <v>45618.09375</v>
      </c>
      <c r="B17" s="112">
        <v>8.81</v>
      </c>
      <c r="C17" s="112">
        <v>21.08</v>
      </c>
      <c r="D17" s="112">
        <v>19.43</v>
      </c>
      <c r="E17" s="112">
        <v>7.09</v>
      </c>
      <c r="F17" s="112">
        <v>5.72</v>
      </c>
      <c r="G17" s="112">
        <v>122.34</v>
      </c>
      <c r="H17" s="112">
        <v>46.19</v>
      </c>
      <c r="I17" s="112">
        <v>12.55</v>
      </c>
      <c r="J17" s="112">
        <v>0.08</v>
      </c>
      <c r="K17" s="112">
        <v>146.06</v>
      </c>
      <c r="L17" s="112">
        <v>16.61</v>
      </c>
      <c r="M17" s="112">
        <v>90.01</v>
      </c>
      <c r="N17" s="112">
        <v>1.5</v>
      </c>
      <c r="O17" s="112">
        <v>0</v>
      </c>
      <c r="P17" s="112">
        <v>1.1100000000000001</v>
      </c>
      <c r="Q17" s="112">
        <v>4.75</v>
      </c>
    </row>
    <row r="18" spans="1:17" customFormat="1">
      <c r="A18" s="80">
        <v>45618.104166666664</v>
      </c>
      <c r="B18" s="112">
        <v>8.9</v>
      </c>
      <c r="C18" s="112">
        <v>20.87</v>
      </c>
      <c r="D18" s="112">
        <v>19.39</v>
      </c>
      <c r="E18" s="112">
        <v>8.8000000000000007</v>
      </c>
      <c r="F18" s="112">
        <v>5.51</v>
      </c>
      <c r="G18" s="112">
        <v>113.57</v>
      </c>
      <c r="H18" s="112">
        <v>44.66</v>
      </c>
      <c r="I18" s="112">
        <v>12.52</v>
      </c>
      <c r="J18" s="112">
        <v>0.11</v>
      </c>
      <c r="K18" s="112">
        <v>99.78</v>
      </c>
      <c r="L18" s="112">
        <v>16.5</v>
      </c>
      <c r="M18" s="112">
        <v>86.92</v>
      </c>
      <c r="N18" s="112">
        <v>1.3</v>
      </c>
      <c r="O18" s="112">
        <v>0</v>
      </c>
      <c r="P18" s="112">
        <v>1.1000000000000001</v>
      </c>
      <c r="Q18" s="112">
        <v>4.7300000000000004</v>
      </c>
    </row>
    <row r="19" spans="1:17" customFormat="1">
      <c r="A19" s="80">
        <v>45618.114583333336</v>
      </c>
      <c r="B19" s="112">
        <v>9.69</v>
      </c>
      <c r="C19" s="112">
        <v>21</v>
      </c>
      <c r="D19" s="112">
        <v>20.100000000000001</v>
      </c>
      <c r="E19" s="112">
        <v>8.99</v>
      </c>
      <c r="F19" s="112">
        <v>5.53</v>
      </c>
      <c r="G19" s="112">
        <v>113.57</v>
      </c>
      <c r="H19" s="112">
        <v>44.66</v>
      </c>
      <c r="I19" s="112">
        <v>12.47</v>
      </c>
      <c r="J19" s="112">
        <v>0.1</v>
      </c>
      <c r="K19" s="112">
        <v>126.74</v>
      </c>
      <c r="L19" s="112">
        <v>16.72</v>
      </c>
      <c r="M19" s="112">
        <v>84.38</v>
      </c>
      <c r="N19" s="112">
        <v>1.3</v>
      </c>
      <c r="O19" s="112">
        <v>0</v>
      </c>
      <c r="P19" s="112">
        <v>1.1100000000000001</v>
      </c>
      <c r="Q19" s="112">
        <v>4.74</v>
      </c>
    </row>
    <row r="20" spans="1:17" customFormat="1">
      <c r="A20" s="80">
        <v>45618.125</v>
      </c>
      <c r="B20" s="112">
        <v>10.52</v>
      </c>
      <c r="C20" s="112">
        <v>21.16</v>
      </c>
      <c r="D20" s="112">
        <v>20.85</v>
      </c>
      <c r="E20" s="112">
        <v>8.73</v>
      </c>
      <c r="F20" s="112">
        <v>5.55</v>
      </c>
      <c r="G20" s="112">
        <v>113.57</v>
      </c>
      <c r="H20" s="112">
        <v>44.66</v>
      </c>
      <c r="I20" s="112">
        <v>12.4</v>
      </c>
      <c r="J20" s="112">
        <v>0.18</v>
      </c>
      <c r="K20" s="112">
        <v>50.89</v>
      </c>
      <c r="L20" s="112">
        <v>16.850000000000001</v>
      </c>
      <c r="M20" s="112">
        <v>82.37</v>
      </c>
      <c r="N20" s="112">
        <v>1.1000000000000001</v>
      </c>
      <c r="O20" s="112">
        <v>0</v>
      </c>
      <c r="P20" s="112">
        <v>1.1000000000000001</v>
      </c>
      <c r="Q20" s="112">
        <v>4.74</v>
      </c>
    </row>
    <row r="21" spans="1:17" customFormat="1">
      <c r="A21" s="80">
        <v>45618.135416666664</v>
      </c>
      <c r="B21" s="112">
        <v>11.18</v>
      </c>
      <c r="C21" s="112">
        <v>21.26</v>
      </c>
      <c r="D21" s="112">
        <v>21.43</v>
      </c>
      <c r="E21" s="112">
        <v>8.99</v>
      </c>
      <c r="F21" s="112">
        <v>5.41</v>
      </c>
      <c r="G21" s="112">
        <v>113.67</v>
      </c>
      <c r="H21" s="112">
        <v>44.59</v>
      </c>
      <c r="I21" s="112">
        <v>12.39</v>
      </c>
      <c r="J21" s="112">
        <v>0.31</v>
      </c>
      <c r="K21" s="112">
        <v>49.44</v>
      </c>
      <c r="L21" s="112">
        <v>17.079999999999998</v>
      </c>
      <c r="M21" s="112">
        <v>80.41</v>
      </c>
      <c r="N21" s="112">
        <v>1.1000000000000001</v>
      </c>
      <c r="O21" s="112">
        <v>0</v>
      </c>
      <c r="P21" s="112">
        <v>1.1100000000000001</v>
      </c>
      <c r="Q21" s="112">
        <v>4.74</v>
      </c>
    </row>
    <row r="22" spans="1:17" customFormat="1">
      <c r="A22" s="80">
        <v>45618.145833333336</v>
      </c>
      <c r="B22" s="112">
        <v>11.75</v>
      </c>
      <c r="C22" s="112">
        <v>21.17</v>
      </c>
      <c r="D22" s="112">
        <v>21.84</v>
      </c>
      <c r="E22" s="112">
        <v>9.06</v>
      </c>
      <c r="F22" s="112">
        <v>5.43</v>
      </c>
      <c r="G22" s="112">
        <v>117.94</v>
      </c>
      <c r="H22" s="112">
        <v>39.799999999999997</v>
      </c>
      <c r="I22" s="112">
        <v>12.43</v>
      </c>
      <c r="J22" s="112">
        <v>0.28999999999999998</v>
      </c>
      <c r="K22" s="112">
        <v>59.33</v>
      </c>
      <c r="L22" s="112">
        <v>17.05</v>
      </c>
      <c r="M22" s="112">
        <v>80.27</v>
      </c>
      <c r="N22" s="112">
        <v>1.4</v>
      </c>
      <c r="O22" s="112">
        <v>0</v>
      </c>
      <c r="P22" s="112">
        <v>1.1200000000000001</v>
      </c>
      <c r="Q22" s="112">
        <v>4.72</v>
      </c>
    </row>
    <row r="23" spans="1:17" customFormat="1">
      <c r="A23" s="80">
        <v>45618.15625</v>
      </c>
      <c r="B23" s="112">
        <v>12.18</v>
      </c>
      <c r="C23" s="112">
        <v>21.3</v>
      </c>
      <c r="D23" s="112">
        <v>22.24</v>
      </c>
      <c r="E23" s="112">
        <v>8.84</v>
      </c>
      <c r="F23" s="112">
        <v>5.51</v>
      </c>
      <c r="G23" s="112">
        <v>117.94</v>
      </c>
      <c r="H23" s="112">
        <v>39.799999999999997</v>
      </c>
      <c r="I23" s="112">
        <v>12.52</v>
      </c>
      <c r="J23" s="112">
        <v>0.18</v>
      </c>
      <c r="K23" s="112">
        <v>76.89</v>
      </c>
      <c r="L23" s="112">
        <v>16.98</v>
      </c>
      <c r="M23" s="112">
        <v>80.19</v>
      </c>
      <c r="N23" s="112">
        <v>1.4</v>
      </c>
      <c r="O23" s="112">
        <v>0</v>
      </c>
      <c r="P23" s="112">
        <v>1.1299999999999999</v>
      </c>
      <c r="Q23" s="112">
        <v>4.72</v>
      </c>
    </row>
    <row r="24" spans="1:17" customFormat="1">
      <c r="A24" s="80">
        <v>45618.166666666664</v>
      </c>
      <c r="B24" s="112">
        <v>12.21</v>
      </c>
      <c r="C24" s="112">
        <v>21.49</v>
      </c>
      <c r="D24" s="112">
        <v>22.37</v>
      </c>
      <c r="E24" s="112">
        <v>7.93</v>
      </c>
      <c r="F24" s="112">
        <v>5.68</v>
      </c>
      <c r="G24" s="112">
        <v>117.94</v>
      </c>
      <c r="H24" s="112">
        <v>39.799999999999997</v>
      </c>
      <c r="I24" s="112">
        <v>12.66</v>
      </c>
      <c r="J24" s="112">
        <v>0.13</v>
      </c>
      <c r="K24" s="112">
        <v>46.34</v>
      </c>
      <c r="L24" s="112">
        <v>16.88</v>
      </c>
      <c r="M24" s="112">
        <v>80.739999999999995</v>
      </c>
      <c r="N24" s="112">
        <v>1.4</v>
      </c>
      <c r="O24" s="112">
        <v>0</v>
      </c>
      <c r="P24" s="112">
        <v>1.1499999999999999</v>
      </c>
      <c r="Q24" s="112">
        <v>4.75</v>
      </c>
    </row>
    <row r="25" spans="1:17" customFormat="1">
      <c r="A25" s="80">
        <v>45618.177083333336</v>
      </c>
      <c r="B25" s="112">
        <v>12.17</v>
      </c>
      <c r="C25" s="112">
        <v>21.59</v>
      </c>
      <c r="D25" s="112">
        <v>22.39</v>
      </c>
      <c r="E25" s="112">
        <v>8.4700000000000006</v>
      </c>
      <c r="F25" s="112">
        <v>5.57</v>
      </c>
      <c r="G25" s="112">
        <v>118</v>
      </c>
      <c r="H25" s="112">
        <v>39.93</v>
      </c>
      <c r="I25" s="112">
        <v>12.8</v>
      </c>
      <c r="J25" s="112">
        <v>0.28000000000000003</v>
      </c>
      <c r="K25" s="112">
        <v>29.82</v>
      </c>
      <c r="L25" s="112">
        <v>16.77</v>
      </c>
      <c r="M25" s="112">
        <v>79.38</v>
      </c>
      <c r="N25" s="112">
        <v>1.4</v>
      </c>
      <c r="O25" s="112">
        <v>0</v>
      </c>
      <c r="P25" s="112">
        <v>1.1499999999999999</v>
      </c>
      <c r="Q25" s="112">
        <v>4.76</v>
      </c>
    </row>
    <row r="26" spans="1:17" customFormat="1">
      <c r="A26" s="80">
        <v>45618.1875</v>
      </c>
      <c r="B26" s="112">
        <v>12.02</v>
      </c>
      <c r="C26" s="112">
        <v>21.88</v>
      </c>
      <c r="D26" s="112">
        <v>22.42</v>
      </c>
      <c r="E26" s="112">
        <v>8.16</v>
      </c>
      <c r="F26" s="112">
        <v>5.57</v>
      </c>
      <c r="G26" s="112">
        <v>120.92</v>
      </c>
      <c r="H26" s="112">
        <v>44.24</v>
      </c>
      <c r="I26" s="112">
        <v>12.89</v>
      </c>
      <c r="J26" s="112">
        <v>0.26</v>
      </c>
      <c r="K26" s="112">
        <v>49.54</v>
      </c>
      <c r="L26" s="112">
        <v>16.68</v>
      </c>
      <c r="M26" s="112">
        <v>79.989999999999995</v>
      </c>
      <c r="N26" s="112">
        <v>1.5</v>
      </c>
      <c r="O26" s="112">
        <v>0</v>
      </c>
      <c r="P26" s="112">
        <v>1.1399999999999999</v>
      </c>
      <c r="Q26" s="112">
        <v>4.76</v>
      </c>
    </row>
    <row r="27" spans="1:17" customFormat="1">
      <c r="A27" s="80">
        <v>45618.197916666664</v>
      </c>
      <c r="B27" s="112">
        <v>11.97</v>
      </c>
      <c r="C27" s="112">
        <v>21.92</v>
      </c>
      <c r="D27" s="112">
        <v>22.4</v>
      </c>
      <c r="E27" s="112">
        <v>8.26</v>
      </c>
      <c r="F27" s="112">
        <v>5.42</v>
      </c>
      <c r="G27" s="112">
        <v>120.92</v>
      </c>
      <c r="H27" s="112">
        <v>44.24</v>
      </c>
      <c r="I27" s="112">
        <v>12.89</v>
      </c>
      <c r="J27" s="112">
        <v>0.24</v>
      </c>
      <c r="K27" s="112">
        <v>38.270000000000003</v>
      </c>
      <c r="L27" s="112">
        <v>16.579999999999998</v>
      </c>
      <c r="M27" s="112">
        <v>80.5</v>
      </c>
      <c r="N27" s="112">
        <v>1.4</v>
      </c>
      <c r="O27" s="112">
        <v>0</v>
      </c>
      <c r="P27" s="112">
        <v>1.1499999999999999</v>
      </c>
      <c r="Q27" s="112">
        <v>4.76</v>
      </c>
    </row>
    <row r="28" spans="1:17" customFormat="1">
      <c r="A28" s="80">
        <v>45618.208333333336</v>
      </c>
      <c r="B28" s="112">
        <v>12.21</v>
      </c>
      <c r="C28" s="112">
        <v>21.88</v>
      </c>
      <c r="D28" s="112">
        <v>22.58</v>
      </c>
      <c r="E28" s="112">
        <v>8.57</v>
      </c>
      <c r="F28" s="112">
        <v>5.39</v>
      </c>
      <c r="G28" s="112">
        <v>120.92</v>
      </c>
      <c r="H28" s="112">
        <v>44.24</v>
      </c>
      <c r="I28" s="112">
        <v>12.8</v>
      </c>
      <c r="J28" s="112">
        <v>0.2</v>
      </c>
      <c r="K28" s="112">
        <v>46.78</v>
      </c>
      <c r="L28" s="112">
        <v>16.559999999999999</v>
      </c>
      <c r="M28" s="112">
        <v>79.48</v>
      </c>
      <c r="N28" s="112">
        <v>1.4</v>
      </c>
      <c r="O28" s="112">
        <v>0</v>
      </c>
      <c r="P28" s="112">
        <v>1.1399999999999999</v>
      </c>
      <c r="Q28" s="112">
        <v>4.75</v>
      </c>
    </row>
    <row r="29" spans="1:17" customFormat="1">
      <c r="A29" s="80">
        <v>45618.21875</v>
      </c>
      <c r="B29" s="112">
        <v>12.46</v>
      </c>
      <c r="C29" s="112">
        <v>22.02</v>
      </c>
      <c r="D29" s="112">
        <v>22.85</v>
      </c>
      <c r="E29" s="112">
        <v>8.3699999999999992</v>
      </c>
      <c r="F29" s="112">
        <v>5.35</v>
      </c>
      <c r="G29" s="112">
        <v>121.03</v>
      </c>
      <c r="H29" s="112">
        <v>44.29</v>
      </c>
      <c r="I29" s="112">
        <v>12.73</v>
      </c>
      <c r="J29" s="112">
        <v>0.32</v>
      </c>
      <c r="K29" s="112">
        <v>51</v>
      </c>
      <c r="L29" s="112">
        <v>16.57</v>
      </c>
      <c r="M29" s="112">
        <v>78.02</v>
      </c>
      <c r="N29" s="112">
        <v>1.3</v>
      </c>
      <c r="O29" s="112">
        <v>0</v>
      </c>
      <c r="P29" s="112">
        <v>1.1299999999999999</v>
      </c>
      <c r="Q29" s="112">
        <v>4.75</v>
      </c>
    </row>
    <row r="30" spans="1:17" customFormat="1">
      <c r="A30" s="80">
        <v>45618.229166666664</v>
      </c>
      <c r="B30" s="112">
        <v>12.94</v>
      </c>
      <c r="C30" s="112">
        <v>22.17</v>
      </c>
      <c r="D30" s="112">
        <v>23.31</v>
      </c>
      <c r="E30" s="112">
        <v>8.01</v>
      </c>
      <c r="F30" s="112">
        <v>5.53</v>
      </c>
      <c r="G30" s="112">
        <v>125.93</v>
      </c>
      <c r="H30" s="112">
        <v>45.75</v>
      </c>
      <c r="I30" s="112">
        <v>12.73</v>
      </c>
      <c r="J30" s="112">
        <v>0.14000000000000001</v>
      </c>
      <c r="K30" s="112">
        <v>22.77</v>
      </c>
      <c r="L30" s="112">
        <v>16.55</v>
      </c>
      <c r="M30" s="112">
        <v>78.12</v>
      </c>
      <c r="N30" s="112">
        <v>1.4</v>
      </c>
      <c r="O30" s="112">
        <v>0</v>
      </c>
      <c r="P30" s="112">
        <v>1.1200000000000001</v>
      </c>
      <c r="Q30" s="112">
        <v>4.75</v>
      </c>
    </row>
    <row r="31" spans="1:17" customFormat="1">
      <c r="A31" s="80">
        <v>45618.239583333336</v>
      </c>
      <c r="B31" s="112">
        <v>13.35</v>
      </c>
      <c r="C31" s="112">
        <v>22.2</v>
      </c>
      <c r="D31" s="112">
        <v>23.65</v>
      </c>
      <c r="E31" s="112">
        <v>8.0399999999999991</v>
      </c>
      <c r="F31" s="112">
        <v>5.56</v>
      </c>
      <c r="G31" s="112">
        <v>125.93</v>
      </c>
      <c r="H31" s="112">
        <v>45.75</v>
      </c>
      <c r="I31" s="112">
        <v>12.8</v>
      </c>
      <c r="J31" s="112">
        <v>0.24</v>
      </c>
      <c r="K31" s="112">
        <v>24.26</v>
      </c>
      <c r="L31" s="112">
        <v>16.34</v>
      </c>
      <c r="M31" s="112">
        <v>78.959999999999994</v>
      </c>
      <c r="N31" s="112">
        <v>1.5</v>
      </c>
      <c r="O31" s="112">
        <v>0</v>
      </c>
      <c r="P31" s="112">
        <v>1.1100000000000001</v>
      </c>
      <c r="Q31" s="112">
        <v>4.74</v>
      </c>
    </row>
    <row r="32" spans="1:17" customFormat="1">
      <c r="A32" s="80">
        <v>45618.25</v>
      </c>
      <c r="B32" s="112">
        <v>13.74</v>
      </c>
      <c r="C32" s="112">
        <v>22.34</v>
      </c>
      <c r="D32" s="112">
        <v>24.04</v>
      </c>
      <c r="E32" s="112">
        <v>8.3000000000000007</v>
      </c>
      <c r="F32" s="112">
        <v>5.51</v>
      </c>
      <c r="G32" s="112">
        <v>125.93</v>
      </c>
      <c r="H32" s="112">
        <v>45.75</v>
      </c>
      <c r="I32" s="112">
        <v>12.85</v>
      </c>
      <c r="J32" s="112">
        <v>0.17</v>
      </c>
      <c r="K32" s="112">
        <v>24.02</v>
      </c>
      <c r="L32" s="112">
        <v>16.27</v>
      </c>
      <c r="M32" s="112">
        <v>79.099999999999994</v>
      </c>
      <c r="N32" s="112">
        <v>2</v>
      </c>
      <c r="O32" s="112">
        <v>0</v>
      </c>
      <c r="P32" s="112">
        <v>1.1100000000000001</v>
      </c>
      <c r="Q32" s="112">
        <v>4.74</v>
      </c>
    </row>
    <row r="33" spans="1:17" customFormat="1">
      <c r="A33" s="80">
        <v>45618.260416666664</v>
      </c>
      <c r="B33" s="112">
        <v>14.26</v>
      </c>
      <c r="C33" s="112">
        <v>22.51</v>
      </c>
      <c r="D33" s="112">
        <v>24.55</v>
      </c>
      <c r="E33" s="112">
        <v>7.89</v>
      </c>
      <c r="F33" s="112">
        <v>5.32</v>
      </c>
      <c r="G33" s="112">
        <v>126</v>
      </c>
      <c r="H33" s="112">
        <v>45.76</v>
      </c>
      <c r="I33" s="112">
        <v>12.85</v>
      </c>
      <c r="J33" s="112">
        <v>0.05</v>
      </c>
      <c r="K33" s="112">
        <v>83.44</v>
      </c>
      <c r="L33" s="112">
        <v>16.25</v>
      </c>
      <c r="M33" s="112">
        <v>79.56</v>
      </c>
      <c r="N33" s="112">
        <v>4.0999999999999996</v>
      </c>
      <c r="O33" s="112">
        <v>0</v>
      </c>
      <c r="P33" s="112">
        <v>1.1100000000000001</v>
      </c>
      <c r="Q33" s="112">
        <v>4.7699999999999996</v>
      </c>
    </row>
    <row r="34" spans="1:17" customFormat="1">
      <c r="A34" s="80">
        <v>45618.270833333336</v>
      </c>
      <c r="B34" s="112">
        <v>14.76</v>
      </c>
      <c r="C34" s="112">
        <v>22.62</v>
      </c>
      <c r="D34" s="112">
        <v>25.01</v>
      </c>
      <c r="E34" s="112">
        <v>8.31</v>
      </c>
      <c r="F34" s="112">
        <v>5.4</v>
      </c>
      <c r="G34" s="112">
        <v>129.06</v>
      </c>
      <c r="H34" s="112">
        <v>46.22</v>
      </c>
      <c r="I34" s="112">
        <v>12.84</v>
      </c>
      <c r="J34" s="112">
        <v>0.14000000000000001</v>
      </c>
      <c r="K34" s="112">
        <v>85.61</v>
      </c>
      <c r="L34" s="112">
        <v>16.22</v>
      </c>
      <c r="M34" s="112">
        <v>79.650000000000006</v>
      </c>
      <c r="N34" s="112">
        <v>10.3</v>
      </c>
      <c r="O34" s="112">
        <v>0</v>
      </c>
      <c r="P34" s="112">
        <v>1.1100000000000001</v>
      </c>
      <c r="Q34" s="112">
        <v>4.75</v>
      </c>
    </row>
    <row r="35" spans="1:17" customFormat="1">
      <c r="A35" s="80">
        <v>45618.28125</v>
      </c>
      <c r="B35" s="112">
        <v>15.18</v>
      </c>
      <c r="C35" s="112">
        <v>22.68</v>
      </c>
      <c r="D35" s="112">
        <v>25.37</v>
      </c>
      <c r="E35" s="112">
        <v>8.16</v>
      </c>
      <c r="F35" s="112">
        <v>5.46</v>
      </c>
      <c r="G35" s="112">
        <v>129.06</v>
      </c>
      <c r="H35" s="112">
        <v>46.22</v>
      </c>
      <c r="I35" s="112">
        <v>12.76</v>
      </c>
      <c r="J35" s="112">
        <v>0.44</v>
      </c>
      <c r="K35" s="112">
        <v>52.29</v>
      </c>
      <c r="L35" s="112">
        <v>16.38</v>
      </c>
      <c r="M35" s="112">
        <v>77.06</v>
      </c>
      <c r="N35" s="112">
        <v>19.399999999999999</v>
      </c>
      <c r="O35" s="112">
        <v>0</v>
      </c>
      <c r="P35" s="112">
        <v>1.1100000000000001</v>
      </c>
      <c r="Q35" s="112">
        <v>4.76</v>
      </c>
    </row>
    <row r="36" spans="1:17" customFormat="1">
      <c r="A36" s="80">
        <v>45618.291666666664</v>
      </c>
      <c r="B36" s="112">
        <v>15.5</v>
      </c>
      <c r="C36" s="112">
        <v>22.86</v>
      </c>
      <c r="D36" s="112">
        <v>25.72</v>
      </c>
      <c r="E36" s="112">
        <v>8.4600000000000009</v>
      </c>
      <c r="F36" s="112">
        <v>5.39</v>
      </c>
      <c r="G36" s="112">
        <v>129.06</v>
      </c>
      <c r="H36" s="112">
        <v>46.22</v>
      </c>
      <c r="I36" s="112">
        <v>12.75</v>
      </c>
      <c r="J36" s="112">
        <v>0.21</v>
      </c>
      <c r="K36" s="112">
        <v>64.28</v>
      </c>
      <c r="L36" s="112">
        <v>16.7</v>
      </c>
      <c r="M36" s="112">
        <v>76.34</v>
      </c>
      <c r="N36" s="112">
        <v>30.8</v>
      </c>
      <c r="O36" s="112">
        <v>0</v>
      </c>
      <c r="P36" s="112">
        <v>1.1299999999999999</v>
      </c>
      <c r="Q36" s="112">
        <v>4.74</v>
      </c>
    </row>
    <row r="37" spans="1:17" customFormat="1">
      <c r="A37" s="80">
        <v>45618.302083333336</v>
      </c>
      <c r="B37" s="112">
        <v>15.98</v>
      </c>
      <c r="C37" s="112">
        <v>22.95</v>
      </c>
      <c r="D37" s="112">
        <v>26.15</v>
      </c>
      <c r="E37" s="112">
        <v>8.7100000000000009</v>
      </c>
      <c r="F37" s="112">
        <v>5.5</v>
      </c>
      <c r="G37" s="112">
        <v>129.06</v>
      </c>
      <c r="H37" s="112">
        <v>46.21</v>
      </c>
      <c r="I37" s="112">
        <v>12.78</v>
      </c>
      <c r="J37" s="112">
        <v>0.43</v>
      </c>
      <c r="K37" s="112">
        <v>53.04</v>
      </c>
      <c r="L37" s="112">
        <v>17.010000000000002</v>
      </c>
      <c r="M37" s="112">
        <v>74.459999999999994</v>
      </c>
      <c r="N37" s="112">
        <v>44</v>
      </c>
      <c r="O37" s="112">
        <v>0</v>
      </c>
      <c r="P37" s="112">
        <v>1.1299999999999999</v>
      </c>
      <c r="Q37" s="112">
        <v>4.76</v>
      </c>
    </row>
    <row r="38" spans="1:17" customFormat="1">
      <c r="A38" s="80">
        <v>45618.3125</v>
      </c>
      <c r="B38" s="112">
        <v>16.239999999999998</v>
      </c>
      <c r="C38" s="112">
        <v>23.07</v>
      </c>
      <c r="D38" s="112">
        <v>26.43</v>
      </c>
      <c r="E38" s="112">
        <v>8.5299999999999994</v>
      </c>
      <c r="F38" s="112">
        <v>5.47</v>
      </c>
      <c r="G38" s="112">
        <v>128.75</v>
      </c>
      <c r="H38" s="112">
        <v>45.94</v>
      </c>
      <c r="I38" s="112">
        <v>12.83</v>
      </c>
      <c r="J38" s="112">
        <v>0.55000000000000004</v>
      </c>
      <c r="K38" s="112">
        <v>51.05</v>
      </c>
      <c r="L38" s="112">
        <v>17.25</v>
      </c>
      <c r="M38" s="112">
        <v>72.900000000000006</v>
      </c>
      <c r="N38" s="112">
        <v>58.2</v>
      </c>
      <c r="O38" s="112">
        <v>0</v>
      </c>
      <c r="P38" s="112">
        <v>1.1399999999999999</v>
      </c>
      <c r="Q38" s="112">
        <v>4.75</v>
      </c>
    </row>
    <row r="39" spans="1:17" customFormat="1">
      <c r="A39" s="80">
        <v>45618.322916666664</v>
      </c>
      <c r="B39" s="112">
        <v>16.18</v>
      </c>
      <c r="C39" s="112">
        <v>23.23</v>
      </c>
      <c r="D39" s="112">
        <v>26.46</v>
      </c>
      <c r="E39" s="112">
        <v>8.2100000000000009</v>
      </c>
      <c r="F39" s="112">
        <v>5.49</v>
      </c>
      <c r="G39" s="112">
        <v>128.75</v>
      </c>
      <c r="H39" s="112">
        <v>45.94</v>
      </c>
      <c r="I39" s="112">
        <v>12.87</v>
      </c>
      <c r="J39" s="112">
        <v>0.51</v>
      </c>
      <c r="K39" s="112">
        <v>38.130000000000003</v>
      </c>
      <c r="L39" s="112">
        <v>17.72</v>
      </c>
      <c r="M39" s="112">
        <v>71.3</v>
      </c>
      <c r="N39" s="112">
        <v>86.7</v>
      </c>
      <c r="O39" s="112">
        <v>0</v>
      </c>
      <c r="P39" s="112">
        <v>1.1499999999999999</v>
      </c>
      <c r="Q39" s="112">
        <v>4.7300000000000004</v>
      </c>
    </row>
    <row r="40" spans="1:17" customFormat="1">
      <c r="A40" s="80">
        <v>45618.333333333336</v>
      </c>
      <c r="B40" s="112">
        <v>16.07</v>
      </c>
      <c r="C40" s="112">
        <v>23.52</v>
      </c>
      <c r="D40" s="112">
        <v>26.53</v>
      </c>
      <c r="E40" s="112">
        <v>8.2899999999999991</v>
      </c>
      <c r="F40" s="112">
        <v>5.44</v>
      </c>
      <c r="G40" s="112">
        <v>128.75</v>
      </c>
      <c r="H40" s="112">
        <v>45.94</v>
      </c>
      <c r="I40" s="112">
        <v>12.91</v>
      </c>
      <c r="J40" s="112">
        <v>0.57999999999999996</v>
      </c>
      <c r="K40" s="112">
        <v>44.96</v>
      </c>
      <c r="L40" s="112">
        <v>18.23</v>
      </c>
      <c r="M40" s="112">
        <v>70.72</v>
      </c>
      <c r="N40" s="112">
        <v>120.4</v>
      </c>
      <c r="O40" s="112">
        <v>0</v>
      </c>
      <c r="P40" s="112">
        <v>1.17</v>
      </c>
      <c r="Q40" s="112">
        <v>4.75</v>
      </c>
    </row>
    <row r="41" spans="1:17" customFormat="1">
      <c r="A41" s="80">
        <v>45618.34375</v>
      </c>
      <c r="B41" s="112">
        <v>15.91</v>
      </c>
      <c r="C41" s="112">
        <v>23.74</v>
      </c>
      <c r="D41" s="112">
        <v>26.51</v>
      </c>
      <c r="E41" s="112">
        <v>7.99</v>
      </c>
      <c r="F41" s="112">
        <v>5.5</v>
      </c>
      <c r="G41" s="112">
        <v>128.79</v>
      </c>
      <c r="H41" s="112">
        <v>45.86</v>
      </c>
      <c r="I41" s="112">
        <v>13.04</v>
      </c>
      <c r="J41" s="112">
        <v>0.61</v>
      </c>
      <c r="K41" s="112">
        <v>45.32</v>
      </c>
      <c r="L41" s="112">
        <v>18.88</v>
      </c>
      <c r="M41" s="112">
        <v>68.67</v>
      </c>
      <c r="N41" s="112">
        <v>142.30000000000001</v>
      </c>
      <c r="O41" s="112">
        <v>0</v>
      </c>
      <c r="P41" s="112">
        <v>1.17</v>
      </c>
      <c r="Q41" s="112">
        <v>4.75</v>
      </c>
    </row>
    <row r="42" spans="1:17" customFormat="1">
      <c r="A42" s="80">
        <v>45618.354166666664</v>
      </c>
      <c r="B42" s="112">
        <v>15.87</v>
      </c>
      <c r="C42" s="112">
        <v>24.15</v>
      </c>
      <c r="D42" s="112">
        <v>26.7</v>
      </c>
      <c r="E42" s="112">
        <v>8.4600000000000009</v>
      </c>
      <c r="F42" s="112">
        <v>5.63</v>
      </c>
      <c r="G42" s="112">
        <v>130.46</v>
      </c>
      <c r="H42" s="112">
        <v>43.34</v>
      </c>
      <c r="I42" s="112">
        <v>13.16</v>
      </c>
      <c r="J42" s="112">
        <v>0.64</v>
      </c>
      <c r="K42" s="112">
        <v>44.48</v>
      </c>
      <c r="L42" s="112">
        <v>19.43</v>
      </c>
      <c r="M42" s="112">
        <v>66.17</v>
      </c>
      <c r="N42" s="112">
        <v>148.1</v>
      </c>
      <c r="O42" s="112">
        <v>0</v>
      </c>
      <c r="P42" s="112">
        <v>1.18</v>
      </c>
      <c r="Q42" s="112">
        <v>4.75</v>
      </c>
    </row>
    <row r="43" spans="1:17" customFormat="1">
      <c r="A43" s="80">
        <v>45618.364583333336</v>
      </c>
      <c r="B43" s="112">
        <v>15.2</v>
      </c>
      <c r="C43" s="112">
        <v>24.38</v>
      </c>
      <c r="D43" s="112">
        <v>26.28</v>
      </c>
      <c r="E43" s="112">
        <v>8.1199999999999992</v>
      </c>
      <c r="F43" s="112">
        <v>5.76</v>
      </c>
      <c r="G43" s="112">
        <v>130.46</v>
      </c>
      <c r="H43" s="112">
        <v>43.34</v>
      </c>
      <c r="I43" s="112">
        <v>13.22</v>
      </c>
      <c r="J43" s="112">
        <v>0.55000000000000004</v>
      </c>
      <c r="K43" s="112">
        <v>57.36</v>
      </c>
      <c r="L43" s="112">
        <v>20.49</v>
      </c>
      <c r="M43" s="112">
        <v>61.75</v>
      </c>
      <c r="N43" s="112">
        <v>168.1</v>
      </c>
      <c r="O43" s="112">
        <v>0</v>
      </c>
      <c r="P43" s="112">
        <v>1.18</v>
      </c>
      <c r="Q43" s="112">
        <v>4.76</v>
      </c>
    </row>
    <row r="44" spans="1:17" customFormat="1">
      <c r="A44" s="80">
        <v>45618.375</v>
      </c>
      <c r="B44" s="112">
        <v>14.32</v>
      </c>
      <c r="C44" s="112">
        <v>24.21</v>
      </c>
      <c r="D44" s="112">
        <v>25.48</v>
      </c>
      <c r="E44" s="112">
        <v>8.59</v>
      </c>
      <c r="F44" s="112">
        <v>5.9</v>
      </c>
      <c r="G44" s="112">
        <v>130.46</v>
      </c>
      <c r="H44" s="112">
        <v>43.34</v>
      </c>
      <c r="I44" s="112">
        <v>13.26</v>
      </c>
      <c r="J44" s="112">
        <v>0.63</v>
      </c>
      <c r="K44" s="112">
        <v>53.36</v>
      </c>
      <c r="L44" s="112">
        <v>21.12</v>
      </c>
      <c r="M44" s="112">
        <v>57.82</v>
      </c>
      <c r="N44" s="112">
        <v>213.1</v>
      </c>
      <c r="O44" s="112">
        <v>0</v>
      </c>
      <c r="P44" s="112">
        <v>1.18</v>
      </c>
      <c r="Q44" s="112">
        <v>4.74</v>
      </c>
    </row>
    <row r="45" spans="1:17" customFormat="1">
      <c r="A45" s="80">
        <v>45618.385416666664</v>
      </c>
      <c r="B45" s="112">
        <v>13.47</v>
      </c>
      <c r="C45" s="112">
        <v>24.01</v>
      </c>
      <c r="D45" s="112">
        <v>24.7</v>
      </c>
      <c r="E45" s="112">
        <v>8.4499999999999993</v>
      </c>
      <c r="F45" s="112">
        <v>6.04</v>
      </c>
      <c r="G45" s="112">
        <v>130.51</v>
      </c>
      <c r="H45" s="112">
        <v>43.46</v>
      </c>
      <c r="I45" s="112">
        <v>13.27</v>
      </c>
      <c r="J45" s="112">
        <v>0.57999999999999996</v>
      </c>
      <c r="K45" s="112">
        <v>43.28</v>
      </c>
      <c r="L45" s="112">
        <v>21.96</v>
      </c>
      <c r="M45" s="112">
        <v>54.37</v>
      </c>
      <c r="N45" s="112">
        <v>244.8</v>
      </c>
      <c r="O45" s="112">
        <v>0</v>
      </c>
      <c r="P45" s="112">
        <v>1.1499999999999999</v>
      </c>
      <c r="Q45" s="112">
        <v>4.7300000000000004</v>
      </c>
    </row>
    <row r="46" spans="1:17" customFormat="1">
      <c r="A46" s="80">
        <v>45618.395833333336</v>
      </c>
      <c r="B46" s="112">
        <v>12.75</v>
      </c>
      <c r="C46" s="112">
        <v>23.91</v>
      </c>
      <c r="D46" s="112">
        <v>24.07</v>
      </c>
      <c r="E46" s="112">
        <v>8.8800000000000008</v>
      </c>
      <c r="F46" s="112">
        <v>5.89</v>
      </c>
      <c r="G46" s="112">
        <v>132.55000000000001</v>
      </c>
      <c r="H46" s="112">
        <v>47.38</v>
      </c>
      <c r="I46" s="112">
        <v>13.24</v>
      </c>
      <c r="J46" s="112">
        <v>0.26</v>
      </c>
      <c r="K46" s="112">
        <v>66.39</v>
      </c>
      <c r="L46" s="112">
        <v>22.87</v>
      </c>
      <c r="M46" s="112">
        <v>53.14</v>
      </c>
      <c r="N46" s="112">
        <v>241.6</v>
      </c>
      <c r="O46" s="112">
        <v>0</v>
      </c>
      <c r="P46" s="112">
        <v>1.1499999999999999</v>
      </c>
      <c r="Q46" s="112">
        <v>4.7300000000000004</v>
      </c>
    </row>
    <row r="47" spans="1:17" customFormat="1">
      <c r="A47" s="80">
        <v>45618.40625</v>
      </c>
      <c r="B47" s="112">
        <v>12.02</v>
      </c>
      <c r="C47" s="112">
        <v>23.51</v>
      </c>
      <c r="D47" s="112">
        <v>23.28</v>
      </c>
      <c r="E47" s="112">
        <v>9.31</v>
      </c>
      <c r="F47" s="112">
        <v>5.98</v>
      </c>
      <c r="G47" s="112">
        <v>132.55000000000001</v>
      </c>
      <c r="H47" s="112">
        <v>47.38</v>
      </c>
      <c r="I47" s="112">
        <v>13.24</v>
      </c>
      <c r="J47" s="112">
        <v>0.32</v>
      </c>
      <c r="K47" s="112">
        <v>127.15</v>
      </c>
      <c r="L47" s="112">
        <v>23.78</v>
      </c>
      <c r="M47" s="112">
        <v>49.06</v>
      </c>
      <c r="N47" s="112">
        <v>304.5</v>
      </c>
      <c r="O47" s="112">
        <v>0</v>
      </c>
      <c r="P47" s="112">
        <v>1.1399999999999999</v>
      </c>
      <c r="Q47" s="112">
        <v>4.74</v>
      </c>
    </row>
    <row r="48" spans="1:17" customFormat="1">
      <c r="A48" s="80">
        <v>45618.416666666664</v>
      </c>
      <c r="B48" s="112">
        <v>11.02</v>
      </c>
      <c r="C48" s="112">
        <v>23.19</v>
      </c>
      <c r="D48" s="112">
        <v>22.3</v>
      </c>
      <c r="E48" s="112">
        <v>8.2799999999999994</v>
      </c>
      <c r="F48" s="112">
        <v>6.05</v>
      </c>
      <c r="G48" s="112">
        <v>132.55000000000001</v>
      </c>
      <c r="H48" s="112">
        <v>47.38</v>
      </c>
      <c r="I48" s="112">
        <v>13.24</v>
      </c>
      <c r="J48" s="112">
        <v>0.47</v>
      </c>
      <c r="K48" s="112">
        <v>58.66</v>
      </c>
      <c r="L48" s="112">
        <v>24.11</v>
      </c>
      <c r="M48" s="112">
        <v>47.01</v>
      </c>
      <c r="N48" s="112">
        <v>323.3</v>
      </c>
      <c r="O48" s="112">
        <v>0</v>
      </c>
      <c r="P48" s="112">
        <v>1.1299999999999999</v>
      </c>
      <c r="Q48" s="112">
        <v>4.75</v>
      </c>
    </row>
    <row r="49" spans="1:17" customFormat="1">
      <c r="A49" s="80">
        <v>45618.427083333336</v>
      </c>
      <c r="B49" s="112">
        <v>10.210000000000001</v>
      </c>
      <c r="C49" s="112">
        <v>23.05</v>
      </c>
      <c r="D49" s="112">
        <v>21.58</v>
      </c>
      <c r="E49" s="112">
        <v>7.59</v>
      </c>
      <c r="F49" s="112">
        <v>5.91</v>
      </c>
      <c r="G49" s="112">
        <v>132.47</v>
      </c>
      <c r="H49" s="112">
        <v>47.29</v>
      </c>
      <c r="I49" s="112">
        <v>13.17</v>
      </c>
      <c r="J49" s="112">
        <v>0.5</v>
      </c>
      <c r="K49" s="112">
        <v>34.64</v>
      </c>
      <c r="L49" s="112">
        <v>24.64</v>
      </c>
      <c r="M49" s="112">
        <v>45.56</v>
      </c>
      <c r="N49" s="112">
        <v>347.5</v>
      </c>
      <c r="O49" s="112">
        <v>0</v>
      </c>
      <c r="P49" s="112">
        <v>1.1299999999999999</v>
      </c>
      <c r="Q49" s="112">
        <v>4.75</v>
      </c>
    </row>
    <row r="50" spans="1:17" customFormat="1">
      <c r="A50" s="80">
        <v>45618.4375</v>
      </c>
      <c r="B50" s="112">
        <v>9.51</v>
      </c>
      <c r="C50" s="112">
        <v>22.79</v>
      </c>
      <c r="D50" s="112">
        <v>20.89</v>
      </c>
      <c r="E50" s="112">
        <v>9.02</v>
      </c>
      <c r="F50" s="112">
        <v>6.15</v>
      </c>
      <c r="G50" s="112">
        <v>128.91999999999999</v>
      </c>
      <c r="H50" s="112">
        <v>44.31</v>
      </c>
      <c r="I50" s="112">
        <v>13.04</v>
      </c>
      <c r="J50" s="112">
        <v>0.16</v>
      </c>
      <c r="K50" s="112">
        <v>127.53</v>
      </c>
      <c r="L50" s="112">
        <v>25.01</v>
      </c>
      <c r="M50" s="112">
        <v>44.98</v>
      </c>
      <c r="N50" s="112">
        <v>371.4</v>
      </c>
      <c r="O50" s="112">
        <v>0</v>
      </c>
      <c r="P50" s="112">
        <v>1.1100000000000001</v>
      </c>
      <c r="Q50" s="112">
        <v>4.75</v>
      </c>
    </row>
    <row r="51" spans="1:17" customFormat="1">
      <c r="A51" s="80">
        <v>45618.447916666664</v>
      </c>
      <c r="B51" s="112">
        <v>8.6300000000000008</v>
      </c>
      <c r="C51" s="112">
        <v>22.41</v>
      </c>
      <c r="D51" s="112">
        <v>19.98</v>
      </c>
      <c r="E51" s="112">
        <v>9.26</v>
      </c>
      <c r="F51" s="112">
        <v>6.3</v>
      </c>
      <c r="G51" s="112">
        <v>128.91999999999999</v>
      </c>
      <c r="H51" s="112">
        <v>44.31</v>
      </c>
      <c r="I51" s="112">
        <v>12.95</v>
      </c>
      <c r="J51" s="112">
        <v>0.06</v>
      </c>
      <c r="K51" s="112">
        <v>120.16</v>
      </c>
      <c r="L51" s="112">
        <v>25.46</v>
      </c>
      <c r="M51" s="112">
        <v>43.28</v>
      </c>
      <c r="N51" s="112">
        <v>300.39999999999998</v>
      </c>
      <c r="O51" s="112">
        <v>0</v>
      </c>
      <c r="P51" s="112">
        <v>1.1000000000000001</v>
      </c>
      <c r="Q51" s="112">
        <v>4.75</v>
      </c>
    </row>
    <row r="52" spans="1:17" customFormat="1">
      <c r="A52" s="80">
        <v>45618.458333333336</v>
      </c>
      <c r="B52" s="112">
        <v>7.7</v>
      </c>
      <c r="C52" s="112">
        <v>22.06</v>
      </c>
      <c r="D52" s="112">
        <v>19.05</v>
      </c>
      <c r="E52" s="112">
        <v>9.52</v>
      </c>
      <c r="F52" s="112">
        <v>6.63</v>
      </c>
      <c r="G52" s="112">
        <v>128.91999999999999</v>
      </c>
      <c r="H52" s="112">
        <v>44.31</v>
      </c>
      <c r="I52" s="112">
        <v>12.82</v>
      </c>
      <c r="J52" s="112">
        <v>0.42</v>
      </c>
      <c r="K52" s="112">
        <v>63.76</v>
      </c>
      <c r="L52" s="112">
        <v>26.03</v>
      </c>
      <c r="M52" s="112">
        <v>41.57</v>
      </c>
      <c r="N52" s="112">
        <v>394.5</v>
      </c>
      <c r="O52" s="112">
        <v>0</v>
      </c>
      <c r="P52" s="112">
        <v>1.08</v>
      </c>
      <c r="Q52" s="112">
        <v>4.75</v>
      </c>
    </row>
    <row r="53" spans="1:17" customFormat="1">
      <c r="A53" s="80">
        <v>45618.46875</v>
      </c>
      <c r="B53" s="112">
        <v>6.9</v>
      </c>
      <c r="C53" s="112">
        <v>21.69</v>
      </c>
      <c r="D53" s="112">
        <v>18.22</v>
      </c>
      <c r="E53" s="112">
        <v>9.4600000000000009</v>
      </c>
      <c r="F53" s="112">
        <v>7.22</v>
      </c>
      <c r="G53" s="112">
        <v>128.6</v>
      </c>
      <c r="H53" s="112">
        <v>44.42</v>
      </c>
      <c r="I53" s="112">
        <v>12.66</v>
      </c>
      <c r="J53" s="112">
        <v>0.26</v>
      </c>
      <c r="K53" s="112">
        <v>41.7</v>
      </c>
      <c r="L53" s="112">
        <v>26.12</v>
      </c>
      <c r="M53" s="112">
        <v>41.3</v>
      </c>
      <c r="N53" s="112">
        <v>410.9</v>
      </c>
      <c r="O53" s="112">
        <v>0</v>
      </c>
      <c r="P53" s="112">
        <v>1.07</v>
      </c>
      <c r="Q53" s="112">
        <v>4.75</v>
      </c>
    </row>
    <row r="54" spans="1:17" customFormat="1">
      <c r="A54" s="80">
        <v>45618.479166666664</v>
      </c>
      <c r="B54" s="112">
        <v>6.28</v>
      </c>
      <c r="C54" s="112">
        <v>21.37</v>
      </c>
      <c r="D54" s="112">
        <v>17.55</v>
      </c>
      <c r="E54" s="112">
        <v>9.57</v>
      </c>
      <c r="F54" s="112">
        <v>7.15</v>
      </c>
      <c r="G54" s="112">
        <v>114.53</v>
      </c>
      <c r="H54" s="112">
        <v>47.98</v>
      </c>
      <c r="I54" s="112">
        <v>12.48</v>
      </c>
      <c r="J54" s="112">
        <v>0.3</v>
      </c>
      <c r="K54" s="112">
        <v>121.89</v>
      </c>
      <c r="L54" s="112">
        <v>26.82</v>
      </c>
      <c r="M54" s="112">
        <v>40.32</v>
      </c>
      <c r="N54" s="112">
        <v>409.6</v>
      </c>
      <c r="O54" s="112">
        <v>0</v>
      </c>
      <c r="P54" s="112">
        <v>1.06</v>
      </c>
      <c r="Q54" s="112">
        <v>4.74</v>
      </c>
    </row>
    <row r="55" spans="1:17" customFormat="1">
      <c r="A55" s="80">
        <v>45618.489583333336</v>
      </c>
      <c r="B55" s="112">
        <v>5.73</v>
      </c>
      <c r="C55" s="112">
        <v>20.96</v>
      </c>
      <c r="D55" s="112">
        <v>16.899999999999999</v>
      </c>
      <c r="E55" s="112">
        <v>9.91</v>
      </c>
      <c r="F55" s="112">
        <v>7.52</v>
      </c>
      <c r="G55" s="112">
        <v>114.53</v>
      </c>
      <c r="H55" s="112">
        <v>47.98</v>
      </c>
      <c r="I55" s="112">
        <v>12.31</v>
      </c>
      <c r="J55" s="112">
        <v>0.33</v>
      </c>
      <c r="K55" s="112">
        <v>20.96</v>
      </c>
      <c r="L55" s="112">
        <v>27.05</v>
      </c>
      <c r="M55" s="112">
        <v>39.26</v>
      </c>
      <c r="N55" s="112">
        <v>397</v>
      </c>
      <c r="O55" s="112">
        <v>0</v>
      </c>
      <c r="P55" s="112">
        <v>1.04</v>
      </c>
      <c r="Q55" s="112">
        <v>4.74</v>
      </c>
    </row>
    <row r="56" spans="1:17" customFormat="1">
      <c r="A56" s="80">
        <v>45618.5</v>
      </c>
      <c r="B56" s="112">
        <v>5.35</v>
      </c>
      <c r="C56" s="112">
        <v>20.76</v>
      </c>
      <c r="D56" s="112">
        <v>16.489999999999998</v>
      </c>
      <c r="E56" s="112">
        <v>9.9</v>
      </c>
      <c r="F56" s="112">
        <v>7.97</v>
      </c>
      <c r="G56" s="112">
        <v>114.53</v>
      </c>
      <c r="H56" s="112">
        <v>47.98</v>
      </c>
      <c r="I56" s="112">
        <v>12.18</v>
      </c>
      <c r="J56" s="112">
        <v>0.53</v>
      </c>
      <c r="K56" s="112">
        <v>16.72</v>
      </c>
      <c r="L56" s="112">
        <v>26.91</v>
      </c>
      <c r="M56" s="112">
        <v>36.659999999999997</v>
      </c>
      <c r="N56" s="112">
        <v>413</v>
      </c>
      <c r="O56" s="112">
        <v>0</v>
      </c>
      <c r="P56" s="112">
        <v>1.03</v>
      </c>
      <c r="Q56" s="112">
        <v>4.7699999999999996</v>
      </c>
    </row>
    <row r="57" spans="1:17" customFormat="1">
      <c r="A57" s="80">
        <v>45618.510416666664</v>
      </c>
      <c r="B57" s="112">
        <v>5.03</v>
      </c>
      <c r="C57" s="112">
        <v>20.47</v>
      </c>
      <c r="D57" s="112">
        <v>16.079999999999998</v>
      </c>
      <c r="E57" s="112">
        <v>9.6999999999999993</v>
      </c>
      <c r="F57" s="112">
        <v>9.2799999999999994</v>
      </c>
      <c r="G57" s="112">
        <v>114.39</v>
      </c>
      <c r="H57" s="112">
        <v>47.93</v>
      </c>
      <c r="I57" s="112">
        <v>12.04</v>
      </c>
      <c r="J57" s="112">
        <v>0.3</v>
      </c>
      <c r="K57" s="112">
        <v>48.81</v>
      </c>
      <c r="L57" s="112">
        <v>26.71</v>
      </c>
      <c r="M57" s="112">
        <v>35.74</v>
      </c>
      <c r="N57" s="112">
        <v>405.6</v>
      </c>
      <c r="O57" s="112">
        <v>0</v>
      </c>
      <c r="P57" s="112">
        <v>1.02</v>
      </c>
      <c r="Q57" s="112">
        <v>4.75</v>
      </c>
    </row>
    <row r="58" spans="1:17" customFormat="1">
      <c r="A58" s="80">
        <v>45618.520833333336</v>
      </c>
      <c r="B58" s="112">
        <v>4.7300000000000004</v>
      </c>
      <c r="C58" s="112">
        <v>20.11</v>
      </c>
      <c r="D58" s="112">
        <v>15.66</v>
      </c>
      <c r="E58" s="112">
        <v>10.02</v>
      </c>
      <c r="F58" s="112">
        <v>8.19</v>
      </c>
      <c r="G58" s="112">
        <v>108.25</v>
      </c>
      <c r="H58" s="112">
        <v>46.37</v>
      </c>
      <c r="I58" s="112">
        <v>11.86</v>
      </c>
      <c r="J58" s="112">
        <v>0.44</v>
      </c>
      <c r="K58" s="112">
        <v>341.13</v>
      </c>
      <c r="L58" s="112">
        <v>26.84</v>
      </c>
      <c r="M58" s="112">
        <v>36.9</v>
      </c>
      <c r="N58" s="112">
        <v>367.1</v>
      </c>
      <c r="O58" s="112">
        <v>0</v>
      </c>
      <c r="P58" s="112">
        <v>1.01</v>
      </c>
      <c r="Q58" s="112">
        <v>4.74</v>
      </c>
    </row>
    <row r="59" spans="1:17" customFormat="1">
      <c r="A59" s="80">
        <v>45618.53125</v>
      </c>
      <c r="B59" s="112">
        <v>4.53</v>
      </c>
      <c r="C59" s="112">
        <v>19.79</v>
      </c>
      <c r="D59" s="112">
        <v>15.32</v>
      </c>
      <c r="E59" s="112">
        <v>10.55</v>
      </c>
      <c r="F59" s="112">
        <v>8.7899999999999991</v>
      </c>
      <c r="G59" s="112">
        <v>108.25</v>
      </c>
      <c r="H59" s="112">
        <v>46.37</v>
      </c>
      <c r="I59" s="112">
        <v>11.71</v>
      </c>
      <c r="J59" s="112">
        <v>0.35</v>
      </c>
      <c r="K59" s="112">
        <v>29.18</v>
      </c>
      <c r="L59" s="112">
        <v>27.25</v>
      </c>
      <c r="M59" s="112">
        <v>36.51</v>
      </c>
      <c r="N59" s="112">
        <v>362.7</v>
      </c>
      <c r="O59" s="112">
        <v>0</v>
      </c>
      <c r="P59" s="112">
        <v>1.01</v>
      </c>
      <c r="Q59" s="112">
        <v>4.7300000000000004</v>
      </c>
    </row>
    <row r="60" spans="1:17" customFormat="1">
      <c r="A60" s="80">
        <v>45618.541666666664</v>
      </c>
      <c r="B60" s="112">
        <v>4.37</v>
      </c>
      <c r="C60" s="112">
        <v>19.39</v>
      </c>
      <c r="D60" s="112">
        <v>14.99</v>
      </c>
      <c r="E60" s="112">
        <v>10.5</v>
      </c>
      <c r="F60" s="112">
        <v>8.8000000000000007</v>
      </c>
      <c r="G60" s="112">
        <v>108.25</v>
      </c>
      <c r="H60" s="112">
        <v>46.37</v>
      </c>
      <c r="I60" s="112">
        <v>11.59</v>
      </c>
      <c r="J60" s="112">
        <v>0.69</v>
      </c>
      <c r="K60" s="112">
        <v>336.05</v>
      </c>
      <c r="L60" s="112">
        <v>27.06</v>
      </c>
      <c r="M60" s="112">
        <v>36.25</v>
      </c>
      <c r="N60" s="112">
        <v>336.7</v>
      </c>
      <c r="O60" s="112">
        <v>0</v>
      </c>
      <c r="P60" s="112">
        <v>1</v>
      </c>
      <c r="Q60" s="112">
        <v>4.74</v>
      </c>
    </row>
    <row r="61" spans="1:17" customFormat="1">
      <c r="A61" s="80">
        <v>45618.552083333336</v>
      </c>
      <c r="B61" s="112">
        <v>4.3</v>
      </c>
      <c r="C61" s="112">
        <v>19.27</v>
      </c>
      <c r="D61" s="112">
        <v>14.87</v>
      </c>
      <c r="E61" s="112">
        <v>10.66</v>
      </c>
      <c r="F61" s="112">
        <v>8.94</v>
      </c>
      <c r="G61" s="112">
        <v>108.11</v>
      </c>
      <c r="H61" s="112">
        <v>46.37</v>
      </c>
      <c r="I61" s="112">
        <v>11.44</v>
      </c>
      <c r="J61" s="112">
        <v>0.1</v>
      </c>
      <c r="K61" s="112">
        <v>40.24</v>
      </c>
      <c r="L61" s="112">
        <v>27.29</v>
      </c>
      <c r="M61" s="112">
        <v>35.78</v>
      </c>
      <c r="N61" s="112">
        <v>327.9</v>
      </c>
      <c r="O61" s="112">
        <v>0</v>
      </c>
      <c r="P61" s="112">
        <v>1</v>
      </c>
      <c r="Q61" s="112">
        <v>4.74</v>
      </c>
    </row>
    <row r="62" spans="1:17" customFormat="1">
      <c r="A62" s="80">
        <v>45618.5625</v>
      </c>
      <c r="B62" s="112">
        <v>4.3</v>
      </c>
      <c r="C62" s="112">
        <v>19.14</v>
      </c>
      <c r="D62" s="112">
        <v>14.8</v>
      </c>
      <c r="E62" s="112">
        <v>10.35</v>
      </c>
      <c r="F62" s="112">
        <v>8.1199999999999992</v>
      </c>
      <c r="G62" s="112">
        <v>101.93</v>
      </c>
      <c r="H62" s="112">
        <v>46.35</v>
      </c>
      <c r="I62" s="112">
        <v>11.3</v>
      </c>
      <c r="J62" s="112">
        <v>0.37</v>
      </c>
      <c r="K62" s="112">
        <v>43.39</v>
      </c>
      <c r="L62" s="112">
        <v>27.35</v>
      </c>
      <c r="M62" s="112">
        <v>35.340000000000003</v>
      </c>
      <c r="N62" s="112">
        <v>313.39999999999998</v>
      </c>
      <c r="O62" s="112">
        <v>0</v>
      </c>
      <c r="P62" s="112">
        <v>0.98</v>
      </c>
      <c r="Q62" s="112">
        <v>4.7300000000000004</v>
      </c>
    </row>
    <row r="63" spans="1:17" customFormat="1">
      <c r="A63" s="80">
        <v>45618.572916666664</v>
      </c>
      <c r="B63" s="112">
        <v>4.16</v>
      </c>
      <c r="C63" s="112">
        <v>19.489999999999998</v>
      </c>
      <c r="D63" s="112">
        <v>14.87</v>
      </c>
      <c r="E63" s="112">
        <v>10.33</v>
      </c>
      <c r="F63" s="112">
        <v>8.49</v>
      </c>
      <c r="G63" s="112">
        <v>101.93</v>
      </c>
      <c r="H63" s="112">
        <v>46.35</v>
      </c>
      <c r="I63" s="112">
        <v>11.16</v>
      </c>
      <c r="J63" s="112">
        <v>0.27</v>
      </c>
      <c r="K63" s="112">
        <v>25.56</v>
      </c>
      <c r="L63" s="112">
        <v>27.19</v>
      </c>
      <c r="M63" s="112">
        <v>35.700000000000003</v>
      </c>
      <c r="N63" s="112">
        <v>214.1</v>
      </c>
      <c r="O63" s="112">
        <v>0</v>
      </c>
      <c r="P63" s="112">
        <v>1.01</v>
      </c>
      <c r="Q63" s="112">
        <v>4.75</v>
      </c>
    </row>
    <row r="64" spans="1:17" customFormat="1">
      <c r="A64" s="80">
        <v>45618.583333333336</v>
      </c>
      <c r="B64" s="112">
        <v>3.94</v>
      </c>
      <c r="C64" s="112">
        <v>19.920000000000002</v>
      </c>
      <c r="D64" s="112">
        <v>14.92</v>
      </c>
      <c r="E64" s="112">
        <v>9.6199999999999992</v>
      </c>
      <c r="F64" s="112">
        <v>9.51</v>
      </c>
      <c r="G64" s="112">
        <v>101.93</v>
      </c>
      <c r="H64" s="112">
        <v>46.35</v>
      </c>
      <c r="I64" s="112">
        <v>11.09</v>
      </c>
      <c r="J64" s="112">
        <v>0.37</v>
      </c>
      <c r="K64" s="112">
        <v>75.09</v>
      </c>
      <c r="L64" s="112">
        <v>27.38</v>
      </c>
      <c r="M64" s="112">
        <v>34.83</v>
      </c>
      <c r="N64" s="112">
        <v>135.80000000000001</v>
      </c>
      <c r="O64" s="112">
        <v>0</v>
      </c>
      <c r="P64" s="112">
        <v>1.01</v>
      </c>
      <c r="Q64" s="112">
        <v>4.76</v>
      </c>
    </row>
    <row r="65" spans="1:17" customFormat="1">
      <c r="A65" s="80">
        <v>45618.59375</v>
      </c>
      <c r="B65" s="112">
        <v>3.84</v>
      </c>
      <c r="C65" s="112">
        <v>20.149999999999999</v>
      </c>
      <c r="D65" s="112">
        <v>14.96</v>
      </c>
      <c r="E65" s="112">
        <v>10.37</v>
      </c>
      <c r="F65" s="112">
        <v>11.09</v>
      </c>
      <c r="G65" s="112">
        <v>101.87</v>
      </c>
      <c r="H65" s="112">
        <v>46.2</v>
      </c>
      <c r="I65" s="112">
        <v>10.95</v>
      </c>
      <c r="J65" s="112">
        <v>0.65</v>
      </c>
      <c r="K65" s="112">
        <v>56.26</v>
      </c>
      <c r="L65" s="112">
        <v>27.19</v>
      </c>
      <c r="M65" s="112">
        <v>34.15</v>
      </c>
      <c r="N65" s="112">
        <v>121.5</v>
      </c>
      <c r="O65" s="112">
        <v>0</v>
      </c>
      <c r="P65" s="112">
        <v>0.85</v>
      </c>
      <c r="Q65" s="112">
        <v>4.76</v>
      </c>
    </row>
    <row r="66" spans="1:17" customFormat="1">
      <c r="A66" s="80">
        <v>45618.604166666664</v>
      </c>
      <c r="B66" s="112">
        <v>3.83</v>
      </c>
      <c r="C66" s="112">
        <v>20.34</v>
      </c>
      <c r="D66" s="112">
        <v>15.05</v>
      </c>
      <c r="E66" s="112">
        <v>10.4</v>
      </c>
      <c r="F66" s="112">
        <v>12.07</v>
      </c>
      <c r="G66" s="112">
        <v>99.41</v>
      </c>
      <c r="H66" s="112">
        <v>41.51</v>
      </c>
      <c r="I66" s="112">
        <v>10.72</v>
      </c>
      <c r="J66" s="112">
        <v>0.56999999999999995</v>
      </c>
      <c r="K66" s="112">
        <v>32.33</v>
      </c>
      <c r="L66" s="112">
        <v>26.98</v>
      </c>
      <c r="M66" s="112">
        <v>33.51</v>
      </c>
      <c r="N66" s="112">
        <v>100.7</v>
      </c>
      <c r="O66" s="112">
        <v>0</v>
      </c>
      <c r="P66" s="112">
        <v>0.87</v>
      </c>
      <c r="Q66" s="112">
        <v>4.76</v>
      </c>
    </row>
    <row r="67" spans="1:17" customFormat="1">
      <c r="A67" s="80">
        <v>45618.614583333336</v>
      </c>
      <c r="B67" s="112">
        <v>3.89</v>
      </c>
      <c r="C67" s="112">
        <v>20.8</v>
      </c>
      <c r="D67" s="112">
        <v>15.33</v>
      </c>
      <c r="E67" s="112">
        <v>10.029999999999999</v>
      </c>
      <c r="F67" s="112">
        <v>10.15</v>
      </c>
      <c r="G67" s="112">
        <v>99.41</v>
      </c>
      <c r="H67" s="112">
        <v>41.51</v>
      </c>
      <c r="I67" s="112">
        <v>10.5</v>
      </c>
      <c r="J67" s="112">
        <v>0.55000000000000004</v>
      </c>
      <c r="K67" s="112">
        <v>48.76</v>
      </c>
      <c r="L67" s="112">
        <v>27.05</v>
      </c>
      <c r="M67" s="112">
        <v>33.22</v>
      </c>
      <c r="N67" s="112">
        <v>87.7</v>
      </c>
      <c r="O67" s="112">
        <v>0</v>
      </c>
      <c r="P67" s="112">
        <v>0.88</v>
      </c>
      <c r="Q67" s="112">
        <v>4.76</v>
      </c>
    </row>
    <row r="68" spans="1:17" customFormat="1">
      <c r="A68" s="80">
        <v>45618.625</v>
      </c>
      <c r="B68" s="112">
        <v>3.94</v>
      </c>
      <c r="C68" s="112">
        <v>21.28</v>
      </c>
      <c r="D68" s="112">
        <v>15.63</v>
      </c>
      <c r="E68" s="112">
        <v>10.36</v>
      </c>
      <c r="F68" s="112">
        <v>11.4</v>
      </c>
      <c r="G68" s="112">
        <v>99.41</v>
      </c>
      <c r="H68" s="112">
        <v>41.51</v>
      </c>
      <c r="I68" s="112">
        <v>10.32</v>
      </c>
      <c r="J68" s="112">
        <v>0.47</v>
      </c>
      <c r="K68" s="112">
        <v>55.26</v>
      </c>
      <c r="L68" s="112">
        <v>26.99</v>
      </c>
      <c r="M68" s="112">
        <v>33.07</v>
      </c>
      <c r="N68" s="112">
        <v>78.3</v>
      </c>
      <c r="O68" s="112">
        <v>0</v>
      </c>
      <c r="P68" s="112">
        <v>0.87</v>
      </c>
      <c r="Q68" s="112">
        <v>4.75</v>
      </c>
    </row>
    <row r="69" spans="1:17" customFormat="1">
      <c r="A69" s="80">
        <v>45618.635416666664</v>
      </c>
      <c r="B69" s="112">
        <v>3.95</v>
      </c>
      <c r="C69" s="112">
        <v>21.66</v>
      </c>
      <c r="D69" s="112">
        <v>15.84</v>
      </c>
      <c r="E69" s="112">
        <v>9.8699999999999992</v>
      </c>
      <c r="F69" s="112">
        <v>10.51</v>
      </c>
      <c r="G69" s="112">
        <v>99.33</v>
      </c>
      <c r="H69" s="112">
        <v>41.45</v>
      </c>
      <c r="I69" s="112">
        <v>10.14</v>
      </c>
      <c r="J69" s="112">
        <v>0.49</v>
      </c>
      <c r="K69" s="112">
        <v>53.85</v>
      </c>
      <c r="L69" s="112">
        <v>26.89</v>
      </c>
      <c r="M69" s="112">
        <v>33.93</v>
      </c>
      <c r="N69" s="112">
        <v>68.5</v>
      </c>
      <c r="O69" s="112">
        <v>0</v>
      </c>
      <c r="P69" s="112">
        <v>0.86</v>
      </c>
      <c r="Q69" s="112">
        <v>4.75</v>
      </c>
    </row>
    <row r="70" spans="1:17" customFormat="1">
      <c r="A70" s="80">
        <v>45618.645833333336</v>
      </c>
      <c r="B70" s="112">
        <v>3.93</v>
      </c>
      <c r="C70" s="112">
        <v>21.65</v>
      </c>
      <c r="D70" s="112">
        <v>15.82</v>
      </c>
      <c r="E70" s="112">
        <v>9.9600000000000009</v>
      </c>
      <c r="F70" s="112">
        <v>11.1</v>
      </c>
      <c r="G70" s="112">
        <v>96.07</v>
      </c>
      <c r="H70" s="112">
        <v>39.64</v>
      </c>
      <c r="I70" s="112">
        <v>10.01</v>
      </c>
      <c r="J70" s="112">
        <v>0.56999999999999995</v>
      </c>
      <c r="K70" s="112">
        <v>39.36</v>
      </c>
      <c r="L70" s="112">
        <v>26.71</v>
      </c>
      <c r="M70" s="112">
        <v>34</v>
      </c>
      <c r="N70" s="112">
        <v>58.4</v>
      </c>
      <c r="O70" s="112">
        <v>0</v>
      </c>
      <c r="P70" s="112">
        <v>0.84</v>
      </c>
      <c r="Q70" s="112">
        <v>4.76</v>
      </c>
    </row>
    <row r="71" spans="1:17" customFormat="1">
      <c r="A71" s="80">
        <v>45618.65625</v>
      </c>
      <c r="B71" s="112">
        <v>3.96</v>
      </c>
      <c r="C71" s="112">
        <v>21.99</v>
      </c>
      <c r="D71" s="112">
        <v>16.010000000000002</v>
      </c>
      <c r="E71" s="112">
        <v>9.93</v>
      </c>
      <c r="F71" s="112">
        <v>10.92</v>
      </c>
      <c r="G71" s="112">
        <v>96.07</v>
      </c>
      <c r="H71" s="112">
        <v>39.64</v>
      </c>
      <c r="I71" s="112">
        <v>9.8800000000000008</v>
      </c>
      <c r="J71" s="112">
        <v>0.51</v>
      </c>
      <c r="K71" s="112">
        <v>42.18</v>
      </c>
      <c r="L71" s="112">
        <v>26.51</v>
      </c>
      <c r="M71" s="112">
        <v>34.33</v>
      </c>
      <c r="N71" s="112">
        <v>48.1</v>
      </c>
      <c r="O71" s="112">
        <v>0</v>
      </c>
      <c r="P71" s="112">
        <v>0.85</v>
      </c>
      <c r="Q71" s="112">
        <v>4.7699999999999996</v>
      </c>
    </row>
    <row r="72" spans="1:17" customFormat="1">
      <c r="A72" s="80">
        <v>45618.666666666664</v>
      </c>
      <c r="B72" s="112">
        <v>4.03</v>
      </c>
      <c r="C72" s="112">
        <v>22.85</v>
      </c>
      <c r="D72" s="112">
        <v>16.52</v>
      </c>
      <c r="E72" s="112">
        <v>9.89</v>
      </c>
      <c r="F72" s="112">
        <v>9.4700000000000006</v>
      </c>
      <c r="G72" s="112">
        <v>96.07</v>
      </c>
      <c r="H72" s="112">
        <v>39.64</v>
      </c>
      <c r="I72" s="112">
        <v>9.7200000000000006</v>
      </c>
      <c r="J72" s="112">
        <v>0.43</v>
      </c>
      <c r="K72" s="112">
        <v>37.86</v>
      </c>
      <c r="L72" s="112">
        <v>26.34</v>
      </c>
      <c r="M72" s="112">
        <v>35.159999999999997</v>
      </c>
      <c r="N72" s="112">
        <v>38.299999999999997</v>
      </c>
      <c r="O72" s="112">
        <v>0</v>
      </c>
      <c r="P72" s="112">
        <v>0.85</v>
      </c>
      <c r="Q72" s="112">
        <v>4.76</v>
      </c>
    </row>
    <row r="73" spans="1:17" customFormat="1">
      <c r="A73" s="80">
        <v>45618.677083333336</v>
      </c>
      <c r="B73" s="112">
        <v>4.16</v>
      </c>
      <c r="C73" s="112">
        <v>23.78</v>
      </c>
      <c r="D73" s="112">
        <v>17.11</v>
      </c>
      <c r="E73" s="112">
        <v>9.33</v>
      </c>
      <c r="F73" s="112">
        <v>8.7200000000000006</v>
      </c>
      <c r="G73" s="112">
        <v>96.08</v>
      </c>
      <c r="H73" s="112">
        <v>39.68</v>
      </c>
      <c r="I73" s="112">
        <v>9.61</v>
      </c>
      <c r="J73" s="112">
        <v>0.46</v>
      </c>
      <c r="K73" s="112">
        <v>46.35</v>
      </c>
      <c r="L73" s="112">
        <v>26.05</v>
      </c>
      <c r="M73" s="112">
        <v>36.270000000000003</v>
      </c>
      <c r="N73" s="112">
        <v>29.4</v>
      </c>
      <c r="O73" s="112">
        <v>0</v>
      </c>
      <c r="P73" s="112">
        <v>0.85</v>
      </c>
      <c r="Q73" s="112">
        <v>4.76</v>
      </c>
    </row>
    <row r="74" spans="1:17" customFormat="1">
      <c r="A74" s="80">
        <v>45618.6875</v>
      </c>
      <c r="B74" s="112">
        <v>4.2300000000000004</v>
      </c>
      <c r="C74" s="112">
        <v>24.37</v>
      </c>
      <c r="D74" s="112">
        <v>17.48</v>
      </c>
      <c r="E74" s="112">
        <v>9.02</v>
      </c>
      <c r="F74" s="112">
        <v>8.0500000000000007</v>
      </c>
      <c r="G74" s="112">
        <v>96.72</v>
      </c>
      <c r="H74" s="112">
        <v>40.85</v>
      </c>
      <c r="I74" s="112">
        <v>9.52</v>
      </c>
      <c r="J74" s="112">
        <v>0.49</v>
      </c>
      <c r="K74" s="112">
        <v>53.54</v>
      </c>
      <c r="L74" s="112">
        <v>25.59</v>
      </c>
      <c r="M74" s="112">
        <v>37.49</v>
      </c>
      <c r="N74" s="112">
        <v>20.9</v>
      </c>
      <c r="O74" s="112">
        <v>0</v>
      </c>
      <c r="P74" s="112">
        <v>0.84</v>
      </c>
      <c r="Q74" s="112">
        <v>4.75</v>
      </c>
    </row>
    <row r="75" spans="1:17" customFormat="1">
      <c r="A75" s="80">
        <v>45618.697916666664</v>
      </c>
      <c r="B75" s="112">
        <v>4.34</v>
      </c>
      <c r="C75" s="112">
        <v>24.92</v>
      </c>
      <c r="D75" s="112">
        <v>17.850000000000001</v>
      </c>
      <c r="E75" s="112">
        <v>8.85</v>
      </c>
      <c r="F75" s="112">
        <v>7.66</v>
      </c>
      <c r="G75" s="112">
        <v>96.72</v>
      </c>
      <c r="H75" s="112">
        <v>40.85</v>
      </c>
      <c r="I75" s="112">
        <v>9.4499999999999993</v>
      </c>
      <c r="J75" s="112">
        <v>0.48</v>
      </c>
      <c r="K75" s="112">
        <v>45.03</v>
      </c>
      <c r="L75" s="112">
        <v>25.14</v>
      </c>
      <c r="M75" s="112">
        <v>38.340000000000003</v>
      </c>
      <c r="N75" s="112">
        <v>12.8</v>
      </c>
      <c r="O75" s="112">
        <v>0</v>
      </c>
      <c r="P75" s="112">
        <v>0.85</v>
      </c>
      <c r="Q75" s="112">
        <v>4.75</v>
      </c>
    </row>
    <row r="76" spans="1:17" customFormat="1">
      <c r="A76" s="80">
        <v>45618.708333333336</v>
      </c>
      <c r="B76" s="112">
        <v>4.5</v>
      </c>
      <c r="C76" s="112">
        <v>25.61</v>
      </c>
      <c r="D76" s="112">
        <v>18.34</v>
      </c>
      <c r="E76" s="112">
        <v>9.26</v>
      </c>
      <c r="F76" s="112">
        <v>7.16</v>
      </c>
      <c r="G76" s="112">
        <v>96.72</v>
      </c>
      <c r="H76" s="112">
        <v>40.85</v>
      </c>
      <c r="I76" s="112">
        <v>9.41</v>
      </c>
      <c r="J76" s="112">
        <v>0.41</v>
      </c>
      <c r="K76" s="112">
        <v>41.5</v>
      </c>
      <c r="L76" s="112">
        <v>24.68</v>
      </c>
      <c r="M76" s="112">
        <v>39.54</v>
      </c>
      <c r="N76" s="112">
        <v>6.3</v>
      </c>
      <c r="O76" s="112">
        <v>0</v>
      </c>
      <c r="P76" s="112">
        <v>0.87</v>
      </c>
      <c r="Q76" s="112">
        <v>4.74</v>
      </c>
    </row>
    <row r="77" spans="1:17" customFormat="1">
      <c r="A77" s="80">
        <v>45618.71875</v>
      </c>
      <c r="B77" s="112">
        <v>4.7300000000000004</v>
      </c>
      <c r="C77" s="112">
        <v>26.11</v>
      </c>
      <c r="D77" s="112">
        <v>18.78</v>
      </c>
      <c r="E77" s="112">
        <v>9.23</v>
      </c>
      <c r="F77" s="112">
        <v>6.82</v>
      </c>
      <c r="G77" s="112">
        <v>96.83</v>
      </c>
      <c r="H77" s="112">
        <v>40.83</v>
      </c>
      <c r="I77" s="112">
        <v>9.39</v>
      </c>
      <c r="J77" s="112">
        <v>0.15</v>
      </c>
      <c r="K77" s="112">
        <v>130.53</v>
      </c>
      <c r="L77" s="112">
        <v>23.8</v>
      </c>
      <c r="M77" s="112">
        <v>46.04</v>
      </c>
      <c r="N77" s="112">
        <v>3.4</v>
      </c>
      <c r="O77" s="112">
        <v>0</v>
      </c>
      <c r="P77" s="112">
        <v>0.87</v>
      </c>
      <c r="Q77" s="112">
        <v>4.76</v>
      </c>
    </row>
    <row r="78" spans="1:17" customFormat="1">
      <c r="A78" s="80">
        <v>45618.729166666664</v>
      </c>
      <c r="B78" s="112">
        <v>4.82</v>
      </c>
      <c r="C78" s="112">
        <v>26.3</v>
      </c>
      <c r="D78" s="112">
        <v>18.95</v>
      </c>
      <c r="E78" s="112">
        <v>8.48</v>
      </c>
      <c r="F78" s="112">
        <v>6.73</v>
      </c>
      <c r="G78" s="112">
        <v>101.68</v>
      </c>
      <c r="H78" s="112">
        <v>40.17</v>
      </c>
      <c r="I78" s="112">
        <v>9.43</v>
      </c>
      <c r="J78" s="112">
        <v>0.18</v>
      </c>
      <c r="K78" s="112">
        <v>135.51</v>
      </c>
      <c r="L78" s="112">
        <v>22.77</v>
      </c>
      <c r="M78" s="112">
        <v>51.33</v>
      </c>
      <c r="N78" s="112">
        <v>2.2000000000000002</v>
      </c>
      <c r="O78" s="112">
        <v>0</v>
      </c>
      <c r="P78" s="112">
        <v>0.87</v>
      </c>
      <c r="Q78" s="112">
        <v>4.75</v>
      </c>
    </row>
    <row r="79" spans="1:17" customFormat="1">
      <c r="A79" s="80">
        <v>45618.739583333336</v>
      </c>
      <c r="B79" s="112">
        <v>5.01</v>
      </c>
      <c r="C79" s="112">
        <v>26.41</v>
      </c>
      <c r="D79" s="112">
        <v>19.16</v>
      </c>
      <c r="E79" s="112">
        <v>8.7100000000000009</v>
      </c>
      <c r="F79" s="112">
        <v>6.22</v>
      </c>
      <c r="G79" s="112">
        <v>101.68</v>
      </c>
      <c r="H79" s="112">
        <v>40.17</v>
      </c>
      <c r="I79" s="112">
        <v>9.4600000000000009</v>
      </c>
      <c r="J79" s="112">
        <v>0.39</v>
      </c>
      <c r="K79" s="112">
        <v>46.34</v>
      </c>
      <c r="L79" s="112">
        <v>22.73</v>
      </c>
      <c r="M79" s="112">
        <v>47.49</v>
      </c>
      <c r="N79" s="112">
        <v>1.1000000000000001</v>
      </c>
      <c r="O79" s="112">
        <v>0</v>
      </c>
      <c r="P79" s="112">
        <v>0.89</v>
      </c>
      <c r="Q79" s="112">
        <v>4.75</v>
      </c>
    </row>
    <row r="80" spans="1:17" customFormat="1">
      <c r="A80" s="80">
        <v>45618.75</v>
      </c>
      <c r="B80" s="112">
        <v>5.9</v>
      </c>
      <c r="C80" s="112">
        <v>27.16</v>
      </c>
      <c r="D80" s="112">
        <v>20.27</v>
      </c>
      <c r="E80" s="112">
        <v>8.69</v>
      </c>
      <c r="F80" s="112">
        <v>5.87</v>
      </c>
      <c r="G80" s="112">
        <v>101.68</v>
      </c>
      <c r="H80" s="112">
        <v>40.17</v>
      </c>
      <c r="I80" s="112">
        <v>9.4700000000000006</v>
      </c>
      <c r="J80" s="112">
        <v>0.41</v>
      </c>
      <c r="K80" s="112">
        <v>50.01</v>
      </c>
      <c r="L80" s="112">
        <v>23.06</v>
      </c>
      <c r="M80" s="112">
        <v>45.21</v>
      </c>
      <c r="N80" s="112">
        <v>1.3</v>
      </c>
      <c r="O80" s="112">
        <v>0</v>
      </c>
      <c r="P80" s="112">
        <v>0.91</v>
      </c>
      <c r="Q80" s="112">
        <v>4.75</v>
      </c>
    </row>
    <row r="81" spans="1:17" customFormat="1">
      <c r="A81" s="80">
        <v>45618.760416666664</v>
      </c>
      <c r="B81" s="112">
        <v>6.4</v>
      </c>
      <c r="C81" s="112">
        <v>27.81</v>
      </c>
      <c r="D81" s="112">
        <v>21.02</v>
      </c>
      <c r="E81" s="112">
        <v>7.93</v>
      </c>
      <c r="F81" s="112">
        <v>5.82</v>
      </c>
      <c r="G81" s="112">
        <v>102.12</v>
      </c>
      <c r="H81" s="112">
        <v>40.19</v>
      </c>
      <c r="I81" s="112">
        <v>9.5399999999999991</v>
      </c>
      <c r="J81" s="112">
        <v>0.27</v>
      </c>
      <c r="K81" s="112">
        <v>72.680000000000007</v>
      </c>
      <c r="L81" s="112">
        <v>22.49</v>
      </c>
      <c r="M81" s="112">
        <v>50.14</v>
      </c>
      <c r="N81" s="112">
        <v>1.8</v>
      </c>
      <c r="O81" s="112">
        <v>0</v>
      </c>
      <c r="P81" s="112">
        <v>0.92</v>
      </c>
      <c r="Q81" s="112">
        <v>4.76</v>
      </c>
    </row>
    <row r="82" spans="1:17" customFormat="1">
      <c r="A82" s="80">
        <v>45618.770833333336</v>
      </c>
      <c r="B82" s="112">
        <v>6.45</v>
      </c>
      <c r="C82" s="112">
        <v>27.96</v>
      </c>
      <c r="D82" s="112">
        <v>21.13</v>
      </c>
      <c r="E82" s="112">
        <v>9.51</v>
      </c>
      <c r="F82" s="112">
        <v>5.66</v>
      </c>
      <c r="G82" s="112">
        <v>121.55</v>
      </c>
      <c r="H82" s="112">
        <v>41.04</v>
      </c>
      <c r="I82" s="112">
        <v>9.64</v>
      </c>
      <c r="J82" s="112">
        <v>0.16</v>
      </c>
      <c r="K82" s="112">
        <v>75</v>
      </c>
      <c r="L82" s="112">
        <v>21.99</v>
      </c>
      <c r="M82" s="112">
        <v>51.49</v>
      </c>
      <c r="N82" s="112">
        <v>1.7</v>
      </c>
      <c r="O82" s="112">
        <v>0</v>
      </c>
      <c r="P82" s="112">
        <v>0.93</v>
      </c>
      <c r="Q82" s="112">
        <v>4.76</v>
      </c>
    </row>
    <row r="83" spans="1:17" customFormat="1">
      <c r="A83" s="80">
        <v>45618.78125</v>
      </c>
      <c r="B83" s="112">
        <v>6.51</v>
      </c>
      <c r="C83" s="112">
        <v>27.77</v>
      </c>
      <c r="D83" s="112">
        <v>21.08</v>
      </c>
      <c r="E83" s="112">
        <v>9.15</v>
      </c>
      <c r="F83" s="112">
        <v>5.73</v>
      </c>
      <c r="G83" s="112">
        <v>121.55</v>
      </c>
      <c r="H83" s="112">
        <v>41.04</v>
      </c>
      <c r="I83" s="112">
        <v>9.7200000000000006</v>
      </c>
      <c r="J83" s="112">
        <v>0.26</v>
      </c>
      <c r="K83" s="112">
        <v>163.12</v>
      </c>
      <c r="L83" s="112">
        <v>21.28</v>
      </c>
      <c r="M83" s="112">
        <v>59.27</v>
      </c>
      <c r="N83" s="112">
        <v>2</v>
      </c>
      <c r="O83" s="112">
        <v>0</v>
      </c>
      <c r="P83" s="112">
        <v>0.95</v>
      </c>
      <c r="Q83" s="112">
        <v>4.75</v>
      </c>
    </row>
    <row r="84" spans="1:17" customFormat="1">
      <c r="A84" s="80">
        <v>45618.791666666664</v>
      </c>
      <c r="B84" s="112">
        <v>6.53</v>
      </c>
      <c r="C84" s="112">
        <v>26.67</v>
      </c>
      <c r="D84" s="112">
        <v>20.52</v>
      </c>
      <c r="E84" s="112">
        <v>9.0299999999999994</v>
      </c>
      <c r="F84" s="112">
        <v>5.78</v>
      </c>
      <c r="G84" s="112">
        <v>121.55</v>
      </c>
      <c r="H84" s="112">
        <v>41.04</v>
      </c>
      <c r="I84" s="112">
        <v>9.8699999999999992</v>
      </c>
      <c r="J84" s="112">
        <v>0.21</v>
      </c>
      <c r="K84" s="112">
        <v>203.16</v>
      </c>
      <c r="L84" s="112">
        <v>20.16</v>
      </c>
      <c r="M84" s="112">
        <v>70.45</v>
      </c>
      <c r="N84" s="112">
        <v>2.1</v>
      </c>
      <c r="O84" s="112">
        <v>0</v>
      </c>
      <c r="P84" s="112">
        <v>0.93</v>
      </c>
      <c r="Q84" s="112">
        <v>4.75</v>
      </c>
    </row>
    <row r="85" spans="1:17" customFormat="1">
      <c r="A85" s="80">
        <v>45618.802083333336</v>
      </c>
      <c r="B85" s="112">
        <v>6.51</v>
      </c>
      <c r="C85" s="112">
        <v>25.67</v>
      </c>
      <c r="D85" s="112">
        <v>19.98</v>
      </c>
      <c r="E85" s="112">
        <v>9.73</v>
      </c>
      <c r="F85" s="112">
        <v>5.8</v>
      </c>
      <c r="G85" s="112">
        <v>121.8</v>
      </c>
      <c r="H85" s="112">
        <v>41.18</v>
      </c>
      <c r="I85" s="112">
        <v>10.050000000000001</v>
      </c>
      <c r="J85" s="112">
        <v>0.2</v>
      </c>
      <c r="K85" s="112">
        <v>222.14</v>
      </c>
      <c r="L85" s="112">
        <v>19.350000000000001</v>
      </c>
      <c r="M85" s="112">
        <v>68.540000000000006</v>
      </c>
      <c r="N85" s="112">
        <v>2</v>
      </c>
      <c r="O85" s="112">
        <v>0</v>
      </c>
      <c r="P85" s="112">
        <v>0.93</v>
      </c>
      <c r="Q85" s="112">
        <v>4.74</v>
      </c>
    </row>
    <row r="86" spans="1:17" customFormat="1">
      <c r="A86" s="80">
        <v>45618.8125</v>
      </c>
      <c r="B86" s="112">
        <v>6.49</v>
      </c>
      <c r="C86" s="112">
        <v>24.65</v>
      </c>
      <c r="D86" s="112">
        <v>19.43</v>
      </c>
      <c r="E86" s="112">
        <v>9.91</v>
      </c>
      <c r="F86" s="112">
        <v>5.91</v>
      </c>
      <c r="G86" s="112">
        <v>132.68</v>
      </c>
      <c r="H86" s="112">
        <v>45.77</v>
      </c>
      <c r="I86" s="112">
        <v>10.199999999999999</v>
      </c>
      <c r="J86" s="112">
        <v>0.15</v>
      </c>
      <c r="K86" s="112">
        <v>237.67</v>
      </c>
      <c r="L86" s="112">
        <v>18.98</v>
      </c>
      <c r="M86" s="112">
        <v>70.37</v>
      </c>
      <c r="N86" s="112">
        <v>1.7</v>
      </c>
      <c r="O86" s="112">
        <v>0</v>
      </c>
      <c r="P86" s="112">
        <v>0.93</v>
      </c>
      <c r="Q86" s="112">
        <v>4.75</v>
      </c>
    </row>
    <row r="87" spans="1:17" customFormat="1">
      <c r="A87" s="80">
        <v>45618.822916666664</v>
      </c>
      <c r="B87" s="112">
        <v>6.41</v>
      </c>
      <c r="C87" s="112">
        <v>23.62</v>
      </c>
      <c r="D87" s="112">
        <v>18.829999999999998</v>
      </c>
      <c r="E87" s="112">
        <v>9.5</v>
      </c>
      <c r="F87" s="112">
        <v>6.17</v>
      </c>
      <c r="G87" s="112">
        <v>132.68</v>
      </c>
      <c r="H87" s="112">
        <v>45.77</v>
      </c>
      <c r="I87" s="112">
        <v>10.37</v>
      </c>
      <c r="J87" s="112">
        <v>0.13</v>
      </c>
      <c r="K87" s="112">
        <v>216.48</v>
      </c>
      <c r="L87" s="112">
        <v>18.66</v>
      </c>
      <c r="M87" s="112">
        <v>71.95</v>
      </c>
      <c r="N87" s="112">
        <v>1.5</v>
      </c>
      <c r="O87" s="112">
        <v>0</v>
      </c>
      <c r="P87" s="112">
        <v>0.94</v>
      </c>
      <c r="Q87" s="112">
        <v>4.7300000000000004</v>
      </c>
    </row>
    <row r="88" spans="1:17" customFormat="1">
      <c r="A88" s="80">
        <v>45618.833333333336</v>
      </c>
      <c r="B88" s="112">
        <v>6.31</v>
      </c>
      <c r="C88" s="112">
        <v>22.87</v>
      </c>
      <c r="D88" s="112">
        <v>18.36</v>
      </c>
      <c r="E88" s="112">
        <v>9.6999999999999993</v>
      </c>
      <c r="F88" s="112">
        <v>6.37</v>
      </c>
      <c r="G88" s="112">
        <v>132.68</v>
      </c>
      <c r="H88" s="112">
        <v>45.77</v>
      </c>
      <c r="I88" s="112">
        <v>10.5</v>
      </c>
      <c r="J88" s="112">
        <v>0.15</v>
      </c>
      <c r="K88" s="112">
        <v>231.2</v>
      </c>
      <c r="L88" s="112">
        <v>18.54</v>
      </c>
      <c r="M88" s="112">
        <v>75.37</v>
      </c>
      <c r="N88" s="112">
        <v>1.4</v>
      </c>
      <c r="O88" s="112">
        <v>0</v>
      </c>
      <c r="P88" s="112">
        <v>0.94</v>
      </c>
      <c r="Q88" s="112">
        <v>4.74</v>
      </c>
    </row>
    <row r="89" spans="1:17" customFormat="1">
      <c r="A89" s="80">
        <v>45618.84375</v>
      </c>
      <c r="B89" s="112">
        <v>6.26</v>
      </c>
      <c r="C89" s="112">
        <v>22.17</v>
      </c>
      <c r="D89" s="112">
        <v>17.96</v>
      </c>
      <c r="E89" s="112">
        <v>9.16</v>
      </c>
      <c r="F89" s="112">
        <v>6</v>
      </c>
      <c r="G89" s="112">
        <v>132.57</v>
      </c>
      <c r="H89" s="112">
        <v>45.72</v>
      </c>
      <c r="I89" s="112">
        <v>10.57</v>
      </c>
      <c r="J89" s="112">
        <v>0.15</v>
      </c>
      <c r="K89" s="112">
        <v>236.14</v>
      </c>
      <c r="L89" s="112">
        <v>18.34</v>
      </c>
      <c r="M89" s="112">
        <v>74.37</v>
      </c>
      <c r="N89" s="112">
        <v>1.4</v>
      </c>
      <c r="O89" s="112">
        <v>0</v>
      </c>
      <c r="P89" s="112">
        <v>0.95</v>
      </c>
      <c r="Q89" s="112">
        <v>4.75</v>
      </c>
    </row>
    <row r="90" spans="1:17" customFormat="1">
      <c r="A90" s="80">
        <v>45618.854166666664</v>
      </c>
      <c r="B90" s="112">
        <v>6.26</v>
      </c>
      <c r="C90" s="112">
        <v>21.64</v>
      </c>
      <c r="D90" s="112">
        <v>17.68</v>
      </c>
      <c r="E90" s="112">
        <v>9.6</v>
      </c>
      <c r="F90" s="112">
        <v>5.81</v>
      </c>
      <c r="G90" s="112">
        <v>127.91</v>
      </c>
      <c r="H90" s="112">
        <v>44.16</v>
      </c>
      <c r="I90" s="112">
        <v>10.63</v>
      </c>
      <c r="J90" s="112">
        <v>0.17</v>
      </c>
      <c r="K90" s="112">
        <v>211.89</v>
      </c>
      <c r="L90" s="112">
        <v>18.11</v>
      </c>
      <c r="M90" s="112">
        <v>75.16</v>
      </c>
      <c r="N90" s="112">
        <v>1.3</v>
      </c>
      <c r="O90" s="112">
        <v>0</v>
      </c>
      <c r="P90" s="112">
        <v>0.96</v>
      </c>
      <c r="Q90" s="112">
        <v>4.75</v>
      </c>
    </row>
    <row r="91" spans="1:17" customFormat="1">
      <c r="A91" s="80">
        <v>45618.864583333336</v>
      </c>
      <c r="B91" s="112">
        <v>6.27</v>
      </c>
      <c r="C91" s="112">
        <v>21.06</v>
      </c>
      <c r="D91" s="112">
        <v>17.38</v>
      </c>
      <c r="E91" s="112">
        <v>9.76</v>
      </c>
      <c r="F91" s="112">
        <v>5.65</v>
      </c>
      <c r="G91" s="112">
        <v>127.91</v>
      </c>
      <c r="H91" s="112">
        <v>44.16</v>
      </c>
      <c r="I91" s="112">
        <v>10.71</v>
      </c>
      <c r="J91" s="112">
        <v>0.11</v>
      </c>
      <c r="K91" s="112">
        <v>177.64</v>
      </c>
      <c r="L91" s="112">
        <v>17.84</v>
      </c>
      <c r="M91" s="112">
        <v>79.010000000000005</v>
      </c>
      <c r="N91" s="112">
        <v>1.4</v>
      </c>
      <c r="O91" s="112">
        <v>0</v>
      </c>
      <c r="P91" s="112">
        <v>0.96</v>
      </c>
      <c r="Q91" s="112">
        <v>4.75</v>
      </c>
    </row>
    <row r="92" spans="1:17" customFormat="1">
      <c r="A92" s="80">
        <v>45618.875</v>
      </c>
      <c r="B92" s="112">
        <v>6.33</v>
      </c>
      <c r="C92" s="112">
        <v>20.6</v>
      </c>
      <c r="D92" s="112">
        <v>17.190000000000001</v>
      </c>
      <c r="E92" s="112">
        <v>9.35</v>
      </c>
      <c r="F92" s="112">
        <v>5.79</v>
      </c>
      <c r="G92" s="112">
        <v>127.91</v>
      </c>
      <c r="H92" s="112">
        <v>44.16</v>
      </c>
      <c r="I92" s="112">
        <v>10.78</v>
      </c>
      <c r="J92" s="112">
        <v>0.15</v>
      </c>
      <c r="K92" s="112">
        <v>192.18</v>
      </c>
      <c r="L92" s="112">
        <v>17.87</v>
      </c>
      <c r="M92" s="112">
        <v>79.38</v>
      </c>
      <c r="N92" s="112">
        <v>1.2</v>
      </c>
      <c r="O92" s="112">
        <v>0</v>
      </c>
      <c r="P92" s="112">
        <v>0.97</v>
      </c>
      <c r="Q92" s="112">
        <v>4.74</v>
      </c>
    </row>
    <row r="93" spans="1:17" customFormat="1">
      <c r="A93" s="80">
        <v>45618.885416666664</v>
      </c>
      <c r="B93" s="112">
        <v>6.35</v>
      </c>
      <c r="C93" s="112">
        <v>20.2</v>
      </c>
      <c r="D93" s="112">
        <v>17</v>
      </c>
      <c r="E93" s="112">
        <v>9.48</v>
      </c>
      <c r="F93" s="112">
        <v>5.69</v>
      </c>
      <c r="G93" s="112">
        <v>128.1</v>
      </c>
      <c r="H93" s="112">
        <v>44.11</v>
      </c>
      <c r="I93" s="112">
        <v>10.89</v>
      </c>
      <c r="J93" s="112">
        <v>0.08</v>
      </c>
      <c r="K93" s="112">
        <v>183.91</v>
      </c>
      <c r="L93" s="112">
        <v>17.579999999999998</v>
      </c>
      <c r="M93" s="112">
        <v>81.400000000000006</v>
      </c>
      <c r="N93" s="112">
        <v>1.4</v>
      </c>
      <c r="O93" s="112">
        <v>0</v>
      </c>
      <c r="P93" s="112">
        <v>0.99</v>
      </c>
      <c r="Q93" s="112">
        <v>4.74</v>
      </c>
    </row>
    <row r="94" spans="1:17" customFormat="1">
      <c r="A94" s="80">
        <v>45618.895833333336</v>
      </c>
      <c r="B94" s="112">
        <v>6.4</v>
      </c>
      <c r="C94" s="112">
        <v>19.82</v>
      </c>
      <c r="D94" s="112">
        <v>16.84</v>
      </c>
      <c r="E94" s="112">
        <v>9.5500000000000007</v>
      </c>
      <c r="F94" s="112">
        <v>5.67</v>
      </c>
      <c r="G94" s="112">
        <v>136.41</v>
      </c>
      <c r="H94" s="112">
        <v>42.4</v>
      </c>
      <c r="I94" s="112">
        <v>11.01</v>
      </c>
      <c r="J94" s="112">
        <v>0.11</v>
      </c>
      <c r="K94" s="112">
        <v>237.15</v>
      </c>
      <c r="L94" s="112">
        <v>17.52</v>
      </c>
      <c r="M94" s="112">
        <v>78.489999999999995</v>
      </c>
      <c r="N94" s="112">
        <v>1.2</v>
      </c>
      <c r="O94" s="112">
        <v>0</v>
      </c>
      <c r="P94" s="112">
        <v>0.99</v>
      </c>
      <c r="Q94" s="112">
        <v>4.74</v>
      </c>
    </row>
    <row r="95" spans="1:17" customFormat="1">
      <c r="A95" s="80">
        <v>45618.90625</v>
      </c>
      <c r="B95" s="112">
        <v>6.38</v>
      </c>
      <c r="C95" s="112">
        <v>19.54</v>
      </c>
      <c r="D95" s="112">
        <v>16.68</v>
      </c>
      <c r="E95" s="112">
        <v>9.36</v>
      </c>
      <c r="F95" s="112">
        <v>5.87</v>
      </c>
      <c r="G95" s="112">
        <v>136.41</v>
      </c>
      <c r="H95" s="112">
        <v>42.4</v>
      </c>
      <c r="I95" s="112">
        <v>11.08</v>
      </c>
      <c r="J95" s="112">
        <v>0.14000000000000001</v>
      </c>
      <c r="K95" s="112">
        <v>257.08</v>
      </c>
      <c r="L95" s="112">
        <v>17.47</v>
      </c>
      <c r="M95" s="112">
        <v>75.790000000000006</v>
      </c>
      <c r="N95" s="112">
        <v>1.3</v>
      </c>
      <c r="O95" s="112">
        <v>0</v>
      </c>
      <c r="P95" s="112">
        <v>1</v>
      </c>
      <c r="Q95" s="112">
        <v>4.7300000000000004</v>
      </c>
    </row>
    <row r="96" spans="1:17" customFormat="1">
      <c r="A96" s="80">
        <v>45618.916666666664</v>
      </c>
      <c r="B96" s="112">
        <v>6.33</v>
      </c>
      <c r="C96" s="112">
        <v>19.25</v>
      </c>
      <c r="D96" s="112">
        <v>16.48</v>
      </c>
      <c r="E96" s="112">
        <v>8.82</v>
      </c>
      <c r="F96" s="112">
        <v>5.88</v>
      </c>
      <c r="G96" s="112">
        <v>136.41</v>
      </c>
      <c r="H96" s="112">
        <v>42.4</v>
      </c>
      <c r="I96" s="112">
        <v>11.18</v>
      </c>
      <c r="J96" s="112">
        <v>0.06</v>
      </c>
      <c r="K96" s="112">
        <v>163.84</v>
      </c>
      <c r="L96" s="112">
        <v>17.63</v>
      </c>
      <c r="M96" s="112">
        <v>72</v>
      </c>
      <c r="N96" s="112">
        <v>1.2</v>
      </c>
      <c r="O96" s="112">
        <v>0</v>
      </c>
      <c r="P96" s="112">
        <v>1</v>
      </c>
      <c r="Q96" s="112">
        <v>4.7300000000000004</v>
      </c>
    </row>
    <row r="97" spans="1:22" customFormat="1">
      <c r="A97" s="80">
        <v>45618.927083333336</v>
      </c>
      <c r="B97" s="112">
        <v>6.23</v>
      </c>
      <c r="C97" s="112">
        <v>19.059999999999999</v>
      </c>
      <c r="D97" s="112">
        <v>16.3</v>
      </c>
      <c r="E97" s="112">
        <v>8.9499999999999993</v>
      </c>
      <c r="F97" s="112">
        <v>5.91</v>
      </c>
      <c r="G97" s="112">
        <v>136.19999999999999</v>
      </c>
      <c r="H97" s="112">
        <v>42.55</v>
      </c>
      <c r="I97" s="112">
        <v>11.25</v>
      </c>
      <c r="J97" s="112">
        <v>0.14000000000000001</v>
      </c>
      <c r="K97" s="112">
        <v>253.04</v>
      </c>
      <c r="L97" s="112">
        <v>17.399999999999999</v>
      </c>
      <c r="M97" s="112">
        <v>77.05</v>
      </c>
      <c r="N97" s="112">
        <v>1.4</v>
      </c>
      <c r="O97" s="112">
        <v>0</v>
      </c>
      <c r="P97" s="112">
        <v>0.99</v>
      </c>
      <c r="Q97" s="112">
        <v>4.7300000000000004</v>
      </c>
    </row>
    <row r="98" spans="1:22" customFormat="1">
      <c r="A98" s="80">
        <v>45618.9375</v>
      </c>
      <c r="B98" s="112">
        <v>6.18</v>
      </c>
      <c r="C98" s="112">
        <v>18.86</v>
      </c>
      <c r="D98" s="112">
        <v>16.16</v>
      </c>
      <c r="E98" s="112">
        <v>9.01</v>
      </c>
      <c r="F98" s="112">
        <v>5.66</v>
      </c>
      <c r="G98" s="112">
        <v>126.82</v>
      </c>
      <c r="H98" s="112">
        <v>47.21</v>
      </c>
      <c r="I98" s="112">
        <v>11.25</v>
      </c>
      <c r="J98" s="112">
        <v>7.0000000000000007E-2</v>
      </c>
      <c r="K98" s="112">
        <v>190.92</v>
      </c>
      <c r="L98" s="112">
        <v>17.239999999999998</v>
      </c>
      <c r="M98" s="112">
        <v>75.900000000000006</v>
      </c>
      <c r="N98" s="112">
        <v>1.4</v>
      </c>
      <c r="O98" s="112">
        <v>0</v>
      </c>
      <c r="P98" s="112">
        <v>0.98</v>
      </c>
      <c r="Q98" s="112">
        <v>4.74</v>
      </c>
    </row>
    <row r="99" spans="1:22" customFormat="1">
      <c r="A99" s="80">
        <v>45618.947916666664</v>
      </c>
      <c r="B99" s="112">
        <v>6.14</v>
      </c>
      <c r="C99" s="112">
        <v>18.88</v>
      </c>
      <c r="D99" s="112">
        <v>16.14</v>
      </c>
      <c r="E99" s="112">
        <v>9.07</v>
      </c>
      <c r="F99" s="112">
        <v>5.53</v>
      </c>
      <c r="G99" s="112">
        <v>126.82</v>
      </c>
      <c r="H99" s="112">
        <v>47.21</v>
      </c>
      <c r="I99" s="112">
        <v>11.21</v>
      </c>
      <c r="J99" s="112">
        <v>7.0000000000000007E-2</v>
      </c>
      <c r="K99" s="112">
        <v>175.58</v>
      </c>
      <c r="L99" s="112">
        <v>17.34</v>
      </c>
      <c r="M99" s="112">
        <v>73.290000000000006</v>
      </c>
      <c r="N99" s="112">
        <v>1.2</v>
      </c>
      <c r="O99" s="112">
        <v>0</v>
      </c>
      <c r="P99" s="112">
        <v>0.98</v>
      </c>
      <c r="Q99" s="112">
        <v>4.75</v>
      </c>
    </row>
    <row r="100" spans="1:22" customFormat="1">
      <c r="A100" s="80">
        <v>45618.958333333336</v>
      </c>
      <c r="B100" s="112">
        <v>6.01</v>
      </c>
      <c r="C100" s="112">
        <v>18.7</v>
      </c>
      <c r="D100" s="112">
        <v>15.95</v>
      </c>
      <c r="E100" s="112">
        <v>9.32</v>
      </c>
      <c r="F100" s="112">
        <v>6.18</v>
      </c>
      <c r="G100" s="112">
        <v>126.82</v>
      </c>
      <c r="H100" s="112">
        <v>47.21</v>
      </c>
      <c r="I100" s="112">
        <v>11.19</v>
      </c>
      <c r="J100" s="112">
        <v>0.18</v>
      </c>
      <c r="K100" s="112">
        <v>234.14</v>
      </c>
      <c r="L100" s="112">
        <v>17.440000000000001</v>
      </c>
      <c r="M100" s="112">
        <v>73.23</v>
      </c>
      <c r="N100" s="112">
        <v>1.3</v>
      </c>
      <c r="O100" s="112">
        <v>0</v>
      </c>
      <c r="P100" s="112">
        <v>0.97</v>
      </c>
      <c r="Q100" s="112">
        <v>4.74</v>
      </c>
    </row>
    <row r="101" spans="1:22" customFormat="1">
      <c r="A101" s="80">
        <v>45618.96875</v>
      </c>
      <c r="B101" s="112">
        <v>5.86</v>
      </c>
      <c r="C101" s="112">
        <v>18.66</v>
      </c>
      <c r="D101" s="112">
        <v>15.79</v>
      </c>
      <c r="E101" s="112">
        <v>9.09</v>
      </c>
      <c r="F101" s="112">
        <v>6.25</v>
      </c>
      <c r="G101" s="112">
        <v>126.37</v>
      </c>
      <c r="H101" s="112">
        <v>47.06</v>
      </c>
      <c r="I101" s="112">
        <v>11.15</v>
      </c>
      <c r="J101" s="112">
        <v>0.1</v>
      </c>
      <c r="K101" s="112">
        <v>166.44</v>
      </c>
      <c r="L101" s="112">
        <v>17.29</v>
      </c>
      <c r="M101" s="112">
        <v>74.08</v>
      </c>
      <c r="N101" s="112">
        <v>1.3</v>
      </c>
      <c r="O101" s="112">
        <v>0</v>
      </c>
      <c r="P101" s="112">
        <v>0.96</v>
      </c>
      <c r="Q101" s="112">
        <v>4.74</v>
      </c>
    </row>
    <row r="102" spans="1:22" customFormat="1">
      <c r="A102" s="80">
        <v>45618.979166666664</v>
      </c>
      <c r="B102" s="112">
        <v>5.73</v>
      </c>
      <c r="C102" s="112">
        <v>18.95</v>
      </c>
      <c r="D102" s="112">
        <v>15.85</v>
      </c>
      <c r="E102" s="112">
        <v>9.1300000000000008</v>
      </c>
      <c r="F102" s="112">
        <v>6.22</v>
      </c>
      <c r="G102" s="112">
        <v>106.88</v>
      </c>
      <c r="H102" s="112">
        <v>42.41</v>
      </c>
      <c r="I102" s="112">
        <v>11.06</v>
      </c>
      <c r="J102" s="112">
        <v>0.14000000000000001</v>
      </c>
      <c r="K102" s="112">
        <v>181.06</v>
      </c>
      <c r="L102" s="112">
        <v>17.399999999999999</v>
      </c>
      <c r="M102" s="112">
        <v>73.569999999999993</v>
      </c>
      <c r="N102" s="112">
        <v>1.3</v>
      </c>
      <c r="O102" s="112">
        <v>0</v>
      </c>
      <c r="P102" s="112">
        <v>0.95</v>
      </c>
      <c r="Q102" s="112">
        <v>4.76</v>
      </c>
    </row>
    <row r="103" spans="1:22" customFormat="1">
      <c r="A103" s="80">
        <v>45618.989583333336</v>
      </c>
      <c r="B103" s="112">
        <v>5.6</v>
      </c>
      <c r="C103" s="112">
        <v>19.440000000000001</v>
      </c>
      <c r="D103" s="112">
        <v>16</v>
      </c>
      <c r="E103" s="112">
        <v>9.42</v>
      </c>
      <c r="F103" s="112">
        <v>6.22</v>
      </c>
      <c r="G103" s="112">
        <v>106.88</v>
      </c>
      <c r="H103" s="112">
        <v>42.41</v>
      </c>
      <c r="I103" s="112">
        <v>10.97</v>
      </c>
      <c r="J103" s="112">
        <v>0.14000000000000001</v>
      </c>
      <c r="K103" s="112">
        <v>183.95</v>
      </c>
      <c r="L103" s="112">
        <v>17.27</v>
      </c>
      <c r="M103" s="112">
        <v>80.61</v>
      </c>
      <c r="N103" s="112">
        <v>1.3</v>
      </c>
      <c r="O103" s="112">
        <v>0</v>
      </c>
      <c r="P103" s="112">
        <v>0.97</v>
      </c>
      <c r="Q103" s="112">
        <v>4.7699999999999996</v>
      </c>
    </row>
    <row r="104" spans="1:22" customFormat="1">
      <c r="A104" s="80">
        <v>45619</v>
      </c>
      <c r="B104" s="112">
        <v>5.39</v>
      </c>
      <c r="C104" s="112">
        <v>19.47</v>
      </c>
      <c r="D104" s="112">
        <v>15.85</v>
      </c>
      <c r="E104" s="112">
        <v>9</v>
      </c>
      <c r="F104" s="112">
        <v>6.23</v>
      </c>
      <c r="G104" s="112">
        <v>106.88</v>
      </c>
      <c r="H104" s="112">
        <v>42.41</v>
      </c>
      <c r="I104" s="112">
        <v>10.89</v>
      </c>
      <c r="J104" s="112">
        <v>0.09</v>
      </c>
      <c r="K104" s="112">
        <v>186.66</v>
      </c>
      <c r="L104" s="112">
        <v>16.989999999999998</v>
      </c>
      <c r="M104" s="112">
        <v>80.599999999999994</v>
      </c>
      <c r="N104" s="112">
        <v>1.4</v>
      </c>
      <c r="O104" s="112">
        <v>0</v>
      </c>
      <c r="P104" s="112">
        <v>0.96</v>
      </c>
      <c r="Q104" s="112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3.83</v>
      </c>
      <c r="C106" s="183">
        <f>MIN(C9:C104)</f>
        <v>18.66</v>
      </c>
      <c r="D106" s="183">
        <f t="shared" ref="D106:Q106" si="0">MIN(D9:D104)</f>
        <v>14.8</v>
      </c>
      <c r="E106" s="183">
        <f t="shared" si="0"/>
        <v>7.09</v>
      </c>
      <c r="F106" s="183">
        <f t="shared" si="0"/>
        <v>5.32</v>
      </c>
      <c r="G106" s="183">
        <f t="shared" si="0"/>
        <v>96.07</v>
      </c>
      <c r="H106" s="183">
        <f t="shared" si="0"/>
        <v>39.64</v>
      </c>
      <c r="I106" s="183">
        <f t="shared" si="0"/>
        <v>9.39</v>
      </c>
      <c r="J106" s="183">
        <f t="shared" si="0"/>
        <v>0.05</v>
      </c>
      <c r="K106" s="183">
        <f t="shared" si="0"/>
        <v>16.72</v>
      </c>
      <c r="L106" s="183">
        <f t="shared" si="0"/>
        <v>16.22</v>
      </c>
      <c r="M106" s="183">
        <f t="shared" si="0"/>
        <v>33.07</v>
      </c>
      <c r="N106" s="183">
        <f t="shared" si="0"/>
        <v>1.1000000000000001</v>
      </c>
      <c r="O106" s="183">
        <f t="shared" si="0"/>
        <v>0</v>
      </c>
      <c r="P106" s="183">
        <f t="shared" si="0"/>
        <v>0.84</v>
      </c>
      <c r="Q106" s="183">
        <f t="shared" si="0"/>
        <v>4.72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16.239999999999998</v>
      </c>
      <c r="C107" s="184">
        <f t="shared" ref="C107:Q107" si="1">MAX(C9:C104)</f>
        <v>27.96</v>
      </c>
      <c r="D107" s="184">
        <f t="shared" si="1"/>
        <v>26.7</v>
      </c>
      <c r="E107" s="184">
        <f t="shared" si="1"/>
        <v>10.66</v>
      </c>
      <c r="F107" s="184">
        <f t="shared" si="1"/>
        <v>12.07</v>
      </c>
      <c r="G107" s="184">
        <f t="shared" si="1"/>
        <v>142.24</v>
      </c>
      <c r="H107" s="184">
        <f t="shared" si="1"/>
        <v>49.32</v>
      </c>
      <c r="I107" s="184">
        <f t="shared" si="1"/>
        <v>13.27</v>
      </c>
      <c r="J107" s="184">
        <f t="shared" si="1"/>
        <v>0.69</v>
      </c>
      <c r="K107" s="184">
        <f t="shared" si="1"/>
        <v>341.13</v>
      </c>
      <c r="L107" s="184">
        <f t="shared" si="1"/>
        <v>27.38</v>
      </c>
      <c r="M107" s="184">
        <f t="shared" si="1"/>
        <v>90.01</v>
      </c>
      <c r="N107" s="184">
        <f t="shared" si="1"/>
        <v>413</v>
      </c>
      <c r="O107" s="184">
        <f t="shared" si="1"/>
        <v>0</v>
      </c>
      <c r="P107" s="184">
        <f t="shared" si="1"/>
        <v>1.18</v>
      </c>
      <c r="Q107" s="184">
        <f t="shared" si="1"/>
        <v>4.7699999999999996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8.2871874999999999</v>
      </c>
      <c r="C108" s="183">
        <f t="shared" ref="C108:Q108" si="2">AVERAGE(C9:C104)</f>
        <v>22.074999999999992</v>
      </c>
      <c r="D108" s="183">
        <f t="shared" si="2"/>
        <v>19.530624999999997</v>
      </c>
      <c r="E108" s="183">
        <f t="shared" si="2"/>
        <v>9.0978125000000016</v>
      </c>
      <c r="F108" s="183">
        <f t="shared" si="2"/>
        <v>6.6035416666666649</v>
      </c>
      <c r="G108" s="183">
        <f t="shared" si="2"/>
        <v>119.1036458333333</v>
      </c>
      <c r="H108" s="183">
        <f t="shared" si="2"/>
        <v>44.268645833333316</v>
      </c>
      <c r="I108" s="183">
        <f t="shared" si="2"/>
        <v>11.657187500000006</v>
      </c>
      <c r="J108" s="183">
        <f t="shared" si="2"/>
        <v>0.28677083333333331</v>
      </c>
      <c r="K108" s="183">
        <f t="shared" si="2"/>
        <v>110.12718750000005</v>
      </c>
      <c r="L108" s="183">
        <f t="shared" si="2"/>
        <v>20.689687499999998</v>
      </c>
      <c r="M108" s="183">
        <f t="shared" si="2"/>
        <v>62.637604166666669</v>
      </c>
      <c r="N108" s="183">
        <f t="shared" si="2"/>
        <v>87.658333333333289</v>
      </c>
      <c r="O108" s="183">
        <f t="shared" si="2"/>
        <v>0</v>
      </c>
      <c r="P108" s="183">
        <f t="shared" si="2"/>
        <v>1.0279166666666664</v>
      </c>
      <c r="Q108" s="183">
        <f t="shared" si="2"/>
        <v>4.7463541666666673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3.8615867213593624</v>
      </c>
      <c r="C109" s="183">
        <f t="shared" ref="C109:Q109" si="3">STDEV(C9:C104)</f>
        <v>2.2205532738724334</v>
      </c>
      <c r="D109" s="183">
        <f t="shared" si="3"/>
        <v>3.5217091581698186</v>
      </c>
      <c r="E109" s="183">
        <f t="shared" si="3"/>
        <v>0.73059918181835926</v>
      </c>
      <c r="F109" s="183">
        <f t="shared" si="3"/>
        <v>1.6413787395560768</v>
      </c>
      <c r="G109" s="183">
        <f t="shared" si="3"/>
        <v>12.64500476533529</v>
      </c>
      <c r="H109" s="183">
        <f t="shared" si="3"/>
        <v>2.6211924244282567</v>
      </c>
      <c r="I109" s="183">
        <f t="shared" si="3"/>
        <v>1.2580073659937667</v>
      </c>
      <c r="J109" s="183">
        <f t="shared" si="3"/>
        <v>0.1750398137667796</v>
      </c>
      <c r="K109" s="183">
        <f t="shared" si="3"/>
        <v>81.487711061925367</v>
      </c>
      <c r="L109" s="183">
        <f t="shared" si="3"/>
        <v>4.2035474875708765</v>
      </c>
      <c r="M109" s="183">
        <f t="shared" si="3"/>
        <v>19.175662960873989</v>
      </c>
      <c r="N109" s="183">
        <f t="shared" si="3"/>
        <v>136.04614284299336</v>
      </c>
      <c r="O109" s="183">
        <f t="shared" si="3"/>
        <v>0</v>
      </c>
      <c r="P109" s="183">
        <f t="shared" si="3"/>
        <v>0.1037701576274966</v>
      </c>
      <c r="Q109" s="183">
        <f t="shared" si="3"/>
        <v>1.1343423011332654E-2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45619.010416666664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45619.010416666664</v>
      </c>
      <c r="B9" s="112">
        <v>5.03</v>
      </c>
      <c r="C9" s="112">
        <v>19.32</v>
      </c>
      <c r="D9" s="112">
        <v>15.47</v>
      </c>
      <c r="E9" s="112">
        <v>9.31</v>
      </c>
      <c r="F9" s="112">
        <v>6.44</v>
      </c>
      <c r="G9" s="112">
        <v>106.78</v>
      </c>
      <c r="H9" s="112">
        <v>42.37</v>
      </c>
      <c r="I9" s="112">
        <v>10.81</v>
      </c>
      <c r="J9" s="112">
        <v>0.08</v>
      </c>
      <c r="K9" s="112">
        <v>71.77</v>
      </c>
      <c r="L9" s="112">
        <v>17.100000000000001</v>
      </c>
      <c r="M9" s="112">
        <v>76.709999999999994</v>
      </c>
      <c r="N9" s="112">
        <v>1</v>
      </c>
      <c r="O9" s="112">
        <v>0</v>
      </c>
      <c r="P9" s="112">
        <v>0.96</v>
      </c>
      <c r="Q9" s="112">
        <v>4.74</v>
      </c>
    </row>
    <row r="10" spans="1:21" customFormat="1">
      <c r="A10" s="80">
        <v>45619.020833333336</v>
      </c>
      <c r="B10" s="112">
        <v>5.92</v>
      </c>
      <c r="C10" s="112">
        <v>20.399999999999999</v>
      </c>
      <c r="D10" s="112">
        <v>16.75</v>
      </c>
      <c r="E10" s="112">
        <v>8.44</v>
      </c>
      <c r="F10" s="112">
        <v>5.68</v>
      </c>
      <c r="G10" s="112">
        <v>102.35</v>
      </c>
      <c r="H10" s="112">
        <v>41.01</v>
      </c>
      <c r="I10" s="112">
        <v>10.72</v>
      </c>
      <c r="J10" s="112">
        <v>0.15</v>
      </c>
      <c r="K10" s="112">
        <v>93.2</v>
      </c>
      <c r="L10" s="112">
        <v>17.34</v>
      </c>
      <c r="M10" s="112">
        <v>73.599999999999994</v>
      </c>
      <c r="N10" s="112">
        <v>1.2</v>
      </c>
      <c r="O10" s="112">
        <v>0</v>
      </c>
      <c r="P10" s="112">
        <v>0.95</v>
      </c>
      <c r="Q10" s="112">
        <v>4.7699999999999996</v>
      </c>
    </row>
    <row r="11" spans="1:21" customFormat="1">
      <c r="A11" s="80">
        <v>45619.03125</v>
      </c>
      <c r="B11" s="112">
        <v>6.79</v>
      </c>
      <c r="C11" s="112">
        <v>21.4</v>
      </c>
      <c r="D11" s="112">
        <v>17.98</v>
      </c>
      <c r="E11" s="112">
        <v>8.8000000000000007</v>
      </c>
      <c r="F11" s="112">
        <v>5.54</v>
      </c>
      <c r="G11" s="112">
        <v>102.35</v>
      </c>
      <c r="H11" s="112">
        <v>41.01</v>
      </c>
      <c r="I11" s="112">
        <v>10.64</v>
      </c>
      <c r="J11" s="112">
        <v>0.09</v>
      </c>
      <c r="K11" s="112">
        <v>166.64</v>
      </c>
      <c r="L11" s="112">
        <v>17.32</v>
      </c>
      <c r="M11" s="112">
        <v>74.06</v>
      </c>
      <c r="N11" s="112">
        <v>1.3</v>
      </c>
      <c r="O11" s="112">
        <v>0</v>
      </c>
      <c r="P11" s="112">
        <v>0.96</v>
      </c>
      <c r="Q11" s="112">
        <v>4.76</v>
      </c>
    </row>
    <row r="12" spans="1:21" customFormat="1">
      <c r="A12" s="80">
        <v>45619.041666666664</v>
      </c>
      <c r="B12" s="112">
        <v>7.62</v>
      </c>
      <c r="C12" s="112">
        <v>22.16</v>
      </c>
      <c r="D12" s="112">
        <v>19.04</v>
      </c>
      <c r="E12" s="112">
        <v>8.91</v>
      </c>
      <c r="F12" s="112">
        <v>5.47</v>
      </c>
      <c r="G12" s="112">
        <v>102.35</v>
      </c>
      <c r="H12" s="112">
        <v>41.01</v>
      </c>
      <c r="I12" s="112">
        <v>10.61</v>
      </c>
      <c r="J12" s="112">
        <v>0.08</v>
      </c>
      <c r="K12" s="112">
        <v>301.64999999999998</v>
      </c>
      <c r="L12" s="112">
        <v>17.03</v>
      </c>
      <c r="M12" s="112">
        <v>76.64</v>
      </c>
      <c r="N12" s="112">
        <v>1.4</v>
      </c>
      <c r="O12" s="112">
        <v>0</v>
      </c>
      <c r="P12" s="112">
        <v>0.96</v>
      </c>
      <c r="Q12" s="112">
        <v>4.75</v>
      </c>
    </row>
    <row r="13" spans="1:21" customFormat="1">
      <c r="A13" s="80">
        <v>45619.052083333336</v>
      </c>
      <c r="B13" s="112">
        <v>8.7799999999999994</v>
      </c>
      <c r="C13" s="112">
        <v>22.65</v>
      </c>
      <c r="D13" s="112">
        <v>20.22</v>
      </c>
      <c r="E13" s="112">
        <v>8.92</v>
      </c>
      <c r="F13" s="112">
        <v>5.45</v>
      </c>
      <c r="G13" s="112">
        <v>102.67</v>
      </c>
      <c r="H13" s="112">
        <v>41.03</v>
      </c>
      <c r="I13" s="112">
        <v>10.66</v>
      </c>
      <c r="J13" s="112">
        <v>0.09</v>
      </c>
      <c r="K13" s="112">
        <v>114.13</v>
      </c>
      <c r="L13" s="112">
        <v>17.149999999999999</v>
      </c>
      <c r="M13" s="112">
        <v>76.900000000000006</v>
      </c>
      <c r="N13" s="112">
        <v>1.2</v>
      </c>
      <c r="O13" s="112">
        <v>0</v>
      </c>
      <c r="P13" s="112">
        <v>0.98</v>
      </c>
      <c r="Q13" s="112">
        <v>4.7699999999999996</v>
      </c>
    </row>
    <row r="14" spans="1:21" customFormat="1">
      <c r="A14" s="80">
        <v>45619.0625</v>
      </c>
      <c r="B14" s="112">
        <v>10.07</v>
      </c>
      <c r="C14" s="112">
        <v>23.03</v>
      </c>
      <c r="D14" s="112">
        <v>21.46</v>
      </c>
      <c r="E14" s="112">
        <v>8.7100000000000009</v>
      </c>
      <c r="F14" s="112">
        <v>5.32</v>
      </c>
      <c r="G14" s="112">
        <v>117.11</v>
      </c>
      <c r="H14" s="112">
        <v>42.35</v>
      </c>
      <c r="I14" s="112">
        <v>10.76</v>
      </c>
      <c r="J14" s="112">
        <v>0.09</v>
      </c>
      <c r="K14" s="112">
        <v>136.79</v>
      </c>
      <c r="L14" s="112">
        <v>16.98</v>
      </c>
      <c r="M14" s="112">
        <v>78.14</v>
      </c>
      <c r="N14" s="112">
        <v>1.4</v>
      </c>
      <c r="O14" s="112">
        <v>0</v>
      </c>
      <c r="P14" s="112">
        <v>0.98</v>
      </c>
      <c r="Q14" s="112">
        <v>4.76</v>
      </c>
    </row>
    <row r="15" spans="1:21" customFormat="1">
      <c r="A15" s="80">
        <v>45619.072916666664</v>
      </c>
      <c r="B15" s="112">
        <v>11.45</v>
      </c>
      <c r="C15" s="112">
        <v>23.23</v>
      </c>
      <c r="D15" s="112">
        <v>22.67</v>
      </c>
      <c r="E15" s="112">
        <v>8.69</v>
      </c>
      <c r="F15" s="112">
        <v>5.48</v>
      </c>
      <c r="G15" s="112">
        <v>117.11</v>
      </c>
      <c r="H15" s="112">
        <v>42.35</v>
      </c>
      <c r="I15" s="112">
        <v>10.91</v>
      </c>
      <c r="J15" s="112">
        <v>0.16</v>
      </c>
      <c r="K15" s="112">
        <v>224.54</v>
      </c>
      <c r="L15" s="112">
        <v>16.66</v>
      </c>
      <c r="M15" s="112">
        <v>80.59</v>
      </c>
      <c r="N15" s="112">
        <v>1.5</v>
      </c>
      <c r="O15" s="112">
        <v>0</v>
      </c>
      <c r="P15" s="112">
        <v>1.01</v>
      </c>
      <c r="Q15" s="112">
        <v>4.75</v>
      </c>
    </row>
    <row r="16" spans="1:21" customFormat="1">
      <c r="A16" s="80">
        <v>45619.083333333336</v>
      </c>
      <c r="B16" s="112">
        <v>12.55</v>
      </c>
      <c r="C16" s="112">
        <v>23.25</v>
      </c>
      <c r="D16" s="112">
        <v>23.56</v>
      </c>
      <c r="E16" s="112">
        <v>8.8000000000000007</v>
      </c>
      <c r="F16" s="112">
        <v>5.38</v>
      </c>
      <c r="G16" s="112">
        <v>117.11</v>
      </c>
      <c r="H16" s="112">
        <v>42.35</v>
      </c>
      <c r="I16" s="112">
        <v>11.13</v>
      </c>
      <c r="J16" s="112">
        <v>0.16</v>
      </c>
      <c r="K16" s="112">
        <v>194.87</v>
      </c>
      <c r="L16" s="112">
        <v>16.309999999999999</v>
      </c>
      <c r="M16" s="112">
        <v>84.76</v>
      </c>
      <c r="N16" s="112">
        <v>1.7</v>
      </c>
      <c r="O16" s="112">
        <v>0</v>
      </c>
      <c r="P16" s="112">
        <v>1.02</v>
      </c>
      <c r="Q16" s="112">
        <v>4.76</v>
      </c>
    </row>
    <row r="17" spans="1:17" customFormat="1">
      <c r="A17" s="80">
        <v>45619.09375</v>
      </c>
      <c r="B17" s="112">
        <v>12.86</v>
      </c>
      <c r="C17" s="112">
        <v>23.22</v>
      </c>
      <c r="D17" s="112">
        <v>23.79</v>
      </c>
      <c r="E17" s="112">
        <v>7.35</v>
      </c>
      <c r="F17" s="112">
        <v>5.31</v>
      </c>
      <c r="G17" s="112">
        <v>117.18</v>
      </c>
      <c r="H17" s="112">
        <v>42.36</v>
      </c>
      <c r="I17" s="112">
        <v>11.37</v>
      </c>
      <c r="J17" s="112">
        <v>0.16</v>
      </c>
      <c r="K17" s="112">
        <v>201.23</v>
      </c>
      <c r="L17" s="112">
        <v>16.05</v>
      </c>
      <c r="M17" s="112">
        <v>87.62</v>
      </c>
      <c r="N17" s="112">
        <v>1.5</v>
      </c>
      <c r="O17" s="112">
        <v>0</v>
      </c>
      <c r="P17" s="112">
        <v>1.02</v>
      </c>
      <c r="Q17" s="112">
        <v>4.75</v>
      </c>
    </row>
    <row r="18" spans="1:17" customFormat="1">
      <c r="A18" s="80">
        <v>45619.104166666664</v>
      </c>
      <c r="B18" s="112">
        <v>12.81</v>
      </c>
      <c r="C18" s="112">
        <v>23.18</v>
      </c>
      <c r="D18" s="112">
        <v>23.73</v>
      </c>
      <c r="E18" s="112">
        <v>9.08</v>
      </c>
      <c r="F18" s="112">
        <v>5.4</v>
      </c>
      <c r="G18" s="112">
        <v>120.29</v>
      </c>
      <c r="H18" s="112">
        <v>43.44</v>
      </c>
      <c r="I18" s="112">
        <v>11.56</v>
      </c>
      <c r="J18" s="112">
        <v>0.09</v>
      </c>
      <c r="K18" s="112">
        <v>195.5</v>
      </c>
      <c r="L18" s="112">
        <v>15.75</v>
      </c>
      <c r="M18" s="112">
        <v>88.7</v>
      </c>
      <c r="N18" s="112">
        <v>1.5</v>
      </c>
      <c r="O18" s="112">
        <v>0</v>
      </c>
      <c r="P18" s="112">
        <v>1.02</v>
      </c>
      <c r="Q18" s="112">
        <v>4.76</v>
      </c>
    </row>
    <row r="19" spans="1:17" customFormat="1">
      <c r="A19" s="80">
        <v>45619.114583333336</v>
      </c>
      <c r="B19" s="112">
        <v>12.66</v>
      </c>
      <c r="C19" s="112">
        <v>22.83</v>
      </c>
      <c r="D19" s="112">
        <v>23.43</v>
      </c>
      <c r="E19" s="112">
        <v>8.33</v>
      </c>
      <c r="F19" s="112">
        <v>5.22</v>
      </c>
      <c r="G19" s="112">
        <v>120.29</v>
      </c>
      <c r="H19" s="112">
        <v>43.44</v>
      </c>
      <c r="I19" s="112">
        <v>11.67</v>
      </c>
      <c r="J19" s="112">
        <v>0.14000000000000001</v>
      </c>
      <c r="K19" s="112">
        <v>170.7</v>
      </c>
      <c r="L19" s="112">
        <v>15.71</v>
      </c>
      <c r="M19" s="112">
        <v>89.27</v>
      </c>
      <c r="N19" s="112">
        <v>1.3</v>
      </c>
      <c r="O19" s="112">
        <v>0</v>
      </c>
      <c r="P19" s="112">
        <v>1.02</v>
      </c>
      <c r="Q19" s="112">
        <v>4.75</v>
      </c>
    </row>
    <row r="20" spans="1:17" customFormat="1">
      <c r="A20" s="80">
        <v>45619.125</v>
      </c>
      <c r="B20" s="112">
        <v>12.52</v>
      </c>
      <c r="C20" s="112">
        <v>22.39</v>
      </c>
      <c r="D20" s="112">
        <v>23.09</v>
      </c>
      <c r="E20" s="112">
        <v>8.4700000000000006</v>
      </c>
      <c r="F20" s="112">
        <v>5.38</v>
      </c>
      <c r="G20" s="112">
        <v>120.29</v>
      </c>
      <c r="H20" s="112">
        <v>43.44</v>
      </c>
      <c r="I20" s="112">
        <v>11.74</v>
      </c>
      <c r="J20" s="112">
        <v>0.12</v>
      </c>
      <c r="K20" s="112">
        <v>137.35</v>
      </c>
      <c r="L20" s="112">
        <v>15.63</v>
      </c>
      <c r="M20" s="112">
        <v>89.78</v>
      </c>
      <c r="N20" s="112">
        <v>1.3</v>
      </c>
      <c r="O20" s="112">
        <v>0</v>
      </c>
      <c r="P20" s="112">
        <v>1.03</v>
      </c>
      <c r="Q20" s="112">
        <v>4.7699999999999996</v>
      </c>
    </row>
    <row r="21" spans="1:17" customFormat="1">
      <c r="A21" s="80">
        <v>45619.135416666664</v>
      </c>
      <c r="B21" s="112">
        <v>13.3</v>
      </c>
      <c r="C21" s="112">
        <v>22.27</v>
      </c>
      <c r="D21" s="112">
        <v>23.65</v>
      </c>
      <c r="E21" s="112">
        <v>8.39</v>
      </c>
      <c r="F21" s="112">
        <v>5.54</v>
      </c>
      <c r="G21" s="112">
        <v>120.22</v>
      </c>
      <c r="H21" s="112">
        <v>43.46</v>
      </c>
      <c r="I21" s="112">
        <v>11.91</v>
      </c>
      <c r="J21" s="112">
        <v>0.21</v>
      </c>
      <c r="K21" s="112">
        <v>66.72</v>
      </c>
      <c r="L21" s="112">
        <v>15.75</v>
      </c>
      <c r="M21" s="112">
        <v>86.43</v>
      </c>
      <c r="N21" s="112">
        <v>1.2</v>
      </c>
      <c r="O21" s="112">
        <v>0</v>
      </c>
      <c r="P21" s="112">
        <v>1.03</v>
      </c>
      <c r="Q21" s="112">
        <v>4.7699999999999996</v>
      </c>
    </row>
    <row r="22" spans="1:17" customFormat="1">
      <c r="A22" s="80">
        <v>45619.145833333336</v>
      </c>
      <c r="B22" s="112">
        <v>14.96</v>
      </c>
      <c r="C22" s="112">
        <v>22.3</v>
      </c>
      <c r="D22" s="112">
        <v>25</v>
      </c>
      <c r="E22" s="112">
        <v>8.6</v>
      </c>
      <c r="F22" s="112">
        <v>5.34</v>
      </c>
      <c r="G22" s="112">
        <v>117.19</v>
      </c>
      <c r="H22" s="112">
        <v>44.64</v>
      </c>
      <c r="I22" s="112">
        <v>12.13</v>
      </c>
      <c r="J22" s="112">
        <v>0.34</v>
      </c>
      <c r="K22" s="112">
        <v>50.57</v>
      </c>
      <c r="L22" s="112">
        <v>15.89</v>
      </c>
      <c r="M22" s="112">
        <v>84.02</v>
      </c>
      <c r="N22" s="112">
        <v>1.1000000000000001</v>
      </c>
      <c r="O22" s="112">
        <v>0</v>
      </c>
      <c r="P22" s="112">
        <v>1.05</v>
      </c>
      <c r="Q22" s="112">
        <v>4.76</v>
      </c>
    </row>
    <row r="23" spans="1:17" customFormat="1">
      <c r="A23" s="80">
        <v>45619.15625</v>
      </c>
      <c r="B23" s="112">
        <v>16</v>
      </c>
      <c r="C23" s="112">
        <v>22.17</v>
      </c>
      <c r="D23" s="112">
        <v>25.76</v>
      </c>
      <c r="E23" s="112">
        <v>8.65</v>
      </c>
      <c r="F23" s="112">
        <v>5.27</v>
      </c>
      <c r="G23" s="112">
        <v>117.19</v>
      </c>
      <c r="H23" s="112">
        <v>44.64</v>
      </c>
      <c r="I23" s="112">
        <v>12.32</v>
      </c>
      <c r="J23" s="112">
        <v>0.3</v>
      </c>
      <c r="K23" s="112">
        <v>48.3</v>
      </c>
      <c r="L23" s="112">
        <v>15.88</v>
      </c>
      <c r="M23" s="112">
        <v>83.27</v>
      </c>
      <c r="N23" s="112">
        <v>1.3</v>
      </c>
      <c r="O23" s="112">
        <v>0</v>
      </c>
      <c r="P23" s="112">
        <v>1.05</v>
      </c>
      <c r="Q23" s="112">
        <v>4.7699999999999996</v>
      </c>
    </row>
    <row r="24" spans="1:17" customFormat="1">
      <c r="A24" s="80">
        <v>45619.166666666664</v>
      </c>
      <c r="B24" s="112">
        <v>16.329999999999998</v>
      </c>
      <c r="C24" s="112">
        <v>22.07</v>
      </c>
      <c r="D24" s="112">
        <v>25.97</v>
      </c>
      <c r="E24" s="112">
        <v>8.76</v>
      </c>
      <c r="F24" s="112">
        <v>5.33</v>
      </c>
      <c r="G24" s="112">
        <v>117.19</v>
      </c>
      <c r="H24" s="112">
        <v>44.64</v>
      </c>
      <c r="I24" s="112">
        <v>12.47</v>
      </c>
      <c r="J24" s="112">
        <v>0.2</v>
      </c>
      <c r="K24" s="112">
        <v>50.73</v>
      </c>
      <c r="L24" s="112">
        <v>15.93</v>
      </c>
      <c r="M24" s="112">
        <v>81.760000000000005</v>
      </c>
      <c r="N24" s="112">
        <v>1.3</v>
      </c>
      <c r="O24" s="112">
        <v>0</v>
      </c>
      <c r="P24" s="112">
        <v>1.05</v>
      </c>
      <c r="Q24" s="112">
        <v>4.76</v>
      </c>
    </row>
    <row r="25" spans="1:17" customFormat="1">
      <c r="A25" s="80">
        <v>45619.177083333336</v>
      </c>
      <c r="B25" s="112">
        <v>16.28</v>
      </c>
      <c r="C25" s="112">
        <v>21.96</v>
      </c>
      <c r="D25" s="112">
        <v>25.88</v>
      </c>
      <c r="E25" s="112">
        <v>8.57</v>
      </c>
      <c r="F25" s="112">
        <v>5.36</v>
      </c>
      <c r="G25" s="112">
        <v>117.22</v>
      </c>
      <c r="H25" s="112">
        <v>44.63</v>
      </c>
      <c r="I25" s="112">
        <v>12.55</v>
      </c>
      <c r="J25" s="112">
        <v>0.12</v>
      </c>
      <c r="K25" s="112">
        <v>44.69</v>
      </c>
      <c r="L25" s="112">
        <v>15.78</v>
      </c>
      <c r="M25" s="112">
        <v>82.9</v>
      </c>
      <c r="N25" s="112">
        <v>1.4</v>
      </c>
      <c r="O25" s="112">
        <v>0</v>
      </c>
      <c r="P25" s="112">
        <v>1.05</v>
      </c>
      <c r="Q25" s="112">
        <v>4.75</v>
      </c>
    </row>
    <row r="26" spans="1:17" customFormat="1">
      <c r="A26" s="80">
        <v>45619.1875</v>
      </c>
      <c r="B26" s="112">
        <v>16.36</v>
      </c>
      <c r="C26" s="112">
        <v>21.92</v>
      </c>
      <c r="D26" s="112">
        <v>25.93</v>
      </c>
      <c r="E26" s="112">
        <v>8.56</v>
      </c>
      <c r="F26" s="112">
        <v>5.32</v>
      </c>
      <c r="G26" s="112">
        <v>118.6</v>
      </c>
      <c r="H26" s="112">
        <v>44.28</v>
      </c>
      <c r="I26" s="112">
        <v>12.54</v>
      </c>
      <c r="J26" s="112">
        <v>0.06</v>
      </c>
      <c r="K26" s="112">
        <v>47.21</v>
      </c>
      <c r="L26" s="112">
        <v>15.61</v>
      </c>
      <c r="M26" s="112">
        <v>84.19</v>
      </c>
      <c r="N26" s="112">
        <v>1.4</v>
      </c>
      <c r="O26" s="112">
        <v>0</v>
      </c>
      <c r="P26" s="112">
        <v>1.04</v>
      </c>
      <c r="Q26" s="112">
        <v>4.74</v>
      </c>
    </row>
    <row r="27" spans="1:17" customFormat="1">
      <c r="A27" s="80">
        <v>45619.197916666664</v>
      </c>
      <c r="B27" s="112">
        <v>16.8</v>
      </c>
      <c r="C27" s="112">
        <v>21.61</v>
      </c>
      <c r="D27" s="112">
        <v>26.11</v>
      </c>
      <c r="E27" s="112">
        <v>8.86</v>
      </c>
      <c r="F27" s="112">
        <v>5.57</v>
      </c>
      <c r="G27" s="112">
        <v>118.6</v>
      </c>
      <c r="H27" s="112">
        <v>44.28</v>
      </c>
      <c r="I27" s="112">
        <v>12.52</v>
      </c>
      <c r="J27" s="112">
        <v>0.15</v>
      </c>
      <c r="K27" s="112">
        <v>85.59</v>
      </c>
      <c r="L27" s="112">
        <v>15.46</v>
      </c>
      <c r="M27" s="112">
        <v>84.58</v>
      </c>
      <c r="N27" s="112">
        <v>1.4</v>
      </c>
      <c r="O27" s="112">
        <v>0</v>
      </c>
      <c r="P27" s="112">
        <v>1.03</v>
      </c>
      <c r="Q27" s="112">
        <v>4.74</v>
      </c>
    </row>
    <row r="28" spans="1:17" customFormat="1">
      <c r="A28" s="80">
        <v>45619.208333333336</v>
      </c>
      <c r="B28" s="112">
        <v>17.32</v>
      </c>
      <c r="C28" s="112">
        <v>21.23</v>
      </c>
      <c r="D28" s="112">
        <v>26.34</v>
      </c>
      <c r="E28" s="112">
        <v>8.2100000000000009</v>
      </c>
      <c r="F28" s="112">
        <v>5.58</v>
      </c>
      <c r="G28" s="112">
        <v>118.6</v>
      </c>
      <c r="H28" s="112">
        <v>44.28</v>
      </c>
      <c r="I28" s="112">
        <v>12.51</v>
      </c>
      <c r="J28" s="112">
        <v>0.1</v>
      </c>
      <c r="K28" s="112">
        <v>140.04</v>
      </c>
      <c r="L28" s="112">
        <v>15.45</v>
      </c>
      <c r="M28" s="112">
        <v>85.02</v>
      </c>
      <c r="N28" s="112">
        <v>1.4</v>
      </c>
      <c r="O28" s="112">
        <v>0</v>
      </c>
      <c r="P28" s="112">
        <v>1.01</v>
      </c>
      <c r="Q28" s="112">
        <v>4.75</v>
      </c>
    </row>
    <row r="29" spans="1:17" customFormat="1">
      <c r="A29" s="80">
        <v>45619.21875</v>
      </c>
      <c r="B29" s="112">
        <v>17.57</v>
      </c>
      <c r="C29" s="112">
        <v>20.97</v>
      </c>
      <c r="D29" s="112">
        <v>26.4</v>
      </c>
      <c r="E29" s="112">
        <v>8.7899999999999991</v>
      </c>
      <c r="F29" s="112">
        <v>5.46</v>
      </c>
      <c r="G29" s="112">
        <v>118.6</v>
      </c>
      <c r="H29" s="112">
        <v>44.27</v>
      </c>
      <c r="I29" s="112">
        <v>12.48</v>
      </c>
      <c r="J29" s="112">
        <v>0.1</v>
      </c>
      <c r="K29" s="112">
        <v>128.01</v>
      </c>
      <c r="L29" s="112">
        <v>15.2</v>
      </c>
      <c r="M29" s="112">
        <v>87.1</v>
      </c>
      <c r="N29" s="112">
        <v>1.4</v>
      </c>
      <c r="O29" s="112">
        <v>0</v>
      </c>
      <c r="P29" s="112">
        <v>1</v>
      </c>
      <c r="Q29" s="112">
        <v>4.74</v>
      </c>
    </row>
    <row r="30" spans="1:17" customFormat="1">
      <c r="A30" s="80">
        <v>45619.229166666664</v>
      </c>
      <c r="B30" s="112">
        <v>17.559999999999999</v>
      </c>
      <c r="C30" s="112">
        <v>20.96</v>
      </c>
      <c r="D30" s="112">
        <v>26.38</v>
      </c>
      <c r="E30" s="112">
        <v>8.6</v>
      </c>
      <c r="F30" s="112">
        <v>5.62</v>
      </c>
      <c r="G30" s="112">
        <v>118.45</v>
      </c>
      <c r="H30" s="112">
        <v>43.99</v>
      </c>
      <c r="I30" s="112">
        <v>12.46</v>
      </c>
      <c r="J30" s="112">
        <v>0.08</v>
      </c>
      <c r="K30" s="112">
        <v>221.53</v>
      </c>
      <c r="L30" s="112">
        <v>15.19</v>
      </c>
      <c r="M30" s="112">
        <v>88.14</v>
      </c>
      <c r="N30" s="112">
        <v>1.3</v>
      </c>
      <c r="O30" s="112">
        <v>0</v>
      </c>
      <c r="P30" s="112">
        <v>1</v>
      </c>
      <c r="Q30" s="112">
        <v>4.75</v>
      </c>
    </row>
    <row r="31" spans="1:17" customFormat="1">
      <c r="A31" s="80">
        <v>45619.239583333336</v>
      </c>
      <c r="B31" s="112">
        <v>17.329999999999998</v>
      </c>
      <c r="C31" s="112">
        <v>20.81</v>
      </c>
      <c r="D31" s="112">
        <v>26.12</v>
      </c>
      <c r="E31" s="112">
        <v>8.4499999999999993</v>
      </c>
      <c r="F31" s="112">
        <v>5.54</v>
      </c>
      <c r="G31" s="112">
        <v>118.45</v>
      </c>
      <c r="H31" s="112">
        <v>43.99</v>
      </c>
      <c r="I31" s="112">
        <v>12.49</v>
      </c>
      <c r="J31" s="112">
        <v>0.24</v>
      </c>
      <c r="K31" s="112">
        <v>255.99</v>
      </c>
      <c r="L31" s="112">
        <v>14.85</v>
      </c>
      <c r="M31" s="112">
        <v>89.14</v>
      </c>
      <c r="N31" s="112">
        <v>1.7</v>
      </c>
      <c r="O31" s="112">
        <v>0</v>
      </c>
      <c r="P31" s="112">
        <v>0.99</v>
      </c>
      <c r="Q31" s="112">
        <v>4.7300000000000004</v>
      </c>
    </row>
    <row r="32" spans="1:17" customFormat="1">
      <c r="A32" s="80">
        <v>45619.25</v>
      </c>
      <c r="B32" s="112">
        <v>16.93</v>
      </c>
      <c r="C32" s="112">
        <v>20.34</v>
      </c>
      <c r="D32" s="112">
        <v>25.56</v>
      </c>
      <c r="E32" s="112">
        <v>8.2200000000000006</v>
      </c>
      <c r="F32" s="112">
        <v>5.59</v>
      </c>
      <c r="G32" s="112">
        <v>118.45</v>
      </c>
      <c r="H32" s="112">
        <v>43.99</v>
      </c>
      <c r="I32" s="112">
        <v>12.52</v>
      </c>
      <c r="J32" s="112">
        <v>0.09</v>
      </c>
      <c r="K32" s="112">
        <v>180.02</v>
      </c>
      <c r="L32" s="112">
        <v>14.65</v>
      </c>
      <c r="M32" s="112">
        <v>90.88</v>
      </c>
      <c r="N32" s="112">
        <v>1.9</v>
      </c>
      <c r="O32" s="112">
        <v>0</v>
      </c>
      <c r="P32" s="112">
        <v>0.99</v>
      </c>
      <c r="Q32" s="112">
        <v>4.74</v>
      </c>
    </row>
    <row r="33" spans="1:17" customFormat="1">
      <c r="A33" s="80">
        <v>45619.260416666664</v>
      </c>
      <c r="B33" s="112">
        <v>16.91</v>
      </c>
      <c r="C33" s="112">
        <v>19.98</v>
      </c>
      <c r="D33" s="112">
        <v>25.35</v>
      </c>
      <c r="E33" s="112">
        <v>8.58</v>
      </c>
      <c r="F33" s="112">
        <v>5.39</v>
      </c>
      <c r="G33" s="112">
        <v>118.32</v>
      </c>
      <c r="H33" s="112">
        <v>43.96</v>
      </c>
      <c r="I33" s="112">
        <v>12.56</v>
      </c>
      <c r="J33" s="112">
        <v>0.15</v>
      </c>
      <c r="K33" s="112">
        <v>222.38</v>
      </c>
      <c r="L33" s="112">
        <v>14.7</v>
      </c>
      <c r="M33" s="112">
        <v>92.19</v>
      </c>
      <c r="N33" s="112">
        <v>3.9</v>
      </c>
      <c r="O33" s="112">
        <v>0</v>
      </c>
      <c r="P33" s="112">
        <v>0.99</v>
      </c>
      <c r="Q33" s="112">
        <v>4.72</v>
      </c>
    </row>
    <row r="34" spans="1:17" customFormat="1">
      <c r="A34" s="80">
        <v>45619.270833333336</v>
      </c>
      <c r="B34" s="112">
        <v>17.47</v>
      </c>
      <c r="C34" s="112">
        <v>19.829999999999998</v>
      </c>
      <c r="D34" s="112">
        <v>25.72</v>
      </c>
      <c r="E34" s="112">
        <v>8.4700000000000006</v>
      </c>
      <c r="F34" s="112">
        <v>5.31</v>
      </c>
      <c r="G34" s="112">
        <v>112.88</v>
      </c>
      <c r="H34" s="112">
        <v>41.89</v>
      </c>
      <c r="I34" s="112">
        <v>12.59</v>
      </c>
      <c r="J34" s="112">
        <v>0.24</v>
      </c>
      <c r="K34" s="112">
        <v>254.54</v>
      </c>
      <c r="L34" s="112">
        <v>14.58</v>
      </c>
      <c r="M34" s="112">
        <v>91.39</v>
      </c>
      <c r="N34" s="112">
        <v>10.3</v>
      </c>
      <c r="O34" s="112">
        <v>0</v>
      </c>
      <c r="P34" s="112">
        <v>0.99</v>
      </c>
      <c r="Q34" s="112">
        <v>4.75</v>
      </c>
    </row>
    <row r="35" spans="1:17" customFormat="1">
      <c r="A35" s="80">
        <v>45619.28125</v>
      </c>
      <c r="B35" s="112">
        <v>17.739999999999998</v>
      </c>
      <c r="C35" s="112">
        <v>19.510000000000002</v>
      </c>
      <c r="D35" s="112">
        <v>25.77</v>
      </c>
      <c r="E35" s="112">
        <v>8.48</v>
      </c>
      <c r="F35" s="112">
        <v>5.39</v>
      </c>
      <c r="G35" s="112">
        <v>112.88</v>
      </c>
      <c r="H35" s="112">
        <v>41.89</v>
      </c>
      <c r="I35" s="112">
        <v>12.6</v>
      </c>
      <c r="J35" s="112">
        <v>0.1</v>
      </c>
      <c r="K35" s="112">
        <v>165.68</v>
      </c>
      <c r="L35" s="112">
        <v>14.64</v>
      </c>
      <c r="M35" s="112">
        <v>91.2</v>
      </c>
      <c r="N35" s="112">
        <v>19</v>
      </c>
      <c r="O35" s="112">
        <v>0</v>
      </c>
      <c r="P35" s="112">
        <v>0.99</v>
      </c>
      <c r="Q35" s="112">
        <v>4.7300000000000004</v>
      </c>
    </row>
    <row r="36" spans="1:17" customFormat="1">
      <c r="A36" s="80">
        <v>45619.291666666664</v>
      </c>
      <c r="B36" s="112">
        <v>17.75</v>
      </c>
      <c r="C36" s="112">
        <v>19.32</v>
      </c>
      <c r="D36" s="112">
        <v>25.68</v>
      </c>
      <c r="E36" s="112">
        <v>8.4</v>
      </c>
      <c r="F36" s="112">
        <v>5.39</v>
      </c>
      <c r="G36" s="112">
        <v>112.88</v>
      </c>
      <c r="H36" s="112">
        <v>41.89</v>
      </c>
      <c r="I36" s="112">
        <v>12.68</v>
      </c>
      <c r="J36" s="112">
        <v>0.1</v>
      </c>
      <c r="K36" s="112">
        <v>157.74</v>
      </c>
      <c r="L36" s="112">
        <v>15.18</v>
      </c>
      <c r="M36" s="112">
        <v>91.11</v>
      </c>
      <c r="N36" s="112">
        <v>29.8</v>
      </c>
      <c r="O36" s="112">
        <v>0</v>
      </c>
      <c r="P36" s="112">
        <v>0.99</v>
      </c>
      <c r="Q36" s="112">
        <v>4.7300000000000004</v>
      </c>
    </row>
    <row r="37" spans="1:17" customFormat="1">
      <c r="A37" s="80">
        <v>45619.302083333336</v>
      </c>
      <c r="B37" s="112">
        <v>18.23</v>
      </c>
      <c r="C37" s="112">
        <v>19.37</v>
      </c>
      <c r="D37" s="112">
        <v>26.09</v>
      </c>
      <c r="E37" s="112">
        <v>8.42</v>
      </c>
      <c r="F37" s="112">
        <v>5.4</v>
      </c>
      <c r="G37" s="112">
        <v>112.83</v>
      </c>
      <c r="H37" s="112">
        <v>41.91</v>
      </c>
      <c r="I37" s="112">
        <v>12.86</v>
      </c>
      <c r="J37" s="112">
        <v>0.18</v>
      </c>
      <c r="K37" s="112">
        <v>19.989999999999998</v>
      </c>
      <c r="L37" s="112">
        <v>15.99</v>
      </c>
      <c r="M37" s="112">
        <v>86.52</v>
      </c>
      <c r="N37" s="112">
        <v>42.5</v>
      </c>
      <c r="O37" s="112">
        <v>0</v>
      </c>
      <c r="P37" s="112">
        <v>1</v>
      </c>
      <c r="Q37" s="112">
        <v>4.74</v>
      </c>
    </row>
    <row r="38" spans="1:17" customFormat="1">
      <c r="A38" s="80">
        <v>45619.3125</v>
      </c>
      <c r="B38" s="112">
        <v>18.829999999999998</v>
      </c>
      <c r="C38" s="112">
        <v>19.41</v>
      </c>
      <c r="D38" s="112">
        <v>26.6</v>
      </c>
      <c r="E38" s="112">
        <v>8.39</v>
      </c>
      <c r="F38" s="112">
        <v>5.52</v>
      </c>
      <c r="G38" s="112">
        <v>110.45</v>
      </c>
      <c r="H38" s="112">
        <v>43.42</v>
      </c>
      <c r="I38" s="112">
        <v>13.04</v>
      </c>
      <c r="J38" s="112">
        <v>0.26</v>
      </c>
      <c r="K38" s="112">
        <v>13.5</v>
      </c>
      <c r="L38" s="112">
        <v>16.670000000000002</v>
      </c>
      <c r="M38" s="112">
        <v>81.02</v>
      </c>
      <c r="N38" s="112">
        <v>56.2</v>
      </c>
      <c r="O38" s="112">
        <v>0</v>
      </c>
      <c r="P38" s="112">
        <v>0.99</v>
      </c>
      <c r="Q38" s="112">
        <v>4.74</v>
      </c>
    </row>
    <row r="39" spans="1:17" customFormat="1">
      <c r="A39" s="80">
        <v>45619.322916666664</v>
      </c>
      <c r="B39" s="112">
        <v>19.13</v>
      </c>
      <c r="C39" s="112">
        <v>19.64</v>
      </c>
      <c r="D39" s="112">
        <v>26.96</v>
      </c>
      <c r="E39" s="112">
        <v>8.73</v>
      </c>
      <c r="F39" s="112">
        <v>5.39</v>
      </c>
      <c r="G39" s="112">
        <v>110.45</v>
      </c>
      <c r="H39" s="112">
        <v>43.42</v>
      </c>
      <c r="I39" s="112">
        <v>13.19</v>
      </c>
      <c r="J39" s="112">
        <v>0.52</v>
      </c>
      <c r="K39" s="112">
        <v>47.18</v>
      </c>
      <c r="L39" s="112">
        <v>17.11</v>
      </c>
      <c r="M39" s="112">
        <v>79.8</v>
      </c>
      <c r="N39" s="112">
        <v>87.4</v>
      </c>
      <c r="O39" s="112">
        <v>0</v>
      </c>
      <c r="P39" s="112">
        <v>1.02</v>
      </c>
      <c r="Q39" s="112">
        <v>4.74</v>
      </c>
    </row>
    <row r="40" spans="1:17" customFormat="1">
      <c r="A40" s="80">
        <v>45619.333333333336</v>
      </c>
      <c r="B40" s="112">
        <v>19.190000000000001</v>
      </c>
      <c r="C40" s="112">
        <v>20.05</v>
      </c>
      <c r="D40" s="112">
        <v>27.21</v>
      </c>
      <c r="E40" s="112">
        <v>8.6300000000000008</v>
      </c>
      <c r="F40" s="112">
        <v>5.52</v>
      </c>
      <c r="G40" s="112">
        <v>110.45</v>
      </c>
      <c r="H40" s="112">
        <v>43.42</v>
      </c>
      <c r="I40" s="112">
        <v>13.31</v>
      </c>
      <c r="J40" s="112">
        <v>0.53</v>
      </c>
      <c r="K40" s="112">
        <v>43.42</v>
      </c>
      <c r="L40" s="112">
        <v>17.55</v>
      </c>
      <c r="M40" s="112">
        <v>74.55</v>
      </c>
      <c r="N40" s="112">
        <v>129.30000000000001</v>
      </c>
      <c r="O40" s="112">
        <v>0</v>
      </c>
      <c r="P40" s="112">
        <v>1.03</v>
      </c>
      <c r="Q40" s="112">
        <v>4.76</v>
      </c>
    </row>
    <row r="41" spans="1:17" customFormat="1">
      <c r="A41" s="80">
        <v>45619.34375</v>
      </c>
      <c r="B41" s="112">
        <v>18.809999999999999</v>
      </c>
      <c r="C41" s="112">
        <v>20.36</v>
      </c>
      <c r="D41" s="112">
        <v>27.07</v>
      </c>
      <c r="E41" s="112">
        <v>8.82</v>
      </c>
      <c r="F41" s="112">
        <v>5.61</v>
      </c>
      <c r="G41" s="112">
        <v>110.67</v>
      </c>
      <c r="H41" s="112">
        <v>43.45</v>
      </c>
      <c r="I41" s="112">
        <v>13.42</v>
      </c>
      <c r="J41" s="112">
        <v>0.46</v>
      </c>
      <c r="K41" s="112">
        <v>24.15</v>
      </c>
      <c r="L41" s="112">
        <v>18.420000000000002</v>
      </c>
      <c r="M41" s="112">
        <v>71.41</v>
      </c>
      <c r="N41" s="112">
        <v>153.6</v>
      </c>
      <c r="O41" s="112">
        <v>0</v>
      </c>
      <c r="P41" s="112">
        <v>1.03</v>
      </c>
      <c r="Q41" s="112">
        <v>4.7300000000000004</v>
      </c>
    </row>
    <row r="42" spans="1:17" customFormat="1">
      <c r="A42" s="80">
        <v>45619.354166666664</v>
      </c>
      <c r="B42" s="112">
        <v>18.489999999999998</v>
      </c>
      <c r="C42" s="112">
        <v>20.74</v>
      </c>
      <c r="D42" s="112">
        <v>27.01</v>
      </c>
      <c r="E42" s="112">
        <v>8.64</v>
      </c>
      <c r="F42" s="112">
        <v>5.39</v>
      </c>
      <c r="G42" s="112">
        <v>120.23</v>
      </c>
      <c r="H42" s="112">
        <v>45.23</v>
      </c>
      <c r="I42" s="112">
        <v>13.51</v>
      </c>
      <c r="J42" s="112">
        <v>0.64</v>
      </c>
      <c r="K42" s="112">
        <v>38.9</v>
      </c>
      <c r="L42" s="112">
        <v>19.07</v>
      </c>
      <c r="M42" s="112">
        <v>69.5</v>
      </c>
      <c r="N42" s="112">
        <v>155.30000000000001</v>
      </c>
      <c r="O42" s="112">
        <v>0</v>
      </c>
      <c r="P42" s="112">
        <v>1.03</v>
      </c>
      <c r="Q42" s="112">
        <v>4.75</v>
      </c>
    </row>
    <row r="43" spans="1:17" customFormat="1">
      <c r="A43" s="80">
        <v>45619.364583333336</v>
      </c>
      <c r="B43" s="112">
        <v>18.03</v>
      </c>
      <c r="C43" s="112">
        <v>21.12</v>
      </c>
      <c r="D43" s="112">
        <v>26.85</v>
      </c>
      <c r="E43" s="112">
        <v>9.07</v>
      </c>
      <c r="F43" s="112">
        <v>5.65</v>
      </c>
      <c r="G43" s="112">
        <v>120.23</v>
      </c>
      <c r="H43" s="112">
        <v>45.23</v>
      </c>
      <c r="I43" s="112">
        <v>13.51</v>
      </c>
      <c r="J43" s="112">
        <v>0.75</v>
      </c>
      <c r="K43" s="112">
        <v>47.73</v>
      </c>
      <c r="L43" s="112">
        <v>19.79</v>
      </c>
      <c r="M43" s="112">
        <v>64.849999999999994</v>
      </c>
      <c r="N43" s="112">
        <v>181.8</v>
      </c>
      <c r="O43" s="112">
        <v>0</v>
      </c>
      <c r="P43" s="112">
        <v>1.04</v>
      </c>
      <c r="Q43" s="112">
        <v>4.74</v>
      </c>
    </row>
    <row r="44" spans="1:17" customFormat="1">
      <c r="A44" s="80">
        <v>45619.375</v>
      </c>
      <c r="B44" s="112">
        <v>17.41</v>
      </c>
      <c r="C44" s="112">
        <v>21.46</v>
      </c>
      <c r="D44" s="112">
        <v>26.52</v>
      </c>
      <c r="E44" s="112">
        <v>9</v>
      </c>
      <c r="F44" s="112">
        <v>5.53</v>
      </c>
      <c r="G44" s="112">
        <v>120.23</v>
      </c>
      <c r="H44" s="112">
        <v>45.23</v>
      </c>
      <c r="I44" s="112">
        <v>13.49</v>
      </c>
      <c r="J44" s="112">
        <v>0.68</v>
      </c>
      <c r="K44" s="112">
        <v>47.92</v>
      </c>
      <c r="L44" s="112">
        <v>20.54</v>
      </c>
      <c r="M44" s="112">
        <v>61.9</v>
      </c>
      <c r="N44" s="112">
        <v>232.6</v>
      </c>
      <c r="O44" s="112">
        <v>0</v>
      </c>
      <c r="P44" s="112">
        <v>1.04</v>
      </c>
      <c r="Q44" s="112">
        <v>4.75</v>
      </c>
    </row>
    <row r="45" spans="1:17" customFormat="1">
      <c r="A45" s="80">
        <v>45619.385416666664</v>
      </c>
      <c r="B45" s="112">
        <v>16.66</v>
      </c>
      <c r="C45" s="112">
        <v>21.86</v>
      </c>
      <c r="D45" s="112">
        <v>26.13</v>
      </c>
      <c r="E45" s="112">
        <v>9.2799999999999994</v>
      </c>
      <c r="F45" s="112">
        <v>5.59</v>
      </c>
      <c r="G45" s="112">
        <v>120.34</v>
      </c>
      <c r="H45" s="112">
        <v>45.18</v>
      </c>
      <c r="I45" s="112">
        <v>13.48</v>
      </c>
      <c r="J45" s="112">
        <v>0.66</v>
      </c>
      <c r="K45" s="112">
        <v>45.18</v>
      </c>
      <c r="L45" s="112">
        <v>21.56</v>
      </c>
      <c r="M45" s="112">
        <v>57.85</v>
      </c>
      <c r="N45" s="112">
        <v>267.60000000000002</v>
      </c>
      <c r="O45" s="112">
        <v>0</v>
      </c>
      <c r="P45" s="112">
        <v>1.04</v>
      </c>
      <c r="Q45" s="112">
        <v>4.74</v>
      </c>
    </row>
    <row r="46" spans="1:17" customFormat="1">
      <c r="A46" s="80">
        <v>45619.395833333336</v>
      </c>
      <c r="B46" s="112">
        <v>15.59</v>
      </c>
      <c r="C46" s="112">
        <v>22.84</v>
      </c>
      <c r="D46" s="112">
        <v>25.79</v>
      </c>
      <c r="E46" s="112">
        <v>9.2799999999999994</v>
      </c>
      <c r="F46" s="112">
        <v>5.77</v>
      </c>
      <c r="G46" s="112">
        <v>125.15</v>
      </c>
      <c r="H46" s="112">
        <v>42.23</v>
      </c>
      <c r="I46" s="112">
        <v>13.43</v>
      </c>
      <c r="J46" s="112">
        <v>0.43</v>
      </c>
      <c r="K46" s="112">
        <v>77.599999999999994</v>
      </c>
      <c r="L46" s="112">
        <v>22.43</v>
      </c>
      <c r="M46" s="112">
        <v>54.78</v>
      </c>
      <c r="N46" s="112">
        <v>262.60000000000002</v>
      </c>
      <c r="O46" s="112">
        <v>0</v>
      </c>
      <c r="P46" s="112">
        <v>1.06</v>
      </c>
      <c r="Q46" s="112">
        <v>4.75</v>
      </c>
    </row>
    <row r="47" spans="1:17" customFormat="1">
      <c r="A47" s="80">
        <v>45619.40625</v>
      </c>
      <c r="B47" s="112">
        <v>13.99</v>
      </c>
      <c r="C47" s="112">
        <v>23.77</v>
      </c>
      <c r="D47" s="112">
        <v>24.98</v>
      </c>
      <c r="E47" s="112">
        <v>8.7100000000000009</v>
      </c>
      <c r="F47" s="112">
        <v>5.93</v>
      </c>
      <c r="G47" s="112">
        <v>125.15</v>
      </c>
      <c r="H47" s="112">
        <v>42.23</v>
      </c>
      <c r="I47" s="112">
        <v>13.34</v>
      </c>
      <c r="J47" s="112">
        <v>0.5</v>
      </c>
      <c r="K47" s="112">
        <v>52.4</v>
      </c>
      <c r="L47" s="112">
        <v>23.33</v>
      </c>
      <c r="M47" s="112">
        <v>50.88</v>
      </c>
      <c r="N47" s="112">
        <v>339.9</v>
      </c>
      <c r="O47" s="112">
        <v>0</v>
      </c>
      <c r="P47" s="112">
        <v>1.06</v>
      </c>
      <c r="Q47" s="112">
        <v>4.76</v>
      </c>
    </row>
    <row r="48" spans="1:17" customFormat="1">
      <c r="A48" s="80">
        <v>45619.416666666664</v>
      </c>
      <c r="B48" s="112">
        <v>12.43</v>
      </c>
      <c r="C48" s="112">
        <v>24.75</v>
      </c>
      <c r="D48" s="112">
        <v>24.25</v>
      </c>
      <c r="E48" s="112">
        <v>8.6199999999999992</v>
      </c>
      <c r="F48" s="112">
        <v>6.22</v>
      </c>
      <c r="G48" s="112">
        <v>125.15</v>
      </c>
      <c r="H48" s="112">
        <v>42.23</v>
      </c>
      <c r="I48" s="112">
        <v>13.16</v>
      </c>
      <c r="J48" s="112">
        <v>0.66</v>
      </c>
      <c r="K48" s="112">
        <v>50</v>
      </c>
      <c r="L48" s="112">
        <v>23.64</v>
      </c>
      <c r="M48" s="112">
        <v>48.21</v>
      </c>
      <c r="N48" s="112">
        <v>363.5</v>
      </c>
      <c r="O48" s="112">
        <v>0</v>
      </c>
      <c r="P48" s="112">
        <v>1.06</v>
      </c>
      <c r="Q48" s="112">
        <v>4.76</v>
      </c>
    </row>
    <row r="49" spans="1:17" customFormat="1">
      <c r="A49" s="80">
        <v>45619.427083333336</v>
      </c>
      <c r="B49" s="112">
        <v>10.68</v>
      </c>
      <c r="C49" s="112">
        <v>25.51</v>
      </c>
      <c r="D49" s="112">
        <v>23.24</v>
      </c>
      <c r="E49" s="112">
        <v>7.46</v>
      </c>
      <c r="F49" s="112">
        <v>6.45</v>
      </c>
      <c r="G49" s="112">
        <v>125.37</v>
      </c>
      <c r="H49" s="112">
        <v>42.35</v>
      </c>
      <c r="I49" s="112">
        <v>12.99</v>
      </c>
      <c r="J49" s="112">
        <v>0.45</v>
      </c>
      <c r="K49" s="112">
        <v>48.05</v>
      </c>
      <c r="L49" s="112">
        <v>24.27</v>
      </c>
      <c r="M49" s="112">
        <v>46.44</v>
      </c>
      <c r="N49" s="112">
        <v>383.2</v>
      </c>
      <c r="O49" s="112">
        <v>0</v>
      </c>
      <c r="P49" s="112">
        <v>1.05</v>
      </c>
      <c r="Q49" s="112">
        <v>4.7699999999999996</v>
      </c>
    </row>
    <row r="50" spans="1:17" customFormat="1">
      <c r="A50" s="80">
        <v>45619.4375</v>
      </c>
      <c r="B50" s="112">
        <v>9.11</v>
      </c>
      <c r="C50" s="112">
        <v>26.15</v>
      </c>
      <c r="D50" s="112">
        <v>22.32</v>
      </c>
      <c r="E50" s="112">
        <v>8.99</v>
      </c>
      <c r="F50" s="112">
        <v>6.46</v>
      </c>
      <c r="G50" s="112">
        <v>135.32</v>
      </c>
      <c r="H50" s="112">
        <v>46.18</v>
      </c>
      <c r="I50" s="112">
        <v>12.81</v>
      </c>
      <c r="J50" s="112">
        <v>0.04</v>
      </c>
      <c r="K50" s="112">
        <v>17.95</v>
      </c>
      <c r="L50" s="112">
        <v>25.15</v>
      </c>
      <c r="M50" s="112">
        <v>43.93</v>
      </c>
      <c r="N50" s="112">
        <v>394.3</v>
      </c>
      <c r="O50" s="112">
        <v>0</v>
      </c>
      <c r="P50" s="112">
        <v>1.03</v>
      </c>
      <c r="Q50" s="112">
        <v>4.76</v>
      </c>
    </row>
    <row r="51" spans="1:17" customFormat="1">
      <c r="A51" s="80">
        <v>45619.447916666664</v>
      </c>
      <c r="B51" s="112">
        <v>7.62</v>
      </c>
      <c r="C51" s="112">
        <v>26.55</v>
      </c>
      <c r="D51" s="112">
        <v>21.33</v>
      </c>
      <c r="E51" s="112">
        <v>8.74</v>
      </c>
      <c r="F51" s="112">
        <v>7.2</v>
      </c>
      <c r="G51" s="112">
        <v>135.32</v>
      </c>
      <c r="H51" s="112">
        <v>46.18</v>
      </c>
      <c r="I51" s="112">
        <v>12.64</v>
      </c>
      <c r="J51" s="112">
        <v>0.56999999999999995</v>
      </c>
      <c r="K51" s="112">
        <v>43.58</v>
      </c>
      <c r="L51" s="112">
        <v>25.18</v>
      </c>
      <c r="M51" s="112">
        <v>43.03</v>
      </c>
      <c r="N51" s="112">
        <v>312.60000000000002</v>
      </c>
      <c r="O51" s="112">
        <v>0</v>
      </c>
      <c r="P51" s="112">
        <v>1.02</v>
      </c>
      <c r="Q51" s="112">
        <v>4.76</v>
      </c>
    </row>
    <row r="52" spans="1:17" customFormat="1">
      <c r="A52" s="80">
        <v>45619.458333333336</v>
      </c>
      <c r="B52" s="112">
        <v>6.33</v>
      </c>
      <c r="C52" s="112">
        <v>26.69</v>
      </c>
      <c r="D52" s="112">
        <v>20.37</v>
      </c>
      <c r="E52" s="112">
        <v>9.2100000000000009</v>
      </c>
      <c r="F52" s="112">
        <v>7.61</v>
      </c>
      <c r="G52" s="112">
        <v>135.32</v>
      </c>
      <c r="H52" s="112">
        <v>46.18</v>
      </c>
      <c r="I52" s="112">
        <v>12.49</v>
      </c>
      <c r="J52" s="112">
        <v>0.32</v>
      </c>
      <c r="K52" s="112">
        <v>288.2</v>
      </c>
      <c r="L52" s="112">
        <v>25.75</v>
      </c>
      <c r="M52" s="112">
        <v>41.25</v>
      </c>
      <c r="N52" s="112">
        <v>404</v>
      </c>
      <c r="O52" s="112">
        <v>0</v>
      </c>
      <c r="P52" s="112">
        <v>1.02</v>
      </c>
      <c r="Q52" s="112">
        <v>4.78</v>
      </c>
    </row>
    <row r="53" spans="1:17" customFormat="1">
      <c r="A53" s="80">
        <v>45619.46875</v>
      </c>
      <c r="B53" s="112">
        <v>5.35</v>
      </c>
      <c r="C53" s="112">
        <v>26.6</v>
      </c>
      <c r="D53" s="112">
        <v>19.54</v>
      </c>
      <c r="E53" s="112">
        <v>9.14</v>
      </c>
      <c r="F53" s="112">
        <v>8.0500000000000007</v>
      </c>
      <c r="G53" s="112">
        <v>135.31</v>
      </c>
      <c r="H53" s="112">
        <v>46.17</v>
      </c>
      <c r="I53" s="112">
        <v>12.37</v>
      </c>
      <c r="J53" s="112">
        <v>0.62</v>
      </c>
      <c r="K53" s="112">
        <v>307.32</v>
      </c>
      <c r="L53" s="112">
        <v>25.93</v>
      </c>
      <c r="M53" s="112">
        <v>39.5</v>
      </c>
      <c r="N53" s="112">
        <v>431.2</v>
      </c>
      <c r="O53" s="112">
        <v>0</v>
      </c>
      <c r="P53" s="112">
        <v>1.03</v>
      </c>
      <c r="Q53" s="112">
        <v>4.78</v>
      </c>
    </row>
    <row r="54" spans="1:17" customFormat="1">
      <c r="A54" s="80">
        <v>45619.479166666664</v>
      </c>
      <c r="B54" s="112">
        <v>4.6900000000000004</v>
      </c>
      <c r="C54" s="112">
        <v>26.16</v>
      </c>
      <c r="D54" s="112">
        <v>18.78</v>
      </c>
      <c r="E54" s="112">
        <v>9.0500000000000007</v>
      </c>
      <c r="F54" s="112">
        <v>8.64</v>
      </c>
      <c r="G54" s="112">
        <v>134.83000000000001</v>
      </c>
      <c r="H54" s="112">
        <v>45.48</v>
      </c>
      <c r="I54" s="112">
        <v>12.36</v>
      </c>
      <c r="J54" s="112">
        <v>0.18</v>
      </c>
      <c r="K54" s="112">
        <v>71.81</v>
      </c>
      <c r="L54" s="112">
        <v>26.74</v>
      </c>
      <c r="M54" s="112">
        <v>37.619999999999997</v>
      </c>
      <c r="N54" s="112">
        <v>442</v>
      </c>
      <c r="O54" s="112">
        <v>0</v>
      </c>
      <c r="P54" s="112">
        <v>1.02</v>
      </c>
      <c r="Q54" s="112">
        <v>4.7699999999999996</v>
      </c>
    </row>
    <row r="55" spans="1:17" customFormat="1">
      <c r="A55" s="80">
        <v>45619.489583333336</v>
      </c>
      <c r="B55" s="112">
        <v>4.2699999999999996</v>
      </c>
      <c r="C55" s="112">
        <v>25.14</v>
      </c>
      <c r="D55" s="112">
        <v>17.91</v>
      </c>
      <c r="E55" s="112">
        <v>8.8699999999999992</v>
      </c>
      <c r="F55" s="112">
        <v>9.43</v>
      </c>
      <c r="G55" s="112">
        <v>134.83000000000001</v>
      </c>
      <c r="H55" s="112">
        <v>45.48</v>
      </c>
      <c r="I55" s="112">
        <v>12.38</v>
      </c>
      <c r="J55" s="112">
        <v>0.34</v>
      </c>
      <c r="K55" s="112">
        <v>84.47</v>
      </c>
      <c r="L55" s="112">
        <v>27.28</v>
      </c>
      <c r="M55" s="112">
        <v>34.6</v>
      </c>
      <c r="N55" s="112">
        <v>446.7</v>
      </c>
      <c r="O55" s="112">
        <v>0</v>
      </c>
      <c r="P55" s="112">
        <v>1</v>
      </c>
      <c r="Q55" s="112">
        <v>4.7699999999999996</v>
      </c>
    </row>
    <row r="56" spans="1:17" customFormat="1">
      <c r="A56" s="80">
        <v>45619.5</v>
      </c>
      <c r="B56" s="112">
        <v>4.07</v>
      </c>
      <c r="C56" s="112">
        <v>24.13</v>
      </c>
      <c r="D56" s="112">
        <v>17.22</v>
      </c>
      <c r="E56" s="112">
        <v>8.81</v>
      </c>
      <c r="F56" s="112">
        <v>10.039999999999999</v>
      </c>
      <c r="G56" s="112">
        <v>134.83000000000001</v>
      </c>
      <c r="H56" s="112">
        <v>45.48</v>
      </c>
      <c r="I56" s="112">
        <v>12.28</v>
      </c>
      <c r="J56" s="112">
        <v>0.36</v>
      </c>
      <c r="K56" s="112">
        <v>6.35</v>
      </c>
      <c r="L56" s="112">
        <v>27.2</v>
      </c>
      <c r="M56" s="112">
        <v>35.31</v>
      </c>
      <c r="N56" s="112">
        <v>434</v>
      </c>
      <c r="O56" s="112">
        <v>0</v>
      </c>
      <c r="P56" s="112">
        <v>0.99</v>
      </c>
      <c r="Q56" s="112">
        <v>4.78</v>
      </c>
    </row>
    <row r="57" spans="1:17" customFormat="1">
      <c r="A57" s="80">
        <v>45619.510416666664</v>
      </c>
      <c r="B57" s="112">
        <v>4.05</v>
      </c>
      <c r="C57" s="112">
        <v>23.49</v>
      </c>
      <c r="D57" s="112">
        <v>16.87</v>
      </c>
      <c r="E57" s="112">
        <v>9.3000000000000007</v>
      </c>
      <c r="F57" s="112">
        <v>10.25</v>
      </c>
      <c r="G57" s="112">
        <v>134.47</v>
      </c>
      <c r="H57" s="112">
        <v>45.45</v>
      </c>
      <c r="I57" s="112">
        <v>12.07</v>
      </c>
      <c r="J57" s="112">
        <v>0.49</v>
      </c>
      <c r="K57" s="112">
        <v>50.94</v>
      </c>
      <c r="L57" s="112">
        <v>27.39</v>
      </c>
      <c r="M57" s="112">
        <v>34.72</v>
      </c>
      <c r="N57" s="112">
        <v>416.6</v>
      </c>
      <c r="O57" s="112">
        <v>0</v>
      </c>
      <c r="P57" s="112">
        <v>0.98</v>
      </c>
      <c r="Q57" s="112">
        <v>4.79</v>
      </c>
    </row>
    <row r="58" spans="1:17" customFormat="1">
      <c r="A58" s="80">
        <v>45619.520833333336</v>
      </c>
      <c r="B58" s="112">
        <v>4.01</v>
      </c>
      <c r="C58" s="112">
        <v>23.03</v>
      </c>
      <c r="D58" s="112">
        <v>16.600000000000001</v>
      </c>
      <c r="E58" s="112">
        <v>9.5399999999999991</v>
      </c>
      <c r="F58" s="112">
        <v>11.32</v>
      </c>
      <c r="G58" s="112">
        <v>118.42</v>
      </c>
      <c r="H58" s="112">
        <v>43.77</v>
      </c>
      <c r="I58" s="112">
        <v>11.85</v>
      </c>
      <c r="J58" s="112">
        <v>0.49</v>
      </c>
      <c r="K58" s="112">
        <v>54.98</v>
      </c>
      <c r="L58" s="112">
        <v>27.12</v>
      </c>
      <c r="M58" s="112">
        <v>35.14</v>
      </c>
      <c r="N58" s="112">
        <v>406.7</v>
      </c>
      <c r="O58" s="112">
        <v>0</v>
      </c>
      <c r="P58" s="112">
        <v>0.97</v>
      </c>
      <c r="Q58" s="112">
        <v>4.76</v>
      </c>
    </row>
    <row r="59" spans="1:17" customFormat="1">
      <c r="A59" s="80">
        <v>45619.53125</v>
      </c>
      <c r="B59" s="112">
        <v>4</v>
      </c>
      <c r="C59" s="112">
        <v>22.73</v>
      </c>
      <c r="D59" s="112">
        <v>16.43</v>
      </c>
      <c r="E59" s="112">
        <v>9.33</v>
      </c>
      <c r="F59" s="112">
        <v>10.7</v>
      </c>
      <c r="G59" s="112">
        <v>118.42</v>
      </c>
      <c r="H59" s="112">
        <v>43.77</v>
      </c>
      <c r="I59" s="112">
        <v>11.71</v>
      </c>
      <c r="J59" s="112">
        <v>0.44</v>
      </c>
      <c r="K59" s="112">
        <v>6.2</v>
      </c>
      <c r="L59" s="112">
        <v>27.44</v>
      </c>
      <c r="M59" s="112">
        <v>34.590000000000003</v>
      </c>
      <c r="N59" s="112">
        <v>371.3</v>
      </c>
      <c r="O59" s="112">
        <v>0</v>
      </c>
      <c r="P59" s="112">
        <v>0.97</v>
      </c>
      <c r="Q59" s="112">
        <v>4.7699999999999996</v>
      </c>
    </row>
    <row r="60" spans="1:17" customFormat="1">
      <c r="A60" s="80">
        <v>45619.541666666664</v>
      </c>
      <c r="B60" s="112">
        <v>4.0199999999999996</v>
      </c>
      <c r="C60" s="112">
        <v>22.49</v>
      </c>
      <c r="D60" s="112">
        <v>16.32</v>
      </c>
      <c r="E60" s="112">
        <v>10.02</v>
      </c>
      <c r="F60" s="112">
        <v>10.62</v>
      </c>
      <c r="G60" s="112">
        <v>118.42</v>
      </c>
      <c r="H60" s="112">
        <v>43.77</v>
      </c>
      <c r="I60" s="112">
        <v>11.56</v>
      </c>
      <c r="J60" s="112">
        <v>0.52</v>
      </c>
      <c r="K60" s="112">
        <v>52.34</v>
      </c>
      <c r="L60" s="112">
        <v>27.36</v>
      </c>
      <c r="M60" s="112">
        <v>33.94</v>
      </c>
      <c r="N60" s="112">
        <v>328.5</v>
      </c>
      <c r="O60" s="112">
        <v>0</v>
      </c>
      <c r="P60" s="112">
        <v>0.96</v>
      </c>
      <c r="Q60" s="112">
        <v>4.76</v>
      </c>
    </row>
    <row r="61" spans="1:17" customFormat="1">
      <c r="A61" s="80">
        <v>45619.552083333336</v>
      </c>
      <c r="B61" s="112">
        <v>4.0199999999999996</v>
      </c>
      <c r="C61" s="112">
        <v>22.36</v>
      </c>
      <c r="D61" s="112">
        <v>16.260000000000002</v>
      </c>
      <c r="E61" s="112">
        <v>10.42</v>
      </c>
      <c r="F61" s="112">
        <v>12.42</v>
      </c>
      <c r="G61" s="112">
        <v>118.19</v>
      </c>
      <c r="H61" s="112">
        <v>43.75</v>
      </c>
      <c r="I61" s="112">
        <v>11.42</v>
      </c>
      <c r="J61" s="112">
        <v>0.49</v>
      </c>
      <c r="K61" s="112">
        <v>2.69</v>
      </c>
      <c r="L61" s="112">
        <v>27.37</v>
      </c>
      <c r="M61" s="112">
        <v>34</v>
      </c>
      <c r="N61" s="112">
        <v>324.89999999999998</v>
      </c>
      <c r="O61" s="112">
        <v>0</v>
      </c>
      <c r="P61" s="112">
        <v>0.95</v>
      </c>
      <c r="Q61" s="112">
        <v>4.76</v>
      </c>
    </row>
    <row r="62" spans="1:17" customFormat="1">
      <c r="A62" s="80">
        <v>45619.5625</v>
      </c>
      <c r="B62" s="112">
        <v>4.01</v>
      </c>
      <c r="C62" s="112">
        <v>22.47</v>
      </c>
      <c r="D62" s="112">
        <v>16.309999999999999</v>
      </c>
      <c r="E62" s="112">
        <v>10.42</v>
      </c>
      <c r="F62" s="112">
        <v>10.48</v>
      </c>
      <c r="G62" s="112">
        <v>108.09</v>
      </c>
      <c r="H62" s="112">
        <v>42.35</v>
      </c>
      <c r="I62" s="112">
        <v>11.3</v>
      </c>
      <c r="J62" s="112">
        <v>0.2</v>
      </c>
      <c r="K62" s="112">
        <v>331.68</v>
      </c>
      <c r="L62" s="112">
        <v>27.5</v>
      </c>
      <c r="M62" s="112">
        <v>35.6</v>
      </c>
      <c r="N62" s="112">
        <v>309.5</v>
      </c>
      <c r="O62" s="112">
        <v>0</v>
      </c>
      <c r="P62" s="112">
        <v>0.96</v>
      </c>
      <c r="Q62" s="112">
        <v>4.75</v>
      </c>
    </row>
    <row r="63" spans="1:17" customFormat="1">
      <c r="A63" s="80">
        <v>45619.572916666664</v>
      </c>
      <c r="B63" s="112">
        <v>4.0199999999999996</v>
      </c>
      <c r="C63" s="112">
        <v>22.56</v>
      </c>
      <c r="D63" s="112">
        <v>16.36</v>
      </c>
      <c r="E63" s="112">
        <v>10</v>
      </c>
      <c r="F63" s="112">
        <v>10.220000000000001</v>
      </c>
      <c r="G63" s="112">
        <v>108.09</v>
      </c>
      <c r="H63" s="112">
        <v>42.35</v>
      </c>
      <c r="I63" s="112">
        <v>11.18</v>
      </c>
      <c r="J63" s="112">
        <v>0.19</v>
      </c>
      <c r="K63" s="112">
        <v>287.68</v>
      </c>
      <c r="L63" s="112">
        <v>27.72</v>
      </c>
      <c r="M63" s="112">
        <v>34.35</v>
      </c>
      <c r="N63" s="112">
        <v>220.4</v>
      </c>
      <c r="O63" s="112">
        <v>0</v>
      </c>
      <c r="P63" s="112">
        <v>0.95</v>
      </c>
      <c r="Q63" s="112">
        <v>4.74</v>
      </c>
    </row>
    <row r="64" spans="1:17" customFormat="1">
      <c r="A64" s="80">
        <v>45619.583333333336</v>
      </c>
      <c r="B64" s="112">
        <v>4.01</v>
      </c>
      <c r="C64" s="112">
        <v>22.41</v>
      </c>
      <c r="D64" s="112">
        <v>16.28</v>
      </c>
      <c r="E64" s="112">
        <v>10.32</v>
      </c>
      <c r="F64" s="112">
        <v>10.69</v>
      </c>
      <c r="G64" s="112">
        <v>108.09</v>
      </c>
      <c r="H64" s="112">
        <v>42.35</v>
      </c>
      <c r="I64" s="112">
        <v>11.12</v>
      </c>
      <c r="J64" s="112">
        <v>0.43</v>
      </c>
      <c r="K64" s="112">
        <v>329.96</v>
      </c>
      <c r="L64" s="112">
        <v>27.24</v>
      </c>
      <c r="M64" s="112">
        <v>35.130000000000003</v>
      </c>
      <c r="N64" s="112">
        <v>130.30000000000001</v>
      </c>
      <c r="O64" s="112">
        <v>0</v>
      </c>
      <c r="P64" s="112">
        <v>0.95</v>
      </c>
      <c r="Q64" s="112">
        <v>4.75</v>
      </c>
    </row>
    <row r="65" spans="1:17" customFormat="1">
      <c r="A65" s="80">
        <v>45619.59375</v>
      </c>
      <c r="B65" s="112">
        <v>4</v>
      </c>
      <c r="C65" s="112">
        <v>22.47</v>
      </c>
      <c r="D65" s="112">
        <v>16.3</v>
      </c>
      <c r="E65" s="112">
        <v>11.38</v>
      </c>
      <c r="F65" s="112">
        <v>13.49</v>
      </c>
      <c r="G65" s="112">
        <v>108.1</v>
      </c>
      <c r="H65" s="112">
        <v>42.39</v>
      </c>
      <c r="I65" s="112">
        <v>11.09</v>
      </c>
      <c r="J65" s="112">
        <v>0.47</v>
      </c>
      <c r="K65" s="112">
        <v>309.42</v>
      </c>
      <c r="L65" s="112">
        <v>27.18</v>
      </c>
      <c r="M65" s="112">
        <v>35.49</v>
      </c>
      <c r="N65" s="112">
        <v>113.7</v>
      </c>
      <c r="O65" s="112">
        <v>0</v>
      </c>
      <c r="P65" s="112">
        <v>0.91</v>
      </c>
      <c r="Q65" s="112">
        <v>4.76</v>
      </c>
    </row>
    <row r="66" spans="1:17" customFormat="1">
      <c r="A66" s="80">
        <v>45619.604166666664</v>
      </c>
      <c r="B66" s="112">
        <v>4.08</v>
      </c>
      <c r="C66" s="112">
        <v>22.48</v>
      </c>
      <c r="D66" s="112">
        <v>16.37</v>
      </c>
      <c r="E66" s="112">
        <v>15.6</v>
      </c>
      <c r="F66" s="112">
        <v>11.72</v>
      </c>
      <c r="G66" s="112">
        <v>108.61</v>
      </c>
      <c r="H66" s="112">
        <v>44.82</v>
      </c>
      <c r="I66" s="112">
        <v>11.04</v>
      </c>
      <c r="J66" s="112">
        <v>0.42</v>
      </c>
      <c r="K66" s="112">
        <v>26.93</v>
      </c>
      <c r="L66" s="112">
        <v>27.19</v>
      </c>
      <c r="M66" s="112">
        <v>33.69</v>
      </c>
      <c r="N66" s="112">
        <v>97.9</v>
      </c>
      <c r="O66" s="112">
        <v>0</v>
      </c>
      <c r="P66" s="112">
        <v>0.95</v>
      </c>
      <c r="Q66" s="112">
        <v>4.76</v>
      </c>
    </row>
    <row r="67" spans="1:17" customFormat="1">
      <c r="A67" s="80">
        <v>45619.614583333336</v>
      </c>
      <c r="B67" s="112">
        <v>4.22</v>
      </c>
      <c r="C67" s="112">
        <v>22.06</v>
      </c>
      <c r="D67" s="112">
        <v>16.260000000000002</v>
      </c>
      <c r="E67" s="112">
        <v>13.25</v>
      </c>
      <c r="F67" s="112">
        <v>12.78</v>
      </c>
      <c r="G67" s="112">
        <v>108.61</v>
      </c>
      <c r="H67" s="112">
        <v>44.82</v>
      </c>
      <c r="I67" s="112">
        <v>10.95</v>
      </c>
      <c r="J67" s="112">
        <v>0.51</v>
      </c>
      <c r="K67" s="112">
        <v>7.42</v>
      </c>
      <c r="L67" s="112">
        <v>27.13</v>
      </c>
      <c r="M67" s="112">
        <v>33</v>
      </c>
      <c r="N67" s="112">
        <v>83.3</v>
      </c>
      <c r="O67" s="112">
        <v>0</v>
      </c>
      <c r="P67" s="112">
        <v>0.92</v>
      </c>
      <c r="Q67" s="112">
        <v>4.74</v>
      </c>
    </row>
    <row r="68" spans="1:17" customFormat="1">
      <c r="A68" s="80">
        <v>45619.625</v>
      </c>
      <c r="B68" s="112">
        <v>4.3600000000000003</v>
      </c>
      <c r="C68" s="112">
        <v>21.72</v>
      </c>
      <c r="D68" s="112">
        <v>16.2</v>
      </c>
      <c r="E68" s="112">
        <v>12.58</v>
      </c>
      <c r="F68" s="112">
        <v>10.050000000000001</v>
      </c>
      <c r="G68" s="112">
        <v>108.61</v>
      </c>
      <c r="H68" s="112">
        <v>44.82</v>
      </c>
      <c r="I68" s="112">
        <v>10.88</v>
      </c>
      <c r="J68" s="112">
        <v>0.34</v>
      </c>
      <c r="K68" s="112">
        <v>23.36</v>
      </c>
      <c r="L68" s="112">
        <v>26.91</v>
      </c>
      <c r="M68" s="112">
        <v>33.83</v>
      </c>
      <c r="N68" s="112">
        <v>72.3</v>
      </c>
      <c r="O68" s="112">
        <v>0</v>
      </c>
      <c r="P68" s="112">
        <v>0.91</v>
      </c>
      <c r="Q68" s="112">
        <v>4.75</v>
      </c>
    </row>
    <row r="69" spans="1:17" customFormat="1">
      <c r="A69" s="80">
        <v>45619.635416666664</v>
      </c>
      <c r="B69" s="112">
        <v>4.4000000000000004</v>
      </c>
      <c r="C69" s="112">
        <v>21.32</v>
      </c>
      <c r="D69" s="112">
        <v>16.010000000000002</v>
      </c>
      <c r="E69" s="112">
        <v>11.99</v>
      </c>
      <c r="F69" s="112">
        <v>12.04</v>
      </c>
      <c r="G69" s="112">
        <v>108.48</v>
      </c>
      <c r="H69" s="112">
        <v>44.81</v>
      </c>
      <c r="I69" s="112">
        <v>10.84</v>
      </c>
      <c r="J69" s="112">
        <v>0.32</v>
      </c>
      <c r="K69" s="112">
        <v>350.75</v>
      </c>
      <c r="L69" s="112">
        <v>26.9</v>
      </c>
      <c r="M69" s="112">
        <v>32.17</v>
      </c>
      <c r="N69" s="112">
        <v>68.5</v>
      </c>
      <c r="O69" s="112">
        <v>0</v>
      </c>
      <c r="P69" s="112">
        <v>0.91</v>
      </c>
      <c r="Q69" s="112">
        <v>4.7300000000000004</v>
      </c>
    </row>
    <row r="70" spans="1:17" customFormat="1">
      <c r="A70" s="80">
        <v>45619.645833333336</v>
      </c>
      <c r="B70" s="112">
        <v>4.43</v>
      </c>
      <c r="C70" s="112">
        <v>21.09</v>
      </c>
      <c r="D70" s="112">
        <v>15.92</v>
      </c>
      <c r="E70" s="112">
        <v>14.39</v>
      </c>
      <c r="F70" s="112">
        <v>11.99</v>
      </c>
      <c r="G70" s="112">
        <v>103.04</v>
      </c>
      <c r="H70" s="112">
        <v>44.44</v>
      </c>
      <c r="I70" s="112">
        <v>10.77</v>
      </c>
      <c r="J70" s="112">
        <v>0.35</v>
      </c>
      <c r="K70" s="112">
        <v>49.62</v>
      </c>
      <c r="L70" s="112">
        <v>26.92</v>
      </c>
      <c r="M70" s="112">
        <v>31.34</v>
      </c>
      <c r="N70" s="112">
        <v>57.6</v>
      </c>
      <c r="O70" s="112">
        <v>0</v>
      </c>
      <c r="P70" s="112">
        <v>0.9</v>
      </c>
      <c r="Q70" s="112">
        <v>4.75</v>
      </c>
    </row>
    <row r="71" spans="1:17" customFormat="1">
      <c r="A71" s="80">
        <v>45619.65625</v>
      </c>
      <c r="B71" s="112">
        <v>4.5</v>
      </c>
      <c r="C71" s="112">
        <v>20.97</v>
      </c>
      <c r="D71" s="112">
        <v>15.92</v>
      </c>
      <c r="E71" s="112">
        <v>11.98</v>
      </c>
      <c r="F71" s="112">
        <v>8.0399999999999991</v>
      </c>
      <c r="G71" s="112">
        <v>103.04</v>
      </c>
      <c r="H71" s="112">
        <v>44.44</v>
      </c>
      <c r="I71" s="112">
        <v>10.71</v>
      </c>
      <c r="J71" s="112">
        <v>0.21</v>
      </c>
      <c r="K71" s="112">
        <v>8.39</v>
      </c>
      <c r="L71" s="112">
        <v>26.75</v>
      </c>
      <c r="M71" s="112">
        <v>33.07</v>
      </c>
      <c r="N71" s="112">
        <v>49.4</v>
      </c>
      <c r="O71" s="112">
        <v>0</v>
      </c>
      <c r="P71" s="112">
        <v>0.91</v>
      </c>
      <c r="Q71" s="112">
        <v>4.74</v>
      </c>
    </row>
    <row r="72" spans="1:17" customFormat="1">
      <c r="A72" s="80">
        <v>45619.666666666664</v>
      </c>
      <c r="B72" s="112">
        <v>4.6100000000000003</v>
      </c>
      <c r="C72" s="112">
        <v>20.94</v>
      </c>
      <c r="D72" s="112">
        <v>15.99</v>
      </c>
      <c r="E72" s="112">
        <v>11.47</v>
      </c>
      <c r="F72" s="112">
        <v>8.65</v>
      </c>
      <c r="G72" s="112">
        <v>103.04</v>
      </c>
      <c r="H72" s="112">
        <v>44.44</v>
      </c>
      <c r="I72" s="112">
        <v>10.68</v>
      </c>
      <c r="J72" s="112">
        <v>0.25</v>
      </c>
      <c r="K72" s="112">
        <v>13.8</v>
      </c>
      <c r="L72" s="112">
        <v>26.53</v>
      </c>
      <c r="M72" s="112">
        <v>34.56</v>
      </c>
      <c r="N72" s="112">
        <v>38.299999999999997</v>
      </c>
      <c r="O72" s="112">
        <v>0</v>
      </c>
      <c r="P72" s="112">
        <v>0.93</v>
      </c>
      <c r="Q72" s="112">
        <v>4.72</v>
      </c>
    </row>
    <row r="73" spans="1:17" customFormat="1">
      <c r="A73" s="80">
        <v>45619.677083333336</v>
      </c>
      <c r="B73" s="112">
        <v>4.7699999999999996</v>
      </c>
      <c r="C73" s="112">
        <v>21.18</v>
      </c>
      <c r="D73" s="112">
        <v>16.239999999999998</v>
      </c>
      <c r="E73" s="112">
        <v>11.24</v>
      </c>
      <c r="F73" s="112">
        <v>7.99</v>
      </c>
      <c r="G73" s="112">
        <v>103.12</v>
      </c>
      <c r="H73" s="112">
        <v>44.46</v>
      </c>
      <c r="I73" s="112">
        <v>10.74</v>
      </c>
      <c r="J73" s="112">
        <v>0.28999999999999998</v>
      </c>
      <c r="K73" s="112">
        <v>35.85</v>
      </c>
      <c r="L73" s="112">
        <v>26.24</v>
      </c>
      <c r="M73" s="112">
        <v>36.229999999999997</v>
      </c>
      <c r="N73" s="112">
        <v>29.3</v>
      </c>
      <c r="O73" s="112">
        <v>0</v>
      </c>
      <c r="P73" s="112">
        <v>0.93</v>
      </c>
      <c r="Q73" s="112">
        <v>4.75</v>
      </c>
    </row>
    <row r="74" spans="1:17" customFormat="1">
      <c r="A74" s="80">
        <v>45619.6875</v>
      </c>
      <c r="B74" s="112">
        <v>5.04</v>
      </c>
      <c r="C74" s="112">
        <v>21.53</v>
      </c>
      <c r="D74" s="112">
        <v>16.64</v>
      </c>
      <c r="E74" s="112">
        <v>11.25</v>
      </c>
      <c r="F74" s="112">
        <v>7.52</v>
      </c>
      <c r="G74" s="112">
        <v>106.51</v>
      </c>
      <c r="H74" s="112">
        <v>45.43</v>
      </c>
      <c r="I74" s="112">
        <v>10.74</v>
      </c>
      <c r="J74" s="112">
        <v>0.28999999999999998</v>
      </c>
      <c r="K74" s="112">
        <v>41.17</v>
      </c>
      <c r="L74" s="112">
        <v>25.88</v>
      </c>
      <c r="M74" s="112">
        <v>37.07</v>
      </c>
      <c r="N74" s="112">
        <v>20.9</v>
      </c>
      <c r="O74" s="112">
        <v>0</v>
      </c>
      <c r="P74" s="112">
        <v>0.93</v>
      </c>
      <c r="Q74" s="112">
        <v>4.75</v>
      </c>
    </row>
    <row r="75" spans="1:17" customFormat="1">
      <c r="A75" s="80">
        <v>45619.697916666664</v>
      </c>
      <c r="B75" s="112">
        <v>5.5</v>
      </c>
      <c r="C75" s="112">
        <v>22.09</v>
      </c>
      <c r="D75" s="112">
        <v>17.3</v>
      </c>
      <c r="E75" s="112">
        <v>11.05</v>
      </c>
      <c r="F75" s="112">
        <v>6.55</v>
      </c>
      <c r="G75" s="112">
        <v>106.51</v>
      </c>
      <c r="H75" s="112">
        <v>45.43</v>
      </c>
      <c r="I75" s="112">
        <v>10.69</v>
      </c>
      <c r="J75" s="112">
        <v>0.3</v>
      </c>
      <c r="K75" s="112">
        <v>49.6</v>
      </c>
      <c r="L75" s="112">
        <v>25.35</v>
      </c>
      <c r="M75" s="112">
        <v>39.21</v>
      </c>
      <c r="N75" s="112">
        <v>13</v>
      </c>
      <c r="O75" s="112">
        <v>0</v>
      </c>
      <c r="P75" s="112">
        <v>0.94</v>
      </c>
      <c r="Q75" s="112">
        <v>4.74</v>
      </c>
    </row>
    <row r="76" spans="1:17" customFormat="1">
      <c r="A76" s="80">
        <v>45619.708333333336</v>
      </c>
      <c r="B76" s="112">
        <v>5.97</v>
      </c>
      <c r="C76" s="112">
        <v>22.56</v>
      </c>
      <c r="D76" s="112">
        <v>17.920000000000002</v>
      </c>
      <c r="E76" s="112">
        <v>10.8</v>
      </c>
      <c r="F76" s="112">
        <v>6.36</v>
      </c>
      <c r="G76" s="112">
        <v>106.51</v>
      </c>
      <c r="H76" s="112">
        <v>45.43</v>
      </c>
      <c r="I76" s="112">
        <v>10.65</v>
      </c>
      <c r="J76" s="112">
        <v>0.19</v>
      </c>
      <c r="K76" s="112">
        <v>50.5</v>
      </c>
      <c r="L76" s="112">
        <v>24.47</v>
      </c>
      <c r="M76" s="112">
        <v>43.52</v>
      </c>
      <c r="N76" s="112">
        <v>6.7</v>
      </c>
      <c r="O76" s="112">
        <v>0</v>
      </c>
      <c r="P76" s="112">
        <v>0.93</v>
      </c>
      <c r="Q76" s="112">
        <v>4.75</v>
      </c>
    </row>
    <row r="77" spans="1:17" customFormat="1">
      <c r="A77" s="80">
        <v>45619.71875</v>
      </c>
      <c r="B77" s="112">
        <v>6.33</v>
      </c>
      <c r="C77" s="112">
        <v>23.02</v>
      </c>
      <c r="D77" s="112">
        <v>18.46</v>
      </c>
      <c r="E77" s="112">
        <v>10.71</v>
      </c>
      <c r="F77" s="112">
        <v>6.01</v>
      </c>
      <c r="G77" s="112">
        <v>106.84</v>
      </c>
      <c r="H77" s="112">
        <v>45.42</v>
      </c>
      <c r="I77" s="112">
        <v>10.71</v>
      </c>
      <c r="J77" s="112">
        <v>0.17</v>
      </c>
      <c r="K77" s="112">
        <v>113.22</v>
      </c>
      <c r="L77" s="112">
        <v>23.51</v>
      </c>
      <c r="M77" s="112">
        <v>48.6</v>
      </c>
      <c r="N77" s="112">
        <v>3.3</v>
      </c>
      <c r="O77" s="112">
        <v>0</v>
      </c>
      <c r="P77" s="112">
        <v>0.94</v>
      </c>
      <c r="Q77" s="112">
        <v>4.76</v>
      </c>
    </row>
    <row r="78" spans="1:17" customFormat="1">
      <c r="A78" s="80">
        <v>45619.729166666664</v>
      </c>
      <c r="B78" s="112">
        <v>6.48</v>
      </c>
      <c r="C78" s="112">
        <v>23.23</v>
      </c>
      <c r="D78" s="112">
        <v>18.68</v>
      </c>
      <c r="E78" s="112">
        <v>10.08</v>
      </c>
      <c r="F78" s="112">
        <v>6.18</v>
      </c>
      <c r="G78" s="112">
        <v>121.37</v>
      </c>
      <c r="H78" s="112">
        <v>44.9</v>
      </c>
      <c r="I78" s="112">
        <v>10.74</v>
      </c>
      <c r="J78" s="112">
        <v>0.34</v>
      </c>
      <c r="K78" s="112">
        <v>167.52</v>
      </c>
      <c r="L78" s="112">
        <v>22.32</v>
      </c>
      <c r="M78" s="112">
        <v>53.98</v>
      </c>
      <c r="N78" s="112">
        <v>2.5</v>
      </c>
      <c r="O78" s="112">
        <v>0</v>
      </c>
      <c r="P78" s="112">
        <v>0.95</v>
      </c>
      <c r="Q78" s="112">
        <v>4.7699999999999996</v>
      </c>
    </row>
    <row r="79" spans="1:17" customFormat="1">
      <c r="A79" s="80">
        <v>45619.739583333336</v>
      </c>
      <c r="B79" s="112">
        <v>6.47</v>
      </c>
      <c r="C79" s="112">
        <v>23.25</v>
      </c>
      <c r="D79" s="112">
        <v>18.68</v>
      </c>
      <c r="E79" s="112">
        <v>10.62</v>
      </c>
      <c r="F79" s="112">
        <v>6.12</v>
      </c>
      <c r="G79" s="112">
        <v>121.37</v>
      </c>
      <c r="H79" s="112">
        <v>44.9</v>
      </c>
      <c r="I79" s="112">
        <v>10.69</v>
      </c>
      <c r="J79" s="112">
        <v>0.36</v>
      </c>
      <c r="K79" s="112">
        <v>163.96</v>
      </c>
      <c r="L79" s="112">
        <v>21.65</v>
      </c>
      <c r="M79" s="112">
        <v>56.65</v>
      </c>
      <c r="N79" s="112">
        <v>2.1</v>
      </c>
      <c r="O79" s="112">
        <v>0</v>
      </c>
      <c r="P79" s="112">
        <v>0.96</v>
      </c>
      <c r="Q79" s="112">
        <v>4.74</v>
      </c>
    </row>
    <row r="80" spans="1:17" customFormat="1">
      <c r="A80" s="80">
        <v>45619.75</v>
      </c>
      <c r="B80" s="112">
        <v>6.39</v>
      </c>
      <c r="C80" s="112">
        <v>23.32</v>
      </c>
      <c r="D80" s="112">
        <v>18.670000000000002</v>
      </c>
      <c r="E80" s="112">
        <v>10.09</v>
      </c>
      <c r="F80" s="112">
        <v>6.14</v>
      </c>
      <c r="G80" s="112">
        <v>121.37</v>
      </c>
      <c r="H80" s="112">
        <v>44.9</v>
      </c>
      <c r="I80" s="112">
        <v>10.71</v>
      </c>
      <c r="J80" s="112">
        <v>0.27</v>
      </c>
      <c r="K80" s="112">
        <v>162.97</v>
      </c>
      <c r="L80" s="112">
        <v>21.23</v>
      </c>
      <c r="M80" s="112">
        <v>58.12</v>
      </c>
      <c r="N80" s="112">
        <v>1.8</v>
      </c>
      <c r="O80" s="112">
        <v>0</v>
      </c>
      <c r="P80" s="112">
        <v>0.98</v>
      </c>
      <c r="Q80" s="112">
        <v>4.74</v>
      </c>
    </row>
    <row r="81" spans="1:17" customFormat="1">
      <c r="A81" s="80">
        <v>45619.760416666664</v>
      </c>
      <c r="B81" s="112">
        <v>6.4</v>
      </c>
      <c r="C81" s="112">
        <v>23.33</v>
      </c>
      <c r="D81" s="112">
        <v>18.68</v>
      </c>
      <c r="E81" s="112">
        <v>7.59</v>
      </c>
      <c r="F81" s="112">
        <v>5.73</v>
      </c>
      <c r="G81" s="112">
        <v>121.61</v>
      </c>
      <c r="H81" s="112">
        <v>44.86</v>
      </c>
      <c r="I81" s="112">
        <v>11.02</v>
      </c>
      <c r="J81" s="112">
        <v>0.23</v>
      </c>
      <c r="K81" s="112">
        <v>174.97</v>
      </c>
      <c r="L81" s="112">
        <v>20.76</v>
      </c>
      <c r="M81" s="112">
        <v>66.05</v>
      </c>
      <c r="N81" s="112">
        <v>1.8</v>
      </c>
      <c r="O81" s="112">
        <v>0</v>
      </c>
      <c r="P81" s="112">
        <v>1</v>
      </c>
      <c r="Q81" s="112">
        <v>4.74</v>
      </c>
    </row>
    <row r="82" spans="1:17" customFormat="1">
      <c r="A82" s="80">
        <v>45619.770833333336</v>
      </c>
      <c r="B82" s="112">
        <v>6.43</v>
      </c>
      <c r="C82" s="112">
        <v>23.25</v>
      </c>
      <c r="D82" s="112">
        <v>18.649999999999999</v>
      </c>
      <c r="E82" s="112">
        <v>10.11</v>
      </c>
      <c r="F82" s="112">
        <v>5.66</v>
      </c>
      <c r="G82" s="112">
        <v>132.13999999999999</v>
      </c>
      <c r="H82" s="112">
        <v>42.29</v>
      </c>
      <c r="I82" s="112">
        <v>11.51</v>
      </c>
      <c r="J82" s="112">
        <v>0.15</v>
      </c>
      <c r="K82" s="112">
        <v>218.22</v>
      </c>
      <c r="L82" s="112">
        <v>20.03</v>
      </c>
      <c r="M82" s="112">
        <v>68.45</v>
      </c>
      <c r="N82" s="112">
        <v>1.8</v>
      </c>
      <c r="O82" s="112">
        <v>0</v>
      </c>
      <c r="P82" s="112">
        <v>1.02</v>
      </c>
      <c r="Q82" s="112">
        <v>4.74</v>
      </c>
    </row>
    <row r="83" spans="1:17" customFormat="1">
      <c r="A83" s="80">
        <v>45619.78125</v>
      </c>
      <c r="B83" s="112">
        <v>6.43</v>
      </c>
      <c r="C83" s="112">
        <v>22.83</v>
      </c>
      <c r="D83" s="112">
        <v>18.440000000000001</v>
      </c>
      <c r="E83" s="112">
        <v>9.34</v>
      </c>
      <c r="F83" s="112">
        <v>5.97</v>
      </c>
      <c r="G83" s="112">
        <v>132.13999999999999</v>
      </c>
      <c r="H83" s="112">
        <v>42.29</v>
      </c>
      <c r="I83" s="112">
        <v>11.82</v>
      </c>
      <c r="J83" s="112">
        <v>0.16</v>
      </c>
      <c r="K83" s="112">
        <v>198.73</v>
      </c>
      <c r="L83" s="112">
        <v>19.73</v>
      </c>
      <c r="M83" s="112">
        <v>68.56</v>
      </c>
      <c r="N83" s="112">
        <v>1.6</v>
      </c>
      <c r="O83" s="112">
        <v>0</v>
      </c>
      <c r="P83" s="112">
        <v>1.03</v>
      </c>
      <c r="Q83" s="112">
        <v>4.74</v>
      </c>
    </row>
    <row r="84" spans="1:17" customFormat="1">
      <c r="A84" s="80">
        <v>45619.791666666664</v>
      </c>
      <c r="B84" s="112">
        <v>6.36</v>
      </c>
      <c r="C84" s="112">
        <v>22.52</v>
      </c>
      <c r="D84" s="112">
        <v>18.22</v>
      </c>
      <c r="E84" s="112">
        <v>9.68</v>
      </c>
      <c r="F84" s="112">
        <v>5.84</v>
      </c>
      <c r="G84" s="112">
        <v>132.13999999999999</v>
      </c>
      <c r="H84" s="112">
        <v>42.29</v>
      </c>
      <c r="I84" s="112">
        <v>12.03</v>
      </c>
      <c r="J84" s="112">
        <v>0.2</v>
      </c>
      <c r="K84" s="112">
        <v>195.52</v>
      </c>
      <c r="L84" s="112">
        <v>19.46</v>
      </c>
      <c r="M84" s="112">
        <v>73.3</v>
      </c>
      <c r="N84" s="112">
        <v>1.6</v>
      </c>
      <c r="O84" s="112">
        <v>0</v>
      </c>
      <c r="P84" s="112">
        <v>1.03</v>
      </c>
      <c r="Q84" s="112">
        <v>4.7300000000000004</v>
      </c>
    </row>
    <row r="85" spans="1:17" customFormat="1">
      <c r="A85" s="80">
        <v>45619.802083333336</v>
      </c>
      <c r="B85" s="112">
        <v>6.19</v>
      </c>
      <c r="C85" s="112">
        <v>22.49</v>
      </c>
      <c r="D85" s="112">
        <v>18.07</v>
      </c>
      <c r="E85" s="112">
        <v>8.9499999999999993</v>
      </c>
      <c r="F85" s="112">
        <v>5.76</v>
      </c>
      <c r="G85" s="112">
        <v>132.07</v>
      </c>
      <c r="H85" s="112">
        <v>42.34</v>
      </c>
      <c r="I85" s="112">
        <v>12.15</v>
      </c>
      <c r="J85" s="112">
        <v>0.15</v>
      </c>
      <c r="K85" s="112">
        <v>210</v>
      </c>
      <c r="L85" s="112">
        <v>19.37</v>
      </c>
      <c r="M85" s="112">
        <v>69.63</v>
      </c>
      <c r="N85" s="112">
        <v>1.4</v>
      </c>
      <c r="O85" s="112">
        <v>0</v>
      </c>
      <c r="P85" s="112">
        <v>1.06</v>
      </c>
      <c r="Q85" s="112">
        <v>4.76</v>
      </c>
    </row>
    <row r="86" spans="1:17" customFormat="1">
      <c r="A86" s="80">
        <v>45619.8125</v>
      </c>
      <c r="B86" s="112">
        <v>5.99</v>
      </c>
      <c r="C86" s="112">
        <v>22.66</v>
      </c>
      <c r="D86" s="112">
        <v>18</v>
      </c>
      <c r="E86" s="112">
        <v>8.92</v>
      </c>
      <c r="F86" s="112">
        <v>5.79</v>
      </c>
      <c r="G86" s="112">
        <v>128.88999999999999</v>
      </c>
      <c r="H86" s="112">
        <v>45.3</v>
      </c>
      <c r="I86" s="112">
        <v>12.21</v>
      </c>
      <c r="J86" s="112">
        <v>0.14000000000000001</v>
      </c>
      <c r="K86" s="112">
        <v>231.97</v>
      </c>
      <c r="L86" s="112">
        <v>19.18</v>
      </c>
      <c r="M86" s="112">
        <v>72.28</v>
      </c>
      <c r="N86" s="112">
        <v>1.4</v>
      </c>
      <c r="O86" s="112">
        <v>0</v>
      </c>
      <c r="P86" s="112">
        <v>1.07</v>
      </c>
      <c r="Q86" s="112">
        <v>4.76</v>
      </c>
    </row>
    <row r="87" spans="1:17" customFormat="1">
      <c r="A87" s="80">
        <v>45619.822916666664</v>
      </c>
      <c r="B87" s="112">
        <v>5.86</v>
      </c>
      <c r="C87" s="112">
        <v>22.92</v>
      </c>
      <c r="D87" s="112">
        <v>18.03</v>
      </c>
      <c r="E87" s="112">
        <v>8.73</v>
      </c>
      <c r="F87" s="112">
        <v>5.86</v>
      </c>
      <c r="G87" s="112">
        <v>128.88999999999999</v>
      </c>
      <c r="H87" s="112">
        <v>45.3</v>
      </c>
      <c r="I87" s="112">
        <v>12.24</v>
      </c>
      <c r="J87" s="112">
        <v>0.17</v>
      </c>
      <c r="K87" s="112">
        <v>231.44</v>
      </c>
      <c r="L87" s="112">
        <v>18.899999999999999</v>
      </c>
      <c r="M87" s="112">
        <v>73.34</v>
      </c>
      <c r="N87" s="112">
        <v>1.4</v>
      </c>
      <c r="O87" s="112">
        <v>0</v>
      </c>
      <c r="P87" s="112">
        <v>1.07</v>
      </c>
      <c r="Q87" s="112">
        <v>4.75</v>
      </c>
    </row>
    <row r="88" spans="1:17" customFormat="1">
      <c r="A88" s="80">
        <v>45619.833333333336</v>
      </c>
      <c r="B88" s="112">
        <v>5.78</v>
      </c>
      <c r="C88" s="112">
        <v>23.06</v>
      </c>
      <c r="D88" s="112">
        <v>18.03</v>
      </c>
      <c r="E88" s="112">
        <v>8.9499999999999993</v>
      </c>
      <c r="F88" s="112">
        <v>5.89</v>
      </c>
      <c r="G88" s="112">
        <v>128.88999999999999</v>
      </c>
      <c r="H88" s="112">
        <v>45.3</v>
      </c>
      <c r="I88" s="112">
        <v>12.19</v>
      </c>
      <c r="J88" s="112">
        <v>0.11</v>
      </c>
      <c r="K88" s="112">
        <v>207.11</v>
      </c>
      <c r="L88" s="112">
        <v>18.79</v>
      </c>
      <c r="M88" s="112">
        <v>72.34</v>
      </c>
      <c r="N88" s="112">
        <v>1.4</v>
      </c>
      <c r="O88" s="112">
        <v>0</v>
      </c>
      <c r="P88" s="112">
        <v>1.07</v>
      </c>
      <c r="Q88" s="112">
        <v>4.7699999999999996</v>
      </c>
    </row>
    <row r="89" spans="1:17" customFormat="1">
      <c r="A89" s="80">
        <v>45619.84375</v>
      </c>
      <c r="B89" s="112">
        <v>5.69</v>
      </c>
      <c r="C89" s="112">
        <v>23.12</v>
      </c>
      <c r="D89" s="112">
        <v>17.989999999999998</v>
      </c>
      <c r="E89" s="112">
        <v>8.67</v>
      </c>
      <c r="F89" s="112">
        <v>5.92</v>
      </c>
      <c r="G89" s="112">
        <v>129.56</v>
      </c>
      <c r="H89" s="112">
        <v>45.29</v>
      </c>
      <c r="I89" s="112">
        <v>12.13</v>
      </c>
      <c r="J89" s="112">
        <v>0.14000000000000001</v>
      </c>
      <c r="K89" s="112">
        <v>223.19</v>
      </c>
      <c r="L89" s="112">
        <v>18.66</v>
      </c>
      <c r="M89" s="112">
        <v>75.47</v>
      </c>
      <c r="N89" s="112">
        <v>1.4</v>
      </c>
      <c r="O89" s="112">
        <v>0</v>
      </c>
      <c r="P89" s="112">
        <v>1.06</v>
      </c>
      <c r="Q89" s="112">
        <v>4.76</v>
      </c>
    </row>
    <row r="90" spans="1:17" customFormat="1">
      <c r="A90" s="80">
        <v>45619.854166666664</v>
      </c>
      <c r="B90" s="112">
        <v>5.59</v>
      </c>
      <c r="C90" s="112">
        <v>23.06</v>
      </c>
      <c r="D90" s="112">
        <v>17.88</v>
      </c>
      <c r="E90" s="112">
        <v>8.91</v>
      </c>
      <c r="F90" s="112">
        <v>5.98</v>
      </c>
      <c r="G90" s="112">
        <v>158.91</v>
      </c>
      <c r="H90" s="112">
        <v>44.56</v>
      </c>
      <c r="I90" s="112">
        <v>12.1</v>
      </c>
      <c r="J90" s="112">
        <v>0.15</v>
      </c>
      <c r="K90" s="112">
        <v>184.1</v>
      </c>
      <c r="L90" s="112">
        <v>18.600000000000001</v>
      </c>
      <c r="M90" s="112">
        <v>71.53</v>
      </c>
      <c r="N90" s="112">
        <v>1.3</v>
      </c>
      <c r="O90" s="112">
        <v>0</v>
      </c>
      <c r="P90" s="112">
        <v>1.04</v>
      </c>
      <c r="Q90" s="112">
        <v>4.76</v>
      </c>
    </row>
    <row r="91" spans="1:17" customFormat="1">
      <c r="A91" s="80">
        <v>45619.864583333336</v>
      </c>
      <c r="B91" s="112">
        <v>5.42</v>
      </c>
      <c r="C91" s="112">
        <v>22.82</v>
      </c>
      <c r="D91" s="112">
        <v>17.62</v>
      </c>
      <c r="E91" s="112">
        <v>8.92</v>
      </c>
      <c r="F91" s="112">
        <v>6.38</v>
      </c>
      <c r="G91" s="112">
        <v>158.91</v>
      </c>
      <c r="H91" s="112">
        <v>44.56</v>
      </c>
      <c r="I91" s="112">
        <v>12.03</v>
      </c>
      <c r="J91" s="112">
        <v>0.16</v>
      </c>
      <c r="K91" s="112">
        <v>178.39</v>
      </c>
      <c r="L91" s="112">
        <v>18.53</v>
      </c>
      <c r="M91" s="112">
        <v>72.27</v>
      </c>
      <c r="N91" s="112">
        <v>1.3</v>
      </c>
      <c r="O91" s="112">
        <v>0</v>
      </c>
      <c r="P91" s="112">
        <v>1.02</v>
      </c>
      <c r="Q91" s="112">
        <v>4.76</v>
      </c>
    </row>
    <row r="92" spans="1:17" customFormat="1">
      <c r="A92" s="80">
        <v>45619.875</v>
      </c>
      <c r="B92" s="112">
        <v>5.22</v>
      </c>
      <c r="C92" s="112">
        <v>22.59</v>
      </c>
      <c r="D92" s="112">
        <v>17.34</v>
      </c>
      <c r="E92" s="112">
        <v>8.66</v>
      </c>
      <c r="F92" s="112">
        <v>6.28</v>
      </c>
      <c r="G92" s="112">
        <v>158.91</v>
      </c>
      <c r="H92" s="112">
        <v>44.56</v>
      </c>
      <c r="I92" s="112">
        <v>11.9</v>
      </c>
      <c r="J92" s="112">
        <v>0.17</v>
      </c>
      <c r="K92" s="112">
        <v>167.07</v>
      </c>
      <c r="L92" s="112">
        <v>18.579999999999998</v>
      </c>
      <c r="M92" s="112">
        <v>77.319999999999993</v>
      </c>
      <c r="N92" s="112">
        <v>1.2</v>
      </c>
      <c r="O92" s="112">
        <v>0</v>
      </c>
      <c r="P92" s="112">
        <v>1.02</v>
      </c>
      <c r="Q92" s="112">
        <v>4.76</v>
      </c>
    </row>
    <row r="93" spans="1:17" customFormat="1">
      <c r="A93" s="80">
        <v>45619.885416666664</v>
      </c>
      <c r="B93" s="112">
        <v>5.09</v>
      </c>
      <c r="C93" s="112">
        <v>22.1</v>
      </c>
      <c r="D93" s="112">
        <v>16.98</v>
      </c>
      <c r="E93" s="112">
        <v>8.75</v>
      </c>
      <c r="F93" s="112">
        <v>6.19</v>
      </c>
      <c r="G93" s="112">
        <v>158.44</v>
      </c>
      <c r="H93" s="112">
        <v>44.55</v>
      </c>
      <c r="I93" s="112">
        <v>11.8</v>
      </c>
      <c r="J93" s="112">
        <v>0.22</v>
      </c>
      <c r="K93" s="112">
        <v>159.57</v>
      </c>
      <c r="L93" s="112">
        <v>18.559999999999999</v>
      </c>
      <c r="M93" s="112">
        <v>77.87</v>
      </c>
      <c r="N93" s="112">
        <v>1.2</v>
      </c>
      <c r="O93" s="112">
        <v>0</v>
      </c>
      <c r="P93" s="112">
        <v>1.02</v>
      </c>
      <c r="Q93" s="112">
        <v>4.78</v>
      </c>
    </row>
    <row r="94" spans="1:17" customFormat="1">
      <c r="A94" s="80">
        <v>45619.895833333336</v>
      </c>
      <c r="B94" s="112">
        <v>4.99</v>
      </c>
      <c r="C94" s="112">
        <v>21.81</v>
      </c>
      <c r="D94" s="112">
        <v>16.75</v>
      </c>
      <c r="E94" s="112">
        <v>8.9600000000000009</v>
      </c>
      <c r="F94" s="112">
        <v>6.36</v>
      </c>
      <c r="G94" s="112">
        <v>137.4</v>
      </c>
      <c r="H94" s="112">
        <v>43.73</v>
      </c>
      <c r="I94" s="112">
        <v>11.72</v>
      </c>
      <c r="J94" s="112">
        <v>0.15</v>
      </c>
      <c r="K94" s="112">
        <v>208.75</v>
      </c>
      <c r="L94" s="112">
        <v>18.29</v>
      </c>
      <c r="M94" s="112">
        <v>75.3</v>
      </c>
      <c r="N94" s="112">
        <v>1.4</v>
      </c>
      <c r="O94" s="112">
        <v>0</v>
      </c>
      <c r="P94" s="112">
        <v>1</v>
      </c>
      <c r="Q94" s="112">
        <v>4.78</v>
      </c>
    </row>
    <row r="95" spans="1:17" customFormat="1">
      <c r="A95" s="80">
        <v>45619.90625</v>
      </c>
      <c r="B95" s="112">
        <v>4.9000000000000004</v>
      </c>
      <c r="C95" s="112">
        <v>21.49</v>
      </c>
      <c r="D95" s="112">
        <v>16.510000000000002</v>
      </c>
      <c r="E95" s="112">
        <v>8.3699999999999992</v>
      </c>
      <c r="F95" s="112">
        <v>6.24</v>
      </c>
      <c r="G95" s="112">
        <v>137.4</v>
      </c>
      <c r="H95" s="112">
        <v>43.73</v>
      </c>
      <c r="I95" s="112">
        <v>11.64</v>
      </c>
      <c r="J95" s="112">
        <v>0.2</v>
      </c>
      <c r="K95" s="112">
        <v>223.98</v>
      </c>
      <c r="L95" s="112">
        <v>17.88</v>
      </c>
      <c r="M95" s="112">
        <v>79.33</v>
      </c>
      <c r="N95" s="112">
        <v>1.7</v>
      </c>
      <c r="O95" s="112">
        <v>0</v>
      </c>
      <c r="P95" s="112">
        <v>1</v>
      </c>
      <c r="Q95" s="112">
        <v>4.76</v>
      </c>
    </row>
    <row r="96" spans="1:17" customFormat="1">
      <c r="A96" s="80">
        <v>45619.916666666664</v>
      </c>
      <c r="B96" s="112">
        <v>4.87</v>
      </c>
      <c r="C96" s="112">
        <v>21.19</v>
      </c>
      <c r="D96" s="112">
        <v>16.329999999999998</v>
      </c>
      <c r="E96" s="112">
        <v>8.58</v>
      </c>
      <c r="F96" s="112">
        <v>6.53</v>
      </c>
      <c r="G96" s="112">
        <v>137.4</v>
      </c>
      <c r="H96" s="112">
        <v>43.73</v>
      </c>
      <c r="I96" s="112">
        <v>11.58</v>
      </c>
      <c r="J96" s="112">
        <v>0.13</v>
      </c>
      <c r="K96" s="112">
        <v>186.71</v>
      </c>
      <c r="L96" s="112">
        <v>17.579999999999998</v>
      </c>
      <c r="M96" s="112">
        <v>79.11</v>
      </c>
      <c r="N96" s="112">
        <v>1.5</v>
      </c>
      <c r="O96" s="112">
        <v>0</v>
      </c>
      <c r="P96" s="112">
        <v>1</v>
      </c>
      <c r="Q96" s="112">
        <v>4.76</v>
      </c>
    </row>
    <row r="97" spans="1:22" customFormat="1">
      <c r="A97" s="80">
        <v>45619.927083333336</v>
      </c>
      <c r="B97" s="112">
        <v>4.84</v>
      </c>
      <c r="C97" s="112">
        <v>20.92</v>
      </c>
      <c r="D97" s="112">
        <v>16.16</v>
      </c>
      <c r="E97" s="112">
        <v>8.61</v>
      </c>
      <c r="F97" s="112">
        <v>6.37</v>
      </c>
      <c r="G97" s="112">
        <v>137.05000000000001</v>
      </c>
      <c r="H97" s="112">
        <v>43.62</v>
      </c>
      <c r="I97" s="112">
        <v>11.53</v>
      </c>
      <c r="J97" s="112">
        <v>0.15</v>
      </c>
      <c r="K97" s="112">
        <v>149.05000000000001</v>
      </c>
      <c r="L97" s="112">
        <v>17.739999999999998</v>
      </c>
      <c r="M97" s="112">
        <v>77.489999999999995</v>
      </c>
      <c r="N97" s="112">
        <v>1.2</v>
      </c>
      <c r="O97" s="112">
        <v>0</v>
      </c>
      <c r="P97" s="112">
        <v>0.99</v>
      </c>
      <c r="Q97" s="112">
        <v>4.75</v>
      </c>
    </row>
    <row r="98" spans="1:22" customFormat="1">
      <c r="A98" s="80">
        <v>45619.9375</v>
      </c>
      <c r="B98" s="112">
        <v>5.61</v>
      </c>
      <c r="C98" s="112">
        <v>21.28</v>
      </c>
      <c r="D98" s="112">
        <v>16.97</v>
      </c>
      <c r="E98" s="112">
        <v>8.73</v>
      </c>
      <c r="F98" s="112">
        <v>5.85</v>
      </c>
      <c r="G98" s="112">
        <v>121.75</v>
      </c>
      <c r="H98" s="112">
        <v>40.11</v>
      </c>
      <c r="I98" s="112">
        <v>11.49</v>
      </c>
      <c r="J98" s="112">
        <v>0.15</v>
      </c>
      <c r="K98" s="112">
        <v>201.18</v>
      </c>
      <c r="L98" s="112">
        <v>17.79</v>
      </c>
      <c r="M98" s="112">
        <v>76.13</v>
      </c>
      <c r="N98" s="112">
        <v>1.2</v>
      </c>
      <c r="O98" s="112">
        <v>0</v>
      </c>
      <c r="P98" s="112">
        <v>0.99</v>
      </c>
      <c r="Q98" s="112">
        <v>4.7699999999999996</v>
      </c>
    </row>
    <row r="99" spans="1:22" customFormat="1">
      <c r="A99" s="80">
        <v>45619.947916666664</v>
      </c>
      <c r="B99" s="112">
        <v>7.35</v>
      </c>
      <c r="C99" s="112">
        <v>22.64</v>
      </c>
      <c r="D99" s="112">
        <v>19.079999999999998</v>
      </c>
      <c r="E99" s="112">
        <v>8.3000000000000007</v>
      </c>
      <c r="F99" s="112">
        <v>5.51</v>
      </c>
      <c r="G99" s="112">
        <v>121.75</v>
      </c>
      <c r="H99" s="112">
        <v>40.11</v>
      </c>
      <c r="I99" s="112">
        <v>11.43</v>
      </c>
      <c r="J99" s="112">
        <v>0.16</v>
      </c>
      <c r="K99" s="112">
        <v>213.86</v>
      </c>
      <c r="L99" s="112">
        <v>17.47</v>
      </c>
      <c r="M99" s="112">
        <v>79.8</v>
      </c>
      <c r="N99" s="112">
        <v>1.4</v>
      </c>
      <c r="O99" s="112">
        <v>0</v>
      </c>
      <c r="P99" s="112">
        <v>1.01</v>
      </c>
      <c r="Q99" s="112">
        <v>4.78</v>
      </c>
    </row>
    <row r="100" spans="1:22" customFormat="1">
      <c r="A100" s="80">
        <v>45619.958333333336</v>
      </c>
      <c r="B100" s="112">
        <v>9.7100000000000009</v>
      </c>
      <c r="C100" s="112">
        <v>23.74</v>
      </c>
      <c r="D100" s="112">
        <v>21.54</v>
      </c>
      <c r="E100" s="112">
        <v>8.59</v>
      </c>
      <c r="F100" s="112">
        <v>5.45</v>
      </c>
      <c r="G100" s="112">
        <v>121.75</v>
      </c>
      <c r="H100" s="112">
        <v>40.11</v>
      </c>
      <c r="I100" s="112">
        <v>11.46</v>
      </c>
      <c r="J100" s="112">
        <v>0.21</v>
      </c>
      <c r="K100" s="112">
        <v>218.99</v>
      </c>
      <c r="L100" s="112">
        <v>17.18</v>
      </c>
      <c r="M100" s="112">
        <v>82.72</v>
      </c>
      <c r="N100" s="112">
        <v>1.5</v>
      </c>
      <c r="O100" s="112">
        <v>0</v>
      </c>
      <c r="P100" s="112">
        <v>1.04</v>
      </c>
      <c r="Q100" s="112">
        <v>4.76</v>
      </c>
    </row>
    <row r="101" spans="1:22" customFormat="1">
      <c r="A101" s="80">
        <v>45619.96875</v>
      </c>
      <c r="B101" s="112">
        <v>11.04</v>
      </c>
      <c r="C101" s="112">
        <v>24.3</v>
      </c>
      <c r="D101" s="112">
        <v>22.9</v>
      </c>
      <c r="E101" s="112">
        <v>8.76</v>
      </c>
      <c r="F101" s="112">
        <v>5.54</v>
      </c>
      <c r="G101" s="112">
        <v>121.93</v>
      </c>
      <c r="H101" s="112">
        <v>40.200000000000003</v>
      </c>
      <c r="I101" s="112">
        <v>11.56</v>
      </c>
      <c r="J101" s="112">
        <v>0.14000000000000001</v>
      </c>
      <c r="K101" s="112">
        <v>212.01</v>
      </c>
      <c r="L101" s="112">
        <v>16.940000000000001</v>
      </c>
      <c r="M101" s="112">
        <v>86.02</v>
      </c>
      <c r="N101" s="112">
        <v>1.5</v>
      </c>
      <c r="O101" s="112">
        <v>0</v>
      </c>
      <c r="P101" s="112">
        <v>1.04</v>
      </c>
      <c r="Q101" s="112">
        <v>4.7699999999999996</v>
      </c>
    </row>
    <row r="102" spans="1:22" customFormat="1">
      <c r="A102" s="80">
        <v>45619.979166666664</v>
      </c>
      <c r="B102" s="112">
        <v>10.92</v>
      </c>
      <c r="C102" s="112">
        <v>24.19</v>
      </c>
      <c r="D102" s="112">
        <v>22.74</v>
      </c>
      <c r="E102" s="112">
        <v>8.9499999999999993</v>
      </c>
      <c r="F102" s="112">
        <v>5.39</v>
      </c>
      <c r="G102" s="112">
        <v>129.76</v>
      </c>
      <c r="H102" s="112">
        <v>43.04</v>
      </c>
      <c r="I102" s="112">
        <v>11.65</v>
      </c>
      <c r="J102" s="112">
        <v>0.09</v>
      </c>
      <c r="K102" s="112">
        <v>124.22</v>
      </c>
      <c r="L102" s="112">
        <v>16.75</v>
      </c>
      <c r="M102" s="112">
        <v>84.54</v>
      </c>
      <c r="N102" s="112">
        <v>1.3</v>
      </c>
      <c r="O102" s="112">
        <v>0</v>
      </c>
      <c r="P102" s="112">
        <v>1.04</v>
      </c>
      <c r="Q102" s="112">
        <v>4.7699999999999996</v>
      </c>
    </row>
    <row r="103" spans="1:22" customFormat="1">
      <c r="A103" s="80">
        <v>45619.989583333336</v>
      </c>
      <c r="B103" s="112">
        <v>11.74</v>
      </c>
      <c r="C103" s="112">
        <v>24.15</v>
      </c>
      <c r="D103" s="112">
        <v>23.39</v>
      </c>
      <c r="E103" s="112">
        <v>8.32</v>
      </c>
      <c r="F103" s="112">
        <v>5.42</v>
      </c>
      <c r="G103" s="112">
        <v>129.76</v>
      </c>
      <c r="H103" s="112">
        <v>43.04</v>
      </c>
      <c r="I103" s="112">
        <v>11.72</v>
      </c>
      <c r="J103" s="112">
        <v>0.12</v>
      </c>
      <c r="K103" s="112">
        <v>155.21</v>
      </c>
      <c r="L103" s="112">
        <v>17.190000000000001</v>
      </c>
      <c r="M103" s="112">
        <v>80.55</v>
      </c>
      <c r="N103" s="112">
        <v>1.1000000000000001</v>
      </c>
      <c r="O103" s="112">
        <v>0</v>
      </c>
      <c r="P103" s="112">
        <v>1.06</v>
      </c>
      <c r="Q103" s="112">
        <v>4.76</v>
      </c>
    </row>
    <row r="104" spans="1:22" customFormat="1">
      <c r="A104" s="80">
        <v>45620</v>
      </c>
      <c r="B104" s="112">
        <v>14.86</v>
      </c>
      <c r="C104" s="112">
        <v>24.81</v>
      </c>
      <c r="D104" s="112">
        <v>26.23</v>
      </c>
      <c r="E104" s="112">
        <v>8.81</v>
      </c>
      <c r="F104" s="112">
        <v>5.35</v>
      </c>
      <c r="G104" s="112">
        <v>129.76</v>
      </c>
      <c r="H104" s="112">
        <v>43.04</v>
      </c>
      <c r="I104" s="112">
        <v>11.77</v>
      </c>
      <c r="J104" s="112">
        <v>0.16</v>
      </c>
      <c r="K104" s="112">
        <v>189.58</v>
      </c>
      <c r="L104" s="112">
        <v>17</v>
      </c>
      <c r="M104" s="112">
        <v>82.04</v>
      </c>
      <c r="N104" s="112">
        <v>1.3</v>
      </c>
      <c r="O104" s="112">
        <v>0</v>
      </c>
      <c r="P104" s="112">
        <v>1.0900000000000001</v>
      </c>
      <c r="Q104" s="112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</v>
      </c>
      <c r="C106" s="183">
        <f>MIN(C9:C104)</f>
        <v>19.32</v>
      </c>
      <c r="D106" s="183">
        <f t="shared" ref="D106:Q106" si="0">MIN(D9:D104)</f>
        <v>15.47</v>
      </c>
      <c r="E106" s="183">
        <f t="shared" si="0"/>
        <v>7.35</v>
      </c>
      <c r="F106" s="183">
        <f t="shared" si="0"/>
        <v>5.22</v>
      </c>
      <c r="G106" s="183">
        <f t="shared" si="0"/>
        <v>102.35</v>
      </c>
      <c r="H106" s="183">
        <f t="shared" si="0"/>
        <v>40.11</v>
      </c>
      <c r="I106" s="183">
        <f t="shared" si="0"/>
        <v>10.61</v>
      </c>
      <c r="J106" s="183">
        <f t="shared" si="0"/>
        <v>0.04</v>
      </c>
      <c r="K106" s="183">
        <f t="shared" si="0"/>
        <v>2.69</v>
      </c>
      <c r="L106" s="183">
        <f t="shared" si="0"/>
        <v>14.58</v>
      </c>
      <c r="M106" s="183">
        <f t="shared" si="0"/>
        <v>31.34</v>
      </c>
      <c r="N106" s="183">
        <f t="shared" si="0"/>
        <v>1</v>
      </c>
      <c r="O106" s="183">
        <f t="shared" si="0"/>
        <v>0</v>
      </c>
      <c r="P106" s="183">
        <f t="shared" si="0"/>
        <v>0.9</v>
      </c>
      <c r="Q106" s="183">
        <f t="shared" si="0"/>
        <v>4.72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19.190000000000001</v>
      </c>
      <c r="C107" s="184">
        <f t="shared" ref="C107:Q107" si="1">MAX(C9:C104)</f>
        <v>26.69</v>
      </c>
      <c r="D107" s="184">
        <f t="shared" si="1"/>
        <v>27.21</v>
      </c>
      <c r="E107" s="184">
        <f t="shared" si="1"/>
        <v>15.6</v>
      </c>
      <c r="F107" s="184">
        <f t="shared" si="1"/>
        <v>13.49</v>
      </c>
      <c r="G107" s="184">
        <f t="shared" si="1"/>
        <v>158.91</v>
      </c>
      <c r="H107" s="184">
        <f t="shared" si="1"/>
        <v>46.18</v>
      </c>
      <c r="I107" s="184">
        <f t="shared" si="1"/>
        <v>13.51</v>
      </c>
      <c r="J107" s="184">
        <f t="shared" si="1"/>
        <v>0.75</v>
      </c>
      <c r="K107" s="184">
        <f t="shared" si="1"/>
        <v>350.75</v>
      </c>
      <c r="L107" s="184">
        <f t="shared" si="1"/>
        <v>27.72</v>
      </c>
      <c r="M107" s="184">
        <f t="shared" si="1"/>
        <v>92.19</v>
      </c>
      <c r="N107" s="184">
        <f t="shared" si="1"/>
        <v>446.7</v>
      </c>
      <c r="O107" s="184">
        <f t="shared" si="1"/>
        <v>0</v>
      </c>
      <c r="P107" s="184">
        <f t="shared" si="1"/>
        <v>1.0900000000000001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9.6411458333333346</v>
      </c>
      <c r="C108" s="183">
        <f t="shared" ref="C108:Q108" si="2">AVERAGE(C9:C104)</f>
        <v>22.381770833333334</v>
      </c>
      <c r="D108" s="183">
        <f t="shared" si="2"/>
        <v>20.776041666666668</v>
      </c>
      <c r="E108" s="183">
        <f t="shared" si="2"/>
        <v>9.3255208333333339</v>
      </c>
      <c r="F108" s="183">
        <f t="shared" si="2"/>
        <v>6.8131250000000003</v>
      </c>
      <c r="G108" s="183">
        <f t="shared" si="2"/>
        <v>120.92281249999995</v>
      </c>
      <c r="H108" s="183">
        <f t="shared" si="2"/>
        <v>43.697083333333353</v>
      </c>
      <c r="I108" s="183">
        <f t="shared" si="2"/>
        <v>11.869687500000003</v>
      </c>
      <c r="J108" s="183">
        <f t="shared" si="2"/>
        <v>0.26333333333333331</v>
      </c>
      <c r="K108" s="183">
        <f t="shared" si="2"/>
        <v>133.94354166666665</v>
      </c>
      <c r="L108" s="183">
        <f t="shared" si="2"/>
        <v>20.350312500000005</v>
      </c>
      <c r="M108" s="183">
        <f t="shared" si="2"/>
        <v>64.921666666666681</v>
      </c>
      <c r="N108" s="183">
        <f t="shared" si="2"/>
        <v>91.865624999999923</v>
      </c>
      <c r="O108" s="183">
        <f t="shared" si="2"/>
        <v>0</v>
      </c>
      <c r="P108" s="183">
        <f t="shared" si="2"/>
        <v>1.0008333333333335</v>
      </c>
      <c r="Q108" s="183">
        <f t="shared" si="2"/>
        <v>4.7541666666666647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5.3312077963612001</v>
      </c>
      <c r="C109" s="183">
        <f t="shared" ref="C109:Q109" si="3">STDEV(C9:C104)</f>
        <v>1.6342009119486449</v>
      </c>
      <c r="D109" s="183">
        <f t="shared" si="3"/>
        <v>4.037425828985767</v>
      </c>
      <c r="E109" s="183">
        <f t="shared" si="3"/>
        <v>1.357031489214346</v>
      </c>
      <c r="F109" s="183">
        <f t="shared" si="3"/>
        <v>2.1210629472780349</v>
      </c>
      <c r="G109" s="183">
        <f t="shared" si="3"/>
        <v>12.690493889699148</v>
      </c>
      <c r="H109" s="183">
        <f t="shared" si="3"/>
        <v>1.5095464056714405</v>
      </c>
      <c r="I109" s="183">
        <f t="shared" si="3"/>
        <v>0.85075378728445517</v>
      </c>
      <c r="J109" s="183">
        <f t="shared" si="3"/>
        <v>0.17053270510014212</v>
      </c>
      <c r="K109" s="183">
        <f t="shared" si="3"/>
        <v>92.282100835931217</v>
      </c>
      <c r="L109" s="183">
        <f t="shared" si="3"/>
        <v>4.4893317878405581</v>
      </c>
      <c r="M109" s="183">
        <f t="shared" si="3"/>
        <v>20.651057302697517</v>
      </c>
      <c r="N109" s="183">
        <f t="shared" si="3"/>
        <v>144.21940290523366</v>
      </c>
      <c r="O109" s="183">
        <f t="shared" si="3"/>
        <v>0</v>
      </c>
      <c r="P109" s="183">
        <f t="shared" si="3"/>
        <v>4.4524781193743333E-2</v>
      </c>
      <c r="Q109" s="183">
        <f t="shared" si="3"/>
        <v>1.4412470233988695E-2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6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45620.010416666664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45620.010416666664</v>
      </c>
      <c r="B9" s="112">
        <v>19.100000000000001</v>
      </c>
      <c r="C9" s="112">
        <v>25.84</v>
      </c>
      <c r="D9" s="112">
        <v>30.17</v>
      </c>
      <c r="E9" s="112">
        <v>8.6199999999999992</v>
      </c>
      <c r="F9" s="112">
        <v>5.4</v>
      </c>
      <c r="G9" s="112">
        <v>130.1</v>
      </c>
      <c r="H9" s="112">
        <v>43.08</v>
      </c>
      <c r="I9" s="112">
        <v>11.88</v>
      </c>
      <c r="J9" s="112">
        <v>0.14000000000000001</v>
      </c>
      <c r="K9" s="112">
        <v>205.69</v>
      </c>
      <c r="L9" s="112">
        <v>16.690000000000001</v>
      </c>
      <c r="M9" s="112">
        <v>85.11</v>
      </c>
      <c r="N9" s="112">
        <v>1.4</v>
      </c>
      <c r="O9" s="112">
        <v>0</v>
      </c>
      <c r="P9" s="112">
        <v>1.1100000000000001</v>
      </c>
      <c r="Q9" s="112">
        <v>4.75</v>
      </c>
    </row>
    <row r="10" spans="1:21" customFormat="1">
      <c r="A10" s="80">
        <v>45620.020833333336</v>
      </c>
      <c r="B10" s="112">
        <v>20.78</v>
      </c>
      <c r="C10" s="112">
        <v>25.33</v>
      </c>
      <c r="D10" s="112">
        <v>31.25</v>
      </c>
      <c r="E10" s="112">
        <v>8.68</v>
      </c>
      <c r="F10" s="112">
        <v>5.4</v>
      </c>
      <c r="G10" s="112">
        <v>145.19</v>
      </c>
      <c r="H10" s="112">
        <v>45.6</v>
      </c>
      <c r="I10" s="112">
        <v>12.07</v>
      </c>
      <c r="J10" s="112">
        <v>0.18</v>
      </c>
      <c r="K10" s="112">
        <v>235.07</v>
      </c>
      <c r="L10" s="112">
        <v>16.420000000000002</v>
      </c>
      <c r="M10" s="112">
        <v>87.23</v>
      </c>
      <c r="N10" s="112">
        <v>1.4</v>
      </c>
      <c r="O10" s="112">
        <v>0</v>
      </c>
      <c r="P10" s="112">
        <v>1.0900000000000001</v>
      </c>
      <c r="Q10" s="112">
        <v>4.76</v>
      </c>
    </row>
    <row r="11" spans="1:21" customFormat="1">
      <c r="A11" s="80">
        <v>45620.03125</v>
      </c>
      <c r="B11" s="112">
        <v>23.4</v>
      </c>
      <c r="C11" s="112">
        <v>25.02</v>
      </c>
      <c r="D11" s="112">
        <v>33.19</v>
      </c>
      <c r="E11" s="112">
        <v>8.81</v>
      </c>
      <c r="F11" s="112">
        <v>5.51</v>
      </c>
      <c r="G11" s="112">
        <v>145.19</v>
      </c>
      <c r="H11" s="112">
        <v>45.6</v>
      </c>
      <c r="I11" s="112">
        <v>12.26</v>
      </c>
      <c r="J11" s="112">
        <v>0.11</v>
      </c>
      <c r="K11" s="112">
        <v>218.55</v>
      </c>
      <c r="L11" s="112">
        <v>16.309999999999999</v>
      </c>
      <c r="M11" s="112">
        <v>85.49</v>
      </c>
      <c r="N11" s="112">
        <v>1.3</v>
      </c>
      <c r="O11" s="112">
        <v>0</v>
      </c>
      <c r="P11" s="112">
        <v>1.1000000000000001</v>
      </c>
      <c r="Q11" s="112">
        <v>4.75</v>
      </c>
    </row>
    <row r="12" spans="1:21" customFormat="1">
      <c r="A12" s="80">
        <v>45620.041666666664</v>
      </c>
      <c r="B12" s="112">
        <v>27.79</v>
      </c>
      <c r="C12" s="112">
        <v>25.22</v>
      </c>
      <c r="D12" s="112">
        <v>36.82</v>
      </c>
      <c r="E12" s="112">
        <v>9.08</v>
      </c>
      <c r="F12" s="112">
        <v>5.57</v>
      </c>
      <c r="G12" s="112">
        <v>145.19</v>
      </c>
      <c r="H12" s="112">
        <v>45.6</v>
      </c>
      <c r="I12" s="112">
        <v>12.42</v>
      </c>
      <c r="J12" s="112">
        <v>0.15</v>
      </c>
      <c r="K12" s="112">
        <v>184.1</v>
      </c>
      <c r="L12" s="112">
        <v>16.37</v>
      </c>
      <c r="M12" s="112">
        <v>84.17</v>
      </c>
      <c r="N12" s="112">
        <v>1.3</v>
      </c>
      <c r="O12" s="112">
        <v>0</v>
      </c>
      <c r="P12" s="112">
        <v>1.1299999999999999</v>
      </c>
      <c r="Q12" s="112">
        <v>4.75</v>
      </c>
    </row>
    <row r="13" spans="1:21" customFormat="1">
      <c r="A13" s="80">
        <v>45620.052083333336</v>
      </c>
      <c r="B13" s="112">
        <v>32.03</v>
      </c>
      <c r="C13" s="112">
        <v>25.42</v>
      </c>
      <c r="D13" s="112">
        <v>40.32</v>
      </c>
      <c r="E13" s="112">
        <v>8.99</v>
      </c>
      <c r="F13" s="112">
        <v>5.53</v>
      </c>
      <c r="G13" s="112">
        <v>145.30000000000001</v>
      </c>
      <c r="H13" s="112">
        <v>45.63</v>
      </c>
      <c r="I13" s="112">
        <v>12.63</v>
      </c>
      <c r="J13" s="112">
        <v>0.12</v>
      </c>
      <c r="K13" s="112">
        <v>183.24</v>
      </c>
      <c r="L13" s="112">
        <v>16.28</v>
      </c>
      <c r="M13" s="112">
        <v>86.66</v>
      </c>
      <c r="N13" s="112">
        <v>1.4</v>
      </c>
      <c r="O13" s="112">
        <v>0</v>
      </c>
      <c r="P13" s="112">
        <v>1.1599999999999999</v>
      </c>
      <c r="Q13" s="112">
        <v>4.74</v>
      </c>
    </row>
    <row r="14" spans="1:21" customFormat="1">
      <c r="A14" s="80">
        <v>45620.0625</v>
      </c>
      <c r="B14" s="112">
        <v>34.33</v>
      </c>
      <c r="C14" s="112">
        <v>25.36</v>
      </c>
      <c r="D14" s="112">
        <v>42.13</v>
      </c>
      <c r="E14" s="112">
        <v>9.42</v>
      </c>
      <c r="F14" s="112">
        <v>5.45</v>
      </c>
      <c r="G14" s="112">
        <v>150.13</v>
      </c>
      <c r="H14" s="112">
        <v>46.8</v>
      </c>
      <c r="I14" s="112">
        <v>12.95</v>
      </c>
      <c r="J14" s="112">
        <v>0.15</v>
      </c>
      <c r="K14" s="112">
        <v>13.22</v>
      </c>
      <c r="L14" s="112">
        <v>16.11</v>
      </c>
      <c r="M14" s="112">
        <v>89.14</v>
      </c>
      <c r="N14" s="112">
        <v>1.2</v>
      </c>
      <c r="O14" s="112">
        <v>0</v>
      </c>
      <c r="P14" s="112">
        <v>1.17</v>
      </c>
      <c r="Q14" s="112">
        <v>4.74</v>
      </c>
    </row>
    <row r="15" spans="1:21" customFormat="1">
      <c r="A15" s="80">
        <v>45620.072916666664</v>
      </c>
      <c r="B15" s="112">
        <v>35.64</v>
      </c>
      <c r="C15" s="112">
        <v>25.05</v>
      </c>
      <c r="D15" s="112">
        <v>43.01</v>
      </c>
      <c r="E15" s="112">
        <v>9.31</v>
      </c>
      <c r="F15" s="112">
        <v>5.38</v>
      </c>
      <c r="G15" s="112">
        <v>150.13</v>
      </c>
      <c r="H15" s="112">
        <v>46.8</v>
      </c>
      <c r="I15" s="112">
        <v>13.21</v>
      </c>
      <c r="J15" s="112">
        <v>0.24</v>
      </c>
      <c r="K15" s="112">
        <v>43.92</v>
      </c>
      <c r="L15" s="112">
        <v>16.53</v>
      </c>
      <c r="M15" s="112">
        <v>81.08</v>
      </c>
      <c r="N15" s="112">
        <v>0.9</v>
      </c>
      <c r="O15" s="112">
        <v>0</v>
      </c>
      <c r="P15" s="112">
        <v>1.18</v>
      </c>
      <c r="Q15" s="112">
        <v>4.7300000000000004</v>
      </c>
    </row>
    <row r="16" spans="1:21" customFormat="1">
      <c r="A16" s="80">
        <v>45620.083333333336</v>
      </c>
      <c r="B16" s="112">
        <v>35.92</v>
      </c>
      <c r="C16" s="112">
        <v>24.7</v>
      </c>
      <c r="D16" s="112">
        <v>43.06</v>
      </c>
      <c r="E16" s="112">
        <v>9.17</v>
      </c>
      <c r="F16" s="112">
        <v>5.82</v>
      </c>
      <c r="G16" s="112">
        <v>150.13</v>
      </c>
      <c r="H16" s="112">
        <v>46.8</v>
      </c>
      <c r="I16" s="112">
        <v>13.33</v>
      </c>
      <c r="J16" s="112">
        <v>0.24</v>
      </c>
      <c r="K16" s="112">
        <v>31.72</v>
      </c>
      <c r="L16" s="112">
        <v>16.55</v>
      </c>
      <c r="M16" s="112">
        <v>79.78</v>
      </c>
      <c r="N16" s="112">
        <v>1.2</v>
      </c>
      <c r="O16" s="112">
        <v>0</v>
      </c>
      <c r="P16" s="112">
        <v>1.2</v>
      </c>
      <c r="Q16" s="112">
        <v>4.74</v>
      </c>
    </row>
    <row r="17" spans="1:17" customFormat="1">
      <c r="A17" s="80">
        <v>45620.09375</v>
      </c>
      <c r="B17" s="112">
        <v>35.44</v>
      </c>
      <c r="C17" s="112">
        <v>24.45</v>
      </c>
      <c r="D17" s="112">
        <v>42.55</v>
      </c>
      <c r="E17" s="112">
        <v>6.75</v>
      </c>
      <c r="F17" s="112">
        <v>5.8</v>
      </c>
      <c r="G17" s="112">
        <v>150.11000000000001</v>
      </c>
      <c r="H17" s="112">
        <v>46.82</v>
      </c>
      <c r="I17" s="112">
        <v>13.52</v>
      </c>
      <c r="J17" s="112">
        <v>0.34</v>
      </c>
      <c r="K17" s="112">
        <v>45.46</v>
      </c>
      <c r="L17" s="112">
        <v>16.510000000000002</v>
      </c>
      <c r="M17" s="112">
        <v>79.349999999999994</v>
      </c>
      <c r="N17" s="112">
        <v>1.3</v>
      </c>
      <c r="O17" s="112">
        <v>0</v>
      </c>
      <c r="P17" s="112">
        <v>1.2</v>
      </c>
      <c r="Q17" s="112">
        <v>4.74</v>
      </c>
    </row>
    <row r="18" spans="1:17" customFormat="1">
      <c r="A18" s="80">
        <v>45620.104166666664</v>
      </c>
      <c r="B18" s="112">
        <v>34.68</v>
      </c>
      <c r="C18" s="112">
        <v>24.22</v>
      </c>
      <c r="D18" s="112">
        <v>41.81</v>
      </c>
      <c r="E18" s="112">
        <v>7.54</v>
      </c>
      <c r="F18" s="112">
        <v>5.4</v>
      </c>
      <c r="G18" s="112">
        <v>149.29</v>
      </c>
      <c r="H18" s="112">
        <v>47.98</v>
      </c>
      <c r="I18" s="112">
        <v>13.81</v>
      </c>
      <c r="J18" s="112">
        <v>0.04</v>
      </c>
      <c r="K18" s="112">
        <v>101.75</v>
      </c>
      <c r="L18" s="112">
        <v>16.38</v>
      </c>
      <c r="M18" s="112">
        <v>80.42</v>
      </c>
      <c r="N18" s="112">
        <v>1.5</v>
      </c>
      <c r="O18" s="112">
        <v>0</v>
      </c>
      <c r="P18" s="112">
        <v>1.21</v>
      </c>
      <c r="Q18" s="112">
        <v>4.74</v>
      </c>
    </row>
    <row r="19" spans="1:17" customFormat="1">
      <c r="A19" s="80">
        <v>45620.114583333336</v>
      </c>
      <c r="B19" s="112">
        <v>33.520000000000003</v>
      </c>
      <c r="C19" s="112">
        <v>24.06</v>
      </c>
      <c r="D19" s="112">
        <v>40.799999999999997</v>
      </c>
      <c r="E19" s="112">
        <v>7.4</v>
      </c>
      <c r="F19" s="112">
        <v>5.45</v>
      </c>
      <c r="G19" s="112">
        <v>149.29</v>
      </c>
      <c r="H19" s="112">
        <v>47.98</v>
      </c>
      <c r="I19" s="112">
        <v>14.06</v>
      </c>
      <c r="J19" s="112">
        <v>0.11</v>
      </c>
      <c r="K19" s="112">
        <v>181.42</v>
      </c>
      <c r="L19" s="112">
        <v>16.010000000000002</v>
      </c>
      <c r="M19" s="112">
        <v>82.95</v>
      </c>
      <c r="N19" s="112">
        <v>1.6</v>
      </c>
      <c r="O19" s="112">
        <v>0</v>
      </c>
      <c r="P19" s="112">
        <v>1.21</v>
      </c>
      <c r="Q19" s="112">
        <v>4.75</v>
      </c>
    </row>
    <row r="20" spans="1:17" customFormat="1">
      <c r="A20" s="80">
        <v>45620.125</v>
      </c>
      <c r="B20" s="112">
        <v>32.15</v>
      </c>
      <c r="C20" s="112">
        <v>23.73</v>
      </c>
      <c r="D20" s="112">
        <v>39.53</v>
      </c>
      <c r="E20" s="112">
        <v>7.96</v>
      </c>
      <c r="F20" s="112">
        <v>5.67</v>
      </c>
      <c r="G20" s="112">
        <v>149.29</v>
      </c>
      <c r="H20" s="112">
        <v>47.98</v>
      </c>
      <c r="I20" s="112">
        <v>14.22</v>
      </c>
      <c r="J20" s="112">
        <v>0.2</v>
      </c>
      <c r="K20" s="112">
        <v>184.32</v>
      </c>
      <c r="L20" s="112">
        <v>15.67</v>
      </c>
      <c r="M20" s="112">
        <v>85.51</v>
      </c>
      <c r="N20" s="112">
        <v>1.4</v>
      </c>
      <c r="O20" s="112">
        <v>0</v>
      </c>
      <c r="P20" s="112">
        <v>1.21</v>
      </c>
      <c r="Q20" s="112">
        <v>4.75</v>
      </c>
    </row>
    <row r="21" spans="1:17" customFormat="1">
      <c r="A21" s="80">
        <v>45620.135416666664</v>
      </c>
      <c r="B21" s="112">
        <v>30.69</v>
      </c>
      <c r="C21" s="112">
        <v>23.47</v>
      </c>
      <c r="D21" s="112">
        <v>38.229999999999997</v>
      </c>
      <c r="E21" s="112">
        <v>8.1999999999999993</v>
      </c>
      <c r="F21" s="112">
        <v>5.71</v>
      </c>
      <c r="G21" s="112">
        <v>149.07</v>
      </c>
      <c r="H21" s="112">
        <v>48</v>
      </c>
      <c r="I21" s="112">
        <v>14.29</v>
      </c>
      <c r="J21" s="112">
        <v>0.12</v>
      </c>
      <c r="K21" s="112">
        <v>222.75</v>
      </c>
      <c r="L21" s="112">
        <v>15.37</v>
      </c>
      <c r="M21" s="112">
        <v>89.81</v>
      </c>
      <c r="N21" s="112">
        <v>1.7</v>
      </c>
      <c r="O21" s="112">
        <v>0</v>
      </c>
      <c r="P21" s="112">
        <v>1.22</v>
      </c>
      <c r="Q21" s="112">
        <v>4.75</v>
      </c>
    </row>
    <row r="22" spans="1:17" customFormat="1">
      <c r="A22" s="80">
        <v>45620.145833333336</v>
      </c>
      <c r="B22" s="112">
        <v>29.15</v>
      </c>
      <c r="C22" s="112">
        <v>23.18</v>
      </c>
      <c r="D22" s="112">
        <v>36.840000000000003</v>
      </c>
      <c r="E22" s="112">
        <v>8.26</v>
      </c>
      <c r="F22" s="112">
        <v>5.42</v>
      </c>
      <c r="G22" s="112">
        <v>139.68</v>
      </c>
      <c r="H22" s="112">
        <v>49.49</v>
      </c>
      <c r="I22" s="112">
        <v>14.34</v>
      </c>
      <c r="J22" s="112">
        <v>0.08</v>
      </c>
      <c r="K22" s="112">
        <v>179.62</v>
      </c>
      <c r="L22" s="112">
        <v>14.98</v>
      </c>
      <c r="M22" s="112">
        <v>91.26</v>
      </c>
      <c r="N22" s="112">
        <v>1.5</v>
      </c>
      <c r="O22" s="112">
        <v>0</v>
      </c>
      <c r="P22" s="112">
        <v>1.21</v>
      </c>
      <c r="Q22" s="112">
        <v>4.75</v>
      </c>
    </row>
    <row r="23" spans="1:17" customFormat="1">
      <c r="A23" s="80">
        <v>45620.15625</v>
      </c>
      <c r="B23" s="112">
        <v>28.23</v>
      </c>
      <c r="C23" s="112">
        <v>22.76</v>
      </c>
      <c r="D23" s="112">
        <v>35.880000000000003</v>
      </c>
      <c r="E23" s="112">
        <v>8.07</v>
      </c>
      <c r="F23" s="112">
        <v>5.35</v>
      </c>
      <c r="G23" s="112">
        <v>139.68</v>
      </c>
      <c r="H23" s="112">
        <v>49.49</v>
      </c>
      <c r="I23" s="112">
        <v>14.38</v>
      </c>
      <c r="J23" s="112">
        <v>0.03</v>
      </c>
      <c r="K23" s="112">
        <v>40.15</v>
      </c>
      <c r="L23" s="112">
        <v>14.97</v>
      </c>
      <c r="M23" s="112">
        <v>90.3</v>
      </c>
      <c r="N23" s="112">
        <v>1.3</v>
      </c>
      <c r="O23" s="112">
        <v>0</v>
      </c>
      <c r="P23" s="112">
        <v>1.21</v>
      </c>
      <c r="Q23" s="112">
        <v>4.76</v>
      </c>
    </row>
    <row r="24" spans="1:17" customFormat="1">
      <c r="A24" s="80">
        <v>45620.166666666664</v>
      </c>
      <c r="B24" s="112">
        <v>28.88</v>
      </c>
      <c r="C24" s="112">
        <v>22.71</v>
      </c>
      <c r="D24" s="112">
        <v>36.369999999999997</v>
      </c>
      <c r="E24" s="112">
        <v>7.78</v>
      </c>
      <c r="F24" s="112">
        <v>5.45</v>
      </c>
      <c r="G24" s="112">
        <v>139.68</v>
      </c>
      <c r="H24" s="112">
        <v>49.49</v>
      </c>
      <c r="I24" s="112">
        <v>14.46</v>
      </c>
      <c r="J24" s="112">
        <v>7.0000000000000007E-2</v>
      </c>
      <c r="K24" s="112">
        <v>0.49</v>
      </c>
      <c r="L24" s="112">
        <v>15.17</v>
      </c>
      <c r="M24" s="112">
        <v>87.57</v>
      </c>
      <c r="N24" s="112">
        <v>1.1000000000000001</v>
      </c>
      <c r="O24" s="112">
        <v>0</v>
      </c>
      <c r="P24" s="112">
        <v>1.21</v>
      </c>
      <c r="Q24" s="112">
        <v>4.75</v>
      </c>
    </row>
    <row r="25" spans="1:17" customFormat="1">
      <c r="A25" s="80">
        <v>45620.177083333336</v>
      </c>
      <c r="B25" s="112">
        <v>29.44</v>
      </c>
      <c r="C25" s="112">
        <v>22.71</v>
      </c>
      <c r="D25" s="112">
        <v>36.83</v>
      </c>
      <c r="E25" s="112">
        <v>8.1300000000000008</v>
      </c>
      <c r="F25" s="112">
        <v>5.27</v>
      </c>
      <c r="G25" s="112">
        <v>139.62</v>
      </c>
      <c r="H25" s="112">
        <v>49.5</v>
      </c>
      <c r="I25" s="112">
        <v>14.59</v>
      </c>
      <c r="J25" s="112">
        <v>7.0000000000000007E-2</v>
      </c>
      <c r="K25" s="112">
        <v>176.64</v>
      </c>
      <c r="L25" s="112">
        <v>15.24</v>
      </c>
      <c r="M25" s="112">
        <v>86.16</v>
      </c>
      <c r="N25" s="112">
        <v>1.2</v>
      </c>
      <c r="O25" s="112">
        <v>0</v>
      </c>
      <c r="P25" s="112">
        <v>1.21</v>
      </c>
      <c r="Q25" s="112">
        <v>4.74</v>
      </c>
    </row>
    <row r="26" spans="1:17" customFormat="1">
      <c r="A26" s="80">
        <v>45620.1875</v>
      </c>
      <c r="B26" s="112">
        <v>29.69</v>
      </c>
      <c r="C26" s="112">
        <v>22.9</v>
      </c>
      <c r="D26" s="112">
        <v>37.119999999999997</v>
      </c>
      <c r="E26" s="112">
        <v>7.76</v>
      </c>
      <c r="F26" s="112">
        <v>5.3</v>
      </c>
      <c r="G26" s="112">
        <v>136.94</v>
      </c>
      <c r="H26" s="112">
        <v>50.32</v>
      </c>
      <c r="I26" s="112">
        <v>14.74</v>
      </c>
      <c r="J26" s="112">
        <v>0.13</v>
      </c>
      <c r="K26" s="112">
        <v>216.88</v>
      </c>
      <c r="L26" s="112">
        <v>15.06</v>
      </c>
      <c r="M26" s="112">
        <v>87.11</v>
      </c>
      <c r="N26" s="112">
        <v>1.4</v>
      </c>
      <c r="O26" s="112">
        <v>0</v>
      </c>
      <c r="P26" s="112">
        <v>1.21</v>
      </c>
      <c r="Q26" s="112">
        <v>4.74</v>
      </c>
    </row>
    <row r="27" spans="1:17" customFormat="1">
      <c r="A27" s="80">
        <v>45620.197916666664</v>
      </c>
      <c r="B27" s="112">
        <v>29.44</v>
      </c>
      <c r="C27" s="112">
        <v>22.74</v>
      </c>
      <c r="D27" s="112">
        <v>36.840000000000003</v>
      </c>
      <c r="E27" s="112">
        <v>7.49</v>
      </c>
      <c r="F27" s="112">
        <v>5.52</v>
      </c>
      <c r="G27" s="112">
        <v>136.94</v>
      </c>
      <c r="H27" s="112">
        <v>50.32</v>
      </c>
      <c r="I27" s="112">
        <v>14.8</v>
      </c>
      <c r="J27" s="112">
        <v>0.12</v>
      </c>
      <c r="K27" s="112">
        <v>150.6</v>
      </c>
      <c r="L27" s="112">
        <v>15.04</v>
      </c>
      <c r="M27" s="112">
        <v>88.93</v>
      </c>
      <c r="N27" s="112">
        <v>1.2</v>
      </c>
      <c r="O27" s="112">
        <v>0</v>
      </c>
      <c r="P27" s="112">
        <v>1.19</v>
      </c>
      <c r="Q27" s="112">
        <v>4.74</v>
      </c>
    </row>
    <row r="28" spans="1:17" customFormat="1">
      <c r="A28" s="80">
        <v>45620.208333333336</v>
      </c>
      <c r="B28" s="112">
        <v>29.21</v>
      </c>
      <c r="C28" s="112">
        <v>22.73</v>
      </c>
      <c r="D28" s="112">
        <v>36.65</v>
      </c>
      <c r="E28" s="112">
        <v>7.76</v>
      </c>
      <c r="F28" s="112">
        <v>5.51</v>
      </c>
      <c r="G28" s="112">
        <v>136.94</v>
      </c>
      <c r="H28" s="112">
        <v>50.32</v>
      </c>
      <c r="I28" s="112">
        <v>14.86</v>
      </c>
      <c r="J28" s="112">
        <v>0.26</v>
      </c>
      <c r="K28" s="112">
        <v>42.15</v>
      </c>
      <c r="L28" s="112">
        <v>15.45</v>
      </c>
      <c r="M28" s="112">
        <v>81.53</v>
      </c>
      <c r="N28" s="112">
        <v>0.7</v>
      </c>
      <c r="O28" s="112">
        <v>0</v>
      </c>
      <c r="P28" s="112">
        <v>1.21</v>
      </c>
      <c r="Q28" s="112">
        <v>4.7699999999999996</v>
      </c>
    </row>
    <row r="29" spans="1:17" customFormat="1">
      <c r="A29" s="80">
        <v>45620.21875</v>
      </c>
      <c r="B29" s="112">
        <v>28.74</v>
      </c>
      <c r="C29" s="112">
        <v>23.01</v>
      </c>
      <c r="D29" s="112">
        <v>36.42</v>
      </c>
      <c r="E29" s="112">
        <v>7.06</v>
      </c>
      <c r="F29" s="112">
        <v>5.31</v>
      </c>
      <c r="G29" s="112">
        <v>136.62</v>
      </c>
      <c r="H29" s="112">
        <v>50.27</v>
      </c>
      <c r="I29" s="112">
        <v>14.92</v>
      </c>
      <c r="J29" s="112">
        <v>0.09</v>
      </c>
      <c r="K29" s="112">
        <v>131.57</v>
      </c>
      <c r="L29" s="112">
        <v>15.68</v>
      </c>
      <c r="M29" s="112">
        <v>80.36</v>
      </c>
      <c r="N29" s="112">
        <v>1.2</v>
      </c>
      <c r="O29" s="112">
        <v>0</v>
      </c>
      <c r="P29" s="112">
        <v>1.21</v>
      </c>
      <c r="Q29" s="112">
        <v>4.76</v>
      </c>
    </row>
    <row r="30" spans="1:17" customFormat="1">
      <c r="A30" s="80">
        <v>45620.229166666664</v>
      </c>
      <c r="B30" s="112">
        <v>28.01</v>
      </c>
      <c r="C30" s="112">
        <v>23.31</v>
      </c>
      <c r="D30" s="112">
        <v>35.99</v>
      </c>
      <c r="E30" s="112">
        <v>7.39</v>
      </c>
      <c r="F30" s="112">
        <v>5.47</v>
      </c>
      <c r="G30" s="112">
        <v>122.49</v>
      </c>
      <c r="H30" s="112">
        <v>48.56</v>
      </c>
      <c r="I30" s="112">
        <v>14.9</v>
      </c>
      <c r="J30" s="112">
        <v>0.15</v>
      </c>
      <c r="K30" s="112">
        <v>217.23</v>
      </c>
      <c r="L30" s="112">
        <v>15.23</v>
      </c>
      <c r="M30" s="112">
        <v>83.97</v>
      </c>
      <c r="N30" s="112">
        <v>1.6</v>
      </c>
      <c r="O30" s="112">
        <v>0</v>
      </c>
      <c r="P30" s="112">
        <v>1.2</v>
      </c>
      <c r="Q30" s="112">
        <v>4.78</v>
      </c>
    </row>
    <row r="31" spans="1:17" customFormat="1">
      <c r="A31" s="80">
        <v>45620.239583333336</v>
      </c>
      <c r="B31" s="112">
        <v>26.89</v>
      </c>
      <c r="C31" s="112">
        <v>23.33</v>
      </c>
      <c r="D31" s="112">
        <v>35.1</v>
      </c>
      <c r="E31" s="112">
        <v>7.49</v>
      </c>
      <c r="F31" s="112">
        <v>5.55</v>
      </c>
      <c r="G31" s="112">
        <v>122.49</v>
      </c>
      <c r="H31" s="112">
        <v>48.56</v>
      </c>
      <c r="I31" s="112">
        <v>14.83</v>
      </c>
      <c r="J31" s="112">
        <v>0.09</v>
      </c>
      <c r="K31" s="112">
        <v>192.9</v>
      </c>
      <c r="L31" s="112">
        <v>14.74</v>
      </c>
      <c r="M31" s="112">
        <v>87.83</v>
      </c>
      <c r="N31" s="112">
        <v>1.6</v>
      </c>
      <c r="O31" s="112">
        <v>0</v>
      </c>
      <c r="P31" s="112">
        <v>1.19</v>
      </c>
      <c r="Q31" s="112">
        <v>4.78</v>
      </c>
    </row>
    <row r="32" spans="1:17" customFormat="1">
      <c r="A32" s="80">
        <v>45620.25</v>
      </c>
      <c r="B32" s="112">
        <v>26.63</v>
      </c>
      <c r="C32" s="112">
        <v>23.33</v>
      </c>
      <c r="D32" s="112">
        <v>34.9</v>
      </c>
      <c r="E32" s="112">
        <v>7.15</v>
      </c>
      <c r="F32" s="112">
        <v>5.38</v>
      </c>
      <c r="G32" s="112">
        <v>122.49</v>
      </c>
      <c r="H32" s="112">
        <v>48.56</v>
      </c>
      <c r="I32" s="112">
        <v>14.74</v>
      </c>
      <c r="J32" s="112">
        <v>7.0000000000000007E-2</v>
      </c>
      <c r="K32" s="112">
        <v>68.14</v>
      </c>
      <c r="L32" s="112">
        <v>14.76</v>
      </c>
      <c r="M32" s="112">
        <v>86.9</v>
      </c>
      <c r="N32" s="112">
        <v>1.4</v>
      </c>
      <c r="O32" s="112">
        <v>0</v>
      </c>
      <c r="P32" s="112">
        <v>1.17</v>
      </c>
      <c r="Q32" s="112">
        <v>4.7699999999999996</v>
      </c>
    </row>
    <row r="33" spans="1:17" customFormat="1">
      <c r="A33" s="80">
        <v>45620.260416666664</v>
      </c>
      <c r="B33" s="112">
        <v>27.92</v>
      </c>
      <c r="C33" s="112">
        <v>23.45</v>
      </c>
      <c r="D33" s="112">
        <v>35.99</v>
      </c>
      <c r="E33" s="112">
        <v>7</v>
      </c>
      <c r="F33" s="112">
        <v>5.35</v>
      </c>
      <c r="G33" s="112">
        <v>122.39</v>
      </c>
      <c r="H33" s="112">
        <v>48.42</v>
      </c>
      <c r="I33" s="112">
        <v>14.62</v>
      </c>
      <c r="J33" s="112">
        <v>0.14000000000000001</v>
      </c>
      <c r="K33" s="112">
        <v>145.22999999999999</v>
      </c>
      <c r="L33" s="112">
        <v>14.96</v>
      </c>
      <c r="M33" s="112">
        <v>84.96</v>
      </c>
      <c r="N33" s="112">
        <v>3</v>
      </c>
      <c r="O33" s="112">
        <v>0</v>
      </c>
      <c r="P33" s="112">
        <v>1.18</v>
      </c>
      <c r="Q33" s="112">
        <v>4.76</v>
      </c>
    </row>
    <row r="34" spans="1:17" customFormat="1">
      <c r="A34" s="80">
        <v>45620.270833333336</v>
      </c>
      <c r="B34" s="112">
        <v>28.73</v>
      </c>
      <c r="C34" s="112">
        <v>23.72</v>
      </c>
      <c r="D34" s="112">
        <v>36.78</v>
      </c>
      <c r="E34" s="112">
        <v>7.2</v>
      </c>
      <c r="F34" s="112">
        <v>5.47</v>
      </c>
      <c r="G34" s="112">
        <v>117.84</v>
      </c>
      <c r="H34" s="112">
        <v>43.85</v>
      </c>
      <c r="I34" s="112">
        <v>14.53</v>
      </c>
      <c r="J34" s="112">
        <v>0.16</v>
      </c>
      <c r="K34" s="112">
        <v>183.76</v>
      </c>
      <c r="L34" s="112">
        <v>14.95</v>
      </c>
      <c r="M34" s="112">
        <v>86.32</v>
      </c>
      <c r="N34" s="112">
        <v>8.1</v>
      </c>
      <c r="O34" s="112">
        <v>0</v>
      </c>
      <c r="P34" s="112">
        <v>1.17</v>
      </c>
      <c r="Q34" s="112">
        <v>4.7699999999999996</v>
      </c>
    </row>
    <row r="35" spans="1:17" customFormat="1">
      <c r="A35" s="80">
        <v>45620.28125</v>
      </c>
      <c r="B35" s="112">
        <v>28.54</v>
      </c>
      <c r="C35" s="112">
        <v>23.5</v>
      </c>
      <c r="D35" s="112">
        <v>36.520000000000003</v>
      </c>
      <c r="E35" s="112">
        <v>7.09</v>
      </c>
      <c r="F35" s="112">
        <v>5.29</v>
      </c>
      <c r="G35" s="112">
        <v>117.84</v>
      </c>
      <c r="H35" s="112">
        <v>43.85</v>
      </c>
      <c r="I35" s="112">
        <v>14.5</v>
      </c>
      <c r="J35" s="112">
        <v>0.11</v>
      </c>
      <c r="K35" s="112">
        <v>189.58</v>
      </c>
      <c r="L35" s="112">
        <v>14.94</v>
      </c>
      <c r="M35" s="112">
        <v>90.85</v>
      </c>
      <c r="N35" s="112">
        <v>15.9</v>
      </c>
      <c r="O35" s="112">
        <v>0</v>
      </c>
      <c r="P35" s="112">
        <v>1.1599999999999999</v>
      </c>
      <c r="Q35" s="112">
        <v>4.7699999999999996</v>
      </c>
    </row>
    <row r="36" spans="1:17" customFormat="1">
      <c r="A36" s="80">
        <v>45620.291666666664</v>
      </c>
      <c r="B36" s="112">
        <v>27.85</v>
      </c>
      <c r="C36" s="112">
        <v>23.17</v>
      </c>
      <c r="D36" s="112">
        <v>35.79</v>
      </c>
      <c r="E36" s="112">
        <v>6.82</v>
      </c>
      <c r="F36" s="112">
        <v>5.15</v>
      </c>
      <c r="G36" s="112">
        <v>117.84</v>
      </c>
      <c r="H36" s="112">
        <v>43.85</v>
      </c>
      <c r="I36" s="112">
        <v>14.46</v>
      </c>
      <c r="J36" s="112">
        <v>0.12</v>
      </c>
      <c r="K36" s="112">
        <v>175.53</v>
      </c>
      <c r="L36" s="112">
        <v>15.08</v>
      </c>
      <c r="M36" s="112">
        <v>90.23</v>
      </c>
      <c r="N36" s="112">
        <v>27.5</v>
      </c>
      <c r="O36" s="112">
        <v>0</v>
      </c>
      <c r="P36" s="112">
        <v>1.1499999999999999</v>
      </c>
      <c r="Q36" s="112">
        <v>4.76</v>
      </c>
    </row>
    <row r="37" spans="1:17" customFormat="1">
      <c r="A37" s="80">
        <v>45620.302083333336</v>
      </c>
      <c r="B37" s="112">
        <v>27.67</v>
      </c>
      <c r="C37" s="112">
        <v>22.91</v>
      </c>
      <c r="D37" s="112">
        <v>35.51</v>
      </c>
      <c r="E37" s="112">
        <v>7.09</v>
      </c>
      <c r="F37" s="112">
        <v>5.35</v>
      </c>
      <c r="G37" s="112">
        <v>117.58</v>
      </c>
      <c r="H37" s="112">
        <v>43.88</v>
      </c>
      <c r="I37" s="112">
        <v>14.41</v>
      </c>
      <c r="J37" s="112">
        <v>0.35</v>
      </c>
      <c r="K37" s="112">
        <v>51.81</v>
      </c>
      <c r="L37" s="112">
        <v>15.77</v>
      </c>
      <c r="M37" s="112">
        <v>81.73</v>
      </c>
      <c r="N37" s="112">
        <v>38.5</v>
      </c>
      <c r="O37" s="112">
        <v>0</v>
      </c>
      <c r="P37" s="112">
        <v>1.1399999999999999</v>
      </c>
      <c r="Q37" s="112">
        <v>4.76</v>
      </c>
    </row>
    <row r="38" spans="1:17" customFormat="1">
      <c r="A38" s="80">
        <v>45620.3125</v>
      </c>
      <c r="B38" s="112">
        <v>27.41</v>
      </c>
      <c r="C38" s="112">
        <v>23.14</v>
      </c>
      <c r="D38" s="112">
        <v>35.42</v>
      </c>
      <c r="E38" s="112">
        <v>7.19</v>
      </c>
      <c r="F38" s="112">
        <v>5.41</v>
      </c>
      <c r="G38" s="112">
        <v>106.23</v>
      </c>
      <c r="H38" s="112">
        <v>44.79</v>
      </c>
      <c r="I38" s="112">
        <v>14.33</v>
      </c>
      <c r="J38" s="112">
        <v>0.42</v>
      </c>
      <c r="K38" s="112">
        <v>46.56</v>
      </c>
      <c r="L38" s="112">
        <v>16.47</v>
      </c>
      <c r="M38" s="112">
        <v>76.38</v>
      </c>
      <c r="N38" s="112">
        <v>54.2</v>
      </c>
      <c r="O38" s="112">
        <v>0</v>
      </c>
      <c r="P38" s="112">
        <v>1.1399999999999999</v>
      </c>
      <c r="Q38" s="112">
        <v>4.76</v>
      </c>
    </row>
    <row r="39" spans="1:17" customFormat="1">
      <c r="A39" s="80">
        <v>45620.322916666664</v>
      </c>
      <c r="B39" s="112">
        <v>26.6</v>
      </c>
      <c r="C39" s="112">
        <v>23.39</v>
      </c>
      <c r="D39" s="112">
        <v>34.9</v>
      </c>
      <c r="E39" s="112">
        <v>7.21</v>
      </c>
      <c r="F39" s="112">
        <v>5.41</v>
      </c>
      <c r="G39" s="112">
        <v>106.23</v>
      </c>
      <c r="H39" s="112">
        <v>44.79</v>
      </c>
      <c r="I39" s="112">
        <v>14.27</v>
      </c>
      <c r="J39" s="112">
        <v>0.43</v>
      </c>
      <c r="K39" s="112">
        <v>30.8</v>
      </c>
      <c r="L39" s="112">
        <v>17.09</v>
      </c>
      <c r="M39" s="112">
        <v>73.010000000000005</v>
      </c>
      <c r="N39" s="112">
        <v>95.1</v>
      </c>
      <c r="O39" s="112">
        <v>0</v>
      </c>
      <c r="P39" s="112">
        <v>1.1599999999999999</v>
      </c>
      <c r="Q39" s="112">
        <v>4.7699999999999996</v>
      </c>
    </row>
    <row r="40" spans="1:17" customFormat="1">
      <c r="A40" s="80">
        <v>45620.333333333336</v>
      </c>
      <c r="B40" s="112">
        <v>25.64</v>
      </c>
      <c r="C40" s="112">
        <v>23.62</v>
      </c>
      <c r="D40" s="112">
        <v>34.25</v>
      </c>
      <c r="E40" s="112">
        <v>7.06</v>
      </c>
      <c r="F40" s="112">
        <v>5.62</v>
      </c>
      <c r="G40" s="112">
        <v>106.23</v>
      </c>
      <c r="H40" s="112">
        <v>44.79</v>
      </c>
      <c r="I40" s="112">
        <v>14.27</v>
      </c>
      <c r="J40" s="112">
        <v>0.5</v>
      </c>
      <c r="K40" s="112">
        <v>44.08</v>
      </c>
      <c r="L40" s="112">
        <v>17.7</v>
      </c>
      <c r="M40" s="112">
        <v>70.89</v>
      </c>
      <c r="N40" s="112">
        <v>146.19999999999999</v>
      </c>
      <c r="O40" s="112">
        <v>0</v>
      </c>
      <c r="P40" s="112">
        <v>1.1599999999999999</v>
      </c>
      <c r="Q40" s="112">
        <v>4.76</v>
      </c>
    </row>
    <row r="41" spans="1:17" customFormat="1">
      <c r="A41" s="80">
        <v>45620.34375</v>
      </c>
      <c r="B41" s="112">
        <v>24.16</v>
      </c>
      <c r="C41" s="112">
        <v>23.91</v>
      </c>
      <c r="D41" s="112">
        <v>33.22</v>
      </c>
      <c r="E41" s="112">
        <v>6.96</v>
      </c>
      <c r="F41" s="112">
        <v>5.55</v>
      </c>
      <c r="G41" s="112">
        <v>106.36</v>
      </c>
      <c r="H41" s="112">
        <v>44.82</v>
      </c>
      <c r="I41" s="112">
        <v>14.3</v>
      </c>
      <c r="J41" s="112">
        <v>0.45</v>
      </c>
      <c r="K41" s="112">
        <v>55.1</v>
      </c>
      <c r="L41" s="112">
        <v>18.510000000000002</v>
      </c>
      <c r="M41" s="112">
        <v>68.73</v>
      </c>
      <c r="N41" s="112">
        <v>171.5</v>
      </c>
      <c r="O41" s="112">
        <v>0</v>
      </c>
      <c r="P41" s="112">
        <v>1.1599999999999999</v>
      </c>
      <c r="Q41" s="112">
        <v>4.76</v>
      </c>
    </row>
    <row r="42" spans="1:17" customFormat="1">
      <c r="A42" s="80">
        <v>45620.354166666664</v>
      </c>
      <c r="B42" s="112">
        <v>22.56</v>
      </c>
      <c r="C42" s="112">
        <v>24.31</v>
      </c>
      <c r="D42" s="112">
        <v>32.14</v>
      </c>
      <c r="E42" s="112">
        <v>7.49</v>
      </c>
      <c r="F42" s="112">
        <v>5.51</v>
      </c>
      <c r="G42" s="112">
        <v>112.17</v>
      </c>
      <c r="H42" s="112">
        <v>45.84</v>
      </c>
      <c r="I42" s="112">
        <v>14.29</v>
      </c>
      <c r="J42" s="112">
        <v>0.48</v>
      </c>
      <c r="K42" s="112">
        <v>54.3</v>
      </c>
      <c r="L42" s="112">
        <v>19.34</v>
      </c>
      <c r="M42" s="112">
        <v>64.08</v>
      </c>
      <c r="N42" s="112">
        <v>160.5</v>
      </c>
      <c r="O42" s="112">
        <v>0</v>
      </c>
      <c r="P42" s="112">
        <v>1.1399999999999999</v>
      </c>
      <c r="Q42" s="112">
        <v>4.74</v>
      </c>
    </row>
    <row r="43" spans="1:17" customFormat="1">
      <c r="A43" s="80">
        <v>45620.364583333336</v>
      </c>
      <c r="B43" s="112">
        <v>20.92</v>
      </c>
      <c r="C43" s="112">
        <v>24.62</v>
      </c>
      <c r="D43" s="112">
        <v>30.99</v>
      </c>
      <c r="E43" s="112">
        <v>7.74</v>
      </c>
      <c r="F43" s="112">
        <v>5.68</v>
      </c>
      <c r="G43" s="112">
        <v>112.17</v>
      </c>
      <c r="H43" s="112">
        <v>45.84</v>
      </c>
      <c r="I43" s="112">
        <v>14.24</v>
      </c>
      <c r="J43" s="112">
        <v>0.56000000000000005</v>
      </c>
      <c r="K43" s="112">
        <v>48.62</v>
      </c>
      <c r="L43" s="112">
        <v>20.260000000000002</v>
      </c>
      <c r="M43" s="112">
        <v>60.84</v>
      </c>
      <c r="N43" s="112">
        <v>193.1</v>
      </c>
      <c r="O43" s="112">
        <v>0</v>
      </c>
      <c r="P43" s="112">
        <v>1.1299999999999999</v>
      </c>
      <c r="Q43" s="112">
        <v>4.75</v>
      </c>
    </row>
    <row r="44" spans="1:17" customFormat="1">
      <c r="A44" s="80">
        <v>45620.375</v>
      </c>
      <c r="B44" s="112">
        <v>19.149999999999999</v>
      </c>
      <c r="C44" s="112">
        <v>25.23</v>
      </c>
      <c r="D44" s="112">
        <v>29.89</v>
      </c>
      <c r="E44" s="112">
        <v>7.13</v>
      </c>
      <c r="F44" s="112">
        <v>5.69</v>
      </c>
      <c r="G44" s="112">
        <v>112.17</v>
      </c>
      <c r="H44" s="112">
        <v>45.84</v>
      </c>
      <c r="I44" s="112">
        <v>14.15</v>
      </c>
      <c r="J44" s="112">
        <v>0.27</v>
      </c>
      <c r="K44" s="112">
        <v>58.39</v>
      </c>
      <c r="L44" s="112">
        <v>21.2</v>
      </c>
      <c r="M44" s="112">
        <v>57.96</v>
      </c>
      <c r="N44" s="112">
        <v>233.3</v>
      </c>
      <c r="O44" s="112">
        <v>0</v>
      </c>
      <c r="P44" s="112">
        <v>1.1200000000000001</v>
      </c>
      <c r="Q44" s="112">
        <v>4.76</v>
      </c>
    </row>
    <row r="45" spans="1:17" customFormat="1">
      <c r="A45" s="80">
        <v>45620.385416666664</v>
      </c>
      <c r="B45" s="112">
        <v>17.16</v>
      </c>
      <c r="C45" s="112">
        <v>25.63</v>
      </c>
      <c r="D45" s="112">
        <v>28.51</v>
      </c>
      <c r="E45" s="112">
        <v>7.19</v>
      </c>
      <c r="F45" s="112">
        <v>5.75</v>
      </c>
      <c r="G45" s="112">
        <v>112.14</v>
      </c>
      <c r="H45" s="112">
        <v>45.74</v>
      </c>
      <c r="I45" s="112">
        <v>14.06</v>
      </c>
      <c r="J45" s="112">
        <v>0.28000000000000003</v>
      </c>
      <c r="K45" s="112">
        <v>80.95</v>
      </c>
      <c r="L45" s="112">
        <v>22.18</v>
      </c>
      <c r="M45" s="112">
        <v>55.04</v>
      </c>
      <c r="N45" s="112">
        <v>266.60000000000002</v>
      </c>
      <c r="O45" s="112">
        <v>0</v>
      </c>
      <c r="P45" s="112">
        <v>1.1100000000000001</v>
      </c>
      <c r="Q45" s="112">
        <v>4.7699999999999996</v>
      </c>
    </row>
    <row r="46" spans="1:17" customFormat="1">
      <c r="A46" s="80">
        <v>45620.395833333336</v>
      </c>
      <c r="B46" s="112">
        <v>15.31</v>
      </c>
      <c r="C46" s="112">
        <v>26.14</v>
      </c>
      <c r="D46" s="112">
        <v>27.29</v>
      </c>
      <c r="E46" s="112">
        <v>7.48</v>
      </c>
      <c r="F46" s="112">
        <v>5.91</v>
      </c>
      <c r="G46" s="112">
        <v>111.04</v>
      </c>
      <c r="H46" s="112">
        <v>42.58</v>
      </c>
      <c r="I46" s="112">
        <v>13.96</v>
      </c>
      <c r="J46" s="112">
        <v>0.56000000000000005</v>
      </c>
      <c r="K46" s="112">
        <v>48.25</v>
      </c>
      <c r="L46" s="112">
        <v>22.58</v>
      </c>
      <c r="M46" s="112">
        <v>53.45</v>
      </c>
      <c r="N46" s="112">
        <v>268.8</v>
      </c>
      <c r="O46" s="112">
        <v>0</v>
      </c>
      <c r="P46" s="112">
        <v>1.1000000000000001</v>
      </c>
      <c r="Q46" s="112">
        <v>4.75</v>
      </c>
    </row>
    <row r="47" spans="1:17" customFormat="1">
      <c r="A47" s="80">
        <v>45620.40625</v>
      </c>
      <c r="B47" s="112">
        <v>13.57</v>
      </c>
      <c r="C47" s="112">
        <v>26.53</v>
      </c>
      <c r="D47" s="112">
        <v>26.1</v>
      </c>
      <c r="E47" s="112">
        <v>6.98</v>
      </c>
      <c r="F47" s="112">
        <v>6.38</v>
      </c>
      <c r="G47" s="112">
        <v>111.04</v>
      </c>
      <c r="H47" s="112">
        <v>42.58</v>
      </c>
      <c r="I47" s="112">
        <v>13.85</v>
      </c>
      <c r="J47" s="112">
        <v>0.64</v>
      </c>
      <c r="K47" s="112">
        <v>54.46</v>
      </c>
      <c r="L47" s="112">
        <v>23.14</v>
      </c>
      <c r="M47" s="112">
        <v>50.49</v>
      </c>
      <c r="N47" s="112">
        <v>358.4</v>
      </c>
      <c r="O47" s="112">
        <v>0</v>
      </c>
      <c r="P47" s="112">
        <v>1.0900000000000001</v>
      </c>
      <c r="Q47" s="112">
        <v>4.75</v>
      </c>
    </row>
    <row r="48" spans="1:17" customFormat="1">
      <c r="A48" s="80">
        <v>45620.416666666664</v>
      </c>
      <c r="B48" s="112">
        <v>11.84</v>
      </c>
      <c r="C48" s="112">
        <v>26.92</v>
      </c>
      <c r="D48" s="112">
        <v>24.92</v>
      </c>
      <c r="E48" s="112">
        <v>7.6</v>
      </c>
      <c r="F48" s="112">
        <v>6</v>
      </c>
      <c r="G48" s="112">
        <v>111.04</v>
      </c>
      <c r="H48" s="112">
        <v>42.58</v>
      </c>
      <c r="I48" s="112">
        <v>13.78</v>
      </c>
      <c r="J48" s="112">
        <v>0.23</v>
      </c>
      <c r="K48" s="112">
        <v>66.8</v>
      </c>
      <c r="L48" s="112">
        <v>23.77</v>
      </c>
      <c r="M48" s="112">
        <v>48.26</v>
      </c>
      <c r="N48" s="112">
        <v>384.6</v>
      </c>
      <c r="O48" s="112">
        <v>0</v>
      </c>
      <c r="P48" s="112">
        <v>1.07</v>
      </c>
      <c r="Q48" s="112">
        <v>4.76</v>
      </c>
    </row>
    <row r="49" spans="1:17" customFormat="1">
      <c r="A49" s="80">
        <v>45620.427083333336</v>
      </c>
      <c r="B49" s="112">
        <v>10.65</v>
      </c>
      <c r="C49" s="112">
        <v>26.33</v>
      </c>
      <c r="D49" s="112">
        <v>23.65</v>
      </c>
      <c r="E49" s="112">
        <v>7.12</v>
      </c>
      <c r="F49" s="112">
        <v>6.25</v>
      </c>
      <c r="G49" s="112">
        <v>110.85</v>
      </c>
      <c r="H49" s="112">
        <v>42.6</v>
      </c>
      <c r="I49" s="112">
        <v>13.62</v>
      </c>
      <c r="J49" s="112">
        <v>0.49</v>
      </c>
      <c r="K49" s="112">
        <v>49.59</v>
      </c>
      <c r="L49" s="112">
        <v>24.34</v>
      </c>
      <c r="M49" s="112">
        <v>46.31</v>
      </c>
      <c r="N49" s="112">
        <v>404.3</v>
      </c>
      <c r="O49" s="112">
        <v>0</v>
      </c>
      <c r="P49" s="112">
        <v>1.03</v>
      </c>
      <c r="Q49" s="112">
        <v>4.74</v>
      </c>
    </row>
    <row r="50" spans="1:17" customFormat="1">
      <c r="A50" s="80">
        <v>45620.4375</v>
      </c>
      <c r="B50" s="112">
        <v>9.77</v>
      </c>
      <c r="C50" s="112">
        <v>25.6</v>
      </c>
      <c r="D50" s="112">
        <v>22.56</v>
      </c>
      <c r="E50" s="112">
        <v>8.4600000000000009</v>
      </c>
      <c r="F50" s="112">
        <v>6.17</v>
      </c>
      <c r="G50" s="112">
        <v>102.27</v>
      </c>
      <c r="H50" s="112">
        <v>43.4</v>
      </c>
      <c r="I50" s="112">
        <v>13.43</v>
      </c>
      <c r="J50" s="112">
        <v>0.43</v>
      </c>
      <c r="K50" s="112">
        <v>29.72</v>
      </c>
      <c r="L50" s="112">
        <v>24.57</v>
      </c>
      <c r="M50" s="112">
        <v>46.42</v>
      </c>
      <c r="N50" s="112">
        <v>422</v>
      </c>
      <c r="O50" s="112">
        <v>0</v>
      </c>
      <c r="P50" s="112">
        <v>1.02</v>
      </c>
      <c r="Q50" s="112">
        <v>4.75</v>
      </c>
    </row>
    <row r="51" spans="1:17" customFormat="1">
      <c r="A51" s="80">
        <v>45620.447916666664</v>
      </c>
      <c r="B51" s="112">
        <v>8.9600000000000009</v>
      </c>
      <c r="C51" s="112">
        <v>25.01</v>
      </c>
      <c r="D51" s="112">
        <v>21.6</v>
      </c>
      <c r="E51" s="112">
        <v>8.82</v>
      </c>
      <c r="F51" s="112">
        <v>6.42</v>
      </c>
      <c r="G51" s="112">
        <v>102.27</v>
      </c>
      <c r="H51" s="112">
        <v>43.4</v>
      </c>
      <c r="I51" s="112">
        <v>13.34</v>
      </c>
      <c r="J51" s="112">
        <v>0.56000000000000005</v>
      </c>
      <c r="K51" s="112">
        <v>50.87</v>
      </c>
      <c r="L51" s="112">
        <v>25.08</v>
      </c>
      <c r="M51" s="112">
        <v>44.91</v>
      </c>
      <c r="N51" s="112">
        <v>327.60000000000002</v>
      </c>
      <c r="O51" s="112">
        <v>0</v>
      </c>
      <c r="P51" s="112">
        <v>1</v>
      </c>
      <c r="Q51" s="112">
        <v>4.75</v>
      </c>
    </row>
    <row r="52" spans="1:17" customFormat="1">
      <c r="A52" s="80">
        <v>45620.458333333336</v>
      </c>
      <c r="B52" s="112">
        <v>8.25</v>
      </c>
      <c r="C52" s="112">
        <v>24.39</v>
      </c>
      <c r="D52" s="112">
        <v>20.71</v>
      </c>
      <c r="E52" s="112">
        <v>8.68</v>
      </c>
      <c r="F52" s="112">
        <v>6.64</v>
      </c>
      <c r="G52" s="112">
        <v>102.27</v>
      </c>
      <c r="H52" s="112">
        <v>43.4</v>
      </c>
      <c r="I52" s="112">
        <v>13.23</v>
      </c>
      <c r="J52" s="112">
        <v>0.53</v>
      </c>
      <c r="K52" s="112">
        <v>52.65</v>
      </c>
      <c r="L52" s="112">
        <v>25.37</v>
      </c>
      <c r="M52" s="112">
        <v>43.42</v>
      </c>
      <c r="N52" s="112">
        <v>411.8</v>
      </c>
      <c r="O52" s="112">
        <v>0</v>
      </c>
      <c r="P52" s="112">
        <v>0.99</v>
      </c>
      <c r="Q52" s="112">
        <v>4.74</v>
      </c>
    </row>
    <row r="53" spans="1:17" customFormat="1">
      <c r="A53" s="80">
        <v>45620.46875</v>
      </c>
      <c r="B53" s="112">
        <v>7.57</v>
      </c>
      <c r="C53" s="112">
        <v>23.92</v>
      </c>
      <c r="D53" s="112">
        <v>19.920000000000002</v>
      </c>
      <c r="E53" s="112">
        <v>9.14</v>
      </c>
      <c r="F53" s="112">
        <v>7.21</v>
      </c>
      <c r="G53" s="112">
        <v>102.22</v>
      </c>
      <c r="H53" s="112">
        <v>43.43</v>
      </c>
      <c r="I53" s="112">
        <v>13.1</v>
      </c>
      <c r="J53" s="112">
        <v>0.65</v>
      </c>
      <c r="K53" s="112">
        <v>34.81</v>
      </c>
      <c r="L53" s="112">
        <v>25.76</v>
      </c>
      <c r="M53" s="112">
        <v>38.6</v>
      </c>
      <c r="N53" s="112">
        <v>451.6</v>
      </c>
      <c r="O53" s="112">
        <v>0</v>
      </c>
      <c r="P53" s="112">
        <v>0.98</v>
      </c>
      <c r="Q53" s="112">
        <v>4.76</v>
      </c>
    </row>
    <row r="54" spans="1:17" customFormat="1">
      <c r="A54" s="80">
        <v>45620.479166666664</v>
      </c>
      <c r="B54" s="112">
        <v>6.94</v>
      </c>
      <c r="C54" s="112">
        <v>23.6</v>
      </c>
      <c r="D54" s="112">
        <v>19.239999999999998</v>
      </c>
      <c r="E54" s="112">
        <v>9.42</v>
      </c>
      <c r="F54" s="112">
        <v>6.81</v>
      </c>
      <c r="G54" s="112">
        <v>99.91</v>
      </c>
      <c r="H54" s="112">
        <v>44.27</v>
      </c>
      <c r="I54" s="112">
        <v>12.94</v>
      </c>
      <c r="J54" s="112">
        <v>0.49</v>
      </c>
      <c r="K54" s="112">
        <v>52.3</v>
      </c>
      <c r="L54" s="112">
        <v>26.19</v>
      </c>
      <c r="M54" s="112">
        <v>38.69</v>
      </c>
      <c r="N54" s="112">
        <v>469.5</v>
      </c>
      <c r="O54" s="112">
        <v>0</v>
      </c>
      <c r="P54" s="112">
        <v>0.97</v>
      </c>
      <c r="Q54" s="112">
        <v>4.76</v>
      </c>
    </row>
    <row r="55" spans="1:17" customFormat="1">
      <c r="A55" s="80">
        <v>45620.489583333336</v>
      </c>
      <c r="B55" s="112">
        <v>6.44</v>
      </c>
      <c r="C55" s="112">
        <v>23.25</v>
      </c>
      <c r="D55" s="112">
        <v>18.66</v>
      </c>
      <c r="E55" s="112">
        <v>9.4600000000000009</v>
      </c>
      <c r="F55" s="112">
        <v>6.66</v>
      </c>
      <c r="G55" s="112">
        <v>99.91</v>
      </c>
      <c r="H55" s="112">
        <v>44.27</v>
      </c>
      <c r="I55" s="112">
        <v>12.73</v>
      </c>
      <c r="J55" s="112">
        <v>0.31</v>
      </c>
      <c r="K55" s="112">
        <v>128.13</v>
      </c>
      <c r="L55" s="112">
        <v>26.76</v>
      </c>
      <c r="M55" s="112">
        <v>37.880000000000003</v>
      </c>
      <c r="N55" s="112">
        <v>454.8</v>
      </c>
      <c r="O55" s="112">
        <v>0</v>
      </c>
      <c r="P55" s="112">
        <v>0.95</v>
      </c>
      <c r="Q55" s="112">
        <v>4.76</v>
      </c>
    </row>
    <row r="56" spans="1:17" customFormat="1">
      <c r="A56" s="80">
        <v>45620.5</v>
      </c>
      <c r="B56" s="112">
        <v>5.92</v>
      </c>
      <c r="C56" s="112">
        <v>22.77</v>
      </c>
      <c r="D56" s="112">
        <v>18</v>
      </c>
      <c r="E56" s="112">
        <v>9.06</v>
      </c>
      <c r="F56" s="112">
        <v>6.87</v>
      </c>
      <c r="G56" s="112">
        <v>99.91</v>
      </c>
      <c r="H56" s="112">
        <v>44.27</v>
      </c>
      <c r="I56" s="112">
        <v>12.54</v>
      </c>
      <c r="J56" s="112">
        <v>0.55000000000000004</v>
      </c>
      <c r="K56" s="112">
        <v>45.63</v>
      </c>
      <c r="L56" s="112">
        <v>26.82</v>
      </c>
      <c r="M56" s="112">
        <v>37.61</v>
      </c>
      <c r="N56" s="112">
        <v>431.4</v>
      </c>
      <c r="O56" s="112">
        <v>0</v>
      </c>
      <c r="P56" s="112">
        <v>0.95</v>
      </c>
      <c r="Q56" s="112">
        <v>4.75</v>
      </c>
    </row>
    <row r="57" spans="1:17" customFormat="1">
      <c r="A57" s="80">
        <v>45620.510416666664</v>
      </c>
      <c r="B57" s="112">
        <v>5.45</v>
      </c>
      <c r="C57" s="112">
        <v>22.35</v>
      </c>
      <c r="D57" s="112">
        <v>17.399999999999999</v>
      </c>
      <c r="E57" s="112">
        <v>9.32</v>
      </c>
      <c r="F57" s="112">
        <v>7.92</v>
      </c>
      <c r="G57" s="112">
        <v>99.81</v>
      </c>
      <c r="H57" s="112">
        <v>44.21</v>
      </c>
      <c r="I57" s="112">
        <v>12.4</v>
      </c>
      <c r="J57" s="112">
        <v>0.51</v>
      </c>
      <c r="K57" s="112">
        <v>45.17</v>
      </c>
      <c r="L57" s="112">
        <v>26.99</v>
      </c>
      <c r="M57" s="112">
        <v>37.659999999999997</v>
      </c>
      <c r="N57" s="112">
        <v>410.6</v>
      </c>
      <c r="O57" s="112">
        <v>0</v>
      </c>
      <c r="P57" s="112">
        <v>0.92</v>
      </c>
      <c r="Q57" s="112">
        <v>4.76</v>
      </c>
    </row>
    <row r="58" spans="1:17" customFormat="1">
      <c r="A58" s="80">
        <v>45620.520833333336</v>
      </c>
      <c r="B58" s="112">
        <v>5.1100000000000003</v>
      </c>
      <c r="C58" s="112">
        <v>21.99</v>
      </c>
      <c r="D58" s="112">
        <v>16.940000000000001</v>
      </c>
      <c r="E58" s="112">
        <v>10.08</v>
      </c>
      <c r="F58" s="112">
        <v>8.2100000000000009</v>
      </c>
      <c r="G58" s="112">
        <v>95.52</v>
      </c>
      <c r="H58" s="112">
        <v>42.2</v>
      </c>
      <c r="I58" s="112">
        <v>12.23</v>
      </c>
      <c r="J58" s="112">
        <v>0.84</v>
      </c>
      <c r="K58" s="112">
        <v>47.59</v>
      </c>
      <c r="L58" s="112">
        <v>26.75</v>
      </c>
      <c r="M58" s="112">
        <v>35.53</v>
      </c>
      <c r="N58" s="112">
        <v>404.2</v>
      </c>
      <c r="O58" s="112">
        <v>0</v>
      </c>
      <c r="P58" s="112">
        <v>0.92</v>
      </c>
      <c r="Q58" s="112">
        <v>4.75</v>
      </c>
    </row>
    <row r="59" spans="1:17" customFormat="1">
      <c r="A59" s="80">
        <v>45620.53125</v>
      </c>
      <c r="B59" s="112">
        <v>4.95</v>
      </c>
      <c r="C59" s="112">
        <v>21.62</v>
      </c>
      <c r="D59" s="112">
        <v>16.62</v>
      </c>
      <c r="E59" s="112">
        <v>9.5</v>
      </c>
      <c r="F59" s="112">
        <v>7.68</v>
      </c>
      <c r="G59" s="112">
        <v>95.52</v>
      </c>
      <c r="H59" s="112">
        <v>42.2</v>
      </c>
      <c r="I59" s="112">
        <v>12.03</v>
      </c>
      <c r="J59" s="112">
        <v>0.26</v>
      </c>
      <c r="K59" s="112">
        <v>109.02</v>
      </c>
      <c r="L59" s="112">
        <v>27.37</v>
      </c>
      <c r="M59" s="112">
        <v>34.979999999999997</v>
      </c>
      <c r="N59" s="112">
        <v>395.5</v>
      </c>
      <c r="O59" s="112">
        <v>0</v>
      </c>
      <c r="P59" s="112">
        <v>0.9</v>
      </c>
      <c r="Q59" s="112">
        <v>4.75</v>
      </c>
    </row>
    <row r="60" spans="1:17" customFormat="1">
      <c r="A60" s="80">
        <v>45620.541666666664</v>
      </c>
      <c r="B60" s="112">
        <v>4.78</v>
      </c>
      <c r="C60" s="112">
        <v>21.09</v>
      </c>
      <c r="D60" s="112">
        <v>16.2</v>
      </c>
      <c r="E60" s="112">
        <v>9.6999999999999993</v>
      </c>
      <c r="F60" s="112">
        <v>8</v>
      </c>
      <c r="G60" s="112">
        <v>95.52</v>
      </c>
      <c r="H60" s="112">
        <v>42.2</v>
      </c>
      <c r="I60" s="112">
        <v>11.86</v>
      </c>
      <c r="J60" s="112">
        <v>0.86</v>
      </c>
      <c r="K60" s="112">
        <v>39.270000000000003</v>
      </c>
      <c r="L60" s="112">
        <v>27.32</v>
      </c>
      <c r="M60" s="112">
        <v>34.270000000000003</v>
      </c>
      <c r="N60" s="112">
        <v>356.4</v>
      </c>
      <c r="O60" s="112">
        <v>0</v>
      </c>
      <c r="P60" s="112">
        <v>0.89</v>
      </c>
      <c r="Q60" s="112">
        <v>4.75</v>
      </c>
    </row>
    <row r="61" spans="1:17" customFormat="1">
      <c r="A61" s="80">
        <v>45620.552083333336</v>
      </c>
      <c r="B61" s="112">
        <v>4.6500000000000004</v>
      </c>
      <c r="C61" s="112">
        <v>20.89</v>
      </c>
      <c r="D61" s="112">
        <v>15.99</v>
      </c>
      <c r="E61" s="112">
        <v>10.32</v>
      </c>
      <c r="F61" s="112">
        <v>10.49</v>
      </c>
      <c r="G61" s="112">
        <v>95.42</v>
      </c>
      <c r="H61" s="112">
        <v>42.14</v>
      </c>
      <c r="I61" s="112">
        <v>11.73</v>
      </c>
      <c r="J61" s="112">
        <v>0.51</v>
      </c>
      <c r="K61" s="112">
        <v>33.49</v>
      </c>
      <c r="L61" s="112">
        <v>27.16</v>
      </c>
      <c r="M61" s="112">
        <v>33.17</v>
      </c>
      <c r="N61" s="112">
        <v>397.8</v>
      </c>
      <c r="O61" s="112">
        <v>0</v>
      </c>
      <c r="P61" s="112">
        <v>0.88</v>
      </c>
      <c r="Q61" s="112">
        <v>4.7300000000000004</v>
      </c>
    </row>
    <row r="62" spans="1:17" customFormat="1">
      <c r="A62" s="80">
        <v>45620.5625</v>
      </c>
      <c r="B62" s="112">
        <v>4.5599999999999996</v>
      </c>
      <c r="C62" s="112">
        <v>20.53</v>
      </c>
      <c r="D62" s="112">
        <v>15.74</v>
      </c>
      <c r="E62" s="112">
        <v>10.1</v>
      </c>
      <c r="F62" s="112">
        <v>10.39</v>
      </c>
      <c r="G62" s="112">
        <v>90.79</v>
      </c>
      <c r="H62" s="112">
        <v>40.130000000000003</v>
      </c>
      <c r="I62" s="112">
        <v>11.49</v>
      </c>
      <c r="J62" s="112">
        <v>0.63</v>
      </c>
      <c r="K62" s="112">
        <v>30.52</v>
      </c>
      <c r="L62" s="112">
        <v>27.59</v>
      </c>
      <c r="M62" s="112">
        <v>32.36</v>
      </c>
      <c r="N62" s="112">
        <v>370.4</v>
      </c>
      <c r="O62" s="112">
        <v>0</v>
      </c>
      <c r="P62" s="112">
        <v>0.85</v>
      </c>
      <c r="Q62" s="112">
        <v>4.72</v>
      </c>
    </row>
    <row r="63" spans="1:17" customFormat="1">
      <c r="A63" s="80">
        <v>45620.572916666664</v>
      </c>
      <c r="B63" s="112">
        <v>4.51</v>
      </c>
      <c r="C63" s="112">
        <v>20.18</v>
      </c>
      <c r="D63" s="112">
        <v>15.51</v>
      </c>
      <c r="E63" s="112">
        <v>10.220000000000001</v>
      </c>
      <c r="F63" s="112">
        <v>11.23</v>
      </c>
      <c r="G63" s="112">
        <v>90.79</v>
      </c>
      <c r="H63" s="112">
        <v>40.130000000000003</v>
      </c>
      <c r="I63" s="112">
        <v>11.26</v>
      </c>
      <c r="J63" s="112">
        <v>0.59</v>
      </c>
      <c r="K63" s="112">
        <v>27.78</v>
      </c>
      <c r="L63" s="112">
        <v>27.33</v>
      </c>
      <c r="M63" s="112">
        <v>31.67</v>
      </c>
      <c r="N63" s="112">
        <v>240.8</v>
      </c>
      <c r="O63" s="112">
        <v>0</v>
      </c>
      <c r="P63" s="112">
        <v>0.84</v>
      </c>
      <c r="Q63" s="112">
        <v>4.74</v>
      </c>
    </row>
    <row r="64" spans="1:17" customFormat="1">
      <c r="A64" s="80">
        <v>45620.583333333336</v>
      </c>
      <c r="B64" s="112">
        <v>4.4400000000000004</v>
      </c>
      <c r="C64" s="112">
        <v>19.829999999999998</v>
      </c>
      <c r="D64" s="112">
        <v>15.27</v>
      </c>
      <c r="E64" s="112">
        <v>10.09</v>
      </c>
      <c r="F64" s="112">
        <v>11.65</v>
      </c>
      <c r="G64" s="112">
        <v>90.79</v>
      </c>
      <c r="H64" s="112">
        <v>40.130000000000003</v>
      </c>
      <c r="I64" s="112">
        <v>11.1</v>
      </c>
      <c r="J64" s="112">
        <v>0.4</v>
      </c>
      <c r="K64" s="112">
        <v>29.2</v>
      </c>
      <c r="L64" s="112">
        <v>27.19</v>
      </c>
      <c r="M64" s="112">
        <v>31.56</v>
      </c>
      <c r="N64" s="112">
        <v>119</v>
      </c>
      <c r="O64" s="112">
        <v>0</v>
      </c>
      <c r="P64" s="112">
        <v>0.84</v>
      </c>
      <c r="Q64" s="112">
        <v>4.75</v>
      </c>
    </row>
    <row r="65" spans="1:17" customFormat="1">
      <c r="A65" s="80">
        <v>45620.59375</v>
      </c>
      <c r="B65" s="112">
        <v>4.45</v>
      </c>
      <c r="C65" s="112">
        <v>19.5</v>
      </c>
      <c r="D65" s="112">
        <v>15.11</v>
      </c>
      <c r="E65" s="112">
        <v>10.48</v>
      </c>
      <c r="F65" s="112">
        <v>11.43</v>
      </c>
      <c r="G65" s="112">
        <v>90.56</v>
      </c>
      <c r="H65" s="112">
        <v>40</v>
      </c>
      <c r="I65" s="112">
        <v>10.85</v>
      </c>
      <c r="J65" s="112">
        <v>0.54</v>
      </c>
      <c r="K65" s="112">
        <v>52.7</v>
      </c>
      <c r="L65" s="112">
        <v>27.2</v>
      </c>
      <c r="M65" s="112">
        <v>31.31</v>
      </c>
      <c r="N65" s="112">
        <v>106</v>
      </c>
      <c r="O65" s="112">
        <v>0</v>
      </c>
      <c r="P65" s="112">
        <v>0.83</v>
      </c>
      <c r="Q65" s="112">
        <v>4.76</v>
      </c>
    </row>
    <row r="66" spans="1:17" customFormat="1">
      <c r="A66" s="80">
        <v>45620.604166666664</v>
      </c>
      <c r="B66" s="112">
        <v>4.41</v>
      </c>
      <c r="C66" s="112">
        <v>19.170000000000002</v>
      </c>
      <c r="D66" s="112">
        <v>14.91</v>
      </c>
      <c r="E66" s="112">
        <v>10.46</v>
      </c>
      <c r="F66" s="112">
        <v>10.050000000000001</v>
      </c>
      <c r="G66" s="112">
        <v>80.150000000000006</v>
      </c>
      <c r="H66" s="112">
        <v>35.770000000000003</v>
      </c>
      <c r="I66" s="112">
        <v>10.69</v>
      </c>
      <c r="J66" s="112">
        <v>0.64</v>
      </c>
      <c r="K66" s="112">
        <v>26.57</v>
      </c>
      <c r="L66" s="112">
        <v>27.05</v>
      </c>
      <c r="M66" s="112">
        <v>30.79</v>
      </c>
      <c r="N66" s="112">
        <v>88.6</v>
      </c>
      <c r="O66" s="112">
        <v>0</v>
      </c>
      <c r="P66" s="112">
        <v>0.87</v>
      </c>
      <c r="Q66" s="112">
        <v>4.75</v>
      </c>
    </row>
    <row r="67" spans="1:17" customFormat="1">
      <c r="A67" s="80">
        <v>45620.614583333336</v>
      </c>
      <c r="B67" s="112">
        <v>4.37</v>
      </c>
      <c r="C67" s="112">
        <v>19.190000000000001</v>
      </c>
      <c r="D67" s="112">
        <v>14.88</v>
      </c>
      <c r="E67" s="112">
        <v>10.220000000000001</v>
      </c>
      <c r="F67" s="112">
        <v>8.85</v>
      </c>
      <c r="G67" s="112">
        <v>80.150000000000006</v>
      </c>
      <c r="H67" s="112">
        <v>35.770000000000003</v>
      </c>
      <c r="I67" s="112">
        <v>10.53</v>
      </c>
      <c r="J67" s="112">
        <v>0.77</v>
      </c>
      <c r="K67" s="112">
        <v>37.659999999999997</v>
      </c>
      <c r="L67" s="112">
        <v>26.88</v>
      </c>
      <c r="M67" s="112">
        <v>31.18</v>
      </c>
      <c r="N67" s="112">
        <v>77.2</v>
      </c>
      <c r="O67" s="112">
        <v>0</v>
      </c>
      <c r="P67" s="112">
        <v>0.88</v>
      </c>
      <c r="Q67" s="112">
        <v>4.74</v>
      </c>
    </row>
    <row r="68" spans="1:17" customFormat="1">
      <c r="A68" s="80">
        <v>45620.625</v>
      </c>
      <c r="B68" s="112">
        <v>4.21</v>
      </c>
      <c r="C68" s="112">
        <v>19.62</v>
      </c>
      <c r="D68" s="112">
        <v>14.98</v>
      </c>
      <c r="E68" s="112">
        <v>9.84</v>
      </c>
      <c r="F68" s="112">
        <v>11.36</v>
      </c>
      <c r="G68" s="112">
        <v>80.150000000000006</v>
      </c>
      <c r="H68" s="112">
        <v>35.770000000000003</v>
      </c>
      <c r="I68" s="112">
        <v>10.45</v>
      </c>
      <c r="J68" s="112">
        <v>0.64</v>
      </c>
      <c r="K68" s="112">
        <v>31.23</v>
      </c>
      <c r="L68" s="112">
        <v>26.79</v>
      </c>
      <c r="M68" s="112">
        <v>30.84</v>
      </c>
      <c r="N68" s="112">
        <v>67.2</v>
      </c>
      <c r="O68" s="112">
        <v>0</v>
      </c>
      <c r="P68" s="112">
        <v>0.89</v>
      </c>
      <c r="Q68" s="112">
        <v>4.75</v>
      </c>
    </row>
    <row r="69" spans="1:17" customFormat="1">
      <c r="A69" s="80">
        <v>45620.635416666664</v>
      </c>
      <c r="B69" s="112">
        <v>4.07</v>
      </c>
      <c r="C69" s="112">
        <v>19.86</v>
      </c>
      <c r="D69" s="112">
        <v>14.99</v>
      </c>
      <c r="E69" s="112">
        <v>9.64</v>
      </c>
      <c r="F69" s="112">
        <v>12.51</v>
      </c>
      <c r="G69" s="112">
        <v>79.930000000000007</v>
      </c>
      <c r="H69" s="112">
        <v>35.69</v>
      </c>
      <c r="I69" s="112">
        <v>10.38</v>
      </c>
      <c r="J69" s="112">
        <v>0.67</v>
      </c>
      <c r="K69" s="112">
        <v>28.72</v>
      </c>
      <c r="L69" s="112">
        <v>26.8</v>
      </c>
      <c r="M69" s="112">
        <v>29.26</v>
      </c>
      <c r="N69" s="112">
        <v>59</v>
      </c>
      <c r="O69" s="112">
        <v>0</v>
      </c>
      <c r="P69" s="112">
        <v>0.87</v>
      </c>
      <c r="Q69" s="112">
        <v>4.78</v>
      </c>
    </row>
    <row r="70" spans="1:17" customFormat="1">
      <c r="A70" s="80">
        <v>45620.645833333336</v>
      </c>
      <c r="B70" s="112">
        <v>4</v>
      </c>
      <c r="C70" s="112">
        <v>19.88</v>
      </c>
      <c r="D70" s="112">
        <v>14.95</v>
      </c>
      <c r="E70" s="112">
        <v>9.6</v>
      </c>
      <c r="F70" s="112">
        <v>12.27</v>
      </c>
      <c r="G70" s="112">
        <v>70.099999999999994</v>
      </c>
      <c r="H70" s="112">
        <v>33.1</v>
      </c>
      <c r="I70" s="112">
        <v>10.08</v>
      </c>
      <c r="J70" s="112">
        <v>0.62</v>
      </c>
      <c r="K70" s="112">
        <v>29.23</v>
      </c>
      <c r="L70" s="112">
        <v>26.65</v>
      </c>
      <c r="M70" s="112">
        <v>29.36</v>
      </c>
      <c r="N70" s="112">
        <v>50.3</v>
      </c>
      <c r="O70" s="112">
        <v>0</v>
      </c>
      <c r="P70" s="112">
        <v>0.85</v>
      </c>
      <c r="Q70" s="112">
        <v>4.78</v>
      </c>
    </row>
    <row r="71" spans="1:17" customFormat="1">
      <c r="A71" s="80">
        <v>45620.65625</v>
      </c>
      <c r="B71" s="112">
        <v>4</v>
      </c>
      <c r="C71" s="112">
        <v>20.03</v>
      </c>
      <c r="D71" s="112">
        <v>15.03</v>
      </c>
      <c r="E71" s="112">
        <v>9.2200000000000006</v>
      </c>
      <c r="F71" s="112">
        <v>10.9</v>
      </c>
      <c r="G71" s="112">
        <v>70.099999999999994</v>
      </c>
      <c r="H71" s="112">
        <v>33.1</v>
      </c>
      <c r="I71" s="112">
        <v>9.7899999999999991</v>
      </c>
      <c r="J71" s="112">
        <v>0.59</v>
      </c>
      <c r="K71" s="112">
        <v>35.29</v>
      </c>
      <c r="L71" s="112">
        <v>26.5</v>
      </c>
      <c r="M71" s="112">
        <v>30.7</v>
      </c>
      <c r="N71" s="112">
        <v>42.2</v>
      </c>
      <c r="O71" s="112">
        <v>0</v>
      </c>
      <c r="P71" s="112">
        <v>0.85</v>
      </c>
      <c r="Q71" s="112">
        <v>4.7699999999999996</v>
      </c>
    </row>
    <row r="72" spans="1:17" customFormat="1">
      <c r="A72" s="80">
        <v>45620.666666666664</v>
      </c>
      <c r="B72" s="112">
        <v>4.04</v>
      </c>
      <c r="C72" s="112">
        <v>20.48</v>
      </c>
      <c r="D72" s="112">
        <v>15.29</v>
      </c>
      <c r="E72" s="112">
        <v>9.09</v>
      </c>
      <c r="F72" s="112">
        <v>9.85</v>
      </c>
      <c r="G72" s="112">
        <v>70.099999999999994</v>
      </c>
      <c r="H72" s="112">
        <v>33.1</v>
      </c>
      <c r="I72" s="112">
        <v>9.57</v>
      </c>
      <c r="J72" s="112">
        <v>0.56000000000000005</v>
      </c>
      <c r="K72" s="112">
        <v>44.04</v>
      </c>
      <c r="L72" s="112">
        <v>26.39</v>
      </c>
      <c r="M72" s="112">
        <v>30.99</v>
      </c>
      <c r="N72" s="112">
        <v>34.299999999999997</v>
      </c>
      <c r="O72" s="112">
        <v>0</v>
      </c>
      <c r="P72" s="112">
        <v>0.85</v>
      </c>
      <c r="Q72" s="112">
        <v>4.7699999999999996</v>
      </c>
    </row>
    <row r="73" spans="1:17" customFormat="1">
      <c r="A73" s="80">
        <v>45620.677083333336</v>
      </c>
      <c r="B73" s="112">
        <v>4.1399999999999997</v>
      </c>
      <c r="C73" s="112">
        <v>21.15</v>
      </c>
      <c r="D73" s="112">
        <v>15.73</v>
      </c>
      <c r="E73" s="112">
        <v>9.16</v>
      </c>
      <c r="F73" s="112">
        <v>9.19</v>
      </c>
      <c r="G73" s="112">
        <v>70.11</v>
      </c>
      <c r="H73" s="112">
        <v>33.11</v>
      </c>
      <c r="I73" s="112">
        <v>9.4499999999999993</v>
      </c>
      <c r="J73" s="112">
        <v>0.47</v>
      </c>
      <c r="K73" s="112">
        <v>43.29</v>
      </c>
      <c r="L73" s="112">
        <v>26.12</v>
      </c>
      <c r="M73" s="112">
        <v>31.96</v>
      </c>
      <c r="N73" s="112">
        <v>27.3</v>
      </c>
      <c r="O73" s="112">
        <v>0</v>
      </c>
      <c r="P73" s="112">
        <v>0.83</v>
      </c>
      <c r="Q73" s="112">
        <v>4.76</v>
      </c>
    </row>
    <row r="74" spans="1:17" customFormat="1">
      <c r="A74" s="80">
        <v>45620.6875</v>
      </c>
      <c r="B74" s="112">
        <v>4.2699999999999996</v>
      </c>
      <c r="C74" s="112">
        <v>21.89</v>
      </c>
      <c r="D74" s="112">
        <v>16.21</v>
      </c>
      <c r="E74" s="112">
        <v>8.92</v>
      </c>
      <c r="F74" s="112">
        <v>8.39</v>
      </c>
      <c r="G74" s="112">
        <v>70.819999999999993</v>
      </c>
      <c r="H74" s="112">
        <v>34.24</v>
      </c>
      <c r="I74" s="112">
        <v>9.3000000000000007</v>
      </c>
      <c r="J74" s="112">
        <v>0.49</v>
      </c>
      <c r="K74" s="112">
        <v>43.24</v>
      </c>
      <c r="L74" s="112">
        <v>25.74</v>
      </c>
      <c r="M74" s="112">
        <v>33.99</v>
      </c>
      <c r="N74" s="112">
        <v>20.399999999999999</v>
      </c>
      <c r="O74" s="112">
        <v>0</v>
      </c>
      <c r="P74" s="112">
        <v>0.83</v>
      </c>
      <c r="Q74" s="112">
        <v>4.75</v>
      </c>
    </row>
    <row r="75" spans="1:17" customFormat="1">
      <c r="A75" s="80">
        <v>45620.697916666664</v>
      </c>
      <c r="B75" s="112">
        <v>4.43</v>
      </c>
      <c r="C75" s="112">
        <v>22.67</v>
      </c>
      <c r="D75" s="112">
        <v>16.739999999999998</v>
      </c>
      <c r="E75" s="112">
        <v>8.77</v>
      </c>
      <c r="F75" s="112">
        <v>7.49</v>
      </c>
      <c r="G75" s="112">
        <v>70.819999999999993</v>
      </c>
      <c r="H75" s="112">
        <v>34.24</v>
      </c>
      <c r="I75" s="112">
        <v>9.17</v>
      </c>
      <c r="J75" s="112">
        <v>0.54</v>
      </c>
      <c r="K75" s="112">
        <v>51.79</v>
      </c>
      <c r="L75" s="112">
        <v>25.24</v>
      </c>
      <c r="M75" s="112">
        <v>35.340000000000003</v>
      </c>
      <c r="N75" s="112">
        <v>12.8</v>
      </c>
      <c r="O75" s="112">
        <v>0</v>
      </c>
      <c r="P75" s="112">
        <v>0.83</v>
      </c>
      <c r="Q75" s="112">
        <v>4.75</v>
      </c>
    </row>
    <row r="76" spans="1:17" customFormat="1">
      <c r="A76" s="80">
        <v>45620.708333333336</v>
      </c>
      <c r="B76" s="112">
        <v>4.59</v>
      </c>
      <c r="C76" s="112">
        <v>23.46</v>
      </c>
      <c r="D76" s="112">
        <v>17.29</v>
      </c>
      <c r="E76" s="112">
        <v>9.44</v>
      </c>
      <c r="F76" s="112">
        <v>7.02</v>
      </c>
      <c r="G76" s="112">
        <v>70.819999999999993</v>
      </c>
      <c r="H76" s="112">
        <v>34.24</v>
      </c>
      <c r="I76" s="112">
        <v>8.98</v>
      </c>
      <c r="J76" s="112">
        <v>0.28000000000000003</v>
      </c>
      <c r="K76" s="112">
        <v>54.05</v>
      </c>
      <c r="L76" s="112">
        <v>24.73</v>
      </c>
      <c r="M76" s="112">
        <v>38.19</v>
      </c>
      <c r="N76" s="112">
        <v>6.5</v>
      </c>
      <c r="O76" s="112">
        <v>0</v>
      </c>
      <c r="P76" s="112">
        <v>0.84</v>
      </c>
      <c r="Q76" s="112">
        <v>4.76</v>
      </c>
    </row>
    <row r="77" spans="1:17" customFormat="1">
      <c r="A77" s="80">
        <v>45620.71875</v>
      </c>
      <c r="B77" s="112">
        <v>4.66</v>
      </c>
      <c r="C77" s="112">
        <v>23.89</v>
      </c>
      <c r="D77" s="112">
        <v>17.57</v>
      </c>
      <c r="E77" s="112">
        <v>8.51</v>
      </c>
      <c r="F77" s="112">
        <v>6.69</v>
      </c>
      <c r="G77" s="112">
        <v>71.14</v>
      </c>
      <c r="H77" s="112">
        <v>34.18</v>
      </c>
      <c r="I77" s="112">
        <v>8.93</v>
      </c>
      <c r="J77" s="112">
        <v>0.13</v>
      </c>
      <c r="K77" s="112">
        <v>76.27</v>
      </c>
      <c r="L77" s="112">
        <v>23.75</v>
      </c>
      <c r="M77" s="112">
        <v>43.47</v>
      </c>
      <c r="N77" s="112">
        <v>3</v>
      </c>
      <c r="O77" s="112">
        <v>0</v>
      </c>
      <c r="P77" s="112">
        <v>0.86</v>
      </c>
      <c r="Q77" s="112">
        <v>4.75</v>
      </c>
    </row>
    <row r="78" spans="1:17" customFormat="1">
      <c r="A78" s="80">
        <v>45620.729166666664</v>
      </c>
      <c r="B78" s="112">
        <v>4.76</v>
      </c>
      <c r="C78" s="112">
        <v>23.97</v>
      </c>
      <c r="D78" s="112">
        <v>17.690000000000001</v>
      </c>
      <c r="E78" s="112">
        <v>8.64</v>
      </c>
      <c r="F78" s="112">
        <v>6.36</v>
      </c>
      <c r="G78" s="112">
        <v>85.35</v>
      </c>
      <c r="H78" s="112">
        <v>32.11</v>
      </c>
      <c r="I78" s="112">
        <v>9.07</v>
      </c>
      <c r="J78" s="112">
        <v>0.18</v>
      </c>
      <c r="K78" s="112">
        <v>60.59</v>
      </c>
      <c r="L78" s="112">
        <v>23.2</v>
      </c>
      <c r="M78" s="112">
        <v>45.18</v>
      </c>
      <c r="N78" s="112">
        <v>2</v>
      </c>
      <c r="O78" s="112">
        <v>0</v>
      </c>
      <c r="P78" s="112">
        <v>0.85</v>
      </c>
      <c r="Q78" s="112">
        <v>4.76</v>
      </c>
    </row>
    <row r="79" spans="1:17" customFormat="1">
      <c r="A79" s="80">
        <v>45620.739583333336</v>
      </c>
      <c r="B79" s="112">
        <v>4.9000000000000004</v>
      </c>
      <c r="C79" s="112">
        <v>24.08</v>
      </c>
      <c r="D79" s="112">
        <v>17.86</v>
      </c>
      <c r="E79" s="112">
        <v>8.8000000000000007</v>
      </c>
      <c r="F79" s="112">
        <v>6.31</v>
      </c>
      <c r="G79" s="112">
        <v>85.35</v>
      </c>
      <c r="H79" s="112">
        <v>32.11</v>
      </c>
      <c r="I79" s="112">
        <v>9.0500000000000007</v>
      </c>
      <c r="J79" s="112">
        <v>0.33</v>
      </c>
      <c r="K79" s="112">
        <v>160.44</v>
      </c>
      <c r="L79" s="112">
        <v>22.24</v>
      </c>
      <c r="M79" s="112">
        <v>53.97</v>
      </c>
      <c r="N79" s="112">
        <v>2.2000000000000002</v>
      </c>
      <c r="O79" s="112">
        <v>0</v>
      </c>
      <c r="P79" s="112">
        <v>0.87</v>
      </c>
      <c r="Q79" s="112">
        <v>4.76</v>
      </c>
    </row>
    <row r="80" spans="1:17" customFormat="1">
      <c r="A80" s="80">
        <v>45620.75</v>
      </c>
      <c r="B80" s="112">
        <v>4.95</v>
      </c>
      <c r="C80" s="112">
        <v>24.15</v>
      </c>
      <c r="D80" s="112">
        <v>17.940000000000001</v>
      </c>
      <c r="E80" s="112">
        <v>8.5299999999999994</v>
      </c>
      <c r="F80" s="112">
        <v>6.05</v>
      </c>
      <c r="G80" s="112">
        <v>85.35</v>
      </c>
      <c r="H80" s="112">
        <v>32.11</v>
      </c>
      <c r="I80" s="112">
        <v>9.0299999999999994</v>
      </c>
      <c r="J80" s="112">
        <v>0.33</v>
      </c>
      <c r="K80" s="112">
        <v>165.79</v>
      </c>
      <c r="L80" s="112">
        <v>21.55</v>
      </c>
      <c r="M80" s="112">
        <v>56.51</v>
      </c>
      <c r="N80" s="112">
        <v>2</v>
      </c>
      <c r="O80" s="112">
        <v>0</v>
      </c>
      <c r="P80" s="112">
        <v>0.88</v>
      </c>
      <c r="Q80" s="112">
        <v>4.76</v>
      </c>
    </row>
    <row r="81" spans="1:17" customFormat="1">
      <c r="A81" s="80">
        <v>45620.760416666664</v>
      </c>
      <c r="B81" s="112">
        <v>4.96</v>
      </c>
      <c r="C81" s="112">
        <v>24.02</v>
      </c>
      <c r="D81" s="112">
        <v>17.88</v>
      </c>
      <c r="E81" s="112">
        <v>7.01</v>
      </c>
      <c r="F81" s="112">
        <v>6.07</v>
      </c>
      <c r="G81" s="112">
        <v>85.48</v>
      </c>
      <c r="H81" s="112">
        <v>32.090000000000003</v>
      </c>
      <c r="I81" s="112">
        <v>9.09</v>
      </c>
      <c r="J81" s="112">
        <v>0.31</v>
      </c>
      <c r="K81" s="112">
        <v>160.38999999999999</v>
      </c>
      <c r="L81" s="112">
        <v>20.93</v>
      </c>
      <c r="M81" s="112">
        <v>61.49</v>
      </c>
      <c r="N81" s="112">
        <v>1.8</v>
      </c>
      <c r="O81" s="112">
        <v>0</v>
      </c>
      <c r="P81" s="112">
        <v>0.89</v>
      </c>
      <c r="Q81" s="112">
        <v>4.76</v>
      </c>
    </row>
    <row r="82" spans="1:17" customFormat="1">
      <c r="A82" s="80">
        <v>45620.770833333336</v>
      </c>
      <c r="B82" s="112">
        <v>5.01</v>
      </c>
      <c r="C82" s="112">
        <v>23.78</v>
      </c>
      <c r="D82" s="112">
        <v>17.79</v>
      </c>
      <c r="E82" s="112">
        <v>8.07</v>
      </c>
      <c r="F82" s="112">
        <v>5.84</v>
      </c>
      <c r="G82" s="112">
        <v>91.25</v>
      </c>
      <c r="H82" s="112">
        <v>31.51</v>
      </c>
      <c r="I82" s="112">
        <v>9.17</v>
      </c>
      <c r="J82" s="112">
        <v>0.24</v>
      </c>
      <c r="K82" s="112">
        <v>167.8</v>
      </c>
      <c r="L82" s="112">
        <v>20.34</v>
      </c>
      <c r="M82" s="112">
        <v>66.959999999999994</v>
      </c>
      <c r="N82" s="112">
        <v>1.6</v>
      </c>
      <c r="O82" s="112">
        <v>0</v>
      </c>
      <c r="P82" s="112">
        <v>0.9</v>
      </c>
      <c r="Q82" s="112">
        <v>4.74</v>
      </c>
    </row>
    <row r="83" spans="1:17" customFormat="1">
      <c r="A83" s="80">
        <v>45620.78125</v>
      </c>
      <c r="B83" s="112">
        <v>5.15</v>
      </c>
      <c r="C83" s="112">
        <v>23.87</v>
      </c>
      <c r="D83" s="112">
        <v>17.95</v>
      </c>
      <c r="E83" s="112">
        <v>8.42</v>
      </c>
      <c r="F83" s="112">
        <v>5.53</v>
      </c>
      <c r="G83" s="112">
        <v>91.25</v>
      </c>
      <c r="H83" s="112">
        <v>31.51</v>
      </c>
      <c r="I83" s="112">
        <v>9.31</v>
      </c>
      <c r="J83" s="112">
        <v>0.2</v>
      </c>
      <c r="K83" s="112">
        <v>202.11</v>
      </c>
      <c r="L83" s="112">
        <v>19.7</v>
      </c>
      <c r="M83" s="112">
        <v>72.77</v>
      </c>
      <c r="N83" s="112">
        <v>1.8</v>
      </c>
      <c r="O83" s="112">
        <v>0</v>
      </c>
      <c r="P83" s="112">
        <v>0.92</v>
      </c>
      <c r="Q83" s="112">
        <v>4.76</v>
      </c>
    </row>
    <row r="84" spans="1:17" customFormat="1">
      <c r="A84" s="80">
        <v>45620.791666666664</v>
      </c>
      <c r="B84" s="112">
        <v>5.29</v>
      </c>
      <c r="C84" s="112">
        <v>23.85</v>
      </c>
      <c r="D84" s="112">
        <v>18.05</v>
      </c>
      <c r="E84" s="112">
        <v>8.6199999999999992</v>
      </c>
      <c r="F84" s="112">
        <v>5.46</v>
      </c>
      <c r="G84" s="112">
        <v>91.25</v>
      </c>
      <c r="H84" s="112">
        <v>31.51</v>
      </c>
      <c r="I84" s="112">
        <v>9.5500000000000007</v>
      </c>
      <c r="J84" s="112">
        <v>0.17</v>
      </c>
      <c r="K84" s="112">
        <v>200.88</v>
      </c>
      <c r="L84" s="112">
        <v>19</v>
      </c>
      <c r="M84" s="112">
        <v>71.63</v>
      </c>
      <c r="N84" s="112">
        <v>1.7</v>
      </c>
      <c r="O84" s="112">
        <v>0</v>
      </c>
      <c r="P84" s="112">
        <v>0.95</v>
      </c>
      <c r="Q84" s="112">
        <v>4.76</v>
      </c>
    </row>
    <row r="85" spans="1:17" customFormat="1">
      <c r="A85" s="80">
        <v>45620.802083333336</v>
      </c>
      <c r="B85" s="112">
        <v>5.37</v>
      </c>
      <c r="C85" s="112">
        <v>23.61</v>
      </c>
      <c r="D85" s="112">
        <v>17.989999999999998</v>
      </c>
      <c r="E85" s="112">
        <v>8.64</v>
      </c>
      <c r="F85" s="112">
        <v>5.65</v>
      </c>
      <c r="G85" s="112">
        <v>91.28</v>
      </c>
      <c r="H85" s="112">
        <v>31.53</v>
      </c>
      <c r="I85" s="112">
        <v>9.86</v>
      </c>
      <c r="J85" s="112">
        <v>0.23</v>
      </c>
      <c r="K85" s="112">
        <v>164.31</v>
      </c>
      <c r="L85" s="112">
        <v>18.91</v>
      </c>
      <c r="M85" s="112">
        <v>68.58</v>
      </c>
      <c r="N85" s="112">
        <v>1.3</v>
      </c>
      <c r="O85" s="112">
        <v>0</v>
      </c>
      <c r="P85" s="112">
        <v>0.95</v>
      </c>
      <c r="Q85" s="112">
        <v>4.78</v>
      </c>
    </row>
    <row r="86" spans="1:17" customFormat="1">
      <c r="A86" s="80">
        <v>45620.8125</v>
      </c>
      <c r="B86" s="112">
        <v>5.64</v>
      </c>
      <c r="C86" s="112">
        <v>23.57</v>
      </c>
      <c r="D86" s="112">
        <v>18.190000000000001</v>
      </c>
      <c r="E86" s="112">
        <v>8.33</v>
      </c>
      <c r="F86" s="112">
        <v>5.78</v>
      </c>
      <c r="G86" s="112">
        <v>92.7</v>
      </c>
      <c r="H86" s="112">
        <v>32.130000000000003</v>
      </c>
      <c r="I86" s="112">
        <v>10.08</v>
      </c>
      <c r="J86" s="112">
        <v>0.14000000000000001</v>
      </c>
      <c r="K86" s="112">
        <v>191.59</v>
      </c>
      <c r="L86" s="112">
        <v>18.84</v>
      </c>
      <c r="M86" s="112">
        <v>69.02</v>
      </c>
      <c r="N86" s="112">
        <v>1.3</v>
      </c>
      <c r="O86" s="112">
        <v>0</v>
      </c>
      <c r="P86" s="112">
        <v>0.96</v>
      </c>
      <c r="Q86" s="112">
        <v>4.76</v>
      </c>
    </row>
    <row r="87" spans="1:17" customFormat="1">
      <c r="A87" s="80">
        <v>45620.822916666664</v>
      </c>
      <c r="B87" s="112">
        <v>6.78</v>
      </c>
      <c r="C87" s="112">
        <v>24.11</v>
      </c>
      <c r="D87" s="112">
        <v>19.38</v>
      </c>
      <c r="E87" s="112">
        <v>8.67</v>
      </c>
      <c r="F87" s="112">
        <v>5.37</v>
      </c>
      <c r="G87" s="112">
        <v>92.7</v>
      </c>
      <c r="H87" s="112">
        <v>32.130000000000003</v>
      </c>
      <c r="I87" s="112">
        <v>10.17</v>
      </c>
      <c r="J87" s="112">
        <v>0.2</v>
      </c>
      <c r="K87" s="112">
        <v>185.02</v>
      </c>
      <c r="L87" s="112">
        <v>18.62</v>
      </c>
      <c r="M87" s="112">
        <v>75.72</v>
      </c>
      <c r="N87" s="112">
        <v>1.4</v>
      </c>
      <c r="O87" s="112">
        <v>0</v>
      </c>
      <c r="P87" s="112">
        <v>0.99</v>
      </c>
      <c r="Q87" s="112">
        <v>4.76</v>
      </c>
    </row>
    <row r="88" spans="1:17" customFormat="1">
      <c r="A88" s="80">
        <v>45620.833333333336</v>
      </c>
      <c r="B88" s="112">
        <v>7.38</v>
      </c>
      <c r="C88" s="112">
        <v>24.01</v>
      </c>
      <c r="D88" s="112">
        <v>19.809999999999999</v>
      </c>
      <c r="E88" s="112">
        <v>8.57</v>
      </c>
      <c r="F88" s="112">
        <v>5.55</v>
      </c>
      <c r="G88" s="112">
        <v>92.7</v>
      </c>
      <c r="H88" s="112">
        <v>32.130000000000003</v>
      </c>
      <c r="I88" s="112">
        <v>10.29</v>
      </c>
      <c r="J88" s="112">
        <v>0.19</v>
      </c>
      <c r="K88" s="112">
        <v>204.03</v>
      </c>
      <c r="L88" s="112">
        <v>18.02</v>
      </c>
      <c r="M88" s="112">
        <v>77.92</v>
      </c>
      <c r="N88" s="112">
        <v>1.7</v>
      </c>
      <c r="O88" s="112">
        <v>0</v>
      </c>
      <c r="P88" s="112">
        <v>0.98</v>
      </c>
      <c r="Q88" s="112">
        <v>4.75</v>
      </c>
    </row>
    <row r="89" spans="1:17" customFormat="1">
      <c r="A89" s="80">
        <v>45620.84375</v>
      </c>
      <c r="B89" s="112">
        <v>7.44</v>
      </c>
      <c r="C89" s="112">
        <v>23.33</v>
      </c>
      <c r="D89" s="112">
        <v>19.510000000000002</v>
      </c>
      <c r="E89" s="112">
        <v>8.9</v>
      </c>
      <c r="F89" s="112">
        <v>5.6</v>
      </c>
      <c r="G89" s="112">
        <v>92.84</v>
      </c>
      <c r="H89" s="112">
        <v>32.22</v>
      </c>
      <c r="I89" s="112">
        <v>10.45</v>
      </c>
      <c r="J89" s="112">
        <v>0.14000000000000001</v>
      </c>
      <c r="K89" s="112">
        <v>230.46</v>
      </c>
      <c r="L89" s="112">
        <v>17.760000000000002</v>
      </c>
      <c r="M89" s="112">
        <v>75.569999999999993</v>
      </c>
      <c r="N89" s="112">
        <v>1.4</v>
      </c>
      <c r="O89" s="112">
        <v>0</v>
      </c>
      <c r="P89" s="112">
        <v>0.97</v>
      </c>
      <c r="Q89" s="112">
        <v>4.76</v>
      </c>
    </row>
    <row r="90" spans="1:17" customFormat="1">
      <c r="A90" s="80">
        <v>45620.854166666664</v>
      </c>
      <c r="B90" s="112">
        <v>7.44</v>
      </c>
      <c r="C90" s="112">
        <v>22.64</v>
      </c>
      <c r="D90" s="112">
        <v>19.14</v>
      </c>
      <c r="E90" s="112">
        <v>8.66</v>
      </c>
      <c r="F90" s="112">
        <v>5.84</v>
      </c>
      <c r="G90" s="112">
        <v>98.91</v>
      </c>
      <c r="H90" s="112">
        <v>35.159999999999997</v>
      </c>
      <c r="I90" s="112">
        <v>10.57</v>
      </c>
      <c r="J90" s="112">
        <v>0.15</v>
      </c>
      <c r="K90" s="112">
        <v>227.48</v>
      </c>
      <c r="L90" s="112">
        <v>17.670000000000002</v>
      </c>
      <c r="M90" s="112">
        <v>74.45</v>
      </c>
      <c r="N90" s="112">
        <v>1.4</v>
      </c>
      <c r="O90" s="112">
        <v>0</v>
      </c>
      <c r="P90" s="112">
        <v>0.97</v>
      </c>
      <c r="Q90" s="112">
        <v>4.74</v>
      </c>
    </row>
    <row r="91" spans="1:17" customFormat="1">
      <c r="A91" s="80">
        <v>45620.864583333336</v>
      </c>
      <c r="B91" s="112">
        <v>7.36</v>
      </c>
      <c r="C91" s="112">
        <v>22.07</v>
      </c>
      <c r="D91" s="112">
        <v>18.78</v>
      </c>
      <c r="E91" s="112">
        <v>8.65</v>
      </c>
      <c r="F91" s="112">
        <v>6.01</v>
      </c>
      <c r="G91" s="112">
        <v>98.91</v>
      </c>
      <c r="H91" s="112">
        <v>35.159999999999997</v>
      </c>
      <c r="I91" s="112">
        <v>10.64</v>
      </c>
      <c r="J91" s="112">
        <v>0.17</v>
      </c>
      <c r="K91" s="112">
        <v>209.79</v>
      </c>
      <c r="L91" s="112">
        <v>17.48</v>
      </c>
      <c r="M91" s="112">
        <v>76.739999999999995</v>
      </c>
      <c r="N91" s="112">
        <v>1.3</v>
      </c>
      <c r="O91" s="112">
        <v>0</v>
      </c>
      <c r="P91" s="112">
        <v>0.98</v>
      </c>
      <c r="Q91" s="112">
        <v>4.76</v>
      </c>
    </row>
    <row r="92" spans="1:17" customFormat="1">
      <c r="A92" s="80">
        <v>45620.875</v>
      </c>
      <c r="B92" s="112">
        <v>7.29</v>
      </c>
      <c r="C92" s="112">
        <v>21.61</v>
      </c>
      <c r="D92" s="112">
        <v>18.489999999999998</v>
      </c>
      <c r="E92" s="112">
        <v>8.32</v>
      </c>
      <c r="F92" s="112">
        <v>5.74</v>
      </c>
      <c r="G92" s="112">
        <v>98.91</v>
      </c>
      <c r="H92" s="112">
        <v>35.159999999999997</v>
      </c>
      <c r="I92" s="112">
        <v>10.69</v>
      </c>
      <c r="J92" s="112">
        <v>0.11</v>
      </c>
      <c r="K92" s="112">
        <v>180.55</v>
      </c>
      <c r="L92" s="112">
        <v>17.170000000000002</v>
      </c>
      <c r="M92" s="112">
        <v>80.81</v>
      </c>
      <c r="N92" s="112">
        <v>1.4</v>
      </c>
      <c r="O92" s="112">
        <v>0</v>
      </c>
      <c r="P92" s="112">
        <v>0.98</v>
      </c>
      <c r="Q92" s="112">
        <v>4.74</v>
      </c>
    </row>
    <row r="93" spans="1:17" customFormat="1">
      <c r="A93" s="80">
        <v>45620.885416666664</v>
      </c>
      <c r="B93" s="112">
        <v>7.24</v>
      </c>
      <c r="C93" s="112">
        <v>21.17</v>
      </c>
      <c r="D93" s="112">
        <v>18.22</v>
      </c>
      <c r="E93" s="112">
        <v>8.7100000000000009</v>
      </c>
      <c r="F93" s="112">
        <v>5.73</v>
      </c>
      <c r="G93" s="112">
        <v>99.01</v>
      </c>
      <c r="H93" s="112">
        <v>35.06</v>
      </c>
      <c r="I93" s="112">
        <v>10.74</v>
      </c>
      <c r="J93" s="112">
        <v>0.14000000000000001</v>
      </c>
      <c r="K93" s="112">
        <v>174.57</v>
      </c>
      <c r="L93" s="112">
        <v>17.100000000000001</v>
      </c>
      <c r="M93" s="112">
        <v>78.56</v>
      </c>
      <c r="N93" s="112">
        <v>1.2</v>
      </c>
      <c r="O93" s="112">
        <v>0</v>
      </c>
      <c r="P93" s="112">
        <v>0.99</v>
      </c>
      <c r="Q93" s="112">
        <v>4.7300000000000004</v>
      </c>
    </row>
    <row r="94" spans="1:17" customFormat="1">
      <c r="A94" s="80">
        <v>45620.895833333336</v>
      </c>
      <c r="B94" s="112">
        <v>7.21</v>
      </c>
      <c r="C94" s="112">
        <v>20.84</v>
      </c>
      <c r="D94" s="112">
        <v>18.02</v>
      </c>
      <c r="E94" s="112">
        <v>8.11</v>
      </c>
      <c r="F94" s="112">
        <v>5.96</v>
      </c>
      <c r="G94" s="112">
        <v>103.16</v>
      </c>
      <c r="H94" s="112">
        <v>32.130000000000003</v>
      </c>
      <c r="I94" s="112">
        <v>10.82</v>
      </c>
      <c r="J94" s="112">
        <v>0.16</v>
      </c>
      <c r="K94" s="112">
        <v>232.09</v>
      </c>
      <c r="L94" s="112">
        <v>17.100000000000001</v>
      </c>
      <c r="M94" s="112">
        <v>78.37</v>
      </c>
      <c r="N94" s="112">
        <v>1.2</v>
      </c>
      <c r="O94" s="112">
        <v>0</v>
      </c>
      <c r="P94" s="112">
        <v>1</v>
      </c>
      <c r="Q94" s="112">
        <v>4.75</v>
      </c>
    </row>
    <row r="95" spans="1:17" customFormat="1">
      <c r="A95" s="80">
        <v>45620.90625</v>
      </c>
      <c r="B95" s="112">
        <v>7.17</v>
      </c>
      <c r="C95" s="112">
        <v>20.51</v>
      </c>
      <c r="D95" s="112">
        <v>17.809999999999999</v>
      </c>
      <c r="E95" s="112">
        <v>8.69</v>
      </c>
      <c r="F95" s="112">
        <v>5.79</v>
      </c>
      <c r="G95" s="112">
        <v>103.16</v>
      </c>
      <c r="H95" s="112">
        <v>32.130000000000003</v>
      </c>
      <c r="I95" s="112">
        <v>10.9</v>
      </c>
      <c r="J95" s="112">
        <v>0.13</v>
      </c>
      <c r="K95" s="112">
        <v>180.32</v>
      </c>
      <c r="L95" s="112">
        <v>16.920000000000002</v>
      </c>
      <c r="M95" s="112">
        <v>82.33</v>
      </c>
      <c r="N95" s="112">
        <v>1.3</v>
      </c>
      <c r="O95" s="112">
        <v>0</v>
      </c>
      <c r="P95" s="112">
        <v>1</v>
      </c>
      <c r="Q95" s="112">
        <v>4.75</v>
      </c>
    </row>
    <row r="96" spans="1:17" customFormat="1">
      <c r="A96" s="80">
        <v>45620.916666666664</v>
      </c>
      <c r="B96" s="112">
        <v>7.14</v>
      </c>
      <c r="C96" s="112">
        <v>20.18</v>
      </c>
      <c r="D96" s="112">
        <v>17.62</v>
      </c>
      <c r="E96" s="112">
        <v>8.2100000000000009</v>
      </c>
      <c r="F96" s="112">
        <v>5.98</v>
      </c>
      <c r="G96" s="112">
        <v>103.16</v>
      </c>
      <c r="H96" s="112">
        <v>32.130000000000003</v>
      </c>
      <c r="I96" s="112">
        <v>10.96</v>
      </c>
      <c r="J96" s="112">
        <v>0.1</v>
      </c>
      <c r="K96" s="112">
        <v>180.26</v>
      </c>
      <c r="L96" s="112">
        <v>16.829999999999998</v>
      </c>
      <c r="M96" s="112">
        <v>79.569999999999993</v>
      </c>
      <c r="N96" s="112">
        <v>1.2</v>
      </c>
      <c r="O96" s="112">
        <v>0</v>
      </c>
      <c r="P96" s="112">
        <v>1.01</v>
      </c>
      <c r="Q96" s="112">
        <v>4.76</v>
      </c>
    </row>
    <row r="97" spans="1:22" customFormat="1">
      <c r="A97" s="80">
        <v>45620.927083333336</v>
      </c>
      <c r="B97" s="112">
        <v>7.04</v>
      </c>
      <c r="C97" s="112">
        <v>19.920000000000002</v>
      </c>
      <c r="D97" s="112">
        <v>17.399999999999999</v>
      </c>
      <c r="E97" s="112">
        <v>8.4700000000000006</v>
      </c>
      <c r="F97" s="112">
        <v>5.45</v>
      </c>
      <c r="G97" s="112">
        <v>103.17</v>
      </c>
      <c r="H97" s="112">
        <v>32.229999999999997</v>
      </c>
      <c r="I97" s="112">
        <v>11.03</v>
      </c>
      <c r="J97" s="112">
        <v>0.12</v>
      </c>
      <c r="K97" s="112">
        <v>171.69</v>
      </c>
      <c r="L97" s="112">
        <v>16.809999999999999</v>
      </c>
      <c r="M97" s="112">
        <v>79.78</v>
      </c>
      <c r="N97" s="112">
        <v>1.1000000000000001</v>
      </c>
      <c r="O97" s="112">
        <v>0</v>
      </c>
      <c r="P97" s="112">
        <v>1.02</v>
      </c>
      <c r="Q97" s="112">
        <v>4.75</v>
      </c>
    </row>
    <row r="98" spans="1:22" customFormat="1">
      <c r="A98" s="80">
        <v>45620.9375</v>
      </c>
      <c r="B98" s="112">
        <v>6.99</v>
      </c>
      <c r="C98" s="112">
        <v>19.649999999999999</v>
      </c>
      <c r="D98" s="112">
        <v>17.22</v>
      </c>
      <c r="E98" s="112">
        <v>8.52</v>
      </c>
      <c r="F98" s="112">
        <v>5.58</v>
      </c>
      <c r="G98" s="112">
        <v>103.33</v>
      </c>
      <c r="H98" s="112">
        <v>35.44</v>
      </c>
      <c r="I98" s="112">
        <v>11.1</v>
      </c>
      <c r="J98" s="112">
        <v>0.11</v>
      </c>
      <c r="K98" s="112">
        <v>201.18</v>
      </c>
      <c r="L98" s="112">
        <v>16.739999999999998</v>
      </c>
      <c r="M98" s="112">
        <v>81.790000000000006</v>
      </c>
      <c r="N98" s="112">
        <v>1.1000000000000001</v>
      </c>
      <c r="O98" s="112">
        <v>0</v>
      </c>
      <c r="P98" s="112">
        <v>1.02</v>
      </c>
      <c r="Q98" s="112">
        <v>4.72</v>
      </c>
    </row>
    <row r="99" spans="1:22" customFormat="1">
      <c r="A99" s="80">
        <v>45620.947916666664</v>
      </c>
      <c r="B99" s="112">
        <v>6.91</v>
      </c>
      <c r="C99" s="112">
        <v>19.28</v>
      </c>
      <c r="D99" s="112">
        <v>16.97</v>
      </c>
      <c r="E99" s="112">
        <v>8.34</v>
      </c>
      <c r="F99" s="112">
        <v>5.71</v>
      </c>
      <c r="G99" s="112">
        <v>103.33</v>
      </c>
      <c r="H99" s="112">
        <v>35.44</v>
      </c>
      <c r="I99" s="112">
        <v>11.15</v>
      </c>
      <c r="J99" s="112">
        <v>0.12</v>
      </c>
      <c r="K99" s="112">
        <v>222.72</v>
      </c>
      <c r="L99" s="112">
        <v>16.579999999999998</v>
      </c>
      <c r="M99" s="112">
        <v>84.84</v>
      </c>
      <c r="N99" s="112">
        <v>1.2</v>
      </c>
      <c r="O99" s="112">
        <v>0</v>
      </c>
      <c r="P99" s="112">
        <v>1.02</v>
      </c>
      <c r="Q99" s="112">
        <v>4.74</v>
      </c>
    </row>
    <row r="100" spans="1:22" customFormat="1">
      <c r="A100" s="80">
        <v>45620.958333333336</v>
      </c>
      <c r="B100" s="112">
        <v>6.89</v>
      </c>
      <c r="C100" s="112">
        <v>18.97</v>
      </c>
      <c r="D100" s="112">
        <v>16.79</v>
      </c>
      <c r="E100" s="112">
        <v>8.6300000000000008</v>
      </c>
      <c r="F100" s="112">
        <v>5.66</v>
      </c>
      <c r="G100" s="112">
        <v>103.33</v>
      </c>
      <c r="H100" s="112">
        <v>35.44</v>
      </c>
      <c r="I100" s="112">
        <v>11.21</v>
      </c>
      <c r="J100" s="112">
        <v>0.14000000000000001</v>
      </c>
      <c r="K100" s="112">
        <v>231.94</v>
      </c>
      <c r="L100" s="112">
        <v>16.420000000000002</v>
      </c>
      <c r="M100" s="112">
        <v>82.76</v>
      </c>
      <c r="N100" s="112">
        <v>1.3</v>
      </c>
      <c r="O100" s="112">
        <v>0</v>
      </c>
      <c r="P100" s="112">
        <v>1.02</v>
      </c>
      <c r="Q100" s="112">
        <v>4.74</v>
      </c>
    </row>
    <row r="101" spans="1:22" customFormat="1">
      <c r="A101" s="80">
        <v>45620.96875</v>
      </c>
      <c r="B101" s="112">
        <v>6.85</v>
      </c>
      <c r="C101" s="112">
        <v>18.82</v>
      </c>
      <c r="D101" s="112">
        <v>16.68</v>
      </c>
      <c r="E101" s="112">
        <v>8.42</v>
      </c>
      <c r="F101" s="112">
        <v>5.65</v>
      </c>
      <c r="G101" s="112">
        <v>103.19</v>
      </c>
      <c r="H101" s="112">
        <v>35.46</v>
      </c>
      <c r="I101" s="112">
        <v>11.25</v>
      </c>
      <c r="J101" s="112">
        <v>0.12</v>
      </c>
      <c r="K101" s="112">
        <v>202.7</v>
      </c>
      <c r="L101" s="112">
        <v>16.11</v>
      </c>
      <c r="M101" s="112">
        <v>85.03</v>
      </c>
      <c r="N101" s="112">
        <v>1.4</v>
      </c>
      <c r="O101" s="112">
        <v>0</v>
      </c>
      <c r="P101" s="112">
        <v>1.03</v>
      </c>
      <c r="Q101" s="112">
        <v>4.76</v>
      </c>
    </row>
    <row r="102" spans="1:22" customFormat="1">
      <c r="A102" s="80">
        <v>45620.979166666664</v>
      </c>
      <c r="B102" s="112">
        <v>6.84</v>
      </c>
      <c r="C102" s="112">
        <v>18.649999999999999</v>
      </c>
      <c r="D102" s="112">
        <v>16.579999999999998</v>
      </c>
      <c r="E102" s="112">
        <v>8.34</v>
      </c>
      <c r="F102" s="112">
        <v>5.56</v>
      </c>
      <c r="G102" s="112">
        <v>96.85</v>
      </c>
      <c r="H102" s="112">
        <v>36.06</v>
      </c>
      <c r="I102" s="112">
        <v>11.3</v>
      </c>
      <c r="J102" s="112">
        <v>0.13</v>
      </c>
      <c r="K102" s="112">
        <v>211.28</v>
      </c>
      <c r="L102" s="112">
        <v>16.059999999999999</v>
      </c>
      <c r="M102" s="112">
        <v>84.18</v>
      </c>
      <c r="N102" s="112">
        <v>1.3</v>
      </c>
      <c r="O102" s="112">
        <v>0</v>
      </c>
      <c r="P102" s="112">
        <v>1.04</v>
      </c>
      <c r="Q102" s="112">
        <v>4.75</v>
      </c>
    </row>
    <row r="103" spans="1:22" customFormat="1">
      <c r="A103" s="80">
        <v>45620.989583333336</v>
      </c>
      <c r="B103" s="112">
        <v>6.88</v>
      </c>
      <c r="C103" s="112">
        <v>18.5</v>
      </c>
      <c r="D103" s="112">
        <v>16.53</v>
      </c>
      <c r="E103" s="112">
        <v>8.66</v>
      </c>
      <c r="F103" s="112">
        <v>5.64</v>
      </c>
      <c r="G103" s="112">
        <v>96.85</v>
      </c>
      <c r="H103" s="112">
        <v>36.06</v>
      </c>
      <c r="I103" s="112">
        <v>11.35</v>
      </c>
      <c r="J103" s="112">
        <v>0.1</v>
      </c>
      <c r="K103" s="112">
        <v>209.54</v>
      </c>
      <c r="L103" s="112">
        <v>16.14</v>
      </c>
      <c r="M103" s="112">
        <v>81.62</v>
      </c>
      <c r="N103" s="112">
        <v>1.3</v>
      </c>
      <c r="O103" s="112">
        <v>0</v>
      </c>
      <c r="P103" s="112">
        <v>1.04</v>
      </c>
      <c r="Q103" s="112">
        <v>4.76</v>
      </c>
    </row>
    <row r="104" spans="1:22" customFormat="1">
      <c r="A104" s="80">
        <v>45621</v>
      </c>
      <c r="B104" s="112">
        <v>7.41</v>
      </c>
      <c r="C104" s="112">
        <v>18.82</v>
      </c>
      <c r="D104" s="112">
        <v>17.13</v>
      </c>
      <c r="E104" s="112">
        <v>8.3000000000000007</v>
      </c>
      <c r="F104" s="112">
        <v>5.55</v>
      </c>
      <c r="G104" s="112">
        <v>96.85</v>
      </c>
      <c r="H104" s="112">
        <v>36.06</v>
      </c>
      <c r="I104" s="112">
        <v>11.36</v>
      </c>
      <c r="J104" s="112">
        <v>0.12</v>
      </c>
      <c r="K104" s="112">
        <v>228.64</v>
      </c>
      <c r="L104" s="112">
        <v>16.190000000000001</v>
      </c>
      <c r="M104" s="112">
        <v>79.73</v>
      </c>
      <c r="N104" s="112">
        <v>1.3</v>
      </c>
      <c r="O104" s="112">
        <v>0</v>
      </c>
      <c r="P104" s="112">
        <v>1.03</v>
      </c>
      <c r="Q104" s="112">
        <v>4.76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</v>
      </c>
      <c r="C106" s="183">
        <f>MIN(C9:C104)</f>
        <v>18.5</v>
      </c>
      <c r="D106" s="183">
        <f t="shared" ref="D106:Q106" si="0">MIN(D9:D104)</f>
        <v>14.88</v>
      </c>
      <c r="E106" s="183">
        <f t="shared" si="0"/>
        <v>6.75</v>
      </c>
      <c r="F106" s="183">
        <f t="shared" si="0"/>
        <v>5.15</v>
      </c>
      <c r="G106" s="183">
        <f t="shared" si="0"/>
        <v>70.099999999999994</v>
      </c>
      <c r="H106" s="183">
        <f t="shared" si="0"/>
        <v>31.51</v>
      </c>
      <c r="I106" s="183">
        <f t="shared" si="0"/>
        <v>8.93</v>
      </c>
      <c r="J106" s="183">
        <f t="shared" si="0"/>
        <v>0.03</v>
      </c>
      <c r="K106" s="183">
        <f t="shared" si="0"/>
        <v>0.49</v>
      </c>
      <c r="L106" s="183">
        <f t="shared" si="0"/>
        <v>14.74</v>
      </c>
      <c r="M106" s="183">
        <f t="shared" si="0"/>
        <v>29.26</v>
      </c>
      <c r="N106" s="183">
        <f t="shared" si="0"/>
        <v>0.7</v>
      </c>
      <c r="O106" s="183">
        <f t="shared" si="0"/>
        <v>0</v>
      </c>
      <c r="P106" s="183">
        <f t="shared" si="0"/>
        <v>0.83</v>
      </c>
      <c r="Q106" s="183">
        <f t="shared" si="0"/>
        <v>4.72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35.92</v>
      </c>
      <c r="C107" s="184">
        <f t="shared" ref="C107:Q107" si="1">MAX(C9:C104)</f>
        <v>26.92</v>
      </c>
      <c r="D107" s="184">
        <f t="shared" si="1"/>
        <v>43.06</v>
      </c>
      <c r="E107" s="184">
        <f t="shared" si="1"/>
        <v>10.48</v>
      </c>
      <c r="F107" s="184">
        <f t="shared" si="1"/>
        <v>12.51</v>
      </c>
      <c r="G107" s="184">
        <f t="shared" si="1"/>
        <v>150.13</v>
      </c>
      <c r="H107" s="184">
        <f t="shared" si="1"/>
        <v>50.32</v>
      </c>
      <c r="I107" s="184">
        <f t="shared" si="1"/>
        <v>14.92</v>
      </c>
      <c r="J107" s="184">
        <f t="shared" si="1"/>
        <v>0.86</v>
      </c>
      <c r="K107" s="184">
        <f t="shared" si="1"/>
        <v>235.07</v>
      </c>
      <c r="L107" s="184">
        <f t="shared" si="1"/>
        <v>27.59</v>
      </c>
      <c r="M107" s="184">
        <f t="shared" si="1"/>
        <v>91.26</v>
      </c>
      <c r="N107" s="184">
        <f t="shared" si="1"/>
        <v>469.5</v>
      </c>
      <c r="O107" s="184">
        <f t="shared" si="1"/>
        <v>0</v>
      </c>
      <c r="P107" s="184">
        <f t="shared" si="1"/>
        <v>1.22</v>
      </c>
      <c r="Q107" s="184">
        <f t="shared" si="1"/>
        <v>4.78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14.663437500000008</v>
      </c>
      <c r="C108" s="183">
        <f t="shared" ref="C108:Q108" si="2">AVERAGE(C9:C104)</f>
        <v>22.780104166666671</v>
      </c>
      <c r="D108" s="183">
        <f t="shared" si="2"/>
        <v>25.011875000000003</v>
      </c>
      <c r="E108" s="183">
        <f t="shared" si="2"/>
        <v>8.4434374999999999</v>
      </c>
      <c r="F108" s="183">
        <f t="shared" si="2"/>
        <v>6.5745833333333321</v>
      </c>
      <c r="G108" s="183">
        <f t="shared" si="2"/>
        <v>107.50656250000007</v>
      </c>
      <c r="H108" s="183">
        <f t="shared" si="2"/>
        <v>40.630104166666662</v>
      </c>
      <c r="I108" s="183">
        <f t="shared" si="2"/>
        <v>12.162708333333333</v>
      </c>
      <c r="J108" s="183">
        <f t="shared" si="2"/>
        <v>0.30343749999999997</v>
      </c>
      <c r="K108" s="183">
        <f t="shared" si="2"/>
        <v>115.83104166666674</v>
      </c>
      <c r="L108" s="183">
        <f t="shared" si="2"/>
        <v>20.08666666666667</v>
      </c>
      <c r="M108" s="183">
        <f t="shared" si="2"/>
        <v>64.584791666666675</v>
      </c>
      <c r="N108" s="183">
        <f t="shared" si="2"/>
        <v>95.404166666666626</v>
      </c>
      <c r="O108" s="183">
        <f t="shared" si="2"/>
        <v>0</v>
      </c>
      <c r="P108" s="183">
        <f t="shared" si="2"/>
        <v>1.0297916666666669</v>
      </c>
      <c r="Q108" s="183">
        <f t="shared" si="2"/>
        <v>4.7534374999999978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11.112296160287803</v>
      </c>
      <c r="C109" s="183">
        <f t="shared" ref="C109:Q109" si="3">STDEV(C9:C104)</f>
        <v>2.0839726711975035</v>
      </c>
      <c r="D109" s="183">
        <f t="shared" si="3"/>
        <v>9.4693583745846031</v>
      </c>
      <c r="E109" s="183">
        <f t="shared" si="3"/>
        <v>0.95858209776620495</v>
      </c>
      <c r="F109" s="183">
        <f t="shared" si="3"/>
        <v>1.8452088266738531</v>
      </c>
      <c r="G109" s="183">
        <f t="shared" si="3"/>
        <v>22.975080451293543</v>
      </c>
      <c r="H109" s="183">
        <f t="shared" si="3"/>
        <v>6.2535730409509691</v>
      </c>
      <c r="I109" s="183">
        <f t="shared" si="3"/>
        <v>1.921059729018372</v>
      </c>
      <c r="J109" s="183">
        <f t="shared" si="3"/>
        <v>0.2097709433744592</v>
      </c>
      <c r="K109" s="183">
        <f t="shared" si="3"/>
        <v>76.313386788387405</v>
      </c>
      <c r="L109" s="183">
        <f t="shared" si="3"/>
        <v>4.5923301427870822</v>
      </c>
      <c r="M109" s="183">
        <f t="shared" si="3"/>
        <v>21.63404539045203</v>
      </c>
      <c r="N109" s="183">
        <f t="shared" si="3"/>
        <v>151.74397615142954</v>
      </c>
      <c r="O109" s="183">
        <f t="shared" si="3"/>
        <v>0</v>
      </c>
      <c r="P109" s="183">
        <f t="shared" si="3"/>
        <v>0.1293219496708366</v>
      </c>
      <c r="Q109" s="183">
        <f t="shared" si="3"/>
        <v>1.2382340991147423E-2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45621.010416666664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45621.010416666664</v>
      </c>
      <c r="B9" s="112">
        <v>8.0299999999999994</v>
      </c>
      <c r="C9" s="112">
        <v>19.57</v>
      </c>
      <c r="D9" s="112">
        <v>18.010000000000002</v>
      </c>
      <c r="E9" s="112">
        <v>7.88</v>
      </c>
      <c r="F9" s="112">
        <v>5.36</v>
      </c>
      <c r="G9" s="112">
        <v>96.84</v>
      </c>
      <c r="H9" s="112">
        <v>36.08</v>
      </c>
      <c r="I9" s="112">
        <v>11.35</v>
      </c>
      <c r="J9" s="112">
        <v>0.15</v>
      </c>
      <c r="K9" s="112">
        <v>220.78</v>
      </c>
      <c r="L9" s="112">
        <v>16.059999999999999</v>
      </c>
      <c r="M9" s="112">
        <v>82.34</v>
      </c>
      <c r="N9" s="112">
        <v>1.3</v>
      </c>
      <c r="O9" s="112">
        <v>0</v>
      </c>
      <c r="P9" s="112">
        <v>1.03</v>
      </c>
      <c r="Q9" s="112">
        <v>4.75</v>
      </c>
    </row>
    <row r="10" spans="1:21" customFormat="1">
      <c r="A10" s="80">
        <v>45621.020833333336</v>
      </c>
      <c r="B10" s="112">
        <v>8.08</v>
      </c>
      <c r="C10" s="112">
        <v>19.62</v>
      </c>
      <c r="D10" s="112">
        <v>18.079999999999998</v>
      </c>
      <c r="E10" s="112">
        <v>8.44</v>
      </c>
      <c r="F10" s="112">
        <v>5.5</v>
      </c>
      <c r="G10" s="112">
        <v>96.75</v>
      </c>
      <c r="H10" s="112">
        <v>36.74</v>
      </c>
      <c r="I10" s="112">
        <v>11.33</v>
      </c>
      <c r="J10" s="112">
        <v>0.12</v>
      </c>
      <c r="K10" s="112">
        <v>219.75</v>
      </c>
      <c r="L10" s="112">
        <v>15.89</v>
      </c>
      <c r="M10" s="112">
        <v>85.37</v>
      </c>
      <c r="N10" s="112">
        <v>1.4</v>
      </c>
      <c r="O10" s="112">
        <v>0</v>
      </c>
      <c r="P10" s="112">
        <v>1.04</v>
      </c>
      <c r="Q10" s="112">
        <v>4.74</v>
      </c>
    </row>
    <row r="11" spans="1:21" customFormat="1">
      <c r="A11" s="80">
        <v>45621.03125</v>
      </c>
      <c r="B11" s="112">
        <v>8.1999999999999993</v>
      </c>
      <c r="C11" s="112">
        <v>19.79</v>
      </c>
      <c r="D11" s="112">
        <v>18.27</v>
      </c>
      <c r="E11" s="112">
        <v>7.7</v>
      </c>
      <c r="F11" s="112">
        <v>5.65</v>
      </c>
      <c r="G11" s="112">
        <v>96.75</v>
      </c>
      <c r="H11" s="112">
        <v>36.74</v>
      </c>
      <c r="I11" s="112">
        <v>11.32</v>
      </c>
      <c r="J11" s="112">
        <v>0.2</v>
      </c>
      <c r="K11" s="112">
        <v>157.49</v>
      </c>
      <c r="L11" s="112">
        <v>15.91</v>
      </c>
      <c r="M11" s="112">
        <v>83.35</v>
      </c>
      <c r="N11" s="112">
        <v>1.2</v>
      </c>
      <c r="O11" s="112">
        <v>0</v>
      </c>
      <c r="P11" s="112">
        <v>1.06</v>
      </c>
      <c r="Q11" s="112">
        <v>4.7699999999999996</v>
      </c>
    </row>
    <row r="12" spans="1:21" customFormat="1">
      <c r="A12" s="80">
        <v>45621.041666666664</v>
      </c>
      <c r="B12" s="112">
        <v>9.08</v>
      </c>
      <c r="C12" s="112">
        <v>20.13</v>
      </c>
      <c r="D12" s="112">
        <v>19.149999999999999</v>
      </c>
      <c r="E12" s="112">
        <v>7.64</v>
      </c>
      <c r="F12" s="112">
        <v>5.27</v>
      </c>
      <c r="G12" s="112">
        <v>96.75</v>
      </c>
      <c r="H12" s="112">
        <v>36.74</v>
      </c>
      <c r="I12" s="112">
        <v>11.32</v>
      </c>
      <c r="J12" s="112">
        <v>0.13</v>
      </c>
      <c r="K12" s="112">
        <v>186.82</v>
      </c>
      <c r="L12" s="112">
        <v>15.91</v>
      </c>
      <c r="M12" s="112">
        <v>82.92</v>
      </c>
      <c r="N12" s="112">
        <v>1.2</v>
      </c>
      <c r="O12" s="112">
        <v>0</v>
      </c>
      <c r="P12" s="112">
        <v>1.07</v>
      </c>
      <c r="Q12" s="112">
        <v>4.78</v>
      </c>
    </row>
    <row r="13" spans="1:21" customFormat="1">
      <c r="A13" s="80">
        <v>45621.052083333336</v>
      </c>
      <c r="B13" s="112">
        <v>11.31</v>
      </c>
      <c r="C13" s="112">
        <v>20.83</v>
      </c>
      <c r="D13" s="112">
        <v>21.31</v>
      </c>
      <c r="E13" s="112">
        <v>7.97</v>
      </c>
      <c r="F13" s="112">
        <v>5.16</v>
      </c>
      <c r="G13" s="112">
        <v>96.75</v>
      </c>
      <c r="H13" s="112">
        <v>36.72</v>
      </c>
      <c r="I13" s="112">
        <v>11.31</v>
      </c>
      <c r="J13" s="112">
        <v>7.0000000000000007E-2</v>
      </c>
      <c r="K13" s="112">
        <v>237.71</v>
      </c>
      <c r="L13" s="112">
        <v>15.76</v>
      </c>
      <c r="M13" s="112">
        <v>83.4</v>
      </c>
      <c r="N13" s="112">
        <v>1.3</v>
      </c>
      <c r="O13" s="112">
        <v>0</v>
      </c>
      <c r="P13" s="112">
        <v>1.08</v>
      </c>
      <c r="Q13" s="112">
        <v>4.7699999999999996</v>
      </c>
    </row>
    <row r="14" spans="1:21" customFormat="1">
      <c r="A14" s="80">
        <v>45621.0625</v>
      </c>
      <c r="B14" s="112">
        <v>15.45</v>
      </c>
      <c r="C14" s="112">
        <v>21.62</v>
      </c>
      <c r="D14" s="112">
        <v>25.03</v>
      </c>
      <c r="E14" s="112">
        <v>7.97</v>
      </c>
      <c r="F14" s="112">
        <v>5.36</v>
      </c>
      <c r="G14" s="112">
        <v>97</v>
      </c>
      <c r="H14" s="112">
        <v>35.69</v>
      </c>
      <c r="I14" s="112">
        <v>11.37</v>
      </c>
      <c r="J14" s="112">
        <v>0.21</v>
      </c>
      <c r="K14" s="112">
        <v>16.88</v>
      </c>
      <c r="L14" s="112">
        <v>15.86</v>
      </c>
      <c r="M14" s="112">
        <v>80.430000000000007</v>
      </c>
      <c r="N14" s="112">
        <v>0.9</v>
      </c>
      <c r="O14" s="112">
        <v>0</v>
      </c>
      <c r="P14" s="112">
        <v>1.0900000000000001</v>
      </c>
      <c r="Q14" s="112">
        <v>4.76</v>
      </c>
    </row>
    <row r="15" spans="1:21" customFormat="1">
      <c r="A15" s="80">
        <v>45621.072916666664</v>
      </c>
      <c r="B15" s="112">
        <v>19</v>
      </c>
      <c r="C15" s="112">
        <v>22.3</v>
      </c>
      <c r="D15" s="112">
        <v>28.24</v>
      </c>
      <c r="E15" s="112">
        <v>7.91</v>
      </c>
      <c r="F15" s="112">
        <v>5.41</v>
      </c>
      <c r="G15" s="112">
        <v>97</v>
      </c>
      <c r="H15" s="112">
        <v>35.69</v>
      </c>
      <c r="I15" s="112">
        <v>11.45</v>
      </c>
      <c r="J15" s="112">
        <v>0.26</v>
      </c>
      <c r="K15" s="112">
        <v>59.84</v>
      </c>
      <c r="L15" s="112">
        <v>16.32</v>
      </c>
      <c r="M15" s="112">
        <v>76.73</v>
      </c>
      <c r="N15" s="112">
        <v>1</v>
      </c>
      <c r="O15" s="112">
        <v>0</v>
      </c>
      <c r="P15" s="112">
        <v>1.1200000000000001</v>
      </c>
      <c r="Q15" s="112">
        <v>4.76</v>
      </c>
    </row>
    <row r="16" spans="1:21" customFormat="1">
      <c r="A16" s="80">
        <v>45621.083333333336</v>
      </c>
      <c r="B16" s="112">
        <v>20.58</v>
      </c>
      <c r="C16" s="112">
        <v>22.73</v>
      </c>
      <c r="D16" s="112">
        <v>29.73</v>
      </c>
      <c r="E16" s="112">
        <v>7.92</v>
      </c>
      <c r="F16" s="112">
        <v>5.26</v>
      </c>
      <c r="G16" s="112">
        <v>97</v>
      </c>
      <c r="H16" s="112">
        <v>35.69</v>
      </c>
      <c r="I16" s="112">
        <v>11.58</v>
      </c>
      <c r="J16" s="112">
        <v>0.15</v>
      </c>
      <c r="K16" s="112">
        <v>92.94</v>
      </c>
      <c r="L16" s="112">
        <v>16.38</v>
      </c>
      <c r="M16" s="112">
        <v>75.08</v>
      </c>
      <c r="N16" s="112">
        <v>1.3</v>
      </c>
      <c r="O16" s="112">
        <v>0</v>
      </c>
      <c r="P16" s="112">
        <v>1.1399999999999999</v>
      </c>
      <c r="Q16" s="112">
        <v>4.75</v>
      </c>
    </row>
    <row r="17" spans="1:17" customFormat="1">
      <c r="A17" s="80">
        <v>45621.09375</v>
      </c>
      <c r="B17" s="112">
        <v>20.8</v>
      </c>
      <c r="C17" s="112">
        <v>22.91</v>
      </c>
      <c r="D17" s="112">
        <v>30</v>
      </c>
      <c r="E17" s="112">
        <v>6.57</v>
      </c>
      <c r="F17" s="112">
        <v>5.43</v>
      </c>
      <c r="G17" s="112">
        <v>97.22</v>
      </c>
      <c r="H17" s="112">
        <v>35.69</v>
      </c>
      <c r="I17" s="112">
        <v>11.85</v>
      </c>
      <c r="J17" s="112">
        <v>0.18</v>
      </c>
      <c r="K17" s="112">
        <v>113.95</v>
      </c>
      <c r="L17" s="112">
        <v>16.04</v>
      </c>
      <c r="M17" s="112">
        <v>77</v>
      </c>
      <c r="N17" s="112">
        <v>1.4</v>
      </c>
      <c r="O17" s="112">
        <v>0</v>
      </c>
      <c r="P17" s="112">
        <v>1.1599999999999999</v>
      </c>
      <c r="Q17" s="112">
        <v>4.76</v>
      </c>
    </row>
    <row r="18" spans="1:17" customFormat="1">
      <c r="A18" s="80">
        <v>45621.104166666664</v>
      </c>
      <c r="B18" s="112">
        <v>20.56</v>
      </c>
      <c r="C18" s="112">
        <v>22.9</v>
      </c>
      <c r="D18" s="112">
        <v>29.8</v>
      </c>
      <c r="E18" s="112">
        <v>7.95</v>
      </c>
      <c r="F18" s="112">
        <v>5.51</v>
      </c>
      <c r="G18" s="112">
        <v>106.82</v>
      </c>
      <c r="H18" s="112">
        <v>36.020000000000003</v>
      </c>
      <c r="I18" s="112">
        <v>12.18</v>
      </c>
      <c r="J18" s="112">
        <v>0.22</v>
      </c>
      <c r="K18" s="112">
        <v>63.68</v>
      </c>
      <c r="L18" s="112">
        <v>15.95</v>
      </c>
      <c r="M18" s="112">
        <v>76.17</v>
      </c>
      <c r="N18" s="112">
        <v>1.3</v>
      </c>
      <c r="O18" s="112">
        <v>0</v>
      </c>
      <c r="P18" s="112">
        <v>1.18</v>
      </c>
      <c r="Q18" s="112">
        <v>4.7699999999999996</v>
      </c>
    </row>
    <row r="19" spans="1:17" customFormat="1">
      <c r="A19" s="80">
        <v>45621.114583333336</v>
      </c>
      <c r="B19" s="112">
        <v>20.53</v>
      </c>
      <c r="C19" s="112">
        <v>22.63</v>
      </c>
      <c r="D19" s="112">
        <v>29.64</v>
      </c>
      <c r="E19" s="112">
        <v>7.8</v>
      </c>
      <c r="F19" s="112">
        <v>5.84</v>
      </c>
      <c r="G19" s="112">
        <v>106.82</v>
      </c>
      <c r="H19" s="112">
        <v>36.020000000000003</v>
      </c>
      <c r="I19" s="112">
        <v>12.57</v>
      </c>
      <c r="J19" s="112">
        <v>0.15</v>
      </c>
      <c r="K19" s="112">
        <v>356.37</v>
      </c>
      <c r="L19" s="112">
        <v>15.8</v>
      </c>
      <c r="M19" s="112">
        <v>77.819999999999993</v>
      </c>
      <c r="N19" s="112">
        <v>1.2</v>
      </c>
      <c r="O19" s="112">
        <v>0</v>
      </c>
      <c r="P19" s="112">
        <v>1.2</v>
      </c>
      <c r="Q19" s="112">
        <v>4.74</v>
      </c>
    </row>
    <row r="20" spans="1:17" customFormat="1">
      <c r="A20" s="80">
        <v>45621.125</v>
      </c>
      <c r="B20" s="112">
        <v>21.04</v>
      </c>
      <c r="C20" s="112">
        <v>22.49</v>
      </c>
      <c r="D20" s="112">
        <v>29.97</v>
      </c>
      <c r="E20" s="112">
        <v>7.91</v>
      </c>
      <c r="F20" s="112">
        <v>5.43</v>
      </c>
      <c r="G20" s="112">
        <v>106.82</v>
      </c>
      <c r="H20" s="112">
        <v>36.020000000000003</v>
      </c>
      <c r="I20" s="112">
        <v>12.94</v>
      </c>
      <c r="J20" s="112">
        <v>0.23</v>
      </c>
      <c r="K20" s="112">
        <v>46.33</v>
      </c>
      <c r="L20" s="112">
        <v>15.67</v>
      </c>
      <c r="M20" s="112">
        <v>77.77</v>
      </c>
      <c r="N20" s="112">
        <v>1.3</v>
      </c>
      <c r="O20" s="112">
        <v>0</v>
      </c>
      <c r="P20" s="112">
        <v>1.22</v>
      </c>
      <c r="Q20" s="112">
        <v>4.75</v>
      </c>
    </row>
    <row r="21" spans="1:17" customFormat="1">
      <c r="A21" s="80">
        <v>45621.135416666664</v>
      </c>
      <c r="B21" s="112">
        <v>21.22</v>
      </c>
      <c r="C21" s="112">
        <v>22.48</v>
      </c>
      <c r="D21" s="112">
        <v>30.11</v>
      </c>
      <c r="E21" s="112">
        <v>8.5399999999999991</v>
      </c>
      <c r="F21" s="112">
        <v>5.5</v>
      </c>
      <c r="G21" s="112">
        <v>107.47</v>
      </c>
      <c r="H21" s="112">
        <v>36.04</v>
      </c>
      <c r="I21" s="112">
        <v>13.22</v>
      </c>
      <c r="J21" s="112">
        <v>0.28000000000000003</v>
      </c>
      <c r="K21" s="112">
        <v>53.9</v>
      </c>
      <c r="L21" s="112">
        <v>15.63</v>
      </c>
      <c r="M21" s="112">
        <v>75.42</v>
      </c>
      <c r="N21" s="112">
        <v>1.3</v>
      </c>
      <c r="O21" s="112">
        <v>0</v>
      </c>
      <c r="P21" s="112">
        <v>1.21</v>
      </c>
      <c r="Q21" s="112">
        <v>4.76</v>
      </c>
    </row>
    <row r="22" spans="1:17" customFormat="1">
      <c r="A22" s="80">
        <v>45621.145833333336</v>
      </c>
      <c r="B22" s="112">
        <v>21.13</v>
      </c>
      <c r="C22" s="112">
        <v>22.48</v>
      </c>
      <c r="D22" s="112">
        <v>30.04</v>
      </c>
      <c r="E22" s="112">
        <v>8.76</v>
      </c>
      <c r="F22" s="112">
        <v>5.29</v>
      </c>
      <c r="G22" s="112">
        <v>136.09</v>
      </c>
      <c r="H22" s="112">
        <v>37.4</v>
      </c>
      <c r="I22" s="112">
        <v>13.38</v>
      </c>
      <c r="J22" s="112">
        <v>0.15</v>
      </c>
      <c r="K22" s="112">
        <v>73.5</v>
      </c>
      <c r="L22" s="112">
        <v>15.64</v>
      </c>
      <c r="M22" s="112">
        <v>75.45</v>
      </c>
      <c r="N22" s="112">
        <v>1.3</v>
      </c>
      <c r="O22" s="112">
        <v>0</v>
      </c>
      <c r="P22" s="112">
        <v>1.2</v>
      </c>
      <c r="Q22" s="112">
        <v>4.75</v>
      </c>
    </row>
    <row r="23" spans="1:17" customFormat="1">
      <c r="A23" s="80">
        <v>45621.15625</v>
      </c>
      <c r="B23" s="112">
        <v>20.87</v>
      </c>
      <c r="C23" s="112">
        <v>22.29</v>
      </c>
      <c r="D23" s="112">
        <v>29.73</v>
      </c>
      <c r="E23" s="112">
        <v>8.23</v>
      </c>
      <c r="F23" s="112">
        <v>5.08</v>
      </c>
      <c r="G23" s="112">
        <v>136.09</v>
      </c>
      <c r="H23" s="112">
        <v>37.4</v>
      </c>
      <c r="I23" s="112">
        <v>13.44</v>
      </c>
      <c r="J23" s="112">
        <v>0.14000000000000001</v>
      </c>
      <c r="K23" s="112">
        <v>111.32</v>
      </c>
      <c r="L23" s="112">
        <v>15.39</v>
      </c>
      <c r="M23" s="112">
        <v>77.62</v>
      </c>
      <c r="N23" s="112">
        <v>1.4</v>
      </c>
      <c r="O23" s="112">
        <v>0</v>
      </c>
      <c r="P23" s="112">
        <v>1.2</v>
      </c>
      <c r="Q23" s="112">
        <v>4.75</v>
      </c>
    </row>
    <row r="24" spans="1:17" customFormat="1">
      <c r="A24" s="80">
        <v>45621.166666666664</v>
      </c>
      <c r="B24" s="112">
        <v>20.190000000000001</v>
      </c>
      <c r="C24" s="112">
        <v>21.98</v>
      </c>
      <c r="D24" s="112">
        <v>29.02</v>
      </c>
      <c r="E24" s="112">
        <v>8.41</v>
      </c>
      <c r="F24" s="112">
        <v>5.33</v>
      </c>
      <c r="G24" s="112">
        <v>136.09</v>
      </c>
      <c r="H24" s="112">
        <v>37.4</v>
      </c>
      <c r="I24" s="112">
        <v>13.4</v>
      </c>
      <c r="J24" s="112">
        <v>0.18</v>
      </c>
      <c r="K24" s="112">
        <v>162.38</v>
      </c>
      <c r="L24" s="112">
        <v>15.33</v>
      </c>
      <c r="M24" s="112">
        <v>79.349999999999994</v>
      </c>
      <c r="N24" s="112">
        <v>1.5</v>
      </c>
      <c r="O24" s="112">
        <v>0</v>
      </c>
      <c r="P24" s="112">
        <v>1.19</v>
      </c>
      <c r="Q24" s="112">
        <v>4.7699999999999996</v>
      </c>
    </row>
    <row r="25" spans="1:17" customFormat="1">
      <c r="A25" s="80">
        <v>45621.177083333336</v>
      </c>
      <c r="B25" s="112">
        <v>19.28</v>
      </c>
      <c r="C25" s="112">
        <v>21.64</v>
      </c>
      <c r="D25" s="112">
        <v>28.12</v>
      </c>
      <c r="E25" s="112">
        <v>8.24</v>
      </c>
      <c r="F25" s="112">
        <v>5.43</v>
      </c>
      <c r="G25" s="112">
        <v>135.57</v>
      </c>
      <c r="H25" s="112">
        <v>37.380000000000003</v>
      </c>
      <c r="I25" s="112">
        <v>13.3</v>
      </c>
      <c r="J25" s="112">
        <v>0.15</v>
      </c>
      <c r="K25" s="112">
        <v>187.09</v>
      </c>
      <c r="L25" s="112">
        <v>14.89</v>
      </c>
      <c r="M25" s="112">
        <v>83.92</v>
      </c>
      <c r="N25" s="112">
        <v>1.4</v>
      </c>
      <c r="O25" s="112">
        <v>0</v>
      </c>
      <c r="P25" s="112">
        <v>1.17</v>
      </c>
      <c r="Q25" s="112">
        <v>4.7699999999999996</v>
      </c>
    </row>
    <row r="26" spans="1:17" customFormat="1">
      <c r="A26" s="80">
        <v>45621.1875</v>
      </c>
      <c r="B26" s="112">
        <v>18.37</v>
      </c>
      <c r="C26" s="112">
        <v>21.45</v>
      </c>
      <c r="D26" s="112">
        <v>27.29</v>
      </c>
      <c r="E26" s="112">
        <v>7.92</v>
      </c>
      <c r="F26" s="112">
        <v>5.31</v>
      </c>
      <c r="G26" s="112">
        <v>112.52</v>
      </c>
      <c r="H26" s="112">
        <v>36.39</v>
      </c>
      <c r="I26" s="112">
        <v>13.18</v>
      </c>
      <c r="J26" s="112">
        <v>0.14000000000000001</v>
      </c>
      <c r="K26" s="112">
        <v>227.25</v>
      </c>
      <c r="L26" s="112">
        <v>14.5</v>
      </c>
      <c r="M26" s="112">
        <v>87.52</v>
      </c>
      <c r="N26" s="112">
        <v>1.4</v>
      </c>
      <c r="O26" s="112">
        <v>0</v>
      </c>
      <c r="P26" s="112">
        <v>1.1499999999999999</v>
      </c>
      <c r="Q26" s="112">
        <v>4.7300000000000004</v>
      </c>
    </row>
    <row r="27" spans="1:17" customFormat="1">
      <c r="A27" s="80">
        <v>45621.197916666664</v>
      </c>
      <c r="B27" s="112">
        <v>17.690000000000001</v>
      </c>
      <c r="C27" s="112">
        <v>21.08</v>
      </c>
      <c r="D27" s="112">
        <v>26.55</v>
      </c>
      <c r="E27" s="112">
        <v>8.08</v>
      </c>
      <c r="F27" s="112">
        <v>5.32</v>
      </c>
      <c r="G27" s="112">
        <v>112.52</v>
      </c>
      <c r="H27" s="112">
        <v>36.39</v>
      </c>
      <c r="I27" s="112">
        <v>13.04</v>
      </c>
      <c r="J27" s="112">
        <v>0.15</v>
      </c>
      <c r="K27" s="112">
        <v>228.62</v>
      </c>
      <c r="L27" s="112">
        <v>14.25</v>
      </c>
      <c r="M27" s="112">
        <v>88.02</v>
      </c>
      <c r="N27" s="112">
        <v>1.4</v>
      </c>
      <c r="O27" s="112">
        <v>0</v>
      </c>
      <c r="P27" s="112">
        <v>1.1499999999999999</v>
      </c>
      <c r="Q27" s="112">
        <v>4.74</v>
      </c>
    </row>
    <row r="28" spans="1:17" customFormat="1">
      <c r="A28" s="80">
        <v>45621.208333333336</v>
      </c>
      <c r="B28" s="112">
        <v>17.149999999999999</v>
      </c>
      <c r="C28" s="112">
        <v>20.74</v>
      </c>
      <c r="D28" s="112">
        <v>25.94</v>
      </c>
      <c r="E28" s="112">
        <v>7.8</v>
      </c>
      <c r="F28" s="112">
        <v>5.22</v>
      </c>
      <c r="G28" s="112">
        <v>112.52</v>
      </c>
      <c r="H28" s="112">
        <v>36.39</v>
      </c>
      <c r="I28" s="112">
        <v>12.93</v>
      </c>
      <c r="J28" s="112">
        <v>0.1</v>
      </c>
      <c r="K28" s="112">
        <v>200.06</v>
      </c>
      <c r="L28" s="112">
        <v>14.08</v>
      </c>
      <c r="M28" s="112">
        <v>90.48</v>
      </c>
      <c r="N28" s="112">
        <v>1.4</v>
      </c>
      <c r="O28" s="112">
        <v>0</v>
      </c>
      <c r="P28" s="112">
        <v>1.1399999999999999</v>
      </c>
      <c r="Q28" s="112">
        <v>4.76</v>
      </c>
    </row>
    <row r="29" spans="1:17" customFormat="1">
      <c r="A29" s="80">
        <v>45621.21875</v>
      </c>
      <c r="B29" s="112">
        <v>16.690000000000001</v>
      </c>
      <c r="C29" s="112">
        <v>20.29</v>
      </c>
      <c r="D29" s="112">
        <v>25.34</v>
      </c>
      <c r="E29" s="112">
        <v>7.57</v>
      </c>
      <c r="F29" s="112">
        <v>5.21</v>
      </c>
      <c r="G29" s="112">
        <v>112.33</v>
      </c>
      <c r="H29" s="112">
        <v>36.39</v>
      </c>
      <c r="I29" s="112">
        <v>12.86</v>
      </c>
      <c r="J29" s="112">
        <v>0.1</v>
      </c>
      <c r="K29" s="112">
        <v>158.13</v>
      </c>
      <c r="L29" s="112">
        <v>14.03</v>
      </c>
      <c r="M29" s="112">
        <v>91.11</v>
      </c>
      <c r="N29" s="112">
        <v>1.3</v>
      </c>
      <c r="O29" s="112">
        <v>0</v>
      </c>
      <c r="P29" s="112">
        <v>1.1299999999999999</v>
      </c>
      <c r="Q29" s="112">
        <v>4.76</v>
      </c>
    </row>
    <row r="30" spans="1:17" customFormat="1">
      <c r="A30" s="80">
        <v>45621.229166666664</v>
      </c>
      <c r="B30" s="112">
        <v>18.21</v>
      </c>
      <c r="C30" s="112">
        <v>20.23</v>
      </c>
      <c r="D30" s="112">
        <v>26.53</v>
      </c>
      <c r="E30" s="112">
        <v>7.94</v>
      </c>
      <c r="F30" s="112">
        <v>5.28</v>
      </c>
      <c r="G30" s="112">
        <v>103.83</v>
      </c>
      <c r="H30" s="112">
        <v>36.549999999999997</v>
      </c>
      <c r="I30" s="112">
        <v>12.77</v>
      </c>
      <c r="J30" s="112">
        <v>0.13</v>
      </c>
      <c r="K30" s="112">
        <v>148.44999999999999</v>
      </c>
      <c r="L30" s="112">
        <v>14.1</v>
      </c>
      <c r="M30" s="112">
        <v>89.02</v>
      </c>
      <c r="N30" s="112">
        <v>1.2</v>
      </c>
      <c r="O30" s="112">
        <v>0</v>
      </c>
      <c r="P30" s="112">
        <v>1.1200000000000001</v>
      </c>
      <c r="Q30" s="112">
        <v>4.7699999999999996</v>
      </c>
    </row>
    <row r="31" spans="1:17" customFormat="1">
      <c r="A31" s="80">
        <v>45621.239583333336</v>
      </c>
      <c r="B31" s="112">
        <v>21.94</v>
      </c>
      <c r="C31" s="112">
        <v>20.52</v>
      </c>
      <c r="D31" s="112">
        <v>29.67</v>
      </c>
      <c r="E31" s="112">
        <v>7.8</v>
      </c>
      <c r="F31" s="112">
        <v>5.37</v>
      </c>
      <c r="G31" s="112">
        <v>103.83</v>
      </c>
      <c r="H31" s="112">
        <v>36.549999999999997</v>
      </c>
      <c r="I31" s="112">
        <v>12.68</v>
      </c>
      <c r="J31" s="112">
        <v>0.13</v>
      </c>
      <c r="K31" s="112">
        <v>205.39</v>
      </c>
      <c r="L31" s="112">
        <v>14.15</v>
      </c>
      <c r="M31" s="112">
        <v>87.23</v>
      </c>
      <c r="N31" s="112">
        <v>1.1000000000000001</v>
      </c>
      <c r="O31" s="112">
        <v>0</v>
      </c>
      <c r="P31" s="112">
        <v>1.1000000000000001</v>
      </c>
      <c r="Q31" s="112">
        <v>4.75</v>
      </c>
    </row>
    <row r="32" spans="1:17" customFormat="1">
      <c r="A32" s="80">
        <v>45621.25</v>
      </c>
      <c r="B32" s="112">
        <v>24.85</v>
      </c>
      <c r="C32" s="112">
        <v>20.329999999999998</v>
      </c>
      <c r="D32" s="112">
        <v>31.9</v>
      </c>
      <c r="E32" s="112">
        <v>8.34</v>
      </c>
      <c r="F32" s="112">
        <v>5.32</v>
      </c>
      <c r="G32" s="112">
        <v>103.83</v>
      </c>
      <c r="H32" s="112">
        <v>36.549999999999997</v>
      </c>
      <c r="I32" s="112">
        <v>12.65</v>
      </c>
      <c r="J32" s="112">
        <v>0.16</v>
      </c>
      <c r="K32" s="112">
        <v>219.97</v>
      </c>
      <c r="L32" s="112">
        <v>14.03</v>
      </c>
      <c r="M32" s="112">
        <v>90.63</v>
      </c>
      <c r="N32" s="112">
        <v>1.8</v>
      </c>
      <c r="O32" s="112">
        <v>0</v>
      </c>
      <c r="P32" s="112">
        <v>1.07</v>
      </c>
      <c r="Q32" s="112">
        <v>4.7300000000000004</v>
      </c>
    </row>
    <row r="33" spans="1:17" customFormat="1">
      <c r="A33" s="80">
        <v>45621.260416666664</v>
      </c>
      <c r="B33" s="112">
        <v>25.56</v>
      </c>
      <c r="C33" s="112">
        <v>19.95</v>
      </c>
      <c r="D33" s="112">
        <v>32.270000000000003</v>
      </c>
      <c r="E33" s="112">
        <v>8.17</v>
      </c>
      <c r="F33" s="112">
        <v>5.49</v>
      </c>
      <c r="G33" s="112">
        <v>103.68</v>
      </c>
      <c r="H33" s="112">
        <v>36.53</v>
      </c>
      <c r="I33" s="112">
        <v>12.63</v>
      </c>
      <c r="J33" s="112">
        <v>0.13</v>
      </c>
      <c r="K33" s="112">
        <v>223.86</v>
      </c>
      <c r="L33" s="112">
        <v>13.8</v>
      </c>
      <c r="M33" s="112">
        <v>93.07</v>
      </c>
      <c r="N33" s="112">
        <v>4</v>
      </c>
      <c r="O33" s="112">
        <v>0</v>
      </c>
      <c r="P33" s="112">
        <v>1.06</v>
      </c>
      <c r="Q33" s="112">
        <v>4.7300000000000004</v>
      </c>
    </row>
    <row r="34" spans="1:17" customFormat="1">
      <c r="A34" s="80">
        <v>45621.270833333336</v>
      </c>
      <c r="B34" s="112">
        <v>24.99</v>
      </c>
      <c r="C34" s="112">
        <v>19.559999999999999</v>
      </c>
      <c r="D34" s="112">
        <v>31.62</v>
      </c>
      <c r="E34" s="112">
        <v>8.4600000000000009</v>
      </c>
      <c r="F34" s="112">
        <v>5.46</v>
      </c>
      <c r="G34" s="112">
        <v>96.87</v>
      </c>
      <c r="H34" s="112">
        <v>35.520000000000003</v>
      </c>
      <c r="I34" s="112">
        <v>12.61</v>
      </c>
      <c r="J34" s="112">
        <v>0.08</v>
      </c>
      <c r="K34" s="112">
        <v>217.41</v>
      </c>
      <c r="L34" s="112">
        <v>13.79</v>
      </c>
      <c r="M34" s="112">
        <v>92.76</v>
      </c>
      <c r="N34" s="112">
        <v>10.9</v>
      </c>
      <c r="O34" s="112">
        <v>0</v>
      </c>
      <c r="P34" s="112">
        <v>1.05</v>
      </c>
      <c r="Q34" s="112">
        <v>4.74</v>
      </c>
    </row>
    <row r="35" spans="1:17" customFormat="1">
      <c r="A35" s="80">
        <v>45621.28125</v>
      </c>
      <c r="B35" s="112">
        <v>25.27</v>
      </c>
      <c r="C35" s="112">
        <v>19.29</v>
      </c>
      <c r="D35" s="112">
        <v>31.69</v>
      </c>
      <c r="E35" s="112">
        <v>8.5</v>
      </c>
      <c r="F35" s="112">
        <v>5.57</v>
      </c>
      <c r="G35" s="112">
        <v>96.87</v>
      </c>
      <c r="H35" s="112">
        <v>35.520000000000003</v>
      </c>
      <c r="I35" s="112">
        <v>12.54</v>
      </c>
      <c r="J35" s="112">
        <v>0.08</v>
      </c>
      <c r="K35" s="112">
        <v>183.64</v>
      </c>
      <c r="L35" s="112">
        <v>14.08</v>
      </c>
      <c r="M35" s="112">
        <v>91.12</v>
      </c>
      <c r="N35" s="112">
        <v>23.5</v>
      </c>
      <c r="O35" s="112">
        <v>0</v>
      </c>
      <c r="P35" s="112">
        <v>1.05</v>
      </c>
      <c r="Q35" s="112">
        <v>4.74</v>
      </c>
    </row>
    <row r="36" spans="1:17" customFormat="1">
      <c r="A36" s="80">
        <v>45621.291666666664</v>
      </c>
      <c r="B36" s="112">
        <v>27.97</v>
      </c>
      <c r="C36" s="112">
        <v>19.239999999999998</v>
      </c>
      <c r="D36" s="112">
        <v>33.83</v>
      </c>
      <c r="E36" s="112">
        <v>8.36</v>
      </c>
      <c r="F36" s="112">
        <v>5.42</v>
      </c>
      <c r="G36" s="112">
        <v>96.87</v>
      </c>
      <c r="H36" s="112">
        <v>35.520000000000003</v>
      </c>
      <c r="I36" s="112">
        <v>12.49</v>
      </c>
      <c r="J36" s="112">
        <v>0.06</v>
      </c>
      <c r="K36" s="112">
        <v>70.849999999999994</v>
      </c>
      <c r="L36" s="112">
        <v>14.84</v>
      </c>
      <c r="M36" s="112">
        <v>86.63</v>
      </c>
      <c r="N36" s="112">
        <v>39.200000000000003</v>
      </c>
      <c r="O36" s="112">
        <v>0</v>
      </c>
      <c r="P36" s="112">
        <v>1.07</v>
      </c>
      <c r="Q36" s="112">
        <v>4.74</v>
      </c>
    </row>
    <row r="37" spans="1:17" customFormat="1">
      <c r="A37" s="80">
        <v>45621.302083333336</v>
      </c>
      <c r="B37" s="112">
        <v>31.19</v>
      </c>
      <c r="C37" s="112">
        <v>19.61</v>
      </c>
      <c r="D37" s="112">
        <v>36.61</v>
      </c>
      <c r="E37" s="112">
        <v>8.31</v>
      </c>
      <c r="F37" s="112">
        <v>5.37</v>
      </c>
      <c r="G37" s="112">
        <v>97.12</v>
      </c>
      <c r="H37" s="112">
        <v>35.54</v>
      </c>
      <c r="I37" s="112">
        <v>12.54</v>
      </c>
      <c r="J37" s="112">
        <v>0.14000000000000001</v>
      </c>
      <c r="K37" s="112">
        <v>32.75</v>
      </c>
      <c r="L37" s="112">
        <v>15.89</v>
      </c>
      <c r="M37" s="112">
        <v>78.36</v>
      </c>
      <c r="N37" s="112">
        <v>51.9</v>
      </c>
      <c r="O37" s="112">
        <v>0</v>
      </c>
      <c r="P37" s="112">
        <v>1.0900000000000001</v>
      </c>
      <c r="Q37" s="112">
        <v>4.7300000000000004</v>
      </c>
    </row>
    <row r="38" spans="1:17" customFormat="1">
      <c r="A38" s="80">
        <v>45621.3125</v>
      </c>
      <c r="B38" s="112">
        <v>32.83</v>
      </c>
      <c r="C38" s="112">
        <v>19.920000000000002</v>
      </c>
      <c r="D38" s="112">
        <v>38.08</v>
      </c>
      <c r="E38" s="112">
        <v>8.15</v>
      </c>
      <c r="F38" s="112">
        <v>5.13</v>
      </c>
      <c r="G38" s="112">
        <v>108.44</v>
      </c>
      <c r="H38" s="112">
        <v>36.75</v>
      </c>
      <c r="I38" s="112">
        <v>12.71</v>
      </c>
      <c r="J38" s="112">
        <v>0.39</v>
      </c>
      <c r="K38" s="112">
        <v>58.98</v>
      </c>
      <c r="L38" s="112">
        <v>16.850000000000001</v>
      </c>
      <c r="M38" s="112">
        <v>71.17</v>
      </c>
      <c r="N38" s="112">
        <v>66.8</v>
      </c>
      <c r="O38" s="112">
        <v>0</v>
      </c>
      <c r="P38" s="112">
        <v>1.1000000000000001</v>
      </c>
      <c r="Q38" s="112">
        <v>4.74</v>
      </c>
    </row>
    <row r="39" spans="1:17" customFormat="1">
      <c r="A39" s="80">
        <v>45621.322916666664</v>
      </c>
      <c r="B39" s="112">
        <v>32.6</v>
      </c>
      <c r="C39" s="112">
        <v>20.02</v>
      </c>
      <c r="D39" s="112">
        <v>37.950000000000003</v>
      </c>
      <c r="E39" s="112">
        <v>8.4700000000000006</v>
      </c>
      <c r="F39" s="112">
        <v>5.12</v>
      </c>
      <c r="G39" s="112">
        <v>108.44</v>
      </c>
      <c r="H39" s="112">
        <v>36.75</v>
      </c>
      <c r="I39" s="112">
        <v>12.92</v>
      </c>
      <c r="J39" s="112">
        <v>0.62</v>
      </c>
      <c r="K39" s="112">
        <v>52.96</v>
      </c>
      <c r="L39" s="112">
        <v>17.61</v>
      </c>
      <c r="M39" s="112">
        <v>67.11</v>
      </c>
      <c r="N39" s="112">
        <v>100.3</v>
      </c>
      <c r="O39" s="112">
        <v>0</v>
      </c>
      <c r="P39" s="112">
        <v>1.1000000000000001</v>
      </c>
      <c r="Q39" s="112">
        <v>4.75</v>
      </c>
    </row>
    <row r="40" spans="1:17" customFormat="1">
      <c r="A40" s="80">
        <v>45621.333333333336</v>
      </c>
      <c r="B40" s="112">
        <v>31.62</v>
      </c>
      <c r="C40" s="112">
        <v>20.309999999999999</v>
      </c>
      <c r="D40" s="112">
        <v>37.32</v>
      </c>
      <c r="E40" s="112">
        <v>8.91</v>
      </c>
      <c r="F40" s="112">
        <v>5.38</v>
      </c>
      <c r="G40" s="112">
        <v>108.44</v>
      </c>
      <c r="H40" s="112">
        <v>36.75</v>
      </c>
      <c r="I40" s="112">
        <v>13.07</v>
      </c>
      <c r="J40" s="112">
        <v>0.78</v>
      </c>
      <c r="K40" s="112">
        <v>46.91</v>
      </c>
      <c r="L40" s="112">
        <v>17.989999999999998</v>
      </c>
      <c r="M40" s="112">
        <v>66.84</v>
      </c>
      <c r="N40" s="112">
        <v>150.6</v>
      </c>
      <c r="O40" s="112">
        <v>0</v>
      </c>
      <c r="P40" s="112">
        <v>1.0900000000000001</v>
      </c>
      <c r="Q40" s="112">
        <v>4.75</v>
      </c>
    </row>
    <row r="41" spans="1:17" customFormat="1">
      <c r="A41" s="80">
        <v>45621.34375</v>
      </c>
      <c r="B41" s="112">
        <v>30.38</v>
      </c>
      <c r="C41" s="112">
        <v>20.68</v>
      </c>
      <c r="D41" s="112">
        <v>36.51</v>
      </c>
      <c r="E41" s="112">
        <v>8.56</v>
      </c>
      <c r="F41" s="112">
        <v>5.45</v>
      </c>
      <c r="G41" s="112">
        <v>108.27</v>
      </c>
      <c r="H41" s="112">
        <v>36.74</v>
      </c>
      <c r="I41" s="112">
        <v>13.08</v>
      </c>
      <c r="J41" s="112">
        <v>0.7</v>
      </c>
      <c r="K41" s="112">
        <v>47.06</v>
      </c>
      <c r="L41" s="112">
        <v>18.66</v>
      </c>
      <c r="M41" s="112">
        <v>65.97</v>
      </c>
      <c r="N41" s="112">
        <v>187.1</v>
      </c>
      <c r="O41" s="112">
        <v>0</v>
      </c>
      <c r="P41" s="112">
        <v>1.0900000000000001</v>
      </c>
      <c r="Q41" s="112">
        <v>4.74</v>
      </c>
    </row>
    <row r="42" spans="1:17" customFormat="1">
      <c r="A42" s="80">
        <v>45621.354166666664</v>
      </c>
      <c r="B42" s="112">
        <v>29.33</v>
      </c>
      <c r="C42" s="112">
        <v>21.07</v>
      </c>
      <c r="D42" s="112">
        <v>35.880000000000003</v>
      </c>
      <c r="E42" s="112">
        <v>8.5</v>
      </c>
      <c r="F42" s="112">
        <v>5.51</v>
      </c>
      <c r="G42" s="112">
        <v>100.65</v>
      </c>
      <c r="H42" s="112">
        <v>35.71</v>
      </c>
      <c r="I42" s="112">
        <v>13.11</v>
      </c>
      <c r="J42" s="112">
        <v>0.66</v>
      </c>
      <c r="K42" s="112">
        <v>52.31</v>
      </c>
      <c r="L42" s="112">
        <v>19.77</v>
      </c>
      <c r="M42" s="112">
        <v>63.2</v>
      </c>
      <c r="N42" s="112">
        <v>167.1</v>
      </c>
      <c r="O42" s="112">
        <v>0</v>
      </c>
      <c r="P42" s="112">
        <v>1.0900000000000001</v>
      </c>
      <c r="Q42" s="112">
        <v>4.75</v>
      </c>
    </row>
    <row r="43" spans="1:17" customFormat="1">
      <c r="A43" s="80">
        <v>45621.364583333336</v>
      </c>
      <c r="B43" s="112">
        <v>28.15</v>
      </c>
      <c r="C43" s="112">
        <v>21.2</v>
      </c>
      <c r="D43" s="112">
        <v>35</v>
      </c>
      <c r="E43" s="112">
        <v>8.94</v>
      </c>
      <c r="F43" s="112">
        <v>5.67</v>
      </c>
      <c r="G43" s="112">
        <v>100.65</v>
      </c>
      <c r="H43" s="112">
        <v>35.71</v>
      </c>
      <c r="I43" s="112">
        <v>13.14</v>
      </c>
      <c r="J43" s="112">
        <v>0.5</v>
      </c>
      <c r="K43" s="112">
        <v>50.58</v>
      </c>
      <c r="L43" s="112">
        <v>20.63</v>
      </c>
      <c r="M43" s="112">
        <v>60.3</v>
      </c>
      <c r="N43" s="112">
        <v>201.6</v>
      </c>
      <c r="O43" s="112">
        <v>0</v>
      </c>
      <c r="P43" s="112">
        <v>1.07</v>
      </c>
      <c r="Q43" s="112">
        <v>4.75</v>
      </c>
    </row>
    <row r="44" spans="1:17" customFormat="1">
      <c r="A44" s="80">
        <v>45621.375</v>
      </c>
      <c r="B44" s="112">
        <v>26.82</v>
      </c>
      <c r="C44" s="112">
        <v>21.41</v>
      </c>
      <c r="D44" s="112">
        <v>34.049999999999997</v>
      </c>
      <c r="E44" s="112">
        <v>8.93</v>
      </c>
      <c r="F44" s="112">
        <v>5.91</v>
      </c>
      <c r="G44" s="112">
        <v>100.65</v>
      </c>
      <c r="H44" s="112">
        <v>35.71</v>
      </c>
      <c r="I44" s="112">
        <v>13.12</v>
      </c>
      <c r="J44" s="112">
        <v>0.74</v>
      </c>
      <c r="K44" s="112">
        <v>49.03</v>
      </c>
      <c r="L44" s="112">
        <v>21.57</v>
      </c>
      <c r="M44" s="112">
        <v>56.83</v>
      </c>
      <c r="N44" s="112">
        <v>231.7</v>
      </c>
      <c r="O44" s="112">
        <v>0</v>
      </c>
      <c r="P44" s="112">
        <v>1.07</v>
      </c>
      <c r="Q44" s="112">
        <v>4.75</v>
      </c>
    </row>
    <row r="45" spans="1:17" customFormat="1">
      <c r="A45" s="80">
        <v>45621.385416666664</v>
      </c>
      <c r="B45" s="112">
        <v>25.36</v>
      </c>
      <c r="C45" s="112">
        <v>21.59</v>
      </c>
      <c r="D45" s="112">
        <v>32.97</v>
      </c>
      <c r="E45" s="112">
        <v>9.08</v>
      </c>
      <c r="F45" s="112">
        <v>5.77</v>
      </c>
      <c r="G45" s="112">
        <v>100.67</v>
      </c>
      <c r="H45" s="112">
        <v>35.659999999999997</v>
      </c>
      <c r="I45" s="112">
        <v>13.11</v>
      </c>
      <c r="J45" s="112">
        <v>0.77</v>
      </c>
      <c r="K45" s="112">
        <v>49.9</v>
      </c>
      <c r="L45" s="112">
        <v>22.45</v>
      </c>
      <c r="M45" s="112">
        <v>53.28</v>
      </c>
      <c r="N45" s="112">
        <v>256.7</v>
      </c>
      <c r="O45" s="112">
        <v>0</v>
      </c>
      <c r="P45" s="112">
        <v>1.06</v>
      </c>
      <c r="Q45" s="112">
        <v>4.74</v>
      </c>
    </row>
    <row r="46" spans="1:17" customFormat="1">
      <c r="A46" s="80">
        <v>45621.395833333336</v>
      </c>
      <c r="B46" s="112">
        <v>23.74</v>
      </c>
      <c r="C46" s="112">
        <v>21.88</v>
      </c>
      <c r="D46" s="112">
        <v>31.82</v>
      </c>
      <c r="E46" s="112">
        <v>8.9</v>
      </c>
      <c r="F46" s="112">
        <v>5.75</v>
      </c>
      <c r="G46" s="112">
        <v>101.54</v>
      </c>
      <c r="H46" s="112">
        <v>34.130000000000003</v>
      </c>
      <c r="I46" s="112">
        <v>13.07</v>
      </c>
      <c r="J46" s="112">
        <v>0.59</v>
      </c>
      <c r="K46" s="112">
        <v>70.17</v>
      </c>
      <c r="L46" s="112">
        <v>23.31</v>
      </c>
      <c r="M46" s="112">
        <v>51.51</v>
      </c>
      <c r="N46" s="112">
        <v>282.10000000000002</v>
      </c>
      <c r="O46" s="112">
        <v>0</v>
      </c>
      <c r="P46" s="112">
        <v>1.07</v>
      </c>
      <c r="Q46" s="112">
        <v>4.74</v>
      </c>
    </row>
    <row r="47" spans="1:17" customFormat="1">
      <c r="A47" s="80">
        <v>45621.40625</v>
      </c>
      <c r="B47" s="112">
        <v>21.85</v>
      </c>
      <c r="C47" s="112">
        <v>22.14</v>
      </c>
      <c r="D47" s="112">
        <v>30.44</v>
      </c>
      <c r="E47" s="112">
        <v>9.2799999999999994</v>
      </c>
      <c r="F47" s="112">
        <v>5.93</v>
      </c>
      <c r="G47" s="112">
        <v>101.54</v>
      </c>
      <c r="H47" s="112">
        <v>34.130000000000003</v>
      </c>
      <c r="I47" s="112">
        <v>13.01</v>
      </c>
      <c r="J47" s="112">
        <v>0.55000000000000004</v>
      </c>
      <c r="K47" s="112">
        <v>67.23</v>
      </c>
      <c r="L47" s="112">
        <v>23.99</v>
      </c>
      <c r="M47" s="112">
        <v>48.29</v>
      </c>
      <c r="N47" s="112">
        <v>385.1</v>
      </c>
      <c r="O47" s="112">
        <v>0</v>
      </c>
      <c r="P47" s="112">
        <v>1.05</v>
      </c>
      <c r="Q47" s="112">
        <v>4.75</v>
      </c>
    </row>
    <row r="48" spans="1:17" customFormat="1">
      <c r="A48" s="80">
        <v>45621.416666666664</v>
      </c>
      <c r="B48" s="112">
        <v>19.940000000000001</v>
      </c>
      <c r="C48" s="112">
        <v>22.44</v>
      </c>
      <c r="D48" s="112">
        <v>29.07</v>
      </c>
      <c r="E48" s="112">
        <v>8.8800000000000008</v>
      </c>
      <c r="F48" s="112">
        <v>6</v>
      </c>
      <c r="G48" s="112">
        <v>101.54</v>
      </c>
      <c r="H48" s="112">
        <v>34.130000000000003</v>
      </c>
      <c r="I48" s="112">
        <v>12.94</v>
      </c>
      <c r="J48" s="112">
        <v>1.1000000000000001</v>
      </c>
      <c r="K48" s="112">
        <v>51.47</v>
      </c>
      <c r="L48" s="112">
        <v>24.24</v>
      </c>
      <c r="M48" s="112">
        <v>47.32</v>
      </c>
      <c r="N48" s="112">
        <v>403.7</v>
      </c>
      <c r="O48" s="112">
        <v>0</v>
      </c>
      <c r="P48" s="112">
        <v>1.04</v>
      </c>
      <c r="Q48" s="112">
        <v>4.76</v>
      </c>
    </row>
    <row r="49" spans="1:17" customFormat="1">
      <c r="A49" s="80">
        <v>45621.427083333336</v>
      </c>
      <c r="B49" s="112">
        <v>18.149999999999999</v>
      </c>
      <c r="C49" s="112">
        <v>22.9</v>
      </c>
      <c r="D49" s="112">
        <v>27.87</v>
      </c>
      <c r="E49" s="112">
        <v>8.86</v>
      </c>
      <c r="F49" s="112">
        <v>6.81</v>
      </c>
      <c r="G49" s="112">
        <v>101.53</v>
      </c>
      <c r="H49" s="112">
        <v>34.1</v>
      </c>
      <c r="I49" s="112">
        <v>12.79</v>
      </c>
      <c r="J49" s="112">
        <v>0.9</v>
      </c>
      <c r="K49" s="112">
        <v>52.45</v>
      </c>
      <c r="L49" s="112">
        <v>24.93</v>
      </c>
      <c r="M49" s="112">
        <v>44.07</v>
      </c>
      <c r="N49" s="112">
        <v>439.2</v>
      </c>
      <c r="O49" s="112">
        <v>0</v>
      </c>
      <c r="P49" s="112">
        <v>1.04</v>
      </c>
      <c r="Q49" s="112">
        <v>4.76</v>
      </c>
    </row>
    <row r="50" spans="1:17" customFormat="1">
      <c r="A50" s="80">
        <v>45621.4375</v>
      </c>
      <c r="B50" s="112">
        <v>15.95</v>
      </c>
      <c r="C50" s="112">
        <v>23.7</v>
      </c>
      <c r="D50" s="112">
        <v>26.52</v>
      </c>
      <c r="E50" s="112">
        <v>9.48</v>
      </c>
      <c r="F50" s="112">
        <v>6.64</v>
      </c>
      <c r="G50" s="112">
        <v>101.07</v>
      </c>
      <c r="H50" s="112">
        <v>32.06</v>
      </c>
      <c r="I50" s="112">
        <v>12.62</v>
      </c>
      <c r="J50" s="112">
        <v>0.57999999999999996</v>
      </c>
      <c r="K50" s="112">
        <v>79.55</v>
      </c>
      <c r="L50" s="112">
        <v>25.84</v>
      </c>
      <c r="M50" s="112">
        <v>41.39</v>
      </c>
      <c r="N50" s="112">
        <v>464.5</v>
      </c>
      <c r="O50" s="112">
        <v>0</v>
      </c>
      <c r="P50" s="112">
        <v>1.03</v>
      </c>
      <c r="Q50" s="112">
        <v>4.7699999999999996</v>
      </c>
    </row>
    <row r="51" spans="1:17" customFormat="1">
      <c r="A51" s="80">
        <v>45621.447916666664</v>
      </c>
      <c r="B51" s="112">
        <v>13.07</v>
      </c>
      <c r="C51" s="112">
        <v>24.59</v>
      </c>
      <c r="D51" s="112">
        <v>24.68</v>
      </c>
      <c r="E51" s="112">
        <v>9.4700000000000006</v>
      </c>
      <c r="F51" s="112">
        <v>6.83</v>
      </c>
      <c r="G51" s="112">
        <v>101.07</v>
      </c>
      <c r="H51" s="112">
        <v>32.06</v>
      </c>
      <c r="I51" s="112">
        <v>12.46</v>
      </c>
      <c r="J51" s="112">
        <v>0.55000000000000004</v>
      </c>
      <c r="K51" s="112">
        <v>76.58</v>
      </c>
      <c r="L51" s="112">
        <v>26.15</v>
      </c>
      <c r="M51" s="112">
        <v>39.049999999999997</v>
      </c>
      <c r="N51" s="112">
        <v>352.5</v>
      </c>
      <c r="O51" s="112">
        <v>0</v>
      </c>
      <c r="P51" s="112">
        <v>1.02</v>
      </c>
      <c r="Q51" s="112">
        <v>4.78</v>
      </c>
    </row>
    <row r="52" spans="1:17" customFormat="1">
      <c r="A52" s="80">
        <v>45621.458333333336</v>
      </c>
      <c r="B52" s="112">
        <v>10.27</v>
      </c>
      <c r="C52" s="112">
        <v>25.41</v>
      </c>
      <c r="D52" s="112">
        <v>22.87</v>
      </c>
      <c r="E52" s="112">
        <v>9.0299999999999994</v>
      </c>
      <c r="F52" s="112">
        <v>7.25</v>
      </c>
      <c r="G52" s="112">
        <v>101.07</v>
      </c>
      <c r="H52" s="112">
        <v>32.06</v>
      </c>
      <c r="I52" s="112">
        <v>12.16</v>
      </c>
      <c r="J52" s="112">
        <v>0.86</v>
      </c>
      <c r="K52" s="112">
        <v>51.94</v>
      </c>
      <c r="L52" s="112">
        <v>26.25</v>
      </c>
      <c r="M52" s="112">
        <v>37.43</v>
      </c>
      <c r="N52" s="112">
        <v>442.6</v>
      </c>
      <c r="O52" s="112">
        <v>0</v>
      </c>
      <c r="P52" s="112">
        <v>0.99</v>
      </c>
      <c r="Q52" s="112">
        <v>4.7699999999999996</v>
      </c>
    </row>
    <row r="53" spans="1:17" customFormat="1">
      <c r="A53" s="80">
        <v>45621.46875</v>
      </c>
      <c r="B53" s="112">
        <v>8.14</v>
      </c>
      <c r="C53" s="112">
        <v>25.91</v>
      </c>
      <c r="D53" s="112">
        <v>21.42</v>
      </c>
      <c r="E53" s="112">
        <v>9.39</v>
      </c>
      <c r="F53" s="112">
        <v>8.1</v>
      </c>
      <c r="G53" s="112">
        <v>100.75</v>
      </c>
      <c r="H53" s="112">
        <v>32.01</v>
      </c>
      <c r="I53" s="112">
        <v>11.77</v>
      </c>
      <c r="J53" s="112">
        <v>1.01</v>
      </c>
      <c r="K53" s="112">
        <v>54.1</v>
      </c>
      <c r="L53" s="112">
        <v>26.4</v>
      </c>
      <c r="M53" s="112">
        <v>35.11</v>
      </c>
      <c r="N53" s="112">
        <v>497.9</v>
      </c>
      <c r="O53" s="112">
        <v>0</v>
      </c>
      <c r="P53" s="112">
        <v>0.96</v>
      </c>
      <c r="Q53" s="112">
        <v>4.7699999999999996</v>
      </c>
    </row>
    <row r="54" spans="1:17" customFormat="1">
      <c r="A54" s="80">
        <v>45621.479166666664</v>
      </c>
      <c r="B54" s="112">
        <v>6.46</v>
      </c>
      <c r="C54" s="112">
        <v>25.88</v>
      </c>
      <c r="D54" s="112">
        <v>20.05</v>
      </c>
      <c r="E54" s="112">
        <v>9.99</v>
      </c>
      <c r="F54" s="112">
        <v>10.31</v>
      </c>
      <c r="G54" s="112">
        <v>86.68</v>
      </c>
      <c r="H54" s="112">
        <v>29.08</v>
      </c>
      <c r="I54" s="112">
        <v>11.38</v>
      </c>
      <c r="J54" s="112">
        <v>0.91</v>
      </c>
      <c r="K54" s="112">
        <v>47.5</v>
      </c>
      <c r="L54" s="112">
        <v>26.55</v>
      </c>
      <c r="M54" s="112">
        <v>34.770000000000003</v>
      </c>
      <c r="N54" s="112">
        <v>493.4</v>
      </c>
      <c r="O54" s="112">
        <v>0</v>
      </c>
      <c r="P54" s="112">
        <v>0.94</v>
      </c>
      <c r="Q54" s="112">
        <v>4.76</v>
      </c>
    </row>
    <row r="55" spans="1:17" customFormat="1">
      <c r="A55" s="80">
        <v>45621.489583333336</v>
      </c>
      <c r="B55" s="112">
        <v>5.38</v>
      </c>
      <c r="C55" s="112">
        <v>25.84</v>
      </c>
      <c r="D55" s="112">
        <v>19.170000000000002</v>
      </c>
      <c r="E55" s="112">
        <v>10.68</v>
      </c>
      <c r="F55" s="112">
        <v>9.99</v>
      </c>
      <c r="G55" s="112">
        <v>86.68</v>
      </c>
      <c r="H55" s="112">
        <v>29.08</v>
      </c>
      <c r="I55" s="112">
        <v>10.97</v>
      </c>
      <c r="J55" s="112">
        <v>1.1499999999999999</v>
      </c>
      <c r="K55" s="112">
        <v>41.82</v>
      </c>
      <c r="L55" s="112">
        <v>26.71</v>
      </c>
      <c r="M55" s="112">
        <v>33.92</v>
      </c>
      <c r="N55" s="112">
        <v>485.1</v>
      </c>
      <c r="O55" s="112">
        <v>0</v>
      </c>
      <c r="P55" s="112">
        <v>0.92</v>
      </c>
      <c r="Q55" s="112">
        <v>4.76</v>
      </c>
    </row>
    <row r="56" spans="1:17" customFormat="1">
      <c r="A56" s="80">
        <v>45621.5</v>
      </c>
      <c r="B56" s="112">
        <v>4.9000000000000004</v>
      </c>
      <c r="C56" s="112">
        <v>25.74</v>
      </c>
      <c r="D56" s="112">
        <v>18.73</v>
      </c>
      <c r="E56" s="112">
        <v>10.3</v>
      </c>
      <c r="F56" s="112">
        <v>9.07</v>
      </c>
      <c r="G56" s="112">
        <v>86.68</v>
      </c>
      <c r="H56" s="112">
        <v>29.08</v>
      </c>
      <c r="I56" s="112">
        <v>10.6</v>
      </c>
      <c r="J56" s="112">
        <v>0.77</v>
      </c>
      <c r="K56" s="112">
        <v>59.95</v>
      </c>
      <c r="L56" s="112">
        <v>27.18</v>
      </c>
      <c r="M56" s="112">
        <v>34.299999999999997</v>
      </c>
      <c r="N56" s="112">
        <v>474.1</v>
      </c>
      <c r="O56" s="112">
        <v>0</v>
      </c>
      <c r="P56" s="112">
        <v>0.9</v>
      </c>
      <c r="Q56" s="112">
        <v>4.78</v>
      </c>
    </row>
    <row r="57" spans="1:17" customFormat="1">
      <c r="A57" s="80">
        <v>45621.510416666664</v>
      </c>
      <c r="B57" s="112">
        <v>4.6399999999999997</v>
      </c>
      <c r="C57" s="112">
        <v>25.47</v>
      </c>
      <c r="D57" s="112">
        <v>18.38</v>
      </c>
      <c r="E57" s="112">
        <v>10.5</v>
      </c>
      <c r="F57" s="112">
        <v>8.9</v>
      </c>
      <c r="G57" s="112">
        <v>86.64</v>
      </c>
      <c r="H57" s="112">
        <v>29.16</v>
      </c>
      <c r="I57" s="112">
        <v>10.32</v>
      </c>
      <c r="J57" s="112">
        <v>1</v>
      </c>
      <c r="K57" s="112">
        <v>56.9</v>
      </c>
      <c r="L57" s="112">
        <v>27.1</v>
      </c>
      <c r="M57" s="112">
        <v>33.229999999999997</v>
      </c>
      <c r="N57" s="112">
        <v>469.9</v>
      </c>
      <c r="O57" s="112">
        <v>0</v>
      </c>
      <c r="P57" s="112">
        <v>0.88</v>
      </c>
      <c r="Q57" s="112">
        <v>4.7699999999999996</v>
      </c>
    </row>
    <row r="58" spans="1:17" customFormat="1">
      <c r="A58" s="80">
        <v>45621.520833333336</v>
      </c>
      <c r="B58" s="112">
        <v>4.54</v>
      </c>
      <c r="C58" s="112">
        <v>25.12</v>
      </c>
      <c r="D58" s="112">
        <v>18.12</v>
      </c>
      <c r="E58" s="112">
        <v>11.13</v>
      </c>
      <c r="F58" s="112">
        <v>9.42</v>
      </c>
      <c r="G58" s="112">
        <v>85.3</v>
      </c>
      <c r="H58" s="112">
        <v>34.130000000000003</v>
      </c>
      <c r="I58" s="112">
        <v>10.08</v>
      </c>
      <c r="J58" s="112">
        <v>1.1200000000000001</v>
      </c>
      <c r="K58" s="112">
        <v>43.62</v>
      </c>
      <c r="L58" s="112">
        <v>27.08</v>
      </c>
      <c r="M58" s="112">
        <v>32.909999999999997</v>
      </c>
      <c r="N58" s="112">
        <v>457.2</v>
      </c>
      <c r="O58" s="112">
        <v>0</v>
      </c>
      <c r="P58" s="112">
        <v>0.85</v>
      </c>
      <c r="Q58" s="112">
        <v>4.78</v>
      </c>
    </row>
    <row r="59" spans="1:17" customFormat="1">
      <c r="A59" s="80">
        <v>45621.53125</v>
      </c>
      <c r="B59" s="112">
        <v>4.53</v>
      </c>
      <c r="C59" s="112">
        <v>24.91</v>
      </c>
      <c r="D59" s="112">
        <v>18</v>
      </c>
      <c r="E59" s="112">
        <v>10.92</v>
      </c>
      <c r="F59" s="112">
        <v>9.35</v>
      </c>
      <c r="G59" s="112">
        <v>85.3</v>
      </c>
      <c r="H59" s="112">
        <v>34.130000000000003</v>
      </c>
      <c r="I59" s="112">
        <v>9.7899999999999991</v>
      </c>
      <c r="J59" s="112">
        <v>1.03</v>
      </c>
      <c r="K59" s="112">
        <v>42.98</v>
      </c>
      <c r="L59" s="112">
        <v>27.26</v>
      </c>
      <c r="M59" s="112">
        <v>32.42</v>
      </c>
      <c r="N59" s="112">
        <v>445.5</v>
      </c>
      <c r="O59" s="112">
        <v>0</v>
      </c>
      <c r="P59" s="112">
        <v>0.83</v>
      </c>
      <c r="Q59" s="112">
        <v>4.78</v>
      </c>
    </row>
    <row r="60" spans="1:17" customFormat="1">
      <c r="A60" s="80">
        <v>45621.541666666664</v>
      </c>
      <c r="B60" s="112">
        <v>4.51</v>
      </c>
      <c r="C60" s="112">
        <v>24.68</v>
      </c>
      <c r="D60" s="112">
        <v>17.86</v>
      </c>
      <c r="E60" s="112">
        <v>11.15</v>
      </c>
      <c r="F60" s="112">
        <v>10.17</v>
      </c>
      <c r="G60" s="112">
        <v>85.3</v>
      </c>
      <c r="H60" s="112">
        <v>34.130000000000003</v>
      </c>
      <c r="I60" s="112">
        <v>9.52</v>
      </c>
      <c r="J60" s="112">
        <v>0.74</v>
      </c>
      <c r="K60" s="112">
        <v>50.02</v>
      </c>
      <c r="L60" s="112">
        <v>27.45</v>
      </c>
      <c r="M60" s="112">
        <v>30.38</v>
      </c>
      <c r="N60" s="112">
        <v>444.2</v>
      </c>
      <c r="O60" s="112">
        <v>0</v>
      </c>
      <c r="P60" s="112">
        <v>0.83</v>
      </c>
      <c r="Q60" s="112">
        <v>4.78</v>
      </c>
    </row>
    <row r="61" spans="1:17" customFormat="1">
      <c r="A61" s="80">
        <v>45621.552083333336</v>
      </c>
      <c r="B61" s="112">
        <v>4.3899999999999997</v>
      </c>
      <c r="C61" s="112">
        <v>24.1</v>
      </c>
      <c r="D61" s="112">
        <v>17.46</v>
      </c>
      <c r="E61" s="112">
        <v>9.1</v>
      </c>
      <c r="F61" s="112">
        <v>9.1300000000000008</v>
      </c>
      <c r="G61" s="112">
        <v>84.99</v>
      </c>
      <c r="H61" s="112">
        <v>34.119999999999997</v>
      </c>
      <c r="I61" s="112">
        <v>9.31</v>
      </c>
      <c r="J61" s="112">
        <v>0.33</v>
      </c>
      <c r="K61" s="112">
        <v>104.85</v>
      </c>
      <c r="L61" s="112">
        <v>28.22</v>
      </c>
      <c r="M61" s="112">
        <v>28.71</v>
      </c>
      <c r="N61" s="112">
        <v>466.6</v>
      </c>
      <c r="O61" s="112">
        <v>0</v>
      </c>
      <c r="P61" s="112">
        <v>0.81</v>
      </c>
      <c r="Q61" s="112">
        <v>4.78</v>
      </c>
    </row>
    <row r="62" spans="1:17" customFormat="1">
      <c r="A62" s="80">
        <v>45621.5625</v>
      </c>
      <c r="B62" s="112">
        <v>4.28</v>
      </c>
      <c r="C62" s="112">
        <v>23.33</v>
      </c>
      <c r="D62" s="112">
        <v>16.97</v>
      </c>
      <c r="E62" s="112">
        <v>8.9700000000000006</v>
      </c>
      <c r="F62" s="112">
        <v>8.99</v>
      </c>
      <c r="G62" s="112">
        <v>71.27</v>
      </c>
      <c r="H62" s="112">
        <v>33.49</v>
      </c>
      <c r="I62" s="112">
        <v>9.1199999999999992</v>
      </c>
      <c r="J62" s="112">
        <v>0.74</v>
      </c>
      <c r="K62" s="112">
        <v>53.26</v>
      </c>
      <c r="L62" s="112">
        <v>28</v>
      </c>
      <c r="M62" s="112">
        <v>27.18</v>
      </c>
      <c r="N62" s="112">
        <v>425.7</v>
      </c>
      <c r="O62" s="112">
        <v>0</v>
      </c>
      <c r="P62" s="112">
        <v>0.78</v>
      </c>
      <c r="Q62" s="112">
        <v>4.7699999999999996</v>
      </c>
    </row>
    <row r="63" spans="1:17" customFormat="1">
      <c r="A63" s="80">
        <v>45621.572916666664</v>
      </c>
      <c r="B63" s="112">
        <v>4.1500000000000004</v>
      </c>
      <c r="C63" s="112">
        <v>22.54</v>
      </c>
      <c r="D63" s="112">
        <v>16.46</v>
      </c>
      <c r="E63" s="112">
        <v>9.09</v>
      </c>
      <c r="F63" s="112">
        <v>9.31</v>
      </c>
      <c r="G63" s="112">
        <v>71.27</v>
      </c>
      <c r="H63" s="112">
        <v>33.49</v>
      </c>
      <c r="I63" s="112">
        <v>8.9</v>
      </c>
      <c r="J63" s="112">
        <v>0.33</v>
      </c>
      <c r="K63" s="112">
        <v>101.65</v>
      </c>
      <c r="L63" s="112">
        <v>27.75</v>
      </c>
      <c r="M63" s="112">
        <v>28.09</v>
      </c>
      <c r="N63" s="112">
        <v>310.89999999999998</v>
      </c>
      <c r="O63" s="112">
        <v>0</v>
      </c>
      <c r="P63" s="112">
        <v>0.76</v>
      </c>
      <c r="Q63" s="112">
        <v>4.76</v>
      </c>
    </row>
    <row r="64" spans="1:17" customFormat="1">
      <c r="A64" s="80">
        <v>45621.583333333336</v>
      </c>
      <c r="B64" s="112">
        <v>4.07</v>
      </c>
      <c r="C64" s="112">
        <v>21.66</v>
      </c>
      <c r="D64" s="112">
        <v>15.93</v>
      </c>
      <c r="E64" s="112">
        <v>9.16</v>
      </c>
      <c r="F64" s="112">
        <v>9.73</v>
      </c>
      <c r="G64" s="112">
        <v>71.27</v>
      </c>
      <c r="H64" s="112">
        <v>33.49</v>
      </c>
      <c r="I64" s="112">
        <v>8.64</v>
      </c>
      <c r="J64" s="112">
        <v>0.56999999999999995</v>
      </c>
      <c r="K64" s="112">
        <v>56.54</v>
      </c>
      <c r="L64" s="112">
        <v>27.72</v>
      </c>
      <c r="M64" s="112">
        <v>28.12</v>
      </c>
      <c r="N64" s="112">
        <v>104.3</v>
      </c>
      <c r="O64" s="112">
        <v>0</v>
      </c>
      <c r="P64" s="112">
        <v>0.75</v>
      </c>
      <c r="Q64" s="112">
        <v>4.78</v>
      </c>
    </row>
    <row r="65" spans="1:17" customFormat="1">
      <c r="A65" s="80">
        <v>45621.59375</v>
      </c>
      <c r="B65" s="112">
        <v>4.03</v>
      </c>
      <c r="C65" s="112">
        <v>20.89</v>
      </c>
      <c r="D65" s="112">
        <v>15.49</v>
      </c>
      <c r="E65" s="112">
        <v>8.81</v>
      </c>
      <c r="F65" s="112">
        <v>9.83</v>
      </c>
      <c r="G65" s="112">
        <v>71.14</v>
      </c>
      <c r="H65" s="112">
        <v>33.44</v>
      </c>
      <c r="I65" s="112">
        <v>8.3699999999999992</v>
      </c>
      <c r="J65" s="112">
        <v>0.47</v>
      </c>
      <c r="K65" s="112">
        <v>71.03</v>
      </c>
      <c r="L65" s="112">
        <v>27.63</v>
      </c>
      <c r="M65" s="112">
        <v>29.1</v>
      </c>
      <c r="N65" s="112">
        <v>92.6</v>
      </c>
      <c r="O65" s="112">
        <v>0</v>
      </c>
      <c r="P65" s="112">
        <v>0.71</v>
      </c>
      <c r="Q65" s="112">
        <v>4.78</v>
      </c>
    </row>
    <row r="66" spans="1:17" customFormat="1">
      <c r="A66" s="80">
        <v>45621.604166666664</v>
      </c>
      <c r="B66" s="112">
        <v>4.01</v>
      </c>
      <c r="C66" s="112">
        <v>20.3</v>
      </c>
      <c r="D66" s="112">
        <v>15.17</v>
      </c>
      <c r="E66" s="112">
        <v>8.91</v>
      </c>
      <c r="F66" s="112">
        <v>9.9600000000000009</v>
      </c>
      <c r="G66" s="112">
        <v>65.680000000000007</v>
      </c>
      <c r="H66" s="112">
        <v>29.98</v>
      </c>
      <c r="I66" s="112">
        <v>8.14</v>
      </c>
      <c r="J66" s="112">
        <v>0.69</v>
      </c>
      <c r="K66" s="112">
        <v>62.79</v>
      </c>
      <c r="L66" s="112">
        <v>27.49</v>
      </c>
      <c r="M66" s="112">
        <v>29.75</v>
      </c>
      <c r="N66" s="112">
        <v>79.2</v>
      </c>
      <c r="O66" s="112">
        <v>0</v>
      </c>
      <c r="P66" s="112">
        <v>0.71</v>
      </c>
      <c r="Q66" s="112">
        <v>4.7699999999999996</v>
      </c>
    </row>
    <row r="67" spans="1:17" customFormat="1">
      <c r="A67" s="80">
        <v>45621.614583333336</v>
      </c>
      <c r="B67" s="112">
        <v>4</v>
      </c>
      <c r="C67" s="112">
        <v>19.78</v>
      </c>
      <c r="D67" s="112">
        <v>14.89</v>
      </c>
      <c r="E67" s="112">
        <v>8.73</v>
      </c>
      <c r="F67" s="112">
        <v>10.67</v>
      </c>
      <c r="G67" s="112">
        <v>65.680000000000007</v>
      </c>
      <c r="H67" s="112">
        <v>29.98</v>
      </c>
      <c r="I67" s="112">
        <v>7.84</v>
      </c>
      <c r="J67" s="112">
        <v>0.36</v>
      </c>
      <c r="K67" s="112">
        <v>77.88</v>
      </c>
      <c r="L67" s="112">
        <v>27.4</v>
      </c>
      <c r="M67" s="112">
        <v>29.79</v>
      </c>
      <c r="N67" s="112">
        <v>66.599999999999994</v>
      </c>
      <c r="O67" s="112">
        <v>0</v>
      </c>
      <c r="P67" s="112">
        <v>0.7</v>
      </c>
      <c r="Q67" s="112">
        <v>4.78</v>
      </c>
    </row>
    <row r="68" spans="1:17" customFormat="1">
      <c r="A68" s="80">
        <v>45621.625</v>
      </c>
      <c r="B68" s="112">
        <v>3.97</v>
      </c>
      <c r="C68" s="112">
        <v>19.45</v>
      </c>
      <c r="D68" s="112">
        <v>14.7</v>
      </c>
      <c r="E68" s="112">
        <v>8.65</v>
      </c>
      <c r="F68" s="112">
        <v>9.9</v>
      </c>
      <c r="G68" s="112">
        <v>65.680000000000007</v>
      </c>
      <c r="H68" s="112">
        <v>29.98</v>
      </c>
      <c r="I68" s="112">
        <v>7.55</v>
      </c>
      <c r="J68" s="112">
        <v>0.61</v>
      </c>
      <c r="K68" s="112">
        <v>60.87</v>
      </c>
      <c r="L68" s="112">
        <v>27.24</v>
      </c>
      <c r="M68" s="112">
        <v>28.34</v>
      </c>
      <c r="N68" s="112">
        <v>56.6</v>
      </c>
      <c r="O68" s="112">
        <v>0</v>
      </c>
      <c r="P68" s="112">
        <v>0.69</v>
      </c>
      <c r="Q68" s="112">
        <v>4.79</v>
      </c>
    </row>
    <row r="69" spans="1:17" customFormat="1">
      <c r="A69" s="80">
        <v>45621.635416666664</v>
      </c>
      <c r="B69" s="112">
        <v>4</v>
      </c>
      <c r="C69" s="112">
        <v>19.23</v>
      </c>
      <c r="D69" s="112">
        <v>14.61</v>
      </c>
      <c r="E69" s="112">
        <v>8.65</v>
      </c>
      <c r="F69" s="112">
        <v>10.37</v>
      </c>
      <c r="G69" s="112">
        <v>65.48</v>
      </c>
      <c r="H69" s="112">
        <v>30.02</v>
      </c>
      <c r="I69" s="112">
        <v>7.4</v>
      </c>
      <c r="J69" s="112">
        <v>0.3</v>
      </c>
      <c r="K69" s="112">
        <v>74.239999999999995</v>
      </c>
      <c r="L69" s="112">
        <v>27.16</v>
      </c>
      <c r="M69" s="112">
        <v>28.59</v>
      </c>
      <c r="N69" s="112">
        <v>54.5</v>
      </c>
      <c r="O69" s="112">
        <v>0</v>
      </c>
      <c r="P69" s="112">
        <v>0.67</v>
      </c>
      <c r="Q69" s="112">
        <v>4.76</v>
      </c>
    </row>
    <row r="70" spans="1:17" customFormat="1">
      <c r="A70" s="80">
        <v>45621.645833333336</v>
      </c>
      <c r="B70" s="112">
        <v>4.08</v>
      </c>
      <c r="C70" s="112">
        <v>19.07</v>
      </c>
      <c r="D70" s="112">
        <v>14.58</v>
      </c>
      <c r="E70" s="112">
        <v>9.84</v>
      </c>
      <c r="F70" s="112">
        <v>10.79</v>
      </c>
      <c r="G70" s="112">
        <v>56.64</v>
      </c>
      <c r="H70" s="112">
        <v>32.22</v>
      </c>
      <c r="I70" s="112">
        <v>7.21</v>
      </c>
      <c r="J70" s="112">
        <v>0.81</v>
      </c>
      <c r="K70" s="112">
        <v>53.77</v>
      </c>
      <c r="L70" s="112">
        <v>27.03</v>
      </c>
      <c r="M70" s="112">
        <v>27.07</v>
      </c>
      <c r="N70" s="112">
        <v>45.1</v>
      </c>
      <c r="O70" s="112">
        <v>0</v>
      </c>
      <c r="P70" s="112">
        <v>0.66</v>
      </c>
      <c r="Q70" s="112">
        <v>4.75</v>
      </c>
    </row>
    <row r="71" spans="1:17" customFormat="1">
      <c r="A71" s="80">
        <v>45621.65625</v>
      </c>
      <c r="B71" s="112">
        <v>4.24</v>
      </c>
      <c r="C71" s="112">
        <v>18.8</v>
      </c>
      <c r="D71" s="112">
        <v>14.58</v>
      </c>
      <c r="E71" s="112">
        <v>9.83</v>
      </c>
      <c r="F71" s="112">
        <v>10.01</v>
      </c>
      <c r="G71" s="112">
        <v>56.64</v>
      </c>
      <c r="H71" s="112">
        <v>32.22</v>
      </c>
      <c r="I71" s="112">
        <v>7.03</v>
      </c>
      <c r="J71" s="112">
        <v>0.77</v>
      </c>
      <c r="K71" s="112">
        <v>42.85</v>
      </c>
      <c r="L71" s="112">
        <v>26.84</v>
      </c>
      <c r="M71" s="112">
        <v>27.48</v>
      </c>
      <c r="N71" s="112">
        <v>38.6</v>
      </c>
      <c r="O71" s="112">
        <v>0</v>
      </c>
      <c r="P71" s="112">
        <v>0.64</v>
      </c>
      <c r="Q71" s="112">
        <v>4.76</v>
      </c>
    </row>
    <row r="72" spans="1:17" customFormat="1">
      <c r="A72" s="80">
        <v>45621.666666666664</v>
      </c>
      <c r="B72" s="112">
        <v>4.4400000000000004</v>
      </c>
      <c r="C72" s="112">
        <v>18.61</v>
      </c>
      <c r="D72" s="112">
        <v>14.63</v>
      </c>
      <c r="E72" s="112">
        <v>10.33</v>
      </c>
      <c r="F72" s="112">
        <v>9.0299999999999994</v>
      </c>
      <c r="G72" s="112">
        <v>56.64</v>
      </c>
      <c r="H72" s="112">
        <v>32.22</v>
      </c>
      <c r="I72" s="112">
        <v>6.94</v>
      </c>
      <c r="J72" s="112">
        <v>0.52</v>
      </c>
      <c r="K72" s="112">
        <v>56.52</v>
      </c>
      <c r="L72" s="112">
        <v>26.65</v>
      </c>
      <c r="M72" s="112">
        <v>27.63</v>
      </c>
      <c r="N72" s="112">
        <v>32.299999999999997</v>
      </c>
      <c r="O72" s="112">
        <v>0</v>
      </c>
      <c r="P72" s="112">
        <v>0.63</v>
      </c>
      <c r="Q72" s="112">
        <v>4.75</v>
      </c>
    </row>
    <row r="73" spans="1:17" customFormat="1">
      <c r="A73" s="80">
        <v>45621.677083333336</v>
      </c>
      <c r="B73" s="112">
        <v>4.5599999999999996</v>
      </c>
      <c r="C73" s="112">
        <v>18.350000000000001</v>
      </c>
      <c r="D73" s="112">
        <v>14.6</v>
      </c>
      <c r="E73" s="112">
        <v>10.52</v>
      </c>
      <c r="F73" s="112">
        <v>9.24</v>
      </c>
      <c r="G73" s="112">
        <v>56.72</v>
      </c>
      <c r="H73" s="112">
        <v>32.21</v>
      </c>
      <c r="I73" s="112">
        <v>6.93</v>
      </c>
      <c r="J73" s="112">
        <v>0.56000000000000005</v>
      </c>
      <c r="K73" s="112">
        <v>55.64</v>
      </c>
      <c r="L73" s="112">
        <v>26.36</v>
      </c>
      <c r="M73" s="112">
        <v>28.02</v>
      </c>
      <c r="N73" s="112">
        <v>26.5</v>
      </c>
      <c r="O73" s="112">
        <v>0</v>
      </c>
      <c r="P73" s="112">
        <v>0.62</v>
      </c>
      <c r="Q73" s="112">
        <v>4.76</v>
      </c>
    </row>
    <row r="74" spans="1:17" customFormat="1">
      <c r="A74" s="80">
        <v>45621.6875</v>
      </c>
      <c r="B74" s="112">
        <v>4.7</v>
      </c>
      <c r="C74" s="112">
        <v>18.149999999999999</v>
      </c>
      <c r="D74" s="112">
        <v>14.6</v>
      </c>
      <c r="E74" s="112">
        <v>10.42</v>
      </c>
      <c r="F74" s="112">
        <v>7.81</v>
      </c>
      <c r="G74" s="112">
        <v>60.52</v>
      </c>
      <c r="H74" s="112">
        <v>31.6</v>
      </c>
      <c r="I74" s="112">
        <v>6.89</v>
      </c>
      <c r="J74" s="112">
        <v>0.36</v>
      </c>
      <c r="K74" s="112">
        <v>62.08</v>
      </c>
      <c r="L74" s="112">
        <v>25.99</v>
      </c>
      <c r="M74" s="112">
        <v>30.05</v>
      </c>
      <c r="N74" s="112">
        <v>20.3</v>
      </c>
      <c r="O74" s="112">
        <v>0</v>
      </c>
      <c r="P74" s="112">
        <v>0.62</v>
      </c>
      <c r="Q74" s="112">
        <v>4.74</v>
      </c>
    </row>
    <row r="75" spans="1:17" customFormat="1">
      <c r="A75" s="80">
        <v>45621.697916666664</v>
      </c>
      <c r="B75" s="112">
        <v>4.9000000000000004</v>
      </c>
      <c r="C75" s="112">
        <v>18.18</v>
      </c>
      <c r="D75" s="112">
        <v>14.78</v>
      </c>
      <c r="E75" s="112">
        <v>10.130000000000001</v>
      </c>
      <c r="F75" s="112">
        <v>7.53</v>
      </c>
      <c r="G75" s="112">
        <v>60.52</v>
      </c>
      <c r="H75" s="112">
        <v>31.6</v>
      </c>
      <c r="I75" s="112">
        <v>6.89</v>
      </c>
      <c r="J75" s="112">
        <v>0.18</v>
      </c>
      <c r="K75" s="112">
        <v>85.69</v>
      </c>
      <c r="L75" s="112">
        <v>25.28</v>
      </c>
      <c r="M75" s="112">
        <v>33.01</v>
      </c>
      <c r="N75" s="112">
        <v>12.7</v>
      </c>
      <c r="O75" s="112">
        <v>0</v>
      </c>
      <c r="P75" s="112">
        <v>0.63</v>
      </c>
      <c r="Q75" s="112">
        <v>4.74</v>
      </c>
    </row>
    <row r="76" spans="1:17" customFormat="1">
      <c r="A76" s="80">
        <v>45621.708333333336</v>
      </c>
      <c r="B76" s="112">
        <v>5.0599999999999996</v>
      </c>
      <c r="C76" s="112">
        <v>18.13</v>
      </c>
      <c r="D76" s="112">
        <v>14.88</v>
      </c>
      <c r="E76" s="112">
        <v>9.93</v>
      </c>
      <c r="F76" s="112">
        <v>7.2</v>
      </c>
      <c r="G76" s="112">
        <v>60.52</v>
      </c>
      <c r="H76" s="112">
        <v>31.6</v>
      </c>
      <c r="I76" s="112">
        <v>6.92</v>
      </c>
      <c r="J76" s="112">
        <v>0.16</v>
      </c>
      <c r="K76" s="112">
        <v>148.44999999999999</v>
      </c>
      <c r="L76" s="112">
        <v>24.43</v>
      </c>
      <c r="M76" s="112">
        <v>36.67</v>
      </c>
      <c r="N76" s="112">
        <v>7.2</v>
      </c>
      <c r="O76" s="112">
        <v>0</v>
      </c>
      <c r="P76" s="112">
        <v>0.65</v>
      </c>
      <c r="Q76" s="112">
        <v>4.75</v>
      </c>
    </row>
    <row r="77" spans="1:17" customFormat="1">
      <c r="A77" s="80">
        <v>45621.71875</v>
      </c>
      <c r="B77" s="112">
        <v>5.23</v>
      </c>
      <c r="C77" s="112">
        <v>18.09</v>
      </c>
      <c r="D77" s="112">
        <v>14.99</v>
      </c>
      <c r="E77" s="112">
        <v>9.5500000000000007</v>
      </c>
      <c r="F77" s="112">
        <v>6.45</v>
      </c>
      <c r="G77" s="112">
        <v>60.78</v>
      </c>
      <c r="H77" s="112">
        <v>31.61</v>
      </c>
      <c r="I77" s="112">
        <v>6.93</v>
      </c>
      <c r="J77" s="112">
        <v>0.12</v>
      </c>
      <c r="K77" s="112">
        <v>147.32</v>
      </c>
      <c r="L77" s="112">
        <v>23.52</v>
      </c>
      <c r="M77" s="112">
        <v>39.65</v>
      </c>
      <c r="N77" s="112">
        <v>3.3</v>
      </c>
      <c r="O77" s="112">
        <v>0</v>
      </c>
      <c r="P77" s="112">
        <v>0.65</v>
      </c>
      <c r="Q77" s="112">
        <v>4.75</v>
      </c>
    </row>
    <row r="78" spans="1:17" customFormat="1">
      <c r="A78" s="80">
        <v>45621.729166666664</v>
      </c>
      <c r="B78" s="112">
        <v>5.37</v>
      </c>
      <c r="C78" s="112">
        <v>18.2</v>
      </c>
      <c r="D78" s="112">
        <v>15.17</v>
      </c>
      <c r="E78" s="112">
        <v>9.7799999999999994</v>
      </c>
      <c r="F78" s="112">
        <v>6.08</v>
      </c>
      <c r="G78" s="112">
        <v>72.12</v>
      </c>
      <c r="H78" s="112">
        <v>32.04</v>
      </c>
      <c r="I78" s="112">
        <v>6.95</v>
      </c>
      <c r="J78" s="112">
        <v>0.16</v>
      </c>
      <c r="K78" s="112">
        <v>151.59</v>
      </c>
      <c r="L78" s="112">
        <v>22.96</v>
      </c>
      <c r="M78" s="112">
        <v>41.78</v>
      </c>
      <c r="N78" s="112">
        <v>2</v>
      </c>
      <c r="O78" s="112">
        <v>0</v>
      </c>
      <c r="P78" s="112">
        <v>0.66</v>
      </c>
      <c r="Q78" s="112">
        <v>4.74</v>
      </c>
    </row>
    <row r="79" spans="1:17" customFormat="1">
      <c r="A79" s="80">
        <v>45621.739583333336</v>
      </c>
      <c r="B79" s="112">
        <v>5.64</v>
      </c>
      <c r="C79" s="112">
        <v>18.43</v>
      </c>
      <c r="D79" s="112">
        <v>15.5</v>
      </c>
      <c r="E79" s="112">
        <v>9.67</v>
      </c>
      <c r="F79" s="112">
        <v>6.02</v>
      </c>
      <c r="G79" s="112">
        <v>72.12</v>
      </c>
      <c r="H79" s="112">
        <v>32.04</v>
      </c>
      <c r="I79" s="112">
        <v>7.01</v>
      </c>
      <c r="J79" s="112">
        <v>0.19</v>
      </c>
      <c r="K79" s="112">
        <v>149.83000000000001</v>
      </c>
      <c r="L79" s="112">
        <v>22.16</v>
      </c>
      <c r="M79" s="112">
        <v>46.69</v>
      </c>
      <c r="N79" s="112">
        <v>2</v>
      </c>
      <c r="O79" s="112">
        <v>0</v>
      </c>
      <c r="P79" s="112">
        <v>0.68</v>
      </c>
      <c r="Q79" s="112">
        <v>4.75</v>
      </c>
    </row>
    <row r="80" spans="1:17" customFormat="1">
      <c r="A80" s="80">
        <v>45621.75</v>
      </c>
      <c r="B80" s="112">
        <v>5.94</v>
      </c>
      <c r="C80" s="112">
        <v>18.920000000000002</v>
      </c>
      <c r="D80" s="112">
        <v>16</v>
      </c>
      <c r="E80" s="112">
        <v>9.7899999999999991</v>
      </c>
      <c r="F80" s="112">
        <v>5.83</v>
      </c>
      <c r="G80" s="112">
        <v>72.12</v>
      </c>
      <c r="H80" s="112">
        <v>32.04</v>
      </c>
      <c r="I80" s="112">
        <v>7.13</v>
      </c>
      <c r="J80" s="112">
        <v>0.2</v>
      </c>
      <c r="K80" s="112">
        <v>162.82</v>
      </c>
      <c r="L80" s="112">
        <v>21.37</v>
      </c>
      <c r="M80" s="112">
        <v>52.07</v>
      </c>
      <c r="N80" s="112">
        <v>1.8</v>
      </c>
      <c r="O80" s="112">
        <v>0</v>
      </c>
      <c r="P80" s="112">
        <v>0.7</v>
      </c>
      <c r="Q80" s="112">
        <v>4.76</v>
      </c>
    </row>
    <row r="81" spans="1:17" customFormat="1">
      <c r="A81" s="80">
        <v>45621.760416666664</v>
      </c>
      <c r="B81" s="112">
        <v>6.32</v>
      </c>
      <c r="C81" s="112">
        <v>19.46</v>
      </c>
      <c r="D81" s="112">
        <v>16.579999999999998</v>
      </c>
      <c r="E81" s="112">
        <v>7.34</v>
      </c>
      <c r="F81" s="112">
        <v>5.74</v>
      </c>
      <c r="G81" s="112">
        <v>72.59</v>
      </c>
      <c r="H81" s="112">
        <v>32.08</v>
      </c>
      <c r="I81" s="112">
        <v>7.28</v>
      </c>
      <c r="J81" s="112">
        <v>0.21</v>
      </c>
      <c r="K81" s="112">
        <v>168.67</v>
      </c>
      <c r="L81" s="112">
        <v>21.31</v>
      </c>
      <c r="M81" s="112">
        <v>51.37</v>
      </c>
      <c r="N81" s="112">
        <v>1.6</v>
      </c>
      <c r="O81" s="112">
        <v>0</v>
      </c>
      <c r="P81" s="112">
        <v>0.72</v>
      </c>
      <c r="Q81" s="112">
        <v>4.75</v>
      </c>
    </row>
    <row r="82" spans="1:17" customFormat="1">
      <c r="A82" s="80">
        <v>45621.770833333336</v>
      </c>
      <c r="B82" s="112">
        <v>6.61</v>
      </c>
      <c r="C82" s="112">
        <v>19.829999999999998</v>
      </c>
      <c r="D82" s="112">
        <v>17.010000000000002</v>
      </c>
      <c r="E82" s="112">
        <v>9.32</v>
      </c>
      <c r="F82" s="112">
        <v>5.58</v>
      </c>
      <c r="G82" s="112">
        <v>93.01</v>
      </c>
      <c r="H82" s="112">
        <v>33.299999999999997</v>
      </c>
      <c r="I82" s="112">
        <v>7.45</v>
      </c>
      <c r="J82" s="112">
        <v>0.25</v>
      </c>
      <c r="K82" s="112">
        <v>173.94</v>
      </c>
      <c r="L82" s="112">
        <v>20.88</v>
      </c>
      <c r="M82" s="112">
        <v>60.72</v>
      </c>
      <c r="N82" s="112">
        <v>1.8</v>
      </c>
      <c r="O82" s="112">
        <v>0</v>
      </c>
      <c r="P82" s="112">
        <v>0.73</v>
      </c>
      <c r="Q82" s="112">
        <v>4.74</v>
      </c>
    </row>
    <row r="83" spans="1:17" customFormat="1">
      <c r="A83" s="80">
        <v>45621.78125</v>
      </c>
      <c r="B83" s="112">
        <v>6.73</v>
      </c>
      <c r="C83" s="112">
        <v>19.78</v>
      </c>
      <c r="D83" s="112">
        <v>17.079999999999998</v>
      </c>
      <c r="E83" s="112">
        <v>9</v>
      </c>
      <c r="F83" s="112">
        <v>5.73</v>
      </c>
      <c r="G83" s="112">
        <v>93.01</v>
      </c>
      <c r="H83" s="112">
        <v>33.299999999999997</v>
      </c>
      <c r="I83" s="112">
        <v>7.74</v>
      </c>
      <c r="J83" s="112">
        <v>0.19</v>
      </c>
      <c r="K83" s="112">
        <v>186.68</v>
      </c>
      <c r="L83" s="112">
        <v>20.04</v>
      </c>
      <c r="M83" s="112">
        <v>65.010000000000005</v>
      </c>
      <c r="N83" s="112">
        <v>2</v>
      </c>
      <c r="O83" s="112">
        <v>0</v>
      </c>
      <c r="P83" s="112">
        <v>0.74</v>
      </c>
      <c r="Q83" s="112">
        <v>4.75</v>
      </c>
    </row>
    <row r="84" spans="1:17" customFormat="1">
      <c r="A84" s="80">
        <v>45621.791666666664</v>
      </c>
      <c r="B84" s="112">
        <v>6.76</v>
      </c>
      <c r="C84" s="112">
        <v>19.73</v>
      </c>
      <c r="D84" s="112">
        <v>17.079999999999998</v>
      </c>
      <c r="E84" s="112">
        <v>9.44</v>
      </c>
      <c r="F84" s="112">
        <v>5.87</v>
      </c>
      <c r="G84" s="112">
        <v>93.01</v>
      </c>
      <c r="H84" s="112">
        <v>33.299999999999997</v>
      </c>
      <c r="I84" s="112">
        <v>8.06</v>
      </c>
      <c r="J84" s="112">
        <v>0.17</v>
      </c>
      <c r="K84" s="112">
        <v>178.29</v>
      </c>
      <c r="L84" s="112">
        <v>19.579999999999998</v>
      </c>
      <c r="M84" s="112">
        <v>64.489999999999995</v>
      </c>
      <c r="N84" s="112">
        <v>1.6</v>
      </c>
      <c r="O84" s="112">
        <v>0</v>
      </c>
      <c r="P84" s="112">
        <v>0.75</v>
      </c>
      <c r="Q84" s="112">
        <v>4.76</v>
      </c>
    </row>
    <row r="85" spans="1:17" customFormat="1">
      <c r="A85" s="80">
        <v>45621.802083333336</v>
      </c>
      <c r="B85" s="112">
        <v>6.77</v>
      </c>
      <c r="C85" s="112">
        <v>19.579999999999998</v>
      </c>
      <c r="D85" s="112">
        <v>17.010000000000002</v>
      </c>
      <c r="E85" s="112">
        <v>9.3800000000000008</v>
      </c>
      <c r="F85" s="112">
        <v>5.83</v>
      </c>
      <c r="G85" s="112">
        <v>93.08</v>
      </c>
      <c r="H85" s="112">
        <v>33.32</v>
      </c>
      <c r="I85" s="112">
        <v>8.0399999999999991</v>
      </c>
      <c r="J85" s="112">
        <v>0.21</v>
      </c>
      <c r="K85" s="112">
        <v>203.43</v>
      </c>
      <c r="L85" s="112">
        <v>19.45</v>
      </c>
      <c r="M85" s="112">
        <v>62.85</v>
      </c>
      <c r="N85" s="112">
        <v>1.6</v>
      </c>
      <c r="O85" s="112">
        <v>0</v>
      </c>
      <c r="P85" s="112">
        <v>0.76</v>
      </c>
      <c r="Q85" s="112">
        <v>4.75</v>
      </c>
    </row>
    <row r="86" spans="1:17" customFormat="1">
      <c r="A86" s="80">
        <v>45621.8125</v>
      </c>
      <c r="B86" s="112">
        <v>6.76</v>
      </c>
      <c r="C86" s="112">
        <v>19.47</v>
      </c>
      <c r="D86" s="112">
        <v>16.95</v>
      </c>
      <c r="E86" s="112">
        <v>9.06</v>
      </c>
      <c r="F86" s="112">
        <v>5.95</v>
      </c>
      <c r="G86" s="112">
        <v>96.12</v>
      </c>
      <c r="H86" s="112">
        <v>34.6</v>
      </c>
      <c r="I86" s="112">
        <v>8.1</v>
      </c>
      <c r="J86" s="112">
        <v>0.2</v>
      </c>
      <c r="K86" s="112">
        <v>196.43</v>
      </c>
      <c r="L86" s="112">
        <v>18.86</v>
      </c>
      <c r="M86" s="112">
        <v>67.3</v>
      </c>
      <c r="N86" s="112">
        <v>1.7</v>
      </c>
      <c r="O86" s="112">
        <v>0</v>
      </c>
      <c r="P86" s="112">
        <v>0.76</v>
      </c>
      <c r="Q86" s="112">
        <v>4.76</v>
      </c>
    </row>
    <row r="87" spans="1:17" customFormat="1">
      <c r="A87" s="80">
        <v>45621.822916666664</v>
      </c>
      <c r="B87" s="112">
        <v>6.76</v>
      </c>
      <c r="C87" s="112">
        <v>19.28</v>
      </c>
      <c r="D87" s="112">
        <v>16.850000000000001</v>
      </c>
      <c r="E87" s="112">
        <v>9.33</v>
      </c>
      <c r="F87" s="112">
        <v>5.96</v>
      </c>
      <c r="G87" s="112">
        <v>96.12</v>
      </c>
      <c r="H87" s="112">
        <v>34.6</v>
      </c>
      <c r="I87" s="112">
        <v>8.19</v>
      </c>
      <c r="J87" s="112">
        <v>0.13</v>
      </c>
      <c r="K87" s="112">
        <v>216.95</v>
      </c>
      <c r="L87" s="112">
        <v>18.41</v>
      </c>
      <c r="M87" s="112">
        <v>71.209999999999994</v>
      </c>
      <c r="N87" s="112">
        <v>1.5</v>
      </c>
      <c r="O87" s="112">
        <v>0</v>
      </c>
      <c r="P87" s="112">
        <v>0.76</v>
      </c>
      <c r="Q87" s="112">
        <v>4.76</v>
      </c>
    </row>
    <row r="88" spans="1:17" customFormat="1">
      <c r="A88" s="80">
        <v>45621.833333333336</v>
      </c>
      <c r="B88" s="112">
        <v>6.79</v>
      </c>
      <c r="C88" s="112">
        <v>19.11</v>
      </c>
      <c r="D88" s="112">
        <v>16.79</v>
      </c>
      <c r="E88" s="112">
        <v>9.27</v>
      </c>
      <c r="F88" s="112">
        <v>5.76</v>
      </c>
      <c r="G88" s="112">
        <v>96.12</v>
      </c>
      <c r="H88" s="112">
        <v>34.6</v>
      </c>
      <c r="I88" s="112">
        <v>8.1999999999999993</v>
      </c>
      <c r="J88" s="112">
        <v>0.1</v>
      </c>
      <c r="K88" s="112">
        <v>230.18</v>
      </c>
      <c r="L88" s="112">
        <v>18.34</v>
      </c>
      <c r="M88" s="112">
        <v>66.77</v>
      </c>
      <c r="N88" s="112">
        <v>1.3</v>
      </c>
      <c r="O88" s="112">
        <v>0</v>
      </c>
      <c r="P88" s="112">
        <v>0.77</v>
      </c>
      <c r="Q88" s="112">
        <v>4.76</v>
      </c>
    </row>
    <row r="89" spans="1:17" customFormat="1">
      <c r="A89" s="80">
        <v>45621.84375</v>
      </c>
      <c r="B89" s="112">
        <v>6.8</v>
      </c>
      <c r="C89" s="112">
        <v>19.16</v>
      </c>
      <c r="D89" s="112">
        <v>16.809999999999999</v>
      </c>
      <c r="E89" s="112">
        <v>8.98</v>
      </c>
      <c r="F89" s="112">
        <v>5.94</v>
      </c>
      <c r="G89" s="112">
        <v>96.01</v>
      </c>
      <c r="H89" s="112">
        <v>34.54</v>
      </c>
      <c r="I89" s="112">
        <v>8.5</v>
      </c>
      <c r="J89" s="112">
        <v>0.15</v>
      </c>
      <c r="K89" s="112">
        <v>185.24</v>
      </c>
      <c r="L89" s="112">
        <v>18.46</v>
      </c>
      <c r="M89" s="112">
        <v>63.13</v>
      </c>
      <c r="N89" s="112">
        <v>1.1000000000000001</v>
      </c>
      <c r="O89" s="112">
        <v>0</v>
      </c>
      <c r="P89" s="112">
        <v>0.78</v>
      </c>
      <c r="Q89" s="112">
        <v>4.76</v>
      </c>
    </row>
    <row r="90" spans="1:17" customFormat="1">
      <c r="A90" s="80">
        <v>45621.854166666664</v>
      </c>
      <c r="B90" s="112">
        <v>6.77</v>
      </c>
      <c r="C90" s="112">
        <v>19.600000000000001</v>
      </c>
      <c r="D90" s="112">
        <v>17.02</v>
      </c>
      <c r="E90" s="112">
        <v>8.5</v>
      </c>
      <c r="F90" s="112">
        <v>5.8</v>
      </c>
      <c r="G90" s="112">
        <v>91.16</v>
      </c>
      <c r="H90" s="112">
        <v>30.58</v>
      </c>
      <c r="I90" s="112">
        <v>8.6999999999999993</v>
      </c>
      <c r="J90" s="112">
        <v>0.15</v>
      </c>
      <c r="K90" s="112">
        <v>174.03</v>
      </c>
      <c r="L90" s="112">
        <v>18.53</v>
      </c>
      <c r="M90" s="112">
        <v>64.67</v>
      </c>
      <c r="N90" s="112">
        <v>1.2</v>
      </c>
      <c r="O90" s="112">
        <v>0</v>
      </c>
      <c r="P90" s="112">
        <v>0.8</v>
      </c>
      <c r="Q90" s="112">
        <v>4.76</v>
      </c>
    </row>
    <row r="91" spans="1:17" customFormat="1">
      <c r="A91" s="80">
        <v>45621.864583333336</v>
      </c>
      <c r="B91" s="112">
        <v>6.84</v>
      </c>
      <c r="C91" s="112">
        <v>19.89</v>
      </c>
      <c r="D91" s="112">
        <v>17.23</v>
      </c>
      <c r="E91" s="112">
        <v>8.86</v>
      </c>
      <c r="F91" s="112">
        <v>5.84</v>
      </c>
      <c r="G91" s="112">
        <v>91.16</v>
      </c>
      <c r="H91" s="112">
        <v>30.58</v>
      </c>
      <c r="I91" s="112">
        <v>8.83</v>
      </c>
      <c r="J91" s="112">
        <v>0.14000000000000001</v>
      </c>
      <c r="K91" s="112">
        <v>181.29</v>
      </c>
      <c r="L91" s="112">
        <v>18.3</v>
      </c>
      <c r="M91" s="112">
        <v>66.22</v>
      </c>
      <c r="N91" s="112">
        <v>1.2</v>
      </c>
      <c r="O91" s="112">
        <v>0</v>
      </c>
      <c r="P91" s="112">
        <v>0.8</v>
      </c>
      <c r="Q91" s="112">
        <v>4.76</v>
      </c>
    </row>
    <row r="92" spans="1:17" customFormat="1">
      <c r="A92" s="80">
        <v>45621.875</v>
      </c>
      <c r="B92" s="112">
        <v>7</v>
      </c>
      <c r="C92" s="112">
        <v>20.29</v>
      </c>
      <c r="D92" s="112">
        <v>17.559999999999999</v>
      </c>
      <c r="E92" s="112">
        <v>9.01</v>
      </c>
      <c r="F92" s="112">
        <v>5.68</v>
      </c>
      <c r="G92" s="112">
        <v>91.16</v>
      </c>
      <c r="H92" s="112">
        <v>30.58</v>
      </c>
      <c r="I92" s="112">
        <v>8.86</v>
      </c>
      <c r="J92" s="112">
        <v>0.12</v>
      </c>
      <c r="K92" s="112">
        <v>203.08</v>
      </c>
      <c r="L92" s="112">
        <v>18.100000000000001</v>
      </c>
      <c r="M92" s="112">
        <v>68.67</v>
      </c>
      <c r="N92" s="112">
        <v>1.3</v>
      </c>
      <c r="O92" s="112">
        <v>0</v>
      </c>
      <c r="P92" s="112">
        <v>0.81</v>
      </c>
      <c r="Q92" s="112">
        <v>4.76</v>
      </c>
    </row>
    <row r="93" spans="1:17" customFormat="1">
      <c r="A93" s="80">
        <v>45621.885416666664</v>
      </c>
      <c r="B93" s="112">
        <v>7.36</v>
      </c>
      <c r="C93" s="112">
        <v>20.58</v>
      </c>
      <c r="D93" s="112">
        <v>18.010000000000002</v>
      </c>
      <c r="E93" s="112">
        <v>8.93</v>
      </c>
      <c r="F93" s="112">
        <v>5.56</v>
      </c>
      <c r="G93" s="112">
        <v>91.15</v>
      </c>
      <c r="H93" s="112">
        <v>30.51</v>
      </c>
      <c r="I93" s="112">
        <v>8.86</v>
      </c>
      <c r="J93" s="112">
        <v>0.15</v>
      </c>
      <c r="K93" s="112">
        <v>170.11</v>
      </c>
      <c r="L93" s="112">
        <v>17.940000000000001</v>
      </c>
      <c r="M93" s="112">
        <v>71.48</v>
      </c>
      <c r="N93" s="112">
        <v>1.3</v>
      </c>
      <c r="O93" s="112">
        <v>0</v>
      </c>
      <c r="P93" s="112">
        <v>0.82</v>
      </c>
      <c r="Q93" s="112">
        <v>4.7699999999999996</v>
      </c>
    </row>
    <row r="94" spans="1:17" customFormat="1">
      <c r="A94" s="80">
        <v>45621.895833333336</v>
      </c>
      <c r="B94" s="112">
        <v>7.32</v>
      </c>
      <c r="C94" s="112">
        <v>20.62</v>
      </c>
      <c r="D94" s="112">
        <v>18</v>
      </c>
      <c r="E94" s="112">
        <v>8.52</v>
      </c>
      <c r="F94" s="112">
        <v>5.62</v>
      </c>
      <c r="G94" s="112">
        <v>90.58</v>
      </c>
      <c r="H94" s="112">
        <v>28.26</v>
      </c>
      <c r="I94" s="112">
        <v>8.8699999999999992</v>
      </c>
      <c r="J94" s="112">
        <v>0.17</v>
      </c>
      <c r="K94" s="112">
        <v>191.34</v>
      </c>
      <c r="L94" s="112">
        <v>17.84</v>
      </c>
      <c r="M94" s="112">
        <v>75.569999999999993</v>
      </c>
      <c r="N94" s="112">
        <v>1.2</v>
      </c>
      <c r="O94" s="112">
        <v>0</v>
      </c>
      <c r="P94" s="112">
        <v>0.81</v>
      </c>
      <c r="Q94" s="112">
        <v>4.7699999999999996</v>
      </c>
    </row>
    <row r="95" spans="1:17" customFormat="1">
      <c r="A95" s="80">
        <v>45621.90625</v>
      </c>
      <c r="B95" s="112">
        <v>7.1</v>
      </c>
      <c r="C95" s="112">
        <v>20.420000000000002</v>
      </c>
      <c r="D95" s="112">
        <v>17.72</v>
      </c>
      <c r="E95" s="112">
        <v>8.83</v>
      </c>
      <c r="F95" s="112">
        <v>5.7</v>
      </c>
      <c r="G95" s="112">
        <v>90.58</v>
      </c>
      <c r="H95" s="112">
        <v>28.26</v>
      </c>
      <c r="I95" s="112">
        <v>8.8699999999999992</v>
      </c>
      <c r="J95" s="112">
        <v>0.13</v>
      </c>
      <c r="K95" s="112">
        <v>189.68</v>
      </c>
      <c r="L95" s="112">
        <v>17.77</v>
      </c>
      <c r="M95" s="112">
        <v>73.55</v>
      </c>
      <c r="N95" s="112">
        <v>1.3</v>
      </c>
      <c r="O95" s="112">
        <v>0</v>
      </c>
      <c r="P95" s="112">
        <v>0.82</v>
      </c>
      <c r="Q95" s="112">
        <v>4.7699999999999996</v>
      </c>
    </row>
    <row r="96" spans="1:17" customFormat="1">
      <c r="A96" s="80">
        <v>45621.916666666664</v>
      </c>
      <c r="B96" s="112">
        <v>6.9</v>
      </c>
      <c r="C96" s="112">
        <v>20.41</v>
      </c>
      <c r="D96" s="112">
        <v>17.55</v>
      </c>
      <c r="E96" s="112">
        <v>9.0399999999999991</v>
      </c>
      <c r="F96" s="112">
        <v>5.77</v>
      </c>
      <c r="G96" s="112">
        <v>90.58</v>
      </c>
      <c r="H96" s="112">
        <v>28.26</v>
      </c>
      <c r="I96" s="112">
        <v>8.85</v>
      </c>
      <c r="J96" s="112">
        <v>0.12</v>
      </c>
      <c r="K96" s="112">
        <v>213.12</v>
      </c>
      <c r="L96" s="112">
        <v>17.440000000000001</v>
      </c>
      <c r="M96" s="112">
        <v>78.28</v>
      </c>
      <c r="N96" s="112">
        <v>1.4</v>
      </c>
      <c r="O96" s="112">
        <v>0</v>
      </c>
      <c r="P96" s="112">
        <v>0.81</v>
      </c>
      <c r="Q96" s="112">
        <v>4.7699999999999996</v>
      </c>
    </row>
    <row r="97" spans="1:22" customFormat="1">
      <c r="A97" s="80">
        <v>45621.927083333336</v>
      </c>
      <c r="B97" s="112">
        <v>6.72</v>
      </c>
      <c r="C97" s="112">
        <v>20.149999999999999</v>
      </c>
      <c r="D97" s="112">
        <v>17.260000000000002</v>
      </c>
      <c r="E97" s="112">
        <v>8.74</v>
      </c>
      <c r="F97" s="112">
        <v>5.63</v>
      </c>
      <c r="G97" s="112">
        <v>90.48</v>
      </c>
      <c r="H97" s="112">
        <v>28.19</v>
      </c>
      <c r="I97" s="112">
        <v>8.86</v>
      </c>
      <c r="J97" s="112">
        <v>0.08</v>
      </c>
      <c r="K97" s="112">
        <v>199.11</v>
      </c>
      <c r="L97" s="112">
        <v>17.02</v>
      </c>
      <c r="M97" s="112">
        <v>76.5</v>
      </c>
      <c r="N97" s="112">
        <v>1.4</v>
      </c>
      <c r="O97" s="112">
        <v>0</v>
      </c>
      <c r="P97" s="112">
        <v>0.81</v>
      </c>
      <c r="Q97" s="112">
        <v>4.76</v>
      </c>
    </row>
    <row r="98" spans="1:22" customFormat="1">
      <c r="A98" s="80">
        <v>45621.9375</v>
      </c>
      <c r="B98" s="112">
        <v>7.25</v>
      </c>
      <c r="C98" s="112">
        <v>20.350000000000001</v>
      </c>
      <c r="D98" s="112">
        <v>17.8</v>
      </c>
      <c r="E98" s="112">
        <v>8.75</v>
      </c>
      <c r="F98" s="112">
        <v>5.46</v>
      </c>
      <c r="G98" s="112">
        <v>86.06</v>
      </c>
      <c r="H98" s="112">
        <v>25.83</v>
      </c>
      <c r="I98" s="112">
        <v>8.86</v>
      </c>
      <c r="J98" s="112">
        <v>0.18</v>
      </c>
      <c r="K98" s="112">
        <v>166.89</v>
      </c>
      <c r="L98" s="112">
        <v>17.190000000000001</v>
      </c>
      <c r="M98" s="112">
        <v>71.53</v>
      </c>
      <c r="N98" s="112">
        <v>1.2</v>
      </c>
      <c r="O98" s="112">
        <v>0</v>
      </c>
      <c r="P98" s="112">
        <v>0.81</v>
      </c>
      <c r="Q98" s="112">
        <v>4.76</v>
      </c>
    </row>
    <row r="99" spans="1:22" customFormat="1">
      <c r="A99" s="80">
        <v>45621.947916666664</v>
      </c>
      <c r="B99" s="112">
        <v>8.17</v>
      </c>
      <c r="C99" s="112">
        <v>20.9</v>
      </c>
      <c r="D99" s="112">
        <v>18.82</v>
      </c>
      <c r="E99" s="112">
        <v>8.68</v>
      </c>
      <c r="F99" s="112">
        <v>5.45</v>
      </c>
      <c r="G99" s="112">
        <v>86.06</v>
      </c>
      <c r="H99" s="112">
        <v>25.83</v>
      </c>
      <c r="I99" s="112">
        <v>8.8800000000000008</v>
      </c>
      <c r="J99" s="112">
        <v>0.14000000000000001</v>
      </c>
      <c r="K99" s="112">
        <v>168.33</v>
      </c>
      <c r="L99" s="112">
        <v>17.18</v>
      </c>
      <c r="M99" s="112">
        <v>73.98</v>
      </c>
      <c r="N99" s="112">
        <v>1.2</v>
      </c>
      <c r="O99" s="112">
        <v>0</v>
      </c>
      <c r="P99" s="112">
        <v>0.83</v>
      </c>
      <c r="Q99" s="112">
        <v>4.74</v>
      </c>
    </row>
    <row r="100" spans="1:22" customFormat="1">
      <c r="A100" s="80">
        <v>45621.958333333336</v>
      </c>
      <c r="B100" s="112">
        <v>8.3699999999999992</v>
      </c>
      <c r="C100" s="112">
        <v>20.99</v>
      </c>
      <c r="D100" s="112">
        <v>19.03</v>
      </c>
      <c r="E100" s="112">
        <v>8.44</v>
      </c>
      <c r="F100" s="112">
        <v>5.6</v>
      </c>
      <c r="G100" s="112">
        <v>86.06</v>
      </c>
      <c r="H100" s="112">
        <v>25.83</v>
      </c>
      <c r="I100" s="112">
        <v>8.9700000000000006</v>
      </c>
      <c r="J100" s="112">
        <v>0.19</v>
      </c>
      <c r="K100" s="112">
        <v>155.76</v>
      </c>
      <c r="L100" s="112">
        <v>17.100000000000001</v>
      </c>
      <c r="M100" s="112">
        <v>77.7</v>
      </c>
      <c r="N100" s="112">
        <v>1.3</v>
      </c>
      <c r="O100" s="112">
        <v>0</v>
      </c>
      <c r="P100" s="112">
        <v>0.83</v>
      </c>
      <c r="Q100" s="112">
        <v>4.75</v>
      </c>
    </row>
    <row r="101" spans="1:22" customFormat="1">
      <c r="A101" s="80">
        <v>45621.96875</v>
      </c>
      <c r="B101" s="112">
        <v>8.83</v>
      </c>
      <c r="C101" s="112">
        <v>21.2</v>
      </c>
      <c r="D101" s="112">
        <v>19.510000000000002</v>
      </c>
      <c r="E101" s="112">
        <v>8.5500000000000007</v>
      </c>
      <c r="F101" s="112">
        <v>5.25</v>
      </c>
      <c r="G101" s="112">
        <v>86.07</v>
      </c>
      <c r="H101" s="112">
        <v>25.89</v>
      </c>
      <c r="I101" s="112">
        <v>9.07</v>
      </c>
      <c r="J101" s="112">
        <v>0.16</v>
      </c>
      <c r="K101" s="112">
        <v>156.13</v>
      </c>
      <c r="L101" s="112">
        <v>16.93</v>
      </c>
      <c r="M101" s="112">
        <v>77.88</v>
      </c>
      <c r="N101" s="112">
        <v>1.3</v>
      </c>
      <c r="O101" s="112">
        <v>0</v>
      </c>
      <c r="P101" s="112">
        <v>0.84</v>
      </c>
      <c r="Q101" s="112">
        <v>4.7699999999999996</v>
      </c>
    </row>
    <row r="102" spans="1:22" customFormat="1">
      <c r="A102" s="80">
        <v>45621.979166666664</v>
      </c>
      <c r="B102" s="112">
        <v>10.94</v>
      </c>
      <c r="C102" s="112">
        <v>21.65</v>
      </c>
      <c r="D102" s="112">
        <v>21.44</v>
      </c>
      <c r="E102" s="112">
        <v>8.58</v>
      </c>
      <c r="F102" s="112">
        <v>5.25</v>
      </c>
      <c r="G102" s="112">
        <v>86.3</v>
      </c>
      <c r="H102" s="112">
        <v>28.03</v>
      </c>
      <c r="I102" s="112">
        <v>9.0500000000000007</v>
      </c>
      <c r="J102" s="112">
        <v>0.18</v>
      </c>
      <c r="K102" s="112">
        <v>169.2</v>
      </c>
      <c r="L102" s="112">
        <v>16.88</v>
      </c>
      <c r="M102" s="112">
        <v>75.97</v>
      </c>
      <c r="N102" s="112">
        <v>1.1000000000000001</v>
      </c>
      <c r="O102" s="112">
        <v>0</v>
      </c>
      <c r="P102" s="112">
        <v>0.85</v>
      </c>
      <c r="Q102" s="112">
        <v>4.76</v>
      </c>
    </row>
    <row r="103" spans="1:22" customFormat="1">
      <c r="A103" s="80">
        <v>45621.989583333336</v>
      </c>
      <c r="B103" s="112">
        <v>15.35</v>
      </c>
      <c r="C103" s="112">
        <v>22.35</v>
      </c>
      <c r="D103" s="112">
        <v>25.34</v>
      </c>
      <c r="E103" s="112">
        <v>8.94</v>
      </c>
      <c r="F103" s="112">
        <v>5.09</v>
      </c>
      <c r="G103" s="112">
        <v>86.3</v>
      </c>
      <c r="H103" s="112">
        <v>28.03</v>
      </c>
      <c r="I103" s="112">
        <v>9.08</v>
      </c>
      <c r="J103" s="112">
        <v>0.14000000000000001</v>
      </c>
      <c r="K103" s="112">
        <v>199.31</v>
      </c>
      <c r="L103" s="112">
        <v>16.739999999999998</v>
      </c>
      <c r="M103" s="112">
        <v>79.680000000000007</v>
      </c>
      <c r="N103" s="112">
        <v>1.3</v>
      </c>
      <c r="O103" s="112">
        <v>0</v>
      </c>
      <c r="P103" s="112">
        <v>0.87</v>
      </c>
      <c r="Q103" s="112">
        <v>4.75</v>
      </c>
    </row>
    <row r="104" spans="1:22" customFormat="1">
      <c r="A104" s="80">
        <v>45622</v>
      </c>
      <c r="B104" s="112">
        <v>18.27</v>
      </c>
      <c r="C104" s="112">
        <v>22.76</v>
      </c>
      <c r="D104" s="112">
        <v>27.9</v>
      </c>
      <c r="E104" s="112">
        <v>8.81</v>
      </c>
      <c r="F104" s="112">
        <v>5.32</v>
      </c>
      <c r="G104" s="112">
        <v>86.3</v>
      </c>
      <c r="H104" s="112">
        <v>28.03</v>
      </c>
      <c r="I104" s="112">
        <v>9.2899999999999991</v>
      </c>
      <c r="J104" s="112">
        <v>0.11</v>
      </c>
      <c r="K104" s="112">
        <v>186.07</v>
      </c>
      <c r="L104" s="112">
        <v>16.440000000000001</v>
      </c>
      <c r="M104" s="112">
        <v>86</v>
      </c>
      <c r="N104" s="112">
        <v>1.4</v>
      </c>
      <c r="O104" s="112">
        <v>0</v>
      </c>
      <c r="P104" s="112">
        <v>0.88</v>
      </c>
      <c r="Q104" s="112">
        <v>4.76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3.97</v>
      </c>
      <c r="C106" s="183">
        <f>MIN(C9:C104)</f>
        <v>18.09</v>
      </c>
      <c r="D106" s="183">
        <f t="shared" ref="D106:Q106" si="0">MIN(D9:D104)</f>
        <v>14.58</v>
      </c>
      <c r="E106" s="183">
        <f t="shared" si="0"/>
        <v>6.57</v>
      </c>
      <c r="F106" s="183">
        <f t="shared" si="0"/>
        <v>5.08</v>
      </c>
      <c r="G106" s="183">
        <f t="shared" si="0"/>
        <v>56.64</v>
      </c>
      <c r="H106" s="183">
        <f t="shared" si="0"/>
        <v>25.83</v>
      </c>
      <c r="I106" s="183">
        <f t="shared" si="0"/>
        <v>6.89</v>
      </c>
      <c r="J106" s="183">
        <f t="shared" si="0"/>
        <v>0.06</v>
      </c>
      <c r="K106" s="183">
        <f t="shared" si="0"/>
        <v>16.88</v>
      </c>
      <c r="L106" s="183">
        <f t="shared" si="0"/>
        <v>13.79</v>
      </c>
      <c r="M106" s="183">
        <f t="shared" si="0"/>
        <v>27.07</v>
      </c>
      <c r="N106" s="183">
        <f t="shared" si="0"/>
        <v>0.9</v>
      </c>
      <c r="O106" s="183">
        <f t="shared" si="0"/>
        <v>0</v>
      </c>
      <c r="P106" s="183">
        <f t="shared" si="0"/>
        <v>0.62</v>
      </c>
      <c r="Q106" s="183">
        <f t="shared" si="0"/>
        <v>4.7300000000000004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32.83</v>
      </c>
      <c r="C107" s="184">
        <f t="shared" ref="C107:Q107" si="1">MAX(C9:C104)</f>
        <v>25.91</v>
      </c>
      <c r="D107" s="184">
        <f t="shared" si="1"/>
        <v>38.08</v>
      </c>
      <c r="E107" s="184">
        <f t="shared" si="1"/>
        <v>11.15</v>
      </c>
      <c r="F107" s="184">
        <f t="shared" si="1"/>
        <v>10.79</v>
      </c>
      <c r="G107" s="184">
        <f t="shared" si="1"/>
        <v>136.09</v>
      </c>
      <c r="H107" s="184">
        <f t="shared" si="1"/>
        <v>37.4</v>
      </c>
      <c r="I107" s="184">
        <f t="shared" si="1"/>
        <v>13.44</v>
      </c>
      <c r="J107" s="184">
        <f t="shared" si="1"/>
        <v>1.1499999999999999</v>
      </c>
      <c r="K107" s="184">
        <f t="shared" si="1"/>
        <v>356.37</v>
      </c>
      <c r="L107" s="184">
        <f t="shared" si="1"/>
        <v>28.22</v>
      </c>
      <c r="M107" s="184">
        <f t="shared" si="1"/>
        <v>93.07</v>
      </c>
      <c r="N107" s="184">
        <f t="shared" si="1"/>
        <v>497.9</v>
      </c>
      <c r="O107" s="184">
        <f t="shared" si="1"/>
        <v>0</v>
      </c>
      <c r="P107" s="184">
        <f t="shared" si="1"/>
        <v>1.22</v>
      </c>
      <c r="Q107" s="184">
        <f t="shared" si="1"/>
        <v>4.79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12.947291666666663</v>
      </c>
      <c r="C108" s="183">
        <f t="shared" ref="C108:Q108" si="2">AVERAGE(C9:C104)</f>
        <v>21.096458333333334</v>
      </c>
      <c r="D108" s="183">
        <f t="shared" si="2"/>
        <v>22.756145833333338</v>
      </c>
      <c r="E108" s="183">
        <f t="shared" si="2"/>
        <v>8.8828125</v>
      </c>
      <c r="F108" s="183">
        <f t="shared" si="2"/>
        <v>6.5611458333333346</v>
      </c>
      <c r="G108" s="183">
        <f t="shared" si="2"/>
        <v>91.899895833333332</v>
      </c>
      <c r="H108" s="183">
        <f t="shared" si="2"/>
        <v>33.252812500000005</v>
      </c>
      <c r="I108" s="183">
        <f t="shared" si="2"/>
        <v>10.370104166666668</v>
      </c>
      <c r="J108" s="183">
        <f t="shared" si="2"/>
        <v>0.36031249999999987</v>
      </c>
      <c r="K108" s="183">
        <f t="shared" si="2"/>
        <v>124.72968750000003</v>
      </c>
      <c r="L108" s="183">
        <f t="shared" si="2"/>
        <v>20.248645833333338</v>
      </c>
      <c r="M108" s="183">
        <f t="shared" si="2"/>
        <v>60.783437500000026</v>
      </c>
      <c r="N108" s="183">
        <f t="shared" si="2"/>
        <v>103.56041666666665</v>
      </c>
      <c r="O108" s="183">
        <f t="shared" si="2"/>
        <v>0</v>
      </c>
      <c r="P108" s="183">
        <f t="shared" si="2"/>
        <v>0.92125000000000046</v>
      </c>
      <c r="Q108" s="183">
        <f t="shared" si="2"/>
        <v>4.7574999999999976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8.7600021003562372</v>
      </c>
      <c r="C109" s="183">
        <f t="shared" ref="C109:Q109" si="3">STDEV(C9:C104)</f>
        <v>2.0103280586781529</v>
      </c>
      <c r="D109" s="183">
        <f t="shared" si="3"/>
        <v>7.1618469199518877</v>
      </c>
      <c r="E109" s="183">
        <f t="shared" si="3"/>
        <v>0.85834320595582214</v>
      </c>
      <c r="F109" s="183">
        <f t="shared" si="3"/>
        <v>1.7318094399798922</v>
      </c>
      <c r="G109" s="183">
        <f t="shared" si="3"/>
        <v>17.431309429015538</v>
      </c>
      <c r="H109" s="183">
        <f t="shared" si="3"/>
        <v>3.1426260233073919</v>
      </c>
      <c r="I109" s="183">
        <f t="shared" si="3"/>
        <v>2.2709198205001249</v>
      </c>
      <c r="J109" s="183">
        <f t="shared" si="3"/>
        <v>0.30011384901137289</v>
      </c>
      <c r="K109" s="183">
        <f t="shared" si="3"/>
        <v>70.922414116496654</v>
      </c>
      <c r="L109" s="183">
        <f t="shared" si="3"/>
        <v>4.8384261511997702</v>
      </c>
      <c r="M109" s="183">
        <f t="shared" si="3"/>
        <v>21.712643458453957</v>
      </c>
      <c r="N109" s="183">
        <f t="shared" si="3"/>
        <v>167.65743989906554</v>
      </c>
      <c r="O109" s="183">
        <f t="shared" si="3"/>
        <v>0</v>
      </c>
      <c r="P109" s="183">
        <f t="shared" si="3"/>
        <v>0.1825160411118891</v>
      </c>
      <c r="Q109" s="183">
        <f t="shared" si="3"/>
        <v>1.3688258510585929E-2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8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45622.010416666664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45622.010416666664</v>
      </c>
      <c r="B9" s="112">
        <v>19.600000000000001</v>
      </c>
      <c r="C9" s="112">
        <v>22.28</v>
      </c>
      <c r="D9" s="112">
        <v>28.71</v>
      </c>
      <c r="E9" s="112">
        <v>8.89</v>
      </c>
      <c r="F9" s="112">
        <v>5.52</v>
      </c>
      <c r="G9" s="112">
        <v>86.43</v>
      </c>
      <c r="H9" s="112">
        <v>28.01</v>
      </c>
      <c r="I9" s="112">
        <v>9.56</v>
      </c>
      <c r="J9" s="112">
        <v>0.11</v>
      </c>
      <c r="K9" s="112">
        <v>206.93</v>
      </c>
      <c r="L9" s="112">
        <v>16.14</v>
      </c>
      <c r="M9" s="112">
        <v>85.13</v>
      </c>
      <c r="N9" s="112">
        <v>1.4</v>
      </c>
      <c r="O9" s="112">
        <v>0</v>
      </c>
      <c r="P9" s="112">
        <v>0.89</v>
      </c>
      <c r="Q9" s="112">
        <v>4.75</v>
      </c>
    </row>
    <row r="10" spans="1:21" customFormat="1">
      <c r="A10" s="80">
        <v>45622.020833333336</v>
      </c>
      <c r="B10" s="112">
        <v>22.27</v>
      </c>
      <c r="C10" s="112">
        <v>23.12</v>
      </c>
      <c r="D10" s="112">
        <v>31.28</v>
      </c>
      <c r="E10" s="112">
        <v>8.0500000000000007</v>
      </c>
      <c r="F10" s="112">
        <v>5.28</v>
      </c>
      <c r="G10" s="112">
        <v>92.15</v>
      </c>
      <c r="H10" s="112">
        <v>27.51</v>
      </c>
      <c r="I10" s="112">
        <v>9.69</v>
      </c>
      <c r="J10" s="112">
        <v>0.11</v>
      </c>
      <c r="K10" s="112">
        <v>198.7</v>
      </c>
      <c r="L10" s="112">
        <v>16.170000000000002</v>
      </c>
      <c r="M10" s="112">
        <v>82.68</v>
      </c>
      <c r="N10" s="112">
        <v>1.2</v>
      </c>
      <c r="O10" s="112">
        <v>0</v>
      </c>
      <c r="P10" s="112">
        <v>0.89</v>
      </c>
      <c r="Q10" s="112">
        <v>4.75</v>
      </c>
    </row>
    <row r="11" spans="1:21" customFormat="1">
      <c r="A11" s="80">
        <v>45622.03125</v>
      </c>
      <c r="B11" s="112">
        <v>27.37</v>
      </c>
      <c r="C11" s="112">
        <v>23.65</v>
      </c>
      <c r="D11" s="112">
        <v>35.659999999999997</v>
      </c>
      <c r="E11" s="112">
        <v>8.61</v>
      </c>
      <c r="F11" s="112">
        <v>5.5</v>
      </c>
      <c r="G11" s="112">
        <v>92.15</v>
      </c>
      <c r="H11" s="112">
        <v>27.51</v>
      </c>
      <c r="I11" s="112">
        <v>9.75</v>
      </c>
      <c r="J11" s="112">
        <v>0.15</v>
      </c>
      <c r="K11" s="112">
        <v>214.15</v>
      </c>
      <c r="L11" s="112">
        <v>16.05</v>
      </c>
      <c r="M11" s="112">
        <v>82.85</v>
      </c>
      <c r="N11" s="112">
        <v>1.3</v>
      </c>
      <c r="O11" s="112">
        <v>0</v>
      </c>
      <c r="P11" s="112">
        <v>0.92</v>
      </c>
      <c r="Q11" s="112">
        <v>4.75</v>
      </c>
    </row>
    <row r="12" spans="1:21" customFormat="1">
      <c r="A12" s="80">
        <v>45622.041666666664</v>
      </c>
      <c r="B12" s="112">
        <v>31.68</v>
      </c>
      <c r="C12" s="112">
        <v>23.89</v>
      </c>
      <c r="D12" s="112">
        <v>39.24</v>
      </c>
      <c r="E12" s="112">
        <v>8.91</v>
      </c>
      <c r="F12" s="112">
        <v>5.43</v>
      </c>
      <c r="G12" s="112">
        <v>92.15</v>
      </c>
      <c r="H12" s="112">
        <v>27.51</v>
      </c>
      <c r="I12" s="112">
        <v>9.8800000000000008</v>
      </c>
      <c r="J12" s="112">
        <v>0.11</v>
      </c>
      <c r="K12" s="112">
        <v>174.36</v>
      </c>
      <c r="L12" s="112">
        <v>15.93</v>
      </c>
      <c r="M12" s="112">
        <v>88</v>
      </c>
      <c r="N12" s="112">
        <v>1.3</v>
      </c>
      <c r="O12" s="112">
        <v>0</v>
      </c>
      <c r="P12" s="112">
        <v>0.93</v>
      </c>
      <c r="Q12" s="112">
        <v>4.74</v>
      </c>
    </row>
    <row r="13" spans="1:21" customFormat="1">
      <c r="A13" s="80">
        <v>45622.052083333336</v>
      </c>
      <c r="B13" s="112">
        <v>34.340000000000003</v>
      </c>
      <c r="C13" s="112">
        <v>23.99</v>
      </c>
      <c r="D13" s="112">
        <v>41.42</v>
      </c>
      <c r="E13" s="112">
        <v>9.1300000000000008</v>
      </c>
      <c r="F13" s="112">
        <v>5.33</v>
      </c>
      <c r="G13" s="112">
        <v>92.21</v>
      </c>
      <c r="H13" s="112">
        <v>27.54</v>
      </c>
      <c r="I13" s="112">
        <v>10.07</v>
      </c>
      <c r="J13" s="112">
        <v>0.1</v>
      </c>
      <c r="K13" s="112">
        <v>184.79</v>
      </c>
      <c r="L13" s="112">
        <v>15.78</v>
      </c>
      <c r="M13" s="112">
        <v>85.53</v>
      </c>
      <c r="N13" s="112">
        <v>1.3</v>
      </c>
      <c r="O13" s="112">
        <v>0</v>
      </c>
      <c r="P13" s="112">
        <v>0.94</v>
      </c>
      <c r="Q13" s="112">
        <v>4.75</v>
      </c>
    </row>
    <row r="14" spans="1:21" customFormat="1">
      <c r="A14" s="80">
        <v>45622.0625</v>
      </c>
      <c r="B14" s="112">
        <v>37.46</v>
      </c>
      <c r="C14" s="112">
        <v>23.77</v>
      </c>
      <c r="D14" s="112">
        <v>43.81</v>
      </c>
      <c r="E14" s="112">
        <v>9.35</v>
      </c>
      <c r="F14" s="112">
        <v>5.45</v>
      </c>
      <c r="G14" s="112">
        <v>94.89</v>
      </c>
      <c r="H14" s="112">
        <v>29.93</v>
      </c>
      <c r="I14" s="112">
        <v>10.25</v>
      </c>
      <c r="J14" s="112">
        <v>0.08</v>
      </c>
      <c r="K14" s="112">
        <v>195.38</v>
      </c>
      <c r="L14" s="112">
        <v>15.77</v>
      </c>
      <c r="M14" s="112">
        <v>83.44</v>
      </c>
      <c r="N14" s="112">
        <v>1.2</v>
      </c>
      <c r="O14" s="112">
        <v>0</v>
      </c>
      <c r="P14" s="112">
        <v>0.93</v>
      </c>
      <c r="Q14" s="112">
        <v>4.76</v>
      </c>
    </row>
    <row r="15" spans="1:21" customFormat="1">
      <c r="A15" s="80">
        <v>45622.072916666664</v>
      </c>
      <c r="B15" s="112">
        <v>39.57</v>
      </c>
      <c r="C15" s="112">
        <v>23.46</v>
      </c>
      <c r="D15" s="112">
        <v>45.34</v>
      </c>
      <c r="E15" s="112">
        <v>9.07</v>
      </c>
      <c r="F15" s="112">
        <v>5.57</v>
      </c>
      <c r="G15" s="112">
        <v>94.89</v>
      </c>
      <c r="H15" s="112">
        <v>29.93</v>
      </c>
      <c r="I15" s="112">
        <v>10.4</v>
      </c>
      <c r="J15" s="112">
        <v>0.09</v>
      </c>
      <c r="K15" s="112">
        <v>206.15</v>
      </c>
      <c r="L15" s="112">
        <v>15.63</v>
      </c>
      <c r="M15" s="112">
        <v>85</v>
      </c>
      <c r="N15" s="112">
        <v>1.3</v>
      </c>
      <c r="O15" s="112">
        <v>0</v>
      </c>
      <c r="P15" s="112">
        <v>0.92</v>
      </c>
      <c r="Q15" s="112">
        <v>4.76</v>
      </c>
    </row>
    <row r="16" spans="1:21" customFormat="1">
      <c r="A16" s="80">
        <v>45622.083333333336</v>
      </c>
      <c r="B16" s="112">
        <v>41.56</v>
      </c>
      <c r="C16" s="112">
        <v>23.26</v>
      </c>
      <c r="D16" s="112">
        <v>46.84</v>
      </c>
      <c r="E16" s="112">
        <v>9.6199999999999992</v>
      </c>
      <c r="F16" s="112">
        <v>5.52</v>
      </c>
      <c r="G16" s="112">
        <v>94.89</v>
      </c>
      <c r="H16" s="112">
        <v>29.93</v>
      </c>
      <c r="I16" s="112">
        <v>10.5</v>
      </c>
      <c r="J16" s="112">
        <v>0.24</v>
      </c>
      <c r="K16" s="112">
        <v>4.59</v>
      </c>
      <c r="L16" s="112">
        <v>15.59</v>
      </c>
      <c r="M16" s="112">
        <v>82.29</v>
      </c>
      <c r="N16" s="112">
        <v>1</v>
      </c>
      <c r="O16" s="112">
        <v>0</v>
      </c>
      <c r="P16" s="112">
        <v>0.92</v>
      </c>
      <c r="Q16" s="112">
        <v>4.76</v>
      </c>
    </row>
    <row r="17" spans="1:17" customFormat="1">
      <c r="A17" s="80">
        <v>45622.09375</v>
      </c>
      <c r="B17" s="112">
        <v>41.99</v>
      </c>
      <c r="C17" s="112">
        <v>23.12</v>
      </c>
      <c r="D17" s="112">
        <v>47.11</v>
      </c>
      <c r="E17" s="112">
        <v>8.7799999999999994</v>
      </c>
      <c r="F17" s="112">
        <v>5.58</v>
      </c>
      <c r="G17" s="112">
        <v>94.82</v>
      </c>
      <c r="H17" s="112">
        <v>29.91</v>
      </c>
      <c r="I17" s="112">
        <v>10.58</v>
      </c>
      <c r="J17" s="112">
        <v>0.31</v>
      </c>
      <c r="K17" s="112">
        <v>39.159999999999997</v>
      </c>
      <c r="L17" s="112">
        <v>15.9</v>
      </c>
      <c r="M17" s="112">
        <v>77.86</v>
      </c>
      <c r="N17" s="112">
        <v>1</v>
      </c>
      <c r="O17" s="112">
        <v>0</v>
      </c>
      <c r="P17" s="112">
        <v>0.93</v>
      </c>
      <c r="Q17" s="112">
        <v>4.74</v>
      </c>
    </row>
    <row r="18" spans="1:17" customFormat="1">
      <c r="A18" s="80">
        <v>45622.104166666664</v>
      </c>
      <c r="B18" s="112">
        <v>41.16</v>
      </c>
      <c r="C18" s="112">
        <v>22.89</v>
      </c>
      <c r="D18" s="112">
        <v>46.32</v>
      </c>
      <c r="E18" s="112">
        <v>10.26</v>
      </c>
      <c r="F18" s="112">
        <v>5.57</v>
      </c>
      <c r="G18" s="112">
        <v>91.89</v>
      </c>
      <c r="H18" s="112">
        <v>28.87</v>
      </c>
      <c r="I18" s="112">
        <v>10.65</v>
      </c>
      <c r="J18" s="112">
        <v>0.19</v>
      </c>
      <c r="K18" s="112">
        <v>34.35</v>
      </c>
      <c r="L18" s="112">
        <v>15.88</v>
      </c>
      <c r="M18" s="112">
        <v>77.81</v>
      </c>
      <c r="N18" s="112">
        <v>1.2</v>
      </c>
      <c r="O18" s="112">
        <v>0</v>
      </c>
      <c r="P18" s="112">
        <v>0.93</v>
      </c>
      <c r="Q18" s="112">
        <v>4.76</v>
      </c>
    </row>
    <row r="19" spans="1:17" customFormat="1">
      <c r="A19" s="80">
        <v>45622.114583333336</v>
      </c>
      <c r="B19" s="112">
        <v>40.1</v>
      </c>
      <c r="C19" s="112">
        <v>22.39</v>
      </c>
      <c r="D19" s="112">
        <v>45.2</v>
      </c>
      <c r="E19" s="112">
        <v>10.56</v>
      </c>
      <c r="F19" s="112">
        <v>5.74</v>
      </c>
      <c r="G19" s="112">
        <v>91.89</v>
      </c>
      <c r="H19" s="112">
        <v>28.87</v>
      </c>
      <c r="I19" s="112">
        <v>10.73</v>
      </c>
      <c r="J19" s="112">
        <v>0.15</v>
      </c>
      <c r="K19" s="112">
        <v>182.37</v>
      </c>
      <c r="L19" s="112">
        <v>15.68</v>
      </c>
      <c r="M19" s="112">
        <v>80.41</v>
      </c>
      <c r="N19" s="112">
        <v>1.5</v>
      </c>
      <c r="O19" s="112">
        <v>0</v>
      </c>
      <c r="P19" s="112">
        <v>0.94</v>
      </c>
      <c r="Q19" s="112">
        <v>4.75</v>
      </c>
    </row>
    <row r="20" spans="1:17" customFormat="1">
      <c r="A20" s="80">
        <v>45622.125</v>
      </c>
      <c r="B20" s="112">
        <v>38.700000000000003</v>
      </c>
      <c r="C20" s="112">
        <v>22.18</v>
      </c>
      <c r="D20" s="112">
        <v>43.98</v>
      </c>
      <c r="E20" s="112">
        <v>10.33</v>
      </c>
      <c r="F20" s="112">
        <v>5.55</v>
      </c>
      <c r="G20" s="112">
        <v>91.89</v>
      </c>
      <c r="H20" s="112">
        <v>28.87</v>
      </c>
      <c r="I20" s="112">
        <v>10.87</v>
      </c>
      <c r="J20" s="112">
        <v>0.13</v>
      </c>
      <c r="K20" s="112">
        <v>213.3</v>
      </c>
      <c r="L20" s="112">
        <v>15.25</v>
      </c>
      <c r="M20" s="112">
        <v>87.2</v>
      </c>
      <c r="N20" s="112">
        <v>1.6</v>
      </c>
      <c r="O20" s="112">
        <v>0</v>
      </c>
      <c r="P20" s="112">
        <v>0.96</v>
      </c>
      <c r="Q20" s="112">
        <v>4.75</v>
      </c>
    </row>
    <row r="21" spans="1:17" customFormat="1">
      <c r="A21" s="80">
        <v>45622.135416666664</v>
      </c>
      <c r="B21" s="112">
        <v>36.869999999999997</v>
      </c>
      <c r="C21" s="112">
        <v>21.74</v>
      </c>
      <c r="D21" s="112">
        <v>42.28</v>
      </c>
      <c r="E21" s="112">
        <v>10.34</v>
      </c>
      <c r="F21" s="112">
        <v>5.43</v>
      </c>
      <c r="G21" s="112">
        <v>92.02</v>
      </c>
      <c r="H21" s="112">
        <v>28.9</v>
      </c>
      <c r="I21" s="112">
        <v>11.03</v>
      </c>
      <c r="J21" s="112">
        <v>0.08</v>
      </c>
      <c r="K21" s="112">
        <v>233.18</v>
      </c>
      <c r="L21" s="112">
        <v>14.87</v>
      </c>
      <c r="M21" s="112">
        <v>88.55</v>
      </c>
      <c r="N21" s="112">
        <v>1.6</v>
      </c>
      <c r="O21" s="112">
        <v>0</v>
      </c>
      <c r="P21" s="112">
        <v>0.97</v>
      </c>
      <c r="Q21" s="112">
        <v>4.7699999999999996</v>
      </c>
    </row>
    <row r="22" spans="1:17" customFormat="1">
      <c r="A22" s="80">
        <v>45622.145833333336</v>
      </c>
      <c r="B22" s="112">
        <v>35.19</v>
      </c>
      <c r="C22" s="112">
        <v>21.29</v>
      </c>
      <c r="D22" s="112">
        <v>40.69</v>
      </c>
      <c r="E22" s="112">
        <v>9.93</v>
      </c>
      <c r="F22" s="112">
        <v>5.26</v>
      </c>
      <c r="G22" s="112">
        <v>97.4</v>
      </c>
      <c r="H22" s="112">
        <v>31.21</v>
      </c>
      <c r="I22" s="112">
        <v>11.2</v>
      </c>
      <c r="J22" s="112">
        <v>0.1</v>
      </c>
      <c r="K22" s="112">
        <v>189.9</v>
      </c>
      <c r="L22" s="112">
        <v>14.68</v>
      </c>
      <c r="M22" s="112">
        <v>89.09</v>
      </c>
      <c r="N22" s="112">
        <v>1.4</v>
      </c>
      <c r="O22" s="112">
        <v>0</v>
      </c>
      <c r="P22" s="112">
        <v>0.98</v>
      </c>
      <c r="Q22" s="112">
        <v>4.75</v>
      </c>
    </row>
    <row r="23" spans="1:17" customFormat="1">
      <c r="A23" s="80">
        <v>45622.15625</v>
      </c>
      <c r="B23" s="112">
        <v>33.58</v>
      </c>
      <c r="C23" s="112">
        <v>20.87</v>
      </c>
      <c r="D23" s="112">
        <v>39.18</v>
      </c>
      <c r="E23" s="112">
        <v>9.81</v>
      </c>
      <c r="F23" s="112">
        <v>5.6</v>
      </c>
      <c r="G23" s="112">
        <v>97.4</v>
      </c>
      <c r="H23" s="112">
        <v>31.21</v>
      </c>
      <c r="I23" s="112">
        <v>11.37</v>
      </c>
      <c r="J23" s="112">
        <v>0.15</v>
      </c>
      <c r="K23" s="112">
        <v>145.11000000000001</v>
      </c>
      <c r="L23" s="112">
        <v>14.7</v>
      </c>
      <c r="M23" s="112">
        <v>88.99</v>
      </c>
      <c r="N23" s="112">
        <v>1.3</v>
      </c>
      <c r="O23" s="112">
        <v>0</v>
      </c>
      <c r="P23" s="112">
        <v>0.98</v>
      </c>
      <c r="Q23" s="112">
        <v>4.74</v>
      </c>
    </row>
    <row r="24" spans="1:17" customFormat="1">
      <c r="A24" s="80">
        <v>45622.166666666664</v>
      </c>
      <c r="B24" s="112">
        <v>32.35</v>
      </c>
      <c r="C24" s="112">
        <v>20.63</v>
      </c>
      <c r="D24" s="112">
        <v>38.07</v>
      </c>
      <c r="E24" s="112">
        <v>9.56</v>
      </c>
      <c r="F24" s="112">
        <v>5.58</v>
      </c>
      <c r="G24" s="112">
        <v>97.4</v>
      </c>
      <c r="H24" s="112">
        <v>31.21</v>
      </c>
      <c r="I24" s="112">
        <v>11.48</v>
      </c>
      <c r="J24" s="112">
        <v>0.13</v>
      </c>
      <c r="K24" s="112">
        <v>150.46</v>
      </c>
      <c r="L24" s="112">
        <v>14.67</v>
      </c>
      <c r="M24" s="112">
        <v>88.06</v>
      </c>
      <c r="N24" s="112">
        <v>1.3</v>
      </c>
      <c r="O24" s="112">
        <v>0</v>
      </c>
      <c r="P24" s="112">
        <v>0.99</v>
      </c>
      <c r="Q24" s="112">
        <v>4.7300000000000004</v>
      </c>
    </row>
    <row r="25" spans="1:17" customFormat="1">
      <c r="A25" s="80">
        <v>45622.177083333336</v>
      </c>
      <c r="B25" s="112">
        <v>31.77</v>
      </c>
      <c r="C25" s="112">
        <v>20.350000000000001</v>
      </c>
      <c r="D25" s="112">
        <v>37.46</v>
      </c>
      <c r="E25" s="112">
        <v>10.199999999999999</v>
      </c>
      <c r="F25" s="112">
        <v>5.58</v>
      </c>
      <c r="G25" s="112">
        <v>97.32</v>
      </c>
      <c r="H25" s="112">
        <v>31.17</v>
      </c>
      <c r="I25" s="112">
        <v>11.59</v>
      </c>
      <c r="J25" s="112">
        <v>7.0000000000000007E-2</v>
      </c>
      <c r="K25" s="112">
        <v>147.36000000000001</v>
      </c>
      <c r="L25" s="112">
        <v>14.74</v>
      </c>
      <c r="M25" s="112">
        <v>87.32</v>
      </c>
      <c r="N25" s="112">
        <v>1.2</v>
      </c>
      <c r="O25" s="112">
        <v>0</v>
      </c>
      <c r="P25" s="112">
        <v>1</v>
      </c>
      <c r="Q25" s="112">
        <v>4.74</v>
      </c>
    </row>
    <row r="26" spans="1:17" customFormat="1">
      <c r="A26" s="80">
        <v>45622.1875</v>
      </c>
      <c r="B26" s="112">
        <v>32.35</v>
      </c>
      <c r="C26" s="112">
        <v>20.29</v>
      </c>
      <c r="D26" s="112">
        <v>37.9</v>
      </c>
      <c r="E26" s="112">
        <v>9.92</v>
      </c>
      <c r="F26" s="112">
        <v>5.61</v>
      </c>
      <c r="G26" s="112">
        <v>93.91</v>
      </c>
      <c r="H26" s="112">
        <v>28.43</v>
      </c>
      <c r="I26" s="112">
        <v>11.73</v>
      </c>
      <c r="J26" s="112">
        <v>0.11</v>
      </c>
      <c r="K26" s="112">
        <v>190.6</v>
      </c>
      <c r="L26" s="112">
        <v>14.64</v>
      </c>
      <c r="M26" s="112">
        <v>86.63</v>
      </c>
      <c r="N26" s="112">
        <v>1.3</v>
      </c>
      <c r="O26" s="112">
        <v>0</v>
      </c>
      <c r="P26" s="112">
        <v>1.01</v>
      </c>
      <c r="Q26" s="112">
        <v>4.74</v>
      </c>
    </row>
    <row r="27" spans="1:17" customFormat="1">
      <c r="A27" s="80">
        <v>45622.197916666664</v>
      </c>
      <c r="B27" s="112">
        <v>33.15</v>
      </c>
      <c r="C27" s="112">
        <v>20.27</v>
      </c>
      <c r="D27" s="112">
        <v>38.520000000000003</v>
      </c>
      <c r="E27" s="112">
        <v>9.58</v>
      </c>
      <c r="F27" s="112">
        <v>5.41</v>
      </c>
      <c r="G27" s="112">
        <v>93.91</v>
      </c>
      <c r="H27" s="112">
        <v>28.43</v>
      </c>
      <c r="I27" s="112">
        <v>11.87</v>
      </c>
      <c r="J27" s="112">
        <v>0.22</v>
      </c>
      <c r="K27" s="112">
        <v>193.43</v>
      </c>
      <c r="L27" s="112">
        <v>14.52</v>
      </c>
      <c r="M27" s="112">
        <v>88.6</v>
      </c>
      <c r="N27" s="112">
        <v>1.3</v>
      </c>
      <c r="O27" s="112">
        <v>0</v>
      </c>
      <c r="P27" s="112">
        <v>1.01</v>
      </c>
      <c r="Q27" s="112">
        <v>4.7300000000000004</v>
      </c>
    </row>
    <row r="28" spans="1:17" customFormat="1">
      <c r="A28" s="80">
        <v>45622.208333333336</v>
      </c>
      <c r="B28" s="112">
        <v>32.56</v>
      </c>
      <c r="C28" s="112">
        <v>20.2</v>
      </c>
      <c r="D28" s="112">
        <v>38.020000000000003</v>
      </c>
      <c r="E28" s="112">
        <v>10.34</v>
      </c>
      <c r="F28" s="112">
        <v>5.52</v>
      </c>
      <c r="G28" s="112">
        <v>93.91</v>
      </c>
      <c r="H28" s="112">
        <v>28.43</v>
      </c>
      <c r="I28" s="112">
        <v>11.95</v>
      </c>
      <c r="J28" s="112">
        <v>0.13</v>
      </c>
      <c r="K28" s="112">
        <v>203.71</v>
      </c>
      <c r="L28" s="112">
        <v>14.11</v>
      </c>
      <c r="M28" s="112">
        <v>90.98</v>
      </c>
      <c r="N28" s="112">
        <v>1.6</v>
      </c>
      <c r="O28" s="112">
        <v>0</v>
      </c>
      <c r="P28" s="112">
        <v>1.02</v>
      </c>
      <c r="Q28" s="112">
        <v>4.7300000000000004</v>
      </c>
    </row>
    <row r="29" spans="1:17" customFormat="1">
      <c r="A29" s="80">
        <v>45622.21875</v>
      </c>
      <c r="B29" s="112">
        <v>31.27</v>
      </c>
      <c r="C29" s="112">
        <v>19.760000000000002</v>
      </c>
      <c r="D29" s="112">
        <v>36.75</v>
      </c>
      <c r="E29" s="112">
        <v>9.7799999999999994</v>
      </c>
      <c r="F29" s="112">
        <v>5.44</v>
      </c>
      <c r="G29" s="112">
        <v>93.87</v>
      </c>
      <c r="H29" s="112">
        <v>28.46</v>
      </c>
      <c r="I29" s="112">
        <v>11.99</v>
      </c>
      <c r="J29" s="112">
        <v>0.08</v>
      </c>
      <c r="K29" s="112">
        <v>218.47</v>
      </c>
      <c r="L29" s="112">
        <v>13.79</v>
      </c>
      <c r="M29" s="112">
        <v>91.86</v>
      </c>
      <c r="N29" s="112">
        <v>1.4</v>
      </c>
      <c r="O29" s="112">
        <v>0</v>
      </c>
      <c r="P29" s="112">
        <v>1.02</v>
      </c>
      <c r="Q29" s="112">
        <v>4.75</v>
      </c>
    </row>
    <row r="30" spans="1:17" customFormat="1">
      <c r="A30" s="80">
        <v>45622.229166666664</v>
      </c>
      <c r="B30" s="112">
        <v>29.94</v>
      </c>
      <c r="C30" s="112">
        <v>19.350000000000001</v>
      </c>
      <c r="D30" s="112">
        <v>35.47</v>
      </c>
      <c r="E30" s="112">
        <v>9.81</v>
      </c>
      <c r="F30" s="112">
        <v>5.4</v>
      </c>
      <c r="G30" s="112">
        <v>92.15</v>
      </c>
      <c r="H30" s="112">
        <v>30.63</v>
      </c>
      <c r="I30" s="112">
        <v>12.01</v>
      </c>
      <c r="J30" s="112">
        <v>0.13</v>
      </c>
      <c r="K30" s="112">
        <v>228.31</v>
      </c>
      <c r="L30" s="112">
        <v>13.78</v>
      </c>
      <c r="M30" s="112">
        <v>92.01</v>
      </c>
      <c r="N30" s="112">
        <v>1.3</v>
      </c>
      <c r="O30" s="112">
        <v>0</v>
      </c>
      <c r="P30" s="112">
        <v>1.01</v>
      </c>
      <c r="Q30" s="112">
        <v>4.76</v>
      </c>
    </row>
    <row r="31" spans="1:17" customFormat="1">
      <c r="A31" s="80">
        <v>45622.239583333336</v>
      </c>
      <c r="B31" s="112">
        <v>28.46</v>
      </c>
      <c r="C31" s="112">
        <v>19.12</v>
      </c>
      <c r="D31" s="112">
        <v>34.17</v>
      </c>
      <c r="E31" s="112">
        <v>9.43</v>
      </c>
      <c r="F31" s="112">
        <v>5.49</v>
      </c>
      <c r="G31" s="112">
        <v>92.15</v>
      </c>
      <c r="H31" s="112">
        <v>30.63</v>
      </c>
      <c r="I31" s="112">
        <v>12.03</v>
      </c>
      <c r="J31" s="112">
        <v>0.14000000000000001</v>
      </c>
      <c r="K31" s="112">
        <v>245.15</v>
      </c>
      <c r="L31" s="112">
        <v>13.73</v>
      </c>
      <c r="M31" s="112">
        <v>92.98</v>
      </c>
      <c r="N31" s="112">
        <v>1.3</v>
      </c>
      <c r="O31" s="112">
        <v>0</v>
      </c>
      <c r="P31" s="112">
        <v>1</v>
      </c>
      <c r="Q31" s="112">
        <v>4.76</v>
      </c>
    </row>
    <row r="32" spans="1:17" customFormat="1">
      <c r="A32" s="80">
        <v>45622.25</v>
      </c>
      <c r="B32" s="112">
        <v>27.23</v>
      </c>
      <c r="C32" s="112">
        <v>18.96</v>
      </c>
      <c r="D32" s="112">
        <v>33.090000000000003</v>
      </c>
      <c r="E32" s="112">
        <v>9.09</v>
      </c>
      <c r="F32" s="112">
        <v>5.48</v>
      </c>
      <c r="G32" s="112">
        <v>92.15</v>
      </c>
      <c r="H32" s="112">
        <v>30.63</v>
      </c>
      <c r="I32" s="112">
        <v>12</v>
      </c>
      <c r="J32" s="112">
        <v>0.11</v>
      </c>
      <c r="K32" s="112">
        <v>224.06</v>
      </c>
      <c r="L32" s="112">
        <v>13.64</v>
      </c>
      <c r="M32" s="112">
        <v>92.62</v>
      </c>
      <c r="N32" s="112">
        <v>1.6</v>
      </c>
      <c r="O32" s="112">
        <v>0</v>
      </c>
      <c r="P32" s="112">
        <v>1.01</v>
      </c>
      <c r="Q32" s="112">
        <v>4.75</v>
      </c>
    </row>
    <row r="33" spans="1:17" customFormat="1">
      <c r="A33" s="80">
        <v>45622.260416666664</v>
      </c>
      <c r="B33" s="112">
        <v>25.96</v>
      </c>
      <c r="C33" s="112">
        <v>18.89</v>
      </c>
      <c r="D33" s="112">
        <v>32.04</v>
      </c>
      <c r="E33" s="112">
        <v>9.11</v>
      </c>
      <c r="F33" s="112">
        <v>5.41</v>
      </c>
      <c r="G33" s="112">
        <v>91.97</v>
      </c>
      <c r="H33" s="112">
        <v>30.59</v>
      </c>
      <c r="I33" s="112">
        <v>11.95</v>
      </c>
      <c r="J33" s="112">
        <v>0.13</v>
      </c>
      <c r="K33" s="112">
        <v>157.29</v>
      </c>
      <c r="L33" s="112">
        <v>13.7</v>
      </c>
      <c r="M33" s="112">
        <v>91.93</v>
      </c>
      <c r="N33" s="112">
        <v>3.5</v>
      </c>
      <c r="O33" s="112">
        <v>0</v>
      </c>
      <c r="P33" s="112">
        <v>1.03</v>
      </c>
      <c r="Q33" s="112">
        <v>4.7699999999999996</v>
      </c>
    </row>
    <row r="34" spans="1:17" customFormat="1">
      <c r="A34" s="80">
        <v>45622.270833333336</v>
      </c>
      <c r="B34" s="112">
        <v>24.69</v>
      </c>
      <c r="C34" s="112">
        <v>18.760000000000002</v>
      </c>
      <c r="D34" s="112">
        <v>30.95</v>
      </c>
      <c r="E34" s="112">
        <v>9.3800000000000008</v>
      </c>
      <c r="F34" s="112">
        <v>5.42</v>
      </c>
      <c r="G34" s="112">
        <v>83.95</v>
      </c>
      <c r="H34" s="112">
        <v>27.95</v>
      </c>
      <c r="I34" s="112">
        <v>11.91</v>
      </c>
      <c r="J34" s="112">
        <v>0.16</v>
      </c>
      <c r="K34" s="112">
        <v>157.94999999999999</v>
      </c>
      <c r="L34" s="112">
        <v>13.9</v>
      </c>
      <c r="M34" s="112">
        <v>91.98</v>
      </c>
      <c r="N34" s="112">
        <v>8.6</v>
      </c>
      <c r="O34" s="112">
        <v>0</v>
      </c>
      <c r="P34" s="112">
        <v>1.03</v>
      </c>
      <c r="Q34" s="112">
        <v>4.76</v>
      </c>
    </row>
    <row r="35" spans="1:17" customFormat="1">
      <c r="A35" s="80">
        <v>45622.28125</v>
      </c>
      <c r="B35" s="112">
        <v>23.61</v>
      </c>
      <c r="C35" s="112">
        <v>18.64</v>
      </c>
      <c r="D35" s="112">
        <v>30.02</v>
      </c>
      <c r="E35" s="112">
        <v>8.6199999999999992</v>
      </c>
      <c r="F35" s="112">
        <v>5.37</v>
      </c>
      <c r="G35" s="112">
        <v>83.95</v>
      </c>
      <c r="H35" s="112">
        <v>27.95</v>
      </c>
      <c r="I35" s="112">
        <v>11.84</v>
      </c>
      <c r="J35" s="112">
        <v>0.15</v>
      </c>
      <c r="K35" s="112">
        <v>244.22</v>
      </c>
      <c r="L35" s="112">
        <v>14.29</v>
      </c>
      <c r="M35" s="112">
        <v>93.3</v>
      </c>
      <c r="N35" s="112">
        <v>16.100000000000001</v>
      </c>
      <c r="O35" s="112">
        <v>0</v>
      </c>
      <c r="P35" s="112">
        <v>1.02</v>
      </c>
      <c r="Q35" s="112">
        <v>4.7699999999999996</v>
      </c>
    </row>
    <row r="36" spans="1:17" customFormat="1">
      <c r="A36" s="80">
        <v>45622.291666666664</v>
      </c>
      <c r="B36" s="112">
        <v>22.68</v>
      </c>
      <c r="C36" s="112">
        <v>18.34</v>
      </c>
      <c r="D36" s="112">
        <v>29.12</v>
      </c>
      <c r="E36" s="112">
        <v>8.86</v>
      </c>
      <c r="F36" s="112">
        <v>5.2</v>
      </c>
      <c r="G36" s="112">
        <v>83.95</v>
      </c>
      <c r="H36" s="112">
        <v>27.95</v>
      </c>
      <c r="I36" s="112">
        <v>11.76</v>
      </c>
      <c r="J36" s="112">
        <v>0.12</v>
      </c>
      <c r="K36" s="112">
        <v>236.13</v>
      </c>
      <c r="L36" s="112">
        <v>14.41</v>
      </c>
      <c r="M36" s="112">
        <v>92.19</v>
      </c>
      <c r="N36" s="112">
        <v>24.8</v>
      </c>
      <c r="O36" s="112">
        <v>0</v>
      </c>
      <c r="P36" s="112">
        <v>1.02</v>
      </c>
      <c r="Q36" s="112">
        <v>4.78</v>
      </c>
    </row>
    <row r="37" spans="1:17" customFormat="1">
      <c r="A37" s="80">
        <v>45622.302083333336</v>
      </c>
      <c r="B37" s="112">
        <v>21.93</v>
      </c>
      <c r="C37" s="112">
        <v>18.18</v>
      </c>
      <c r="D37" s="112">
        <v>28.43</v>
      </c>
      <c r="E37" s="112">
        <v>8.8699999999999992</v>
      </c>
      <c r="F37" s="112">
        <v>5.31</v>
      </c>
      <c r="G37" s="112">
        <v>83.92</v>
      </c>
      <c r="H37" s="112">
        <v>27.94</v>
      </c>
      <c r="I37" s="112">
        <v>11.72</v>
      </c>
      <c r="J37" s="112">
        <v>0.13</v>
      </c>
      <c r="K37" s="112">
        <v>213.61</v>
      </c>
      <c r="L37" s="112">
        <v>15.02</v>
      </c>
      <c r="M37" s="112">
        <v>88.47</v>
      </c>
      <c r="N37" s="112">
        <v>39.200000000000003</v>
      </c>
      <c r="O37" s="112">
        <v>0</v>
      </c>
      <c r="P37" s="112">
        <v>1.02</v>
      </c>
      <c r="Q37" s="112">
        <v>4.76</v>
      </c>
    </row>
    <row r="38" spans="1:17" customFormat="1">
      <c r="A38" s="80">
        <v>45622.3125</v>
      </c>
      <c r="B38" s="112">
        <v>21.61</v>
      </c>
      <c r="C38" s="112">
        <v>18.23</v>
      </c>
      <c r="D38" s="112">
        <v>28.2</v>
      </c>
      <c r="E38" s="112">
        <v>9.3000000000000007</v>
      </c>
      <c r="F38" s="112">
        <v>5.5</v>
      </c>
      <c r="G38" s="112">
        <v>82.94</v>
      </c>
      <c r="H38" s="112">
        <v>27.88</v>
      </c>
      <c r="I38" s="112">
        <v>11.69</v>
      </c>
      <c r="J38" s="112">
        <v>0.15</v>
      </c>
      <c r="K38" s="112">
        <v>231.82</v>
      </c>
      <c r="L38" s="112">
        <v>15.68</v>
      </c>
      <c r="M38" s="112">
        <v>85.7</v>
      </c>
      <c r="N38" s="112">
        <v>47.5</v>
      </c>
      <c r="O38" s="112">
        <v>0</v>
      </c>
      <c r="P38" s="112">
        <v>1.02</v>
      </c>
      <c r="Q38" s="112">
        <v>4.7699999999999996</v>
      </c>
    </row>
    <row r="39" spans="1:17" customFormat="1">
      <c r="A39" s="80">
        <v>45622.322916666664</v>
      </c>
      <c r="B39" s="112">
        <v>21.18</v>
      </c>
      <c r="C39" s="112">
        <v>18.21</v>
      </c>
      <c r="D39" s="112">
        <v>27.85</v>
      </c>
      <c r="E39" s="112">
        <v>9.01</v>
      </c>
      <c r="F39" s="112">
        <v>5.44</v>
      </c>
      <c r="G39" s="112">
        <v>82.94</v>
      </c>
      <c r="H39" s="112">
        <v>27.88</v>
      </c>
      <c r="I39" s="112">
        <v>11.69</v>
      </c>
      <c r="J39" s="112">
        <v>0.19</v>
      </c>
      <c r="K39" s="112">
        <v>161.75</v>
      </c>
      <c r="L39" s="112">
        <v>16.510000000000002</v>
      </c>
      <c r="M39" s="112">
        <v>83.11</v>
      </c>
      <c r="N39" s="112">
        <v>74.7</v>
      </c>
      <c r="O39" s="112">
        <v>0</v>
      </c>
      <c r="P39" s="112">
        <v>1.02</v>
      </c>
      <c r="Q39" s="112">
        <v>4.78</v>
      </c>
    </row>
    <row r="40" spans="1:17" customFormat="1">
      <c r="A40" s="80">
        <v>45622.333333333336</v>
      </c>
      <c r="B40" s="112">
        <v>20.58</v>
      </c>
      <c r="C40" s="112">
        <v>18.39</v>
      </c>
      <c r="D40" s="112">
        <v>27.46</v>
      </c>
      <c r="E40" s="112">
        <v>8.93</v>
      </c>
      <c r="F40" s="112">
        <v>5.5</v>
      </c>
      <c r="G40" s="112">
        <v>82.94</v>
      </c>
      <c r="H40" s="112">
        <v>27.88</v>
      </c>
      <c r="I40" s="112">
        <v>11.72</v>
      </c>
      <c r="J40" s="112">
        <v>0.04</v>
      </c>
      <c r="K40" s="112">
        <v>194.42</v>
      </c>
      <c r="L40" s="112">
        <v>17.489999999999998</v>
      </c>
      <c r="M40" s="112">
        <v>76.95</v>
      </c>
      <c r="N40" s="112">
        <v>149.30000000000001</v>
      </c>
      <c r="O40" s="112">
        <v>0</v>
      </c>
      <c r="P40" s="112">
        <v>1.02</v>
      </c>
      <c r="Q40" s="112">
        <v>4.7699999999999996</v>
      </c>
    </row>
    <row r="41" spans="1:17" customFormat="1">
      <c r="A41" s="80">
        <v>45622.34375</v>
      </c>
      <c r="B41" s="112">
        <v>19.73</v>
      </c>
      <c r="C41" s="112">
        <v>18.79</v>
      </c>
      <c r="D41" s="112">
        <v>26.99</v>
      </c>
      <c r="E41" s="112">
        <v>9.33</v>
      </c>
      <c r="F41" s="112">
        <v>5.41</v>
      </c>
      <c r="G41" s="112">
        <v>82.96</v>
      </c>
      <c r="H41" s="112">
        <v>28</v>
      </c>
      <c r="I41" s="112">
        <v>11.74</v>
      </c>
      <c r="J41" s="112">
        <v>0.18</v>
      </c>
      <c r="K41" s="112">
        <v>102.23</v>
      </c>
      <c r="L41" s="112">
        <v>18.850000000000001</v>
      </c>
      <c r="M41" s="112">
        <v>70.739999999999995</v>
      </c>
      <c r="N41" s="112">
        <v>197.1</v>
      </c>
      <c r="O41" s="112">
        <v>0</v>
      </c>
      <c r="P41" s="112">
        <v>1.03</v>
      </c>
      <c r="Q41" s="112">
        <v>4.7699999999999996</v>
      </c>
    </row>
    <row r="42" spans="1:17" customFormat="1">
      <c r="A42" s="80">
        <v>45622.354166666664</v>
      </c>
      <c r="B42" s="112">
        <v>18.899999999999999</v>
      </c>
      <c r="C42" s="112">
        <v>19.41</v>
      </c>
      <c r="D42" s="112">
        <v>26.65</v>
      </c>
      <c r="E42" s="112">
        <v>9.2200000000000006</v>
      </c>
      <c r="F42" s="112">
        <v>5.41</v>
      </c>
      <c r="G42" s="112">
        <v>84.16</v>
      </c>
      <c r="H42" s="112">
        <v>32.6</v>
      </c>
      <c r="I42" s="112">
        <v>11.8</v>
      </c>
      <c r="J42" s="112">
        <v>0.24</v>
      </c>
      <c r="K42" s="112">
        <v>84.3</v>
      </c>
      <c r="L42" s="112">
        <v>20</v>
      </c>
      <c r="M42" s="112">
        <v>64.95</v>
      </c>
      <c r="N42" s="112">
        <v>165.8</v>
      </c>
      <c r="O42" s="112">
        <v>0</v>
      </c>
      <c r="P42" s="112">
        <v>1.02</v>
      </c>
      <c r="Q42" s="112">
        <v>4.76</v>
      </c>
    </row>
    <row r="43" spans="1:17" customFormat="1">
      <c r="A43" s="80">
        <v>45622.364583333336</v>
      </c>
      <c r="B43" s="112">
        <v>18.010000000000002</v>
      </c>
      <c r="C43" s="112">
        <v>20.13</v>
      </c>
      <c r="D43" s="112">
        <v>26.31</v>
      </c>
      <c r="E43" s="112">
        <v>9.5</v>
      </c>
      <c r="F43" s="112">
        <v>5.47</v>
      </c>
      <c r="G43" s="112">
        <v>84.16</v>
      </c>
      <c r="H43" s="112">
        <v>32.6</v>
      </c>
      <c r="I43" s="112">
        <v>11.85</v>
      </c>
      <c r="J43" s="112">
        <v>0.28000000000000003</v>
      </c>
      <c r="K43" s="112">
        <v>83.14</v>
      </c>
      <c r="L43" s="112">
        <v>21.38</v>
      </c>
      <c r="M43" s="112">
        <v>59.79</v>
      </c>
      <c r="N43" s="112">
        <v>213.9</v>
      </c>
      <c r="O43" s="112">
        <v>0</v>
      </c>
      <c r="P43" s="112">
        <v>1.03</v>
      </c>
      <c r="Q43" s="112">
        <v>4.7699999999999996</v>
      </c>
    </row>
    <row r="44" spans="1:17" customFormat="1">
      <c r="A44" s="80">
        <v>45622.375</v>
      </c>
      <c r="B44" s="112">
        <v>16.850000000000001</v>
      </c>
      <c r="C44" s="112">
        <v>20.97</v>
      </c>
      <c r="D44" s="112">
        <v>25.82</v>
      </c>
      <c r="E44" s="112">
        <v>9.84</v>
      </c>
      <c r="F44" s="112">
        <v>5.54</v>
      </c>
      <c r="G44" s="112">
        <v>84.16</v>
      </c>
      <c r="H44" s="112">
        <v>32.6</v>
      </c>
      <c r="I44" s="112">
        <v>11.87</v>
      </c>
      <c r="J44" s="112">
        <v>0.62</v>
      </c>
      <c r="K44" s="112">
        <v>58.53</v>
      </c>
      <c r="L44" s="112">
        <v>21.84</v>
      </c>
      <c r="M44" s="112">
        <v>56.4</v>
      </c>
      <c r="N44" s="112">
        <v>222</v>
      </c>
      <c r="O44" s="112">
        <v>0</v>
      </c>
      <c r="P44" s="112">
        <v>1.02</v>
      </c>
      <c r="Q44" s="112">
        <v>4.74</v>
      </c>
    </row>
    <row r="45" spans="1:17" customFormat="1">
      <c r="A45" s="80">
        <v>45622.385416666664</v>
      </c>
      <c r="B45" s="112">
        <v>15.47</v>
      </c>
      <c r="C45" s="112">
        <v>21.85</v>
      </c>
      <c r="D45" s="112">
        <v>25.17</v>
      </c>
      <c r="E45" s="112">
        <v>9.89</v>
      </c>
      <c r="F45" s="112">
        <v>5.72</v>
      </c>
      <c r="G45" s="112">
        <v>84.16</v>
      </c>
      <c r="H45" s="112">
        <v>32.6</v>
      </c>
      <c r="I45" s="112">
        <v>11.85</v>
      </c>
      <c r="J45" s="112">
        <v>0.45</v>
      </c>
      <c r="K45" s="112">
        <v>56.52</v>
      </c>
      <c r="L45" s="112">
        <v>22.27</v>
      </c>
      <c r="M45" s="112">
        <v>53.2</v>
      </c>
      <c r="N45" s="112">
        <v>252.3</v>
      </c>
      <c r="O45" s="112">
        <v>0</v>
      </c>
      <c r="P45" s="112">
        <v>1.01</v>
      </c>
      <c r="Q45" s="112">
        <v>4.76</v>
      </c>
    </row>
    <row r="46" spans="1:17" customFormat="1">
      <c r="A46" s="80">
        <v>45622.395833333336</v>
      </c>
      <c r="B46" s="112">
        <v>13.86</v>
      </c>
      <c r="C46" s="112">
        <v>22.61</v>
      </c>
      <c r="D46" s="112">
        <v>24.27</v>
      </c>
      <c r="E46" s="112">
        <v>9.76</v>
      </c>
      <c r="F46" s="112">
        <v>5.88</v>
      </c>
      <c r="G46" s="112">
        <v>84.38</v>
      </c>
      <c r="H46" s="112">
        <v>32.200000000000003</v>
      </c>
      <c r="I46" s="112">
        <v>11.75</v>
      </c>
      <c r="J46" s="112">
        <v>0.36</v>
      </c>
      <c r="K46" s="112">
        <v>43.59</v>
      </c>
      <c r="L46" s="112">
        <v>23.69</v>
      </c>
      <c r="M46" s="112">
        <v>50.06</v>
      </c>
      <c r="N46" s="112">
        <v>280</v>
      </c>
      <c r="O46" s="112">
        <v>0</v>
      </c>
      <c r="P46" s="112">
        <v>1</v>
      </c>
      <c r="Q46" s="112">
        <v>4.7699999999999996</v>
      </c>
    </row>
    <row r="47" spans="1:17" customFormat="1">
      <c r="A47" s="80">
        <v>45622.40625</v>
      </c>
      <c r="B47" s="112">
        <v>12.29</v>
      </c>
      <c r="C47" s="112">
        <v>23.44</v>
      </c>
      <c r="D47" s="112">
        <v>23.45</v>
      </c>
      <c r="E47" s="112">
        <v>9.94</v>
      </c>
      <c r="F47" s="112">
        <v>5.94</v>
      </c>
      <c r="G47" s="112">
        <v>84.38</v>
      </c>
      <c r="H47" s="112">
        <v>32.200000000000003</v>
      </c>
      <c r="I47" s="112">
        <v>11.6</v>
      </c>
      <c r="J47" s="112">
        <v>0.43</v>
      </c>
      <c r="K47" s="112">
        <v>61.26</v>
      </c>
      <c r="L47" s="112">
        <v>24.12</v>
      </c>
      <c r="M47" s="112">
        <v>48.44</v>
      </c>
      <c r="N47" s="112">
        <v>352.7</v>
      </c>
      <c r="O47" s="112">
        <v>0</v>
      </c>
      <c r="P47" s="112">
        <v>0.99</v>
      </c>
      <c r="Q47" s="112">
        <v>4.7699999999999996</v>
      </c>
    </row>
    <row r="48" spans="1:17" customFormat="1">
      <c r="A48" s="80">
        <v>45622.416666666664</v>
      </c>
      <c r="B48" s="112">
        <v>10.91</v>
      </c>
      <c r="C48" s="112">
        <v>24.26</v>
      </c>
      <c r="D48" s="112">
        <v>22.77</v>
      </c>
      <c r="E48" s="112">
        <v>9.4499999999999993</v>
      </c>
      <c r="F48" s="112">
        <v>6.06</v>
      </c>
      <c r="G48" s="112">
        <v>84.38</v>
      </c>
      <c r="H48" s="112">
        <v>32.200000000000003</v>
      </c>
      <c r="I48" s="112">
        <v>11.46</v>
      </c>
      <c r="J48" s="112">
        <v>0.44</v>
      </c>
      <c r="K48" s="112">
        <v>30.47</v>
      </c>
      <c r="L48" s="112">
        <v>24.59</v>
      </c>
      <c r="M48" s="112">
        <v>46.83</v>
      </c>
      <c r="N48" s="112">
        <v>416.8</v>
      </c>
      <c r="O48" s="112">
        <v>0</v>
      </c>
      <c r="P48" s="112">
        <v>0.99</v>
      </c>
      <c r="Q48" s="112">
        <v>4.7699999999999996</v>
      </c>
    </row>
    <row r="49" spans="1:17" customFormat="1">
      <c r="A49" s="80">
        <v>45622.427083333336</v>
      </c>
      <c r="B49" s="112">
        <v>9.61</v>
      </c>
      <c r="C49" s="112">
        <v>24.96</v>
      </c>
      <c r="D49" s="112">
        <v>22.1</v>
      </c>
      <c r="E49" s="112">
        <v>7.65</v>
      </c>
      <c r="F49" s="112">
        <v>6.42</v>
      </c>
      <c r="G49" s="112">
        <v>84.52</v>
      </c>
      <c r="H49" s="112">
        <v>32.299999999999997</v>
      </c>
      <c r="I49" s="112">
        <v>11.35</v>
      </c>
      <c r="J49" s="112">
        <v>0.17</v>
      </c>
      <c r="K49" s="112">
        <v>56.76</v>
      </c>
      <c r="L49" s="112">
        <v>25.58</v>
      </c>
      <c r="M49" s="112">
        <v>42.14</v>
      </c>
      <c r="N49" s="112">
        <v>446.6</v>
      </c>
      <c r="O49" s="112">
        <v>0</v>
      </c>
      <c r="P49" s="112">
        <v>0.98</v>
      </c>
      <c r="Q49" s="112">
        <v>4.75</v>
      </c>
    </row>
    <row r="50" spans="1:17" customFormat="1">
      <c r="A50" s="80">
        <v>45622.4375</v>
      </c>
      <c r="B50" s="112">
        <v>8.44</v>
      </c>
      <c r="C50" s="112">
        <v>25.46</v>
      </c>
      <c r="D50" s="112">
        <v>21.42</v>
      </c>
      <c r="E50" s="112">
        <v>9.1300000000000008</v>
      </c>
      <c r="F50" s="112">
        <v>6.58</v>
      </c>
      <c r="G50" s="112">
        <v>90.59</v>
      </c>
      <c r="H50" s="112">
        <v>35.520000000000003</v>
      </c>
      <c r="I50" s="112">
        <v>11.27</v>
      </c>
      <c r="J50" s="112">
        <v>0.83</v>
      </c>
      <c r="K50" s="112">
        <v>53.39</v>
      </c>
      <c r="L50" s="112">
        <v>25.52</v>
      </c>
      <c r="M50" s="112">
        <v>40.39</v>
      </c>
      <c r="N50" s="112">
        <v>481.8</v>
      </c>
      <c r="O50" s="112">
        <v>0</v>
      </c>
      <c r="P50" s="112">
        <v>0.97</v>
      </c>
      <c r="Q50" s="112">
        <v>4.76</v>
      </c>
    </row>
    <row r="51" spans="1:17" customFormat="1">
      <c r="A51" s="80">
        <v>45622.447916666664</v>
      </c>
      <c r="B51" s="112">
        <v>7.45</v>
      </c>
      <c r="C51" s="112">
        <v>25.75</v>
      </c>
      <c r="D51" s="112">
        <v>20.78</v>
      </c>
      <c r="E51" s="112">
        <v>8.68</v>
      </c>
      <c r="F51" s="112">
        <v>7.01</v>
      </c>
      <c r="G51" s="112">
        <v>90.59</v>
      </c>
      <c r="H51" s="112">
        <v>35.520000000000003</v>
      </c>
      <c r="I51" s="112">
        <v>11.16</v>
      </c>
      <c r="J51" s="112">
        <v>0.45</v>
      </c>
      <c r="K51" s="112">
        <v>63.89</v>
      </c>
      <c r="L51" s="112">
        <v>26.4</v>
      </c>
      <c r="M51" s="112">
        <v>37</v>
      </c>
      <c r="N51" s="112">
        <v>398.8</v>
      </c>
      <c r="O51" s="112">
        <v>0</v>
      </c>
      <c r="P51" s="112">
        <v>0.95</v>
      </c>
      <c r="Q51" s="112">
        <v>4.7699999999999996</v>
      </c>
    </row>
    <row r="52" spans="1:17" customFormat="1">
      <c r="A52" s="80">
        <v>45622.458333333336</v>
      </c>
      <c r="B52" s="112">
        <v>6.38</v>
      </c>
      <c r="C52" s="112">
        <v>25.65</v>
      </c>
      <c r="D52" s="112">
        <v>19.87</v>
      </c>
      <c r="E52" s="112">
        <v>8.99</v>
      </c>
      <c r="F52" s="112">
        <v>7.33</v>
      </c>
      <c r="G52" s="112">
        <v>90.59</v>
      </c>
      <c r="H52" s="112">
        <v>35.520000000000003</v>
      </c>
      <c r="I52" s="112">
        <v>10.97</v>
      </c>
      <c r="J52" s="112">
        <v>0.47</v>
      </c>
      <c r="K52" s="112">
        <v>83.06</v>
      </c>
      <c r="L52" s="112">
        <v>26.87</v>
      </c>
      <c r="M52" s="112">
        <v>34.64</v>
      </c>
      <c r="N52" s="112">
        <v>451.1</v>
      </c>
      <c r="O52" s="112">
        <v>0</v>
      </c>
      <c r="P52" s="112">
        <v>0.93</v>
      </c>
      <c r="Q52" s="112">
        <v>4.75</v>
      </c>
    </row>
    <row r="53" spans="1:17" customFormat="1">
      <c r="A53" s="80">
        <v>45622.46875</v>
      </c>
      <c r="B53" s="112">
        <v>5.71</v>
      </c>
      <c r="C53" s="112">
        <v>25.22</v>
      </c>
      <c r="D53" s="112">
        <v>19.11</v>
      </c>
      <c r="E53" s="112">
        <v>9.51</v>
      </c>
      <c r="F53" s="112">
        <v>7.13</v>
      </c>
      <c r="G53" s="112">
        <v>90.33</v>
      </c>
      <c r="H53" s="112">
        <v>35.450000000000003</v>
      </c>
      <c r="I53" s="112">
        <v>10.75</v>
      </c>
      <c r="J53" s="112">
        <v>0.54</v>
      </c>
      <c r="K53" s="112">
        <v>63.62</v>
      </c>
      <c r="L53" s="112">
        <v>27.03</v>
      </c>
      <c r="M53" s="112">
        <v>34.67</v>
      </c>
      <c r="N53" s="112">
        <v>433.3</v>
      </c>
      <c r="O53" s="112">
        <v>0</v>
      </c>
      <c r="P53" s="112">
        <v>0.89</v>
      </c>
      <c r="Q53" s="112">
        <v>4.74</v>
      </c>
    </row>
    <row r="54" spans="1:17" customFormat="1">
      <c r="A54" s="80">
        <v>45622.479166666664</v>
      </c>
      <c r="B54" s="112">
        <v>5.49</v>
      </c>
      <c r="C54" s="112">
        <v>24.26</v>
      </c>
      <c r="D54" s="112">
        <v>18.43</v>
      </c>
      <c r="E54" s="112">
        <v>9.73</v>
      </c>
      <c r="F54" s="112">
        <v>7.64</v>
      </c>
      <c r="G54" s="112">
        <v>78.72</v>
      </c>
      <c r="H54" s="112">
        <v>32.22</v>
      </c>
      <c r="I54" s="112">
        <v>10.53</v>
      </c>
      <c r="J54" s="112">
        <v>0.59</v>
      </c>
      <c r="K54" s="112">
        <v>49.81</v>
      </c>
      <c r="L54" s="112">
        <v>27.19</v>
      </c>
      <c r="M54" s="112">
        <v>35.01</v>
      </c>
      <c r="N54" s="112">
        <v>471.9</v>
      </c>
      <c r="O54" s="112">
        <v>0</v>
      </c>
      <c r="P54" s="112">
        <v>0.85</v>
      </c>
      <c r="Q54" s="112">
        <v>4.74</v>
      </c>
    </row>
    <row r="55" spans="1:17" customFormat="1">
      <c r="A55" s="80">
        <v>45622.489583333336</v>
      </c>
      <c r="B55" s="112">
        <v>5.44</v>
      </c>
      <c r="C55" s="112">
        <v>23.41</v>
      </c>
      <c r="D55" s="112">
        <v>17.95</v>
      </c>
      <c r="E55" s="112">
        <v>10.220000000000001</v>
      </c>
      <c r="F55" s="112">
        <v>8.44</v>
      </c>
      <c r="G55" s="112">
        <v>78.72</v>
      </c>
      <c r="H55" s="112">
        <v>32.22</v>
      </c>
      <c r="I55" s="112">
        <v>10.34</v>
      </c>
      <c r="J55" s="112">
        <v>0.7</v>
      </c>
      <c r="K55" s="112">
        <v>37.07</v>
      </c>
      <c r="L55" s="112">
        <v>26.97</v>
      </c>
      <c r="M55" s="112">
        <v>34.909999999999997</v>
      </c>
      <c r="N55" s="112">
        <v>384.4</v>
      </c>
      <c r="O55" s="112">
        <v>0</v>
      </c>
      <c r="P55" s="112">
        <v>0.84</v>
      </c>
      <c r="Q55" s="112">
        <v>4.76</v>
      </c>
    </row>
    <row r="56" spans="1:17" customFormat="1">
      <c r="A56" s="80">
        <v>45622.5</v>
      </c>
      <c r="B56" s="112">
        <v>5.35</v>
      </c>
      <c r="C56" s="112">
        <v>22.86</v>
      </c>
      <c r="D56" s="112">
        <v>17.579999999999998</v>
      </c>
      <c r="E56" s="112">
        <v>10.09</v>
      </c>
      <c r="F56" s="112">
        <v>8.5299999999999994</v>
      </c>
      <c r="G56" s="112">
        <v>78.72</v>
      </c>
      <c r="H56" s="112">
        <v>32.22</v>
      </c>
      <c r="I56" s="112">
        <v>10.17</v>
      </c>
      <c r="J56" s="112">
        <v>0.78</v>
      </c>
      <c r="K56" s="112">
        <v>54.81</v>
      </c>
      <c r="L56" s="112">
        <v>27.69</v>
      </c>
      <c r="M56" s="112">
        <v>31.36</v>
      </c>
      <c r="N56" s="112">
        <v>518.1</v>
      </c>
      <c r="O56" s="112">
        <v>0</v>
      </c>
      <c r="P56" s="112">
        <v>0.84</v>
      </c>
      <c r="Q56" s="112">
        <v>4.75</v>
      </c>
    </row>
    <row r="57" spans="1:17" customFormat="1">
      <c r="A57" s="80">
        <v>45622.510416666664</v>
      </c>
      <c r="B57" s="112">
        <v>5.19</v>
      </c>
      <c r="C57" s="112">
        <v>22.04</v>
      </c>
      <c r="D57" s="112">
        <v>17.03</v>
      </c>
      <c r="E57" s="112">
        <v>9.6199999999999992</v>
      </c>
      <c r="F57" s="112">
        <v>8.4</v>
      </c>
      <c r="G57" s="112">
        <v>78.64</v>
      </c>
      <c r="H57" s="112">
        <v>32.229999999999997</v>
      </c>
      <c r="I57" s="112">
        <v>10.07</v>
      </c>
      <c r="J57" s="112">
        <v>0.38</v>
      </c>
      <c r="K57" s="112">
        <v>80.19</v>
      </c>
      <c r="L57" s="112">
        <v>27.81</v>
      </c>
      <c r="M57" s="112">
        <v>29.5</v>
      </c>
      <c r="N57" s="112">
        <v>491.6</v>
      </c>
      <c r="O57" s="112">
        <v>0</v>
      </c>
      <c r="P57" s="112">
        <v>0.82</v>
      </c>
      <c r="Q57" s="112">
        <v>4.75</v>
      </c>
    </row>
    <row r="58" spans="1:17" customFormat="1">
      <c r="A58" s="80">
        <v>45622.520833333336</v>
      </c>
      <c r="B58" s="112">
        <v>4.9800000000000004</v>
      </c>
      <c r="C58" s="112">
        <v>21.28</v>
      </c>
      <c r="D58" s="112">
        <v>16.46</v>
      </c>
      <c r="E58" s="112">
        <v>9.91</v>
      </c>
      <c r="F58" s="112">
        <v>8.7799999999999994</v>
      </c>
      <c r="G58" s="112">
        <v>75.14</v>
      </c>
      <c r="H58" s="112">
        <v>32.99</v>
      </c>
      <c r="I58" s="112">
        <v>9.98</v>
      </c>
      <c r="J58" s="112">
        <v>0.57999999999999996</v>
      </c>
      <c r="K58" s="112">
        <v>54.82</v>
      </c>
      <c r="L58" s="112">
        <v>28.12</v>
      </c>
      <c r="M58" s="112">
        <v>26.67</v>
      </c>
      <c r="N58" s="112">
        <v>478.2</v>
      </c>
      <c r="O58" s="112">
        <v>0</v>
      </c>
      <c r="P58" s="112">
        <v>0.81</v>
      </c>
      <c r="Q58" s="112">
        <v>4.74</v>
      </c>
    </row>
    <row r="59" spans="1:17" customFormat="1">
      <c r="A59" s="80">
        <v>45622.53125</v>
      </c>
      <c r="B59" s="112">
        <v>4.8099999999999996</v>
      </c>
      <c r="C59" s="112">
        <v>20.48</v>
      </c>
      <c r="D59" s="112">
        <v>15.91</v>
      </c>
      <c r="E59" s="112">
        <v>9.34</v>
      </c>
      <c r="F59" s="112">
        <v>7.78</v>
      </c>
      <c r="G59" s="112">
        <v>75.14</v>
      </c>
      <c r="H59" s="112">
        <v>32.99</v>
      </c>
      <c r="I59" s="112">
        <v>9.8000000000000007</v>
      </c>
      <c r="J59" s="112">
        <v>0.39</v>
      </c>
      <c r="K59" s="112">
        <v>62.76</v>
      </c>
      <c r="L59" s="112">
        <v>28.43</v>
      </c>
      <c r="M59" s="112">
        <v>25.89</v>
      </c>
      <c r="N59" s="112">
        <v>473.8</v>
      </c>
      <c r="O59" s="112">
        <v>0</v>
      </c>
      <c r="P59" s="112">
        <v>0.79</v>
      </c>
      <c r="Q59" s="112">
        <v>4.75</v>
      </c>
    </row>
    <row r="60" spans="1:17" customFormat="1">
      <c r="A60" s="80">
        <v>45622.541666666664</v>
      </c>
      <c r="B60" s="112">
        <v>4.7300000000000004</v>
      </c>
      <c r="C60" s="112">
        <v>19.690000000000001</v>
      </c>
      <c r="D60" s="112">
        <v>15.43</v>
      </c>
      <c r="E60" s="112">
        <v>9.73</v>
      </c>
      <c r="F60" s="112">
        <v>7.69</v>
      </c>
      <c r="G60" s="112">
        <v>75.14</v>
      </c>
      <c r="H60" s="112">
        <v>32.99</v>
      </c>
      <c r="I60" s="112">
        <v>9.6199999999999992</v>
      </c>
      <c r="J60" s="112">
        <v>0.36</v>
      </c>
      <c r="K60" s="112">
        <v>141.08000000000001</v>
      </c>
      <c r="L60" s="112">
        <v>28.48</v>
      </c>
      <c r="M60" s="112">
        <v>25.49</v>
      </c>
      <c r="N60" s="112">
        <v>441.1</v>
      </c>
      <c r="O60" s="112">
        <v>0</v>
      </c>
      <c r="P60" s="112">
        <v>0.79</v>
      </c>
      <c r="Q60" s="112">
        <v>4.75</v>
      </c>
    </row>
    <row r="61" spans="1:17" customFormat="1">
      <c r="A61" s="80">
        <v>45622.552083333336</v>
      </c>
      <c r="B61" s="112">
        <v>4.6500000000000004</v>
      </c>
      <c r="C61" s="112">
        <v>19.059999999999999</v>
      </c>
      <c r="D61" s="112">
        <v>15.04</v>
      </c>
      <c r="E61" s="112">
        <v>9.5500000000000007</v>
      </c>
      <c r="F61" s="112">
        <v>8.61</v>
      </c>
      <c r="G61" s="112">
        <v>74.92</v>
      </c>
      <c r="H61" s="112">
        <v>32.94</v>
      </c>
      <c r="I61" s="112">
        <v>9.4600000000000009</v>
      </c>
      <c r="J61" s="112">
        <v>0.6</v>
      </c>
      <c r="K61" s="112">
        <v>49.07</v>
      </c>
      <c r="L61" s="112">
        <v>28.26</v>
      </c>
      <c r="M61" s="112">
        <v>25.47</v>
      </c>
      <c r="N61" s="112">
        <v>427.2</v>
      </c>
      <c r="O61" s="112">
        <v>0</v>
      </c>
      <c r="P61" s="112">
        <v>0.77</v>
      </c>
      <c r="Q61" s="112">
        <v>4.75</v>
      </c>
    </row>
    <row r="62" spans="1:17" customFormat="1">
      <c r="A62" s="80">
        <v>45622.5625</v>
      </c>
      <c r="B62" s="112">
        <v>4.5999999999999996</v>
      </c>
      <c r="C62" s="112">
        <v>18.62</v>
      </c>
      <c r="D62" s="112">
        <v>14.77</v>
      </c>
      <c r="E62" s="112">
        <v>10.130000000000001</v>
      </c>
      <c r="F62" s="112">
        <v>9.9</v>
      </c>
      <c r="G62" s="112">
        <v>65.14</v>
      </c>
      <c r="H62" s="112">
        <v>31.18</v>
      </c>
      <c r="I62" s="112">
        <v>9.25</v>
      </c>
      <c r="J62" s="112">
        <v>0.75</v>
      </c>
      <c r="K62" s="112">
        <v>47.51</v>
      </c>
      <c r="L62" s="112">
        <v>27.9</v>
      </c>
      <c r="M62" s="112">
        <v>25.52</v>
      </c>
      <c r="N62" s="112">
        <v>414.3</v>
      </c>
      <c r="O62" s="112">
        <v>0</v>
      </c>
      <c r="P62" s="112">
        <v>0.75</v>
      </c>
      <c r="Q62" s="112">
        <v>4.74</v>
      </c>
    </row>
    <row r="63" spans="1:17" customFormat="1">
      <c r="A63" s="80">
        <v>45622.572916666664</v>
      </c>
      <c r="B63" s="112">
        <v>4.6500000000000004</v>
      </c>
      <c r="C63" s="112">
        <v>18.27</v>
      </c>
      <c r="D63" s="112">
        <v>14.63</v>
      </c>
      <c r="E63" s="112">
        <v>9.7200000000000006</v>
      </c>
      <c r="F63" s="112">
        <v>8.9</v>
      </c>
      <c r="G63" s="112">
        <v>65.14</v>
      </c>
      <c r="H63" s="112">
        <v>31.18</v>
      </c>
      <c r="I63" s="112">
        <v>9.0299999999999994</v>
      </c>
      <c r="J63" s="112">
        <v>0.97</v>
      </c>
      <c r="K63" s="112">
        <v>38.549999999999997</v>
      </c>
      <c r="L63" s="112">
        <v>27.66</v>
      </c>
      <c r="M63" s="112">
        <v>25.44</v>
      </c>
      <c r="N63" s="112">
        <v>233.9</v>
      </c>
      <c r="O63" s="112">
        <v>0</v>
      </c>
      <c r="P63" s="112">
        <v>0.74</v>
      </c>
      <c r="Q63" s="112">
        <v>4.76</v>
      </c>
    </row>
    <row r="64" spans="1:17" customFormat="1">
      <c r="A64" s="80">
        <v>45622.583333333336</v>
      </c>
      <c r="B64" s="112">
        <v>4.66</v>
      </c>
      <c r="C64" s="112">
        <v>18.04</v>
      </c>
      <c r="D64" s="112">
        <v>14.52</v>
      </c>
      <c r="E64" s="112">
        <v>10.31</v>
      </c>
      <c r="F64" s="112">
        <v>10.55</v>
      </c>
      <c r="G64" s="112">
        <v>65.14</v>
      </c>
      <c r="H64" s="112">
        <v>31.18</v>
      </c>
      <c r="I64" s="112">
        <v>8.8699999999999992</v>
      </c>
      <c r="J64" s="112">
        <v>0.69</v>
      </c>
      <c r="K64" s="112">
        <v>47.92</v>
      </c>
      <c r="L64" s="112">
        <v>27.58</v>
      </c>
      <c r="M64" s="112">
        <v>25.75</v>
      </c>
      <c r="N64" s="112">
        <v>107.8</v>
      </c>
      <c r="O64" s="112">
        <v>0</v>
      </c>
      <c r="P64" s="112">
        <v>0.72</v>
      </c>
      <c r="Q64" s="112">
        <v>4.7699999999999996</v>
      </c>
    </row>
    <row r="65" spans="1:17" customFormat="1">
      <c r="A65" s="80">
        <v>45622.59375</v>
      </c>
      <c r="B65" s="112">
        <v>4.67</v>
      </c>
      <c r="C65" s="112">
        <v>17.86</v>
      </c>
      <c r="D65" s="112">
        <v>14.43</v>
      </c>
      <c r="E65" s="112">
        <v>9.8800000000000008</v>
      </c>
      <c r="F65" s="112">
        <v>10.89</v>
      </c>
      <c r="G65" s="112">
        <v>65.08</v>
      </c>
      <c r="H65" s="112">
        <v>31.08</v>
      </c>
      <c r="I65" s="112">
        <v>8.73</v>
      </c>
      <c r="J65" s="112">
        <v>0.71</v>
      </c>
      <c r="K65" s="112">
        <v>48.81</v>
      </c>
      <c r="L65" s="112">
        <v>27.39</v>
      </c>
      <c r="M65" s="112">
        <v>26.4</v>
      </c>
      <c r="N65" s="112">
        <v>92.5</v>
      </c>
      <c r="O65" s="112">
        <v>0</v>
      </c>
      <c r="P65" s="112">
        <v>0.64</v>
      </c>
      <c r="Q65" s="112">
        <v>4.76</v>
      </c>
    </row>
    <row r="66" spans="1:17" customFormat="1">
      <c r="A66" s="80">
        <v>45622.604166666664</v>
      </c>
      <c r="B66" s="112">
        <v>4.67</v>
      </c>
      <c r="C66" s="112">
        <v>17.78</v>
      </c>
      <c r="D66" s="112">
        <v>14.38</v>
      </c>
      <c r="E66" s="112">
        <v>11.28</v>
      </c>
      <c r="F66" s="112">
        <v>11.71</v>
      </c>
      <c r="G66" s="112">
        <v>62.78</v>
      </c>
      <c r="H66" s="112">
        <v>27.7</v>
      </c>
      <c r="I66" s="112">
        <v>8.56</v>
      </c>
      <c r="J66" s="112">
        <v>1.1499999999999999</v>
      </c>
      <c r="K66" s="112">
        <v>37.090000000000003</v>
      </c>
      <c r="L66" s="112">
        <v>27.34</v>
      </c>
      <c r="M66" s="112">
        <v>25.82</v>
      </c>
      <c r="N66" s="112">
        <v>77</v>
      </c>
      <c r="O66" s="112">
        <v>0</v>
      </c>
      <c r="P66" s="112">
        <v>0.66</v>
      </c>
      <c r="Q66" s="112">
        <v>4.76</v>
      </c>
    </row>
    <row r="67" spans="1:17" customFormat="1">
      <c r="A67" s="80">
        <v>45622.614583333336</v>
      </c>
      <c r="B67" s="112">
        <v>4.6500000000000004</v>
      </c>
      <c r="C67" s="112">
        <v>17.71</v>
      </c>
      <c r="D67" s="112">
        <v>14.33</v>
      </c>
      <c r="E67" s="112">
        <v>10.78</v>
      </c>
      <c r="F67" s="112">
        <v>11.84</v>
      </c>
      <c r="G67" s="112">
        <v>62.78</v>
      </c>
      <c r="H67" s="112">
        <v>27.7</v>
      </c>
      <c r="I67" s="112">
        <v>8.44</v>
      </c>
      <c r="J67" s="112">
        <v>0.76</v>
      </c>
      <c r="K67" s="112">
        <v>42.48</v>
      </c>
      <c r="L67" s="112">
        <v>27.26</v>
      </c>
      <c r="M67" s="112">
        <v>26.49</v>
      </c>
      <c r="N67" s="112">
        <v>68.5</v>
      </c>
      <c r="O67" s="112">
        <v>0</v>
      </c>
      <c r="P67" s="112">
        <v>0.66</v>
      </c>
      <c r="Q67" s="112">
        <v>4.74</v>
      </c>
    </row>
    <row r="68" spans="1:17" customFormat="1">
      <c r="A68" s="80">
        <v>45622.625</v>
      </c>
      <c r="B68" s="112">
        <v>4.6100000000000003</v>
      </c>
      <c r="C68" s="112">
        <v>17.62</v>
      </c>
      <c r="D68" s="112">
        <v>14.26</v>
      </c>
      <c r="E68" s="112">
        <v>10.42</v>
      </c>
      <c r="F68" s="112">
        <v>9.89</v>
      </c>
      <c r="G68" s="112">
        <v>62.78</v>
      </c>
      <c r="H68" s="112">
        <v>27.7</v>
      </c>
      <c r="I68" s="112">
        <v>8.2799999999999994</v>
      </c>
      <c r="J68" s="112">
        <v>0.57999999999999996</v>
      </c>
      <c r="K68" s="112">
        <v>67.209999999999994</v>
      </c>
      <c r="L68" s="112">
        <v>27.19</v>
      </c>
      <c r="M68" s="112">
        <v>27.45</v>
      </c>
      <c r="N68" s="112">
        <v>61.1</v>
      </c>
      <c r="O68" s="112">
        <v>0</v>
      </c>
      <c r="P68" s="112">
        <v>0.65</v>
      </c>
      <c r="Q68" s="112">
        <v>4.7699999999999996</v>
      </c>
    </row>
    <row r="69" spans="1:17" customFormat="1">
      <c r="A69" s="80">
        <v>45622.635416666664</v>
      </c>
      <c r="B69" s="112">
        <v>4.53</v>
      </c>
      <c r="C69" s="112">
        <v>17.41</v>
      </c>
      <c r="D69" s="112">
        <v>14.08</v>
      </c>
      <c r="E69" s="112">
        <v>9.86</v>
      </c>
      <c r="F69" s="112">
        <v>8.23</v>
      </c>
      <c r="G69" s="112">
        <v>62.58</v>
      </c>
      <c r="H69" s="112">
        <v>27.72</v>
      </c>
      <c r="I69" s="112">
        <v>8.1</v>
      </c>
      <c r="J69" s="112">
        <v>0.34</v>
      </c>
      <c r="K69" s="112">
        <v>69.83</v>
      </c>
      <c r="L69" s="112">
        <v>27.05</v>
      </c>
      <c r="M69" s="112">
        <v>27.34</v>
      </c>
      <c r="N69" s="112">
        <v>60.1</v>
      </c>
      <c r="O69" s="112">
        <v>0</v>
      </c>
      <c r="P69" s="112">
        <v>0.64</v>
      </c>
      <c r="Q69" s="112">
        <v>4.78</v>
      </c>
    </row>
    <row r="70" spans="1:17" customFormat="1">
      <c r="A70" s="80">
        <v>45622.645833333336</v>
      </c>
      <c r="B70" s="112">
        <v>4.53</v>
      </c>
      <c r="C70" s="112">
        <v>17.23</v>
      </c>
      <c r="D70" s="112">
        <v>13.99</v>
      </c>
      <c r="E70" s="112">
        <v>10.31</v>
      </c>
      <c r="F70" s="112">
        <v>9.3800000000000008</v>
      </c>
      <c r="G70" s="112">
        <v>53.77</v>
      </c>
      <c r="H70" s="112">
        <v>28.12</v>
      </c>
      <c r="I70" s="112">
        <v>7.95</v>
      </c>
      <c r="J70" s="112">
        <v>0.62</v>
      </c>
      <c r="K70" s="112">
        <v>45.25</v>
      </c>
      <c r="L70" s="112">
        <v>27.06</v>
      </c>
      <c r="M70" s="112">
        <v>26.66</v>
      </c>
      <c r="N70" s="112">
        <v>49.5</v>
      </c>
      <c r="O70" s="112">
        <v>0</v>
      </c>
      <c r="P70" s="112">
        <v>0.65</v>
      </c>
      <c r="Q70" s="112">
        <v>4.75</v>
      </c>
    </row>
    <row r="71" spans="1:17" customFormat="1">
      <c r="A71" s="80">
        <v>45622.65625</v>
      </c>
      <c r="B71" s="112">
        <v>4.58</v>
      </c>
      <c r="C71" s="112">
        <v>17.32</v>
      </c>
      <c r="D71" s="112">
        <v>14.07</v>
      </c>
      <c r="E71" s="112">
        <v>9.6199999999999992</v>
      </c>
      <c r="F71" s="112">
        <v>8.27</v>
      </c>
      <c r="G71" s="112">
        <v>53.77</v>
      </c>
      <c r="H71" s="112">
        <v>28.12</v>
      </c>
      <c r="I71" s="112">
        <v>7.92</v>
      </c>
      <c r="J71" s="112">
        <v>0.91</v>
      </c>
      <c r="K71" s="112">
        <v>49.34</v>
      </c>
      <c r="L71" s="112">
        <v>26.89</v>
      </c>
      <c r="M71" s="112">
        <v>26.6</v>
      </c>
      <c r="N71" s="112">
        <v>41</v>
      </c>
      <c r="O71" s="112">
        <v>0</v>
      </c>
      <c r="P71" s="112">
        <v>0.66</v>
      </c>
      <c r="Q71" s="112">
        <v>4.74</v>
      </c>
    </row>
    <row r="72" spans="1:17" customFormat="1">
      <c r="A72" s="80">
        <v>45622.666666666664</v>
      </c>
      <c r="B72" s="112">
        <v>4.51</v>
      </c>
      <c r="C72" s="112">
        <v>17.91</v>
      </c>
      <c r="D72" s="112">
        <v>14.33</v>
      </c>
      <c r="E72" s="112">
        <v>9.76</v>
      </c>
      <c r="F72" s="112">
        <v>8.5</v>
      </c>
      <c r="G72" s="112">
        <v>53.77</v>
      </c>
      <c r="H72" s="112">
        <v>28.12</v>
      </c>
      <c r="I72" s="112">
        <v>7.87</v>
      </c>
      <c r="J72" s="112">
        <v>0.74</v>
      </c>
      <c r="K72" s="112">
        <v>50.05</v>
      </c>
      <c r="L72" s="112">
        <v>26.76</v>
      </c>
      <c r="M72" s="112">
        <v>26.31</v>
      </c>
      <c r="N72" s="112">
        <v>33.4</v>
      </c>
      <c r="O72" s="112">
        <v>0</v>
      </c>
      <c r="P72" s="112">
        <v>0.68</v>
      </c>
      <c r="Q72" s="112">
        <v>4.76</v>
      </c>
    </row>
    <row r="73" spans="1:17" customFormat="1">
      <c r="A73" s="80">
        <v>45622.677083333336</v>
      </c>
      <c r="B73" s="112">
        <v>4.4800000000000004</v>
      </c>
      <c r="C73" s="112">
        <v>18.97</v>
      </c>
      <c r="D73" s="112">
        <v>14.85</v>
      </c>
      <c r="E73" s="112">
        <v>9.4600000000000009</v>
      </c>
      <c r="F73" s="112">
        <v>8.24</v>
      </c>
      <c r="G73" s="112">
        <v>53.8</v>
      </c>
      <c r="H73" s="112">
        <v>28.12</v>
      </c>
      <c r="I73" s="112">
        <v>7.84</v>
      </c>
      <c r="J73" s="112">
        <v>0.52</v>
      </c>
      <c r="K73" s="112">
        <v>52.96</v>
      </c>
      <c r="L73" s="112">
        <v>26.57</v>
      </c>
      <c r="M73" s="112">
        <v>26.83</v>
      </c>
      <c r="N73" s="112">
        <v>27.4</v>
      </c>
      <c r="O73" s="112">
        <v>0</v>
      </c>
      <c r="P73" s="112">
        <v>0.69</v>
      </c>
      <c r="Q73" s="112">
        <v>4.7699999999999996</v>
      </c>
    </row>
    <row r="74" spans="1:17" customFormat="1">
      <c r="A74" s="80">
        <v>45622.6875</v>
      </c>
      <c r="B74" s="112">
        <v>4.47</v>
      </c>
      <c r="C74" s="112">
        <v>19.88</v>
      </c>
      <c r="D74" s="112">
        <v>15.32</v>
      </c>
      <c r="E74" s="112">
        <v>9.11</v>
      </c>
      <c r="F74" s="112">
        <v>7.36</v>
      </c>
      <c r="G74" s="112">
        <v>55.3</v>
      </c>
      <c r="H74" s="112">
        <v>28.21</v>
      </c>
      <c r="I74" s="112">
        <v>7.76</v>
      </c>
      <c r="J74" s="112">
        <v>0.54</v>
      </c>
      <c r="K74" s="112">
        <v>56.01</v>
      </c>
      <c r="L74" s="112">
        <v>26.15</v>
      </c>
      <c r="M74" s="112">
        <v>27.95</v>
      </c>
      <c r="N74" s="112">
        <v>20.100000000000001</v>
      </c>
      <c r="O74" s="112">
        <v>0</v>
      </c>
      <c r="P74" s="112">
        <v>0.69</v>
      </c>
      <c r="Q74" s="112">
        <v>4.76</v>
      </c>
    </row>
    <row r="75" spans="1:17" customFormat="1">
      <c r="A75" s="80">
        <v>45622.697916666664</v>
      </c>
      <c r="B75" s="112">
        <v>4.43</v>
      </c>
      <c r="C75" s="112">
        <v>20.53</v>
      </c>
      <c r="D75" s="112">
        <v>15.63</v>
      </c>
      <c r="E75" s="112">
        <v>9.42</v>
      </c>
      <c r="F75" s="112">
        <v>7.03</v>
      </c>
      <c r="G75" s="112">
        <v>55.3</v>
      </c>
      <c r="H75" s="112">
        <v>28.21</v>
      </c>
      <c r="I75" s="112">
        <v>7.67</v>
      </c>
      <c r="J75" s="112">
        <v>0.21</v>
      </c>
      <c r="K75" s="112">
        <v>86.87</v>
      </c>
      <c r="L75" s="112">
        <v>25.57</v>
      </c>
      <c r="M75" s="112">
        <v>31.24</v>
      </c>
      <c r="N75" s="112">
        <v>12.6</v>
      </c>
      <c r="O75" s="112">
        <v>0</v>
      </c>
      <c r="P75" s="112">
        <v>0.68</v>
      </c>
      <c r="Q75" s="112">
        <v>4.76</v>
      </c>
    </row>
    <row r="76" spans="1:17" customFormat="1">
      <c r="A76" s="80">
        <v>45622.708333333336</v>
      </c>
      <c r="B76" s="112">
        <v>4.41</v>
      </c>
      <c r="C76" s="112">
        <v>20.98</v>
      </c>
      <c r="D76" s="112">
        <v>15.85</v>
      </c>
      <c r="E76" s="112">
        <v>9.0299999999999994</v>
      </c>
      <c r="F76" s="112">
        <v>6.72</v>
      </c>
      <c r="G76" s="112">
        <v>55.3</v>
      </c>
      <c r="H76" s="112">
        <v>28.21</v>
      </c>
      <c r="I76" s="112">
        <v>7.59</v>
      </c>
      <c r="J76" s="112">
        <v>0.22</v>
      </c>
      <c r="K76" s="112">
        <v>157.47</v>
      </c>
      <c r="L76" s="112">
        <v>24.48</v>
      </c>
      <c r="M76" s="112">
        <v>36.81</v>
      </c>
      <c r="N76" s="112">
        <v>6.9</v>
      </c>
      <c r="O76" s="112">
        <v>0</v>
      </c>
      <c r="P76" s="112">
        <v>0.69</v>
      </c>
      <c r="Q76" s="112">
        <v>4.75</v>
      </c>
    </row>
    <row r="77" spans="1:17" customFormat="1">
      <c r="A77" s="80">
        <v>45622.71875</v>
      </c>
      <c r="B77" s="112">
        <v>4.3899999999999997</v>
      </c>
      <c r="C77" s="112">
        <v>21.19</v>
      </c>
      <c r="D77" s="112">
        <v>15.94</v>
      </c>
      <c r="E77" s="112">
        <v>8.94</v>
      </c>
      <c r="F77" s="112">
        <v>6.49</v>
      </c>
      <c r="G77" s="112">
        <v>55.65</v>
      </c>
      <c r="H77" s="112">
        <v>28.16</v>
      </c>
      <c r="I77" s="112">
        <v>7.52</v>
      </c>
      <c r="J77" s="112">
        <v>0.28999999999999998</v>
      </c>
      <c r="K77" s="112">
        <v>159.21</v>
      </c>
      <c r="L77" s="112">
        <v>23.51</v>
      </c>
      <c r="M77" s="112">
        <v>40.5</v>
      </c>
      <c r="N77" s="112">
        <v>3.4</v>
      </c>
      <c r="O77" s="112">
        <v>0</v>
      </c>
      <c r="P77" s="112">
        <v>0.69</v>
      </c>
      <c r="Q77" s="112">
        <v>4.76</v>
      </c>
    </row>
    <row r="78" spans="1:17" customFormat="1">
      <c r="A78" s="80">
        <v>45622.729166666664</v>
      </c>
      <c r="B78" s="112">
        <v>4.47</v>
      </c>
      <c r="C78" s="112">
        <v>21.46</v>
      </c>
      <c r="D78" s="112">
        <v>16.149999999999999</v>
      </c>
      <c r="E78" s="112">
        <v>8.52</v>
      </c>
      <c r="F78" s="112">
        <v>6.35</v>
      </c>
      <c r="G78" s="112">
        <v>70.91</v>
      </c>
      <c r="H78" s="112">
        <v>25.24</v>
      </c>
      <c r="I78" s="112">
        <v>7.46</v>
      </c>
      <c r="J78" s="112">
        <v>0.14000000000000001</v>
      </c>
      <c r="K78" s="112">
        <v>132.12</v>
      </c>
      <c r="L78" s="112">
        <v>22.87</v>
      </c>
      <c r="M78" s="112">
        <v>41.95</v>
      </c>
      <c r="N78" s="112">
        <v>1.9</v>
      </c>
      <c r="O78" s="112">
        <v>0</v>
      </c>
      <c r="P78" s="112">
        <v>0.7</v>
      </c>
      <c r="Q78" s="112">
        <v>4.76</v>
      </c>
    </row>
    <row r="79" spans="1:17" customFormat="1">
      <c r="A79" s="80">
        <v>45622.739583333336</v>
      </c>
      <c r="B79" s="112">
        <v>4.75</v>
      </c>
      <c r="C79" s="112">
        <v>22.12</v>
      </c>
      <c r="D79" s="112">
        <v>16.72</v>
      </c>
      <c r="E79" s="112">
        <v>8.56</v>
      </c>
      <c r="F79" s="112">
        <v>6.03</v>
      </c>
      <c r="G79" s="112">
        <v>70.91</v>
      </c>
      <c r="H79" s="112">
        <v>25.24</v>
      </c>
      <c r="I79" s="112">
        <v>7.42</v>
      </c>
      <c r="J79" s="112">
        <v>0.13</v>
      </c>
      <c r="K79" s="112">
        <v>146.22999999999999</v>
      </c>
      <c r="L79" s="112">
        <v>22.66</v>
      </c>
      <c r="M79" s="112">
        <v>41.72</v>
      </c>
      <c r="N79" s="112">
        <v>1.6</v>
      </c>
      <c r="O79" s="112">
        <v>0</v>
      </c>
      <c r="P79" s="112">
        <v>0.71</v>
      </c>
      <c r="Q79" s="112">
        <v>4.76</v>
      </c>
    </row>
    <row r="80" spans="1:17" customFormat="1">
      <c r="A80" s="80">
        <v>45622.75</v>
      </c>
      <c r="B80" s="112">
        <v>5.09</v>
      </c>
      <c r="C80" s="112">
        <v>22.86</v>
      </c>
      <c r="D80" s="112">
        <v>17.37</v>
      </c>
      <c r="E80" s="112">
        <v>8.6199999999999992</v>
      </c>
      <c r="F80" s="112">
        <v>5.77</v>
      </c>
      <c r="G80" s="112">
        <v>70.91</v>
      </c>
      <c r="H80" s="112">
        <v>25.24</v>
      </c>
      <c r="I80" s="112">
        <v>7.46</v>
      </c>
      <c r="J80" s="112">
        <v>0.2</v>
      </c>
      <c r="K80" s="112">
        <v>165.32</v>
      </c>
      <c r="L80" s="112">
        <v>22.13</v>
      </c>
      <c r="M80" s="112">
        <v>46.15</v>
      </c>
      <c r="N80" s="112">
        <v>2</v>
      </c>
      <c r="O80" s="112">
        <v>0</v>
      </c>
      <c r="P80" s="112">
        <v>0.74</v>
      </c>
      <c r="Q80" s="112">
        <v>4.75</v>
      </c>
    </row>
    <row r="81" spans="1:17" customFormat="1">
      <c r="A81" s="80">
        <v>45622.760416666664</v>
      </c>
      <c r="B81" s="112">
        <v>5.29</v>
      </c>
      <c r="C81" s="112">
        <v>23.29</v>
      </c>
      <c r="D81" s="112">
        <v>17.760000000000002</v>
      </c>
      <c r="E81" s="112">
        <v>8.0399999999999991</v>
      </c>
      <c r="F81" s="112">
        <v>5.76</v>
      </c>
      <c r="G81" s="112">
        <v>71.63</v>
      </c>
      <c r="H81" s="112">
        <v>25.36</v>
      </c>
      <c r="I81" s="112">
        <v>7.56</v>
      </c>
      <c r="J81" s="112">
        <v>0.21</v>
      </c>
      <c r="K81" s="112">
        <v>164.68</v>
      </c>
      <c r="L81" s="112">
        <v>21.17</v>
      </c>
      <c r="M81" s="112">
        <v>60.58</v>
      </c>
      <c r="N81" s="112">
        <v>2</v>
      </c>
      <c r="O81" s="112">
        <v>0</v>
      </c>
      <c r="P81" s="112">
        <v>0.75</v>
      </c>
      <c r="Q81" s="112">
        <v>4.7699999999999996</v>
      </c>
    </row>
    <row r="82" spans="1:17" customFormat="1">
      <c r="A82" s="80">
        <v>45622.770833333336</v>
      </c>
      <c r="B82" s="112">
        <v>5.4</v>
      </c>
      <c r="C82" s="112">
        <v>23.49</v>
      </c>
      <c r="D82" s="112">
        <v>17.95</v>
      </c>
      <c r="E82" s="112">
        <v>9.77</v>
      </c>
      <c r="F82" s="112">
        <v>5.59</v>
      </c>
      <c r="G82" s="112">
        <v>103.23</v>
      </c>
      <c r="H82" s="112">
        <v>33.049999999999997</v>
      </c>
      <c r="I82" s="112">
        <v>7.8</v>
      </c>
      <c r="J82" s="112">
        <v>0.22</v>
      </c>
      <c r="K82" s="112">
        <v>184.88</v>
      </c>
      <c r="L82" s="112">
        <v>20.59</v>
      </c>
      <c r="M82" s="112">
        <v>65.09</v>
      </c>
      <c r="N82" s="112">
        <v>1.7</v>
      </c>
      <c r="O82" s="112">
        <v>0</v>
      </c>
      <c r="P82" s="112">
        <v>0.76</v>
      </c>
      <c r="Q82" s="112">
        <v>4.7699999999999996</v>
      </c>
    </row>
    <row r="83" spans="1:17" customFormat="1">
      <c r="A83" s="80">
        <v>45622.78125</v>
      </c>
      <c r="B83" s="112">
        <v>5.47</v>
      </c>
      <c r="C83" s="112">
        <v>23.38</v>
      </c>
      <c r="D83" s="112">
        <v>17.95</v>
      </c>
      <c r="E83" s="112">
        <v>9.16</v>
      </c>
      <c r="F83" s="112">
        <v>5.65</v>
      </c>
      <c r="G83" s="112">
        <v>103.23</v>
      </c>
      <c r="H83" s="112">
        <v>33.049999999999997</v>
      </c>
      <c r="I83" s="112">
        <v>8.0399999999999991</v>
      </c>
      <c r="J83" s="112">
        <v>0.17</v>
      </c>
      <c r="K83" s="112">
        <v>189.25</v>
      </c>
      <c r="L83" s="112">
        <v>19.91</v>
      </c>
      <c r="M83" s="112">
        <v>63.16</v>
      </c>
      <c r="N83" s="112">
        <v>2</v>
      </c>
      <c r="O83" s="112">
        <v>0</v>
      </c>
      <c r="P83" s="112">
        <v>0.77</v>
      </c>
      <c r="Q83" s="112">
        <v>4.7699999999999996</v>
      </c>
    </row>
    <row r="84" spans="1:17" customFormat="1">
      <c r="A84" s="80">
        <v>45622.791666666664</v>
      </c>
      <c r="B84" s="112">
        <v>5.4</v>
      </c>
      <c r="C84" s="112">
        <v>23.14</v>
      </c>
      <c r="D84" s="112">
        <v>17.78</v>
      </c>
      <c r="E84" s="112">
        <v>9.86</v>
      </c>
      <c r="F84" s="112">
        <v>5.87</v>
      </c>
      <c r="G84" s="112">
        <v>103.23</v>
      </c>
      <c r="H84" s="112">
        <v>33.049999999999997</v>
      </c>
      <c r="I84" s="112">
        <v>8.17</v>
      </c>
      <c r="J84" s="112">
        <v>0.16</v>
      </c>
      <c r="K84" s="112">
        <v>192.8</v>
      </c>
      <c r="L84" s="112">
        <v>19.329999999999998</v>
      </c>
      <c r="M84" s="112">
        <v>65.400000000000006</v>
      </c>
      <c r="N84" s="112">
        <v>1.7</v>
      </c>
      <c r="O84" s="112">
        <v>0</v>
      </c>
      <c r="P84" s="112">
        <v>0.78</v>
      </c>
      <c r="Q84" s="112">
        <v>4.7699999999999996</v>
      </c>
    </row>
    <row r="85" spans="1:17" customFormat="1">
      <c r="A85" s="80">
        <v>45622.802083333336</v>
      </c>
      <c r="B85" s="112">
        <v>5.32</v>
      </c>
      <c r="C85" s="112">
        <v>22.79</v>
      </c>
      <c r="D85" s="112">
        <v>17.52</v>
      </c>
      <c r="E85" s="112">
        <v>9.2799999999999994</v>
      </c>
      <c r="F85" s="112">
        <v>5.86</v>
      </c>
      <c r="G85" s="112">
        <v>102.93</v>
      </c>
      <c r="H85" s="112">
        <v>32.93</v>
      </c>
      <c r="I85" s="112">
        <v>8.31</v>
      </c>
      <c r="J85" s="112">
        <v>0.15</v>
      </c>
      <c r="K85" s="112">
        <v>175.07</v>
      </c>
      <c r="L85" s="112">
        <v>19.079999999999998</v>
      </c>
      <c r="M85" s="112">
        <v>68.209999999999994</v>
      </c>
      <c r="N85" s="112">
        <v>1.5</v>
      </c>
      <c r="O85" s="112">
        <v>0</v>
      </c>
      <c r="P85" s="112">
        <v>0.78</v>
      </c>
      <c r="Q85" s="112">
        <v>4.7699999999999996</v>
      </c>
    </row>
    <row r="86" spans="1:17" customFormat="1">
      <c r="A86" s="80">
        <v>45622.8125</v>
      </c>
      <c r="B86" s="112">
        <v>5.29</v>
      </c>
      <c r="C86" s="112">
        <v>22.46</v>
      </c>
      <c r="D86" s="112">
        <v>17.329999999999998</v>
      </c>
      <c r="E86" s="112">
        <v>9.1300000000000008</v>
      </c>
      <c r="F86" s="112">
        <v>5.82</v>
      </c>
      <c r="G86" s="112">
        <v>89.67</v>
      </c>
      <c r="H86" s="112">
        <v>25.38</v>
      </c>
      <c r="I86" s="112">
        <v>8.36</v>
      </c>
      <c r="J86" s="112">
        <v>0.16</v>
      </c>
      <c r="K86" s="112">
        <v>184.52</v>
      </c>
      <c r="L86" s="112">
        <v>19</v>
      </c>
      <c r="M86" s="112">
        <v>67.64</v>
      </c>
      <c r="N86" s="112">
        <v>1.3</v>
      </c>
      <c r="O86" s="112">
        <v>0</v>
      </c>
      <c r="P86" s="112">
        <v>0.78</v>
      </c>
      <c r="Q86" s="112">
        <v>4.76</v>
      </c>
    </row>
    <row r="87" spans="1:17" customFormat="1">
      <c r="A87" s="80">
        <v>45622.822916666664</v>
      </c>
      <c r="B87" s="112">
        <v>5.29</v>
      </c>
      <c r="C87" s="112">
        <v>22.29</v>
      </c>
      <c r="D87" s="112">
        <v>17.239999999999998</v>
      </c>
      <c r="E87" s="112">
        <v>9.24</v>
      </c>
      <c r="F87" s="112">
        <v>5.74</v>
      </c>
      <c r="G87" s="112">
        <v>89.67</v>
      </c>
      <c r="H87" s="112">
        <v>25.38</v>
      </c>
      <c r="I87" s="112">
        <v>8.4</v>
      </c>
      <c r="J87" s="112">
        <v>0.16</v>
      </c>
      <c r="K87" s="112">
        <v>211.58</v>
      </c>
      <c r="L87" s="112">
        <v>18.760000000000002</v>
      </c>
      <c r="M87" s="112">
        <v>70.430000000000007</v>
      </c>
      <c r="N87" s="112">
        <v>1.4</v>
      </c>
      <c r="O87" s="112">
        <v>0</v>
      </c>
      <c r="P87" s="112">
        <v>0.79</v>
      </c>
      <c r="Q87" s="112">
        <v>4.7699999999999996</v>
      </c>
    </row>
    <row r="88" spans="1:17" customFormat="1">
      <c r="A88" s="80">
        <v>45622.833333333336</v>
      </c>
      <c r="B88" s="112">
        <v>5.32</v>
      </c>
      <c r="C88" s="112">
        <v>22.29</v>
      </c>
      <c r="D88" s="112">
        <v>17.260000000000002</v>
      </c>
      <c r="E88" s="112">
        <v>9.11</v>
      </c>
      <c r="F88" s="112">
        <v>5.87</v>
      </c>
      <c r="G88" s="112">
        <v>89.67</v>
      </c>
      <c r="H88" s="112">
        <v>25.38</v>
      </c>
      <c r="I88" s="112">
        <v>8.4700000000000006</v>
      </c>
      <c r="J88" s="112">
        <v>0.19</v>
      </c>
      <c r="K88" s="112">
        <v>218.26</v>
      </c>
      <c r="L88" s="112">
        <v>18.5</v>
      </c>
      <c r="M88" s="112">
        <v>67.260000000000005</v>
      </c>
      <c r="N88" s="112">
        <v>1.4</v>
      </c>
      <c r="O88" s="112">
        <v>0</v>
      </c>
      <c r="P88" s="112">
        <v>0.8</v>
      </c>
      <c r="Q88" s="112">
        <v>4.7699999999999996</v>
      </c>
    </row>
    <row r="89" spans="1:17" customFormat="1">
      <c r="A89" s="80">
        <v>45622.84375</v>
      </c>
      <c r="B89" s="112">
        <v>5.37</v>
      </c>
      <c r="C89" s="112">
        <v>22.2</v>
      </c>
      <c r="D89" s="112">
        <v>17.25</v>
      </c>
      <c r="E89" s="112">
        <v>9.1999999999999993</v>
      </c>
      <c r="F89" s="112">
        <v>5.86</v>
      </c>
      <c r="G89" s="112">
        <v>89.85</v>
      </c>
      <c r="H89" s="112">
        <v>25.38</v>
      </c>
      <c r="I89" s="112">
        <v>8.58</v>
      </c>
      <c r="J89" s="112">
        <v>0.15</v>
      </c>
      <c r="K89" s="112">
        <v>188.29</v>
      </c>
      <c r="L89" s="112">
        <v>18.29</v>
      </c>
      <c r="M89" s="112">
        <v>67.89</v>
      </c>
      <c r="N89" s="112">
        <v>1.4</v>
      </c>
      <c r="O89" s="112">
        <v>0</v>
      </c>
      <c r="P89" s="112">
        <v>0.81</v>
      </c>
      <c r="Q89" s="112">
        <v>4.7699999999999996</v>
      </c>
    </row>
    <row r="90" spans="1:17" customFormat="1">
      <c r="A90" s="80">
        <v>45622.854166666664</v>
      </c>
      <c r="B90" s="112">
        <v>5.39</v>
      </c>
      <c r="C90" s="112">
        <v>22.06</v>
      </c>
      <c r="D90" s="112">
        <v>17.2</v>
      </c>
      <c r="E90" s="112">
        <v>8.9600000000000009</v>
      </c>
      <c r="F90" s="112">
        <v>5.71</v>
      </c>
      <c r="G90" s="112">
        <v>97.52</v>
      </c>
      <c r="H90" s="112">
        <v>25.77</v>
      </c>
      <c r="I90" s="112">
        <v>8.65</v>
      </c>
      <c r="J90" s="112">
        <v>0.15</v>
      </c>
      <c r="K90" s="112">
        <v>189.97</v>
      </c>
      <c r="L90" s="112">
        <v>18.13</v>
      </c>
      <c r="M90" s="112">
        <v>70.239999999999995</v>
      </c>
      <c r="N90" s="112">
        <v>1.4</v>
      </c>
      <c r="O90" s="112">
        <v>0</v>
      </c>
      <c r="P90" s="112">
        <v>0.8</v>
      </c>
      <c r="Q90" s="112">
        <v>4.75</v>
      </c>
    </row>
    <row r="91" spans="1:17" customFormat="1">
      <c r="A91" s="80">
        <v>45622.864583333336</v>
      </c>
      <c r="B91" s="112">
        <v>5.36</v>
      </c>
      <c r="C91" s="112">
        <v>21.86</v>
      </c>
      <c r="D91" s="112">
        <v>17.07</v>
      </c>
      <c r="E91" s="112">
        <v>9.14</v>
      </c>
      <c r="F91" s="112">
        <v>5.75</v>
      </c>
      <c r="G91" s="112">
        <v>97.52</v>
      </c>
      <c r="H91" s="112">
        <v>25.77</v>
      </c>
      <c r="I91" s="112">
        <v>8.7100000000000009</v>
      </c>
      <c r="J91" s="112">
        <v>0.16</v>
      </c>
      <c r="K91" s="112">
        <v>219.25</v>
      </c>
      <c r="L91" s="112">
        <v>17.940000000000001</v>
      </c>
      <c r="M91" s="112">
        <v>72.25</v>
      </c>
      <c r="N91" s="112">
        <v>1.4</v>
      </c>
      <c r="O91" s="112">
        <v>0</v>
      </c>
      <c r="P91" s="112">
        <v>0.81</v>
      </c>
      <c r="Q91" s="112">
        <v>4.7699999999999996</v>
      </c>
    </row>
    <row r="92" spans="1:17" customFormat="1">
      <c r="A92" s="80">
        <v>45622.875</v>
      </c>
      <c r="B92" s="112">
        <v>5.43</v>
      </c>
      <c r="C92" s="112">
        <v>21.33</v>
      </c>
      <c r="D92" s="112">
        <v>16.850000000000001</v>
      </c>
      <c r="E92" s="112">
        <v>9.01</v>
      </c>
      <c r="F92" s="112">
        <v>5.56</v>
      </c>
      <c r="G92" s="112">
        <v>97.52</v>
      </c>
      <c r="H92" s="112">
        <v>25.77</v>
      </c>
      <c r="I92" s="112">
        <v>8.76</v>
      </c>
      <c r="J92" s="112">
        <v>0.11</v>
      </c>
      <c r="K92" s="112">
        <v>169.55</v>
      </c>
      <c r="L92" s="112">
        <v>17.73</v>
      </c>
      <c r="M92" s="112">
        <v>71.87</v>
      </c>
      <c r="N92" s="112">
        <v>1.2</v>
      </c>
      <c r="O92" s="112">
        <v>0</v>
      </c>
      <c r="P92" s="112">
        <v>0.82</v>
      </c>
      <c r="Q92" s="112">
        <v>4.76</v>
      </c>
    </row>
    <row r="93" spans="1:17" customFormat="1">
      <c r="A93" s="80">
        <v>45622.885416666664</v>
      </c>
      <c r="B93" s="112">
        <v>5.56</v>
      </c>
      <c r="C93" s="112">
        <v>20.75</v>
      </c>
      <c r="D93" s="112">
        <v>16.649999999999999</v>
      </c>
      <c r="E93" s="112">
        <v>9</v>
      </c>
      <c r="F93" s="112">
        <v>5.89</v>
      </c>
      <c r="G93" s="112">
        <v>97.67</v>
      </c>
      <c r="H93" s="112">
        <v>25.74</v>
      </c>
      <c r="I93" s="112">
        <v>8.83</v>
      </c>
      <c r="J93" s="112">
        <v>0.12</v>
      </c>
      <c r="K93" s="112">
        <v>160</v>
      </c>
      <c r="L93" s="112">
        <v>17.64</v>
      </c>
      <c r="M93" s="112">
        <v>69.040000000000006</v>
      </c>
      <c r="N93" s="112">
        <v>1.3</v>
      </c>
      <c r="O93" s="112">
        <v>0</v>
      </c>
      <c r="P93" s="112">
        <v>0.79</v>
      </c>
      <c r="Q93" s="112">
        <v>4.74</v>
      </c>
    </row>
    <row r="94" spans="1:17" customFormat="1">
      <c r="A94" s="80">
        <v>45622.895833333336</v>
      </c>
      <c r="B94" s="112">
        <v>5.68</v>
      </c>
      <c r="C94" s="112">
        <v>20.239999999999998</v>
      </c>
      <c r="D94" s="112">
        <v>16.48</v>
      </c>
      <c r="E94" s="112">
        <v>9.42</v>
      </c>
      <c r="F94" s="112">
        <v>5.62</v>
      </c>
      <c r="G94" s="112">
        <v>104.12</v>
      </c>
      <c r="H94" s="112">
        <v>24.09</v>
      </c>
      <c r="I94" s="112">
        <v>8.8800000000000008</v>
      </c>
      <c r="J94" s="112">
        <v>0.2</v>
      </c>
      <c r="K94" s="112">
        <v>162.43</v>
      </c>
      <c r="L94" s="112">
        <v>17.760000000000002</v>
      </c>
      <c r="M94" s="112">
        <v>65.569999999999993</v>
      </c>
      <c r="N94" s="112">
        <v>1.2</v>
      </c>
      <c r="O94" s="112">
        <v>0</v>
      </c>
      <c r="P94" s="112">
        <v>0.78</v>
      </c>
      <c r="Q94" s="112">
        <v>4.7300000000000004</v>
      </c>
    </row>
    <row r="95" spans="1:17" customFormat="1">
      <c r="A95" s="80">
        <v>45622.90625</v>
      </c>
      <c r="B95" s="112">
        <v>5.73</v>
      </c>
      <c r="C95" s="112">
        <v>19.989999999999998</v>
      </c>
      <c r="D95" s="112">
        <v>16.39</v>
      </c>
      <c r="E95" s="112">
        <v>8.98</v>
      </c>
      <c r="F95" s="112">
        <v>5.79</v>
      </c>
      <c r="G95" s="112">
        <v>104.12</v>
      </c>
      <c r="H95" s="112">
        <v>24.09</v>
      </c>
      <c r="I95" s="112">
        <v>8.9</v>
      </c>
      <c r="J95" s="112">
        <v>0.14000000000000001</v>
      </c>
      <c r="K95" s="112">
        <v>191.07</v>
      </c>
      <c r="L95" s="112">
        <v>17.600000000000001</v>
      </c>
      <c r="M95" s="112">
        <v>70.38</v>
      </c>
      <c r="N95" s="112">
        <v>1.3</v>
      </c>
      <c r="O95" s="112">
        <v>0</v>
      </c>
      <c r="P95" s="112">
        <v>0.77</v>
      </c>
      <c r="Q95" s="112">
        <v>4.75</v>
      </c>
    </row>
    <row r="96" spans="1:17" customFormat="1">
      <c r="A96" s="80">
        <v>45622.916666666664</v>
      </c>
      <c r="B96" s="112">
        <v>5.76</v>
      </c>
      <c r="C96" s="112">
        <v>19.75</v>
      </c>
      <c r="D96" s="112">
        <v>16.29</v>
      </c>
      <c r="E96" s="112">
        <v>9.2899999999999991</v>
      </c>
      <c r="F96" s="112">
        <v>5.81</v>
      </c>
      <c r="G96" s="112">
        <v>104.12</v>
      </c>
      <c r="H96" s="112">
        <v>24.09</v>
      </c>
      <c r="I96" s="112">
        <v>8.9499999999999993</v>
      </c>
      <c r="J96" s="112">
        <v>0.16</v>
      </c>
      <c r="K96" s="112">
        <v>220.17</v>
      </c>
      <c r="L96" s="112">
        <v>17.29</v>
      </c>
      <c r="M96" s="112">
        <v>76.84</v>
      </c>
      <c r="N96" s="112">
        <v>1.4</v>
      </c>
      <c r="O96" s="112">
        <v>0</v>
      </c>
      <c r="P96" s="112">
        <v>0.78</v>
      </c>
      <c r="Q96" s="112">
        <v>4.75</v>
      </c>
    </row>
    <row r="97" spans="1:22" customFormat="1">
      <c r="A97" s="80">
        <v>45622.927083333336</v>
      </c>
      <c r="B97" s="112">
        <v>5.82</v>
      </c>
      <c r="C97" s="112">
        <v>19.5</v>
      </c>
      <c r="D97" s="112">
        <v>16.21</v>
      </c>
      <c r="E97" s="112">
        <v>9.94</v>
      </c>
      <c r="F97" s="112">
        <v>5.68</v>
      </c>
      <c r="G97" s="112">
        <v>103.96</v>
      </c>
      <c r="H97" s="112">
        <v>24.14</v>
      </c>
      <c r="I97" s="112">
        <v>8.98</v>
      </c>
      <c r="J97" s="112">
        <v>0.16</v>
      </c>
      <c r="K97" s="112">
        <v>224.28</v>
      </c>
      <c r="L97" s="112">
        <v>17.079999999999998</v>
      </c>
      <c r="M97" s="112">
        <v>76.8</v>
      </c>
      <c r="N97" s="112">
        <v>1.4</v>
      </c>
      <c r="O97" s="112">
        <v>0</v>
      </c>
      <c r="P97" s="112">
        <v>0.79</v>
      </c>
      <c r="Q97" s="112">
        <v>4.75</v>
      </c>
    </row>
    <row r="98" spans="1:22" customFormat="1">
      <c r="A98" s="80">
        <v>45622.9375</v>
      </c>
      <c r="B98" s="112">
        <v>5.89</v>
      </c>
      <c r="C98" s="112">
        <v>19.21</v>
      </c>
      <c r="D98" s="112">
        <v>16.12</v>
      </c>
      <c r="E98" s="112">
        <v>9.7100000000000009</v>
      </c>
      <c r="F98" s="112">
        <v>5.7</v>
      </c>
      <c r="G98" s="112">
        <v>97.01</v>
      </c>
      <c r="H98" s="112">
        <v>25.75</v>
      </c>
      <c r="I98" s="112">
        <v>8.98</v>
      </c>
      <c r="J98" s="112">
        <v>0.16</v>
      </c>
      <c r="K98" s="112">
        <v>211.15</v>
      </c>
      <c r="L98" s="112">
        <v>16.87</v>
      </c>
      <c r="M98" s="112">
        <v>77.5</v>
      </c>
      <c r="N98" s="112">
        <v>1.4</v>
      </c>
      <c r="O98" s="112">
        <v>0</v>
      </c>
      <c r="P98" s="112">
        <v>0.79</v>
      </c>
      <c r="Q98" s="112">
        <v>4.76</v>
      </c>
    </row>
    <row r="99" spans="1:22" customFormat="1">
      <c r="A99" s="80">
        <v>45622.947916666664</v>
      </c>
      <c r="B99" s="112">
        <v>5.92</v>
      </c>
      <c r="C99" s="112">
        <v>19.010000000000002</v>
      </c>
      <c r="D99" s="112">
        <v>16.03</v>
      </c>
      <c r="E99" s="112">
        <v>9.58</v>
      </c>
      <c r="F99" s="112">
        <v>5.83</v>
      </c>
      <c r="G99" s="112">
        <v>97.01</v>
      </c>
      <c r="H99" s="112">
        <v>25.75</v>
      </c>
      <c r="I99" s="112">
        <v>9.01</v>
      </c>
      <c r="J99" s="112">
        <v>0.09</v>
      </c>
      <c r="K99" s="112">
        <v>196.43</v>
      </c>
      <c r="L99" s="112">
        <v>16.66</v>
      </c>
      <c r="M99" s="112">
        <v>78.22</v>
      </c>
      <c r="N99" s="112">
        <v>1.4</v>
      </c>
      <c r="O99" s="112">
        <v>0</v>
      </c>
      <c r="P99" s="112">
        <v>0.79</v>
      </c>
      <c r="Q99" s="112">
        <v>4.75</v>
      </c>
    </row>
    <row r="100" spans="1:22" customFormat="1">
      <c r="A100" s="80">
        <v>45622.958333333336</v>
      </c>
      <c r="B100" s="112">
        <v>5.98</v>
      </c>
      <c r="C100" s="112">
        <v>18.87</v>
      </c>
      <c r="D100" s="112">
        <v>16.010000000000002</v>
      </c>
      <c r="E100" s="112">
        <v>9.6199999999999992</v>
      </c>
      <c r="F100" s="112">
        <v>5.77</v>
      </c>
      <c r="G100" s="112">
        <v>97.01</v>
      </c>
      <c r="H100" s="112">
        <v>25.75</v>
      </c>
      <c r="I100" s="112">
        <v>9.06</v>
      </c>
      <c r="J100" s="112">
        <v>0.12</v>
      </c>
      <c r="K100" s="112">
        <v>185.56</v>
      </c>
      <c r="L100" s="112">
        <v>16.760000000000002</v>
      </c>
      <c r="M100" s="112">
        <v>71.680000000000007</v>
      </c>
      <c r="N100" s="112">
        <v>1.3</v>
      </c>
      <c r="O100" s="112">
        <v>0</v>
      </c>
      <c r="P100" s="112">
        <v>0.8</v>
      </c>
      <c r="Q100" s="112">
        <v>4.74</v>
      </c>
    </row>
    <row r="101" spans="1:22" customFormat="1">
      <c r="A101" s="80">
        <v>45622.96875</v>
      </c>
      <c r="B101" s="112">
        <v>5.98</v>
      </c>
      <c r="C101" s="112">
        <v>18.7</v>
      </c>
      <c r="D101" s="112">
        <v>15.92</v>
      </c>
      <c r="E101" s="112">
        <v>9.43</v>
      </c>
      <c r="F101" s="112">
        <v>5.66</v>
      </c>
      <c r="G101" s="112">
        <v>96.89</v>
      </c>
      <c r="H101" s="112">
        <v>25.81</v>
      </c>
      <c r="I101" s="112">
        <v>9.07</v>
      </c>
      <c r="J101" s="112">
        <v>0.11</v>
      </c>
      <c r="K101" s="112">
        <v>199.79</v>
      </c>
      <c r="L101" s="112">
        <v>16.690000000000001</v>
      </c>
      <c r="M101" s="112">
        <v>77.69</v>
      </c>
      <c r="N101" s="112">
        <v>1.3</v>
      </c>
      <c r="O101" s="112">
        <v>0</v>
      </c>
      <c r="P101" s="112">
        <v>0.79</v>
      </c>
      <c r="Q101" s="112">
        <v>4.78</v>
      </c>
    </row>
    <row r="102" spans="1:22" customFormat="1">
      <c r="A102" s="80">
        <v>45622.979166666664</v>
      </c>
      <c r="B102" s="112">
        <v>5.97</v>
      </c>
      <c r="C102" s="112">
        <v>18.5</v>
      </c>
      <c r="D102" s="112">
        <v>15.81</v>
      </c>
      <c r="E102" s="112">
        <v>9.4600000000000009</v>
      </c>
      <c r="F102" s="112">
        <v>5.49</v>
      </c>
      <c r="G102" s="112">
        <v>91.4</v>
      </c>
      <c r="H102" s="112">
        <v>27.68</v>
      </c>
      <c r="I102" s="112">
        <v>9.08</v>
      </c>
      <c r="J102" s="112">
        <v>0.1</v>
      </c>
      <c r="K102" s="112">
        <v>174.88</v>
      </c>
      <c r="L102" s="112">
        <v>16.57</v>
      </c>
      <c r="M102" s="112">
        <v>77.92</v>
      </c>
      <c r="N102" s="112">
        <v>1.3</v>
      </c>
      <c r="O102" s="112">
        <v>0</v>
      </c>
      <c r="P102" s="112">
        <v>0.78</v>
      </c>
      <c r="Q102" s="112">
        <v>4.78</v>
      </c>
    </row>
    <row r="103" spans="1:22" customFormat="1">
      <c r="A103" s="80">
        <v>45622.989583333336</v>
      </c>
      <c r="B103" s="112">
        <v>5.97</v>
      </c>
      <c r="C103" s="112">
        <v>18.21</v>
      </c>
      <c r="D103" s="112">
        <v>15.66</v>
      </c>
      <c r="E103" s="112">
        <v>9.1999999999999993</v>
      </c>
      <c r="F103" s="112">
        <v>5.63</v>
      </c>
      <c r="G103" s="112">
        <v>91.4</v>
      </c>
      <c r="H103" s="112">
        <v>27.68</v>
      </c>
      <c r="I103" s="112">
        <v>9.0500000000000007</v>
      </c>
      <c r="J103" s="112">
        <v>0.1</v>
      </c>
      <c r="K103" s="112">
        <v>208.61</v>
      </c>
      <c r="L103" s="112">
        <v>16.45</v>
      </c>
      <c r="M103" s="112">
        <v>75.55</v>
      </c>
      <c r="N103" s="112">
        <v>1.3</v>
      </c>
      <c r="O103" s="112">
        <v>0</v>
      </c>
      <c r="P103" s="112">
        <v>0.78</v>
      </c>
      <c r="Q103" s="112">
        <v>4.78</v>
      </c>
    </row>
    <row r="104" spans="1:22" customFormat="1">
      <c r="A104" s="80">
        <v>45623</v>
      </c>
      <c r="B104" s="112">
        <v>5.89</v>
      </c>
      <c r="C104" s="112">
        <v>18.059999999999999</v>
      </c>
      <c r="D104" s="112">
        <v>15.51</v>
      </c>
      <c r="E104" s="112">
        <v>9.52</v>
      </c>
      <c r="F104" s="112">
        <v>5.8</v>
      </c>
      <c r="G104" s="112">
        <v>91.4</v>
      </c>
      <c r="H104" s="112">
        <v>27.68</v>
      </c>
      <c r="I104" s="112">
        <v>9</v>
      </c>
      <c r="J104" s="112">
        <v>0.1</v>
      </c>
      <c r="K104" s="112">
        <v>201.64</v>
      </c>
      <c r="L104" s="112">
        <v>16.46</v>
      </c>
      <c r="M104" s="112">
        <v>76.06</v>
      </c>
      <c r="N104" s="112">
        <v>1.3</v>
      </c>
      <c r="O104" s="112">
        <v>0</v>
      </c>
      <c r="P104" s="112">
        <v>0.78</v>
      </c>
      <c r="Q104" s="112">
        <v>4.75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4.3899999999999997</v>
      </c>
      <c r="C106" s="183">
        <f>MIN(C9:C104)</f>
        <v>17.23</v>
      </c>
      <c r="D106" s="183">
        <f t="shared" ref="D106:Q106" si="0">MIN(D9:D104)</f>
        <v>13.99</v>
      </c>
      <c r="E106" s="183">
        <f t="shared" si="0"/>
        <v>7.65</v>
      </c>
      <c r="F106" s="183">
        <f t="shared" si="0"/>
        <v>5.2</v>
      </c>
      <c r="G106" s="183">
        <f t="shared" si="0"/>
        <v>53.77</v>
      </c>
      <c r="H106" s="183">
        <f t="shared" si="0"/>
        <v>24.09</v>
      </c>
      <c r="I106" s="183">
        <f t="shared" si="0"/>
        <v>7.42</v>
      </c>
      <c r="J106" s="183">
        <f t="shared" si="0"/>
        <v>0.04</v>
      </c>
      <c r="K106" s="183">
        <f t="shared" si="0"/>
        <v>4.59</v>
      </c>
      <c r="L106" s="183">
        <f t="shared" si="0"/>
        <v>13.64</v>
      </c>
      <c r="M106" s="183">
        <f t="shared" si="0"/>
        <v>25.44</v>
      </c>
      <c r="N106" s="183">
        <f t="shared" si="0"/>
        <v>1</v>
      </c>
      <c r="O106" s="183">
        <f t="shared" si="0"/>
        <v>0</v>
      </c>
      <c r="P106" s="183">
        <f t="shared" si="0"/>
        <v>0.64</v>
      </c>
      <c r="Q106" s="183">
        <f t="shared" si="0"/>
        <v>4.7300000000000004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41.99</v>
      </c>
      <c r="C107" s="184">
        <f t="shared" ref="C107:Q107" si="1">MAX(C9:C104)</f>
        <v>25.75</v>
      </c>
      <c r="D107" s="184">
        <f t="shared" si="1"/>
        <v>47.11</v>
      </c>
      <c r="E107" s="184">
        <f t="shared" si="1"/>
        <v>11.28</v>
      </c>
      <c r="F107" s="184">
        <f t="shared" si="1"/>
        <v>11.84</v>
      </c>
      <c r="G107" s="184">
        <f t="shared" si="1"/>
        <v>104.12</v>
      </c>
      <c r="H107" s="184">
        <f t="shared" si="1"/>
        <v>35.520000000000003</v>
      </c>
      <c r="I107" s="184">
        <f t="shared" si="1"/>
        <v>12.03</v>
      </c>
      <c r="J107" s="184">
        <f t="shared" si="1"/>
        <v>1.1499999999999999</v>
      </c>
      <c r="K107" s="184">
        <f t="shared" si="1"/>
        <v>245.15</v>
      </c>
      <c r="L107" s="184">
        <f t="shared" si="1"/>
        <v>28.48</v>
      </c>
      <c r="M107" s="184">
        <f t="shared" si="1"/>
        <v>93.3</v>
      </c>
      <c r="N107" s="184">
        <f t="shared" si="1"/>
        <v>518.1</v>
      </c>
      <c r="O107" s="184">
        <f t="shared" si="1"/>
        <v>0</v>
      </c>
      <c r="P107" s="184">
        <f t="shared" si="1"/>
        <v>1.03</v>
      </c>
      <c r="Q107" s="184">
        <f t="shared" si="1"/>
        <v>4.78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14.673333333333344</v>
      </c>
      <c r="C108" s="183">
        <f t="shared" ref="C108:Q108" si="2">AVERAGE(C9:C104)</f>
        <v>20.887291666666663</v>
      </c>
      <c r="D108" s="183">
        <f t="shared" si="2"/>
        <v>24.031041666666667</v>
      </c>
      <c r="E108" s="183">
        <f t="shared" si="2"/>
        <v>9.4509374999999984</v>
      </c>
      <c r="F108" s="183">
        <f t="shared" si="2"/>
        <v>6.4637499999999948</v>
      </c>
      <c r="G108" s="183">
        <f t="shared" si="2"/>
        <v>84.661354166666712</v>
      </c>
      <c r="H108" s="183">
        <f t="shared" si="2"/>
        <v>29.175104166666667</v>
      </c>
      <c r="I108" s="183">
        <f t="shared" si="2"/>
        <v>9.8767708333333335</v>
      </c>
      <c r="J108" s="183">
        <f t="shared" si="2"/>
        <v>0.29322916666666665</v>
      </c>
      <c r="K108" s="183">
        <f t="shared" si="2"/>
        <v>138.70697916666668</v>
      </c>
      <c r="L108" s="183">
        <f t="shared" si="2"/>
        <v>20.208437500000002</v>
      </c>
      <c r="M108" s="183">
        <f t="shared" si="2"/>
        <v>61.867395833333312</v>
      </c>
      <c r="N108" s="183">
        <f t="shared" si="2"/>
        <v>101.49374999999993</v>
      </c>
      <c r="O108" s="183">
        <f t="shared" si="2"/>
        <v>0</v>
      </c>
      <c r="P108" s="183">
        <f t="shared" si="2"/>
        <v>0.85947916666666713</v>
      </c>
      <c r="Q108" s="183">
        <f t="shared" si="2"/>
        <v>4.7568749999999964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12.439762704342513</v>
      </c>
      <c r="C109" s="183">
        <f t="shared" ref="C109:Q109" si="3">STDEV(C9:C104)</f>
        <v>2.254999815225518</v>
      </c>
      <c r="D109" s="183">
        <f t="shared" si="3"/>
        <v>10.197637237090678</v>
      </c>
      <c r="E109" s="183">
        <f t="shared" si="3"/>
        <v>0.59511180395836294</v>
      </c>
      <c r="F109" s="183">
        <f t="shared" si="3"/>
        <v>1.5379673872389465</v>
      </c>
      <c r="G109" s="183">
        <f t="shared" si="3"/>
        <v>13.97225420684169</v>
      </c>
      <c r="H109" s="183">
        <f t="shared" si="3"/>
        <v>2.9140299441411868</v>
      </c>
      <c r="I109" s="183">
        <f t="shared" si="3"/>
        <v>1.5120300016458812</v>
      </c>
      <c r="J109" s="183">
        <f t="shared" si="3"/>
        <v>0.24362825344609168</v>
      </c>
      <c r="K109" s="183">
        <f t="shared" si="3"/>
        <v>70.77959961992903</v>
      </c>
      <c r="L109" s="183">
        <f t="shared" si="3"/>
        <v>5.070527498381411</v>
      </c>
      <c r="M109" s="183">
        <f t="shared" si="3"/>
        <v>24.040647694435823</v>
      </c>
      <c r="N109" s="183">
        <f t="shared" si="3"/>
        <v>165.72475774291345</v>
      </c>
      <c r="O109" s="183">
        <f t="shared" si="3"/>
        <v>0</v>
      </c>
      <c r="P109" s="183">
        <f t="shared" si="3"/>
        <v>0.12494520728927752</v>
      </c>
      <c r="Q109" s="183">
        <f t="shared" si="3"/>
        <v>1.2757866510303847E-2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5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45623.010416666664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45623.010416666664</v>
      </c>
      <c r="B9" s="112">
        <v>6.34</v>
      </c>
      <c r="C9" s="112">
        <v>18.010000000000002</v>
      </c>
      <c r="D9" s="112">
        <v>15.84</v>
      </c>
      <c r="E9" s="112">
        <v>9.6199999999999992</v>
      </c>
      <c r="F9" s="112">
        <v>5.68</v>
      </c>
      <c r="G9" s="112">
        <v>91.26</v>
      </c>
      <c r="H9" s="112">
        <v>27.64</v>
      </c>
      <c r="I9" s="112">
        <v>8.9600000000000009</v>
      </c>
      <c r="J9" s="112">
        <v>0.15</v>
      </c>
      <c r="K9" s="112">
        <v>151.31</v>
      </c>
      <c r="L9" s="112">
        <v>16.329999999999998</v>
      </c>
      <c r="M9" s="112">
        <v>81.25</v>
      </c>
      <c r="N9" s="112">
        <v>1.3</v>
      </c>
      <c r="O9" s="112">
        <v>0</v>
      </c>
      <c r="P9" s="112">
        <v>0.77</v>
      </c>
      <c r="Q9" s="112">
        <v>4.76</v>
      </c>
    </row>
    <row r="10" spans="1:21" customFormat="1">
      <c r="A10" s="80">
        <v>45623.020833333336</v>
      </c>
      <c r="B10" s="112">
        <v>7.03</v>
      </c>
      <c r="C10" s="112">
        <v>17.920000000000002</v>
      </c>
      <c r="D10" s="112">
        <v>16.350000000000001</v>
      </c>
      <c r="E10" s="112">
        <v>9.34</v>
      </c>
      <c r="F10" s="112">
        <v>5.51</v>
      </c>
      <c r="G10" s="112">
        <v>85.29</v>
      </c>
      <c r="H10" s="112">
        <v>25.14</v>
      </c>
      <c r="I10" s="112">
        <v>8.9</v>
      </c>
      <c r="J10" s="112">
        <v>7.0000000000000007E-2</v>
      </c>
      <c r="K10" s="112">
        <v>355.09</v>
      </c>
      <c r="L10" s="112">
        <v>16.309999999999999</v>
      </c>
      <c r="M10" s="112">
        <v>78.53</v>
      </c>
      <c r="N10" s="112">
        <v>1.2</v>
      </c>
      <c r="O10" s="112">
        <v>0</v>
      </c>
      <c r="P10" s="112">
        <v>0.76</v>
      </c>
      <c r="Q10" s="112">
        <v>4.7699999999999996</v>
      </c>
    </row>
    <row r="11" spans="1:21" customFormat="1">
      <c r="A11" s="80">
        <v>45623.03125</v>
      </c>
      <c r="B11" s="112">
        <v>9.17</v>
      </c>
      <c r="C11" s="112">
        <v>18.510000000000002</v>
      </c>
      <c r="D11" s="112">
        <v>18.37</v>
      </c>
      <c r="E11" s="112">
        <v>9.2100000000000009</v>
      </c>
      <c r="F11" s="112">
        <v>5.15</v>
      </c>
      <c r="G11" s="112">
        <v>85.29</v>
      </c>
      <c r="H11" s="112">
        <v>25.14</v>
      </c>
      <c r="I11" s="112">
        <v>8.84</v>
      </c>
      <c r="J11" s="112">
        <v>0.34</v>
      </c>
      <c r="K11" s="112">
        <v>34.770000000000003</v>
      </c>
      <c r="L11" s="112">
        <v>16.72</v>
      </c>
      <c r="M11" s="112">
        <v>71.81</v>
      </c>
      <c r="N11" s="112">
        <v>0.8</v>
      </c>
      <c r="O11" s="112">
        <v>0</v>
      </c>
      <c r="P11" s="112">
        <v>0.79</v>
      </c>
      <c r="Q11" s="112">
        <v>4.75</v>
      </c>
    </row>
    <row r="12" spans="1:21" customFormat="1">
      <c r="A12" s="80">
        <v>45623.041666666664</v>
      </c>
      <c r="B12" s="112">
        <v>10.71</v>
      </c>
      <c r="C12" s="112">
        <v>19.079999999999998</v>
      </c>
      <c r="D12" s="112">
        <v>19.899999999999999</v>
      </c>
      <c r="E12" s="112">
        <v>9.6300000000000008</v>
      </c>
      <c r="F12" s="112">
        <v>5.56</v>
      </c>
      <c r="G12" s="112">
        <v>85.29</v>
      </c>
      <c r="H12" s="112">
        <v>25.14</v>
      </c>
      <c r="I12" s="112">
        <v>8.83</v>
      </c>
      <c r="J12" s="112">
        <v>0.22</v>
      </c>
      <c r="K12" s="112">
        <v>64.53</v>
      </c>
      <c r="L12" s="112">
        <v>16.809999999999999</v>
      </c>
      <c r="M12" s="112">
        <v>70.14</v>
      </c>
      <c r="N12" s="112">
        <v>1.3</v>
      </c>
      <c r="O12" s="112">
        <v>0</v>
      </c>
      <c r="P12" s="112">
        <v>0.81</v>
      </c>
      <c r="Q12" s="112">
        <v>4.74</v>
      </c>
    </row>
    <row r="13" spans="1:21" customFormat="1">
      <c r="A13" s="80">
        <v>45623.052083333336</v>
      </c>
      <c r="B13" s="112">
        <v>11.89</v>
      </c>
      <c r="C13" s="112">
        <v>19.5</v>
      </c>
      <c r="D13" s="112">
        <v>21.08</v>
      </c>
      <c r="E13" s="112">
        <v>9.43</v>
      </c>
      <c r="F13" s="112">
        <v>5.51</v>
      </c>
      <c r="G13" s="112">
        <v>85.42</v>
      </c>
      <c r="H13" s="112">
        <v>25.17</v>
      </c>
      <c r="I13" s="112">
        <v>8.9600000000000009</v>
      </c>
      <c r="J13" s="112">
        <v>0.1</v>
      </c>
      <c r="K13" s="112">
        <v>164.22</v>
      </c>
      <c r="L13" s="112">
        <v>16.57</v>
      </c>
      <c r="M13" s="112">
        <v>72.42</v>
      </c>
      <c r="N13" s="112">
        <v>1.7</v>
      </c>
      <c r="O13" s="112">
        <v>0</v>
      </c>
      <c r="P13" s="112">
        <v>0.83</v>
      </c>
      <c r="Q13" s="112">
        <v>4.75</v>
      </c>
    </row>
    <row r="14" spans="1:21" customFormat="1">
      <c r="A14" s="80">
        <v>45623.0625</v>
      </c>
      <c r="B14" s="112">
        <v>12.86</v>
      </c>
      <c r="C14" s="112">
        <v>19.75</v>
      </c>
      <c r="D14" s="112">
        <v>21.99</v>
      </c>
      <c r="E14" s="112">
        <v>9.5299999999999994</v>
      </c>
      <c r="F14" s="112">
        <v>5.38</v>
      </c>
      <c r="G14" s="112">
        <v>91.3</v>
      </c>
      <c r="H14" s="112">
        <v>27.17</v>
      </c>
      <c r="I14" s="112">
        <v>9.2200000000000006</v>
      </c>
      <c r="J14" s="112">
        <v>0.21</v>
      </c>
      <c r="K14" s="112">
        <v>29.6</v>
      </c>
      <c r="L14" s="112">
        <v>16.46</v>
      </c>
      <c r="M14" s="112">
        <v>71.97</v>
      </c>
      <c r="N14" s="112">
        <v>1.1000000000000001</v>
      </c>
      <c r="O14" s="112">
        <v>0</v>
      </c>
      <c r="P14" s="112">
        <v>0.85</v>
      </c>
      <c r="Q14" s="112">
        <v>4.76</v>
      </c>
    </row>
    <row r="15" spans="1:21" customFormat="1">
      <c r="A15" s="80">
        <v>45623.072916666664</v>
      </c>
      <c r="B15" s="112">
        <v>13.89</v>
      </c>
      <c r="C15" s="112">
        <v>20.010000000000002</v>
      </c>
      <c r="D15" s="112">
        <v>22.94</v>
      </c>
      <c r="E15" s="112">
        <v>9.42</v>
      </c>
      <c r="F15" s="112">
        <v>5.47</v>
      </c>
      <c r="G15" s="112">
        <v>91.3</v>
      </c>
      <c r="H15" s="112">
        <v>27.17</v>
      </c>
      <c r="I15" s="112">
        <v>9.5</v>
      </c>
      <c r="J15" s="112">
        <v>0.3</v>
      </c>
      <c r="K15" s="112">
        <v>17.73</v>
      </c>
      <c r="L15" s="112">
        <v>16.47</v>
      </c>
      <c r="M15" s="112">
        <v>70.75</v>
      </c>
      <c r="N15" s="112">
        <v>1.2</v>
      </c>
      <c r="O15" s="112">
        <v>0</v>
      </c>
      <c r="P15" s="112">
        <v>0.88</v>
      </c>
      <c r="Q15" s="112">
        <v>4.7699999999999996</v>
      </c>
    </row>
    <row r="16" spans="1:21" customFormat="1">
      <c r="A16" s="80">
        <v>45623.083333333336</v>
      </c>
      <c r="B16" s="112">
        <v>14.97</v>
      </c>
      <c r="C16" s="112">
        <v>20.5</v>
      </c>
      <c r="D16" s="112">
        <v>24.06</v>
      </c>
      <c r="E16" s="112">
        <v>9.77</v>
      </c>
      <c r="F16" s="112">
        <v>5.51</v>
      </c>
      <c r="G16" s="112">
        <v>91.3</v>
      </c>
      <c r="H16" s="112">
        <v>27.17</v>
      </c>
      <c r="I16" s="112">
        <v>9.81</v>
      </c>
      <c r="J16" s="112">
        <v>0.15</v>
      </c>
      <c r="K16" s="112">
        <v>37.53</v>
      </c>
      <c r="L16" s="112">
        <v>16.399999999999999</v>
      </c>
      <c r="M16" s="112">
        <v>70.430000000000007</v>
      </c>
      <c r="N16" s="112">
        <v>1.3</v>
      </c>
      <c r="O16" s="112">
        <v>0</v>
      </c>
      <c r="P16" s="112">
        <v>0.9</v>
      </c>
      <c r="Q16" s="112">
        <v>4.7699999999999996</v>
      </c>
    </row>
    <row r="17" spans="1:17" customFormat="1">
      <c r="A17" s="80">
        <v>45623.09375</v>
      </c>
      <c r="B17" s="112">
        <v>15.35</v>
      </c>
      <c r="C17" s="112">
        <v>20.7</v>
      </c>
      <c r="D17" s="112">
        <v>24.48</v>
      </c>
      <c r="E17" s="112">
        <v>7.66</v>
      </c>
      <c r="F17" s="112">
        <v>5.35</v>
      </c>
      <c r="G17" s="112">
        <v>91.57</v>
      </c>
      <c r="H17" s="112">
        <v>27.19</v>
      </c>
      <c r="I17" s="112">
        <v>10.130000000000001</v>
      </c>
      <c r="J17" s="112">
        <v>0.13</v>
      </c>
      <c r="K17" s="112">
        <v>165.88</v>
      </c>
      <c r="L17" s="112">
        <v>16.329999999999998</v>
      </c>
      <c r="M17" s="112">
        <v>71.83</v>
      </c>
      <c r="N17" s="112">
        <v>1.5</v>
      </c>
      <c r="O17" s="112">
        <v>0</v>
      </c>
      <c r="P17" s="112">
        <v>0.91</v>
      </c>
      <c r="Q17" s="112">
        <v>4.76</v>
      </c>
    </row>
    <row r="18" spans="1:17" customFormat="1">
      <c r="A18" s="80">
        <v>45623.104166666664</v>
      </c>
      <c r="B18" s="112">
        <v>15.1</v>
      </c>
      <c r="C18" s="112">
        <v>20.75</v>
      </c>
      <c r="D18" s="112">
        <v>24.31</v>
      </c>
      <c r="E18" s="112">
        <v>8.9499999999999993</v>
      </c>
      <c r="F18" s="112">
        <v>5.26</v>
      </c>
      <c r="G18" s="112">
        <v>103.56</v>
      </c>
      <c r="H18" s="112">
        <v>28.78</v>
      </c>
      <c r="I18" s="112">
        <v>10.4</v>
      </c>
      <c r="J18" s="112">
        <v>0.09</v>
      </c>
      <c r="K18" s="112">
        <v>242.41</v>
      </c>
      <c r="L18" s="112">
        <v>15.77</v>
      </c>
      <c r="M18" s="112">
        <v>77.069999999999993</v>
      </c>
      <c r="N18" s="112">
        <v>1.7</v>
      </c>
      <c r="O18" s="112">
        <v>0</v>
      </c>
      <c r="P18" s="112">
        <v>0.89</v>
      </c>
      <c r="Q18" s="112">
        <v>4.76</v>
      </c>
    </row>
    <row r="19" spans="1:17" customFormat="1">
      <c r="A19" s="80">
        <v>45623.114583333336</v>
      </c>
      <c r="B19" s="112">
        <v>15.34</v>
      </c>
      <c r="C19" s="112">
        <v>20.96</v>
      </c>
      <c r="D19" s="112">
        <v>24.61</v>
      </c>
      <c r="E19" s="112">
        <v>8.94</v>
      </c>
      <c r="F19" s="112">
        <v>5.36</v>
      </c>
      <c r="G19" s="112">
        <v>103.56</v>
      </c>
      <c r="H19" s="112">
        <v>28.78</v>
      </c>
      <c r="I19" s="112">
        <v>10.6</v>
      </c>
      <c r="J19" s="112">
        <v>0.19</v>
      </c>
      <c r="K19" s="112">
        <v>174.71</v>
      </c>
      <c r="L19" s="112">
        <v>15.78</v>
      </c>
      <c r="M19" s="112">
        <v>75.87</v>
      </c>
      <c r="N19" s="112">
        <v>1.2</v>
      </c>
      <c r="O19" s="112">
        <v>0</v>
      </c>
      <c r="P19" s="112">
        <v>0.9</v>
      </c>
      <c r="Q19" s="112">
        <v>4.78</v>
      </c>
    </row>
    <row r="20" spans="1:17" customFormat="1">
      <c r="A20" s="80">
        <v>45623.125</v>
      </c>
      <c r="B20" s="112">
        <v>15.49</v>
      </c>
      <c r="C20" s="112">
        <v>20.99</v>
      </c>
      <c r="D20" s="112">
        <v>24.74</v>
      </c>
      <c r="E20" s="112">
        <v>8.61</v>
      </c>
      <c r="F20" s="112">
        <v>5.46</v>
      </c>
      <c r="G20" s="112">
        <v>103.56</v>
      </c>
      <c r="H20" s="112">
        <v>28.78</v>
      </c>
      <c r="I20" s="112">
        <v>10.69</v>
      </c>
      <c r="J20" s="112">
        <v>0.14000000000000001</v>
      </c>
      <c r="K20" s="112">
        <v>184.17</v>
      </c>
      <c r="L20" s="112">
        <v>15.42</v>
      </c>
      <c r="M20" s="112">
        <v>80.569999999999993</v>
      </c>
      <c r="N20" s="112">
        <v>1.7</v>
      </c>
      <c r="O20" s="112">
        <v>0</v>
      </c>
      <c r="P20" s="112">
        <v>0.91</v>
      </c>
      <c r="Q20" s="112">
        <v>4.76</v>
      </c>
    </row>
    <row r="21" spans="1:17" customFormat="1">
      <c r="A21" s="80">
        <v>45623.135416666664</v>
      </c>
      <c r="B21" s="112">
        <v>14.91</v>
      </c>
      <c r="C21" s="112">
        <v>20.86</v>
      </c>
      <c r="D21" s="112">
        <v>24.21</v>
      </c>
      <c r="E21" s="112">
        <v>8.4600000000000009</v>
      </c>
      <c r="F21" s="112">
        <v>5.39</v>
      </c>
      <c r="G21" s="112">
        <v>103.44</v>
      </c>
      <c r="H21" s="112">
        <v>28.78</v>
      </c>
      <c r="I21" s="112">
        <v>10.77</v>
      </c>
      <c r="J21" s="112">
        <v>0.13</v>
      </c>
      <c r="K21" s="112">
        <v>226.91</v>
      </c>
      <c r="L21" s="112">
        <v>15</v>
      </c>
      <c r="M21" s="112">
        <v>83.74</v>
      </c>
      <c r="N21" s="112">
        <v>1.5</v>
      </c>
      <c r="O21" s="112">
        <v>0</v>
      </c>
      <c r="P21" s="112">
        <v>0.9</v>
      </c>
      <c r="Q21" s="112">
        <v>4.76</v>
      </c>
    </row>
    <row r="22" spans="1:17" customFormat="1">
      <c r="A22" s="80">
        <v>45623.145833333336</v>
      </c>
      <c r="B22" s="112">
        <v>14.23</v>
      </c>
      <c r="C22" s="112">
        <v>20.57</v>
      </c>
      <c r="D22" s="112">
        <v>23.51</v>
      </c>
      <c r="E22" s="112">
        <v>8.8000000000000007</v>
      </c>
      <c r="F22" s="112">
        <v>5.56</v>
      </c>
      <c r="G22" s="112">
        <v>98.39</v>
      </c>
      <c r="H22" s="112">
        <v>29.01</v>
      </c>
      <c r="I22" s="112">
        <v>10.85</v>
      </c>
      <c r="J22" s="112">
        <v>0.09</v>
      </c>
      <c r="K22" s="112">
        <v>152.77000000000001</v>
      </c>
      <c r="L22" s="112">
        <v>14.84</v>
      </c>
      <c r="M22" s="112">
        <v>85.35</v>
      </c>
      <c r="N22" s="112">
        <v>1.4</v>
      </c>
      <c r="O22" s="112">
        <v>0</v>
      </c>
      <c r="P22" s="112">
        <v>0.89</v>
      </c>
      <c r="Q22" s="112">
        <v>4.7699999999999996</v>
      </c>
    </row>
    <row r="23" spans="1:17" customFormat="1">
      <c r="A23" s="80">
        <v>45623.15625</v>
      </c>
      <c r="B23" s="112">
        <v>13.83</v>
      </c>
      <c r="C23" s="112">
        <v>20.29</v>
      </c>
      <c r="D23" s="112">
        <v>23.05</v>
      </c>
      <c r="E23" s="112">
        <v>8.2799999999999994</v>
      </c>
      <c r="F23" s="112">
        <v>5.46</v>
      </c>
      <c r="G23" s="112">
        <v>98.39</v>
      </c>
      <c r="H23" s="112">
        <v>29.01</v>
      </c>
      <c r="I23" s="112">
        <v>10.86</v>
      </c>
      <c r="J23" s="112">
        <v>0.15</v>
      </c>
      <c r="K23" s="112">
        <v>230.33</v>
      </c>
      <c r="L23" s="112">
        <v>14.82</v>
      </c>
      <c r="M23" s="112">
        <v>83.67</v>
      </c>
      <c r="N23" s="112">
        <v>1.3</v>
      </c>
      <c r="O23" s="112">
        <v>0</v>
      </c>
      <c r="P23" s="112">
        <v>0.89</v>
      </c>
      <c r="Q23" s="112">
        <v>4.7699999999999996</v>
      </c>
    </row>
    <row r="24" spans="1:17" customFormat="1">
      <c r="A24" s="80">
        <v>45623.166666666664</v>
      </c>
      <c r="B24" s="112">
        <v>13.77</v>
      </c>
      <c r="C24" s="112">
        <v>20.190000000000001</v>
      </c>
      <c r="D24" s="112">
        <v>22.94</v>
      </c>
      <c r="E24" s="112">
        <v>8.2100000000000009</v>
      </c>
      <c r="F24" s="112">
        <v>5.47</v>
      </c>
      <c r="G24" s="112">
        <v>98.39</v>
      </c>
      <c r="H24" s="112">
        <v>29.01</v>
      </c>
      <c r="I24" s="112">
        <v>10.87</v>
      </c>
      <c r="J24" s="112">
        <v>0.14000000000000001</v>
      </c>
      <c r="K24" s="112">
        <v>177.67</v>
      </c>
      <c r="L24" s="112">
        <v>14.72</v>
      </c>
      <c r="M24" s="112">
        <v>86.73</v>
      </c>
      <c r="N24" s="112">
        <v>1.4</v>
      </c>
      <c r="O24" s="112">
        <v>0</v>
      </c>
      <c r="P24" s="112">
        <v>0.89</v>
      </c>
      <c r="Q24" s="112">
        <v>4.7699999999999996</v>
      </c>
    </row>
    <row r="25" spans="1:17" customFormat="1">
      <c r="A25" s="80">
        <v>45623.177083333336</v>
      </c>
      <c r="B25" s="112">
        <v>13.44</v>
      </c>
      <c r="C25" s="112">
        <v>19.920000000000002</v>
      </c>
      <c r="D25" s="112">
        <v>22.53</v>
      </c>
      <c r="E25" s="112">
        <v>8.07</v>
      </c>
      <c r="F25" s="112">
        <v>5.41</v>
      </c>
      <c r="G25" s="112">
        <v>98.32</v>
      </c>
      <c r="H25" s="112">
        <v>29.07</v>
      </c>
      <c r="I25" s="112">
        <v>10.88</v>
      </c>
      <c r="J25" s="112">
        <v>0.1</v>
      </c>
      <c r="K25" s="112">
        <v>229.71</v>
      </c>
      <c r="L25" s="112">
        <v>14.59</v>
      </c>
      <c r="M25" s="112">
        <v>88.44</v>
      </c>
      <c r="N25" s="112">
        <v>1.4</v>
      </c>
      <c r="O25" s="112">
        <v>0</v>
      </c>
      <c r="P25" s="112">
        <v>0.89</v>
      </c>
      <c r="Q25" s="112">
        <v>4.7699999999999996</v>
      </c>
    </row>
    <row r="26" spans="1:17" customFormat="1">
      <c r="A26" s="80">
        <v>45623.1875</v>
      </c>
      <c r="B26" s="112">
        <v>13.01</v>
      </c>
      <c r="C26" s="112">
        <v>19.7</v>
      </c>
      <c r="D26" s="112">
        <v>22.08</v>
      </c>
      <c r="E26" s="112">
        <v>8.3000000000000007</v>
      </c>
      <c r="F26" s="112">
        <v>5.3</v>
      </c>
      <c r="G26" s="112">
        <v>95.32</v>
      </c>
      <c r="H26" s="112">
        <v>30.94</v>
      </c>
      <c r="I26" s="112">
        <v>10.91</v>
      </c>
      <c r="J26" s="112">
        <v>0.12</v>
      </c>
      <c r="K26" s="112">
        <v>236.99</v>
      </c>
      <c r="L26" s="112">
        <v>14.41</v>
      </c>
      <c r="M26" s="112">
        <v>86.96</v>
      </c>
      <c r="N26" s="112">
        <v>1.4</v>
      </c>
      <c r="O26" s="112">
        <v>0</v>
      </c>
      <c r="P26" s="112">
        <v>0.88</v>
      </c>
      <c r="Q26" s="112">
        <v>4.76</v>
      </c>
    </row>
    <row r="27" spans="1:17" customFormat="1">
      <c r="A27" s="80">
        <v>45623.197916666664</v>
      </c>
      <c r="B27" s="112">
        <v>14.12</v>
      </c>
      <c r="C27" s="112">
        <v>19.690000000000001</v>
      </c>
      <c r="D27" s="112">
        <v>22.97</v>
      </c>
      <c r="E27" s="112">
        <v>8.26</v>
      </c>
      <c r="F27" s="112">
        <v>5.54</v>
      </c>
      <c r="G27" s="112">
        <v>95.32</v>
      </c>
      <c r="H27" s="112">
        <v>30.94</v>
      </c>
      <c r="I27" s="112">
        <v>10.95</v>
      </c>
      <c r="J27" s="112">
        <v>0.02</v>
      </c>
      <c r="K27" s="112">
        <v>20.39</v>
      </c>
      <c r="L27" s="112">
        <v>14.4</v>
      </c>
      <c r="M27" s="112">
        <v>84.99</v>
      </c>
      <c r="N27" s="112">
        <v>1.3</v>
      </c>
      <c r="O27" s="112">
        <v>0</v>
      </c>
      <c r="P27" s="112">
        <v>0.88</v>
      </c>
      <c r="Q27" s="112">
        <v>4.7699999999999996</v>
      </c>
    </row>
    <row r="28" spans="1:17" customFormat="1">
      <c r="A28" s="80">
        <v>45623.208333333336</v>
      </c>
      <c r="B28" s="112">
        <v>16.829999999999998</v>
      </c>
      <c r="C28" s="112">
        <v>19.88</v>
      </c>
      <c r="D28" s="112">
        <v>25.23</v>
      </c>
      <c r="E28" s="112">
        <v>8.43</v>
      </c>
      <c r="F28" s="112">
        <v>5.47</v>
      </c>
      <c r="G28" s="112">
        <v>95.32</v>
      </c>
      <c r="H28" s="112">
        <v>30.94</v>
      </c>
      <c r="I28" s="112">
        <v>11</v>
      </c>
      <c r="J28" s="112">
        <v>0.14000000000000001</v>
      </c>
      <c r="K28" s="112">
        <v>180.63</v>
      </c>
      <c r="L28" s="112">
        <v>14.67</v>
      </c>
      <c r="M28" s="112">
        <v>82.36</v>
      </c>
      <c r="N28" s="112">
        <v>1.1000000000000001</v>
      </c>
      <c r="O28" s="112">
        <v>0</v>
      </c>
      <c r="P28" s="112">
        <v>0.88</v>
      </c>
      <c r="Q28" s="112">
        <v>4.7699999999999996</v>
      </c>
    </row>
    <row r="29" spans="1:17" customFormat="1">
      <c r="A29" s="80">
        <v>45623.21875</v>
      </c>
      <c r="B29" s="112">
        <v>18.71</v>
      </c>
      <c r="C29" s="112">
        <v>19.97</v>
      </c>
      <c r="D29" s="112">
        <v>26.78</v>
      </c>
      <c r="E29" s="112">
        <v>8.23</v>
      </c>
      <c r="F29" s="112">
        <v>5.32</v>
      </c>
      <c r="G29" s="112">
        <v>95.3</v>
      </c>
      <c r="H29" s="112">
        <v>30.94</v>
      </c>
      <c r="I29" s="112">
        <v>11.06</v>
      </c>
      <c r="J29" s="112">
        <v>0.12</v>
      </c>
      <c r="K29" s="112">
        <v>176.34</v>
      </c>
      <c r="L29" s="112">
        <v>14.56</v>
      </c>
      <c r="M29" s="112">
        <v>87.61</v>
      </c>
      <c r="N29" s="112">
        <v>1.3</v>
      </c>
      <c r="O29" s="112">
        <v>0</v>
      </c>
      <c r="P29" s="112">
        <v>0.89</v>
      </c>
      <c r="Q29" s="112">
        <v>4.78</v>
      </c>
    </row>
    <row r="30" spans="1:17" customFormat="1">
      <c r="A30" s="80">
        <v>45623.229166666664</v>
      </c>
      <c r="B30" s="112">
        <v>19.89</v>
      </c>
      <c r="C30" s="112">
        <v>19.97</v>
      </c>
      <c r="D30" s="112">
        <v>27.74</v>
      </c>
      <c r="E30" s="112">
        <v>8.4700000000000006</v>
      </c>
      <c r="F30" s="112">
        <v>5.24</v>
      </c>
      <c r="G30" s="112">
        <v>94.21</v>
      </c>
      <c r="H30" s="112">
        <v>30.84</v>
      </c>
      <c r="I30" s="112">
        <v>11.15</v>
      </c>
      <c r="J30" s="112">
        <v>0.13</v>
      </c>
      <c r="K30" s="112">
        <v>166.48</v>
      </c>
      <c r="L30" s="112">
        <v>14.41</v>
      </c>
      <c r="M30" s="112">
        <v>86.49</v>
      </c>
      <c r="N30" s="112">
        <v>1.3</v>
      </c>
      <c r="O30" s="112">
        <v>0</v>
      </c>
      <c r="P30" s="112">
        <v>0.88</v>
      </c>
      <c r="Q30" s="112">
        <v>4.79</v>
      </c>
    </row>
    <row r="31" spans="1:17" customFormat="1">
      <c r="A31" s="80">
        <v>45623.239583333336</v>
      </c>
      <c r="B31" s="112">
        <v>22.39</v>
      </c>
      <c r="C31" s="112">
        <v>20.04</v>
      </c>
      <c r="D31" s="112">
        <v>29.78</v>
      </c>
      <c r="E31" s="112">
        <v>8.4700000000000006</v>
      </c>
      <c r="F31" s="112">
        <v>5.25</v>
      </c>
      <c r="G31" s="112">
        <v>94.21</v>
      </c>
      <c r="H31" s="112">
        <v>30.84</v>
      </c>
      <c r="I31" s="112">
        <v>11.22</v>
      </c>
      <c r="J31" s="112">
        <v>0.14000000000000001</v>
      </c>
      <c r="K31" s="112">
        <v>170.14</v>
      </c>
      <c r="L31" s="112">
        <v>14.6</v>
      </c>
      <c r="M31" s="112">
        <v>85.31</v>
      </c>
      <c r="N31" s="112">
        <v>1.3</v>
      </c>
      <c r="O31" s="112">
        <v>0</v>
      </c>
      <c r="P31" s="112">
        <v>0.9</v>
      </c>
      <c r="Q31" s="112">
        <v>4.79</v>
      </c>
    </row>
    <row r="32" spans="1:17" customFormat="1">
      <c r="A32" s="80">
        <v>45623.25</v>
      </c>
      <c r="B32" s="112">
        <v>24.38</v>
      </c>
      <c r="C32" s="112">
        <v>20.14</v>
      </c>
      <c r="D32" s="112">
        <v>31.42</v>
      </c>
      <c r="E32" s="112">
        <v>8.6999999999999993</v>
      </c>
      <c r="F32" s="112">
        <v>5.26</v>
      </c>
      <c r="G32" s="112">
        <v>94.21</v>
      </c>
      <c r="H32" s="112">
        <v>30.84</v>
      </c>
      <c r="I32" s="112">
        <v>11.31</v>
      </c>
      <c r="J32" s="112">
        <v>0.14000000000000001</v>
      </c>
      <c r="K32" s="112">
        <v>148.71</v>
      </c>
      <c r="L32" s="112">
        <v>14.47</v>
      </c>
      <c r="M32" s="112">
        <v>86.75</v>
      </c>
      <c r="N32" s="112">
        <v>1.4</v>
      </c>
      <c r="O32" s="112">
        <v>0</v>
      </c>
      <c r="P32" s="112">
        <v>0.9</v>
      </c>
      <c r="Q32" s="112">
        <v>4.79</v>
      </c>
    </row>
    <row r="33" spans="1:17" customFormat="1">
      <c r="A33" s="80">
        <v>45623.260416666664</v>
      </c>
      <c r="B33" s="112">
        <v>25.48</v>
      </c>
      <c r="C33" s="112">
        <v>20.14</v>
      </c>
      <c r="D33" s="112">
        <v>32.31</v>
      </c>
      <c r="E33" s="112">
        <v>8.49</v>
      </c>
      <c r="F33" s="112">
        <v>5.41</v>
      </c>
      <c r="G33" s="112">
        <v>94.31</v>
      </c>
      <c r="H33" s="112">
        <v>30.86</v>
      </c>
      <c r="I33" s="112">
        <v>11.47</v>
      </c>
      <c r="J33" s="112">
        <v>0.17</v>
      </c>
      <c r="K33" s="112">
        <v>165.34</v>
      </c>
      <c r="L33" s="112">
        <v>14.53</v>
      </c>
      <c r="M33" s="112">
        <v>84.87</v>
      </c>
      <c r="N33" s="112">
        <v>2.6</v>
      </c>
      <c r="O33" s="112">
        <v>0</v>
      </c>
      <c r="P33" s="112">
        <v>0.91</v>
      </c>
      <c r="Q33" s="112">
        <v>4.7699999999999996</v>
      </c>
    </row>
    <row r="34" spans="1:17" customFormat="1">
      <c r="A34" s="80">
        <v>45623.270833333336</v>
      </c>
      <c r="B34" s="112">
        <v>26.1</v>
      </c>
      <c r="C34" s="112">
        <v>20.14</v>
      </c>
      <c r="D34" s="112">
        <v>32.81</v>
      </c>
      <c r="E34" s="112">
        <v>8.56</v>
      </c>
      <c r="F34" s="112">
        <v>5.48</v>
      </c>
      <c r="G34" s="112">
        <v>98.79</v>
      </c>
      <c r="H34" s="112">
        <v>31.53</v>
      </c>
      <c r="I34" s="112">
        <v>11.66</v>
      </c>
      <c r="J34" s="112">
        <v>0.15</v>
      </c>
      <c r="K34" s="112">
        <v>209.72</v>
      </c>
      <c r="L34" s="112">
        <v>14.41</v>
      </c>
      <c r="M34" s="112">
        <v>87.93</v>
      </c>
      <c r="N34" s="112">
        <v>7.7</v>
      </c>
      <c r="O34" s="112">
        <v>0</v>
      </c>
      <c r="P34" s="112">
        <v>0.91</v>
      </c>
      <c r="Q34" s="112">
        <v>4.76</v>
      </c>
    </row>
    <row r="35" spans="1:17" customFormat="1">
      <c r="A35" s="80">
        <v>45623.28125</v>
      </c>
      <c r="B35" s="112">
        <v>25.93</v>
      </c>
      <c r="C35" s="112">
        <v>19.84</v>
      </c>
      <c r="D35" s="112">
        <v>32.51</v>
      </c>
      <c r="E35" s="112">
        <v>8.59</v>
      </c>
      <c r="F35" s="112">
        <v>5.21</v>
      </c>
      <c r="G35" s="112">
        <v>98.79</v>
      </c>
      <c r="H35" s="112">
        <v>31.53</v>
      </c>
      <c r="I35" s="112">
        <v>11.84</v>
      </c>
      <c r="J35" s="112">
        <v>7.0000000000000007E-2</v>
      </c>
      <c r="K35" s="112">
        <v>162.18</v>
      </c>
      <c r="L35" s="112">
        <v>14.26</v>
      </c>
      <c r="M35" s="112">
        <v>88.53</v>
      </c>
      <c r="N35" s="112">
        <v>16.399999999999999</v>
      </c>
      <c r="O35" s="112">
        <v>0</v>
      </c>
      <c r="P35" s="112">
        <v>0.91</v>
      </c>
      <c r="Q35" s="112">
        <v>4.76</v>
      </c>
    </row>
    <row r="36" spans="1:17" customFormat="1">
      <c r="A36" s="80">
        <v>45623.291666666664</v>
      </c>
      <c r="B36" s="112">
        <v>26.33</v>
      </c>
      <c r="C36" s="112">
        <v>19.96</v>
      </c>
      <c r="D36" s="112">
        <v>32.89</v>
      </c>
      <c r="E36" s="112">
        <v>8.64</v>
      </c>
      <c r="F36" s="112">
        <v>5.3</v>
      </c>
      <c r="G36" s="112">
        <v>98.79</v>
      </c>
      <c r="H36" s="112">
        <v>31.53</v>
      </c>
      <c r="I36" s="112">
        <v>12.01</v>
      </c>
      <c r="J36" s="112">
        <v>0.12</v>
      </c>
      <c r="K36" s="112">
        <v>51.85</v>
      </c>
      <c r="L36" s="112">
        <v>14.91</v>
      </c>
      <c r="M36" s="112">
        <v>82.51</v>
      </c>
      <c r="N36" s="112">
        <v>26.5</v>
      </c>
      <c r="O36" s="112">
        <v>0</v>
      </c>
      <c r="P36" s="112">
        <v>0.92</v>
      </c>
      <c r="Q36" s="112">
        <v>4.75</v>
      </c>
    </row>
    <row r="37" spans="1:17" customFormat="1">
      <c r="A37" s="80">
        <v>45623.302083333336</v>
      </c>
      <c r="B37" s="112">
        <v>27.03</v>
      </c>
      <c r="C37" s="112">
        <v>19.920000000000002</v>
      </c>
      <c r="D37" s="112">
        <v>33.44</v>
      </c>
      <c r="E37" s="112">
        <v>8.77</v>
      </c>
      <c r="F37" s="112">
        <v>5.46</v>
      </c>
      <c r="G37" s="112">
        <v>98.79</v>
      </c>
      <c r="H37" s="112">
        <v>31.52</v>
      </c>
      <c r="I37" s="112">
        <v>12.16</v>
      </c>
      <c r="J37" s="112">
        <v>0.42</v>
      </c>
      <c r="K37" s="112">
        <v>43.65</v>
      </c>
      <c r="L37" s="112">
        <v>15.98</v>
      </c>
      <c r="M37" s="112">
        <v>71.510000000000005</v>
      </c>
      <c r="N37" s="112">
        <v>38.200000000000003</v>
      </c>
      <c r="O37" s="112">
        <v>0</v>
      </c>
      <c r="P37" s="112">
        <v>0.92</v>
      </c>
      <c r="Q37" s="112">
        <v>4.74</v>
      </c>
    </row>
    <row r="38" spans="1:17" customFormat="1">
      <c r="A38" s="80">
        <v>45623.3125</v>
      </c>
      <c r="B38" s="112">
        <v>27.27</v>
      </c>
      <c r="C38" s="112">
        <v>19.93</v>
      </c>
      <c r="D38" s="112">
        <v>33.630000000000003</v>
      </c>
      <c r="E38" s="112">
        <v>8.85</v>
      </c>
      <c r="F38" s="112">
        <v>5.57</v>
      </c>
      <c r="G38" s="112">
        <v>98.57</v>
      </c>
      <c r="H38" s="112">
        <v>31.18</v>
      </c>
      <c r="I38" s="112">
        <v>12.33</v>
      </c>
      <c r="J38" s="112">
        <v>0.51</v>
      </c>
      <c r="K38" s="112">
        <v>37.520000000000003</v>
      </c>
      <c r="L38" s="112">
        <v>16.649999999999999</v>
      </c>
      <c r="M38" s="112">
        <v>68.39</v>
      </c>
      <c r="N38" s="112">
        <v>49.8</v>
      </c>
      <c r="O38" s="112">
        <v>0</v>
      </c>
      <c r="P38" s="112">
        <v>0.91</v>
      </c>
      <c r="Q38" s="112">
        <v>4.75</v>
      </c>
    </row>
    <row r="39" spans="1:17" customFormat="1">
      <c r="A39" s="80">
        <v>45623.322916666664</v>
      </c>
      <c r="B39" s="112">
        <v>26.69</v>
      </c>
      <c r="C39" s="112">
        <v>20.25</v>
      </c>
      <c r="D39" s="112">
        <v>33.33</v>
      </c>
      <c r="E39" s="112">
        <v>8.6999999999999993</v>
      </c>
      <c r="F39" s="112">
        <v>5.53</v>
      </c>
      <c r="G39" s="112">
        <v>98.57</v>
      </c>
      <c r="H39" s="112">
        <v>31.18</v>
      </c>
      <c r="I39" s="112">
        <v>12.52</v>
      </c>
      <c r="J39" s="112">
        <v>0.63</v>
      </c>
      <c r="K39" s="112">
        <v>31.45</v>
      </c>
      <c r="L39" s="112">
        <v>17.21</v>
      </c>
      <c r="M39" s="112">
        <v>66.83</v>
      </c>
      <c r="N39" s="112">
        <v>87.9</v>
      </c>
      <c r="O39" s="112">
        <v>0</v>
      </c>
      <c r="P39" s="112">
        <v>0.93</v>
      </c>
      <c r="Q39" s="112">
        <v>4.76</v>
      </c>
    </row>
    <row r="40" spans="1:17" customFormat="1">
      <c r="A40" s="80">
        <v>45623.333333333336</v>
      </c>
      <c r="B40" s="112">
        <v>25.89</v>
      </c>
      <c r="C40" s="112">
        <v>20.54</v>
      </c>
      <c r="D40" s="112">
        <v>32.840000000000003</v>
      </c>
      <c r="E40" s="112">
        <v>8.77</v>
      </c>
      <c r="F40" s="112">
        <v>5.76</v>
      </c>
      <c r="G40" s="112">
        <v>98.57</v>
      </c>
      <c r="H40" s="112">
        <v>31.18</v>
      </c>
      <c r="I40" s="112">
        <v>12.68</v>
      </c>
      <c r="J40" s="112">
        <v>0.59</v>
      </c>
      <c r="K40" s="112">
        <v>34.4</v>
      </c>
      <c r="L40" s="112">
        <v>18.02</v>
      </c>
      <c r="M40" s="112">
        <v>65.319999999999993</v>
      </c>
      <c r="N40" s="112">
        <v>154.80000000000001</v>
      </c>
      <c r="O40" s="112">
        <v>0</v>
      </c>
      <c r="P40" s="112">
        <v>0.94</v>
      </c>
      <c r="Q40" s="112">
        <v>4.76</v>
      </c>
    </row>
    <row r="41" spans="1:17" customFormat="1">
      <c r="A41" s="80">
        <v>45623.34375</v>
      </c>
      <c r="B41" s="112">
        <v>24.96</v>
      </c>
      <c r="C41" s="112">
        <v>20.8</v>
      </c>
      <c r="D41" s="112">
        <v>32.229999999999997</v>
      </c>
      <c r="E41" s="112">
        <v>8.7200000000000006</v>
      </c>
      <c r="F41" s="112">
        <v>6.26</v>
      </c>
      <c r="G41" s="112">
        <v>98.62</v>
      </c>
      <c r="H41" s="112">
        <v>31.23</v>
      </c>
      <c r="I41" s="112">
        <v>12.73</v>
      </c>
      <c r="J41" s="112">
        <v>0.72</v>
      </c>
      <c r="K41" s="112">
        <v>46.73</v>
      </c>
      <c r="L41" s="112">
        <v>19.149999999999999</v>
      </c>
      <c r="M41" s="112">
        <v>60.12</v>
      </c>
      <c r="N41" s="112">
        <v>185.2</v>
      </c>
      <c r="O41" s="112">
        <v>0</v>
      </c>
      <c r="P41" s="112">
        <v>0.95</v>
      </c>
      <c r="Q41" s="112">
        <v>4.7699999999999996</v>
      </c>
    </row>
    <row r="42" spans="1:17" customFormat="1">
      <c r="A42" s="80">
        <v>45623.354166666664</v>
      </c>
      <c r="B42" s="112">
        <v>24.13</v>
      </c>
      <c r="C42" s="112">
        <v>21.16</v>
      </c>
      <c r="D42" s="112">
        <v>31.75</v>
      </c>
      <c r="E42" s="112">
        <v>8.99</v>
      </c>
      <c r="F42" s="112">
        <v>5.6</v>
      </c>
      <c r="G42" s="112">
        <v>100.51</v>
      </c>
      <c r="H42" s="112">
        <v>32.880000000000003</v>
      </c>
      <c r="I42" s="112">
        <v>12.71</v>
      </c>
      <c r="J42" s="112">
        <v>0.83</v>
      </c>
      <c r="K42" s="112">
        <v>49.26</v>
      </c>
      <c r="L42" s="112">
        <v>20.2</v>
      </c>
      <c r="M42" s="112">
        <v>56.23</v>
      </c>
      <c r="N42" s="112">
        <v>158.30000000000001</v>
      </c>
      <c r="O42" s="112">
        <v>0</v>
      </c>
      <c r="P42" s="112">
        <v>0.95</v>
      </c>
      <c r="Q42" s="112">
        <v>4.7699999999999996</v>
      </c>
    </row>
    <row r="43" spans="1:17" customFormat="1">
      <c r="A43" s="80">
        <v>45623.364583333336</v>
      </c>
      <c r="B43" s="112">
        <v>23.23</v>
      </c>
      <c r="C43" s="112">
        <v>21.25</v>
      </c>
      <c r="D43" s="112">
        <v>31.08</v>
      </c>
      <c r="E43" s="112">
        <v>9</v>
      </c>
      <c r="F43" s="112">
        <v>5.76</v>
      </c>
      <c r="G43" s="112">
        <v>100.51</v>
      </c>
      <c r="H43" s="112">
        <v>32.880000000000003</v>
      </c>
      <c r="I43" s="112">
        <v>12.67</v>
      </c>
      <c r="J43" s="112">
        <v>0.89</v>
      </c>
      <c r="K43" s="112">
        <v>44.12</v>
      </c>
      <c r="L43" s="112">
        <v>20.96</v>
      </c>
      <c r="M43" s="112">
        <v>53.51</v>
      </c>
      <c r="N43" s="112">
        <v>199.1</v>
      </c>
      <c r="O43" s="112">
        <v>0</v>
      </c>
      <c r="P43" s="112">
        <v>0.94</v>
      </c>
      <c r="Q43" s="112">
        <v>4.76</v>
      </c>
    </row>
    <row r="44" spans="1:17" customFormat="1">
      <c r="A44" s="80">
        <v>45623.375</v>
      </c>
      <c r="B44" s="112">
        <v>22.5</v>
      </c>
      <c r="C44" s="112">
        <v>21.57</v>
      </c>
      <c r="D44" s="112">
        <v>30.66</v>
      </c>
      <c r="E44" s="112">
        <v>9.11</v>
      </c>
      <c r="F44" s="112">
        <v>5.81</v>
      </c>
      <c r="G44" s="112">
        <v>100.51</v>
      </c>
      <c r="H44" s="112">
        <v>32.880000000000003</v>
      </c>
      <c r="I44" s="112">
        <v>12.62</v>
      </c>
      <c r="J44" s="112">
        <v>0.46</v>
      </c>
      <c r="K44" s="112">
        <v>65.11</v>
      </c>
      <c r="L44" s="112">
        <v>22.09</v>
      </c>
      <c r="M44" s="112">
        <v>49.64</v>
      </c>
      <c r="N44" s="112">
        <v>198.2</v>
      </c>
      <c r="O44" s="112">
        <v>0</v>
      </c>
      <c r="P44" s="112">
        <v>0.95</v>
      </c>
      <c r="Q44" s="112">
        <v>4.75</v>
      </c>
    </row>
    <row r="45" spans="1:17" customFormat="1">
      <c r="A45" s="80">
        <v>45623.385416666664</v>
      </c>
      <c r="B45" s="112">
        <v>21.44</v>
      </c>
      <c r="C45" s="112">
        <v>21.77</v>
      </c>
      <c r="D45" s="112">
        <v>29.92</v>
      </c>
      <c r="E45" s="112">
        <v>9.5399999999999991</v>
      </c>
      <c r="F45" s="112">
        <v>5.64</v>
      </c>
      <c r="G45" s="112">
        <v>100.71</v>
      </c>
      <c r="H45" s="112">
        <v>32.869999999999997</v>
      </c>
      <c r="I45" s="112">
        <v>12.58</v>
      </c>
      <c r="J45" s="112">
        <v>0.88</v>
      </c>
      <c r="K45" s="112">
        <v>46.97</v>
      </c>
      <c r="L45" s="112">
        <v>22.64</v>
      </c>
      <c r="M45" s="112">
        <v>46.43</v>
      </c>
      <c r="N45" s="112">
        <v>207.6</v>
      </c>
      <c r="O45" s="112">
        <v>0</v>
      </c>
      <c r="P45" s="112">
        <v>0.94</v>
      </c>
      <c r="Q45" s="112">
        <v>4.76</v>
      </c>
    </row>
    <row r="46" spans="1:17" customFormat="1">
      <c r="A46" s="80">
        <v>45623.395833333336</v>
      </c>
      <c r="B46" s="112">
        <v>20.350000000000001</v>
      </c>
      <c r="C46" s="112">
        <v>21.81</v>
      </c>
      <c r="D46" s="112">
        <v>29.07</v>
      </c>
      <c r="E46" s="112">
        <v>9.3800000000000008</v>
      </c>
      <c r="F46" s="112">
        <v>5.79</v>
      </c>
      <c r="G46" s="112">
        <v>109.21</v>
      </c>
      <c r="H46" s="112">
        <v>32.82</v>
      </c>
      <c r="I46" s="112">
        <v>12.53</v>
      </c>
      <c r="J46" s="112">
        <v>0.72</v>
      </c>
      <c r="K46" s="112">
        <v>53.88</v>
      </c>
      <c r="L46" s="112">
        <v>23.12</v>
      </c>
      <c r="M46" s="112">
        <v>45.43</v>
      </c>
      <c r="N46" s="112">
        <v>250</v>
      </c>
      <c r="O46" s="112">
        <v>0</v>
      </c>
      <c r="P46" s="112">
        <v>0.95</v>
      </c>
      <c r="Q46" s="112">
        <v>4.74</v>
      </c>
    </row>
    <row r="47" spans="1:17" customFormat="1">
      <c r="A47" s="80">
        <v>45623.40625</v>
      </c>
      <c r="B47" s="112">
        <v>19.13</v>
      </c>
      <c r="C47" s="112">
        <v>22.05</v>
      </c>
      <c r="D47" s="112">
        <v>28.22</v>
      </c>
      <c r="E47" s="112">
        <v>9.6</v>
      </c>
      <c r="F47" s="112">
        <v>5.87</v>
      </c>
      <c r="G47" s="112">
        <v>109.21</v>
      </c>
      <c r="H47" s="112">
        <v>32.82</v>
      </c>
      <c r="I47" s="112">
        <v>12.45</v>
      </c>
      <c r="J47" s="112">
        <v>0.86</v>
      </c>
      <c r="K47" s="112">
        <v>48.73</v>
      </c>
      <c r="L47" s="112">
        <v>23.34</v>
      </c>
      <c r="M47" s="112">
        <v>45.12</v>
      </c>
      <c r="N47" s="112">
        <v>370.4</v>
      </c>
      <c r="O47" s="112">
        <v>0</v>
      </c>
      <c r="P47" s="112">
        <v>0.95</v>
      </c>
      <c r="Q47" s="112">
        <v>4.75</v>
      </c>
    </row>
    <row r="48" spans="1:17" customFormat="1">
      <c r="A48" s="80">
        <v>45623.416666666664</v>
      </c>
      <c r="B48" s="112">
        <v>18.170000000000002</v>
      </c>
      <c r="C48" s="112">
        <v>22.21</v>
      </c>
      <c r="D48" s="112">
        <v>27.52</v>
      </c>
      <c r="E48" s="112">
        <v>9.7200000000000006</v>
      </c>
      <c r="F48" s="112">
        <v>5.73</v>
      </c>
      <c r="G48" s="112">
        <v>109.21</v>
      </c>
      <c r="H48" s="112">
        <v>32.82</v>
      </c>
      <c r="I48" s="112">
        <v>12.38</v>
      </c>
      <c r="J48" s="112">
        <v>0.56999999999999995</v>
      </c>
      <c r="K48" s="112">
        <v>47.02</v>
      </c>
      <c r="L48" s="112">
        <v>23.95</v>
      </c>
      <c r="M48" s="112">
        <v>45.65</v>
      </c>
      <c r="N48" s="112">
        <v>398.9</v>
      </c>
      <c r="O48" s="112">
        <v>0</v>
      </c>
      <c r="P48" s="112">
        <v>0.94</v>
      </c>
      <c r="Q48" s="112">
        <v>4.7699999999999996</v>
      </c>
    </row>
    <row r="49" spans="1:17" customFormat="1">
      <c r="A49" s="80">
        <v>45623.427083333336</v>
      </c>
      <c r="B49" s="112">
        <v>17.25</v>
      </c>
      <c r="C49" s="112">
        <v>22.28</v>
      </c>
      <c r="D49" s="112">
        <v>26.82</v>
      </c>
      <c r="E49" s="112">
        <v>6.94</v>
      </c>
      <c r="F49" s="112">
        <v>5.61</v>
      </c>
      <c r="G49" s="112">
        <v>109.11</v>
      </c>
      <c r="H49" s="112">
        <v>32.82</v>
      </c>
      <c r="I49" s="112">
        <v>12.28</v>
      </c>
      <c r="J49" s="112">
        <v>0.43</v>
      </c>
      <c r="K49" s="112">
        <v>69.92</v>
      </c>
      <c r="L49" s="112">
        <v>24.68</v>
      </c>
      <c r="M49" s="112">
        <v>44.51</v>
      </c>
      <c r="N49" s="112">
        <v>424</v>
      </c>
      <c r="O49" s="112">
        <v>0</v>
      </c>
      <c r="P49" s="112">
        <v>0.93</v>
      </c>
      <c r="Q49" s="112">
        <v>4.76</v>
      </c>
    </row>
    <row r="50" spans="1:17" customFormat="1">
      <c r="A50" s="80">
        <v>45623.4375</v>
      </c>
      <c r="B50" s="112">
        <v>16.05</v>
      </c>
      <c r="C50" s="112">
        <v>22.25</v>
      </c>
      <c r="D50" s="112">
        <v>25.85</v>
      </c>
      <c r="E50" s="112">
        <v>7.92</v>
      </c>
      <c r="F50" s="112">
        <v>5.68</v>
      </c>
      <c r="G50" s="112">
        <v>104.84</v>
      </c>
      <c r="H50" s="112">
        <v>32.770000000000003</v>
      </c>
      <c r="I50" s="112">
        <v>12.2</v>
      </c>
      <c r="J50" s="112">
        <v>0.64</v>
      </c>
      <c r="K50" s="112">
        <v>55.21</v>
      </c>
      <c r="L50" s="112">
        <v>24.96</v>
      </c>
      <c r="M50" s="112">
        <v>42.55</v>
      </c>
      <c r="N50" s="112">
        <v>440.8</v>
      </c>
      <c r="O50" s="112">
        <v>0</v>
      </c>
      <c r="P50" s="112">
        <v>0.93</v>
      </c>
      <c r="Q50" s="112">
        <v>4.76</v>
      </c>
    </row>
    <row r="51" spans="1:17" customFormat="1">
      <c r="A51" s="80">
        <v>45623.447916666664</v>
      </c>
      <c r="B51" s="112">
        <v>14.66</v>
      </c>
      <c r="C51" s="112">
        <v>22.31</v>
      </c>
      <c r="D51" s="112">
        <v>24.76</v>
      </c>
      <c r="E51" s="112">
        <v>8.33</v>
      </c>
      <c r="F51" s="112">
        <v>6.1</v>
      </c>
      <c r="G51" s="112">
        <v>104.84</v>
      </c>
      <c r="H51" s="112">
        <v>32.770000000000003</v>
      </c>
      <c r="I51" s="112">
        <v>12.15</v>
      </c>
      <c r="J51" s="112">
        <v>0.64</v>
      </c>
      <c r="K51" s="112">
        <v>59.85</v>
      </c>
      <c r="L51" s="112">
        <v>25.64</v>
      </c>
      <c r="M51" s="112">
        <v>37.61</v>
      </c>
      <c r="N51" s="112">
        <v>371.3</v>
      </c>
      <c r="O51" s="112">
        <v>0</v>
      </c>
      <c r="P51" s="112">
        <v>0.92</v>
      </c>
      <c r="Q51" s="112">
        <v>4.76</v>
      </c>
    </row>
    <row r="52" spans="1:17" customFormat="1">
      <c r="A52" s="80">
        <v>45623.458333333336</v>
      </c>
      <c r="B52" s="112">
        <v>12.86</v>
      </c>
      <c r="C52" s="112">
        <v>22.5</v>
      </c>
      <c r="D52" s="112">
        <v>23.41</v>
      </c>
      <c r="E52" s="112">
        <v>7.82</v>
      </c>
      <c r="F52" s="112">
        <v>6.1</v>
      </c>
      <c r="G52" s="112">
        <v>104.84</v>
      </c>
      <c r="H52" s="112">
        <v>32.770000000000003</v>
      </c>
      <c r="I52" s="112">
        <v>12.04</v>
      </c>
      <c r="J52" s="112">
        <v>0.8</v>
      </c>
      <c r="K52" s="112">
        <v>58.62</v>
      </c>
      <c r="L52" s="112">
        <v>26.06</v>
      </c>
      <c r="M52" s="112">
        <v>36.770000000000003</v>
      </c>
      <c r="N52" s="112">
        <v>437.2</v>
      </c>
      <c r="O52" s="112">
        <v>0</v>
      </c>
      <c r="P52" s="112">
        <v>0.89</v>
      </c>
      <c r="Q52" s="112">
        <v>4.78</v>
      </c>
    </row>
    <row r="53" spans="1:17" customFormat="1">
      <c r="A53" s="80">
        <v>45623.46875</v>
      </c>
      <c r="B53" s="112">
        <v>11.32</v>
      </c>
      <c r="C53" s="112">
        <v>22.66</v>
      </c>
      <c r="D53" s="112">
        <v>22.27</v>
      </c>
      <c r="E53" s="112">
        <v>8.5399999999999991</v>
      </c>
      <c r="F53" s="112">
        <v>7.45</v>
      </c>
      <c r="G53" s="112">
        <v>104.56</v>
      </c>
      <c r="H53" s="112">
        <v>32.729999999999997</v>
      </c>
      <c r="I53" s="112">
        <v>11.85</v>
      </c>
      <c r="J53" s="112">
        <v>0.75</v>
      </c>
      <c r="K53" s="112">
        <v>53.34</v>
      </c>
      <c r="L53" s="112">
        <v>26.35</v>
      </c>
      <c r="M53" s="112">
        <v>35.299999999999997</v>
      </c>
      <c r="N53" s="112">
        <v>489.1</v>
      </c>
      <c r="O53" s="112">
        <v>0</v>
      </c>
      <c r="P53" s="112">
        <v>0.89</v>
      </c>
      <c r="Q53" s="112">
        <v>4.76</v>
      </c>
    </row>
    <row r="54" spans="1:17" customFormat="1">
      <c r="A54" s="80">
        <v>45623.479166666664</v>
      </c>
      <c r="B54" s="112">
        <v>9.61</v>
      </c>
      <c r="C54" s="112">
        <v>23.07</v>
      </c>
      <c r="D54" s="112">
        <v>21.11</v>
      </c>
      <c r="E54" s="112">
        <v>7.89</v>
      </c>
      <c r="F54" s="112">
        <v>7</v>
      </c>
      <c r="G54" s="112">
        <v>91.94</v>
      </c>
      <c r="H54" s="112">
        <v>30.09</v>
      </c>
      <c r="I54" s="112">
        <v>11.6</v>
      </c>
      <c r="J54" s="112">
        <v>0.59</v>
      </c>
      <c r="K54" s="112">
        <v>61.11</v>
      </c>
      <c r="L54" s="112">
        <v>26.97</v>
      </c>
      <c r="M54" s="112">
        <v>34.39</v>
      </c>
      <c r="N54" s="112">
        <v>489.9</v>
      </c>
      <c r="O54" s="112">
        <v>0</v>
      </c>
      <c r="P54" s="112">
        <v>0.87</v>
      </c>
      <c r="Q54" s="112">
        <v>4.7699999999999996</v>
      </c>
    </row>
    <row r="55" spans="1:17" customFormat="1">
      <c r="A55" s="80">
        <v>45623.489583333336</v>
      </c>
      <c r="B55" s="112">
        <v>7.55</v>
      </c>
      <c r="C55" s="112">
        <v>23.86</v>
      </c>
      <c r="D55" s="112">
        <v>19.87</v>
      </c>
      <c r="E55" s="112">
        <v>7.74</v>
      </c>
      <c r="F55" s="112">
        <v>7.86</v>
      </c>
      <c r="G55" s="112">
        <v>91.94</v>
      </c>
      <c r="H55" s="112">
        <v>30.09</v>
      </c>
      <c r="I55" s="112">
        <v>11.36</v>
      </c>
      <c r="J55" s="112">
        <v>1.04</v>
      </c>
      <c r="K55" s="112">
        <v>42.66</v>
      </c>
      <c r="L55" s="112">
        <v>26.82</v>
      </c>
      <c r="M55" s="112">
        <v>33.29</v>
      </c>
      <c r="N55" s="112">
        <v>486.5</v>
      </c>
      <c r="O55" s="112">
        <v>0</v>
      </c>
      <c r="P55" s="112">
        <v>0.88</v>
      </c>
      <c r="Q55" s="112">
        <v>4.78</v>
      </c>
    </row>
    <row r="56" spans="1:17" customFormat="1">
      <c r="A56" s="80">
        <v>45623.5</v>
      </c>
      <c r="B56" s="112">
        <v>5.9</v>
      </c>
      <c r="C56" s="112">
        <v>24.54</v>
      </c>
      <c r="D56" s="112">
        <v>18.899999999999999</v>
      </c>
      <c r="E56" s="112">
        <v>8</v>
      </c>
      <c r="F56" s="112">
        <v>8.4600000000000009</v>
      </c>
      <c r="G56" s="112">
        <v>91.94</v>
      </c>
      <c r="H56" s="112">
        <v>30.09</v>
      </c>
      <c r="I56" s="112">
        <v>11.12</v>
      </c>
      <c r="J56" s="112">
        <v>0.85</v>
      </c>
      <c r="K56" s="112">
        <v>0.77</v>
      </c>
      <c r="L56" s="112">
        <v>26.79</v>
      </c>
      <c r="M56" s="112">
        <v>32.47</v>
      </c>
      <c r="N56" s="112">
        <v>498.7</v>
      </c>
      <c r="O56" s="112">
        <v>0</v>
      </c>
      <c r="P56" s="112">
        <v>0.87</v>
      </c>
      <c r="Q56" s="112">
        <v>4.78</v>
      </c>
    </row>
    <row r="57" spans="1:17" customFormat="1">
      <c r="A57" s="80">
        <v>45623.510416666664</v>
      </c>
      <c r="B57" s="112">
        <v>4.18</v>
      </c>
      <c r="C57" s="112">
        <v>24.44</v>
      </c>
      <c r="D57" s="112">
        <v>17.48</v>
      </c>
      <c r="E57" s="112">
        <v>7.63</v>
      </c>
      <c r="F57" s="112">
        <v>9.67</v>
      </c>
      <c r="G57" s="112">
        <v>86.01</v>
      </c>
      <c r="H57" s="112">
        <v>27.84</v>
      </c>
      <c r="I57" s="112">
        <v>10.59</v>
      </c>
      <c r="J57" s="112">
        <v>1.1399999999999999</v>
      </c>
      <c r="K57" s="112">
        <v>38.36</v>
      </c>
      <c r="L57" s="112">
        <v>27.06</v>
      </c>
      <c r="M57" s="112">
        <v>31.17</v>
      </c>
      <c r="N57" s="112">
        <v>434.1</v>
      </c>
      <c r="O57" s="112">
        <v>0</v>
      </c>
      <c r="P57" s="112">
        <v>0.84</v>
      </c>
      <c r="Q57" s="112">
        <v>0</v>
      </c>
    </row>
    <row r="58" spans="1:17" customFormat="1">
      <c r="A58" s="80">
        <v>45623.520833333336</v>
      </c>
      <c r="B58" s="112">
        <v>3.72</v>
      </c>
      <c r="C58" s="112">
        <v>23.64</v>
      </c>
      <c r="D58" s="112">
        <v>16.690000000000001</v>
      </c>
      <c r="E58" s="112">
        <v>8.1199999999999992</v>
      </c>
      <c r="F58" s="112">
        <v>15.19</v>
      </c>
      <c r="G58" s="112">
        <v>86.01</v>
      </c>
      <c r="H58" s="112">
        <v>27.84</v>
      </c>
      <c r="I58" s="112">
        <v>10.46</v>
      </c>
      <c r="J58" s="112">
        <v>0.78</v>
      </c>
      <c r="K58" s="112">
        <v>40.32</v>
      </c>
      <c r="L58" s="112">
        <v>27.52</v>
      </c>
      <c r="M58" s="112">
        <v>29.46</v>
      </c>
      <c r="N58" s="112">
        <v>466.7</v>
      </c>
      <c r="O58" s="112">
        <v>0</v>
      </c>
      <c r="P58" s="112">
        <v>0.8</v>
      </c>
      <c r="Q58" s="112">
        <v>0</v>
      </c>
    </row>
    <row r="59" spans="1:17" customFormat="1">
      <c r="A59" s="80">
        <v>45623.53125</v>
      </c>
      <c r="B59" s="112">
        <v>3.26</v>
      </c>
      <c r="C59" s="112">
        <v>22.66</v>
      </c>
      <c r="D59" s="112">
        <v>15.8</v>
      </c>
      <c r="E59" s="112">
        <v>8.17</v>
      </c>
      <c r="F59" s="112">
        <v>18.48</v>
      </c>
      <c r="G59" s="112">
        <v>86.01</v>
      </c>
      <c r="H59" s="112">
        <v>27.84</v>
      </c>
      <c r="I59" s="112">
        <v>10.130000000000001</v>
      </c>
      <c r="J59" s="112">
        <v>0.92</v>
      </c>
      <c r="K59" s="112">
        <v>48.57</v>
      </c>
      <c r="L59" s="112">
        <v>27.55</v>
      </c>
      <c r="M59" s="112">
        <v>28.38</v>
      </c>
      <c r="N59" s="112">
        <v>425.1</v>
      </c>
      <c r="O59" s="112">
        <v>0</v>
      </c>
      <c r="P59" s="112">
        <v>0.77</v>
      </c>
      <c r="Q59" s="112">
        <v>0</v>
      </c>
    </row>
    <row r="60" spans="1:17" customFormat="1">
      <c r="A60" s="80">
        <v>45623.541666666664</v>
      </c>
      <c r="B60" s="112">
        <v>4.0999999999999996</v>
      </c>
      <c r="C60" s="112">
        <v>22.93</v>
      </c>
      <c r="D60" s="112">
        <v>16.62</v>
      </c>
      <c r="E60" s="112">
        <v>34.590000000000003</v>
      </c>
      <c r="F60" s="112">
        <v>16.7</v>
      </c>
      <c r="G60" s="112">
        <v>86.01</v>
      </c>
      <c r="H60" s="112">
        <v>27.84</v>
      </c>
      <c r="I60" s="112">
        <v>9.56</v>
      </c>
      <c r="J60" s="112">
        <v>0.53</v>
      </c>
      <c r="K60" s="112">
        <v>68.319999999999993</v>
      </c>
      <c r="L60" s="112">
        <v>27.57</v>
      </c>
      <c r="M60" s="112">
        <v>26.71</v>
      </c>
      <c r="N60" s="112">
        <v>332.3</v>
      </c>
      <c r="O60" s="112">
        <v>0</v>
      </c>
      <c r="P60" s="112">
        <v>0.79</v>
      </c>
      <c r="Q60" s="112">
        <v>7.5</v>
      </c>
    </row>
    <row r="61" spans="1:17" customFormat="1">
      <c r="A61" s="80">
        <v>45623.552083333336</v>
      </c>
      <c r="B61" s="112">
        <v>4.25</v>
      </c>
      <c r="C61" s="112">
        <v>25.23</v>
      </c>
      <c r="D61" s="112">
        <v>17.940000000000001</v>
      </c>
      <c r="E61" s="112">
        <v>17.350000000000001</v>
      </c>
      <c r="F61" s="112">
        <v>14.87</v>
      </c>
      <c r="G61" s="112">
        <v>85.88</v>
      </c>
      <c r="H61" s="112">
        <v>27.84</v>
      </c>
      <c r="I61" s="112">
        <v>8.94</v>
      </c>
      <c r="J61" s="112">
        <v>0.45</v>
      </c>
      <c r="K61" s="112">
        <v>67.67</v>
      </c>
      <c r="L61" s="112">
        <v>27.56</v>
      </c>
      <c r="M61" s="112">
        <v>27.08</v>
      </c>
      <c r="N61" s="112">
        <v>265.89999999999998</v>
      </c>
      <c r="O61" s="112">
        <v>0</v>
      </c>
      <c r="P61" s="112">
        <v>0.76</v>
      </c>
      <c r="Q61" s="112">
        <v>11.68</v>
      </c>
    </row>
    <row r="62" spans="1:17" customFormat="1">
      <c r="A62" s="80">
        <v>45623.5625</v>
      </c>
      <c r="B62" s="112">
        <v>3.24</v>
      </c>
      <c r="C62" s="112">
        <v>24.54</v>
      </c>
      <c r="D62" s="112">
        <v>16.77</v>
      </c>
      <c r="E62" s="112">
        <v>10.08</v>
      </c>
      <c r="F62" s="112">
        <v>15.67</v>
      </c>
      <c r="G62" s="112">
        <v>80.010000000000005</v>
      </c>
      <c r="H62" s="112">
        <v>27.98</v>
      </c>
      <c r="I62" s="112">
        <v>8.6300000000000008</v>
      </c>
      <c r="J62" s="112">
        <v>0.65</v>
      </c>
      <c r="K62" s="112">
        <v>71.06</v>
      </c>
      <c r="L62" s="112">
        <v>27.62</v>
      </c>
      <c r="M62" s="112">
        <v>27.19</v>
      </c>
      <c r="N62" s="112">
        <v>305.39999999999998</v>
      </c>
      <c r="O62" s="112">
        <v>0</v>
      </c>
      <c r="P62" s="112">
        <v>0.71</v>
      </c>
      <c r="Q62" s="112">
        <v>10.09</v>
      </c>
    </row>
    <row r="63" spans="1:17" customFormat="1">
      <c r="A63" s="80">
        <v>45623.572916666664</v>
      </c>
      <c r="B63" s="112">
        <v>2.92</v>
      </c>
      <c r="C63" s="112">
        <v>22.75</v>
      </c>
      <c r="D63" s="112">
        <v>15.58</v>
      </c>
      <c r="E63" s="112">
        <v>8.9700000000000006</v>
      </c>
      <c r="F63" s="112">
        <v>18.309999999999999</v>
      </c>
      <c r="G63" s="112">
        <v>80.010000000000005</v>
      </c>
      <c r="H63" s="112">
        <v>27.98</v>
      </c>
      <c r="I63" s="112">
        <v>8.25</v>
      </c>
      <c r="J63" s="112">
        <v>0.48</v>
      </c>
      <c r="K63" s="112">
        <v>75.989999999999995</v>
      </c>
      <c r="L63" s="112">
        <v>27.41</v>
      </c>
      <c r="M63" s="112">
        <v>27.06</v>
      </c>
      <c r="N63" s="112">
        <v>194.5</v>
      </c>
      <c r="O63" s="112">
        <v>0</v>
      </c>
      <c r="P63" s="112">
        <v>0.66</v>
      </c>
      <c r="Q63" s="112">
        <v>11.49</v>
      </c>
    </row>
    <row r="64" spans="1:17" customFormat="1">
      <c r="A64" s="80">
        <v>45623.583333333336</v>
      </c>
      <c r="B64" s="112">
        <v>2.87</v>
      </c>
      <c r="C64" s="112">
        <v>21.6</v>
      </c>
      <c r="D64" s="112">
        <v>14.94</v>
      </c>
      <c r="E64" s="112">
        <v>8.0399999999999991</v>
      </c>
      <c r="F64" s="112">
        <v>17.309999999999999</v>
      </c>
      <c r="G64" s="112">
        <v>80.010000000000005</v>
      </c>
      <c r="H64" s="112">
        <v>27.98</v>
      </c>
      <c r="I64" s="112">
        <v>7.66</v>
      </c>
      <c r="J64" s="112">
        <v>0.73</v>
      </c>
      <c r="K64" s="112">
        <v>53.65</v>
      </c>
      <c r="L64" s="112">
        <v>27.32</v>
      </c>
      <c r="M64" s="112">
        <v>25.49</v>
      </c>
      <c r="N64" s="112">
        <v>122.2</v>
      </c>
      <c r="O64" s="112">
        <v>0</v>
      </c>
      <c r="P64" s="112">
        <v>0.64</v>
      </c>
      <c r="Q64" s="112">
        <v>12.3</v>
      </c>
    </row>
    <row r="65" spans="1:17" customFormat="1">
      <c r="A65" s="80">
        <v>45623.59375</v>
      </c>
      <c r="B65" s="112">
        <v>2.89</v>
      </c>
      <c r="C65" s="112">
        <v>21.37</v>
      </c>
      <c r="D65" s="112">
        <v>14.83</v>
      </c>
      <c r="E65" s="112">
        <v>7.02</v>
      </c>
      <c r="F65" s="112">
        <v>12.95</v>
      </c>
      <c r="G65" s="112">
        <v>79.88</v>
      </c>
      <c r="H65" s="112">
        <v>27.97</v>
      </c>
      <c r="I65" s="112">
        <v>7.16</v>
      </c>
      <c r="J65" s="112">
        <v>0.59</v>
      </c>
      <c r="K65" s="112">
        <v>56.48</v>
      </c>
      <c r="L65" s="112">
        <v>27.43</v>
      </c>
      <c r="M65" s="112">
        <v>25.83</v>
      </c>
      <c r="N65" s="112">
        <v>118.1</v>
      </c>
      <c r="O65" s="112">
        <v>0</v>
      </c>
      <c r="P65" s="112">
        <v>0.62</v>
      </c>
      <c r="Q65" s="112">
        <v>11.53</v>
      </c>
    </row>
    <row r="66" spans="1:17" customFormat="1">
      <c r="A66" s="80">
        <v>45623.604166666664</v>
      </c>
      <c r="B66" s="112">
        <v>2.94</v>
      </c>
      <c r="C66" s="112">
        <v>20.9</v>
      </c>
      <c r="D66" s="112">
        <v>14.63</v>
      </c>
      <c r="E66" s="112">
        <v>7.33</v>
      </c>
      <c r="F66" s="112">
        <v>12.31</v>
      </c>
      <c r="G66" s="112">
        <v>73.989999999999995</v>
      </c>
      <c r="H66" s="112">
        <v>27.53</v>
      </c>
      <c r="I66" s="112">
        <v>6.87</v>
      </c>
      <c r="J66" s="112">
        <v>0.59</v>
      </c>
      <c r="K66" s="112">
        <v>46.48</v>
      </c>
      <c r="L66" s="112">
        <v>27.02</v>
      </c>
      <c r="M66" s="112">
        <v>25.14</v>
      </c>
      <c r="N66" s="112">
        <v>74.5</v>
      </c>
      <c r="O66" s="112">
        <v>0</v>
      </c>
      <c r="P66" s="112">
        <v>0.62</v>
      </c>
      <c r="Q66" s="112">
        <v>10.94</v>
      </c>
    </row>
    <row r="67" spans="1:17" customFormat="1">
      <c r="A67" s="80">
        <v>45623.614583333336</v>
      </c>
      <c r="B67" s="112">
        <v>3.07</v>
      </c>
      <c r="C67" s="112">
        <v>21</v>
      </c>
      <c r="D67" s="112">
        <v>14.78</v>
      </c>
      <c r="E67" s="112">
        <v>7.56</v>
      </c>
      <c r="F67" s="112">
        <v>17.03</v>
      </c>
      <c r="G67" s="112">
        <v>73.989999999999995</v>
      </c>
      <c r="H67" s="112">
        <v>27.53</v>
      </c>
      <c r="I67" s="112">
        <v>6.78</v>
      </c>
      <c r="J67" s="112">
        <v>0.72</v>
      </c>
      <c r="K67" s="112">
        <v>43.3</v>
      </c>
      <c r="L67" s="112">
        <v>26.82</v>
      </c>
      <c r="M67" s="112">
        <v>25.31</v>
      </c>
      <c r="N67" s="112">
        <v>79.900000000000006</v>
      </c>
      <c r="O67" s="112">
        <v>0</v>
      </c>
      <c r="P67" s="112">
        <v>0.61</v>
      </c>
      <c r="Q67" s="112">
        <v>10.51</v>
      </c>
    </row>
    <row r="68" spans="1:17" customFormat="1">
      <c r="A68" s="80">
        <v>45623.625</v>
      </c>
      <c r="B68" s="112">
        <v>3.11</v>
      </c>
      <c r="C68" s="112">
        <v>24.1</v>
      </c>
      <c r="D68" s="112">
        <v>16.440000000000001</v>
      </c>
      <c r="E68" s="112">
        <v>8.6300000000000008</v>
      </c>
      <c r="F68" s="112">
        <v>35.14</v>
      </c>
      <c r="G68" s="112">
        <v>73.989999999999995</v>
      </c>
      <c r="H68" s="112">
        <v>27.53</v>
      </c>
      <c r="I68" s="112">
        <v>6.65</v>
      </c>
      <c r="J68" s="112">
        <v>0.79</v>
      </c>
      <c r="K68" s="112">
        <v>50.56</v>
      </c>
      <c r="L68" s="112">
        <v>26.72</v>
      </c>
      <c r="M68" s="112">
        <v>24.81</v>
      </c>
      <c r="N68" s="112">
        <v>86.1</v>
      </c>
      <c r="O68" s="112">
        <v>0</v>
      </c>
      <c r="P68" s="112">
        <v>0.57999999999999996</v>
      </c>
      <c r="Q68" s="112">
        <v>10.18</v>
      </c>
    </row>
    <row r="69" spans="1:17" customFormat="1">
      <c r="A69" s="80">
        <v>45623.635416666664</v>
      </c>
      <c r="B69" s="112">
        <v>2.88</v>
      </c>
      <c r="C69" s="112">
        <v>28.29</v>
      </c>
      <c r="D69" s="112">
        <v>18.440000000000001</v>
      </c>
      <c r="E69" s="112">
        <v>6.54</v>
      </c>
      <c r="F69" s="112">
        <v>25.7</v>
      </c>
      <c r="G69" s="112">
        <v>73.98</v>
      </c>
      <c r="H69" s="112">
        <v>27.5</v>
      </c>
      <c r="I69" s="112">
        <v>6.39</v>
      </c>
      <c r="J69" s="112">
        <v>0.79</v>
      </c>
      <c r="K69" s="112">
        <v>49.39</v>
      </c>
      <c r="L69" s="112">
        <v>26.87</v>
      </c>
      <c r="M69" s="112">
        <v>24.52</v>
      </c>
      <c r="N69" s="112">
        <v>79.2</v>
      </c>
      <c r="O69" s="112">
        <v>0</v>
      </c>
      <c r="P69" s="112">
        <v>0.56000000000000005</v>
      </c>
      <c r="Q69" s="112">
        <v>9.82</v>
      </c>
    </row>
    <row r="70" spans="1:17" customFormat="1">
      <c r="A70" s="80">
        <v>45623.645833333336</v>
      </c>
      <c r="B70" s="112">
        <v>2.86</v>
      </c>
      <c r="C70" s="112">
        <v>27.66</v>
      </c>
      <c r="D70" s="112">
        <v>18.100000000000001</v>
      </c>
      <c r="E70" s="112">
        <v>5.99</v>
      </c>
      <c r="F70" s="112">
        <v>18.43</v>
      </c>
      <c r="G70" s="112">
        <v>73.510000000000005</v>
      </c>
      <c r="H70" s="112">
        <v>25.37</v>
      </c>
      <c r="I70" s="112">
        <v>5.8</v>
      </c>
      <c r="J70" s="112">
        <v>0.25</v>
      </c>
      <c r="K70" s="112">
        <v>69.8</v>
      </c>
      <c r="L70" s="112">
        <v>26.88</v>
      </c>
      <c r="M70" s="112">
        <v>24.66</v>
      </c>
      <c r="N70" s="112">
        <v>65.099999999999994</v>
      </c>
      <c r="O70" s="112">
        <v>0</v>
      </c>
      <c r="P70" s="112">
        <v>0.56000000000000005</v>
      </c>
      <c r="Q70" s="112">
        <v>11.73</v>
      </c>
    </row>
    <row r="71" spans="1:17" customFormat="1">
      <c r="A71" s="80">
        <v>45623.65625</v>
      </c>
      <c r="B71" s="112">
        <v>2.86</v>
      </c>
      <c r="C71" s="112">
        <v>26.35</v>
      </c>
      <c r="D71" s="112">
        <v>17.41</v>
      </c>
      <c r="E71" s="112">
        <v>5</v>
      </c>
      <c r="F71" s="112">
        <v>13.42</v>
      </c>
      <c r="G71" s="112">
        <v>73.510000000000005</v>
      </c>
      <c r="H71" s="112">
        <v>25.37</v>
      </c>
      <c r="I71" s="112">
        <v>5.25</v>
      </c>
      <c r="J71" s="112">
        <v>0.32</v>
      </c>
      <c r="K71" s="112">
        <v>85.25</v>
      </c>
      <c r="L71" s="112">
        <v>26.7</v>
      </c>
      <c r="M71" s="112">
        <v>25.42</v>
      </c>
      <c r="N71" s="112">
        <v>51.2</v>
      </c>
      <c r="O71" s="112">
        <v>0</v>
      </c>
      <c r="P71" s="112">
        <v>0.56000000000000005</v>
      </c>
      <c r="Q71" s="112">
        <v>12.81</v>
      </c>
    </row>
    <row r="72" spans="1:17" customFormat="1">
      <c r="A72" s="80">
        <v>45623.666666666664</v>
      </c>
      <c r="B72" s="112">
        <v>2.91</v>
      </c>
      <c r="C72" s="112">
        <v>24.97</v>
      </c>
      <c r="D72" s="112">
        <v>16.73</v>
      </c>
      <c r="E72" s="112">
        <v>5.34</v>
      </c>
      <c r="F72" s="112">
        <v>10.73</v>
      </c>
      <c r="G72" s="112">
        <v>73.510000000000005</v>
      </c>
      <c r="H72" s="112">
        <v>25.37</v>
      </c>
      <c r="I72" s="112">
        <v>5.24</v>
      </c>
      <c r="J72" s="112">
        <v>0.49</v>
      </c>
      <c r="K72" s="112">
        <v>56.55</v>
      </c>
      <c r="L72" s="112">
        <v>26.3</v>
      </c>
      <c r="M72" s="112">
        <v>25.38</v>
      </c>
      <c r="N72" s="112">
        <v>43.2</v>
      </c>
      <c r="O72" s="112">
        <v>0</v>
      </c>
      <c r="P72" s="112">
        <v>0.56000000000000005</v>
      </c>
      <c r="Q72" s="112">
        <v>12.65</v>
      </c>
    </row>
    <row r="73" spans="1:17" customFormat="1">
      <c r="A73" s="80">
        <v>45623.677083333336</v>
      </c>
      <c r="B73" s="112">
        <v>3.01</v>
      </c>
      <c r="C73" s="112">
        <v>23.9</v>
      </c>
      <c r="D73" s="112">
        <v>16.25</v>
      </c>
      <c r="E73" s="112">
        <v>5.44</v>
      </c>
      <c r="F73" s="112">
        <v>11.02</v>
      </c>
      <c r="G73" s="112">
        <v>73.42</v>
      </c>
      <c r="H73" s="112">
        <v>25.36</v>
      </c>
      <c r="I73" s="112">
        <v>5.29</v>
      </c>
      <c r="J73" s="112">
        <v>0.28999999999999998</v>
      </c>
      <c r="K73" s="112">
        <v>78.260000000000005</v>
      </c>
      <c r="L73" s="112">
        <v>25.99</v>
      </c>
      <c r="M73" s="112">
        <v>28</v>
      </c>
      <c r="N73" s="112">
        <v>33.9</v>
      </c>
      <c r="O73" s="112">
        <v>0</v>
      </c>
      <c r="P73" s="112">
        <v>0.56000000000000005</v>
      </c>
      <c r="Q73" s="112">
        <v>12.53</v>
      </c>
    </row>
    <row r="74" spans="1:17" customFormat="1">
      <c r="A74" s="80">
        <v>45623.6875</v>
      </c>
      <c r="B74" s="112">
        <v>3.06</v>
      </c>
      <c r="C74" s="112">
        <v>23.15</v>
      </c>
      <c r="D74" s="112">
        <v>15.89</v>
      </c>
      <c r="E74" s="112">
        <v>5.46</v>
      </c>
      <c r="F74" s="112">
        <v>8.98</v>
      </c>
      <c r="G74" s="112">
        <v>69.209999999999994</v>
      </c>
      <c r="H74" s="112">
        <v>24.96</v>
      </c>
      <c r="I74" s="112">
        <v>5.32</v>
      </c>
      <c r="J74" s="112">
        <v>0.15</v>
      </c>
      <c r="K74" s="112">
        <v>128.77000000000001</v>
      </c>
      <c r="L74" s="112">
        <v>25.35</v>
      </c>
      <c r="M74" s="112">
        <v>31.74</v>
      </c>
      <c r="N74" s="112">
        <v>21</v>
      </c>
      <c r="O74" s="112">
        <v>0</v>
      </c>
      <c r="P74" s="112">
        <v>0.55000000000000004</v>
      </c>
      <c r="Q74" s="112">
        <v>12.4</v>
      </c>
    </row>
    <row r="75" spans="1:17" customFormat="1">
      <c r="A75" s="80">
        <v>45623.697916666664</v>
      </c>
      <c r="B75" s="112">
        <v>3.22</v>
      </c>
      <c r="C75" s="112">
        <v>22.69</v>
      </c>
      <c r="D75" s="112">
        <v>15.79</v>
      </c>
      <c r="E75" s="112">
        <v>5.3</v>
      </c>
      <c r="F75" s="112">
        <v>7.22</v>
      </c>
      <c r="G75" s="112">
        <v>69.209999999999994</v>
      </c>
      <c r="H75" s="112">
        <v>24.96</v>
      </c>
      <c r="I75" s="112">
        <v>5.34</v>
      </c>
      <c r="J75" s="112">
        <v>0.2</v>
      </c>
      <c r="K75" s="112">
        <v>162</v>
      </c>
      <c r="L75" s="112">
        <v>24.34</v>
      </c>
      <c r="M75" s="112">
        <v>34.35</v>
      </c>
      <c r="N75" s="112">
        <v>13.3</v>
      </c>
      <c r="O75" s="112">
        <v>0</v>
      </c>
      <c r="P75" s="112">
        <v>0.56999999999999995</v>
      </c>
      <c r="Q75" s="112">
        <v>12.28</v>
      </c>
    </row>
    <row r="76" spans="1:17" customFormat="1">
      <c r="A76" s="80">
        <v>45623.708333333336</v>
      </c>
      <c r="B76" s="112">
        <v>3.44</v>
      </c>
      <c r="C76" s="112">
        <v>22.39</v>
      </c>
      <c r="D76" s="112">
        <v>15.81</v>
      </c>
      <c r="E76" s="112">
        <v>5.5</v>
      </c>
      <c r="F76" s="112">
        <v>6.84</v>
      </c>
      <c r="G76" s="112">
        <v>69.209999999999994</v>
      </c>
      <c r="H76" s="112">
        <v>24.96</v>
      </c>
      <c r="I76" s="112">
        <v>5.43</v>
      </c>
      <c r="J76" s="112">
        <v>0.14000000000000001</v>
      </c>
      <c r="K76" s="112">
        <v>112.97</v>
      </c>
      <c r="L76" s="112">
        <v>23.75</v>
      </c>
      <c r="M76" s="112">
        <v>35.65</v>
      </c>
      <c r="N76" s="112">
        <v>6.8</v>
      </c>
      <c r="O76" s="112">
        <v>0</v>
      </c>
      <c r="P76" s="112">
        <v>0.56999999999999995</v>
      </c>
      <c r="Q76" s="112">
        <v>12.2</v>
      </c>
    </row>
    <row r="77" spans="1:17" customFormat="1">
      <c r="A77" s="80">
        <v>45623.71875</v>
      </c>
      <c r="B77" s="112">
        <v>3.72</v>
      </c>
      <c r="C77" s="112">
        <v>22.32</v>
      </c>
      <c r="D77" s="112">
        <v>16</v>
      </c>
      <c r="E77" s="112">
        <v>5.73</v>
      </c>
      <c r="F77" s="112">
        <v>6.33</v>
      </c>
      <c r="G77" s="112">
        <v>69.33</v>
      </c>
      <c r="H77" s="112">
        <v>25.07</v>
      </c>
      <c r="I77" s="112">
        <v>5.53</v>
      </c>
      <c r="J77" s="112">
        <v>0.15</v>
      </c>
      <c r="K77" s="112">
        <v>145.29</v>
      </c>
      <c r="L77" s="112">
        <v>23.18</v>
      </c>
      <c r="M77" s="112">
        <v>38.479999999999997</v>
      </c>
      <c r="N77" s="112">
        <v>2.6</v>
      </c>
      <c r="O77" s="112">
        <v>0</v>
      </c>
      <c r="P77" s="112">
        <v>0.59</v>
      </c>
      <c r="Q77" s="112">
        <v>12.15</v>
      </c>
    </row>
    <row r="78" spans="1:17" customFormat="1">
      <c r="A78" s="80">
        <v>45623.729166666664</v>
      </c>
      <c r="B78" s="112">
        <v>3.99</v>
      </c>
      <c r="C78" s="112">
        <v>22.37</v>
      </c>
      <c r="D78" s="112">
        <v>16.239999999999998</v>
      </c>
      <c r="E78" s="112">
        <v>5.95</v>
      </c>
      <c r="F78" s="112">
        <v>5.97</v>
      </c>
      <c r="G78" s="112">
        <v>74.36</v>
      </c>
      <c r="H78" s="112">
        <v>32.6</v>
      </c>
      <c r="I78" s="112">
        <v>5.62</v>
      </c>
      <c r="J78" s="112">
        <v>0.14000000000000001</v>
      </c>
      <c r="K78" s="112">
        <v>115.59</v>
      </c>
      <c r="L78" s="112">
        <v>22.47</v>
      </c>
      <c r="M78" s="112">
        <v>41.7</v>
      </c>
      <c r="N78" s="112">
        <v>2</v>
      </c>
      <c r="O78" s="112">
        <v>0</v>
      </c>
      <c r="P78" s="112">
        <v>0.6</v>
      </c>
      <c r="Q78" s="112">
        <v>12.05</v>
      </c>
    </row>
    <row r="79" spans="1:17" customFormat="1">
      <c r="A79" s="80">
        <v>45623.739583333336</v>
      </c>
      <c r="B79" s="112">
        <v>4.42</v>
      </c>
      <c r="C79" s="112">
        <v>22.69</v>
      </c>
      <c r="D79" s="112">
        <v>16.75</v>
      </c>
      <c r="E79" s="112">
        <v>5.72</v>
      </c>
      <c r="F79" s="112">
        <v>5.63</v>
      </c>
      <c r="G79" s="112">
        <v>74.36</v>
      </c>
      <c r="H79" s="112">
        <v>32.6</v>
      </c>
      <c r="I79" s="112">
        <v>5.74</v>
      </c>
      <c r="J79" s="112">
        <v>0.15</v>
      </c>
      <c r="K79" s="112">
        <v>102.9</v>
      </c>
      <c r="L79" s="112">
        <v>22</v>
      </c>
      <c r="M79" s="112">
        <v>43.11</v>
      </c>
      <c r="N79" s="112">
        <v>1.6</v>
      </c>
      <c r="O79" s="112">
        <v>0</v>
      </c>
      <c r="P79" s="112">
        <v>0.62</v>
      </c>
      <c r="Q79" s="112">
        <v>11.95</v>
      </c>
    </row>
    <row r="80" spans="1:17" customFormat="1">
      <c r="A80" s="80">
        <v>45623.75</v>
      </c>
      <c r="B80" s="112">
        <v>5.12</v>
      </c>
      <c r="C80" s="112">
        <v>23.08</v>
      </c>
      <c r="D80" s="112">
        <v>17.510000000000002</v>
      </c>
      <c r="E80" s="112">
        <v>5.62</v>
      </c>
      <c r="F80" s="112">
        <v>5.97</v>
      </c>
      <c r="G80" s="112">
        <v>74.36</v>
      </c>
      <c r="H80" s="112">
        <v>32.6</v>
      </c>
      <c r="I80" s="112">
        <v>5.88</v>
      </c>
      <c r="J80" s="112">
        <v>0.11</v>
      </c>
      <c r="K80" s="112">
        <v>136.99</v>
      </c>
      <c r="L80" s="112">
        <v>21.59</v>
      </c>
      <c r="M80" s="112">
        <v>46.16</v>
      </c>
      <c r="N80" s="112">
        <v>1.7</v>
      </c>
      <c r="O80" s="112">
        <v>0</v>
      </c>
      <c r="P80" s="112">
        <v>0.65</v>
      </c>
      <c r="Q80" s="112">
        <v>11.93</v>
      </c>
    </row>
    <row r="81" spans="1:17" customFormat="1">
      <c r="A81" s="80">
        <v>45623.760416666664</v>
      </c>
      <c r="B81" s="112">
        <v>6.08</v>
      </c>
      <c r="C81" s="112">
        <v>23.5</v>
      </c>
      <c r="D81" s="112">
        <v>18.510000000000002</v>
      </c>
      <c r="E81" s="112">
        <v>7</v>
      </c>
      <c r="F81" s="112">
        <v>5.5</v>
      </c>
      <c r="G81" s="112">
        <v>74.89</v>
      </c>
      <c r="H81" s="112">
        <v>32.6</v>
      </c>
      <c r="I81" s="112">
        <v>6.1</v>
      </c>
      <c r="J81" s="112">
        <v>0.1</v>
      </c>
      <c r="K81" s="112">
        <v>136</v>
      </c>
      <c r="L81" s="112">
        <v>21</v>
      </c>
      <c r="M81" s="112">
        <v>49.25</v>
      </c>
      <c r="N81" s="112">
        <v>1.7</v>
      </c>
      <c r="O81" s="112">
        <v>0</v>
      </c>
      <c r="P81" s="112">
        <v>0.68</v>
      </c>
      <c r="Q81" s="112">
        <v>11.87</v>
      </c>
    </row>
    <row r="82" spans="1:17" customFormat="1">
      <c r="A82" s="80">
        <v>45623.770833333336</v>
      </c>
      <c r="B82" s="112">
        <v>7.24</v>
      </c>
      <c r="C82" s="112">
        <v>23.8</v>
      </c>
      <c r="D82" s="112">
        <v>19.59</v>
      </c>
      <c r="E82" s="112">
        <v>8.27</v>
      </c>
      <c r="F82" s="112">
        <v>5.35</v>
      </c>
      <c r="G82" s="112">
        <v>98.14</v>
      </c>
      <c r="H82" s="112">
        <v>32.799999999999997</v>
      </c>
      <c r="I82" s="112">
        <v>6.34</v>
      </c>
      <c r="J82" s="112">
        <v>0.17</v>
      </c>
      <c r="K82" s="112">
        <v>139.94</v>
      </c>
      <c r="L82" s="112">
        <v>20.440000000000001</v>
      </c>
      <c r="M82" s="112">
        <v>51.58</v>
      </c>
      <c r="N82" s="112">
        <v>1.6</v>
      </c>
      <c r="O82" s="112">
        <v>0</v>
      </c>
      <c r="P82" s="112">
        <v>0.71</v>
      </c>
      <c r="Q82" s="112">
        <v>11.8</v>
      </c>
    </row>
    <row r="83" spans="1:17" customFormat="1">
      <c r="A83" s="80">
        <v>45623.78125</v>
      </c>
      <c r="B83" s="112">
        <v>8.33</v>
      </c>
      <c r="C83" s="112">
        <v>24.2</v>
      </c>
      <c r="D83" s="112">
        <v>20.68</v>
      </c>
      <c r="E83" s="112">
        <v>8.58</v>
      </c>
      <c r="F83" s="112">
        <v>5.66</v>
      </c>
      <c r="G83" s="112">
        <v>98.14</v>
      </c>
      <c r="H83" s="112">
        <v>32.799999999999997</v>
      </c>
      <c r="I83" s="112">
        <v>6.63</v>
      </c>
      <c r="J83" s="112">
        <v>0.22</v>
      </c>
      <c r="K83" s="112">
        <v>73.33</v>
      </c>
      <c r="L83" s="112">
        <v>20.14</v>
      </c>
      <c r="M83" s="112">
        <v>51.22</v>
      </c>
      <c r="N83" s="112">
        <v>1.3</v>
      </c>
      <c r="O83" s="112">
        <v>0</v>
      </c>
      <c r="P83" s="112">
        <v>0.75</v>
      </c>
      <c r="Q83" s="112">
        <v>11.74</v>
      </c>
    </row>
    <row r="84" spans="1:17" customFormat="1">
      <c r="A84" s="80">
        <v>45623.791666666664</v>
      </c>
      <c r="B84" s="112">
        <v>9.34</v>
      </c>
      <c r="C84" s="112">
        <v>24.51</v>
      </c>
      <c r="D84" s="112">
        <v>21.64</v>
      </c>
      <c r="E84" s="112">
        <v>8.19</v>
      </c>
      <c r="F84" s="112">
        <v>5.74</v>
      </c>
      <c r="G84" s="112">
        <v>98.14</v>
      </c>
      <c r="H84" s="112">
        <v>32.799999999999997</v>
      </c>
      <c r="I84" s="112">
        <v>6.97</v>
      </c>
      <c r="J84" s="112">
        <v>0.16</v>
      </c>
      <c r="K84" s="112">
        <v>84.94</v>
      </c>
      <c r="L84" s="112">
        <v>20.440000000000001</v>
      </c>
      <c r="M84" s="112">
        <v>47.98</v>
      </c>
      <c r="N84" s="112">
        <v>1.3</v>
      </c>
      <c r="O84" s="112">
        <v>0</v>
      </c>
      <c r="P84" s="112">
        <v>0.78</v>
      </c>
      <c r="Q84" s="112">
        <v>11.69</v>
      </c>
    </row>
    <row r="85" spans="1:17" customFormat="1">
      <c r="A85" s="80">
        <v>45623.802083333336</v>
      </c>
      <c r="B85" s="112">
        <v>10.28</v>
      </c>
      <c r="C85" s="112">
        <v>24.68</v>
      </c>
      <c r="D85" s="112">
        <v>22.49</v>
      </c>
      <c r="E85" s="112">
        <v>8.6199999999999992</v>
      </c>
      <c r="F85" s="112">
        <v>5.53</v>
      </c>
      <c r="G85" s="112">
        <v>98.69</v>
      </c>
      <c r="H85" s="112">
        <v>32.869999999999997</v>
      </c>
      <c r="I85" s="112">
        <v>7.34</v>
      </c>
      <c r="J85" s="112">
        <v>0.17</v>
      </c>
      <c r="K85" s="112">
        <v>121.78</v>
      </c>
      <c r="L85" s="112">
        <v>20</v>
      </c>
      <c r="M85" s="112">
        <v>51.94</v>
      </c>
      <c r="N85" s="112">
        <v>1.5</v>
      </c>
      <c r="O85" s="112">
        <v>0</v>
      </c>
      <c r="P85" s="112">
        <v>0.82</v>
      </c>
      <c r="Q85" s="112">
        <v>11.66</v>
      </c>
    </row>
    <row r="86" spans="1:17" customFormat="1">
      <c r="A86" s="80">
        <v>45623.8125</v>
      </c>
      <c r="B86" s="112">
        <v>11.12</v>
      </c>
      <c r="C86" s="112">
        <v>24.77</v>
      </c>
      <c r="D86" s="112">
        <v>23.21</v>
      </c>
      <c r="E86" s="112">
        <v>8.6300000000000008</v>
      </c>
      <c r="F86" s="112">
        <v>5.71</v>
      </c>
      <c r="G86" s="112">
        <v>122.97</v>
      </c>
      <c r="H86" s="112">
        <v>37.520000000000003</v>
      </c>
      <c r="I86" s="112">
        <v>7.75</v>
      </c>
      <c r="J86" s="112">
        <v>0.13</v>
      </c>
      <c r="K86" s="112">
        <v>100.53</v>
      </c>
      <c r="L86" s="112">
        <v>19.600000000000001</v>
      </c>
      <c r="M86" s="112">
        <v>53.31</v>
      </c>
      <c r="N86" s="112">
        <v>1.5</v>
      </c>
      <c r="O86" s="112">
        <v>0</v>
      </c>
      <c r="P86" s="112">
        <v>0.85</v>
      </c>
      <c r="Q86" s="112">
        <v>11.62</v>
      </c>
    </row>
    <row r="87" spans="1:17" customFormat="1">
      <c r="A87" s="80">
        <v>45623.822916666664</v>
      </c>
      <c r="B87" s="112">
        <v>12.18</v>
      </c>
      <c r="C87" s="112">
        <v>24.93</v>
      </c>
      <c r="D87" s="112">
        <v>24.14</v>
      </c>
      <c r="E87" s="112">
        <v>8.51</v>
      </c>
      <c r="F87" s="112">
        <v>5.1100000000000003</v>
      </c>
      <c r="G87" s="112">
        <v>122.97</v>
      </c>
      <c r="H87" s="112">
        <v>37.520000000000003</v>
      </c>
      <c r="I87" s="112">
        <v>8.16</v>
      </c>
      <c r="J87" s="112">
        <v>0.28999999999999998</v>
      </c>
      <c r="K87" s="112">
        <v>33.64</v>
      </c>
      <c r="L87" s="112">
        <v>19.88</v>
      </c>
      <c r="M87" s="112">
        <v>49.34</v>
      </c>
      <c r="N87" s="112">
        <v>0.9</v>
      </c>
      <c r="O87" s="112">
        <v>0</v>
      </c>
      <c r="P87" s="112">
        <v>0.88</v>
      </c>
      <c r="Q87" s="112">
        <v>11.61</v>
      </c>
    </row>
    <row r="88" spans="1:17" customFormat="1">
      <c r="A88" s="80">
        <v>45623.833333333336</v>
      </c>
      <c r="B88" s="112">
        <v>13.04</v>
      </c>
      <c r="C88" s="112">
        <v>25.06</v>
      </c>
      <c r="D88" s="112">
        <v>24.91</v>
      </c>
      <c r="E88" s="112">
        <v>8.94</v>
      </c>
      <c r="F88" s="112">
        <v>5.61</v>
      </c>
      <c r="G88" s="112">
        <v>122.97</v>
      </c>
      <c r="H88" s="112">
        <v>37.520000000000003</v>
      </c>
      <c r="I88" s="112">
        <v>8.57</v>
      </c>
      <c r="J88" s="112">
        <v>0.15</v>
      </c>
      <c r="K88" s="112">
        <v>174.89</v>
      </c>
      <c r="L88" s="112">
        <v>19.34</v>
      </c>
      <c r="M88" s="112">
        <v>54.08</v>
      </c>
      <c r="N88" s="112">
        <v>1.7</v>
      </c>
      <c r="O88" s="112">
        <v>0</v>
      </c>
      <c r="P88" s="112">
        <v>0.91</v>
      </c>
      <c r="Q88" s="112">
        <v>11.58</v>
      </c>
    </row>
    <row r="89" spans="1:17" customFormat="1">
      <c r="A89" s="80">
        <v>45623.84375</v>
      </c>
      <c r="B89" s="112">
        <v>13.64</v>
      </c>
      <c r="C89" s="112">
        <v>25.06</v>
      </c>
      <c r="D89" s="112">
        <v>25.38</v>
      </c>
      <c r="E89" s="112">
        <v>8.89</v>
      </c>
      <c r="F89" s="112">
        <v>5.5</v>
      </c>
      <c r="G89" s="112">
        <v>125.14</v>
      </c>
      <c r="H89" s="112">
        <v>37.56</v>
      </c>
      <c r="I89" s="112">
        <v>8.9600000000000009</v>
      </c>
      <c r="J89" s="112">
        <v>0.12</v>
      </c>
      <c r="K89" s="112">
        <v>146.61000000000001</v>
      </c>
      <c r="L89" s="112">
        <v>18.760000000000002</v>
      </c>
      <c r="M89" s="112">
        <v>55.89</v>
      </c>
      <c r="N89" s="112">
        <v>1.6</v>
      </c>
      <c r="O89" s="112">
        <v>0</v>
      </c>
      <c r="P89" s="112">
        <v>0.93</v>
      </c>
      <c r="Q89" s="112">
        <v>11.55</v>
      </c>
    </row>
    <row r="90" spans="1:17" customFormat="1">
      <c r="A90" s="80">
        <v>45623.854166666664</v>
      </c>
      <c r="B90" s="112">
        <v>14.33</v>
      </c>
      <c r="C90" s="112">
        <v>25</v>
      </c>
      <c r="D90" s="112">
        <v>25.9</v>
      </c>
      <c r="E90" s="112">
        <v>8.6300000000000008</v>
      </c>
      <c r="F90" s="112">
        <v>5.61</v>
      </c>
      <c r="G90" s="112">
        <v>220.63</v>
      </c>
      <c r="H90" s="112">
        <v>40.159999999999997</v>
      </c>
      <c r="I90" s="112">
        <v>9.27</v>
      </c>
      <c r="J90" s="112">
        <v>0.17</v>
      </c>
      <c r="K90" s="112">
        <v>146.12</v>
      </c>
      <c r="L90" s="112">
        <v>18.55</v>
      </c>
      <c r="M90" s="112">
        <v>57.13</v>
      </c>
      <c r="N90" s="112">
        <v>1.4</v>
      </c>
      <c r="O90" s="112">
        <v>0</v>
      </c>
      <c r="P90" s="112">
        <v>0.95</v>
      </c>
      <c r="Q90" s="112">
        <v>11.5</v>
      </c>
    </row>
    <row r="91" spans="1:17" customFormat="1">
      <c r="A91" s="80">
        <v>45623.864583333336</v>
      </c>
      <c r="B91" s="112">
        <v>15.2</v>
      </c>
      <c r="C91" s="112">
        <v>25.11</v>
      </c>
      <c r="D91" s="112">
        <v>26.66</v>
      </c>
      <c r="E91" s="112">
        <v>8.85</v>
      </c>
      <c r="F91" s="112">
        <v>5.59</v>
      </c>
      <c r="G91" s="112">
        <v>220.63</v>
      </c>
      <c r="H91" s="112">
        <v>40.159999999999997</v>
      </c>
      <c r="I91" s="112">
        <v>9.58</v>
      </c>
      <c r="J91" s="112">
        <v>0.22</v>
      </c>
      <c r="K91" s="112">
        <v>176.23</v>
      </c>
      <c r="L91" s="112">
        <v>18.12</v>
      </c>
      <c r="M91" s="112">
        <v>62.85</v>
      </c>
      <c r="N91" s="112">
        <v>1.6</v>
      </c>
      <c r="O91" s="112">
        <v>0</v>
      </c>
      <c r="P91" s="112">
        <v>0.99</v>
      </c>
      <c r="Q91" s="112">
        <v>11.52</v>
      </c>
    </row>
    <row r="92" spans="1:17" customFormat="1">
      <c r="A92" s="80">
        <v>45623.875</v>
      </c>
      <c r="B92" s="112">
        <v>16.05</v>
      </c>
      <c r="C92" s="112">
        <v>25.2</v>
      </c>
      <c r="D92" s="112">
        <v>27.39</v>
      </c>
      <c r="E92" s="112">
        <v>9.1300000000000008</v>
      </c>
      <c r="F92" s="112">
        <v>5.62</v>
      </c>
      <c r="G92" s="112">
        <v>220.63</v>
      </c>
      <c r="H92" s="112">
        <v>40.159999999999997</v>
      </c>
      <c r="I92" s="112">
        <v>9.92</v>
      </c>
      <c r="J92" s="112">
        <v>0.04</v>
      </c>
      <c r="K92" s="112">
        <v>101.74</v>
      </c>
      <c r="L92" s="112">
        <v>18.12</v>
      </c>
      <c r="M92" s="112">
        <v>58.34</v>
      </c>
      <c r="N92" s="112">
        <v>1</v>
      </c>
      <c r="O92" s="112">
        <v>0</v>
      </c>
      <c r="P92" s="112">
        <v>1.02</v>
      </c>
      <c r="Q92" s="112">
        <v>11.48</v>
      </c>
    </row>
    <row r="93" spans="1:17" customFormat="1">
      <c r="A93" s="80">
        <v>45623.885416666664</v>
      </c>
      <c r="B93" s="112">
        <v>16.87</v>
      </c>
      <c r="C93" s="112">
        <v>25.19</v>
      </c>
      <c r="D93" s="112">
        <v>28.04</v>
      </c>
      <c r="E93" s="112">
        <v>9.14</v>
      </c>
      <c r="F93" s="112">
        <v>5.48</v>
      </c>
      <c r="G93" s="112">
        <v>219.83</v>
      </c>
      <c r="H93" s="112">
        <v>40.18</v>
      </c>
      <c r="I93" s="112">
        <v>10.26</v>
      </c>
      <c r="J93" s="112">
        <v>0.21</v>
      </c>
      <c r="K93" s="112">
        <v>175.26</v>
      </c>
      <c r="L93" s="112">
        <v>18.02</v>
      </c>
      <c r="M93" s="112">
        <v>59.47</v>
      </c>
      <c r="N93" s="112">
        <v>1.3</v>
      </c>
      <c r="O93" s="112">
        <v>0</v>
      </c>
      <c r="P93" s="112">
        <v>1.06</v>
      </c>
      <c r="Q93" s="112">
        <v>11.44</v>
      </c>
    </row>
    <row r="94" spans="1:17" customFormat="1">
      <c r="A94" s="80">
        <v>45623.895833333336</v>
      </c>
      <c r="B94" s="112">
        <v>16.97</v>
      </c>
      <c r="C94" s="112">
        <v>25.25</v>
      </c>
      <c r="D94" s="112">
        <v>28.15</v>
      </c>
      <c r="E94" s="112">
        <v>9.0299999999999994</v>
      </c>
      <c r="F94" s="112">
        <v>5.4</v>
      </c>
      <c r="G94" s="112">
        <v>184.96</v>
      </c>
      <c r="H94" s="112">
        <v>41.21</v>
      </c>
      <c r="I94" s="112">
        <v>10.59</v>
      </c>
      <c r="J94" s="112">
        <v>0.14000000000000001</v>
      </c>
      <c r="K94" s="112">
        <v>191.04</v>
      </c>
      <c r="L94" s="112">
        <v>17.72</v>
      </c>
      <c r="M94" s="112">
        <v>59.87</v>
      </c>
      <c r="N94" s="112">
        <v>1.4</v>
      </c>
      <c r="O94" s="112">
        <v>0</v>
      </c>
      <c r="P94" s="112">
        <v>1.0900000000000001</v>
      </c>
      <c r="Q94" s="112">
        <v>11.4</v>
      </c>
    </row>
    <row r="95" spans="1:17" customFormat="1">
      <c r="A95" s="80">
        <v>45623.90625</v>
      </c>
      <c r="B95" s="112">
        <v>16.87</v>
      </c>
      <c r="C95" s="112">
        <v>25.59</v>
      </c>
      <c r="D95" s="112">
        <v>28.25</v>
      </c>
      <c r="E95" s="112">
        <v>8.84</v>
      </c>
      <c r="F95" s="112">
        <v>5.22</v>
      </c>
      <c r="G95" s="112">
        <v>184.96</v>
      </c>
      <c r="H95" s="112">
        <v>41.21</v>
      </c>
      <c r="I95" s="112">
        <v>10.89</v>
      </c>
      <c r="J95" s="112">
        <v>0.23</v>
      </c>
      <c r="K95" s="112">
        <v>195.75</v>
      </c>
      <c r="L95" s="112">
        <v>17.38</v>
      </c>
      <c r="M95" s="112">
        <v>67.430000000000007</v>
      </c>
      <c r="N95" s="112">
        <v>1.5</v>
      </c>
      <c r="O95" s="112">
        <v>0</v>
      </c>
      <c r="P95" s="112">
        <v>1.1000000000000001</v>
      </c>
      <c r="Q95" s="112">
        <v>11.38</v>
      </c>
    </row>
    <row r="96" spans="1:17" customFormat="1">
      <c r="A96" s="80">
        <v>45623.916666666664</v>
      </c>
      <c r="B96" s="112">
        <v>16.440000000000001</v>
      </c>
      <c r="C96" s="112">
        <v>25.49</v>
      </c>
      <c r="D96" s="112">
        <v>27.85</v>
      </c>
      <c r="E96" s="112">
        <v>8.67</v>
      </c>
      <c r="F96" s="112">
        <v>5.31</v>
      </c>
      <c r="G96" s="112">
        <v>184.96</v>
      </c>
      <c r="H96" s="112">
        <v>41.21</v>
      </c>
      <c r="I96" s="112">
        <v>11.09</v>
      </c>
      <c r="J96" s="112">
        <v>0.17</v>
      </c>
      <c r="K96" s="112">
        <v>219.78</v>
      </c>
      <c r="L96" s="112">
        <v>16.68</v>
      </c>
      <c r="M96" s="112">
        <v>72.03</v>
      </c>
      <c r="N96" s="112">
        <v>1.7</v>
      </c>
      <c r="O96" s="112">
        <v>0</v>
      </c>
      <c r="P96" s="112">
        <v>1.1100000000000001</v>
      </c>
      <c r="Q96" s="112">
        <v>11.36</v>
      </c>
    </row>
    <row r="97" spans="1:22" customFormat="1">
      <c r="A97" s="80">
        <v>45623.927083333336</v>
      </c>
      <c r="B97" s="112">
        <v>15.76</v>
      </c>
      <c r="C97" s="112">
        <v>25.12</v>
      </c>
      <c r="D97" s="112">
        <v>27.12</v>
      </c>
      <c r="E97" s="112">
        <v>8.93</v>
      </c>
      <c r="F97" s="112">
        <v>5.4</v>
      </c>
      <c r="G97" s="112">
        <v>183.71</v>
      </c>
      <c r="H97" s="112">
        <v>41.18</v>
      </c>
      <c r="I97" s="112">
        <v>11.22</v>
      </c>
      <c r="J97" s="112">
        <v>0.18</v>
      </c>
      <c r="K97" s="112">
        <v>196.49</v>
      </c>
      <c r="L97" s="112">
        <v>16.54</v>
      </c>
      <c r="M97" s="112">
        <v>68.510000000000005</v>
      </c>
      <c r="N97" s="112">
        <v>1.2</v>
      </c>
      <c r="O97" s="112">
        <v>0</v>
      </c>
      <c r="P97" s="112">
        <v>1.1000000000000001</v>
      </c>
      <c r="Q97" s="112">
        <v>11.34</v>
      </c>
    </row>
    <row r="98" spans="1:22" customFormat="1">
      <c r="A98" s="80">
        <v>45623.9375</v>
      </c>
      <c r="B98" s="112">
        <v>15.29</v>
      </c>
      <c r="C98" s="112">
        <v>24.76</v>
      </c>
      <c r="D98" s="112">
        <v>26.55</v>
      </c>
      <c r="E98" s="112">
        <v>8.98</v>
      </c>
      <c r="F98" s="112">
        <v>5.51</v>
      </c>
      <c r="G98" s="112">
        <v>128.47</v>
      </c>
      <c r="H98" s="112">
        <v>39.119999999999997</v>
      </c>
      <c r="I98" s="112">
        <v>11.31</v>
      </c>
      <c r="J98" s="112">
        <v>0.14000000000000001</v>
      </c>
      <c r="K98" s="112">
        <v>210.95</v>
      </c>
      <c r="L98" s="112">
        <v>16.18</v>
      </c>
      <c r="M98" s="112">
        <v>73.790000000000006</v>
      </c>
      <c r="N98" s="112">
        <v>1.4</v>
      </c>
      <c r="O98" s="112">
        <v>0</v>
      </c>
      <c r="P98" s="112">
        <v>1.0900000000000001</v>
      </c>
      <c r="Q98" s="112">
        <v>11.32</v>
      </c>
    </row>
    <row r="99" spans="1:22" customFormat="1">
      <c r="A99" s="80">
        <v>45623.947916666664</v>
      </c>
      <c r="B99" s="112">
        <v>15.04</v>
      </c>
      <c r="C99" s="112">
        <v>24.48</v>
      </c>
      <c r="D99" s="112">
        <v>26.2</v>
      </c>
      <c r="E99" s="112">
        <v>9.43</v>
      </c>
      <c r="F99" s="112">
        <v>5.48</v>
      </c>
      <c r="G99" s="112">
        <v>128.47</v>
      </c>
      <c r="H99" s="112">
        <v>39.119999999999997</v>
      </c>
      <c r="I99" s="112">
        <v>11.34</v>
      </c>
      <c r="J99" s="112">
        <v>0.15</v>
      </c>
      <c r="K99" s="112">
        <v>181.32</v>
      </c>
      <c r="L99" s="112">
        <v>16.170000000000002</v>
      </c>
      <c r="M99" s="112">
        <v>69.55</v>
      </c>
      <c r="N99" s="112">
        <v>1.1000000000000001</v>
      </c>
      <c r="O99" s="112">
        <v>0</v>
      </c>
      <c r="P99" s="112">
        <v>1.0900000000000001</v>
      </c>
      <c r="Q99" s="112">
        <v>11.28</v>
      </c>
    </row>
    <row r="100" spans="1:22" customFormat="1">
      <c r="A100" s="80">
        <v>45623.958333333336</v>
      </c>
      <c r="B100" s="112">
        <v>15.66</v>
      </c>
      <c r="C100" s="112">
        <v>24.53</v>
      </c>
      <c r="D100" s="112">
        <v>26.73</v>
      </c>
      <c r="E100" s="112">
        <v>8.8699999999999992</v>
      </c>
      <c r="F100" s="112">
        <v>5.31</v>
      </c>
      <c r="G100" s="112">
        <v>128.47</v>
      </c>
      <c r="H100" s="112">
        <v>39.119999999999997</v>
      </c>
      <c r="I100" s="112">
        <v>11.31</v>
      </c>
      <c r="J100" s="112">
        <v>0.14000000000000001</v>
      </c>
      <c r="K100" s="112">
        <v>211.29</v>
      </c>
      <c r="L100" s="112">
        <v>16.04</v>
      </c>
      <c r="M100" s="112">
        <v>72.709999999999994</v>
      </c>
      <c r="N100" s="112">
        <v>1.2</v>
      </c>
      <c r="O100" s="112">
        <v>0</v>
      </c>
      <c r="P100" s="112">
        <v>1.1000000000000001</v>
      </c>
      <c r="Q100" s="112">
        <v>11.27</v>
      </c>
    </row>
    <row r="101" spans="1:22" customFormat="1">
      <c r="A101" s="80">
        <v>45623.96875</v>
      </c>
      <c r="B101" s="112">
        <v>16.66</v>
      </c>
      <c r="C101" s="112">
        <v>24.48</v>
      </c>
      <c r="D101" s="112">
        <v>27.5</v>
      </c>
      <c r="E101" s="112">
        <v>8.89</v>
      </c>
      <c r="F101" s="112">
        <v>5.47</v>
      </c>
      <c r="G101" s="112">
        <v>128.16999999999999</v>
      </c>
      <c r="H101" s="112">
        <v>39</v>
      </c>
      <c r="I101" s="112">
        <v>11.32</v>
      </c>
      <c r="J101" s="112">
        <v>0.12</v>
      </c>
      <c r="K101" s="112">
        <v>163.5</v>
      </c>
      <c r="L101" s="112">
        <v>16.100000000000001</v>
      </c>
      <c r="M101" s="112">
        <v>71.27</v>
      </c>
      <c r="N101" s="112">
        <v>1</v>
      </c>
      <c r="O101" s="112">
        <v>0</v>
      </c>
      <c r="P101" s="112">
        <v>1.1000000000000001</v>
      </c>
      <c r="Q101" s="112">
        <v>11.25</v>
      </c>
    </row>
    <row r="102" spans="1:22" customFormat="1">
      <c r="A102" s="80">
        <v>45623.979166666664</v>
      </c>
      <c r="B102" s="112">
        <v>18.420000000000002</v>
      </c>
      <c r="C102" s="112">
        <v>24.62</v>
      </c>
      <c r="D102" s="112">
        <v>28.99</v>
      </c>
      <c r="E102" s="112">
        <v>9.0299999999999994</v>
      </c>
      <c r="F102" s="112">
        <v>5.41</v>
      </c>
      <c r="G102" s="112">
        <v>114.76</v>
      </c>
      <c r="H102" s="112">
        <v>35.08</v>
      </c>
      <c r="I102" s="112">
        <v>11.34</v>
      </c>
      <c r="J102" s="112">
        <v>0.08</v>
      </c>
      <c r="K102" s="112">
        <v>182.05</v>
      </c>
      <c r="L102" s="112">
        <v>16.36</v>
      </c>
      <c r="M102" s="112">
        <v>65.16</v>
      </c>
      <c r="N102" s="112">
        <v>0.9</v>
      </c>
      <c r="O102" s="112">
        <v>0</v>
      </c>
      <c r="P102" s="112">
        <v>1.1000000000000001</v>
      </c>
      <c r="Q102" s="112">
        <v>11.26</v>
      </c>
    </row>
    <row r="103" spans="1:22" customFormat="1">
      <c r="A103" s="80">
        <v>45623.989583333336</v>
      </c>
      <c r="B103" s="112">
        <v>20.76</v>
      </c>
      <c r="C103" s="112">
        <v>25.05</v>
      </c>
      <c r="D103" s="112">
        <v>31.08</v>
      </c>
      <c r="E103" s="112">
        <v>9.2799999999999994</v>
      </c>
      <c r="F103" s="112">
        <v>5.41</v>
      </c>
      <c r="G103" s="112">
        <v>114.76</v>
      </c>
      <c r="H103" s="112">
        <v>35.08</v>
      </c>
      <c r="I103" s="112">
        <v>11.35</v>
      </c>
      <c r="J103" s="112">
        <v>0.15</v>
      </c>
      <c r="K103" s="112">
        <v>194.38</v>
      </c>
      <c r="L103" s="112">
        <v>16.239999999999998</v>
      </c>
      <c r="M103" s="112">
        <v>65.45</v>
      </c>
      <c r="N103" s="112">
        <v>1.2</v>
      </c>
      <c r="O103" s="112">
        <v>0</v>
      </c>
      <c r="P103" s="112">
        <v>1.1000000000000001</v>
      </c>
      <c r="Q103" s="112">
        <v>11.24</v>
      </c>
    </row>
    <row r="104" spans="1:22" customFormat="1">
      <c r="A104" s="80">
        <v>45624</v>
      </c>
      <c r="B104" s="112">
        <v>22.02</v>
      </c>
      <c r="C104" s="112">
        <v>25.22</v>
      </c>
      <c r="D104" s="112">
        <v>32.18</v>
      </c>
      <c r="E104" s="112">
        <v>9.36</v>
      </c>
      <c r="F104" s="112">
        <v>5.62</v>
      </c>
      <c r="G104" s="112">
        <v>114.76</v>
      </c>
      <c r="H104" s="112">
        <v>35.08</v>
      </c>
      <c r="I104" s="112">
        <v>11.38</v>
      </c>
      <c r="J104" s="112">
        <v>0.14000000000000001</v>
      </c>
      <c r="K104" s="112">
        <v>35.25</v>
      </c>
      <c r="L104" s="112">
        <v>15.88</v>
      </c>
      <c r="M104" s="112">
        <v>68.14</v>
      </c>
      <c r="N104" s="112">
        <v>1.1000000000000001</v>
      </c>
      <c r="O104" s="112">
        <v>0</v>
      </c>
      <c r="P104" s="112">
        <v>1.0900000000000001</v>
      </c>
      <c r="Q104" s="112">
        <v>11.2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2.86</v>
      </c>
      <c r="C106" s="183">
        <f>MIN(C9:C104)</f>
        <v>17.920000000000002</v>
      </c>
      <c r="D106" s="183">
        <f t="shared" ref="D106:Q106" si="0">MIN(D9:D104)</f>
        <v>14.63</v>
      </c>
      <c r="E106" s="183">
        <f t="shared" si="0"/>
        <v>5</v>
      </c>
      <c r="F106" s="183">
        <f t="shared" si="0"/>
        <v>5.1100000000000003</v>
      </c>
      <c r="G106" s="183">
        <f t="shared" si="0"/>
        <v>69.209999999999994</v>
      </c>
      <c r="H106" s="183">
        <f t="shared" si="0"/>
        <v>24.96</v>
      </c>
      <c r="I106" s="183">
        <f t="shared" si="0"/>
        <v>5.24</v>
      </c>
      <c r="J106" s="183">
        <f t="shared" si="0"/>
        <v>0.02</v>
      </c>
      <c r="K106" s="183">
        <f t="shared" si="0"/>
        <v>0.77</v>
      </c>
      <c r="L106" s="183">
        <f t="shared" si="0"/>
        <v>14.26</v>
      </c>
      <c r="M106" s="183">
        <f t="shared" si="0"/>
        <v>24.52</v>
      </c>
      <c r="N106" s="183">
        <f t="shared" si="0"/>
        <v>0.8</v>
      </c>
      <c r="O106" s="183">
        <f t="shared" si="0"/>
        <v>0</v>
      </c>
      <c r="P106" s="183">
        <f t="shared" si="0"/>
        <v>0.55000000000000004</v>
      </c>
      <c r="Q106" s="183">
        <f t="shared" si="0"/>
        <v>0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27.27</v>
      </c>
      <c r="C107" s="184">
        <f t="shared" ref="C107:Q107" si="1">MAX(C9:C104)</f>
        <v>28.29</v>
      </c>
      <c r="D107" s="184">
        <f t="shared" si="1"/>
        <v>33.630000000000003</v>
      </c>
      <c r="E107" s="184">
        <f t="shared" si="1"/>
        <v>34.590000000000003</v>
      </c>
      <c r="F107" s="184">
        <f t="shared" si="1"/>
        <v>35.14</v>
      </c>
      <c r="G107" s="184">
        <f t="shared" si="1"/>
        <v>220.63</v>
      </c>
      <c r="H107" s="184">
        <f t="shared" si="1"/>
        <v>41.21</v>
      </c>
      <c r="I107" s="184">
        <f t="shared" si="1"/>
        <v>12.73</v>
      </c>
      <c r="J107" s="184">
        <f t="shared" si="1"/>
        <v>1.1399999999999999</v>
      </c>
      <c r="K107" s="184">
        <f t="shared" si="1"/>
        <v>355.09</v>
      </c>
      <c r="L107" s="184">
        <f t="shared" si="1"/>
        <v>27.62</v>
      </c>
      <c r="M107" s="184">
        <f t="shared" si="1"/>
        <v>88.53</v>
      </c>
      <c r="N107" s="184">
        <f t="shared" si="1"/>
        <v>498.7</v>
      </c>
      <c r="O107" s="184">
        <f t="shared" si="1"/>
        <v>0</v>
      </c>
      <c r="P107" s="184">
        <f t="shared" si="1"/>
        <v>1.1100000000000001</v>
      </c>
      <c r="Q107" s="184">
        <f t="shared" si="1"/>
        <v>12.81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13.053229166666668</v>
      </c>
      <c r="C108" s="183">
        <f t="shared" ref="C108:Q108" si="2">AVERAGE(C9:C104)</f>
        <v>22.451354166666665</v>
      </c>
      <c r="D108" s="183">
        <f t="shared" si="2"/>
        <v>23.548645833333328</v>
      </c>
      <c r="E108" s="183">
        <f t="shared" si="2"/>
        <v>8.6371875000000014</v>
      </c>
      <c r="F108" s="183">
        <f t="shared" si="2"/>
        <v>7.6638541666666669</v>
      </c>
      <c r="G108" s="183">
        <f t="shared" si="2"/>
        <v>103.82489583333331</v>
      </c>
      <c r="H108" s="183">
        <f t="shared" si="2"/>
        <v>31.372395833333311</v>
      </c>
      <c r="I108" s="183">
        <f t="shared" si="2"/>
        <v>9.7511458333333341</v>
      </c>
      <c r="J108" s="183">
        <f t="shared" si="2"/>
        <v>0.3456249999999999</v>
      </c>
      <c r="K108" s="183">
        <f t="shared" si="2"/>
        <v>112.2475</v>
      </c>
      <c r="L108" s="183">
        <f t="shared" si="2"/>
        <v>20.179895833333333</v>
      </c>
      <c r="M108" s="183">
        <f t="shared" si="2"/>
        <v>56.406666666666673</v>
      </c>
      <c r="N108" s="183">
        <f t="shared" si="2"/>
        <v>96.663541666666731</v>
      </c>
      <c r="O108" s="183">
        <f t="shared" si="2"/>
        <v>0</v>
      </c>
      <c r="P108" s="183">
        <f t="shared" si="2"/>
        <v>0.85124999999999995</v>
      </c>
      <c r="Q108" s="183">
        <f t="shared" si="2"/>
        <v>7.7580208333333331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7.4496798228326107</v>
      </c>
      <c r="C109" s="183">
        <f t="shared" ref="C109:Q109" si="3">STDEV(C9:C104)</f>
        <v>2.2551576533951661</v>
      </c>
      <c r="D109" s="183">
        <f t="shared" si="3"/>
        <v>5.6875451405573374</v>
      </c>
      <c r="E109" s="183">
        <f t="shared" si="3"/>
        <v>3.0668151500332801</v>
      </c>
      <c r="F109" s="183">
        <f t="shared" si="3"/>
        <v>4.921658977854749</v>
      </c>
      <c r="G109" s="183">
        <f t="shared" si="3"/>
        <v>33.720974419172826</v>
      </c>
      <c r="H109" s="183">
        <f t="shared" si="3"/>
        <v>4.515349434468261</v>
      </c>
      <c r="I109" s="183">
        <f t="shared" si="3"/>
        <v>2.3054296869925754</v>
      </c>
      <c r="J109" s="183">
        <f t="shared" si="3"/>
        <v>0.28149156292862515</v>
      </c>
      <c r="K109" s="183">
        <f t="shared" si="3"/>
        <v>70.522254240472861</v>
      </c>
      <c r="L109" s="183">
        <f t="shared" si="3"/>
        <v>4.7163780694827802</v>
      </c>
      <c r="M109" s="183">
        <f t="shared" si="3"/>
        <v>20.962367366641431</v>
      </c>
      <c r="N109" s="183">
        <f t="shared" si="3"/>
        <v>155.9986053377547</v>
      </c>
      <c r="O109" s="183">
        <f t="shared" si="3"/>
        <v>0</v>
      </c>
      <c r="P109" s="183">
        <f t="shared" si="3"/>
        <v>0.155165446506217</v>
      </c>
      <c r="Q109" s="183">
        <f t="shared" si="3"/>
        <v>3.6458786017239753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xSplit="1" ySplit="8" topLeftCell="B93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45624.010416666664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45624.010416666664</v>
      </c>
      <c r="B9" s="112">
        <v>24.14</v>
      </c>
      <c r="C9" s="112">
        <v>25.29</v>
      </c>
      <c r="D9" s="112">
        <v>33.92</v>
      </c>
      <c r="E9" s="112">
        <v>8.6199999999999992</v>
      </c>
      <c r="F9" s="112">
        <v>5.46</v>
      </c>
      <c r="G9" s="112">
        <v>114.77</v>
      </c>
      <c r="H9" s="112">
        <v>35.04</v>
      </c>
      <c r="I9" s="112">
        <v>11.41</v>
      </c>
      <c r="J9" s="112">
        <v>0.36</v>
      </c>
      <c r="K9" s="112">
        <v>33.15</v>
      </c>
      <c r="L9" s="112">
        <v>16.420000000000002</v>
      </c>
      <c r="M9" s="112">
        <v>57.73</v>
      </c>
      <c r="N9" s="112">
        <v>0.5</v>
      </c>
      <c r="O9" s="112">
        <v>0</v>
      </c>
      <c r="P9" s="112">
        <v>1.0900000000000001</v>
      </c>
      <c r="Q9" s="112">
        <v>11.2</v>
      </c>
    </row>
    <row r="10" spans="1:21" customFormat="1">
      <c r="A10" s="80">
        <v>45624.020833333336</v>
      </c>
      <c r="B10" s="112">
        <v>24.37</v>
      </c>
      <c r="C10" s="112">
        <v>25.26</v>
      </c>
      <c r="D10" s="112">
        <v>34.090000000000003</v>
      </c>
      <c r="E10" s="112">
        <v>8.57</v>
      </c>
      <c r="F10" s="112">
        <v>5.38</v>
      </c>
      <c r="G10" s="112">
        <v>115.12</v>
      </c>
      <c r="H10" s="112">
        <v>33.61</v>
      </c>
      <c r="I10" s="112">
        <v>11.38</v>
      </c>
      <c r="J10" s="112">
        <v>0.35</v>
      </c>
      <c r="K10" s="112">
        <v>40.130000000000003</v>
      </c>
      <c r="L10" s="112">
        <v>16.71</v>
      </c>
      <c r="M10" s="112">
        <v>56.73</v>
      </c>
      <c r="N10" s="112">
        <v>0.9</v>
      </c>
      <c r="O10" s="112">
        <v>0</v>
      </c>
      <c r="P10" s="112">
        <v>1.08</v>
      </c>
      <c r="Q10" s="112">
        <v>11.18</v>
      </c>
    </row>
    <row r="11" spans="1:21" customFormat="1">
      <c r="A11" s="80">
        <v>45624.03125</v>
      </c>
      <c r="B11" s="112">
        <v>24.01</v>
      </c>
      <c r="C11" s="112">
        <v>25.29</v>
      </c>
      <c r="D11" s="112">
        <v>33.82</v>
      </c>
      <c r="E11" s="112">
        <v>8.91</v>
      </c>
      <c r="F11" s="112">
        <v>5.51</v>
      </c>
      <c r="G11" s="112">
        <v>115.12</v>
      </c>
      <c r="H11" s="112">
        <v>33.61</v>
      </c>
      <c r="I11" s="112">
        <v>11.32</v>
      </c>
      <c r="J11" s="112">
        <v>0.12</v>
      </c>
      <c r="K11" s="112">
        <v>46.75</v>
      </c>
      <c r="L11" s="112">
        <v>16.55</v>
      </c>
      <c r="M11" s="112">
        <v>59.58</v>
      </c>
      <c r="N11" s="112">
        <v>1.3</v>
      </c>
      <c r="O11" s="112">
        <v>0</v>
      </c>
      <c r="P11" s="112">
        <v>1.07</v>
      </c>
      <c r="Q11" s="112">
        <v>11.17</v>
      </c>
    </row>
    <row r="12" spans="1:21" customFormat="1">
      <c r="A12" s="80">
        <v>45624.041666666664</v>
      </c>
      <c r="B12" s="112">
        <v>23.48</v>
      </c>
      <c r="C12" s="112">
        <v>25.13</v>
      </c>
      <c r="D12" s="112">
        <v>33.31</v>
      </c>
      <c r="E12" s="112">
        <v>9.01</v>
      </c>
      <c r="F12" s="112">
        <v>5.32</v>
      </c>
      <c r="G12" s="112">
        <v>115.12</v>
      </c>
      <c r="H12" s="112">
        <v>33.61</v>
      </c>
      <c r="I12" s="112">
        <v>11.28</v>
      </c>
      <c r="J12" s="112">
        <v>0.15</v>
      </c>
      <c r="K12" s="112">
        <v>193.72</v>
      </c>
      <c r="L12" s="112">
        <v>15.97</v>
      </c>
      <c r="M12" s="112">
        <v>65.86</v>
      </c>
      <c r="N12" s="112">
        <v>1.7</v>
      </c>
      <c r="O12" s="112">
        <v>0</v>
      </c>
      <c r="P12" s="112">
        <v>1.06</v>
      </c>
      <c r="Q12" s="112">
        <v>11.17</v>
      </c>
    </row>
    <row r="13" spans="1:21" customFormat="1">
      <c r="A13" s="80">
        <v>45624.052083333336</v>
      </c>
      <c r="B13" s="112">
        <v>22.74</v>
      </c>
      <c r="C13" s="112">
        <v>24.94</v>
      </c>
      <c r="D13" s="112">
        <v>32.619999999999997</v>
      </c>
      <c r="E13" s="112">
        <v>9.14</v>
      </c>
      <c r="F13" s="112">
        <v>5.52</v>
      </c>
      <c r="G13" s="112">
        <v>115.12</v>
      </c>
      <c r="H13" s="112">
        <v>33.64</v>
      </c>
      <c r="I13" s="112">
        <v>11.28</v>
      </c>
      <c r="J13" s="112">
        <v>0.11</v>
      </c>
      <c r="K13" s="112">
        <v>214.97</v>
      </c>
      <c r="L13" s="112">
        <v>15.34</v>
      </c>
      <c r="M13" s="112">
        <v>70.349999999999994</v>
      </c>
      <c r="N13" s="112">
        <v>1.6</v>
      </c>
      <c r="O13" s="112">
        <v>0</v>
      </c>
      <c r="P13" s="112">
        <v>1.06</v>
      </c>
      <c r="Q13" s="112">
        <v>11.16</v>
      </c>
    </row>
    <row r="14" spans="1:21" customFormat="1">
      <c r="A14" s="80">
        <v>45624.0625</v>
      </c>
      <c r="B14" s="112">
        <v>22.88</v>
      </c>
      <c r="C14" s="112">
        <v>24.86</v>
      </c>
      <c r="D14" s="112">
        <v>32.68</v>
      </c>
      <c r="E14" s="112">
        <v>8.89</v>
      </c>
      <c r="F14" s="112">
        <v>5.7</v>
      </c>
      <c r="G14" s="112">
        <v>115.17</v>
      </c>
      <c r="H14" s="112">
        <v>35.78</v>
      </c>
      <c r="I14" s="112">
        <v>11.32</v>
      </c>
      <c r="J14" s="112">
        <v>0.11</v>
      </c>
      <c r="K14" s="112">
        <v>31.68</v>
      </c>
      <c r="L14" s="112">
        <v>15.35</v>
      </c>
      <c r="M14" s="112">
        <v>67.88</v>
      </c>
      <c r="N14" s="112">
        <v>1</v>
      </c>
      <c r="O14" s="112">
        <v>0</v>
      </c>
      <c r="P14" s="112">
        <v>1.05</v>
      </c>
      <c r="Q14" s="112">
        <v>11.12</v>
      </c>
    </row>
    <row r="15" spans="1:21" customFormat="1">
      <c r="A15" s="80">
        <v>45624.072916666664</v>
      </c>
      <c r="B15" s="112">
        <v>23.26</v>
      </c>
      <c r="C15" s="112">
        <v>24.65</v>
      </c>
      <c r="D15" s="112">
        <v>32.880000000000003</v>
      </c>
      <c r="E15" s="112">
        <v>8.91</v>
      </c>
      <c r="F15" s="112">
        <v>5.6</v>
      </c>
      <c r="G15" s="112">
        <v>115.17</v>
      </c>
      <c r="H15" s="112">
        <v>35.78</v>
      </c>
      <c r="I15" s="112">
        <v>11.4</v>
      </c>
      <c r="J15" s="112">
        <v>0.17</v>
      </c>
      <c r="K15" s="112">
        <v>48.02</v>
      </c>
      <c r="L15" s="112">
        <v>15.68</v>
      </c>
      <c r="M15" s="112">
        <v>64.64</v>
      </c>
      <c r="N15" s="112">
        <v>0.8</v>
      </c>
      <c r="O15" s="112">
        <v>0</v>
      </c>
      <c r="P15" s="112">
        <v>1.05</v>
      </c>
      <c r="Q15" s="112">
        <v>11.11</v>
      </c>
    </row>
    <row r="16" spans="1:21" customFormat="1">
      <c r="A16" s="80">
        <v>45624.083333333336</v>
      </c>
      <c r="B16" s="112">
        <v>22.9</v>
      </c>
      <c r="C16" s="112">
        <v>24.38</v>
      </c>
      <c r="D16" s="112">
        <v>32.450000000000003</v>
      </c>
      <c r="E16" s="112">
        <v>8.3800000000000008</v>
      </c>
      <c r="F16" s="112">
        <v>5.63</v>
      </c>
      <c r="G16" s="112">
        <v>115.17</v>
      </c>
      <c r="H16" s="112">
        <v>35.78</v>
      </c>
      <c r="I16" s="112">
        <v>11.48</v>
      </c>
      <c r="J16" s="112">
        <v>0.3</v>
      </c>
      <c r="K16" s="112">
        <v>58.53</v>
      </c>
      <c r="L16" s="112">
        <v>15.75</v>
      </c>
      <c r="M16" s="112">
        <v>64.55</v>
      </c>
      <c r="N16" s="112">
        <v>1.1000000000000001</v>
      </c>
      <c r="O16" s="112">
        <v>0</v>
      </c>
      <c r="P16" s="112">
        <v>1.06</v>
      </c>
      <c r="Q16" s="112">
        <v>11.11</v>
      </c>
    </row>
    <row r="17" spans="1:17" customFormat="1">
      <c r="A17" s="80">
        <v>45624.09375</v>
      </c>
      <c r="B17" s="112">
        <v>22.24</v>
      </c>
      <c r="C17" s="112">
        <v>24.18</v>
      </c>
      <c r="D17" s="112">
        <v>31.82</v>
      </c>
      <c r="E17" s="112">
        <v>7.85</v>
      </c>
      <c r="F17" s="112">
        <v>5.6</v>
      </c>
      <c r="G17" s="112">
        <v>115.07</v>
      </c>
      <c r="H17" s="112">
        <v>35.79</v>
      </c>
      <c r="I17" s="112">
        <v>11.62</v>
      </c>
      <c r="J17" s="112">
        <v>0.18</v>
      </c>
      <c r="K17" s="112">
        <v>178.29</v>
      </c>
      <c r="L17" s="112">
        <v>15.35</v>
      </c>
      <c r="M17" s="112">
        <v>74.28</v>
      </c>
      <c r="N17" s="112">
        <v>1.6</v>
      </c>
      <c r="O17" s="112">
        <v>0</v>
      </c>
      <c r="P17" s="112">
        <v>1.05</v>
      </c>
      <c r="Q17" s="112">
        <v>11.09</v>
      </c>
    </row>
    <row r="18" spans="1:17" customFormat="1">
      <c r="A18" s="80">
        <v>45624.104166666664</v>
      </c>
      <c r="B18" s="112">
        <v>21.37</v>
      </c>
      <c r="C18" s="112">
        <v>23.92</v>
      </c>
      <c r="D18" s="112">
        <v>30.98</v>
      </c>
      <c r="E18" s="112">
        <v>9.26</v>
      </c>
      <c r="F18" s="112">
        <v>5.55</v>
      </c>
      <c r="G18" s="112">
        <v>110.94</v>
      </c>
      <c r="H18" s="112">
        <v>36.479999999999997</v>
      </c>
      <c r="I18" s="112">
        <v>11.72</v>
      </c>
      <c r="J18" s="112">
        <v>0.13</v>
      </c>
      <c r="K18" s="112">
        <v>179.83</v>
      </c>
      <c r="L18" s="112">
        <v>14.66</v>
      </c>
      <c r="M18" s="112">
        <v>78.22</v>
      </c>
      <c r="N18" s="112">
        <v>1.6</v>
      </c>
      <c r="O18" s="112">
        <v>0</v>
      </c>
      <c r="P18" s="112">
        <v>1.04</v>
      </c>
      <c r="Q18" s="112">
        <v>11.07</v>
      </c>
    </row>
    <row r="19" spans="1:17" customFormat="1">
      <c r="A19" s="80">
        <v>45624.114583333336</v>
      </c>
      <c r="B19" s="112">
        <v>20.49</v>
      </c>
      <c r="C19" s="112">
        <v>23.33</v>
      </c>
      <c r="D19" s="112">
        <v>29.97</v>
      </c>
      <c r="E19" s="112">
        <v>9.17</v>
      </c>
      <c r="F19" s="112">
        <v>5.51</v>
      </c>
      <c r="G19" s="112">
        <v>110.94</v>
      </c>
      <c r="H19" s="112">
        <v>36.479999999999997</v>
      </c>
      <c r="I19" s="112">
        <v>11.75</v>
      </c>
      <c r="J19" s="112">
        <v>7.0000000000000007E-2</v>
      </c>
      <c r="K19" s="112">
        <v>162.62</v>
      </c>
      <c r="L19" s="112">
        <v>14.33</v>
      </c>
      <c r="M19" s="112">
        <v>78.040000000000006</v>
      </c>
      <c r="N19" s="112">
        <v>1.4</v>
      </c>
      <c r="O19" s="112">
        <v>0</v>
      </c>
      <c r="P19" s="112">
        <v>1.02</v>
      </c>
      <c r="Q19" s="112">
        <v>11.05</v>
      </c>
    </row>
    <row r="20" spans="1:17" customFormat="1">
      <c r="A20" s="80">
        <v>45624.125</v>
      </c>
      <c r="B20" s="112">
        <v>19.87</v>
      </c>
      <c r="C20" s="112">
        <v>23.04</v>
      </c>
      <c r="D20" s="112">
        <v>29.33</v>
      </c>
      <c r="E20" s="112">
        <v>8.4600000000000009</v>
      </c>
      <c r="F20" s="112">
        <v>5.5</v>
      </c>
      <c r="G20" s="112">
        <v>110.94</v>
      </c>
      <c r="H20" s="112">
        <v>36.479999999999997</v>
      </c>
      <c r="I20" s="112">
        <v>11.76</v>
      </c>
      <c r="J20" s="112">
        <v>0.17</v>
      </c>
      <c r="K20" s="112">
        <v>27.14</v>
      </c>
      <c r="L20" s="112">
        <v>14.57</v>
      </c>
      <c r="M20" s="112">
        <v>72.78</v>
      </c>
      <c r="N20" s="112">
        <v>0.7</v>
      </c>
      <c r="O20" s="112">
        <v>0</v>
      </c>
      <c r="P20" s="112">
        <v>1.01</v>
      </c>
      <c r="Q20" s="112">
        <v>11.03</v>
      </c>
    </row>
    <row r="21" spans="1:17" customFormat="1">
      <c r="A21" s="80">
        <v>45624.135416666664</v>
      </c>
      <c r="B21" s="112">
        <v>19.3</v>
      </c>
      <c r="C21" s="112">
        <v>22.7</v>
      </c>
      <c r="D21" s="112">
        <v>28.69</v>
      </c>
      <c r="E21" s="112">
        <v>8.77</v>
      </c>
      <c r="F21" s="112">
        <v>5.56</v>
      </c>
      <c r="G21" s="112">
        <v>110.84</v>
      </c>
      <c r="H21" s="112">
        <v>36.43</v>
      </c>
      <c r="I21" s="112">
        <v>11.79</v>
      </c>
      <c r="J21" s="112">
        <v>0.28000000000000003</v>
      </c>
      <c r="K21" s="112">
        <v>40.98</v>
      </c>
      <c r="L21" s="112">
        <v>14.89</v>
      </c>
      <c r="M21" s="112">
        <v>69.66</v>
      </c>
      <c r="N21" s="112">
        <v>0.9</v>
      </c>
      <c r="O21" s="112">
        <v>0</v>
      </c>
      <c r="P21" s="112">
        <v>1</v>
      </c>
      <c r="Q21" s="112">
        <v>11.02</v>
      </c>
    </row>
    <row r="22" spans="1:17" customFormat="1">
      <c r="A22" s="80">
        <v>45624.145833333336</v>
      </c>
      <c r="B22" s="112">
        <v>18.5</v>
      </c>
      <c r="C22" s="112">
        <v>22.5</v>
      </c>
      <c r="D22" s="112">
        <v>27.94</v>
      </c>
      <c r="E22" s="112">
        <v>8.77</v>
      </c>
      <c r="F22" s="112">
        <v>5.31</v>
      </c>
      <c r="G22" s="112">
        <v>102.03</v>
      </c>
      <c r="H22" s="112">
        <v>33.32</v>
      </c>
      <c r="I22" s="112">
        <v>11.82</v>
      </c>
      <c r="J22" s="112">
        <v>0.03</v>
      </c>
      <c r="K22" s="112">
        <v>117.38</v>
      </c>
      <c r="L22" s="112">
        <v>14.76</v>
      </c>
      <c r="M22" s="112">
        <v>72.819999999999993</v>
      </c>
      <c r="N22" s="112">
        <v>1.3</v>
      </c>
      <c r="O22" s="112">
        <v>0</v>
      </c>
      <c r="P22" s="112">
        <v>0.99</v>
      </c>
      <c r="Q22" s="112">
        <v>11</v>
      </c>
    </row>
    <row r="23" spans="1:17" customFormat="1">
      <c r="A23" s="80">
        <v>45624.15625</v>
      </c>
      <c r="B23" s="112">
        <v>17.59</v>
      </c>
      <c r="C23" s="112">
        <v>22.36</v>
      </c>
      <c r="D23" s="112">
        <v>27.14</v>
      </c>
      <c r="E23" s="112">
        <v>8.82</v>
      </c>
      <c r="F23" s="112">
        <v>5.57</v>
      </c>
      <c r="G23" s="112">
        <v>102.03</v>
      </c>
      <c r="H23" s="112">
        <v>33.32</v>
      </c>
      <c r="I23" s="112">
        <v>11.78</v>
      </c>
      <c r="J23" s="112">
        <v>0.09</v>
      </c>
      <c r="K23" s="112">
        <v>73.55</v>
      </c>
      <c r="L23" s="112">
        <v>14.43</v>
      </c>
      <c r="M23" s="112">
        <v>75.28</v>
      </c>
      <c r="N23" s="112">
        <v>1.3</v>
      </c>
      <c r="O23" s="112">
        <v>0</v>
      </c>
      <c r="P23" s="112">
        <v>0.98</v>
      </c>
      <c r="Q23" s="112">
        <v>11.01</v>
      </c>
    </row>
    <row r="24" spans="1:17" customFormat="1">
      <c r="A24" s="80">
        <v>45624.166666666664</v>
      </c>
      <c r="B24" s="112">
        <v>16.93</v>
      </c>
      <c r="C24" s="112">
        <v>22.37</v>
      </c>
      <c r="D24" s="112">
        <v>26.62</v>
      </c>
      <c r="E24" s="112">
        <v>8.7899999999999991</v>
      </c>
      <c r="F24" s="112">
        <v>5.81</v>
      </c>
      <c r="G24" s="112">
        <v>102.03</v>
      </c>
      <c r="H24" s="112">
        <v>33.32</v>
      </c>
      <c r="I24" s="112">
        <v>11.69</v>
      </c>
      <c r="J24" s="112">
        <v>0.03</v>
      </c>
      <c r="K24" s="112">
        <v>108.61</v>
      </c>
      <c r="L24" s="112">
        <v>14.28</v>
      </c>
      <c r="M24" s="112">
        <v>76.28</v>
      </c>
      <c r="N24" s="112">
        <v>1.3</v>
      </c>
      <c r="O24" s="112">
        <v>0</v>
      </c>
      <c r="P24" s="112">
        <v>0.96</v>
      </c>
      <c r="Q24" s="112">
        <v>10.99</v>
      </c>
    </row>
    <row r="25" spans="1:17" customFormat="1">
      <c r="A25" s="80">
        <v>45624.177083333336</v>
      </c>
      <c r="B25" s="112">
        <v>16.3</v>
      </c>
      <c r="C25" s="112">
        <v>22.3</v>
      </c>
      <c r="D25" s="112">
        <v>26.07</v>
      </c>
      <c r="E25" s="112">
        <v>8.91</v>
      </c>
      <c r="F25" s="112">
        <v>5.81</v>
      </c>
      <c r="G25" s="112">
        <v>101.45</v>
      </c>
      <c r="H25" s="112">
        <v>33.229999999999997</v>
      </c>
      <c r="I25" s="112">
        <v>11.6</v>
      </c>
      <c r="J25" s="112">
        <v>0.2</v>
      </c>
      <c r="K25" s="112">
        <v>30.05</v>
      </c>
      <c r="L25" s="112">
        <v>14.45</v>
      </c>
      <c r="M25" s="112">
        <v>72.69</v>
      </c>
      <c r="N25" s="112">
        <v>0.9</v>
      </c>
      <c r="O25" s="112">
        <v>0</v>
      </c>
      <c r="P25" s="112">
        <v>0.95</v>
      </c>
      <c r="Q25" s="112">
        <v>10.99</v>
      </c>
    </row>
    <row r="26" spans="1:17" customFormat="1">
      <c r="A26" s="80">
        <v>45624.1875</v>
      </c>
      <c r="B26" s="112">
        <v>15.79</v>
      </c>
      <c r="C26" s="112">
        <v>22.17</v>
      </c>
      <c r="D26" s="112">
        <v>25.59</v>
      </c>
      <c r="E26" s="112">
        <v>8.84</v>
      </c>
      <c r="F26" s="112">
        <v>5.6</v>
      </c>
      <c r="G26" s="112">
        <v>75.98</v>
      </c>
      <c r="H26" s="112">
        <v>30.13</v>
      </c>
      <c r="I26" s="112">
        <v>11.44</v>
      </c>
      <c r="J26" s="112">
        <v>0.18</v>
      </c>
      <c r="K26" s="112">
        <v>43.67</v>
      </c>
      <c r="L26" s="112">
        <v>14.57</v>
      </c>
      <c r="M26" s="112">
        <v>72.31</v>
      </c>
      <c r="N26" s="112">
        <v>1.1000000000000001</v>
      </c>
      <c r="O26" s="112">
        <v>0</v>
      </c>
      <c r="P26" s="112">
        <v>0.94</v>
      </c>
      <c r="Q26" s="112">
        <v>10.96</v>
      </c>
    </row>
    <row r="27" spans="1:17" customFormat="1">
      <c r="A27" s="80">
        <v>45624.197916666664</v>
      </c>
      <c r="B27" s="112">
        <v>15.26</v>
      </c>
      <c r="C27" s="112">
        <v>22.08</v>
      </c>
      <c r="D27" s="112">
        <v>25.12</v>
      </c>
      <c r="E27" s="112">
        <v>8.89</v>
      </c>
      <c r="F27" s="112">
        <v>5.5</v>
      </c>
      <c r="G27" s="112">
        <v>75.98</v>
      </c>
      <c r="H27" s="112">
        <v>30.13</v>
      </c>
      <c r="I27" s="112">
        <v>11.29</v>
      </c>
      <c r="J27" s="112">
        <v>0.16</v>
      </c>
      <c r="K27" s="112">
        <v>38.630000000000003</v>
      </c>
      <c r="L27" s="112">
        <v>14.37</v>
      </c>
      <c r="M27" s="112">
        <v>74.069999999999993</v>
      </c>
      <c r="N27" s="112">
        <v>1.2</v>
      </c>
      <c r="O27" s="112">
        <v>0</v>
      </c>
      <c r="P27" s="112">
        <v>0.93</v>
      </c>
      <c r="Q27" s="112">
        <v>10.97</v>
      </c>
    </row>
    <row r="28" spans="1:17" customFormat="1">
      <c r="A28" s="80">
        <v>45624.208333333336</v>
      </c>
      <c r="B28" s="112">
        <v>14.63</v>
      </c>
      <c r="C28" s="112">
        <v>22.06</v>
      </c>
      <c r="D28" s="112">
        <v>24.61</v>
      </c>
      <c r="E28" s="112">
        <v>8.35</v>
      </c>
      <c r="F28" s="112">
        <v>5.72</v>
      </c>
      <c r="G28" s="112">
        <v>75.98</v>
      </c>
      <c r="H28" s="112">
        <v>30.13</v>
      </c>
      <c r="I28" s="112">
        <v>11.12</v>
      </c>
      <c r="J28" s="112">
        <v>0.37</v>
      </c>
      <c r="K28" s="112">
        <v>28.49</v>
      </c>
      <c r="L28" s="112">
        <v>14.54</v>
      </c>
      <c r="M28" s="112">
        <v>72.099999999999994</v>
      </c>
      <c r="N28" s="112">
        <v>1.1000000000000001</v>
      </c>
      <c r="O28" s="112">
        <v>0</v>
      </c>
      <c r="P28" s="112">
        <v>0.93</v>
      </c>
      <c r="Q28" s="112">
        <v>10.94</v>
      </c>
    </row>
    <row r="29" spans="1:17" customFormat="1">
      <c r="A29" s="80">
        <v>45624.21875</v>
      </c>
      <c r="B29" s="112">
        <v>14.13</v>
      </c>
      <c r="C29" s="112">
        <v>22.04</v>
      </c>
      <c r="D29" s="112">
        <v>24.2</v>
      </c>
      <c r="E29" s="112">
        <v>8.7200000000000006</v>
      </c>
      <c r="F29" s="112">
        <v>5.74</v>
      </c>
      <c r="G29" s="112">
        <v>76.260000000000005</v>
      </c>
      <c r="H29" s="112">
        <v>30.18</v>
      </c>
      <c r="I29" s="112">
        <v>10.98</v>
      </c>
      <c r="J29" s="112">
        <v>0.1</v>
      </c>
      <c r="K29" s="112">
        <v>109.33</v>
      </c>
      <c r="L29" s="112">
        <v>14.41</v>
      </c>
      <c r="M29" s="112">
        <v>74.42</v>
      </c>
      <c r="N29" s="112">
        <v>1.5</v>
      </c>
      <c r="O29" s="112">
        <v>0</v>
      </c>
      <c r="P29" s="112">
        <v>0.92</v>
      </c>
      <c r="Q29" s="112">
        <v>10.93</v>
      </c>
    </row>
    <row r="30" spans="1:17" customFormat="1">
      <c r="A30" s="80">
        <v>45624.229166666664</v>
      </c>
      <c r="B30" s="112">
        <v>13.42</v>
      </c>
      <c r="C30" s="112">
        <v>21.9</v>
      </c>
      <c r="D30" s="112">
        <v>23.55</v>
      </c>
      <c r="E30" s="112">
        <v>8.65</v>
      </c>
      <c r="F30" s="112">
        <v>5.56</v>
      </c>
      <c r="G30" s="112">
        <v>88.36</v>
      </c>
      <c r="H30" s="112">
        <v>34.01</v>
      </c>
      <c r="I30" s="112">
        <v>10.98</v>
      </c>
      <c r="J30" s="112">
        <v>0.09</v>
      </c>
      <c r="K30" s="112">
        <v>165.41</v>
      </c>
      <c r="L30" s="112">
        <v>14.07</v>
      </c>
      <c r="M30" s="112">
        <v>77.59</v>
      </c>
      <c r="N30" s="112">
        <v>1.6</v>
      </c>
      <c r="O30" s="112">
        <v>0</v>
      </c>
      <c r="P30" s="112">
        <v>0.9</v>
      </c>
      <c r="Q30" s="112">
        <v>10.92</v>
      </c>
    </row>
    <row r="31" spans="1:17" customFormat="1">
      <c r="A31" s="80">
        <v>45624.239583333336</v>
      </c>
      <c r="B31" s="112">
        <v>12.73</v>
      </c>
      <c r="C31" s="112">
        <v>21.81</v>
      </c>
      <c r="D31" s="112">
        <v>22.95</v>
      </c>
      <c r="E31" s="112">
        <v>9.19</v>
      </c>
      <c r="F31" s="112">
        <v>5.43</v>
      </c>
      <c r="G31" s="112">
        <v>88.36</v>
      </c>
      <c r="H31" s="112">
        <v>34.01</v>
      </c>
      <c r="I31" s="112">
        <v>11.03</v>
      </c>
      <c r="J31" s="112">
        <v>0.01</v>
      </c>
      <c r="K31" s="112">
        <v>4.32</v>
      </c>
      <c r="L31" s="112">
        <v>13.76</v>
      </c>
      <c r="M31" s="112">
        <v>79.86</v>
      </c>
      <c r="N31" s="112">
        <v>1.2</v>
      </c>
      <c r="O31" s="112">
        <v>0</v>
      </c>
      <c r="P31" s="112">
        <v>0.89</v>
      </c>
      <c r="Q31" s="112">
        <v>10.92</v>
      </c>
    </row>
    <row r="32" spans="1:17" customFormat="1">
      <c r="A32" s="80">
        <v>45624.25</v>
      </c>
      <c r="B32" s="112">
        <v>12.62</v>
      </c>
      <c r="C32" s="112">
        <v>21.86</v>
      </c>
      <c r="D32" s="112">
        <v>22.89</v>
      </c>
      <c r="E32" s="112">
        <v>8.23</v>
      </c>
      <c r="F32" s="112">
        <v>5.39</v>
      </c>
      <c r="G32" s="112">
        <v>88.36</v>
      </c>
      <c r="H32" s="112">
        <v>34.01</v>
      </c>
      <c r="I32" s="112">
        <v>11.01</v>
      </c>
      <c r="J32" s="112">
        <v>0.15</v>
      </c>
      <c r="K32" s="112">
        <v>178.47</v>
      </c>
      <c r="L32" s="112">
        <v>13.78</v>
      </c>
      <c r="M32" s="112">
        <v>80.41</v>
      </c>
      <c r="N32" s="112">
        <v>1.6</v>
      </c>
      <c r="O32" s="112">
        <v>0</v>
      </c>
      <c r="P32" s="112">
        <v>0.89</v>
      </c>
      <c r="Q32" s="112">
        <v>10.91</v>
      </c>
    </row>
    <row r="33" spans="1:17" customFormat="1">
      <c r="A33" s="80">
        <v>45624.260416666664</v>
      </c>
      <c r="B33" s="112">
        <v>12.69</v>
      </c>
      <c r="C33" s="112">
        <v>22.03</v>
      </c>
      <c r="D33" s="112">
        <v>23.04</v>
      </c>
      <c r="E33" s="112">
        <v>8.6</v>
      </c>
      <c r="F33" s="112">
        <v>5.57</v>
      </c>
      <c r="G33" s="112">
        <v>88.43</v>
      </c>
      <c r="H33" s="112">
        <v>34.01</v>
      </c>
      <c r="I33" s="112">
        <v>11.01</v>
      </c>
      <c r="J33" s="112">
        <v>0.1</v>
      </c>
      <c r="K33" s="112">
        <v>195.31</v>
      </c>
      <c r="L33" s="112">
        <v>13.52</v>
      </c>
      <c r="M33" s="112">
        <v>83.83</v>
      </c>
      <c r="N33" s="112">
        <v>3.6</v>
      </c>
      <c r="O33" s="112">
        <v>0</v>
      </c>
      <c r="P33" s="112">
        <v>0.89</v>
      </c>
      <c r="Q33" s="112">
        <v>10.9</v>
      </c>
    </row>
    <row r="34" spans="1:17" customFormat="1">
      <c r="A34" s="80">
        <v>45624.270833333336</v>
      </c>
      <c r="B34" s="112">
        <v>12.71</v>
      </c>
      <c r="C34" s="112">
        <v>21.84</v>
      </c>
      <c r="D34" s="112">
        <v>22.95</v>
      </c>
      <c r="E34" s="112">
        <v>8.48</v>
      </c>
      <c r="F34" s="112">
        <v>5.54</v>
      </c>
      <c r="G34" s="112">
        <v>91.49</v>
      </c>
      <c r="H34" s="112">
        <v>33.979999999999997</v>
      </c>
      <c r="I34" s="112">
        <v>11.09</v>
      </c>
      <c r="J34" s="112">
        <v>0.1</v>
      </c>
      <c r="K34" s="112">
        <v>163.03</v>
      </c>
      <c r="L34" s="112">
        <v>13.39</v>
      </c>
      <c r="M34" s="112">
        <v>85.7</v>
      </c>
      <c r="N34" s="112">
        <v>12</v>
      </c>
      <c r="O34" s="112">
        <v>0</v>
      </c>
      <c r="P34" s="112">
        <v>0.88</v>
      </c>
      <c r="Q34" s="112">
        <v>10.9</v>
      </c>
    </row>
    <row r="35" spans="1:17" customFormat="1">
      <c r="A35" s="80">
        <v>45624.28125</v>
      </c>
      <c r="B35" s="112">
        <v>13.6</v>
      </c>
      <c r="C35" s="112">
        <v>21.82</v>
      </c>
      <c r="D35" s="112">
        <v>23.66</v>
      </c>
      <c r="E35" s="112">
        <v>8.68</v>
      </c>
      <c r="F35" s="112">
        <v>5.53</v>
      </c>
      <c r="G35" s="112">
        <v>91.49</v>
      </c>
      <c r="H35" s="112">
        <v>33.979999999999997</v>
      </c>
      <c r="I35" s="112">
        <v>11.14</v>
      </c>
      <c r="J35" s="112">
        <v>0.24</v>
      </c>
      <c r="K35" s="112">
        <v>12.53</v>
      </c>
      <c r="L35" s="112">
        <v>13.89</v>
      </c>
      <c r="M35" s="112">
        <v>79.91</v>
      </c>
      <c r="N35" s="112">
        <v>18.399999999999999</v>
      </c>
      <c r="O35" s="112">
        <v>0</v>
      </c>
      <c r="P35" s="112">
        <v>0.9</v>
      </c>
      <c r="Q35" s="112">
        <v>10.88</v>
      </c>
    </row>
    <row r="36" spans="1:17" customFormat="1">
      <c r="A36" s="80">
        <v>45624.291666666664</v>
      </c>
      <c r="B36" s="112">
        <v>14.71</v>
      </c>
      <c r="C36" s="112">
        <v>21.92</v>
      </c>
      <c r="D36" s="112">
        <v>24.6</v>
      </c>
      <c r="E36" s="112">
        <v>7.96</v>
      </c>
      <c r="F36" s="112">
        <v>5.3</v>
      </c>
      <c r="G36" s="112">
        <v>91.49</v>
      </c>
      <c r="H36" s="112">
        <v>33.979999999999997</v>
      </c>
      <c r="I36" s="112">
        <v>11.21</v>
      </c>
      <c r="J36" s="112">
        <v>0.36</v>
      </c>
      <c r="K36" s="112">
        <v>37.82</v>
      </c>
      <c r="L36" s="112">
        <v>14.43</v>
      </c>
      <c r="M36" s="112">
        <v>75.36</v>
      </c>
      <c r="N36" s="112">
        <v>24.3</v>
      </c>
      <c r="O36" s="112">
        <v>0</v>
      </c>
      <c r="P36" s="112">
        <v>0.91</v>
      </c>
      <c r="Q36" s="112">
        <v>10.86</v>
      </c>
    </row>
    <row r="37" spans="1:17" customFormat="1">
      <c r="A37" s="80">
        <v>45624.302083333336</v>
      </c>
      <c r="B37" s="112">
        <v>15.55</v>
      </c>
      <c r="C37" s="112">
        <v>22.43</v>
      </c>
      <c r="D37" s="112">
        <v>25.54</v>
      </c>
      <c r="E37" s="112">
        <v>8.49</v>
      </c>
      <c r="F37" s="112">
        <v>5.61</v>
      </c>
      <c r="G37" s="112">
        <v>91.87</v>
      </c>
      <c r="H37" s="112">
        <v>34</v>
      </c>
      <c r="I37" s="112">
        <v>11.36</v>
      </c>
      <c r="J37" s="112">
        <v>0.48</v>
      </c>
      <c r="K37" s="112">
        <v>47.75</v>
      </c>
      <c r="L37" s="112">
        <v>14.83</v>
      </c>
      <c r="M37" s="112">
        <v>73.16</v>
      </c>
      <c r="N37" s="112">
        <v>39</v>
      </c>
      <c r="O37" s="112">
        <v>0</v>
      </c>
      <c r="P37" s="112">
        <v>0.94</v>
      </c>
      <c r="Q37" s="112">
        <v>10.89</v>
      </c>
    </row>
    <row r="38" spans="1:17" customFormat="1">
      <c r="A38" s="80">
        <v>45624.3125</v>
      </c>
      <c r="B38" s="112">
        <v>15.75</v>
      </c>
      <c r="C38" s="112">
        <v>22.73</v>
      </c>
      <c r="D38" s="112">
        <v>25.86</v>
      </c>
      <c r="E38" s="112">
        <v>7.7</v>
      </c>
      <c r="F38" s="112">
        <v>5.59</v>
      </c>
      <c r="G38" s="112">
        <v>108.57</v>
      </c>
      <c r="H38" s="112">
        <v>35.33</v>
      </c>
      <c r="I38" s="112">
        <v>11.49</v>
      </c>
      <c r="J38" s="112">
        <v>0.59</v>
      </c>
      <c r="K38" s="112">
        <v>37.909999999999997</v>
      </c>
      <c r="L38" s="112">
        <v>15.38</v>
      </c>
      <c r="M38" s="112">
        <v>71.069999999999993</v>
      </c>
      <c r="N38" s="112">
        <v>66.7</v>
      </c>
      <c r="O38" s="112">
        <v>0</v>
      </c>
      <c r="P38" s="112">
        <v>0.95</v>
      </c>
      <c r="Q38" s="112">
        <v>10.9</v>
      </c>
    </row>
    <row r="39" spans="1:17" customFormat="1">
      <c r="A39" s="80">
        <v>45624.322916666664</v>
      </c>
      <c r="B39" s="112">
        <v>15.46</v>
      </c>
      <c r="C39" s="112">
        <v>23.1</v>
      </c>
      <c r="D39" s="112">
        <v>25.82</v>
      </c>
      <c r="E39" s="112">
        <v>8.1300000000000008</v>
      </c>
      <c r="F39" s="112">
        <v>5.4</v>
      </c>
      <c r="G39" s="112">
        <v>108.57</v>
      </c>
      <c r="H39" s="112">
        <v>35.33</v>
      </c>
      <c r="I39" s="112">
        <v>11.67</v>
      </c>
      <c r="J39" s="112">
        <v>0.56999999999999995</v>
      </c>
      <c r="K39" s="112">
        <v>34.880000000000003</v>
      </c>
      <c r="L39" s="112">
        <v>16.2</v>
      </c>
      <c r="M39" s="112">
        <v>68.239999999999995</v>
      </c>
      <c r="N39" s="112">
        <v>99.1</v>
      </c>
      <c r="O39" s="112">
        <v>0</v>
      </c>
      <c r="P39" s="112">
        <v>0.97</v>
      </c>
      <c r="Q39" s="112">
        <v>10.87</v>
      </c>
    </row>
    <row r="40" spans="1:17" customFormat="1">
      <c r="A40" s="80">
        <v>45624.333333333336</v>
      </c>
      <c r="B40" s="112">
        <v>15.01</v>
      </c>
      <c r="C40" s="112">
        <v>23.43</v>
      </c>
      <c r="D40" s="112">
        <v>25.63</v>
      </c>
      <c r="E40" s="112">
        <v>8.09</v>
      </c>
      <c r="F40" s="112">
        <v>5.62</v>
      </c>
      <c r="G40" s="112">
        <v>108.57</v>
      </c>
      <c r="H40" s="112">
        <v>35.33</v>
      </c>
      <c r="I40" s="112">
        <v>11.82</v>
      </c>
      <c r="J40" s="112">
        <v>0.6</v>
      </c>
      <c r="K40" s="112">
        <v>25.72</v>
      </c>
      <c r="L40" s="112">
        <v>16.86</v>
      </c>
      <c r="M40" s="112">
        <v>67.489999999999995</v>
      </c>
      <c r="N40" s="112">
        <v>114.8</v>
      </c>
      <c r="O40" s="112">
        <v>0</v>
      </c>
      <c r="P40" s="112">
        <v>0.98</v>
      </c>
      <c r="Q40" s="112">
        <v>10.86</v>
      </c>
    </row>
    <row r="41" spans="1:17" customFormat="1">
      <c r="A41" s="80">
        <v>45624.34375</v>
      </c>
      <c r="B41" s="112">
        <v>14.48</v>
      </c>
      <c r="C41" s="112">
        <v>23.76</v>
      </c>
      <c r="D41" s="112">
        <v>25.37</v>
      </c>
      <c r="E41" s="112">
        <v>7.98</v>
      </c>
      <c r="F41" s="112">
        <v>5.55</v>
      </c>
      <c r="G41" s="112">
        <v>108.4</v>
      </c>
      <c r="H41" s="112">
        <v>35.39</v>
      </c>
      <c r="I41" s="112">
        <v>11.94</v>
      </c>
      <c r="J41" s="112">
        <v>0.72</v>
      </c>
      <c r="K41" s="112">
        <v>39.549999999999997</v>
      </c>
      <c r="L41" s="112">
        <v>17.45</v>
      </c>
      <c r="M41" s="112">
        <v>64.400000000000006</v>
      </c>
      <c r="N41" s="112">
        <v>98.4</v>
      </c>
      <c r="O41" s="112">
        <v>0</v>
      </c>
      <c r="P41" s="112">
        <v>0.99</v>
      </c>
      <c r="Q41" s="112">
        <v>10.85</v>
      </c>
    </row>
    <row r="42" spans="1:17" customFormat="1">
      <c r="A42" s="80">
        <v>45624.354166666664</v>
      </c>
      <c r="B42" s="112">
        <v>13.94</v>
      </c>
      <c r="C42" s="112">
        <v>24.18</v>
      </c>
      <c r="D42" s="112">
        <v>25.16</v>
      </c>
      <c r="E42" s="112">
        <v>8.65</v>
      </c>
      <c r="F42" s="112">
        <v>5.61</v>
      </c>
      <c r="G42" s="112">
        <v>100.76</v>
      </c>
      <c r="H42" s="112">
        <v>39.72</v>
      </c>
      <c r="I42" s="112">
        <v>12.07</v>
      </c>
      <c r="J42" s="112">
        <v>0.83</v>
      </c>
      <c r="K42" s="112">
        <v>49.14</v>
      </c>
      <c r="L42" s="112">
        <v>17.47</v>
      </c>
      <c r="M42" s="112">
        <v>63.1</v>
      </c>
      <c r="N42" s="112">
        <v>101.1</v>
      </c>
      <c r="O42" s="112">
        <v>0</v>
      </c>
      <c r="P42" s="112">
        <v>0.98</v>
      </c>
      <c r="Q42" s="112">
        <v>10.87</v>
      </c>
    </row>
    <row r="43" spans="1:17" customFormat="1">
      <c r="A43" s="80">
        <v>45624.364583333336</v>
      </c>
      <c r="B43" s="112">
        <v>13.32</v>
      </c>
      <c r="C43" s="112">
        <v>24.53</v>
      </c>
      <c r="D43" s="112">
        <v>24.85</v>
      </c>
      <c r="E43" s="112">
        <v>8.7799999999999994</v>
      </c>
      <c r="F43" s="112">
        <v>4.1500000000000004</v>
      </c>
      <c r="G43" s="112">
        <v>100.76</v>
      </c>
      <c r="H43" s="112">
        <v>39.72</v>
      </c>
      <c r="I43" s="112">
        <v>12.09</v>
      </c>
      <c r="J43" s="112">
        <v>0.9</v>
      </c>
      <c r="K43" s="112">
        <v>47.44</v>
      </c>
      <c r="L43" s="112">
        <v>18.03</v>
      </c>
      <c r="M43" s="112">
        <v>61.6</v>
      </c>
      <c r="N43" s="112">
        <v>147.69999999999999</v>
      </c>
      <c r="O43" s="112">
        <v>0</v>
      </c>
      <c r="P43" s="112">
        <v>0.98</v>
      </c>
      <c r="Q43" s="112">
        <v>10.86</v>
      </c>
    </row>
    <row r="44" spans="1:17" customFormat="1">
      <c r="A44" s="80">
        <v>45624.375</v>
      </c>
      <c r="B44" s="112">
        <v>12.55</v>
      </c>
      <c r="C44" s="112">
        <v>24.75</v>
      </c>
      <c r="D44" s="112">
        <v>24.35</v>
      </c>
      <c r="E44" s="112">
        <v>8.19</v>
      </c>
      <c r="F44" s="112">
        <v>5.03</v>
      </c>
      <c r="G44" s="112">
        <v>100.76</v>
      </c>
      <c r="H44" s="112">
        <v>39.72</v>
      </c>
      <c r="I44" s="112">
        <v>12.09</v>
      </c>
      <c r="J44" s="112">
        <v>0.93</v>
      </c>
      <c r="K44" s="112">
        <v>44.63</v>
      </c>
      <c r="L44" s="112">
        <v>18.670000000000002</v>
      </c>
      <c r="M44" s="112">
        <v>60.14</v>
      </c>
      <c r="N44" s="112">
        <v>153.6</v>
      </c>
      <c r="O44" s="112">
        <v>0</v>
      </c>
      <c r="P44" s="112">
        <v>1</v>
      </c>
      <c r="Q44" s="112">
        <v>10.83</v>
      </c>
    </row>
    <row r="45" spans="1:17" customFormat="1">
      <c r="A45" s="80">
        <v>45624.385416666664</v>
      </c>
      <c r="B45" s="112">
        <v>11.6</v>
      </c>
      <c r="C45" s="112">
        <v>25.03</v>
      </c>
      <c r="D45" s="112">
        <v>23.73</v>
      </c>
      <c r="E45" s="112">
        <v>8.16</v>
      </c>
      <c r="F45" s="112">
        <v>5.49</v>
      </c>
      <c r="G45" s="112">
        <v>100.71</v>
      </c>
      <c r="H45" s="112">
        <v>39.71</v>
      </c>
      <c r="I45" s="112">
        <v>12.06</v>
      </c>
      <c r="J45" s="112">
        <v>1.17</v>
      </c>
      <c r="K45" s="112">
        <v>45.03</v>
      </c>
      <c r="L45" s="112">
        <v>19.37</v>
      </c>
      <c r="M45" s="112">
        <v>57.54</v>
      </c>
      <c r="N45" s="112">
        <v>185.6</v>
      </c>
      <c r="O45" s="112">
        <v>0</v>
      </c>
      <c r="P45" s="112">
        <v>0.99</v>
      </c>
      <c r="Q45" s="112">
        <v>10.81</v>
      </c>
    </row>
    <row r="46" spans="1:17" customFormat="1">
      <c r="A46" s="80">
        <v>45624.395833333336</v>
      </c>
      <c r="B46" s="112">
        <v>10.57</v>
      </c>
      <c r="C46" s="112">
        <v>25.3</v>
      </c>
      <c r="D46" s="112">
        <v>23.05</v>
      </c>
      <c r="E46" s="112">
        <v>8.42</v>
      </c>
      <c r="F46" s="112">
        <v>6.66</v>
      </c>
      <c r="G46" s="112">
        <v>98.5</v>
      </c>
      <c r="H46" s="112">
        <v>39.36</v>
      </c>
      <c r="I46" s="112">
        <v>12.03</v>
      </c>
      <c r="J46" s="112">
        <v>1</v>
      </c>
      <c r="K46" s="112">
        <v>43.6</v>
      </c>
      <c r="L46" s="112">
        <v>20.43</v>
      </c>
      <c r="M46" s="112">
        <v>54.43</v>
      </c>
      <c r="N46" s="112">
        <v>235.5</v>
      </c>
      <c r="O46" s="112">
        <v>0</v>
      </c>
      <c r="P46" s="112">
        <v>0.99</v>
      </c>
      <c r="Q46" s="112">
        <v>10.81</v>
      </c>
    </row>
    <row r="47" spans="1:17" customFormat="1">
      <c r="A47" s="80">
        <v>45624.40625</v>
      </c>
      <c r="B47" s="112">
        <v>9.4700000000000006</v>
      </c>
      <c r="C47" s="112">
        <v>25.51</v>
      </c>
      <c r="D47" s="112">
        <v>22.28</v>
      </c>
      <c r="E47" s="112">
        <v>8.23</v>
      </c>
      <c r="F47" s="112">
        <v>6.37</v>
      </c>
      <c r="G47" s="112">
        <v>98.5</v>
      </c>
      <c r="H47" s="112">
        <v>39.36</v>
      </c>
      <c r="I47" s="112">
        <v>11.92</v>
      </c>
      <c r="J47" s="112">
        <v>0.72</v>
      </c>
      <c r="K47" s="112">
        <v>71.22</v>
      </c>
      <c r="L47" s="112">
        <v>21.63</v>
      </c>
      <c r="M47" s="112">
        <v>49.31</v>
      </c>
      <c r="N47" s="112">
        <v>329.1</v>
      </c>
      <c r="O47" s="112">
        <v>0</v>
      </c>
      <c r="P47" s="112">
        <v>0.97</v>
      </c>
      <c r="Q47" s="112">
        <v>10.81</v>
      </c>
    </row>
    <row r="48" spans="1:17" customFormat="1">
      <c r="A48" s="80">
        <v>45624.416666666664</v>
      </c>
      <c r="B48" s="112">
        <v>7.94</v>
      </c>
      <c r="C48" s="112">
        <v>25.55</v>
      </c>
      <c r="D48" s="112">
        <v>21.07</v>
      </c>
      <c r="E48" s="112">
        <v>8.41</v>
      </c>
      <c r="F48" s="112">
        <v>6.84</v>
      </c>
      <c r="G48" s="112">
        <v>98.5</v>
      </c>
      <c r="H48" s="112">
        <v>39.36</v>
      </c>
      <c r="I48" s="112">
        <v>11.79</v>
      </c>
      <c r="J48" s="112">
        <v>0.96</v>
      </c>
      <c r="K48" s="112">
        <v>46.61</v>
      </c>
      <c r="L48" s="112">
        <v>22.41</v>
      </c>
      <c r="M48" s="112">
        <v>47.04</v>
      </c>
      <c r="N48" s="112">
        <v>354.2</v>
      </c>
      <c r="O48" s="112">
        <v>0</v>
      </c>
      <c r="P48" s="112">
        <v>0.97</v>
      </c>
      <c r="Q48" s="112">
        <v>10.8</v>
      </c>
    </row>
    <row r="49" spans="1:17" customFormat="1">
      <c r="A49" s="80">
        <v>45624.427083333336</v>
      </c>
      <c r="B49" s="112">
        <v>6.69</v>
      </c>
      <c r="C49" s="112">
        <v>25.65</v>
      </c>
      <c r="D49" s="112">
        <v>20.12</v>
      </c>
      <c r="E49" s="112">
        <v>7.19</v>
      </c>
      <c r="F49" s="112">
        <v>7.27</v>
      </c>
      <c r="G49" s="112">
        <v>98.73</v>
      </c>
      <c r="H49" s="112">
        <v>39.31</v>
      </c>
      <c r="I49" s="112">
        <v>11.65</v>
      </c>
      <c r="J49" s="112">
        <v>0.78</v>
      </c>
      <c r="K49" s="112">
        <v>60.5</v>
      </c>
      <c r="L49" s="112">
        <v>23.16</v>
      </c>
      <c r="M49" s="112">
        <v>45.24</v>
      </c>
      <c r="N49" s="112">
        <v>357.9</v>
      </c>
      <c r="O49" s="112">
        <v>0</v>
      </c>
      <c r="P49" s="112">
        <v>0.97</v>
      </c>
      <c r="Q49" s="112">
        <v>10.78</v>
      </c>
    </row>
    <row r="50" spans="1:17" customFormat="1">
      <c r="A50" s="80">
        <v>45624.4375</v>
      </c>
      <c r="B50" s="112">
        <v>5.68</v>
      </c>
      <c r="C50" s="112">
        <v>25.5</v>
      </c>
      <c r="D50" s="112">
        <v>19.23</v>
      </c>
      <c r="E50" s="112">
        <v>8.1999999999999993</v>
      </c>
      <c r="F50" s="112">
        <v>7.58</v>
      </c>
      <c r="G50" s="112">
        <v>108.97</v>
      </c>
      <c r="H50" s="112">
        <v>36.299999999999997</v>
      </c>
      <c r="I50" s="112">
        <v>11.38</v>
      </c>
      <c r="J50" s="112">
        <v>0.8</v>
      </c>
      <c r="K50" s="112">
        <v>58.57</v>
      </c>
      <c r="L50" s="112">
        <v>23.73</v>
      </c>
      <c r="M50" s="112">
        <v>44.24</v>
      </c>
      <c r="N50" s="112">
        <v>380.4</v>
      </c>
      <c r="O50" s="112">
        <v>0</v>
      </c>
      <c r="P50" s="112">
        <v>0.96</v>
      </c>
      <c r="Q50" s="112">
        <v>10.79</v>
      </c>
    </row>
    <row r="51" spans="1:17" customFormat="1">
      <c r="A51" s="80">
        <v>45624.447916666664</v>
      </c>
      <c r="B51" s="112">
        <v>4.83</v>
      </c>
      <c r="C51" s="112">
        <v>25.13</v>
      </c>
      <c r="D51" s="112">
        <v>18.350000000000001</v>
      </c>
      <c r="E51" s="112">
        <v>8.2100000000000009</v>
      </c>
      <c r="F51" s="112">
        <v>8.2799999999999994</v>
      </c>
      <c r="G51" s="112">
        <v>108.97</v>
      </c>
      <c r="H51" s="112">
        <v>36.299999999999997</v>
      </c>
      <c r="I51" s="112">
        <v>11.13</v>
      </c>
      <c r="J51" s="112">
        <v>0.75</v>
      </c>
      <c r="K51" s="112">
        <v>64.31</v>
      </c>
      <c r="L51" s="112">
        <v>23.94</v>
      </c>
      <c r="M51" s="112">
        <v>44.29</v>
      </c>
      <c r="N51" s="112">
        <v>265.60000000000002</v>
      </c>
      <c r="O51" s="112">
        <v>0</v>
      </c>
      <c r="P51" s="112">
        <v>0.96</v>
      </c>
      <c r="Q51" s="112">
        <v>10.78</v>
      </c>
    </row>
    <row r="52" spans="1:17" customFormat="1">
      <c r="A52" s="80">
        <v>45624.458333333336</v>
      </c>
      <c r="B52" s="112">
        <v>4.32</v>
      </c>
      <c r="C52" s="112">
        <v>24.7</v>
      </c>
      <c r="D52" s="112">
        <v>17.72</v>
      </c>
      <c r="E52" s="112">
        <v>8.27</v>
      </c>
      <c r="F52" s="112">
        <v>8.2799999999999994</v>
      </c>
      <c r="G52" s="112">
        <v>108.97</v>
      </c>
      <c r="H52" s="112">
        <v>36.299999999999997</v>
      </c>
      <c r="I52" s="112">
        <v>10.95</v>
      </c>
      <c r="J52" s="112">
        <v>0.49</v>
      </c>
      <c r="K52" s="112">
        <v>79.56</v>
      </c>
      <c r="L52" s="112">
        <v>24.3</v>
      </c>
      <c r="M52" s="112">
        <v>43.81</v>
      </c>
      <c r="N52" s="112">
        <v>313.60000000000002</v>
      </c>
      <c r="O52" s="112">
        <v>0</v>
      </c>
      <c r="P52" s="112">
        <v>0.95</v>
      </c>
      <c r="Q52" s="112">
        <v>10.76</v>
      </c>
    </row>
    <row r="53" spans="1:17" customFormat="1">
      <c r="A53" s="80">
        <v>45624.46875</v>
      </c>
      <c r="B53" s="112">
        <v>3.97</v>
      </c>
      <c r="C53" s="112">
        <v>24</v>
      </c>
      <c r="D53" s="112">
        <v>17.079999999999998</v>
      </c>
      <c r="E53" s="112">
        <v>8.32</v>
      </c>
      <c r="F53" s="112">
        <v>9.01</v>
      </c>
      <c r="G53" s="112">
        <v>108.65</v>
      </c>
      <c r="H53" s="112">
        <v>36.33</v>
      </c>
      <c r="I53" s="112">
        <v>10.75</v>
      </c>
      <c r="J53" s="112">
        <v>0.57999999999999996</v>
      </c>
      <c r="K53" s="112">
        <v>66.72</v>
      </c>
      <c r="L53" s="112">
        <v>24.7</v>
      </c>
      <c r="M53" s="112">
        <v>42.99</v>
      </c>
      <c r="N53" s="112">
        <v>371.1</v>
      </c>
      <c r="O53" s="112">
        <v>0</v>
      </c>
      <c r="P53" s="112">
        <v>0.94</v>
      </c>
      <c r="Q53" s="112">
        <v>10.74</v>
      </c>
    </row>
    <row r="54" spans="1:17" customFormat="1">
      <c r="A54" s="80">
        <v>45624.479166666664</v>
      </c>
      <c r="B54" s="112">
        <v>3.81</v>
      </c>
      <c r="C54" s="112">
        <v>23.18</v>
      </c>
      <c r="D54" s="112">
        <v>16.52</v>
      </c>
      <c r="E54" s="112">
        <v>9.0299999999999994</v>
      </c>
      <c r="F54" s="112">
        <v>10.3</v>
      </c>
      <c r="G54" s="112">
        <v>94.66</v>
      </c>
      <c r="H54" s="112">
        <v>38.44</v>
      </c>
      <c r="I54" s="112">
        <v>10.58</v>
      </c>
      <c r="J54" s="112">
        <v>1.46</v>
      </c>
      <c r="K54" s="112">
        <v>44.53</v>
      </c>
      <c r="L54" s="112">
        <v>24.32</v>
      </c>
      <c r="M54" s="112">
        <v>43.44</v>
      </c>
      <c r="N54" s="112">
        <v>359.4</v>
      </c>
      <c r="O54" s="112">
        <v>0</v>
      </c>
      <c r="P54" s="112">
        <v>0.93</v>
      </c>
      <c r="Q54" s="112">
        <v>10.74</v>
      </c>
    </row>
    <row r="55" spans="1:17" customFormat="1">
      <c r="A55" s="80">
        <v>45624.489583333336</v>
      </c>
      <c r="B55" s="112">
        <v>3.78</v>
      </c>
      <c r="C55" s="112">
        <v>22.88</v>
      </c>
      <c r="D55" s="112">
        <v>16.34</v>
      </c>
      <c r="E55" s="112">
        <v>8.58</v>
      </c>
      <c r="F55" s="112">
        <v>10.95</v>
      </c>
      <c r="G55" s="112">
        <v>94.66</v>
      </c>
      <c r="H55" s="112">
        <v>38.44</v>
      </c>
      <c r="I55" s="112">
        <v>10.38</v>
      </c>
      <c r="J55" s="112">
        <v>0.99</v>
      </c>
      <c r="K55" s="112">
        <v>48.22</v>
      </c>
      <c r="L55" s="112">
        <v>24.87</v>
      </c>
      <c r="M55" s="112">
        <v>42.17</v>
      </c>
      <c r="N55" s="112">
        <v>349.8</v>
      </c>
      <c r="O55" s="112">
        <v>0</v>
      </c>
      <c r="P55" s="112">
        <v>0.92</v>
      </c>
      <c r="Q55" s="112">
        <v>10.73</v>
      </c>
    </row>
    <row r="56" spans="1:17" customFormat="1">
      <c r="A56" s="80">
        <v>45624.5</v>
      </c>
      <c r="B56" s="112">
        <v>3.76</v>
      </c>
      <c r="C56" s="112">
        <v>22.84</v>
      </c>
      <c r="D56" s="112">
        <v>16.3</v>
      </c>
      <c r="E56" s="112">
        <v>8.84</v>
      </c>
      <c r="F56" s="112">
        <v>10.85</v>
      </c>
      <c r="G56" s="112">
        <v>94.66</v>
      </c>
      <c r="H56" s="112">
        <v>38.44</v>
      </c>
      <c r="I56" s="112">
        <v>10.18</v>
      </c>
      <c r="J56" s="112">
        <v>0.87</v>
      </c>
      <c r="K56" s="112">
        <v>45.66</v>
      </c>
      <c r="L56" s="112">
        <v>25.44</v>
      </c>
      <c r="M56" s="112">
        <v>40.5</v>
      </c>
      <c r="N56" s="112">
        <v>437.9</v>
      </c>
      <c r="O56" s="112">
        <v>0</v>
      </c>
      <c r="P56" s="112">
        <v>0.93</v>
      </c>
      <c r="Q56" s="112">
        <v>10.72</v>
      </c>
    </row>
    <row r="57" spans="1:17" customFormat="1">
      <c r="A57" s="80">
        <v>45624.510416666664</v>
      </c>
      <c r="B57" s="112">
        <v>3.76</v>
      </c>
      <c r="C57" s="112">
        <v>22.68</v>
      </c>
      <c r="D57" s="112">
        <v>16.22</v>
      </c>
      <c r="E57" s="112">
        <v>9.8000000000000007</v>
      </c>
      <c r="F57" s="112">
        <v>11.14</v>
      </c>
      <c r="G57" s="112">
        <v>94.57</v>
      </c>
      <c r="H57" s="112">
        <v>38.43</v>
      </c>
      <c r="I57" s="112">
        <v>10.029999999999999</v>
      </c>
      <c r="J57" s="112">
        <v>0.98</v>
      </c>
      <c r="K57" s="112">
        <v>46.43</v>
      </c>
      <c r="L57" s="112">
        <v>25.49</v>
      </c>
      <c r="M57" s="112">
        <v>39.97</v>
      </c>
      <c r="N57" s="112">
        <v>406.1</v>
      </c>
      <c r="O57" s="112">
        <v>0</v>
      </c>
      <c r="P57" s="112">
        <v>0.91</v>
      </c>
      <c r="Q57" s="112">
        <v>10.72</v>
      </c>
    </row>
    <row r="58" spans="1:17" customFormat="1">
      <c r="A58" s="80">
        <v>45624.520833333336</v>
      </c>
      <c r="B58" s="112">
        <v>3.82</v>
      </c>
      <c r="C58" s="112">
        <v>22.12</v>
      </c>
      <c r="D58" s="112">
        <v>15.97</v>
      </c>
      <c r="E58" s="112">
        <v>9.64</v>
      </c>
      <c r="F58" s="112">
        <v>10.84</v>
      </c>
      <c r="G58" s="112">
        <v>90.63</v>
      </c>
      <c r="H58" s="112">
        <v>38.15</v>
      </c>
      <c r="I58" s="112">
        <v>9.8800000000000008</v>
      </c>
      <c r="J58" s="112">
        <v>0.99</v>
      </c>
      <c r="K58" s="112">
        <v>42.51</v>
      </c>
      <c r="L58" s="112">
        <v>25.42</v>
      </c>
      <c r="M58" s="112">
        <v>39.520000000000003</v>
      </c>
      <c r="N58" s="112">
        <v>294.39999999999998</v>
      </c>
      <c r="O58" s="112">
        <v>0</v>
      </c>
      <c r="P58" s="112">
        <v>0.88</v>
      </c>
      <c r="Q58" s="112">
        <v>10.71</v>
      </c>
    </row>
    <row r="59" spans="1:17" customFormat="1">
      <c r="A59" s="80">
        <v>45624.53125</v>
      </c>
      <c r="B59" s="112">
        <v>3.91</v>
      </c>
      <c r="C59" s="112">
        <v>21.49</v>
      </c>
      <c r="D59" s="112">
        <v>15.71</v>
      </c>
      <c r="E59" s="112">
        <v>9.34</v>
      </c>
      <c r="F59" s="112">
        <v>11.06</v>
      </c>
      <c r="G59" s="112">
        <v>90.63</v>
      </c>
      <c r="H59" s="112">
        <v>38.15</v>
      </c>
      <c r="I59" s="112">
        <v>9.76</v>
      </c>
      <c r="J59" s="112">
        <v>1.2</v>
      </c>
      <c r="K59" s="112">
        <v>44.73</v>
      </c>
      <c r="L59" s="112">
        <v>25.52</v>
      </c>
      <c r="M59" s="112">
        <v>38.56</v>
      </c>
      <c r="N59" s="112">
        <v>348</v>
      </c>
      <c r="O59" s="112">
        <v>0</v>
      </c>
      <c r="P59" s="112">
        <v>0.86</v>
      </c>
      <c r="Q59" s="112">
        <v>10.71</v>
      </c>
    </row>
    <row r="60" spans="1:17" customFormat="1">
      <c r="A60" s="80">
        <v>45624.541666666664</v>
      </c>
      <c r="B60" s="112">
        <v>3.9</v>
      </c>
      <c r="C60" s="112">
        <v>20.93</v>
      </c>
      <c r="D60" s="112">
        <v>15.41</v>
      </c>
      <c r="E60" s="112">
        <v>9.4</v>
      </c>
      <c r="F60" s="112">
        <v>9.5399999999999991</v>
      </c>
      <c r="G60" s="112">
        <v>90.63</v>
      </c>
      <c r="H60" s="112">
        <v>38.15</v>
      </c>
      <c r="I60" s="112">
        <v>9.7100000000000009</v>
      </c>
      <c r="J60" s="112">
        <v>0.85</v>
      </c>
      <c r="K60" s="112">
        <v>53.82</v>
      </c>
      <c r="L60" s="112">
        <v>25.88</v>
      </c>
      <c r="M60" s="112">
        <v>36.520000000000003</v>
      </c>
      <c r="N60" s="112">
        <v>329.5</v>
      </c>
      <c r="O60" s="112">
        <v>0</v>
      </c>
      <c r="P60" s="112">
        <v>0.86</v>
      </c>
      <c r="Q60" s="112">
        <v>10.71</v>
      </c>
    </row>
    <row r="61" spans="1:17" customFormat="1">
      <c r="A61" s="80">
        <v>45624.552083333336</v>
      </c>
      <c r="B61" s="112">
        <v>3.87</v>
      </c>
      <c r="C61" s="112">
        <v>20.34</v>
      </c>
      <c r="D61" s="112">
        <v>15.08</v>
      </c>
      <c r="E61" s="112">
        <v>9.2100000000000009</v>
      </c>
      <c r="F61" s="112">
        <v>8.83</v>
      </c>
      <c r="G61" s="112">
        <v>90.55</v>
      </c>
      <c r="H61" s="112">
        <v>38.130000000000003</v>
      </c>
      <c r="I61" s="112">
        <v>9.65</v>
      </c>
      <c r="J61" s="112">
        <v>0.6</v>
      </c>
      <c r="K61" s="112">
        <v>57.8</v>
      </c>
      <c r="L61" s="112">
        <v>26.34</v>
      </c>
      <c r="M61" s="112">
        <v>35.64</v>
      </c>
      <c r="N61" s="112">
        <v>314.10000000000002</v>
      </c>
      <c r="O61" s="112">
        <v>0</v>
      </c>
      <c r="P61" s="112">
        <v>0.85</v>
      </c>
      <c r="Q61" s="112">
        <v>10.71</v>
      </c>
    </row>
    <row r="62" spans="1:17" customFormat="1">
      <c r="A62" s="80">
        <v>45624.5625</v>
      </c>
      <c r="B62" s="112">
        <v>3.89</v>
      </c>
      <c r="C62" s="112">
        <v>19.95</v>
      </c>
      <c r="D62" s="112">
        <v>14.89</v>
      </c>
      <c r="E62" s="112">
        <v>9.19</v>
      </c>
      <c r="F62" s="112">
        <v>8.94</v>
      </c>
      <c r="G62" s="112">
        <v>86.98</v>
      </c>
      <c r="H62" s="112">
        <v>37.33</v>
      </c>
      <c r="I62" s="112">
        <v>9.58</v>
      </c>
      <c r="J62" s="112">
        <v>0.66</v>
      </c>
      <c r="K62" s="112">
        <v>58.17</v>
      </c>
      <c r="L62" s="112">
        <v>26.38</v>
      </c>
      <c r="M62" s="112">
        <v>34.96</v>
      </c>
      <c r="N62" s="112">
        <v>321.5</v>
      </c>
      <c r="O62" s="112">
        <v>0</v>
      </c>
      <c r="P62" s="112">
        <v>0.85</v>
      </c>
      <c r="Q62" s="112">
        <v>10.7</v>
      </c>
    </row>
    <row r="63" spans="1:17" customFormat="1">
      <c r="A63" s="80">
        <v>45624.572916666664</v>
      </c>
      <c r="B63" s="112">
        <v>3.85</v>
      </c>
      <c r="C63" s="112">
        <v>19.510000000000002</v>
      </c>
      <c r="D63" s="112">
        <v>14.63</v>
      </c>
      <c r="E63" s="112">
        <v>9.17</v>
      </c>
      <c r="F63" s="112">
        <v>8.77</v>
      </c>
      <c r="G63" s="112">
        <v>86.98</v>
      </c>
      <c r="H63" s="112">
        <v>37.33</v>
      </c>
      <c r="I63" s="112">
        <v>9.44</v>
      </c>
      <c r="J63" s="112">
        <v>0.9</v>
      </c>
      <c r="K63" s="112">
        <v>51.49</v>
      </c>
      <c r="L63" s="112">
        <v>26.32</v>
      </c>
      <c r="M63" s="112">
        <v>33.840000000000003</v>
      </c>
      <c r="N63" s="112">
        <v>219.9</v>
      </c>
      <c r="O63" s="112">
        <v>0</v>
      </c>
      <c r="P63" s="112">
        <v>0.83</v>
      </c>
      <c r="Q63" s="112">
        <v>10.69</v>
      </c>
    </row>
    <row r="64" spans="1:17" customFormat="1">
      <c r="A64" s="80">
        <v>45624.583333333336</v>
      </c>
      <c r="B64" s="112">
        <v>3.82</v>
      </c>
      <c r="C64" s="112">
        <v>19.14</v>
      </c>
      <c r="D64" s="112">
        <v>14.42</v>
      </c>
      <c r="E64" s="112">
        <v>9.67</v>
      </c>
      <c r="F64" s="112">
        <v>8.61</v>
      </c>
      <c r="G64" s="112">
        <v>86.98</v>
      </c>
      <c r="H64" s="112">
        <v>37.33</v>
      </c>
      <c r="I64" s="112">
        <v>9.33</v>
      </c>
      <c r="J64" s="112">
        <v>0.77</v>
      </c>
      <c r="K64" s="112">
        <v>56.51</v>
      </c>
      <c r="L64" s="112">
        <v>26.08</v>
      </c>
      <c r="M64" s="112">
        <v>33.979999999999997</v>
      </c>
      <c r="N64" s="112">
        <v>128.9</v>
      </c>
      <c r="O64" s="112">
        <v>0</v>
      </c>
      <c r="P64" s="112">
        <v>0.83</v>
      </c>
      <c r="Q64" s="112">
        <v>10.67</v>
      </c>
    </row>
    <row r="65" spans="1:17" customFormat="1">
      <c r="A65" s="80">
        <v>45624.59375</v>
      </c>
      <c r="B65" s="112">
        <v>3.83</v>
      </c>
      <c r="C65" s="112">
        <v>18.86</v>
      </c>
      <c r="D65" s="112">
        <v>14.27</v>
      </c>
      <c r="E65" s="112">
        <v>10</v>
      </c>
      <c r="F65" s="112">
        <v>10.87</v>
      </c>
      <c r="G65" s="112">
        <v>86.72</v>
      </c>
      <c r="H65" s="112">
        <v>37.270000000000003</v>
      </c>
      <c r="I65" s="112">
        <v>9.25</v>
      </c>
      <c r="J65" s="112">
        <v>1.1200000000000001</v>
      </c>
      <c r="K65" s="112">
        <v>47.59</v>
      </c>
      <c r="L65" s="112">
        <v>25.97</v>
      </c>
      <c r="M65" s="112">
        <v>33.51</v>
      </c>
      <c r="N65" s="112">
        <v>114.7</v>
      </c>
      <c r="O65" s="112">
        <v>0</v>
      </c>
      <c r="P65" s="112">
        <v>0.79</v>
      </c>
      <c r="Q65" s="112">
        <v>10.67</v>
      </c>
    </row>
    <row r="66" spans="1:17" customFormat="1">
      <c r="A66" s="80">
        <v>45624.604166666664</v>
      </c>
      <c r="B66" s="112">
        <v>3.82</v>
      </c>
      <c r="C66" s="112">
        <v>18.489999999999998</v>
      </c>
      <c r="D66" s="112">
        <v>14.07</v>
      </c>
      <c r="E66" s="112">
        <v>9.6999999999999993</v>
      </c>
      <c r="F66" s="112">
        <v>11</v>
      </c>
      <c r="G66" s="112">
        <v>74.97</v>
      </c>
      <c r="H66" s="112">
        <v>35.44</v>
      </c>
      <c r="I66" s="112">
        <v>9.1199999999999992</v>
      </c>
      <c r="J66" s="112">
        <v>1.02</v>
      </c>
      <c r="K66" s="112">
        <v>43.76</v>
      </c>
      <c r="L66" s="112">
        <v>25.96</v>
      </c>
      <c r="M66" s="112">
        <v>33.33</v>
      </c>
      <c r="N66" s="112">
        <v>97.4</v>
      </c>
      <c r="O66" s="112">
        <v>0</v>
      </c>
      <c r="P66" s="112">
        <v>0.81</v>
      </c>
      <c r="Q66" s="112">
        <v>10.66</v>
      </c>
    </row>
    <row r="67" spans="1:17" customFormat="1">
      <c r="A67" s="80">
        <v>45624.614583333336</v>
      </c>
      <c r="B67" s="112">
        <v>3.84</v>
      </c>
      <c r="C67" s="112">
        <v>18.34</v>
      </c>
      <c r="D67" s="112">
        <v>14.02</v>
      </c>
      <c r="E67" s="112">
        <v>9.6999999999999993</v>
      </c>
      <c r="F67" s="112">
        <v>9.5</v>
      </c>
      <c r="G67" s="112">
        <v>74.97</v>
      </c>
      <c r="H67" s="112">
        <v>35.44</v>
      </c>
      <c r="I67" s="112">
        <v>8.9600000000000009</v>
      </c>
      <c r="J67" s="112">
        <v>1.0900000000000001</v>
      </c>
      <c r="K67" s="112">
        <v>47.37</v>
      </c>
      <c r="L67" s="112">
        <v>25.91</v>
      </c>
      <c r="M67" s="112">
        <v>32.619999999999997</v>
      </c>
      <c r="N67" s="112">
        <v>84.2</v>
      </c>
      <c r="O67" s="112">
        <v>0</v>
      </c>
      <c r="P67" s="112">
        <v>0.8</v>
      </c>
      <c r="Q67" s="112">
        <v>10.65</v>
      </c>
    </row>
    <row r="68" spans="1:17" customFormat="1">
      <c r="A68" s="80">
        <v>45624.625</v>
      </c>
      <c r="B68" s="112">
        <v>3.89</v>
      </c>
      <c r="C68" s="112">
        <v>18.23</v>
      </c>
      <c r="D68" s="112">
        <v>14</v>
      </c>
      <c r="E68" s="112">
        <v>10.46</v>
      </c>
      <c r="F68" s="112">
        <v>12.9</v>
      </c>
      <c r="G68" s="112">
        <v>74.97</v>
      </c>
      <c r="H68" s="112">
        <v>35.44</v>
      </c>
      <c r="I68" s="112">
        <v>8.7100000000000009</v>
      </c>
      <c r="J68" s="112">
        <v>0.8</v>
      </c>
      <c r="K68" s="112">
        <v>41.26</v>
      </c>
      <c r="L68" s="112">
        <v>25.83</v>
      </c>
      <c r="M68" s="112">
        <v>33.479999999999997</v>
      </c>
      <c r="N68" s="112">
        <v>66.7</v>
      </c>
      <c r="O68" s="112">
        <v>0</v>
      </c>
      <c r="P68" s="112">
        <v>0.8</v>
      </c>
      <c r="Q68" s="112">
        <v>10.65</v>
      </c>
    </row>
    <row r="69" spans="1:17" customFormat="1">
      <c r="A69" s="80">
        <v>45624.635416666664</v>
      </c>
      <c r="B69" s="112">
        <v>3.92</v>
      </c>
      <c r="C69" s="112">
        <v>18.12</v>
      </c>
      <c r="D69" s="112">
        <v>13.96</v>
      </c>
      <c r="E69" s="112">
        <v>10.039999999999999</v>
      </c>
      <c r="F69" s="112">
        <v>9.2100000000000009</v>
      </c>
      <c r="G69" s="112">
        <v>74.86</v>
      </c>
      <c r="H69" s="112">
        <v>35.31</v>
      </c>
      <c r="I69" s="112">
        <v>8.61</v>
      </c>
      <c r="J69" s="112">
        <v>1.1000000000000001</v>
      </c>
      <c r="K69" s="112">
        <v>46.19</v>
      </c>
      <c r="L69" s="112">
        <v>25.6</v>
      </c>
      <c r="M69" s="112">
        <v>33.380000000000003</v>
      </c>
      <c r="N69" s="112">
        <v>59.3</v>
      </c>
      <c r="O69" s="112">
        <v>0</v>
      </c>
      <c r="P69" s="112">
        <v>0.79</v>
      </c>
      <c r="Q69" s="112">
        <v>10.65</v>
      </c>
    </row>
    <row r="70" spans="1:17" customFormat="1">
      <c r="A70" s="80">
        <v>45624.645833333336</v>
      </c>
      <c r="B70" s="112">
        <v>3.92</v>
      </c>
      <c r="C70" s="112">
        <v>17.96</v>
      </c>
      <c r="D70" s="112">
        <v>13.88</v>
      </c>
      <c r="E70" s="112">
        <v>9.94</v>
      </c>
      <c r="F70" s="112">
        <v>9.91</v>
      </c>
      <c r="G70" s="112">
        <v>70.099999999999994</v>
      </c>
      <c r="H70" s="112">
        <v>30.85</v>
      </c>
      <c r="I70" s="112">
        <v>8.6</v>
      </c>
      <c r="J70" s="112">
        <v>1.01</v>
      </c>
      <c r="K70" s="112">
        <v>46.12</v>
      </c>
      <c r="L70" s="112">
        <v>25.38</v>
      </c>
      <c r="M70" s="112">
        <v>34.01</v>
      </c>
      <c r="N70" s="112">
        <v>50.1</v>
      </c>
      <c r="O70" s="112">
        <v>0</v>
      </c>
      <c r="P70" s="112">
        <v>0.78</v>
      </c>
      <c r="Q70" s="112">
        <v>10.66</v>
      </c>
    </row>
    <row r="71" spans="1:17" customFormat="1">
      <c r="A71" s="80">
        <v>45624.65625</v>
      </c>
      <c r="B71" s="112">
        <v>3.94</v>
      </c>
      <c r="C71" s="112">
        <v>17.899999999999999</v>
      </c>
      <c r="D71" s="112">
        <v>13.87</v>
      </c>
      <c r="E71" s="112">
        <v>9.68</v>
      </c>
      <c r="F71" s="112">
        <v>9.16</v>
      </c>
      <c r="G71" s="112">
        <v>70.099999999999994</v>
      </c>
      <c r="H71" s="112">
        <v>30.85</v>
      </c>
      <c r="I71" s="112">
        <v>8.43</v>
      </c>
      <c r="J71" s="112">
        <v>0.79</v>
      </c>
      <c r="K71" s="112">
        <v>52.89</v>
      </c>
      <c r="L71" s="112">
        <v>25.25</v>
      </c>
      <c r="M71" s="112">
        <v>34.56</v>
      </c>
      <c r="N71" s="112">
        <v>52.3</v>
      </c>
      <c r="O71" s="112">
        <v>0</v>
      </c>
      <c r="P71" s="112">
        <v>0.79</v>
      </c>
      <c r="Q71" s="112">
        <v>10.66</v>
      </c>
    </row>
    <row r="72" spans="1:17" customFormat="1">
      <c r="A72" s="80">
        <v>45624.666666666664</v>
      </c>
      <c r="B72" s="112">
        <v>4.01</v>
      </c>
      <c r="C72" s="112">
        <v>17.850000000000001</v>
      </c>
      <c r="D72" s="112">
        <v>13.89</v>
      </c>
      <c r="E72" s="112">
        <v>10</v>
      </c>
      <c r="F72" s="112">
        <v>9.19</v>
      </c>
      <c r="G72" s="112">
        <v>70.099999999999994</v>
      </c>
      <c r="H72" s="112">
        <v>30.85</v>
      </c>
      <c r="I72" s="112">
        <v>8.2799999999999994</v>
      </c>
      <c r="J72" s="112">
        <v>0.96</v>
      </c>
      <c r="K72" s="112">
        <v>46.62</v>
      </c>
      <c r="L72" s="112">
        <v>25.16</v>
      </c>
      <c r="M72" s="112">
        <v>34.82</v>
      </c>
      <c r="N72" s="112">
        <v>44</v>
      </c>
      <c r="O72" s="112">
        <v>0</v>
      </c>
      <c r="P72" s="112">
        <v>0.78</v>
      </c>
      <c r="Q72" s="112">
        <v>10.65</v>
      </c>
    </row>
    <row r="73" spans="1:17" customFormat="1">
      <c r="A73" s="80">
        <v>45624.677083333336</v>
      </c>
      <c r="B73" s="112">
        <v>4.12</v>
      </c>
      <c r="C73" s="112">
        <v>17.96</v>
      </c>
      <c r="D73" s="112">
        <v>14.03</v>
      </c>
      <c r="E73" s="112">
        <v>9.51</v>
      </c>
      <c r="F73" s="112">
        <v>9.26</v>
      </c>
      <c r="G73" s="112">
        <v>69.989999999999995</v>
      </c>
      <c r="H73" s="112">
        <v>30.8</v>
      </c>
      <c r="I73" s="112">
        <v>8.25</v>
      </c>
      <c r="J73" s="112">
        <v>0.87</v>
      </c>
      <c r="K73" s="112">
        <v>48.64</v>
      </c>
      <c r="L73" s="112">
        <v>24.96</v>
      </c>
      <c r="M73" s="112">
        <v>36.299999999999997</v>
      </c>
      <c r="N73" s="112">
        <v>37.9</v>
      </c>
      <c r="O73" s="112">
        <v>0</v>
      </c>
      <c r="P73" s="112">
        <v>0.78</v>
      </c>
      <c r="Q73" s="112">
        <v>10.63</v>
      </c>
    </row>
    <row r="74" spans="1:17" customFormat="1">
      <c r="A74" s="80">
        <v>45624.6875</v>
      </c>
      <c r="B74" s="112">
        <v>4.18</v>
      </c>
      <c r="C74" s="112">
        <v>18.170000000000002</v>
      </c>
      <c r="D74" s="112">
        <v>14.19</v>
      </c>
      <c r="E74" s="112">
        <v>9.4700000000000006</v>
      </c>
      <c r="F74" s="112">
        <v>8.33</v>
      </c>
      <c r="G74" s="112">
        <v>65.16</v>
      </c>
      <c r="H74" s="112">
        <v>29.08</v>
      </c>
      <c r="I74" s="112">
        <v>8.2100000000000009</v>
      </c>
      <c r="J74" s="112">
        <v>0.91</v>
      </c>
      <c r="K74" s="112">
        <v>48.21</v>
      </c>
      <c r="L74" s="112">
        <v>24.71</v>
      </c>
      <c r="M74" s="112">
        <v>37.159999999999997</v>
      </c>
      <c r="N74" s="112">
        <v>26.3</v>
      </c>
      <c r="O74" s="112">
        <v>0</v>
      </c>
      <c r="P74" s="112">
        <v>0.78</v>
      </c>
      <c r="Q74" s="112">
        <v>10.63</v>
      </c>
    </row>
    <row r="75" spans="1:17" customFormat="1">
      <c r="A75" s="80">
        <v>45624.697916666664</v>
      </c>
      <c r="B75" s="112">
        <v>4.37</v>
      </c>
      <c r="C75" s="112">
        <v>18.57</v>
      </c>
      <c r="D75" s="112">
        <v>14.56</v>
      </c>
      <c r="E75" s="112">
        <v>9.4700000000000006</v>
      </c>
      <c r="F75" s="112">
        <v>7.49</v>
      </c>
      <c r="G75" s="112">
        <v>65.16</v>
      </c>
      <c r="H75" s="112">
        <v>29.08</v>
      </c>
      <c r="I75" s="112">
        <v>8.23</v>
      </c>
      <c r="J75" s="112">
        <v>0.86</v>
      </c>
      <c r="K75" s="112">
        <v>47.59</v>
      </c>
      <c r="L75" s="112">
        <v>24.25</v>
      </c>
      <c r="M75" s="112">
        <v>38.630000000000003</v>
      </c>
      <c r="N75" s="112">
        <v>15.7</v>
      </c>
      <c r="O75" s="112">
        <v>0</v>
      </c>
      <c r="P75" s="112">
        <v>0.77</v>
      </c>
      <c r="Q75" s="112">
        <v>10.62</v>
      </c>
    </row>
    <row r="76" spans="1:17" customFormat="1">
      <c r="A76" s="80">
        <v>45624.708333333336</v>
      </c>
      <c r="B76" s="112">
        <v>4.47</v>
      </c>
      <c r="C76" s="112">
        <v>19.399999999999999</v>
      </c>
      <c r="D76" s="112">
        <v>15.07</v>
      </c>
      <c r="E76" s="112">
        <v>9.59</v>
      </c>
      <c r="F76" s="112">
        <v>7.27</v>
      </c>
      <c r="G76" s="112">
        <v>65.16</v>
      </c>
      <c r="H76" s="112">
        <v>29.08</v>
      </c>
      <c r="I76" s="112">
        <v>8.2799999999999994</v>
      </c>
      <c r="J76" s="112">
        <v>0.4</v>
      </c>
      <c r="K76" s="112">
        <v>53.84</v>
      </c>
      <c r="L76" s="112">
        <v>23.71</v>
      </c>
      <c r="M76" s="112">
        <v>40.99</v>
      </c>
      <c r="N76" s="112">
        <v>7.4</v>
      </c>
      <c r="O76" s="112">
        <v>0</v>
      </c>
      <c r="P76" s="112">
        <v>0.82</v>
      </c>
      <c r="Q76" s="112">
        <v>10.63</v>
      </c>
    </row>
    <row r="77" spans="1:17" customFormat="1">
      <c r="A77" s="80">
        <v>45624.71875</v>
      </c>
      <c r="B77" s="112">
        <v>4.37</v>
      </c>
      <c r="C77" s="112">
        <v>20.350000000000001</v>
      </c>
      <c r="D77" s="112">
        <v>15.49</v>
      </c>
      <c r="E77" s="112">
        <v>9.49</v>
      </c>
      <c r="F77" s="112">
        <v>6.98</v>
      </c>
      <c r="G77" s="112">
        <v>65.650000000000006</v>
      </c>
      <c r="H77" s="112">
        <v>29.2</v>
      </c>
      <c r="I77" s="112">
        <v>8.4</v>
      </c>
      <c r="J77" s="112">
        <v>0.28000000000000003</v>
      </c>
      <c r="K77" s="112">
        <v>68.5</v>
      </c>
      <c r="L77" s="112">
        <v>23.11</v>
      </c>
      <c r="M77" s="112">
        <v>43.48</v>
      </c>
      <c r="N77" s="112">
        <v>3.2</v>
      </c>
      <c r="O77" s="112">
        <v>0</v>
      </c>
      <c r="P77" s="112">
        <v>0.83</v>
      </c>
      <c r="Q77" s="112">
        <v>10.63</v>
      </c>
    </row>
    <row r="78" spans="1:17" customFormat="1">
      <c r="A78" s="80">
        <v>45624.729166666664</v>
      </c>
      <c r="B78" s="112">
        <v>4.33</v>
      </c>
      <c r="C78" s="112">
        <v>21.1</v>
      </c>
      <c r="D78" s="112">
        <v>15.85</v>
      </c>
      <c r="E78" s="112">
        <v>9.4</v>
      </c>
      <c r="F78" s="112">
        <v>6.72</v>
      </c>
      <c r="G78" s="112">
        <v>86.83</v>
      </c>
      <c r="H78" s="112">
        <v>33.020000000000003</v>
      </c>
      <c r="I78" s="112">
        <v>8.6</v>
      </c>
      <c r="J78" s="112">
        <v>0.3</v>
      </c>
      <c r="K78" s="112">
        <v>56.01</v>
      </c>
      <c r="L78" s="112">
        <v>22.6</v>
      </c>
      <c r="M78" s="112">
        <v>45.44</v>
      </c>
      <c r="N78" s="112">
        <v>1.9</v>
      </c>
      <c r="O78" s="112">
        <v>0</v>
      </c>
      <c r="P78" s="112">
        <v>0.85</v>
      </c>
      <c r="Q78" s="112">
        <v>10.63</v>
      </c>
    </row>
    <row r="79" spans="1:17" customFormat="1">
      <c r="A79" s="80">
        <v>45624.739583333336</v>
      </c>
      <c r="B79" s="112">
        <v>4.6900000000000004</v>
      </c>
      <c r="C79" s="112">
        <v>22.18</v>
      </c>
      <c r="D79" s="112">
        <v>16.7</v>
      </c>
      <c r="E79" s="112">
        <v>9.2799999999999994</v>
      </c>
      <c r="F79" s="112">
        <v>6.01</v>
      </c>
      <c r="G79" s="112">
        <v>86.83</v>
      </c>
      <c r="H79" s="112">
        <v>33.020000000000003</v>
      </c>
      <c r="I79" s="112">
        <v>8.6999999999999993</v>
      </c>
      <c r="J79" s="112">
        <v>0.36</v>
      </c>
      <c r="K79" s="112">
        <v>51.32</v>
      </c>
      <c r="L79" s="112">
        <v>22.2</v>
      </c>
      <c r="M79" s="112">
        <v>46.64</v>
      </c>
      <c r="N79" s="112">
        <v>1.7</v>
      </c>
      <c r="O79" s="112">
        <v>0</v>
      </c>
      <c r="P79" s="112">
        <v>0.88</v>
      </c>
      <c r="Q79" s="112">
        <v>10.63</v>
      </c>
    </row>
    <row r="80" spans="1:17" customFormat="1">
      <c r="A80" s="80">
        <v>45624.75</v>
      </c>
      <c r="B80" s="112">
        <v>5.15</v>
      </c>
      <c r="C80" s="112">
        <v>23.44</v>
      </c>
      <c r="D80" s="112">
        <v>17.73</v>
      </c>
      <c r="E80" s="112">
        <v>9.2899999999999991</v>
      </c>
      <c r="F80" s="112">
        <v>5.57</v>
      </c>
      <c r="G80" s="112">
        <v>86.83</v>
      </c>
      <c r="H80" s="112">
        <v>33.020000000000003</v>
      </c>
      <c r="I80" s="112">
        <v>8.77</v>
      </c>
      <c r="J80" s="112">
        <v>0.24</v>
      </c>
      <c r="K80" s="112">
        <v>65.58</v>
      </c>
      <c r="L80" s="112">
        <v>21.69</v>
      </c>
      <c r="M80" s="112">
        <v>50.03</v>
      </c>
      <c r="N80" s="112">
        <v>1.8</v>
      </c>
      <c r="O80" s="112">
        <v>0</v>
      </c>
      <c r="P80" s="112">
        <v>0.9</v>
      </c>
      <c r="Q80" s="112">
        <v>10.64</v>
      </c>
    </row>
    <row r="81" spans="1:17" customFormat="1">
      <c r="A81" s="80">
        <v>45624.760416666664</v>
      </c>
      <c r="B81" s="112">
        <v>5.3</v>
      </c>
      <c r="C81" s="112">
        <v>24.02</v>
      </c>
      <c r="D81" s="112">
        <v>18.149999999999999</v>
      </c>
      <c r="E81" s="112">
        <v>7.1</v>
      </c>
      <c r="F81" s="112">
        <v>5.79</v>
      </c>
      <c r="G81" s="112">
        <v>87.36</v>
      </c>
      <c r="H81" s="112">
        <v>33.119999999999997</v>
      </c>
      <c r="I81" s="112">
        <v>9</v>
      </c>
      <c r="J81" s="112">
        <v>0.16</v>
      </c>
      <c r="K81" s="112">
        <v>114.95</v>
      </c>
      <c r="L81" s="112">
        <v>21.15</v>
      </c>
      <c r="M81" s="112">
        <v>54.9</v>
      </c>
      <c r="N81" s="112">
        <v>1.9</v>
      </c>
      <c r="O81" s="112">
        <v>0</v>
      </c>
      <c r="P81" s="112">
        <v>0.92</v>
      </c>
      <c r="Q81" s="112">
        <v>10.65</v>
      </c>
    </row>
    <row r="82" spans="1:17" customFormat="1">
      <c r="A82" s="80">
        <v>45624.770833333336</v>
      </c>
      <c r="B82" s="112">
        <v>5.3</v>
      </c>
      <c r="C82" s="112">
        <v>24.12</v>
      </c>
      <c r="D82" s="112">
        <v>18.2</v>
      </c>
      <c r="E82" s="112">
        <v>8.6999999999999993</v>
      </c>
      <c r="F82" s="112">
        <v>5.73</v>
      </c>
      <c r="G82" s="112">
        <v>110.39</v>
      </c>
      <c r="H82" s="112">
        <v>36.36</v>
      </c>
      <c r="I82" s="112">
        <v>9.3699999999999992</v>
      </c>
      <c r="J82" s="112">
        <v>0.16</v>
      </c>
      <c r="K82" s="112">
        <v>136.44999999999999</v>
      </c>
      <c r="L82" s="112">
        <v>20.56</v>
      </c>
      <c r="M82" s="112">
        <v>58.13</v>
      </c>
      <c r="N82" s="112">
        <v>1.9</v>
      </c>
      <c r="O82" s="112">
        <v>0</v>
      </c>
      <c r="P82" s="112">
        <v>0.93</v>
      </c>
      <c r="Q82" s="112">
        <v>10.65</v>
      </c>
    </row>
    <row r="83" spans="1:17" customFormat="1">
      <c r="A83" s="80">
        <v>45624.78125</v>
      </c>
      <c r="B83" s="112">
        <v>5.35</v>
      </c>
      <c r="C83" s="112">
        <v>24.36</v>
      </c>
      <c r="D83" s="112">
        <v>18.37</v>
      </c>
      <c r="E83" s="112">
        <v>8.93</v>
      </c>
      <c r="F83" s="112">
        <v>5.68</v>
      </c>
      <c r="G83" s="112">
        <v>110.39</v>
      </c>
      <c r="H83" s="112">
        <v>36.36</v>
      </c>
      <c r="I83" s="112">
        <v>9.68</v>
      </c>
      <c r="J83" s="112">
        <v>0.23</v>
      </c>
      <c r="K83" s="112">
        <v>56.6</v>
      </c>
      <c r="L83" s="112">
        <v>20.2</v>
      </c>
      <c r="M83" s="112">
        <v>55.94</v>
      </c>
      <c r="N83" s="112">
        <v>1.2</v>
      </c>
      <c r="O83" s="112">
        <v>0</v>
      </c>
      <c r="P83" s="112">
        <v>0.95</v>
      </c>
      <c r="Q83" s="112">
        <v>10.63</v>
      </c>
    </row>
    <row r="84" spans="1:17" customFormat="1">
      <c r="A84" s="80">
        <v>45624.791666666664</v>
      </c>
      <c r="B84" s="112">
        <v>5.71</v>
      </c>
      <c r="C84" s="112">
        <v>24.89</v>
      </c>
      <c r="D84" s="112">
        <v>18.940000000000001</v>
      </c>
      <c r="E84" s="112">
        <v>8.74</v>
      </c>
      <c r="F84" s="112">
        <v>5.41</v>
      </c>
      <c r="G84" s="112">
        <v>110.39</v>
      </c>
      <c r="H84" s="112">
        <v>36.36</v>
      </c>
      <c r="I84" s="112">
        <v>9.82</v>
      </c>
      <c r="J84" s="112">
        <v>0.42</v>
      </c>
      <c r="K84" s="112">
        <v>59.36</v>
      </c>
      <c r="L84" s="112">
        <v>20.79</v>
      </c>
      <c r="M84" s="112">
        <v>51.7</v>
      </c>
      <c r="N84" s="112">
        <v>0.9</v>
      </c>
      <c r="O84" s="112">
        <v>0</v>
      </c>
      <c r="P84" s="112">
        <v>0.97</v>
      </c>
      <c r="Q84" s="112">
        <v>10.64</v>
      </c>
    </row>
    <row r="85" spans="1:17" customFormat="1">
      <c r="A85" s="80">
        <v>45624.802083333336</v>
      </c>
      <c r="B85" s="112">
        <v>5.96</v>
      </c>
      <c r="C85" s="112">
        <v>25.46</v>
      </c>
      <c r="D85" s="112">
        <v>19.440000000000001</v>
      </c>
      <c r="E85" s="112">
        <v>8.81</v>
      </c>
      <c r="F85" s="112">
        <v>5.45</v>
      </c>
      <c r="G85" s="112">
        <v>110.58</v>
      </c>
      <c r="H85" s="112">
        <v>36.43</v>
      </c>
      <c r="I85" s="112">
        <v>9.9600000000000009</v>
      </c>
      <c r="J85" s="112">
        <v>0.5</v>
      </c>
      <c r="K85" s="112">
        <v>52.5</v>
      </c>
      <c r="L85" s="112">
        <v>20.85</v>
      </c>
      <c r="M85" s="112">
        <v>51.58</v>
      </c>
      <c r="N85" s="112">
        <v>1.2</v>
      </c>
      <c r="O85" s="112">
        <v>0</v>
      </c>
      <c r="P85" s="112">
        <v>1</v>
      </c>
      <c r="Q85" s="112">
        <v>10.63</v>
      </c>
    </row>
    <row r="86" spans="1:17" customFormat="1">
      <c r="A86" s="80">
        <v>45624.8125</v>
      </c>
      <c r="B86" s="112">
        <v>6.12</v>
      </c>
      <c r="C86" s="112">
        <v>25.8</v>
      </c>
      <c r="D86" s="112">
        <v>19.739999999999998</v>
      </c>
      <c r="E86" s="112">
        <v>8.36</v>
      </c>
      <c r="F86" s="112">
        <v>5.59</v>
      </c>
      <c r="G86" s="112">
        <v>118.86</v>
      </c>
      <c r="H86" s="112">
        <v>38.78</v>
      </c>
      <c r="I86" s="112">
        <v>10.130000000000001</v>
      </c>
      <c r="J86" s="112">
        <v>0.53</v>
      </c>
      <c r="K86" s="112">
        <v>46.74</v>
      </c>
      <c r="L86" s="112">
        <v>20.53</v>
      </c>
      <c r="M86" s="112">
        <v>52.95</v>
      </c>
      <c r="N86" s="112">
        <v>1.4</v>
      </c>
      <c r="O86" s="112">
        <v>0</v>
      </c>
      <c r="P86" s="112">
        <v>1.01</v>
      </c>
      <c r="Q86" s="112">
        <v>10.65</v>
      </c>
    </row>
    <row r="87" spans="1:17" customFormat="1">
      <c r="A87" s="80">
        <v>45624.822916666664</v>
      </c>
      <c r="B87" s="112">
        <v>6.38</v>
      </c>
      <c r="C87" s="112">
        <v>26.16</v>
      </c>
      <c r="D87" s="112">
        <v>20.14</v>
      </c>
      <c r="E87" s="112">
        <v>8.7100000000000009</v>
      </c>
      <c r="F87" s="112">
        <v>5.64</v>
      </c>
      <c r="G87" s="112">
        <v>118.86</v>
      </c>
      <c r="H87" s="112">
        <v>38.78</v>
      </c>
      <c r="I87" s="112">
        <v>10.28</v>
      </c>
      <c r="J87" s="112">
        <v>0.77</v>
      </c>
      <c r="K87" s="112">
        <v>49.65</v>
      </c>
      <c r="L87" s="112">
        <v>20.3</v>
      </c>
      <c r="M87" s="112">
        <v>53.99</v>
      </c>
      <c r="N87" s="112">
        <v>1.5</v>
      </c>
      <c r="O87" s="112">
        <v>0</v>
      </c>
      <c r="P87" s="112">
        <v>1.02</v>
      </c>
      <c r="Q87" s="112">
        <v>10.63</v>
      </c>
    </row>
    <row r="88" spans="1:17" customFormat="1">
      <c r="A88" s="80">
        <v>45624.833333333336</v>
      </c>
      <c r="B88" s="112">
        <v>6.29</v>
      </c>
      <c r="C88" s="112">
        <v>26.18</v>
      </c>
      <c r="D88" s="112">
        <v>20.07</v>
      </c>
      <c r="E88" s="112">
        <v>8.4700000000000006</v>
      </c>
      <c r="F88" s="112">
        <v>5.94</v>
      </c>
      <c r="G88" s="112">
        <v>118.86</v>
      </c>
      <c r="H88" s="112">
        <v>38.78</v>
      </c>
      <c r="I88" s="112">
        <v>10.4</v>
      </c>
      <c r="J88" s="112">
        <v>0.39</v>
      </c>
      <c r="K88" s="112">
        <v>62.02</v>
      </c>
      <c r="L88" s="112">
        <v>20.079999999999998</v>
      </c>
      <c r="M88" s="112">
        <v>55</v>
      </c>
      <c r="N88" s="112">
        <v>1.5</v>
      </c>
      <c r="O88" s="112">
        <v>0</v>
      </c>
      <c r="P88" s="112">
        <v>1.03</v>
      </c>
      <c r="Q88" s="112">
        <v>10.62</v>
      </c>
    </row>
    <row r="89" spans="1:17" customFormat="1">
      <c r="A89" s="80">
        <v>45624.84375</v>
      </c>
      <c r="B89" s="112">
        <v>5.88</v>
      </c>
      <c r="C89" s="112">
        <v>25.86</v>
      </c>
      <c r="D89" s="112">
        <v>19.579999999999998</v>
      </c>
      <c r="E89" s="112">
        <v>8.77</v>
      </c>
      <c r="F89" s="112">
        <v>6.1</v>
      </c>
      <c r="G89" s="112">
        <v>118.75</v>
      </c>
      <c r="H89" s="112">
        <v>38.89</v>
      </c>
      <c r="I89" s="112">
        <v>10.45</v>
      </c>
      <c r="J89" s="112">
        <v>0.44</v>
      </c>
      <c r="K89" s="112">
        <v>59.86</v>
      </c>
      <c r="L89" s="112">
        <v>20.079999999999998</v>
      </c>
      <c r="M89" s="112">
        <v>54.89</v>
      </c>
      <c r="N89" s="112">
        <v>1.4</v>
      </c>
      <c r="O89" s="112">
        <v>0</v>
      </c>
      <c r="P89" s="112">
        <v>1.04</v>
      </c>
      <c r="Q89" s="112">
        <v>10.62</v>
      </c>
    </row>
    <row r="90" spans="1:17" customFormat="1">
      <c r="A90" s="80">
        <v>45624.854166666664</v>
      </c>
      <c r="B90" s="112">
        <v>5.54</v>
      </c>
      <c r="C90" s="112">
        <v>25.66</v>
      </c>
      <c r="D90" s="112">
        <v>19.2</v>
      </c>
      <c r="E90" s="112">
        <v>8.84</v>
      </c>
      <c r="F90" s="112">
        <v>6.49</v>
      </c>
      <c r="G90" s="112">
        <v>114.13</v>
      </c>
      <c r="H90" s="112">
        <v>42.66</v>
      </c>
      <c r="I90" s="112">
        <v>10.46</v>
      </c>
      <c r="J90" s="112">
        <v>0.3</v>
      </c>
      <c r="K90" s="112">
        <v>66.13</v>
      </c>
      <c r="L90" s="112">
        <v>19.82</v>
      </c>
      <c r="M90" s="112">
        <v>56.27</v>
      </c>
      <c r="N90" s="112">
        <v>1.6</v>
      </c>
      <c r="O90" s="112">
        <v>0</v>
      </c>
      <c r="P90" s="112">
        <v>1.03</v>
      </c>
      <c r="Q90" s="112">
        <v>10.61</v>
      </c>
    </row>
    <row r="91" spans="1:17" customFormat="1">
      <c r="A91" s="80">
        <v>45624.864583333336</v>
      </c>
      <c r="B91" s="112">
        <v>5.44</v>
      </c>
      <c r="C91" s="112">
        <v>25.64</v>
      </c>
      <c r="D91" s="112">
        <v>19.11</v>
      </c>
      <c r="E91" s="112">
        <v>8.7200000000000006</v>
      </c>
      <c r="F91" s="112">
        <v>6.2</v>
      </c>
      <c r="G91" s="112">
        <v>114.13</v>
      </c>
      <c r="H91" s="112">
        <v>42.66</v>
      </c>
      <c r="I91" s="112">
        <v>10.46</v>
      </c>
      <c r="J91" s="112">
        <v>0.38</v>
      </c>
      <c r="K91" s="112">
        <v>45.85</v>
      </c>
      <c r="L91" s="112">
        <v>19.52</v>
      </c>
      <c r="M91" s="112">
        <v>57.31</v>
      </c>
      <c r="N91" s="112">
        <v>1.3</v>
      </c>
      <c r="O91" s="112">
        <v>0</v>
      </c>
      <c r="P91" s="112">
        <v>1.05</v>
      </c>
      <c r="Q91" s="112">
        <v>10.6</v>
      </c>
    </row>
    <row r="92" spans="1:17" customFormat="1">
      <c r="A92" s="80">
        <v>45624.875</v>
      </c>
      <c r="B92" s="112">
        <v>5.55</v>
      </c>
      <c r="C92" s="112">
        <v>25.64</v>
      </c>
      <c r="D92" s="112">
        <v>19.2</v>
      </c>
      <c r="E92" s="112">
        <v>8.48</v>
      </c>
      <c r="F92" s="112">
        <v>6.2</v>
      </c>
      <c r="G92" s="112">
        <v>114.13</v>
      </c>
      <c r="H92" s="112">
        <v>42.66</v>
      </c>
      <c r="I92" s="112">
        <v>10.43</v>
      </c>
      <c r="J92" s="112">
        <v>0.45</v>
      </c>
      <c r="K92" s="112">
        <v>46.74</v>
      </c>
      <c r="L92" s="112">
        <v>19.489999999999998</v>
      </c>
      <c r="M92" s="112">
        <v>56.95</v>
      </c>
      <c r="N92" s="112">
        <v>1.3</v>
      </c>
      <c r="O92" s="112">
        <v>0</v>
      </c>
      <c r="P92" s="112">
        <v>1.04</v>
      </c>
      <c r="Q92" s="112">
        <v>10.62</v>
      </c>
    </row>
    <row r="93" spans="1:17" customFormat="1">
      <c r="A93" s="80">
        <v>45624.885416666664</v>
      </c>
      <c r="B93" s="112">
        <v>5.7</v>
      </c>
      <c r="C93" s="112">
        <v>25.75</v>
      </c>
      <c r="D93" s="112">
        <v>19.37</v>
      </c>
      <c r="E93" s="112">
        <v>8.59</v>
      </c>
      <c r="F93" s="112">
        <v>5.9</v>
      </c>
      <c r="G93" s="112">
        <v>114.08</v>
      </c>
      <c r="H93" s="112">
        <v>42.57</v>
      </c>
      <c r="I93" s="112">
        <v>10.41</v>
      </c>
      <c r="J93" s="112">
        <v>0.31</v>
      </c>
      <c r="K93" s="112">
        <v>62.6</v>
      </c>
      <c r="L93" s="112">
        <v>19.29</v>
      </c>
      <c r="M93" s="112">
        <v>58.23</v>
      </c>
      <c r="N93" s="112">
        <v>1.7</v>
      </c>
      <c r="O93" s="112">
        <v>0</v>
      </c>
      <c r="P93" s="112">
        <v>1.05</v>
      </c>
      <c r="Q93" s="112">
        <v>10.62</v>
      </c>
    </row>
    <row r="94" spans="1:17" customFormat="1">
      <c r="A94" s="80">
        <v>45624.895833333336</v>
      </c>
      <c r="B94" s="112">
        <v>5.84</v>
      </c>
      <c r="C94" s="112">
        <v>25.74</v>
      </c>
      <c r="D94" s="112">
        <v>19.48</v>
      </c>
      <c r="E94" s="112">
        <v>8.67</v>
      </c>
      <c r="F94" s="112">
        <v>5.99</v>
      </c>
      <c r="G94" s="112">
        <v>111.72</v>
      </c>
      <c r="H94" s="112">
        <v>39.42</v>
      </c>
      <c r="I94" s="112">
        <v>10.41</v>
      </c>
      <c r="J94" s="112">
        <v>0.35</v>
      </c>
      <c r="K94" s="112">
        <v>60.71</v>
      </c>
      <c r="L94" s="112">
        <v>19.010000000000002</v>
      </c>
      <c r="M94" s="112">
        <v>59.55</v>
      </c>
      <c r="N94" s="112">
        <v>1.5</v>
      </c>
      <c r="O94" s="112">
        <v>0</v>
      </c>
      <c r="P94" s="112">
        <v>1.05</v>
      </c>
      <c r="Q94" s="112">
        <v>10.61</v>
      </c>
    </row>
    <row r="95" spans="1:17" customFormat="1">
      <c r="A95" s="80">
        <v>45624.90625</v>
      </c>
      <c r="B95" s="112">
        <v>5.95</v>
      </c>
      <c r="C95" s="112">
        <v>25.75</v>
      </c>
      <c r="D95" s="112">
        <v>19.57</v>
      </c>
      <c r="E95" s="112">
        <v>8.5500000000000007</v>
      </c>
      <c r="F95" s="112">
        <v>6.04</v>
      </c>
      <c r="G95" s="112">
        <v>111.72</v>
      </c>
      <c r="H95" s="112">
        <v>39.42</v>
      </c>
      <c r="I95" s="112">
        <v>10.37</v>
      </c>
      <c r="J95" s="112">
        <v>0.3</v>
      </c>
      <c r="K95" s="112">
        <v>51.75</v>
      </c>
      <c r="L95" s="112">
        <v>18.86</v>
      </c>
      <c r="M95" s="112">
        <v>60.18</v>
      </c>
      <c r="N95" s="112">
        <v>1.3</v>
      </c>
      <c r="O95" s="112">
        <v>0</v>
      </c>
      <c r="P95" s="112">
        <v>1.06</v>
      </c>
      <c r="Q95" s="112">
        <v>10.6</v>
      </c>
    </row>
    <row r="96" spans="1:17" customFormat="1">
      <c r="A96" s="80">
        <v>45624.916666666664</v>
      </c>
      <c r="B96" s="112">
        <v>6.03</v>
      </c>
      <c r="C96" s="112">
        <v>25.55</v>
      </c>
      <c r="D96" s="112">
        <v>19.53</v>
      </c>
      <c r="E96" s="112">
        <v>8.56</v>
      </c>
      <c r="F96" s="112">
        <v>5.87</v>
      </c>
      <c r="G96" s="112">
        <v>111.72</v>
      </c>
      <c r="H96" s="112">
        <v>39.42</v>
      </c>
      <c r="I96" s="112">
        <v>10.35</v>
      </c>
      <c r="J96" s="112">
        <v>0.12</v>
      </c>
      <c r="K96" s="112">
        <v>88.72</v>
      </c>
      <c r="L96" s="112">
        <v>18.54</v>
      </c>
      <c r="M96" s="112">
        <v>63</v>
      </c>
      <c r="N96" s="112">
        <v>1.7</v>
      </c>
      <c r="O96" s="112">
        <v>0</v>
      </c>
      <c r="P96" s="112">
        <v>1.04</v>
      </c>
      <c r="Q96" s="112">
        <v>10.6</v>
      </c>
    </row>
    <row r="97" spans="1:22" customFormat="1">
      <c r="A97" s="80">
        <v>45624.927083333336</v>
      </c>
      <c r="B97" s="112">
        <v>6.12</v>
      </c>
      <c r="C97" s="112">
        <v>24.99</v>
      </c>
      <c r="D97" s="112">
        <v>19.309999999999999</v>
      </c>
      <c r="E97" s="112">
        <v>8.6199999999999992</v>
      </c>
      <c r="F97" s="112">
        <v>5.8</v>
      </c>
      <c r="G97" s="112">
        <v>111.74</v>
      </c>
      <c r="H97" s="112">
        <v>39.43</v>
      </c>
      <c r="I97" s="112">
        <v>10.34</v>
      </c>
      <c r="J97" s="112">
        <v>0.13</v>
      </c>
      <c r="K97" s="112">
        <v>104.46</v>
      </c>
      <c r="L97" s="112">
        <v>18.25</v>
      </c>
      <c r="M97" s="112">
        <v>64.34</v>
      </c>
      <c r="N97" s="112">
        <v>1.4</v>
      </c>
      <c r="O97" s="112">
        <v>0</v>
      </c>
      <c r="P97" s="112">
        <v>1.02</v>
      </c>
      <c r="Q97" s="112">
        <v>10.59</v>
      </c>
    </row>
    <row r="98" spans="1:22" customFormat="1">
      <c r="A98" s="80">
        <v>45624.9375</v>
      </c>
      <c r="B98" s="112">
        <v>6.25</v>
      </c>
      <c r="C98" s="112">
        <v>24.46</v>
      </c>
      <c r="D98" s="112">
        <v>19.14</v>
      </c>
      <c r="E98" s="112">
        <v>8.94</v>
      </c>
      <c r="F98" s="112">
        <v>5.69</v>
      </c>
      <c r="G98" s="112">
        <v>112.85</v>
      </c>
      <c r="H98" s="112">
        <v>39.72</v>
      </c>
      <c r="I98" s="112">
        <v>10.32</v>
      </c>
      <c r="J98" s="112">
        <v>0.2</v>
      </c>
      <c r="K98" s="112">
        <v>72.06</v>
      </c>
      <c r="L98" s="112">
        <v>18.09</v>
      </c>
      <c r="M98" s="112">
        <v>64.48</v>
      </c>
      <c r="N98" s="112">
        <v>1.4</v>
      </c>
      <c r="O98" s="112">
        <v>0</v>
      </c>
      <c r="P98" s="112">
        <v>1.01</v>
      </c>
      <c r="Q98" s="112">
        <v>10.6</v>
      </c>
    </row>
    <row r="99" spans="1:22" customFormat="1">
      <c r="A99" s="80">
        <v>45624.947916666664</v>
      </c>
      <c r="B99" s="112">
        <v>6.55</v>
      </c>
      <c r="C99" s="112">
        <v>24.21</v>
      </c>
      <c r="D99" s="112">
        <v>19.25</v>
      </c>
      <c r="E99" s="112">
        <v>9.19</v>
      </c>
      <c r="F99" s="112">
        <v>5.57</v>
      </c>
      <c r="G99" s="112">
        <v>112.85</v>
      </c>
      <c r="H99" s="112">
        <v>39.72</v>
      </c>
      <c r="I99" s="112">
        <v>10.32</v>
      </c>
      <c r="J99" s="112">
        <v>0.25</v>
      </c>
      <c r="K99" s="112">
        <v>61.37</v>
      </c>
      <c r="L99" s="112">
        <v>18.079999999999998</v>
      </c>
      <c r="M99" s="112">
        <v>64.23</v>
      </c>
      <c r="N99" s="112">
        <v>1.3</v>
      </c>
      <c r="O99" s="112">
        <v>0</v>
      </c>
      <c r="P99" s="112">
        <v>1.01</v>
      </c>
      <c r="Q99" s="112">
        <v>10.61</v>
      </c>
    </row>
    <row r="100" spans="1:22" customFormat="1">
      <c r="A100" s="80">
        <v>45624.958333333336</v>
      </c>
      <c r="B100" s="112">
        <v>6.91</v>
      </c>
      <c r="C100" s="112">
        <v>24.03</v>
      </c>
      <c r="D100" s="112">
        <v>19.45</v>
      </c>
      <c r="E100" s="112">
        <v>8.92</v>
      </c>
      <c r="F100" s="112">
        <v>5.6</v>
      </c>
      <c r="G100" s="112">
        <v>112.85</v>
      </c>
      <c r="H100" s="112">
        <v>39.72</v>
      </c>
      <c r="I100" s="112">
        <v>10.33</v>
      </c>
      <c r="J100" s="112">
        <v>0.26</v>
      </c>
      <c r="K100" s="112">
        <v>62.68</v>
      </c>
      <c r="L100" s="112">
        <v>18.02</v>
      </c>
      <c r="M100" s="112">
        <v>64.510000000000005</v>
      </c>
      <c r="N100" s="112">
        <v>1.3</v>
      </c>
      <c r="O100" s="112">
        <v>0</v>
      </c>
      <c r="P100" s="112">
        <v>1.01</v>
      </c>
      <c r="Q100" s="112">
        <v>10.62</v>
      </c>
    </row>
    <row r="101" spans="1:22" customFormat="1">
      <c r="A101" s="80">
        <v>45624.96875</v>
      </c>
      <c r="B101" s="112">
        <v>7.21</v>
      </c>
      <c r="C101" s="112">
        <v>23.85</v>
      </c>
      <c r="D101" s="112">
        <v>19.59</v>
      </c>
      <c r="E101" s="112">
        <v>9.2100000000000009</v>
      </c>
      <c r="F101" s="112">
        <v>5.76</v>
      </c>
      <c r="G101" s="112">
        <v>113.02</v>
      </c>
      <c r="H101" s="112">
        <v>39.68</v>
      </c>
      <c r="I101" s="112">
        <v>10.36</v>
      </c>
      <c r="J101" s="112">
        <v>0.2</v>
      </c>
      <c r="K101" s="112">
        <v>69.430000000000007</v>
      </c>
      <c r="L101" s="112">
        <v>17.7</v>
      </c>
      <c r="M101" s="112">
        <v>66.53</v>
      </c>
      <c r="N101" s="112">
        <v>1.5</v>
      </c>
      <c r="O101" s="112">
        <v>0</v>
      </c>
      <c r="P101" s="112">
        <v>1</v>
      </c>
      <c r="Q101" s="112">
        <v>10.6</v>
      </c>
    </row>
    <row r="102" spans="1:22" customFormat="1">
      <c r="A102" s="80">
        <v>45624.979166666664</v>
      </c>
      <c r="B102" s="112">
        <v>7.49</v>
      </c>
      <c r="C102" s="112">
        <v>23.68</v>
      </c>
      <c r="D102" s="112">
        <v>19.73</v>
      </c>
      <c r="E102" s="112">
        <v>8.86</v>
      </c>
      <c r="F102" s="112">
        <v>5.93</v>
      </c>
      <c r="G102" s="112">
        <v>120.28</v>
      </c>
      <c r="H102" s="112">
        <v>38.43</v>
      </c>
      <c r="I102" s="112">
        <v>10.4</v>
      </c>
      <c r="J102" s="112">
        <v>0.16</v>
      </c>
      <c r="K102" s="112">
        <v>86.78</v>
      </c>
      <c r="L102" s="112">
        <v>17.399999999999999</v>
      </c>
      <c r="M102" s="112">
        <v>68.23</v>
      </c>
      <c r="N102" s="112">
        <v>1.5</v>
      </c>
      <c r="O102" s="112">
        <v>0</v>
      </c>
      <c r="P102" s="112">
        <v>1</v>
      </c>
      <c r="Q102" s="112">
        <v>10.59</v>
      </c>
    </row>
    <row r="103" spans="1:22" customFormat="1">
      <c r="A103" s="80">
        <v>45624.989583333336</v>
      </c>
      <c r="B103" s="112">
        <v>7.93</v>
      </c>
      <c r="C103" s="112">
        <v>23.6</v>
      </c>
      <c r="D103" s="112">
        <v>20.04</v>
      </c>
      <c r="E103" s="112">
        <v>8.68</v>
      </c>
      <c r="F103" s="112">
        <v>5.63</v>
      </c>
      <c r="G103" s="112">
        <v>120.28</v>
      </c>
      <c r="H103" s="112">
        <v>38.43</v>
      </c>
      <c r="I103" s="112">
        <v>10.45</v>
      </c>
      <c r="J103" s="112">
        <v>0.35</v>
      </c>
      <c r="K103" s="112">
        <v>53.89</v>
      </c>
      <c r="L103" s="112">
        <v>17.329999999999998</v>
      </c>
      <c r="M103" s="112">
        <v>67.8</v>
      </c>
      <c r="N103" s="112">
        <v>1.2</v>
      </c>
      <c r="O103" s="112">
        <v>0</v>
      </c>
      <c r="P103" s="112">
        <v>1.01</v>
      </c>
      <c r="Q103" s="112">
        <v>10.6</v>
      </c>
    </row>
    <row r="104" spans="1:22" customFormat="1">
      <c r="A104" s="80">
        <v>45625</v>
      </c>
      <c r="B104" s="112">
        <v>8.5</v>
      </c>
      <c r="C104" s="112">
        <v>23.55</v>
      </c>
      <c r="D104" s="112">
        <v>20.47</v>
      </c>
      <c r="E104" s="112">
        <v>8.3699999999999992</v>
      </c>
      <c r="F104" s="112">
        <v>5.68</v>
      </c>
      <c r="G104" s="112">
        <v>120.28</v>
      </c>
      <c r="H104" s="112">
        <v>38.43</v>
      </c>
      <c r="I104" s="112">
        <v>10.49</v>
      </c>
      <c r="J104" s="112">
        <v>0.27</v>
      </c>
      <c r="K104" s="112">
        <v>50.96</v>
      </c>
      <c r="L104" s="112">
        <v>17.27</v>
      </c>
      <c r="M104" s="112">
        <v>68.08</v>
      </c>
      <c r="N104" s="112">
        <v>1.3</v>
      </c>
      <c r="O104" s="112">
        <v>0</v>
      </c>
      <c r="P104" s="112">
        <v>0.99</v>
      </c>
      <c r="Q104" s="112">
        <v>10.61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3.76</v>
      </c>
      <c r="C106" s="183">
        <f>MIN(C9:C104)</f>
        <v>17.850000000000001</v>
      </c>
      <c r="D106" s="183">
        <f t="shared" ref="D106:Q106" si="0">MIN(D9:D104)</f>
        <v>13.87</v>
      </c>
      <c r="E106" s="183">
        <f t="shared" si="0"/>
        <v>7.1</v>
      </c>
      <c r="F106" s="183">
        <f t="shared" si="0"/>
        <v>4.1500000000000004</v>
      </c>
      <c r="G106" s="183">
        <f t="shared" si="0"/>
        <v>65.16</v>
      </c>
      <c r="H106" s="183">
        <f t="shared" si="0"/>
        <v>29.08</v>
      </c>
      <c r="I106" s="183">
        <f t="shared" si="0"/>
        <v>8.2100000000000009</v>
      </c>
      <c r="J106" s="183">
        <f t="shared" si="0"/>
        <v>0.01</v>
      </c>
      <c r="K106" s="183">
        <f t="shared" si="0"/>
        <v>4.32</v>
      </c>
      <c r="L106" s="183">
        <f t="shared" si="0"/>
        <v>13.39</v>
      </c>
      <c r="M106" s="183">
        <f t="shared" si="0"/>
        <v>32.619999999999997</v>
      </c>
      <c r="N106" s="183">
        <f t="shared" si="0"/>
        <v>0.5</v>
      </c>
      <c r="O106" s="183">
        <f t="shared" si="0"/>
        <v>0</v>
      </c>
      <c r="P106" s="183">
        <f t="shared" si="0"/>
        <v>0.77</v>
      </c>
      <c r="Q106" s="183">
        <f t="shared" si="0"/>
        <v>10.59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24.37</v>
      </c>
      <c r="C107" s="184">
        <f t="shared" ref="C107:Q107" si="1">MAX(C9:C104)</f>
        <v>26.18</v>
      </c>
      <c r="D107" s="184">
        <f t="shared" si="1"/>
        <v>34.090000000000003</v>
      </c>
      <c r="E107" s="184">
        <f t="shared" si="1"/>
        <v>10.46</v>
      </c>
      <c r="F107" s="184">
        <f t="shared" si="1"/>
        <v>12.9</v>
      </c>
      <c r="G107" s="184">
        <f t="shared" si="1"/>
        <v>120.28</v>
      </c>
      <c r="H107" s="184">
        <f t="shared" si="1"/>
        <v>42.66</v>
      </c>
      <c r="I107" s="184">
        <f t="shared" si="1"/>
        <v>12.09</v>
      </c>
      <c r="J107" s="184">
        <f t="shared" si="1"/>
        <v>1.46</v>
      </c>
      <c r="K107" s="184">
        <f t="shared" si="1"/>
        <v>214.97</v>
      </c>
      <c r="L107" s="184">
        <f t="shared" si="1"/>
        <v>26.38</v>
      </c>
      <c r="M107" s="184">
        <f t="shared" si="1"/>
        <v>85.7</v>
      </c>
      <c r="N107" s="184">
        <f t="shared" si="1"/>
        <v>437.9</v>
      </c>
      <c r="O107" s="184">
        <f t="shared" si="1"/>
        <v>0</v>
      </c>
      <c r="P107" s="184">
        <f t="shared" si="1"/>
        <v>1.0900000000000001</v>
      </c>
      <c r="Q107" s="184">
        <f t="shared" si="1"/>
        <v>11.2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9.9178125000000055</v>
      </c>
      <c r="C108" s="183">
        <f t="shared" ref="C108:Q108" si="2">AVERAGE(C9:C104)</f>
        <v>22.96083333333333</v>
      </c>
      <c r="D108" s="183">
        <f t="shared" si="2"/>
        <v>21.300416666666667</v>
      </c>
      <c r="E108" s="183">
        <f t="shared" si="2"/>
        <v>8.8324999999999996</v>
      </c>
      <c r="F108" s="183">
        <f t="shared" si="2"/>
        <v>6.7962500000000015</v>
      </c>
      <c r="G108" s="183">
        <f t="shared" si="2"/>
        <v>98.838750000000019</v>
      </c>
      <c r="H108" s="183">
        <f t="shared" si="2"/>
        <v>36.035624999999989</v>
      </c>
      <c r="I108" s="183">
        <f t="shared" si="2"/>
        <v>10.49791666666667</v>
      </c>
      <c r="J108" s="183">
        <f t="shared" si="2"/>
        <v>0.49572916666666655</v>
      </c>
      <c r="K108" s="183">
        <f t="shared" si="2"/>
        <v>66.762187500000024</v>
      </c>
      <c r="L108" s="183">
        <f t="shared" si="2"/>
        <v>19.670208333333328</v>
      </c>
      <c r="M108" s="183">
        <f t="shared" si="2"/>
        <v>56.742395833333312</v>
      </c>
      <c r="N108" s="183">
        <f t="shared" si="2"/>
        <v>82.387499999999946</v>
      </c>
      <c r="O108" s="183">
        <f t="shared" si="2"/>
        <v>0</v>
      </c>
      <c r="P108" s="183">
        <f t="shared" si="2"/>
        <v>0.9461458333333338</v>
      </c>
      <c r="Q108" s="183">
        <f t="shared" si="2"/>
        <v>10.786145833333334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6.5262621208266474</v>
      </c>
      <c r="C109" s="183">
        <f t="shared" ref="C109:Q109" si="3">STDEV(C9:C104)</f>
        <v>2.3792836899354688</v>
      </c>
      <c r="D109" s="183">
        <f t="shared" si="3"/>
        <v>5.722820967369274</v>
      </c>
      <c r="E109" s="183">
        <f t="shared" si="3"/>
        <v>0.59356017741299316</v>
      </c>
      <c r="F109" s="183">
        <f t="shared" si="3"/>
        <v>1.8916454825307263</v>
      </c>
      <c r="G109" s="183">
        <f t="shared" si="3"/>
        <v>15.893108884041418</v>
      </c>
      <c r="H109" s="183">
        <f t="shared" si="3"/>
        <v>3.3010935389099649</v>
      </c>
      <c r="I109" s="183">
        <f t="shared" si="3"/>
        <v>1.1283895526173637</v>
      </c>
      <c r="J109" s="183">
        <f t="shared" si="3"/>
        <v>0.35098881311207719</v>
      </c>
      <c r="K109" s="183">
        <f t="shared" si="3"/>
        <v>42.638803360396679</v>
      </c>
      <c r="L109" s="183">
        <f t="shared" si="3"/>
        <v>4.2448599206115514</v>
      </c>
      <c r="M109" s="183">
        <f t="shared" si="3"/>
        <v>14.926296734272833</v>
      </c>
      <c r="N109" s="183">
        <f t="shared" si="3"/>
        <v>129.19903148569693</v>
      </c>
      <c r="O109" s="183">
        <f t="shared" si="3"/>
        <v>0</v>
      </c>
      <c r="P109" s="183">
        <f t="shared" si="3"/>
        <v>8.6003302160181108E-2</v>
      </c>
      <c r="Q109" s="183">
        <f t="shared" si="3"/>
        <v>0.17687563154693886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7"/>
  <sheetViews>
    <sheetView workbookViewId="0">
      <selection activeCell="H25" sqref="H25"/>
    </sheetView>
  </sheetViews>
  <sheetFormatPr defaultColWidth="9" defaultRowHeight="15"/>
  <cols>
    <col min="1" max="1" width="14.7109375" customWidth="1"/>
    <col min="2" max="2" width="14.140625" customWidth="1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45625.010416666664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R2" s="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L3" s="167" t="s">
        <v>14</v>
      </c>
      <c r="M3" s="147"/>
      <c r="N3" s="180" t="s">
        <v>15</v>
      </c>
      <c r="O3" s="147"/>
      <c r="P3" s="173" t="s">
        <v>15</v>
      </c>
      <c r="Q3" s="147"/>
      <c r="R3" s="2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N4" s="2"/>
      <c r="O4" s="147"/>
      <c r="P4" s="147"/>
      <c r="Q4" s="147"/>
      <c r="R4" s="147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>
      <c r="A9" s="80">
        <v>45625.010416666664</v>
      </c>
      <c r="B9" s="112">
        <v>8.94</v>
      </c>
      <c r="C9" s="112">
        <v>23.73</v>
      </c>
      <c r="D9" s="112">
        <v>20.92</v>
      </c>
      <c r="E9" s="112">
        <v>8.1999999999999993</v>
      </c>
      <c r="F9" s="112">
        <v>5.54</v>
      </c>
      <c r="G9" s="112">
        <v>120.22</v>
      </c>
      <c r="H9" s="112">
        <v>38.4</v>
      </c>
      <c r="I9" s="112">
        <v>10.55</v>
      </c>
      <c r="J9" s="112">
        <v>0.28999999999999998</v>
      </c>
      <c r="K9" s="112">
        <v>54.43</v>
      </c>
      <c r="L9" s="112">
        <v>17.09</v>
      </c>
      <c r="M9" s="112">
        <v>69.48</v>
      </c>
      <c r="N9" s="112">
        <v>1.3</v>
      </c>
      <c r="O9" s="112">
        <v>0</v>
      </c>
      <c r="P9" s="112">
        <v>0.99</v>
      </c>
      <c r="Q9" s="112">
        <v>10.59</v>
      </c>
    </row>
    <row r="10" spans="1:21">
      <c r="A10" s="80">
        <v>45625.020833333336</v>
      </c>
      <c r="B10" s="112">
        <v>9.1999999999999993</v>
      </c>
      <c r="C10" s="112">
        <v>23.36</v>
      </c>
      <c r="D10" s="112">
        <v>20.93</v>
      </c>
      <c r="E10" s="112">
        <v>8.9499999999999993</v>
      </c>
      <c r="F10" s="112">
        <v>5.43</v>
      </c>
      <c r="G10" s="112">
        <v>117.5</v>
      </c>
      <c r="H10" s="112">
        <v>37.22</v>
      </c>
      <c r="I10" s="112">
        <v>10.57</v>
      </c>
      <c r="J10" s="112">
        <v>0.49</v>
      </c>
      <c r="K10" s="112">
        <v>47.96</v>
      </c>
      <c r="L10" s="112">
        <v>17.010000000000002</v>
      </c>
      <c r="M10" s="112">
        <v>69.87</v>
      </c>
      <c r="N10" s="112">
        <v>1.2</v>
      </c>
      <c r="O10" s="112">
        <v>0</v>
      </c>
      <c r="P10" s="112">
        <v>0.99</v>
      </c>
      <c r="Q10" s="112">
        <v>10.61</v>
      </c>
    </row>
    <row r="11" spans="1:21">
      <c r="A11" s="80">
        <v>45625.03125</v>
      </c>
      <c r="B11" s="112">
        <v>9.3800000000000008</v>
      </c>
      <c r="C11" s="112">
        <v>23.2</v>
      </c>
      <c r="D11" s="112">
        <v>20.99</v>
      </c>
      <c r="E11" s="112">
        <v>8.9600000000000009</v>
      </c>
      <c r="F11" s="112">
        <v>5.62</v>
      </c>
      <c r="G11" s="112">
        <v>117.5</v>
      </c>
      <c r="H11" s="112">
        <v>37.22</v>
      </c>
      <c r="I11" s="112">
        <v>10.54</v>
      </c>
      <c r="J11" s="112">
        <v>0.39</v>
      </c>
      <c r="K11" s="112">
        <v>42.27</v>
      </c>
      <c r="L11" s="112">
        <v>17.010000000000002</v>
      </c>
      <c r="M11" s="112">
        <v>69.81</v>
      </c>
      <c r="N11" s="112">
        <v>1.3</v>
      </c>
      <c r="O11" s="112">
        <v>0</v>
      </c>
      <c r="P11" s="112">
        <v>0.98</v>
      </c>
      <c r="Q11" s="112">
        <v>10.61</v>
      </c>
    </row>
    <row r="12" spans="1:21">
      <c r="A12" s="80">
        <v>45625.041666666664</v>
      </c>
      <c r="B12" s="112">
        <v>9.4600000000000009</v>
      </c>
      <c r="C12" s="112">
        <v>23.18</v>
      </c>
      <c r="D12" s="112">
        <v>21.05</v>
      </c>
      <c r="E12" s="112">
        <v>8.59</v>
      </c>
      <c r="F12" s="112">
        <v>5.3</v>
      </c>
      <c r="G12" s="112">
        <v>117.5</v>
      </c>
      <c r="H12" s="112">
        <v>37.22</v>
      </c>
      <c r="I12" s="112">
        <v>10.52</v>
      </c>
      <c r="J12" s="112">
        <v>0.4</v>
      </c>
      <c r="K12" s="112">
        <v>47.55</v>
      </c>
      <c r="L12" s="112">
        <v>16.920000000000002</v>
      </c>
      <c r="M12" s="112">
        <v>70.099999999999994</v>
      </c>
      <c r="N12" s="112">
        <v>1.3</v>
      </c>
      <c r="O12" s="112">
        <v>0</v>
      </c>
      <c r="P12" s="112">
        <v>0.97</v>
      </c>
      <c r="Q12" s="112">
        <v>10.6</v>
      </c>
    </row>
    <row r="13" spans="1:21">
      <c r="A13" s="80">
        <v>45625.052083333336</v>
      </c>
      <c r="B13" s="112">
        <v>9.4</v>
      </c>
      <c r="C13" s="112">
        <v>23.05</v>
      </c>
      <c r="D13" s="112">
        <v>20.93</v>
      </c>
      <c r="E13" s="112">
        <v>8.58</v>
      </c>
      <c r="F13" s="112">
        <v>5.43</v>
      </c>
      <c r="G13" s="112">
        <v>117.51</v>
      </c>
      <c r="H13" s="112">
        <v>37.28</v>
      </c>
      <c r="I13" s="112">
        <v>10.5</v>
      </c>
      <c r="J13" s="112">
        <v>0.52</v>
      </c>
      <c r="K13" s="112">
        <v>51.79</v>
      </c>
      <c r="L13" s="112">
        <v>16.91</v>
      </c>
      <c r="M13" s="112">
        <v>69.459999999999994</v>
      </c>
      <c r="N13" s="112">
        <v>1.3</v>
      </c>
      <c r="O13" s="112">
        <v>0</v>
      </c>
      <c r="P13" s="112">
        <v>0.98</v>
      </c>
      <c r="Q13" s="112">
        <v>10.6</v>
      </c>
    </row>
    <row r="14" spans="1:21">
      <c r="A14" s="80">
        <v>45625.0625</v>
      </c>
      <c r="B14" s="112">
        <v>9.25</v>
      </c>
      <c r="C14" s="112">
        <v>22.92</v>
      </c>
      <c r="D14" s="112">
        <v>20.74</v>
      </c>
      <c r="E14" s="112">
        <v>9.02</v>
      </c>
      <c r="F14" s="112">
        <v>5.78</v>
      </c>
      <c r="G14" s="112">
        <v>117.63</v>
      </c>
      <c r="H14" s="112">
        <v>40.83</v>
      </c>
      <c r="I14" s="112">
        <v>10.48</v>
      </c>
      <c r="J14" s="112">
        <v>0.48</v>
      </c>
      <c r="K14" s="112">
        <v>51.47</v>
      </c>
      <c r="L14" s="112">
        <v>16.73</v>
      </c>
      <c r="M14" s="112">
        <v>69.58</v>
      </c>
      <c r="N14" s="112">
        <v>1.5</v>
      </c>
      <c r="O14" s="112">
        <v>0</v>
      </c>
      <c r="P14" s="112">
        <v>0.97</v>
      </c>
      <c r="Q14" s="112">
        <v>10.61</v>
      </c>
    </row>
    <row r="15" spans="1:21">
      <c r="A15" s="80">
        <v>45625.072916666664</v>
      </c>
      <c r="B15" s="112">
        <v>9.01</v>
      </c>
      <c r="C15" s="112">
        <v>22.71</v>
      </c>
      <c r="D15" s="112">
        <v>20.440000000000001</v>
      </c>
      <c r="E15" s="112">
        <v>8.68</v>
      </c>
      <c r="F15" s="112">
        <v>5.77</v>
      </c>
      <c r="G15" s="112">
        <v>117.63</v>
      </c>
      <c r="H15" s="112">
        <v>40.83</v>
      </c>
      <c r="I15" s="112">
        <v>10.42</v>
      </c>
      <c r="J15" s="112">
        <v>0.61</v>
      </c>
      <c r="K15" s="112">
        <v>47.42</v>
      </c>
      <c r="L15" s="112">
        <v>16.62</v>
      </c>
      <c r="M15" s="112">
        <v>68.61</v>
      </c>
      <c r="N15" s="112">
        <v>1.5</v>
      </c>
      <c r="O15" s="112">
        <v>0</v>
      </c>
      <c r="P15" s="112">
        <v>0.95</v>
      </c>
      <c r="Q15" s="112">
        <v>10.59</v>
      </c>
    </row>
    <row r="16" spans="1:21">
      <c r="A16" s="80">
        <v>45625.083333333336</v>
      </c>
      <c r="B16" s="112">
        <v>8.76</v>
      </c>
      <c r="C16" s="112">
        <v>22.57</v>
      </c>
      <c r="D16" s="112">
        <v>20.170000000000002</v>
      </c>
      <c r="E16" s="112">
        <v>8.27</v>
      </c>
      <c r="F16" s="112">
        <v>5.73</v>
      </c>
      <c r="G16" s="112">
        <v>117.63</v>
      </c>
      <c r="H16" s="112">
        <v>40.83</v>
      </c>
      <c r="I16" s="112">
        <v>10.34</v>
      </c>
      <c r="J16" s="112">
        <v>0.7</v>
      </c>
      <c r="K16" s="112">
        <v>41.49</v>
      </c>
      <c r="L16" s="112">
        <v>16.48</v>
      </c>
      <c r="M16" s="112">
        <v>68.08</v>
      </c>
      <c r="N16" s="112">
        <v>1.4</v>
      </c>
      <c r="O16" s="112">
        <v>0</v>
      </c>
      <c r="P16" s="112">
        <v>0.95</v>
      </c>
      <c r="Q16" s="112">
        <v>10.58</v>
      </c>
    </row>
    <row r="17" spans="1:17">
      <c r="A17" s="80">
        <v>45625.09375</v>
      </c>
      <c r="B17" s="112">
        <v>8.39</v>
      </c>
      <c r="C17" s="112">
        <v>22.28</v>
      </c>
      <c r="D17" s="112">
        <v>19.72</v>
      </c>
      <c r="E17" s="112">
        <v>7.07</v>
      </c>
      <c r="F17" s="112">
        <v>5.66</v>
      </c>
      <c r="G17" s="112">
        <v>117.51</v>
      </c>
      <c r="H17" s="112">
        <v>40.770000000000003</v>
      </c>
      <c r="I17" s="112">
        <v>10.31</v>
      </c>
      <c r="J17" s="112">
        <v>0.67</v>
      </c>
      <c r="K17" s="112">
        <v>39.75</v>
      </c>
      <c r="L17" s="112">
        <v>16.38</v>
      </c>
      <c r="M17" s="112">
        <v>68.09</v>
      </c>
      <c r="N17" s="112">
        <v>1.6</v>
      </c>
      <c r="O17" s="112">
        <v>0</v>
      </c>
      <c r="P17" s="112">
        <v>0.95</v>
      </c>
      <c r="Q17" s="112">
        <v>10.56</v>
      </c>
    </row>
    <row r="18" spans="1:17">
      <c r="A18" s="80">
        <v>45625.104166666664</v>
      </c>
      <c r="B18" s="112">
        <v>8.02</v>
      </c>
      <c r="C18" s="112">
        <v>22.03</v>
      </c>
      <c r="D18" s="112">
        <v>19.29</v>
      </c>
      <c r="E18" s="112">
        <v>7.98</v>
      </c>
      <c r="F18" s="112">
        <v>6.02</v>
      </c>
      <c r="G18" s="112">
        <v>111.87</v>
      </c>
      <c r="H18" s="112">
        <v>36.880000000000003</v>
      </c>
      <c r="I18" s="112">
        <v>10.27</v>
      </c>
      <c r="J18" s="112">
        <v>0.67</v>
      </c>
      <c r="K18" s="112">
        <v>39.99</v>
      </c>
      <c r="L18" s="112">
        <v>16.2</v>
      </c>
      <c r="M18" s="112">
        <v>68.790000000000006</v>
      </c>
      <c r="N18" s="112">
        <v>1.6</v>
      </c>
      <c r="O18" s="112">
        <v>0</v>
      </c>
      <c r="P18" s="112">
        <v>0.94</v>
      </c>
      <c r="Q18" s="112">
        <v>10.56</v>
      </c>
    </row>
    <row r="19" spans="1:17">
      <c r="A19" s="80">
        <v>45625.114583333336</v>
      </c>
      <c r="B19" s="112">
        <v>7.63</v>
      </c>
      <c r="C19" s="112">
        <v>21.83</v>
      </c>
      <c r="D19" s="112">
        <v>18.88</v>
      </c>
      <c r="E19" s="112">
        <v>7.82</v>
      </c>
      <c r="F19" s="112">
        <v>5.86</v>
      </c>
      <c r="G19" s="112">
        <v>111.87</v>
      </c>
      <c r="H19" s="112">
        <v>36.880000000000003</v>
      </c>
      <c r="I19" s="112">
        <v>10.220000000000001</v>
      </c>
      <c r="J19" s="112">
        <v>0.69</v>
      </c>
      <c r="K19" s="112">
        <v>51.39</v>
      </c>
      <c r="L19" s="112">
        <v>15.93</v>
      </c>
      <c r="M19" s="112">
        <v>70.28</v>
      </c>
      <c r="N19" s="112">
        <v>1.7</v>
      </c>
      <c r="O19" s="112">
        <v>0</v>
      </c>
      <c r="P19" s="112">
        <v>0.95</v>
      </c>
      <c r="Q19" s="112">
        <v>10.56</v>
      </c>
    </row>
    <row r="20" spans="1:17">
      <c r="A20" s="80">
        <v>45625.125</v>
      </c>
      <c r="B20" s="112">
        <v>7.16</v>
      </c>
      <c r="C20" s="112">
        <v>21.81</v>
      </c>
      <c r="D20" s="112">
        <v>18.489999999999998</v>
      </c>
      <c r="E20" s="112">
        <v>7.72</v>
      </c>
      <c r="F20" s="112">
        <v>5.87</v>
      </c>
      <c r="G20" s="112">
        <v>111.87</v>
      </c>
      <c r="H20" s="112">
        <v>36.880000000000003</v>
      </c>
      <c r="I20" s="112">
        <v>10.19</v>
      </c>
      <c r="J20" s="112">
        <v>0.6</v>
      </c>
      <c r="K20" s="112">
        <v>53.83</v>
      </c>
      <c r="L20" s="112">
        <v>15.63</v>
      </c>
      <c r="M20" s="112">
        <v>71.94</v>
      </c>
      <c r="N20" s="112">
        <v>1.7</v>
      </c>
      <c r="O20" s="112">
        <v>0</v>
      </c>
      <c r="P20" s="112">
        <v>0.95</v>
      </c>
      <c r="Q20" s="112">
        <v>10.58</v>
      </c>
    </row>
    <row r="21" spans="1:17">
      <c r="A21" s="80">
        <v>45625.135416666664</v>
      </c>
      <c r="B21" s="112">
        <v>6.83</v>
      </c>
      <c r="C21" s="112">
        <v>21.78</v>
      </c>
      <c r="D21" s="112">
        <v>18.21</v>
      </c>
      <c r="E21" s="112">
        <v>8.14</v>
      </c>
      <c r="F21" s="112">
        <v>5.77</v>
      </c>
      <c r="G21" s="112">
        <v>111.53</v>
      </c>
      <c r="H21" s="112">
        <v>36.85</v>
      </c>
      <c r="I21" s="112">
        <v>10.130000000000001</v>
      </c>
      <c r="J21" s="112">
        <v>0.44</v>
      </c>
      <c r="K21" s="112">
        <v>51.13</v>
      </c>
      <c r="L21" s="112">
        <v>15.42</v>
      </c>
      <c r="M21" s="112">
        <v>73.08</v>
      </c>
      <c r="N21" s="112">
        <v>1.7</v>
      </c>
      <c r="O21" s="112">
        <v>0</v>
      </c>
      <c r="P21" s="112">
        <v>0.96</v>
      </c>
      <c r="Q21" s="112">
        <v>10.57</v>
      </c>
    </row>
    <row r="22" spans="1:17">
      <c r="A22" s="80">
        <v>45625.145833333336</v>
      </c>
      <c r="B22" s="112">
        <v>6.6</v>
      </c>
      <c r="C22" s="112">
        <v>21.68</v>
      </c>
      <c r="D22" s="112">
        <v>17.98</v>
      </c>
      <c r="E22" s="112">
        <v>7.45</v>
      </c>
      <c r="F22" s="112">
        <v>5.9</v>
      </c>
      <c r="G22" s="112">
        <v>96.99</v>
      </c>
      <c r="H22" s="112">
        <v>34.86</v>
      </c>
      <c r="I22" s="112">
        <v>10.1</v>
      </c>
      <c r="J22" s="112">
        <v>0.54</v>
      </c>
      <c r="K22" s="112">
        <v>49.9</v>
      </c>
      <c r="L22" s="112">
        <v>15.26</v>
      </c>
      <c r="M22" s="112">
        <v>73.87</v>
      </c>
      <c r="N22" s="112">
        <v>1.5</v>
      </c>
      <c r="O22" s="112">
        <v>0</v>
      </c>
      <c r="P22" s="112">
        <v>0.95</v>
      </c>
      <c r="Q22" s="112">
        <v>10.56</v>
      </c>
    </row>
    <row r="23" spans="1:17">
      <c r="A23" s="80">
        <v>45625.15625</v>
      </c>
      <c r="B23" s="112">
        <v>6.53</v>
      </c>
      <c r="C23" s="112">
        <v>21.45</v>
      </c>
      <c r="D23" s="112">
        <v>17.79</v>
      </c>
      <c r="E23" s="112">
        <v>7.5</v>
      </c>
      <c r="F23" s="112">
        <v>5.96</v>
      </c>
      <c r="G23" s="112">
        <v>96.99</v>
      </c>
      <c r="H23" s="112">
        <v>34.86</v>
      </c>
      <c r="I23" s="112">
        <v>10.11</v>
      </c>
      <c r="J23" s="112">
        <v>0.54</v>
      </c>
      <c r="K23" s="112">
        <v>44.23</v>
      </c>
      <c r="L23" s="112">
        <v>15.22</v>
      </c>
      <c r="M23" s="112">
        <v>74.040000000000006</v>
      </c>
      <c r="N23" s="112">
        <v>1.4</v>
      </c>
      <c r="O23" s="112">
        <v>0</v>
      </c>
      <c r="P23" s="112">
        <v>0.95</v>
      </c>
      <c r="Q23" s="112">
        <v>10.55</v>
      </c>
    </row>
    <row r="24" spans="1:17">
      <c r="A24" s="80">
        <v>45625.166666666664</v>
      </c>
      <c r="B24" s="112">
        <v>6.58</v>
      </c>
      <c r="C24" s="112">
        <v>21.43</v>
      </c>
      <c r="D24" s="112">
        <v>17.829999999999998</v>
      </c>
      <c r="E24" s="112">
        <v>7.35</v>
      </c>
      <c r="F24" s="112">
        <v>5.98</v>
      </c>
      <c r="G24" s="112">
        <v>96.99</v>
      </c>
      <c r="H24" s="112">
        <v>34.86</v>
      </c>
      <c r="I24" s="112">
        <v>10.09</v>
      </c>
      <c r="J24" s="112">
        <v>0.7</v>
      </c>
      <c r="K24" s="112">
        <v>48.99</v>
      </c>
      <c r="L24" s="112">
        <v>15.22</v>
      </c>
      <c r="M24" s="112">
        <v>73.66</v>
      </c>
      <c r="N24" s="112">
        <v>1.4</v>
      </c>
      <c r="O24" s="112">
        <v>0</v>
      </c>
      <c r="P24" s="112">
        <v>0.96</v>
      </c>
      <c r="Q24" s="112">
        <v>10.54</v>
      </c>
    </row>
    <row r="25" spans="1:17">
      <c r="A25" s="80">
        <v>45625.177083333336</v>
      </c>
      <c r="B25" s="112">
        <v>6.52</v>
      </c>
      <c r="C25" s="112">
        <v>21.4</v>
      </c>
      <c r="D25" s="112">
        <v>17.760000000000002</v>
      </c>
      <c r="E25" s="112">
        <v>7.59</v>
      </c>
      <c r="F25" s="112">
        <v>6.09</v>
      </c>
      <c r="G25" s="112">
        <v>96.95</v>
      </c>
      <c r="H25" s="112">
        <v>34.869999999999997</v>
      </c>
      <c r="I25" s="112">
        <v>10.07</v>
      </c>
      <c r="J25" s="112">
        <v>0.56999999999999995</v>
      </c>
      <c r="K25" s="112">
        <v>50.11</v>
      </c>
      <c r="L25" s="112">
        <v>15.07</v>
      </c>
      <c r="M25" s="112">
        <v>74.709999999999994</v>
      </c>
      <c r="N25" s="112">
        <v>1.7</v>
      </c>
      <c r="O25" s="112">
        <v>0</v>
      </c>
      <c r="P25" s="112">
        <v>0.96</v>
      </c>
      <c r="Q25" s="112">
        <v>10.56</v>
      </c>
    </row>
    <row r="26" spans="1:17">
      <c r="A26" s="80">
        <v>45625.1875</v>
      </c>
      <c r="B26" s="112">
        <v>6.59</v>
      </c>
      <c r="C26" s="112">
        <v>21.49</v>
      </c>
      <c r="D26" s="112">
        <v>17.87</v>
      </c>
      <c r="E26" s="112">
        <v>7.26</v>
      </c>
      <c r="F26" s="112">
        <v>5.6</v>
      </c>
      <c r="G26" s="112">
        <v>95.16</v>
      </c>
      <c r="H26" s="112">
        <v>35.409999999999997</v>
      </c>
      <c r="I26" s="112">
        <v>10.08</v>
      </c>
      <c r="J26" s="112">
        <v>0.46</v>
      </c>
      <c r="K26" s="112">
        <v>42.91</v>
      </c>
      <c r="L26" s="112">
        <v>14.97</v>
      </c>
      <c r="M26" s="112">
        <v>75.510000000000005</v>
      </c>
      <c r="N26" s="112">
        <v>1.5</v>
      </c>
      <c r="O26" s="112">
        <v>0</v>
      </c>
      <c r="P26" s="112">
        <v>0.95</v>
      </c>
      <c r="Q26" s="112">
        <v>10.56</v>
      </c>
    </row>
    <row r="27" spans="1:17">
      <c r="A27" s="80">
        <v>45625.197916666664</v>
      </c>
      <c r="B27" s="112">
        <v>6.93</v>
      </c>
      <c r="C27" s="112">
        <v>21.57</v>
      </c>
      <c r="D27" s="112">
        <v>18.18</v>
      </c>
      <c r="E27" s="112">
        <v>6.67</v>
      </c>
      <c r="F27" s="112">
        <v>5.43</v>
      </c>
      <c r="G27" s="112">
        <v>95.16</v>
      </c>
      <c r="H27" s="112">
        <v>35.409999999999997</v>
      </c>
      <c r="I27" s="112">
        <v>10.130000000000001</v>
      </c>
      <c r="J27" s="112">
        <v>0.52</v>
      </c>
      <c r="K27" s="112">
        <v>44.29</v>
      </c>
      <c r="L27" s="112">
        <v>14.85</v>
      </c>
      <c r="M27" s="112">
        <v>76.3</v>
      </c>
      <c r="N27" s="112">
        <v>1.4</v>
      </c>
      <c r="O27" s="112">
        <v>0</v>
      </c>
      <c r="P27" s="112">
        <v>0.96</v>
      </c>
      <c r="Q27" s="112">
        <v>10.55</v>
      </c>
    </row>
    <row r="28" spans="1:17">
      <c r="A28" s="80">
        <v>45625.208333333336</v>
      </c>
      <c r="B28" s="112">
        <v>7.6</v>
      </c>
      <c r="C28" s="112">
        <v>21.72</v>
      </c>
      <c r="D28" s="112">
        <v>18.79</v>
      </c>
      <c r="E28" s="112">
        <v>7.25</v>
      </c>
      <c r="F28" s="112">
        <v>5.62</v>
      </c>
      <c r="G28" s="112">
        <v>95.16</v>
      </c>
      <c r="H28" s="112">
        <v>35.409999999999997</v>
      </c>
      <c r="I28" s="112">
        <v>10.23</v>
      </c>
      <c r="J28" s="112">
        <v>0.38</v>
      </c>
      <c r="K28" s="112">
        <v>43.63</v>
      </c>
      <c r="L28" s="112">
        <v>14.87</v>
      </c>
      <c r="M28" s="112">
        <v>76.150000000000006</v>
      </c>
      <c r="N28" s="112">
        <v>1.4</v>
      </c>
      <c r="O28" s="112">
        <v>0</v>
      </c>
      <c r="P28" s="112">
        <v>0.96</v>
      </c>
      <c r="Q28" s="112">
        <v>10.55</v>
      </c>
    </row>
    <row r="29" spans="1:17">
      <c r="A29" s="80">
        <v>45625.21875</v>
      </c>
      <c r="B29" s="112">
        <v>8.32</v>
      </c>
      <c r="C29" s="112">
        <v>22.02</v>
      </c>
      <c r="D29" s="112">
        <v>19.53</v>
      </c>
      <c r="E29" s="112">
        <v>7.26</v>
      </c>
      <c r="F29" s="112">
        <v>5.58</v>
      </c>
      <c r="G29" s="112">
        <v>95.14</v>
      </c>
      <c r="H29" s="112">
        <v>35.4</v>
      </c>
      <c r="I29" s="112">
        <v>10.34</v>
      </c>
      <c r="J29" s="112">
        <v>0.5</v>
      </c>
      <c r="K29" s="112">
        <v>47.98</v>
      </c>
      <c r="L29" s="112">
        <v>14.84</v>
      </c>
      <c r="M29" s="112">
        <v>76.55</v>
      </c>
      <c r="N29" s="112">
        <v>1.4</v>
      </c>
      <c r="O29" s="112">
        <v>0</v>
      </c>
      <c r="P29" s="112">
        <v>0.96</v>
      </c>
      <c r="Q29" s="112">
        <v>10.57</v>
      </c>
    </row>
    <row r="30" spans="1:17">
      <c r="A30" s="80">
        <v>45625.229166666664</v>
      </c>
      <c r="B30" s="112">
        <v>8.68</v>
      </c>
      <c r="C30" s="112">
        <v>22.09</v>
      </c>
      <c r="D30" s="112">
        <v>19.86</v>
      </c>
      <c r="E30" s="112">
        <v>6.79</v>
      </c>
      <c r="F30" s="112">
        <v>5.51</v>
      </c>
      <c r="G30" s="112">
        <v>94.45</v>
      </c>
      <c r="H30" s="112">
        <v>35.11</v>
      </c>
      <c r="I30" s="112">
        <v>10.43</v>
      </c>
      <c r="J30" s="112">
        <v>0.4</v>
      </c>
      <c r="K30" s="112">
        <v>55.22</v>
      </c>
      <c r="L30" s="112">
        <v>14.75</v>
      </c>
      <c r="M30" s="112">
        <v>77.16</v>
      </c>
      <c r="N30" s="112">
        <v>1.4</v>
      </c>
      <c r="O30" s="112">
        <v>0</v>
      </c>
      <c r="P30" s="112">
        <v>0.96</v>
      </c>
      <c r="Q30" s="112">
        <v>10.57</v>
      </c>
    </row>
    <row r="31" spans="1:17">
      <c r="A31" s="80">
        <v>45625.239583333336</v>
      </c>
      <c r="B31" s="112">
        <v>9.07</v>
      </c>
      <c r="C31" s="112">
        <v>22.26</v>
      </c>
      <c r="D31" s="112">
        <v>20.260000000000002</v>
      </c>
      <c r="E31" s="112">
        <v>7.32</v>
      </c>
      <c r="F31" s="112">
        <v>5.19</v>
      </c>
      <c r="G31" s="112">
        <v>94.45</v>
      </c>
      <c r="H31" s="112">
        <v>35.11</v>
      </c>
      <c r="I31" s="112">
        <v>10.51</v>
      </c>
      <c r="J31" s="112">
        <v>0.28999999999999998</v>
      </c>
      <c r="K31" s="112">
        <v>60.51</v>
      </c>
      <c r="L31" s="112">
        <v>14.67</v>
      </c>
      <c r="M31" s="112">
        <v>77.900000000000006</v>
      </c>
      <c r="N31" s="112">
        <v>1.4</v>
      </c>
      <c r="O31" s="112">
        <v>0</v>
      </c>
      <c r="P31" s="112">
        <v>0.97</v>
      </c>
      <c r="Q31" s="112">
        <v>10.55</v>
      </c>
    </row>
    <row r="32" spans="1:17">
      <c r="A32" s="80">
        <v>45625.25</v>
      </c>
      <c r="B32" s="112">
        <v>9.34</v>
      </c>
      <c r="C32" s="112">
        <v>22.31</v>
      </c>
      <c r="D32" s="112">
        <v>20.5</v>
      </c>
      <c r="E32" s="112">
        <v>7.26</v>
      </c>
      <c r="F32" s="112">
        <v>5.25</v>
      </c>
      <c r="G32" s="112">
        <v>94.45</v>
      </c>
      <c r="H32" s="112">
        <v>35.11</v>
      </c>
      <c r="I32" s="112">
        <v>10.62</v>
      </c>
      <c r="J32" s="112">
        <v>0.34</v>
      </c>
      <c r="K32" s="112">
        <v>55.93</v>
      </c>
      <c r="L32" s="112">
        <v>14.57</v>
      </c>
      <c r="M32" s="112">
        <v>78.53</v>
      </c>
      <c r="N32" s="112">
        <v>1.7</v>
      </c>
      <c r="O32" s="112">
        <v>0</v>
      </c>
      <c r="P32" s="112">
        <v>0.98</v>
      </c>
      <c r="Q32" s="112">
        <v>10.54</v>
      </c>
    </row>
    <row r="33" spans="1:17">
      <c r="A33" s="80">
        <v>45625.260416666664</v>
      </c>
      <c r="B33" s="112">
        <v>9.44</v>
      </c>
      <c r="C33" s="112">
        <v>22.28</v>
      </c>
      <c r="D33" s="112">
        <v>20.57</v>
      </c>
      <c r="E33" s="112">
        <v>6.93</v>
      </c>
      <c r="F33" s="112">
        <v>5.44</v>
      </c>
      <c r="G33" s="112">
        <v>94.48</v>
      </c>
      <c r="H33" s="112">
        <v>35.1</v>
      </c>
      <c r="I33" s="112">
        <v>10.67</v>
      </c>
      <c r="J33" s="112">
        <v>0.64</v>
      </c>
      <c r="K33" s="112">
        <v>50.81</v>
      </c>
      <c r="L33" s="112">
        <v>14.55</v>
      </c>
      <c r="M33" s="112">
        <v>78.78</v>
      </c>
      <c r="N33" s="112">
        <v>3.2</v>
      </c>
      <c r="O33" s="112">
        <v>0</v>
      </c>
      <c r="P33" s="112">
        <v>0.98</v>
      </c>
      <c r="Q33" s="112">
        <v>10.55</v>
      </c>
    </row>
    <row r="34" spans="1:17">
      <c r="A34" s="80">
        <v>45625.270833333336</v>
      </c>
      <c r="B34" s="112">
        <v>9.6199999999999992</v>
      </c>
      <c r="C34" s="112">
        <v>22.32</v>
      </c>
      <c r="D34" s="112">
        <v>20.73</v>
      </c>
      <c r="E34" s="112">
        <v>7.03</v>
      </c>
      <c r="F34" s="112">
        <v>5.77</v>
      </c>
      <c r="G34" s="112">
        <v>95.79</v>
      </c>
      <c r="H34" s="112">
        <v>34.799999999999997</v>
      </c>
      <c r="I34" s="112">
        <v>10.72</v>
      </c>
      <c r="J34" s="112">
        <v>0.61</v>
      </c>
      <c r="K34" s="112">
        <v>55.02</v>
      </c>
      <c r="L34" s="112">
        <v>14.6</v>
      </c>
      <c r="M34" s="112">
        <v>78.63</v>
      </c>
      <c r="N34" s="112">
        <v>8</v>
      </c>
      <c r="O34" s="112">
        <v>0</v>
      </c>
      <c r="P34" s="112">
        <v>0.98</v>
      </c>
      <c r="Q34" s="112">
        <v>10.56</v>
      </c>
    </row>
    <row r="35" spans="1:17">
      <c r="A35" s="80">
        <v>45625.28125</v>
      </c>
      <c r="B35" s="112">
        <v>10.3</v>
      </c>
      <c r="C35" s="112">
        <v>22.58</v>
      </c>
      <c r="D35" s="112">
        <v>21.4</v>
      </c>
      <c r="E35" s="112">
        <v>6.79</v>
      </c>
      <c r="F35" s="112">
        <v>5.59</v>
      </c>
      <c r="G35" s="112">
        <v>95.79</v>
      </c>
      <c r="H35" s="112">
        <v>34.799999999999997</v>
      </c>
      <c r="I35" s="112">
        <v>10.77</v>
      </c>
      <c r="J35" s="112">
        <v>0.44</v>
      </c>
      <c r="K35" s="112">
        <v>56.16</v>
      </c>
      <c r="L35" s="112">
        <v>14.69</v>
      </c>
      <c r="M35" s="112">
        <v>78.709999999999994</v>
      </c>
      <c r="N35" s="112">
        <v>15.7</v>
      </c>
      <c r="O35" s="112">
        <v>0</v>
      </c>
      <c r="P35" s="112">
        <v>1</v>
      </c>
      <c r="Q35" s="112">
        <v>10.57</v>
      </c>
    </row>
    <row r="36" spans="1:17">
      <c r="A36" s="80">
        <v>45625.291666666664</v>
      </c>
      <c r="B36" s="112">
        <v>11.1</v>
      </c>
      <c r="C36" s="112">
        <v>22.8</v>
      </c>
      <c r="D36" s="112">
        <v>22.16</v>
      </c>
      <c r="E36" s="112">
        <v>7.1</v>
      </c>
      <c r="F36" s="112">
        <v>5.65</v>
      </c>
      <c r="G36" s="112">
        <v>95.79</v>
      </c>
      <c r="H36" s="112">
        <v>34.799999999999997</v>
      </c>
      <c r="I36" s="112">
        <v>10.84</v>
      </c>
      <c r="J36" s="112">
        <v>0.64</v>
      </c>
      <c r="K36" s="112">
        <v>45.62</v>
      </c>
      <c r="L36" s="112">
        <v>14.88</v>
      </c>
      <c r="M36" s="112">
        <v>78.08</v>
      </c>
      <c r="N36" s="112">
        <v>26.3</v>
      </c>
      <c r="O36" s="112">
        <v>0</v>
      </c>
      <c r="P36" s="112">
        <v>1.01</v>
      </c>
      <c r="Q36" s="112">
        <v>10.56</v>
      </c>
    </row>
    <row r="37" spans="1:17">
      <c r="A37" s="80">
        <v>45625.302083333336</v>
      </c>
      <c r="B37" s="112">
        <v>11.83</v>
      </c>
      <c r="C37" s="112">
        <v>22.93</v>
      </c>
      <c r="D37" s="112">
        <v>22.82</v>
      </c>
      <c r="E37" s="112">
        <v>7.14</v>
      </c>
      <c r="F37" s="112">
        <v>5.49</v>
      </c>
      <c r="G37" s="112">
        <v>95.89</v>
      </c>
      <c r="H37" s="112">
        <v>34.83</v>
      </c>
      <c r="I37" s="112">
        <v>10.91</v>
      </c>
      <c r="J37" s="112">
        <v>0.66</v>
      </c>
      <c r="K37" s="112">
        <v>54.06</v>
      </c>
      <c r="L37" s="112">
        <v>15.25</v>
      </c>
      <c r="M37" s="112">
        <v>76.760000000000005</v>
      </c>
      <c r="N37" s="112">
        <v>37.799999999999997</v>
      </c>
      <c r="O37" s="112">
        <v>0</v>
      </c>
      <c r="P37" s="112">
        <v>1.02</v>
      </c>
      <c r="Q37" s="112">
        <v>10.56</v>
      </c>
    </row>
    <row r="38" spans="1:17">
      <c r="A38" s="80">
        <v>45625.3125</v>
      </c>
      <c r="B38" s="112">
        <v>12.49</v>
      </c>
      <c r="C38" s="112">
        <v>23.11</v>
      </c>
      <c r="D38" s="112">
        <v>23.44</v>
      </c>
      <c r="E38" s="112">
        <v>7.04</v>
      </c>
      <c r="F38" s="112">
        <v>5.6</v>
      </c>
      <c r="G38" s="112">
        <v>100.13</v>
      </c>
      <c r="H38" s="112">
        <v>36.97</v>
      </c>
      <c r="I38" s="112">
        <v>11.05</v>
      </c>
      <c r="J38" s="112">
        <v>0.77</v>
      </c>
      <c r="K38" s="112">
        <v>43.07</v>
      </c>
      <c r="L38" s="112">
        <v>15.54</v>
      </c>
      <c r="M38" s="112">
        <v>76.03</v>
      </c>
      <c r="N38" s="112">
        <v>49.8</v>
      </c>
      <c r="O38" s="112">
        <v>0</v>
      </c>
      <c r="P38" s="112">
        <v>1.02</v>
      </c>
      <c r="Q38" s="112">
        <v>10.55</v>
      </c>
    </row>
    <row r="39" spans="1:17">
      <c r="A39" s="80">
        <v>45625.322916666664</v>
      </c>
      <c r="B39" s="112">
        <v>12.9</v>
      </c>
      <c r="C39" s="112">
        <v>23.29</v>
      </c>
      <c r="D39" s="112">
        <v>23.87</v>
      </c>
      <c r="E39" s="112">
        <v>7.4</v>
      </c>
      <c r="F39" s="112">
        <v>5.54</v>
      </c>
      <c r="G39" s="112">
        <v>100.13</v>
      </c>
      <c r="H39" s="112">
        <v>36.97</v>
      </c>
      <c r="I39" s="112">
        <v>11.24</v>
      </c>
      <c r="J39" s="112">
        <v>0.76</v>
      </c>
      <c r="K39" s="112">
        <v>45.75</v>
      </c>
      <c r="L39" s="112">
        <v>16.12</v>
      </c>
      <c r="M39" s="112">
        <v>74.5</v>
      </c>
      <c r="N39" s="112">
        <v>77.7</v>
      </c>
      <c r="O39" s="112">
        <v>0</v>
      </c>
      <c r="P39" s="112">
        <v>1.04</v>
      </c>
      <c r="Q39" s="112">
        <v>10.55</v>
      </c>
    </row>
    <row r="40" spans="1:17">
      <c r="A40" s="80">
        <v>45625.333333333336</v>
      </c>
      <c r="B40" s="112">
        <v>12.88</v>
      </c>
      <c r="C40" s="112">
        <v>23.39</v>
      </c>
      <c r="D40" s="112">
        <v>23.9</v>
      </c>
      <c r="E40" s="112">
        <v>7.27</v>
      </c>
      <c r="F40" s="112">
        <v>5.43</v>
      </c>
      <c r="G40" s="112">
        <v>100.13</v>
      </c>
      <c r="H40" s="112">
        <v>36.97</v>
      </c>
      <c r="I40" s="112">
        <v>11.33</v>
      </c>
      <c r="J40" s="112">
        <v>0.51</v>
      </c>
      <c r="K40" s="112">
        <v>66.31</v>
      </c>
      <c r="L40" s="112">
        <v>17.11</v>
      </c>
      <c r="M40" s="112">
        <v>70.819999999999993</v>
      </c>
      <c r="N40" s="112">
        <v>131.9</v>
      </c>
      <c r="O40" s="112">
        <v>0</v>
      </c>
      <c r="P40" s="112">
        <v>1.02</v>
      </c>
      <c r="Q40" s="112">
        <v>10.54</v>
      </c>
    </row>
    <row r="41" spans="1:17">
      <c r="A41" s="80">
        <v>45625.34375</v>
      </c>
      <c r="B41" s="112">
        <v>12.31</v>
      </c>
      <c r="C41" s="112">
        <v>23.36</v>
      </c>
      <c r="D41" s="112">
        <v>23.42</v>
      </c>
      <c r="E41" s="112">
        <v>7.58</v>
      </c>
      <c r="F41" s="112">
        <v>5.79</v>
      </c>
      <c r="G41" s="112">
        <v>100.17</v>
      </c>
      <c r="H41" s="112">
        <v>37.01</v>
      </c>
      <c r="I41" s="112">
        <v>11.42</v>
      </c>
      <c r="J41" s="112">
        <v>0.98</v>
      </c>
      <c r="K41" s="112">
        <v>50.53</v>
      </c>
      <c r="L41" s="112">
        <v>17.93</v>
      </c>
      <c r="M41" s="112">
        <v>66.540000000000006</v>
      </c>
      <c r="N41" s="112">
        <v>162.69999999999999</v>
      </c>
      <c r="O41" s="112">
        <v>0</v>
      </c>
      <c r="P41" s="112">
        <v>1.02</v>
      </c>
      <c r="Q41" s="112">
        <v>10.53</v>
      </c>
    </row>
    <row r="42" spans="1:17">
      <c r="A42" s="80">
        <v>45625.354166666664</v>
      </c>
      <c r="B42" s="112">
        <v>11.64</v>
      </c>
      <c r="C42" s="112">
        <v>23.19</v>
      </c>
      <c r="D42" s="112">
        <v>22.8</v>
      </c>
      <c r="E42" s="112">
        <v>7.13</v>
      </c>
      <c r="F42" s="112">
        <v>5.89</v>
      </c>
      <c r="G42" s="112">
        <v>101.97</v>
      </c>
      <c r="H42" s="112">
        <v>39.5</v>
      </c>
      <c r="I42" s="112">
        <v>11.48</v>
      </c>
      <c r="J42" s="112">
        <v>0.81</v>
      </c>
      <c r="K42" s="112">
        <v>44.86</v>
      </c>
      <c r="L42" s="112">
        <v>18.84</v>
      </c>
      <c r="M42" s="112">
        <v>63.74</v>
      </c>
      <c r="N42" s="112">
        <v>145.19999999999999</v>
      </c>
      <c r="O42" s="112">
        <v>0</v>
      </c>
      <c r="P42" s="112">
        <v>1.01</v>
      </c>
      <c r="Q42" s="112">
        <v>10.56</v>
      </c>
    </row>
    <row r="43" spans="1:17">
      <c r="A43" s="80">
        <v>45625.364583333336</v>
      </c>
      <c r="B43" s="112">
        <v>11.07</v>
      </c>
      <c r="C43" s="112">
        <v>23.12</v>
      </c>
      <c r="D43" s="112">
        <v>22.31</v>
      </c>
      <c r="E43" s="112">
        <v>7.44</v>
      </c>
      <c r="F43" s="112">
        <v>5.73</v>
      </c>
      <c r="G43" s="112">
        <v>101.97</v>
      </c>
      <c r="H43" s="112">
        <v>39.5</v>
      </c>
      <c r="I43" s="112">
        <v>11.54</v>
      </c>
      <c r="J43" s="112">
        <v>1.18</v>
      </c>
      <c r="K43" s="112">
        <v>46.4</v>
      </c>
      <c r="L43" s="112">
        <v>19.63</v>
      </c>
      <c r="M43" s="112">
        <v>60.75</v>
      </c>
      <c r="N43" s="112">
        <v>186.7</v>
      </c>
      <c r="O43" s="112">
        <v>0</v>
      </c>
      <c r="P43" s="112">
        <v>1.01</v>
      </c>
      <c r="Q43" s="112">
        <v>10.56</v>
      </c>
    </row>
    <row r="44" spans="1:17">
      <c r="A44" s="80">
        <v>45625.375</v>
      </c>
      <c r="B44" s="112">
        <v>10.41</v>
      </c>
      <c r="C44" s="112">
        <v>23.08</v>
      </c>
      <c r="D44" s="112">
        <v>21.76</v>
      </c>
      <c r="E44" s="112">
        <v>7.72</v>
      </c>
      <c r="F44" s="112">
        <v>6.03</v>
      </c>
      <c r="G44" s="112">
        <v>101.97</v>
      </c>
      <c r="H44" s="112">
        <v>39.5</v>
      </c>
      <c r="I44" s="112">
        <v>11.69</v>
      </c>
      <c r="J44" s="112">
        <v>0.95</v>
      </c>
      <c r="K44" s="112">
        <v>49.67</v>
      </c>
      <c r="L44" s="112">
        <v>20.309999999999999</v>
      </c>
      <c r="M44" s="112">
        <v>58.89</v>
      </c>
      <c r="N44" s="112">
        <v>172.2</v>
      </c>
      <c r="O44" s="112">
        <v>0</v>
      </c>
      <c r="P44" s="112">
        <v>1.01</v>
      </c>
      <c r="Q44" s="112">
        <v>10.53</v>
      </c>
    </row>
    <row r="45" spans="1:17">
      <c r="A45" s="80">
        <v>45625.385416666664</v>
      </c>
      <c r="B45" s="112">
        <v>9.6199999999999992</v>
      </c>
      <c r="C45" s="112">
        <v>23.01</v>
      </c>
      <c r="D45" s="112">
        <v>21.09</v>
      </c>
      <c r="E45" s="112">
        <v>7.71</v>
      </c>
      <c r="F45" s="112">
        <v>6.47</v>
      </c>
      <c r="G45" s="112">
        <v>101.95</v>
      </c>
      <c r="H45" s="112">
        <v>39.5</v>
      </c>
      <c r="I45" s="112">
        <v>11.73</v>
      </c>
      <c r="J45" s="112">
        <v>1.21</v>
      </c>
      <c r="K45" s="112">
        <v>47.79</v>
      </c>
      <c r="L45" s="112">
        <v>20.84</v>
      </c>
      <c r="M45" s="112">
        <v>57.06</v>
      </c>
      <c r="N45" s="112">
        <v>170.4</v>
      </c>
      <c r="O45" s="112">
        <v>0</v>
      </c>
      <c r="P45" s="112">
        <v>1</v>
      </c>
      <c r="Q45" s="112">
        <v>10.52</v>
      </c>
    </row>
    <row r="46" spans="1:17">
      <c r="A46" s="80">
        <v>45625.395833333336</v>
      </c>
      <c r="B46" s="112">
        <v>8.65</v>
      </c>
      <c r="C46" s="112">
        <v>22.95</v>
      </c>
      <c r="D46" s="112">
        <v>20.28</v>
      </c>
      <c r="E46" s="112">
        <v>7.76</v>
      </c>
      <c r="F46" s="112">
        <v>6.15</v>
      </c>
      <c r="G46" s="112">
        <v>101.27</v>
      </c>
      <c r="H46" s="112">
        <v>39.18</v>
      </c>
      <c r="I46" s="112">
        <v>11.67</v>
      </c>
      <c r="J46" s="112">
        <v>1.1499999999999999</v>
      </c>
      <c r="K46" s="112">
        <v>47.56</v>
      </c>
      <c r="L46" s="112">
        <v>21.5</v>
      </c>
      <c r="M46" s="112">
        <v>55.01</v>
      </c>
      <c r="N46" s="112">
        <v>210.9</v>
      </c>
      <c r="O46" s="112">
        <v>0</v>
      </c>
      <c r="P46" s="112">
        <v>1</v>
      </c>
      <c r="Q46" s="112">
        <v>10.54</v>
      </c>
    </row>
    <row r="47" spans="1:17">
      <c r="A47" s="80">
        <v>45625.40625</v>
      </c>
      <c r="B47" s="112">
        <v>7.78</v>
      </c>
      <c r="C47" s="112">
        <v>22.92</v>
      </c>
      <c r="D47" s="112">
        <v>19.559999999999999</v>
      </c>
      <c r="E47" s="112">
        <v>7.99</v>
      </c>
      <c r="F47" s="112">
        <v>6.07</v>
      </c>
      <c r="G47" s="112">
        <v>101.27</v>
      </c>
      <c r="H47" s="112">
        <v>39.18</v>
      </c>
      <c r="I47" s="112">
        <v>11.6</v>
      </c>
      <c r="J47" s="112">
        <v>1.06</v>
      </c>
      <c r="K47" s="112">
        <v>48.03</v>
      </c>
      <c r="L47" s="112">
        <v>22.25</v>
      </c>
      <c r="M47" s="112">
        <v>53.09</v>
      </c>
      <c r="N47" s="112">
        <v>337.5</v>
      </c>
      <c r="O47" s="112">
        <v>0</v>
      </c>
      <c r="P47" s="112">
        <v>1</v>
      </c>
      <c r="Q47" s="112">
        <v>10.53</v>
      </c>
    </row>
    <row r="48" spans="1:17">
      <c r="A48" s="80">
        <v>45625.416666666664</v>
      </c>
      <c r="B48" s="112">
        <v>7.18</v>
      </c>
      <c r="C48" s="112">
        <v>22.9</v>
      </c>
      <c r="D48" s="112">
        <v>19.079999999999998</v>
      </c>
      <c r="E48" s="112">
        <v>7.35</v>
      </c>
      <c r="F48" s="112">
        <v>6.6</v>
      </c>
      <c r="G48" s="112">
        <v>101.27</v>
      </c>
      <c r="H48" s="112">
        <v>39.18</v>
      </c>
      <c r="I48" s="112">
        <v>11.51</v>
      </c>
      <c r="J48" s="112">
        <v>0.86</v>
      </c>
      <c r="K48" s="112">
        <v>51.76</v>
      </c>
      <c r="L48" s="112">
        <v>23.02</v>
      </c>
      <c r="M48" s="112">
        <v>51.25</v>
      </c>
      <c r="N48" s="112">
        <v>369</v>
      </c>
      <c r="O48" s="112">
        <v>0</v>
      </c>
      <c r="P48" s="112">
        <v>1</v>
      </c>
      <c r="Q48" s="112">
        <v>10.54</v>
      </c>
    </row>
    <row r="49" spans="1:17">
      <c r="A49" s="80">
        <v>45625.427083333336</v>
      </c>
      <c r="B49" s="112">
        <v>6.64</v>
      </c>
      <c r="C49" s="112">
        <v>22.7</v>
      </c>
      <c r="D49" s="112">
        <v>18.53</v>
      </c>
      <c r="E49" s="112">
        <v>7.53</v>
      </c>
      <c r="F49" s="112">
        <v>6.89</v>
      </c>
      <c r="G49" s="112">
        <v>101.22</v>
      </c>
      <c r="H49" s="112">
        <v>39.130000000000003</v>
      </c>
      <c r="I49" s="112">
        <v>11.46</v>
      </c>
      <c r="J49" s="112">
        <v>0.68</v>
      </c>
      <c r="K49" s="112">
        <v>61.21</v>
      </c>
      <c r="L49" s="112">
        <v>23.73</v>
      </c>
      <c r="M49" s="112">
        <v>49.47</v>
      </c>
      <c r="N49" s="112">
        <v>391.7</v>
      </c>
      <c r="O49" s="112">
        <v>0</v>
      </c>
      <c r="P49" s="112">
        <v>0.99</v>
      </c>
      <c r="Q49" s="112">
        <v>10.52</v>
      </c>
    </row>
    <row r="50" spans="1:17">
      <c r="A50" s="80">
        <v>45625.4375</v>
      </c>
      <c r="B50" s="112">
        <v>6.03</v>
      </c>
      <c r="C50" s="112">
        <v>22.47</v>
      </c>
      <c r="D50" s="112">
        <v>17.93</v>
      </c>
      <c r="E50" s="112">
        <v>8.9</v>
      </c>
      <c r="F50" s="112">
        <v>6.66</v>
      </c>
      <c r="G50" s="112">
        <v>98.77</v>
      </c>
      <c r="H50" s="112">
        <v>35.979999999999997</v>
      </c>
      <c r="I50" s="112">
        <v>11.42</v>
      </c>
      <c r="J50" s="112">
        <v>0.53</v>
      </c>
      <c r="K50" s="112">
        <v>70.37</v>
      </c>
      <c r="L50" s="112">
        <v>24.45</v>
      </c>
      <c r="M50" s="112">
        <v>47.86</v>
      </c>
      <c r="N50" s="112">
        <v>419.3</v>
      </c>
      <c r="O50" s="112">
        <v>0</v>
      </c>
      <c r="P50" s="112">
        <v>1</v>
      </c>
      <c r="Q50" s="112">
        <v>10.5</v>
      </c>
    </row>
    <row r="51" spans="1:17">
      <c r="A51" s="80">
        <v>45625.447916666664</v>
      </c>
      <c r="B51" s="112">
        <v>5.52</v>
      </c>
      <c r="C51" s="112">
        <v>22.18</v>
      </c>
      <c r="D51" s="112">
        <v>17.36</v>
      </c>
      <c r="E51" s="112">
        <v>9.09</v>
      </c>
      <c r="F51" s="112">
        <v>7.2</v>
      </c>
      <c r="G51" s="112">
        <v>98.77</v>
      </c>
      <c r="H51" s="112">
        <v>35.979999999999997</v>
      </c>
      <c r="I51" s="112">
        <v>11.31</v>
      </c>
      <c r="J51" s="112">
        <v>0.62</v>
      </c>
      <c r="K51" s="112">
        <v>84.46</v>
      </c>
      <c r="L51" s="112">
        <v>25.13</v>
      </c>
      <c r="M51" s="112">
        <v>46.42</v>
      </c>
      <c r="N51" s="112">
        <v>389.7</v>
      </c>
      <c r="O51" s="112">
        <v>0</v>
      </c>
      <c r="P51" s="112">
        <v>0.97</v>
      </c>
      <c r="Q51" s="112">
        <v>10.49</v>
      </c>
    </row>
    <row r="52" spans="1:17">
      <c r="A52" s="80">
        <v>45625.458333333336</v>
      </c>
      <c r="B52" s="112">
        <v>5.0199999999999996</v>
      </c>
      <c r="C52" s="112">
        <v>21.74</v>
      </c>
      <c r="D52" s="112">
        <v>16.73</v>
      </c>
      <c r="E52" s="112">
        <v>9.4</v>
      </c>
      <c r="F52" s="112">
        <v>7.17</v>
      </c>
      <c r="G52" s="112">
        <v>98.77</v>
      </c>
      <c r="H52" s="112">
        <v>35.979999999999997</v>
      </c>
      <c r="I52" s="112">
        <v>11.2</v>
      </c>
      <c r="J52" s="112">
        <v>0.56000000000000005</v>
      </c>
      <c r="K52" s="112">
        <v>84.86</v>
      </c>
      <c r="L52" s="112">
        <v>25.53</v>
      </c>
      <c r="M52" s="112">
        <v>45.65</v>
      </c>
      <c r="N52" s="112">
        <v>408.6</v>
      </c>
      <c r="O52" s="112">
        <v>0</v>
      </c>
      <c r="P52" s="112">
        <v>0.97</v>
      </c>
      <c r="Q52" s="112">
        <v>10.49</v>
      </c>
    </row>
    <row r="53" spans="1:17">
      <c r="A53" s="80">
        <v>45625.46875</v>
      </c>
      <c r="B53" s="112">
        <v>4.58</v>
      </c>
      <c r="C53" s="112">
        <v>21.33</v>
      </c>
      <c r="D53" s="112">
        <v>16.170000000000002</v>
      </c>
      <c r="E53" s="112">
        <v>8.8699999999999992</v>
      </c>
      <c r="F53" s="112">
        <v>7.49</v>
      </c>
      <c r="G53" s="112">
        <v>98.74</v>
      </c>
      <c r="H53" s="112">
        <v>36.01</v>
      </c>
      <c r="I53" s="112">
        <v>11.06</v>
      </c>
      <c r="J53" s="112">
        <v>0.57999999999999996</v>
      </c>
      <c r="K53" s="112">
        <v>70.64</v>
      </c>
      <c r="L53" s="112">
        <v>25.97</v>
      </c>
      <c r="M53" s="112">
        <v>44.66</v>
      </c>
      <c r="N53" s="112">
        <v>453.7</v>
      </c>
      <c r="O53" s="112">
        <v>0</v>
      </c>
      <c r="P53" s="112">
        <v>0.95</v>
      </c>
      <c r="Q53" s="112">
        <v>10.48</v>
      </c>
    </row>
    <row r="54" spans="1:17">
      <c r="A54" s="80">
        <v>45625.479166666664</v>
      </c>
      <c r="B54" s="112">
        <v>4.3099999999999996</v>
      </c>
      <c r="C54" s="112">
        <v>20.93</v>
      </c>
      <c r="D54" s="112">
        <v>15.74</v>
      </c>
      <c r="E54" s="112">
        <v>9.5</v>
      </c>
      <c r="F54" s="112">
        <v>7.8</v>
      </c>
      <c r="G54" s="112">
        <v>97.64</v>
      </c>
      <c r="H54" s="112">
        <v>38.11</v>
      </c>
      <c r="I54" s="112">
        <v>10.94</v>
      </c>
      <c r="J54" s="112">
        <v>0.62</v>
      </c>
      <c r="K54" s="112">
        <v>55.13</v>
      </c>
      <c r="L54" s="112">
        <v>26.24</v>
      </c>
      <c r="M54" s="112">
        <v>43.37</v>
      </c>
      <c r="N54" s="112">
        <v>461.9</v>
      </c>
      <c r="O54" s="112">
        <v>0</v>
      </c>
      <c r="P54" s="112">
        <v>0.96</v>
      </c>
      <c r="Q54" s="112">
        <v>10.47</v>
      </c>
    </row>
    <row r="55" spans="1:17">
      <c r="A55" s="80">
        <v>45625.489583333336</v>
      </c>
      <c r="B55" s="112">
        <v>4.1100000000000003</v>
      </c>
      <c r="C55" s="112">
        <v>20.41</v>
      </c>
      <c r="D55" s="112">
        <v>15.31</v>
      </c>
      <c r="E55" s="112">
        <v>9.4499999999999993</v>
      </c>
      <c r="F55" s="112">
        <v>10.01</v>
      </c>
      <c r="G55" s="112">
        <v>97.64</v>
      </c>
      <c r="H55" s="112">
        <v>38.11</v>
      </c>
      <c r="I55" s="112">
        <v>10.81</v>
      </c>
      <c r="J55" s="112">
        <v>0.42</v>
      </c>
      <c r="K55" s="112">
        <v>73.42</v>
      </c>
      <c r="L55" s="112">
        <v>26.62</v>
      </c>
      <c r="M55" s="112">
        <v>42.5</v>
      </c>
      <c r="N55" s="112">
        <v>456</v>
      </c>
      <c r="O55" s="112">
        <v>0</v>
      </c>
      <c r="P55" s="112">
        <v>0.95</v>
      </c>
      <c r="Q55" s="112">
        <v>10.46</v>
      </c>
    </row>
    <row r="56" spans="1:17">
      <c r="A56" s="80">
        <v>45625.5</v>
      </c>
      <c r="B56" s="112">
        <v>3.7</v>
      </c>
      <c r="C56" s="112">
        <v>20.11</v>
      </c>
      <c r="D56" s="112">
        <v>14.82</v>
      </c>
      <c r="E56" s="112">
        <v>10.31</v>
      </c>
      <c r="F56" s="112">
        <v>20.76</v>
      </c>
      <c r="G56" s="112">
        <v>97.64</v>
      </c>
      <c r="H56" s="112">
        <v>38.11</v>
      </c>
      <c r="I56" s="112">
        <v>10.71</v>
      </c>
      <c r="J56" s="112">
        <v>0.62</v>
      </c>
      <c r="K56" s="112">
        <v>48.77</v>
      </c>
      <c r="L56" s="112">
        <v>26.99</v>
      </c>
      <c r="M56" s="112">
        <v>41.47</v>
      </c>
      <c r="N56" s="112">
        <v>363.7</v>
      </c>
      <c r="O56" s="112">
        <v>0</v>
      </c>
      <c r="P56" s="112">
        <v>0.91</v>
      </c>
      <c r="Q56" s="112">
        <v>10.46</v>
      </c>
    </row>
    <row r="57" spans="1:17">
      <c r="A57" s="80">
        <v>45625.510416666664</v>
      </c>
      <c r="B57" s="112">
        <v>3.6</v>
      </c>
      <c r="C57" s="112">
        <v>19.59</v>
      </c>
      <c r="D57" s="112">
        <v>14.48</v>
      </c>
      <c r="E57" s="112">
        <v>9.8699999999999992</v>
      </c>
      <c r="F57" s="112">
        <v>20.329999999999998</v>
      </c>
      <c r="G57" s="112">
        <v>97.38</v>
      </c>
      <c r="H57" s="112">
        <v>38.03</v>
      </c>
      <c r="I57" s="112">
        <v>10.41</v>
      </c>
      <c r="J57" s="112">
        <v>0.56000000000000005</v>
      </c>
      <c r="K57" s="112">
        <v>67.16</v>
      </c>
      <c r="L57" s="112">
        <v>27.11</v>
      </c>
      <c r="M57" s="112">
        <v>41.08</v>
      </c>
      <c r="N57" s="112">
        <v>414.9</v>
      </c>
      <c r="O57" s="112">
        <v>0</v>
      </c>
      <c r="P57" s="112">
        <v>0.89</v>
      </c>
      <c r="Q57" s="112">
        <v>10.45</v>
      </c>
    </row>
    <row r="58" spans="1:17">
      <c r="A58" s="80">
        <v>45625.520833333336</v>
      </c>
      <c r="B58" s="112">
        <v>3.58</v>
      </c>
      <c r="C58" s="112">
        <v>19.440000000000001</v>
      </c>
      <c r="D58" s="112">
        <v>14.38</v>
      </c>
      <c r="E58" s="112">
        <v>10.41</v>
      </c>
      <c r="F58" s="112">
        <v>27.35</v>
      </c>
      <c r="G58" s="112">
        <v>86.24</v>
      </c>
      <c r="H58" s="112">
        <v>35.53</v>
      </c>
      <c r="I58" s="112">
        <v>9.85</v>
      </c>
      <c r="J58" s="112">
        <v>0.61</v>
      </c>
      <c r="K58" s="112">
        <v>62.75</v>
      </c>
      <c r="L58" s="112">
        <v>27.53</v>
      </c>
      <c r="M58" s="112">
        <v>39.61</v>
      </c>
      <c r="N58" s="112">
        <v>444.9</v>
      </c>
      <c r="O58" s="112">
        <v>0</v>
      </c>
      <c r="P58" s="112">
        <v>0.87</v>
      </c>
      <c r="Q58" s="112">
        <v>10.45</v>
      </c>
    </row>
    <row r="59" spans="1:17">
      <c r="A59" s="80">
        <v>45625.53125</v>
      </c>
      <c r="B59" s="112">
        <v>3.53</v>
      </c>
      <c r="C59" s="112">
        <v>20.079999999999998</v>
      </c>
      <c r="D59" s="112">
        <v>14.67</v>
      </c>
      <c r="E59" s="112">
        <v>8.99</v>
      </c>
      <c r="F59" s="112">
        <v>22.3</v>
      </c>
      <c r="G59" s="112">
        <v>86.24</v>
      </c>
      <c r="H59" s="112">
        <v>35.53</v>
      </c>
      <c r="I59" s="112">
        <v>9.34</v>
      </c>
      <c r="J59" s="112">
        <v>0.44</v>
      </c>
      <c r="K59" s="112">
        <v>64.599999999999994</v>
      </c>
      <c r="L59" s="112">
        <v>27.95</v>
      </c>
      <c r="M59" s="112">
        <v>38.979999999999997</v>
      </c>
      <c r="N59" s="112">
        <v>414.6</v>
      </c>
      <c r="O59" s="112">
        <v>0</v>
      </c>
      <c r="P59" s="112">
        <v>0.87</v>
      </c>
      <c r="Q59" s="112">
        <v>10.46</v>
      </c>
    </row>
    <row r="60" spans="1:17">
      <c r="A60" s="80">
        <v>45625.541666666664</v>
      </c>
      <c r="B60" s="112">
        <v>3.6</v>
      </c>
      <c r="C60" s="112">
        <v>19.8</v>
      </c>
      <c r="D60" s="112">
        <v>14.59</v>
      </c>
      <c r="E60" s="112">
        <v>9.31</v>
      </c>
      <c r="F60" s="112">
        <v>22.37</v>
      </c>
      <c r="G60" s="112">
        <v>86.24</v>
      </c>
      <c r="H60" s="112">
        <v>35.53</v>
      </c>
      <c r="I60" s="112">
        <v>8.82</v>
      </c>
      <c r="J60" s="112">
        <v>1.0900000000000001</v>
      </c>
      <c r="K60" s="112">
        <v>45.2</v>
      </c>
      <c r="L60" s="112">
        <v>27.51</v>
      </c>
      <c r="M60" s="112">
        <v>39.78</v>
      </c>
      <c r="N60" s="112">
        <v>407.3</v>
      </c>
      <c r="O60" s="112">
        <v>0</v>
      </c>
      <c r="P60" s="112">
        <v>0.86</v>
      </c>
      <c r="Q60" s="112">
        <v>10.48</v>
      </c>
    </row>
    <row r="61" spans="1:17">
      <c r="A61" s="80">
        <v>45625.552083333336</v>
      </c>
      <c r="B61" s="112">
        <v>3.67</v>
      </c>
      <c r="C61" s="112">
        <v>19.309999999999999</v>
      </c>
      <c r="D61" s="112">
        <v>14.38</v>
      </c>
      <c r="E61" s="112">
        <v>9.2200000000000006</v>
      </c>
      <c r="F61" s="112">
        <v>21.33</v>
      </c>
      <c r="G61" s="112">
        <v>86.17</v>
      </c>
      <c r="H61" s="112">
        <v>35.53</v>
      </c>
      <c r="I61" s="112">
        <v>8.42</v>
      </c>
      <c r="J61" s="112">
        <v>0.78</v>
      </c>
      <c r="K61" s="112">
        <v>44.91</v>
      </c>
      <c r="L61" s="112">
        <v>27.57</v>
      </c>
      <c r="M61" s="112">
        <v>40.22</v>
      </c>
      <c r="N61" s="112">
        <v>363.8</v>
      </c>
      <c r="O61" s="112">
        <v>0</v>
      </c>
      <c r="P61" s="112">
        <v>0.85</v>
      </c>
      <c r="Q61" s="112">
        <v>10.53</v>
      </c>
    </row>
    <row r="62" spans="1:17">
      <c r="A62" s="80">
        <v>45625.5625</v>
      </c>
      <c r="B62" s="112">
        <v>3.57</v>
      </c>
      <c r="C62" s="112">
        <v>19.28</v>
      </c>
      <c r="D62" s="112">
        <v>14.29</v>
      </c>
      <c r="E62" s="112">
        <v>9.7899999999999991</v>
      </c>
      <c r="F62" s="112">
        <v>27.85</v>
      </c>
      <c r="G62" s="112">
        <v>83.15</v>
      </c>
      <c r="H62" s="112">
        <v>35.53</v>
      </c>
      <c r="I62" s="112">
        <v>8.2100000000000009</v>
      </c>
      <c r="J62" s="112">
        <v>0.71</v>
      </c>
      <c r="K62" s="112">
        <v>40.659999999999997</v>
      </c>
      <c r="L62" s="112">
        <v>27.71</v>
      </c>
      <c r="M62" s="112">
        <v>39.76</v>
      </c>
      <c r="N62" s="112">
        <v>308.39999999999998</v>
      </c>
      <c r="O62" s="112">
        <v>0</v>
      </c>
      <c r="P62" s="112">
        <v>0.82</v>
      </c>
      <c r="Q62" s="112">
        <v>10.53</v>
      </c>
    </row>
    <row r="63" spans="1:17">
      <c r="A63" s="80">
        <v>45625.572916666664</v>
      </c>
      <c r="B63" s="112">
        <v>3.57</v>
      </c>
      <c r="C63" s="112">
        <v>19.25</v>
      </c>
      <c r="D63" s="112">
        <v>14.27</v>
      </c>
      <c r="E63" s="112">
        <v>9.14</v>
      </c>
      <c r="F63" s="112">
        <v>21.2</v>
      </c>
      <c r="G63" s="112">
        <v>83.15</v>
      </c>
      <c r="H63" s="112">
        <v>35.53</v>
      </c>
      <c r="I63" s="112">
        <v>7.97</v>
      </c>
      <c r="J63" s="112">
        <v>0.8</v>
      </c>
      <c r="K63" s="112">
        <v>45.12</v>
      </c>
      <c r="L63" s="112">
        <v>27.6</v>
      </c>
      <c r="M63" s="112">
        <v>40.090000000000003</v>
      </c>
      <c r="N63" s="112">
        <v>235.6</v>
      </c>
      <c r="O63" s="112">
        <v>0</v>
      </c>
      <c r="P63" s="112">
        <v>0.81</v>
      </c>
      <c r="Q63" s="112">
        <v>10.54</v>
      </c>
    </row>
    <row r="64" spans="1:17">
      <c r="A64" s="80">
        <v>45625.583333333336</v>
      </c>
      <c r="B64" s="112">
        <v>3.66</v>
      </c>
      <c r="C64" s="112">
        <v>19.420000000000002</v>
      </c>
      <c r="D64" s="112">
        <v>14.43</v>
      </c>
      <c r="E64" s="112">
        <v>9.3000000000000007</v>
      </c>
      <c r="F64" s="112">
        <v>16.21</v>
      </c>
      <c r="G64" s="112">
        <v>83.15</v>
      </c>
      <c r="H64" s="112">
        <v>35.53</v>
      </c>
      <c r="I64" s="112">
        <v>7.73</v>
      </c>
      <c r="J64" s="112">
        <v>0.84</v>
      </c>
      <c r="K64" s="112">
        <v>48.35</v>
      </c>
      <c r="L64" s="112">
        <v>27.61</v>
      </c>
      <c r="M64" s="112">
        <v>40.44</v>
      </c>
      <c r="N64" s="112">
        <v>108.9</v>
      </c>
      <c r="O64" s="112">
        <v>0</v>
      </c>
      <c r="P64" s="112">
        <v>0.79</v>
      </c>
      <c r="Q64" s="112">
        <v>10.52</v>
      </c>
    </row>
    <row r="65" spans="1:17">
      <c r="A65" s="80">
        <v>45625.59375</v>
      </c>
      <c r="B65" s="112">
        <v>3.67</v>
      </c>
      <c r="C65" s="112">
        <v>19.739999999999998</v>
      </c>
      <c r="D65" s="112">
        <v>14.61</v>
      </c>
      <c r="E65" s="112">
        <v>9.35</v>
      </c>
      <c r="F65" s="112">
        <v>18.829999999999998</v>
      </c>
      <c r="G65" s="112">
        <v>83.04</v>
      </c>
      <c r="H65" s="112">
        <v>35.49</v>
      </c>
      <c r="I65" s="112">
        <v>7.65</v>
      </c>
      <c r="J65" s="112">
        <v>0.73</v>
      </c>
      <c r="K65" s="112">
        <v>53.93</v>
      </c>
      <c r="L65" s="112">
        <v>27.75</v>
      </c>
      <c r="M65" s="112">
        <v>40.4</v>
      </c>
      <c r="N65" s="112">
        <v>93.1</v>
      </c>
      <c r="O65" s="112">
        <v>0</v>
      </c>
      <c r="P65" s="112">
        <v>0.62</v>
      </c>
      <c r="Q65" s="112">
        <v>10.52</v>
      </c>
    </row>
    <row r="66" spans="1:17">
      <c r="A66" s="80">
        <v>45625.604166666664</v>
      </c>
      <c r="B66" s="112">
        <v>3.7</v>
      </c>
      <c r="C66" s="112">
        <v>20.41</v>
      </c>
      <c r="D66" s="112">
        <v>14.98</v>
      </c>
      <c r="E66" s="112">
        <v>9.11</v>
      </c>
      <c r="F66" s="112">
        <v>16.7</v>
      </c>
      <c r="G66" s="112">
        <v>77.95</v>
      </c>
      <c r="H66" s="112">
        <v>34.06</v>
      </c>
      <c r="I66" s="112">
        <v>7.71</v>
      </c>
      <c r="J66" s="112">
        <v>0.79</v>
      </c>
      <c r="K66" s="112">
        <v>32.72</v>
      </c>
      <c r="L66" s="112">
        <v>27.71</v>
      </c>
      <c r="M66" s="112">
        <v>39.82</v>
      </c>
      <c r="N66" s="112">
        <v>83</v>
      </c>
      <c r="O66" s="112">
        <v>0</v>
      </c>
      <c r="P66" s="112">
        <v>0.66</v>
      </c>
      <c r="Q66" s="112">
        <v>10.51</v>
      </c>
    </row>
    <row r="67" spans="1:17">
      <c r="A67" s="80">
        <v>45625.614583333336</v>
      </c>
      <c r="B67" s="112">
        <v>3.73</v>
      </c>
      <c r="C67" s="112">
        <v>20.79</v>
      </c>
      <c r="D67" s="112">
        <v>15.2</v>
      </c>
      <c r="E67" s="112">
        <v>8.89</v>
      </c>
      <c r="F67" s="112">
        <v>12.93</v>
      </c>
      <c r="G67" s="112">
        <v>77.95</v>
      </c>
      <c r="H67" s="112">
        <v>34.06</v>
      </c>
      <c r="I67" s="112">
        <v>7.73</v>
      </c>
      <c r="J67" s="112">
        <v>1.1299999999999999</v>
      </c>
      <c r="K67" s="112">
        <v>46.22</v>
      </c>
      <c r="L67" s="112">
        <v>27.55</v>
      </c>
      <c r="M67" s="112">
        <v>40.42</v>
      </c>
      <c r="N67" s="112">
        <v>74.2</v>
      </c>
      <c r="O67" s="112">
        <v>0</v>
      </c>
      <c r="P67" s="112">
        <v>0.66</v>
      </c>
      <c r="Q67" s="112">
        <v>10.51</v>
      </c>
    </row>
    <row r="68" spans="1:17">
      <c r="A68" s="80">
        <v>45625.625</v>
      </c>
      <c r="B68" s="112">
        <v>3.82</v>
      </c>
      <c r="C68" s="112">
        <v>20.67</v>
      </c>
      <c r="D68" s="112">
        <v>15.21</v>
      </c>
      <c r="E68" s="112">
        <v>9.1</v>
      </c>
      <c r="F68" s="112">
        <v>14.85</v>
      </c>
      <c r="G68" s="112">
        <v>77.95</v>
      </c>
      <c r="H68" s="112">
        <v>34.06</v>
      </c>
      <c r="I68" s="112">
        <v>7.67</v>
      </c>
      <c r="J68" s="112">
        <v>0.99</v>
      </c>
      <c r="K68" s="112">
        <v>47.04</v>
      </c>
      <c r="L68" s="112">
        <v>27.39</v>
      </c>
      <c r="M68" s="112">
        <v>40.520000000000003</v>
      </c>
      <c r="N68" s="112">
        <v>65.3</v>
      </c>
      <c r="O68" s="112">
        <v>0</v>
      </c>
      <c r="P68" s="112">
        <v>0.67</v>
      </c>
      <c r="Q68" s="112">
        <v>10.49</v>
      </c>
    </row>
    <row r="69" spans="1:17">
      <c r="A69" s="80">
        <v>45625.635416666664</v>
      </c>
      <c r="B69" s="112">
        <v>3.79</v>
      </c>
      <c r="C69" s="112">
        <v>20.71</v>
      </c>
      <c r="D69" s="112">
        <v>15.21</v>
      </c>
      <c r="E69" s="112">
        <v>9.82</v>
      </c>
      <c r="F69" s="112">
        <v>17.350000000000001</v>
      </c>
      <c r="G69" s="112">
        <v>77.87</v>
      </c>
      <c r="H69" s="112">
        <v>34.03</v>
      </c>
      <c r="I69" s="112">
        <v>7.72</v>
      </c>
      <c r="J69" s="112">
        <v>0.78</v>
      </c>
      <c r="K69" s="112">
        <v>48.83</v>
      </c>
      <c r="L69" s="112">
        <v>27.48</v>
      </c>
      <c r="M69" s="112">
        <v>40.520000000000003</v>
      </c>
      <c r="N69" s="112">
        <v>63.3</v>
      </c>
      <c r="O69" s="112">
        <v>0</v>
      </c>
      <c r="P69" s="112">
        <v>0.67</v>
      </c>
      <c r="Q69" s="112">
        <v>10.51</v>
      </c>
    </row>
    <row r="70" spans="1:17">
      <c r="A70" s="80">
        <v>45625.645833333336</v>
      </c>
      <c r="B70" s="112">
        <v>3.78</v>
      </c>
      <c r="C70" s="112">
        <v>21.15</v>
      </c>
      <c r="D70" s="112">
        <v>15.43</v>
      </c>
      <c r="E70" s="112">
        <v>9.6</v>
      </c>
      <c r="F70" s="112">
        <v>17.559999999999999</v>
      </c>
      <c r="G70" s="112">
        <v>74.23</v>
      </c>
      <c r="H70" s="112">
        <v>32.4</v>
      </c>
      <c r="I70" s="112">
        <v>7.71</v>
      </c>
      <c r="J70" s="112">
        <v>0.7</v>
      </c>
      <c r="K70" s="112">
        <v>49.49</v>
      </c>
      <c r="L70" s="112">
        <v>27.41</v>
      </c>
      <c r="M70" s="112">
        <v>40.590000000000003</v>
      </c>
      <c r="N70" s="112">
        <v>51.2</v>
      </c>
      <c r="O70" s="112">
        <v>0</v>
      </c>
      <c r="P70" s="112">
        <v>0.67</v>
      </c>
      <c r="Q70" s="112">
        <v>10.48</v>
      </c>
    </row>
    <row r="71" spans="1:17">
      <c r="A71" s="80">
        <v>45625.65625</v>
      </c>
      <c r="B71" s="112">
        <v>3.77</v>
      </c>
      <c r="C71" s="112">
        <v>21.32</v>
      </c>
      <c r="D71" s="112">
        <v>15.52</v>
      </c>
      <c r="E71" s="112">
        <v>9.75</v>
      </c>
      <c r="F71" s="112">
        <v>17</v>
      </c>
      <c r="G71" s="112">
        <v>74.23</v>
      </c>
      <c r="H71" s="112">
        <v>32.4</v>
      </c>
      <c r="I71" s="112">
        <v>7.6</v>
      </c>
      <c r="J71" s="112">
        <v>1.02</v>
      </c>
      <c r="K71" s="112">
        <v>45.52</v>
      </c>
      <c r="L71" s="112">
        <v>27.23</v>
      </c>
      <c r="M71" s="112">
        <v>41.07</v>
      </c>
      <c r="N71" s="112">
        <v>42.7</v>
      </c>
      <c r="O71" s="112">
        <v>0</v>
      </c>
      <c r="P71" s="112">
        <v>0.67</v>
      </c>
      <c r="Q71" s="112">
        <v>10.49</v>
      </c>
    </row>
    <row r="72" spans="1:17">
      <c r="A72" s="80">
        <v>45625.666666666664</v>
      </c>
      <c r="B72" s="112">
        <v>3.83</v>
      </c>
      <c r="C72" s="112">
        <v>21.88</v>
      </c>
      <c r="D72" s="112">
        <v>15.85</v>
      </c>
      <c r="E72" s="112">
        <v>9.8800000000000008</v>
      </c>
      <c r="F72" s="112">
        <v>17.79</v>
      </c>
      <c r="G72" s="112">
        <v>74.23</v>
      </c>
      <c r="H72" s="112">
        <v>32.4</v>
      </c>
      <c r="I72" s="112">
        <v>7.48</v>
      </c>
      <c r="J72" s="112">
        <v>1.02</v>
      </c>
      <c r="K72" s="112">
        <v>45.4</v>
      </c>
      <c r="L72" s="112">
        <v>27.05</v>
      </c>
      <c r="M72" s="112">
        <v>41.27</v>
      </c>
      <c r="N72" s="112">
        <v>34.200000000000003</v>
      </c>
      <c r="O72" s="112">
        <v>0</v>
      </c>
      <c r="P72" s="112">
        <v>0.68</v>
      </c>
      <c r="Q72" s="112">
        <v>10.49</v>
      </c>
    </row>
    <row r="73" spans="1:17">
      <c r="A73" s="80">
        <v>45625.677083333336</v>
      </c>
      <c r="B73" s="112">
        <v>3.94</v>
      </c>
      <c r="C73" s="112">
        <v>22.94</v>
      </c>
      <c r="D73" s="112">
        <v>16.5</v>
      </c>
      <c r="E73" s="112">
        <v>9.5399999999999991</v>
      </c>
      <c r="F73" s="112">
        <v>14.02</v>
      </c>
      <c r="G73" s="112">
        <v>74.23</v>
      </c>
      <c r="H73" s="112">
        <v>32.32</v>
      </c>
      <c r="I73" s="112">
        <v>7.38</v>
      </c>
      <c r="J73" s="112">
        <v>0.76</v>
      </c>
      <c r="K73" s="112">
        <v>50.25</v>
      </c>
      <c r="L73" s="112">
        <v>26.8</v>
      </c>
      <c r="M73" s="112">
        <v>42.3</v>
      </c>
      <c r="N73" s="112">
        <v>26.6</v>
      </c>
      <c r="O73" s="112">
        <v>0</v>
      </c>
      <c r="P73" s="112">
        <v>0.69</v>
      </c>
      <c r="Q73" s="112">
        <v>10.5</v>
      </c>
    </row>
    <row r="74" spans="1:17">
      <c r="A74" s="80">
        <v>45625.6875</v>
      </c>
      <c r="B74" s="112">
        <v>3.9</v>
      </c>
      <c r="C74" s="112">
        <v>23.6</v>
      </c>
      <c r="D74" s="112">
        <v>16.809999999999999</v>
      </c>
      <c r="E74" s="112">
        <v>9.74</v>
      </c>
      <c r="F74" s="112">
        <v>12.48</v>
      </c>
      <c r="G74" s="112">
        <v>74.31</v>
      </c>
      <c r="H74" s="112">
        <v>29.82</v>
      </c>
      <c r="I74" s="112">
        <v>7.35</v>
      </c>
      <c r="J74" s="112">
        <v>0.51</v>
      </c>
      <c r="K74" s="112">
        <v>57.61</v>
      </c>
      <c r="L74" s="112">
        <v>26.49</v>
      </c>
      <c r="M74" s="112">
        <v>43.48</v>
      </c>
      <c r="N74" s="112">
        <v>19.3</v>
      </c>
      <c r="O74" s="112">
        <v>0</v>
      </c>
      <c r="P74" s="112">
        <v>0.69</v>
      </c>
      <c r="Q74" s="112">
        <v>10.5</v>
      </c>
    </row>
    <row r="75" spans="1:17">
      <c r="A75" s="80">
        <v>45625.697916666664</v>
      </c>
      <c r="B75" s="112">
        <v>3.84</v>
      </c>
      <c r="C75" s="112">
        <v>23.69</v>
      </c>
      <c r="D75" s="112">
        <v>16.8</v>
      </c>
      <c r="E75" s="112">
        <v>9.61</v>
      </c>
      <c r="F75" s="112">
        <v>13.43</v>
      </c>
      <c r="G75" s="112">
        <v>74.31</v>
      </c>
      <c r="H75" s="112">
        <v>29.82</v>
      </c>
      <c r="I75" s="112">
        <v>7.35</v>
      </c>
      <c r="J75" s="112">
        <v>0.43</v>
      </c>
      <c r="K75" s="112">
        <v>57.92</v>
      </c>
      <c r="L75" s="112">
        <v>26.14</v>
      </c>
      <c r="M75" s="112">
        <v>44.81</v>
      </c>
      <c r="N75" s="112">
        <v>12.4</v>
      </c>
      <c r="O75" s="112">
        <v>0</v>
      </c>
      <c r="P75" s="112">
        <v>0.68</v>
      </c>
      <c r="Q75" s="112">
        <v>10.5</v>
      </c>
    </row>
    <row r="76" spans="1:17">
      <c r="A76" s="80">
        <v>45625.708333333336</v>
      </c>
      <c r="B76" s="112">
        <v>3.73</v>
      </c>
      <c r="C76" s="112">
        <v>23.73</v>
      </c>
      <c r="D76" s="112">
        <v>16.739999999999998</v>
      </c>
      <c r="E76" s="112">
        <v>9.15</v>
      </c>
      <c r="F76" s="112">
        <v>11.85</v>
      </c>
      <c r="G76" s="112">
        <v>74.31</v>
      </c>
      <c r="H76" s="112">
        <v>29.82</v>
      </c>
      <c r="I76" s="112">
        <v>7.33</v>
      </c>
      <c r="J76" s="112">
        <v>0.49</v>
      </c>
      <c r="K76" s="112">
        <v>58.88</v>
      </c>
      <c r="L76" s="112">
        <v>25.68</v>
      </c>
      <c r="M76" s="112">
        <v>46.28</v>
      </c>
      <c r="N76" s="112">
        <v>6.3</v>
      </c>
      <c r="O76" s="112">
        <v>0</v>
      </c>
      <c r="P76" s="112">
        <v>0.68</v>
      </c>
      <c r="Q76" s="112">
        <v>10.49</v>
      </c>
    </row>
    <row r="77" spans="1:17">
      <c r="A77" s="80">
        <v>45625.71875</v>
      </c>
      <c r="B77" s="112">
        <v>3.89</v>
      </c>
      <c r="C77" s="112">
        <v>23.94</v>
      </c>
      <c r="D77" s="112">
        <v>16.98</v>
      </c>
      <c r="E77" s="112">
        <v>8.9700000000000006</v>
      </c>
      <c r="F77" s="112">
        <v>8.5</v>
      </c>
      <c r="G77" s="112">
        <v>74.33</v>
      </c>
      <c r="H77" s="112">
        <v>29.83</v>
      </c>
      <c r="I77" s="112">
        <v>7.26</v>
      </c>
      <c r="J77" s="112">
        <v>0.4</v>
      </c>
      <c r="K77" s="112">
        <v>51.48</v>
      </c>
      <c r="L77" s="112">
        <v>25.21</v>
      </c>
      <c r="M77" s="112">
        <v>48.02</v>
      </c>
      <c r="N77" s="112">
        <v>3</v>
      </c>
      <c r="O77" s="112">
        <v>0</v>
      </c>
      <c r="P77" s="112">
        <v>0.7</v>
      </c>
      <c r="Q77" s="112">
        <v>10.46</v>
      </c>
    </row>
    <row r="78" spans="1:17">
      <c r="A78" s="80">
        <v>45625.729166666664</v>
      </c>
      <c r="B78" s="112">
        <v>4.2</v>
      </c>
      <c r="C78" s="112">
        <v>24.22</v>
      </c>
      <c r="D78" s="112">
        <v>17.38</v>
      </c>
      <c r="E78" s="112">
        <v>8.91</v>
      </c>
      <c r="F78" s="112">
        <v>6.81</v>
      </c>
      <c r="G78" s="112">
        <v>74.849999999999994</v>
      </c>
      <c r="H78" s="112">
        <v>30.5</v>
      </c>
      <c r="I78" s="112">
        <v>7.22</v>
      </c>
      <c r="J78" s="112">
        <v>0.26</v>
      </c>
      <c r="K78" s="112">
        <v>63.03</v>
      </c>
      <c r="L78" s="112">
        <v>24.63</v>
      </c>
      <c r="M78" s="112">
        <v>51.28</v>
      </c>
      <c r="N78" s="112">
        <v>2.1</v>
      </c>
      <c r="O78" s="112">
        <v>0</v>
      </c>
      <c r="P78" s="112">
        <v>0.71</v>
      </c>
      <c r="Q78" s="112">
        <v>10.46</v>
      </c>
    </row>
    <row r="79" spans="1:17">
      <c r="A79" s="80">
        <v>45625.739583333336</v>
      </c>
      <c r="B79" s="112">
        <v>4.62</v>
      </c>
      <c r="C79" s="112">
        <v>24.39</v>
      </c>
      <c r="D79" s="112">
        <v>17.8</v>
      </c>
      <c r="E79" s="112">
        <v>9.43</v>
      </c>
      <c r="F79" s="112">
        <v>6.22</v>
      </c>
      <c r="G79" s="112">
        <v>74.849999999999994</v>
      </c>
      <c r="H79" s="112">
        <v>30.5</v>
      </c>
      <c r="I79" s="112">
        <v>7.32</v>
      </c>
      <c r="J79" s="112">
        <v>0.28999999999999998</v>
      </c>
      <c r="K79" s="112">
        <v>52.67</v>
      </c>
      <c r="L79" s="112">
        <v>23.99</v>
      </c>
      <c r="M79" s="112">
        <v>53.71</v>
      </c>
      <c r="N79" s="112">
        <v>1.9</v>
      </c>
      <c r="O79" s="112">
        <v>0</v>
      </c>
      <c r="P79" s="112">
        <v>0.73</v>
      </c>
      <c r="Q79" s="112">
        <v>10.44</v>
      </c>
    </row>
    <row r="80" spans="1:17">
      <c r="A80" s="80">
        <v>45625.75</v>
      </c>
      <c r="B80" s="112">
        <v>5.03</v>
      </c>
      <c r="C80" s="112">
        <v>24.46</v>
      </c>
      <c r="D80" s="112">
        <v>18.16</v>
      </c>
      <c r="E80" s="112">
        <v>9.33</v>
      </c>
      <c r="F80" s="112">
        <v>6.24</v>
      </c>
      <c r="G80" s="112">
        <v>74.849999999999994</v>
      </c>
      <c r="H80" s="112">
        <v>30.5</v>
      </c>
      <c r="I80" s="112">
        <v>7.49</v>
      </c>
      <c r="J80" s="112">
        <v>0.13</v>
      </c>
      <c r="K80" s="112">
        <v>108.74</v>
      </c>
      <c r="L80" s="112">
        <v>23.45</v>
      </c>
      <c r="M80" s="112">
        <v>57.5</v>
      </c>
      <c r="N80" s="112">
        <v>2.1</v>
      </c>
      <c r="O80" s="112">
        <v>0</v>
      </c>
      <c r="P80" s="112">
        <v>0.74</v>
      </c>
      <c r="Q80" s="112">
        <v>10.42</v>
      </c>
    </row>
    <row r="81" spans="1:17">
      <c r="A81" s="80">
        <v>45625.760416666664</v>
      </c>
      <c r="B81" s="112">
        <v>5.31</v>
      </c>
      <c r="C81" s="112">
        <v>24.23</v>
      </c>
      <c r="D81" s="112">
        <v>18.27</v>
      </c>
      <c r="E81" s="112">
        <v>7.84</v>
      </c>
      <c r="F81" s="112">
        <v>6.12</v>
      </c>
      <c r="G81" s="112">
        <v>75.099999999999994</v>
      </c>
      <c r="H81" s="112">
        <v>30.49</v>
      </c>
      <c r="I81" s="112">
        <v>7.64</v>
      </c>
      <c r="J81" s="112">
        <v>0.14000000000000001</v>
      </c>
      <c r="K81" s="112">
        <v>82.7</v>
      </c>
      <c r="L81" s="112">
        <v>22.95</v>
      </c>
      <c r="M81" s="112">
        <v>58.72</v>
      </c>
      <c r="N81" s="112">
        <v>1.8</v>
      </c>
      <c r="O81" s="112">
        <v>0</v>
      </c>
      <c r="P81" s="112">
        <v>0.75</v>
      </c>
      <c r="Q81" s="112">
        <v>10.44</v>
      </c>
    </row>
    <row r="82" spans="1:17">
      <c r="A82" s="80">
        <v>45625.770833333336</v>
      </c>
      <c r="B82" s="112">
        <v>5.58</v>
      </c>
      <c r="C82" s="112">
        <v>24.03</v>
      </c>
      <c r="D82" s="112">
        <v>18.38</v>
      </c>
      <c r="E82" s="112">
        <v>8.8699999999999992</v>
      </c>
      <c r="F82" s="112">
        <v>5.79</v>
      </c>
      <c r="G82" s="112">
        <v>86.05</v>
      </c>
      <c r="H82" s="112">
        <v>30.12</v>
      </c>
      <c r="I82" s="112">
        <v>7.76</v>
      </c>
      <c r="J82" s="112">
        <v>0.33</v>
      </c>
      <c r="K82" s="112">
        <v>52.49</v>
      </c>
      <c r="L82" s="112">
        <v>22.81</v>
      </c>
      <c r="M82" s="112">
        <v>58.31</v>
      </c>
      <c r="N82" s="112">
        <v>1.5</v>
      </c>
      <c r="O82" s="112">
        <v>0</v>
      </c>
      <c r="P82" s="112">
        <v>0.77</v>
      </c>
      <c r="Q82" s="112">
        <v>10.43</v>
      </c>
    </row>
    <row r="83" spans="1:17">
      <c r="A83" s="80">
        <v>45625.78125</v>
      </c>
      <c r="B83" s="112">
        <v>6.09</v>
      </c>
      <c r="C83" s="112">
        <v>23.98</v>
      </c>
      <c r="D83" s="112">
        <v>18.77</v>
      </c>
      <c r="E83" s="112">
        <v>8.7200000000000006</v>
      </c>
      <c r="F83" s="112">
        <v>5.65</v>
      </c>
      <c r="G83" s="112">
        <v>86.05</v>
      </c>
      <c r="H83" s="112">
        <v>30.12</v>
      </c>
      <c r="I83" s="112">
        <v>7.88</v>
      </c>
      <c r="J83" s="112">
        <v>0.63</v>
      </c>
      <c r="K83" s="112">
        <v>50.66</v>
      </c>
      <c r="L83" s="112">
        <v>23.1</v>
      </c>
      <c r="M83" s="112">
        <v>55.98</v>
      </c>
      <c r="N83" s="112">
        <v>1.3</v>
      </c>
      <c r="O83" s="112">
        <v>0</v>
      </c>
      <c r="P83" s="112">
        <v>0.79</v>
      </c>
      <c r="Q83" s="112">
        <v>10.43</v>
      </c>
    </row>
    <row r="84" spans="1:17">
      <c r="A84" s="80">
        <v>45625.791666666664</v>
      </c>
      <c r="B84" s="112">
        <v>6.67</v>
      </c>
      <c r="C84" s="112">
        <v>23.96</v>
      </c>
      <c r="D84" s="112">
        <v>19.22</v>
      </c>
      <c r="E84" s="112">
        <v>9.59</v>
      </c>
      <c r="F84" s="112">
        <v>5.86</v>
      </c>
      <c r="G84" s="112">
        <v>86.05</v>
      </c>
      <c r="H84" s="112">
        <v>30.12</v>
      </c>
      <c r="I84" s="112">
        <v>8.0299999999999994</v>
      </c>
      <c r="J84" s="112">
        <v>0.68</v>
      </c>
      <c r="K84" s="112">
        <v>48.8</v>
      </c>
      <c r="L84" s="112">
        <v>23</v>
      </c>
      <c r="M84" s="112">
        <v>56.6</v>
      </c>
      <c r="N84" s="112">
        <v>1.6</v>
      </c>
      <c r="O84" s="112">
        <v>0</v>
      </c>
      <c r="P84" s="112">
        <v>0.81</v>
      </c>
      <c r="Q84" s="112">
        <v>10.43</v>
      </c>
    </row>
    <row r="85" spans="1:17">
      <c r="A85" s="80">
        <v>45625.802083333336</v>
      </c>
      <c r="B85" s="112">
        <v>7.11</v>
      </c>
      <c r="C85" s="112">
        <v>23.87</v>
      </c>
      <c r="D85" s="112">
        <v>19.52</v>
      </c>
      <c r="E85" s="112">
        <v>9.6300000000000008</v>
      </c>
      <c r="F85" s="112">
        <v>6.09</v>
      </c>
      <c r="G85" s="112">
        <v>86.38</v>
      </c>
      <c r="H85" s="112">
        <v>30.13</v>
      </c>
      <c r="I85" s="112">
        <v>8.25</v>
      </c>
      <c r="J85" s="112">
        <v>0.57999999999999996</v>
      </c>
      <c r="K85" s="112">
        <v>53.05</v>
      </c>
      <c r="L85" s="112">
        <v>22.76</v>
      </c>
      <c r="M85" s="112">
        <v>57.63</v>
      </c>
      <c r="N85" s="112">
        <v>1.8</v>
      </c>
      <c r="O85" s="112">
        <v>0</v>
      </c>
      <c r="P85" s="112">
        <v>0.83</v>
      </c>
      <c r="Q85" s="112">
        <v>10.42</v>
      </c>
    </row>
    <row r="86" spans="1:17">
      <c r="A86" s="80">
        <v>45625.8125</v>
      </c>
      <c r="B86" s="112">
        <v>7.55</v>
      </c>
      <c r="C86" s="112">
        <v>23.98</v>
      </c>
      <c r="D86" s="112">
        <v>19.93</v>
      </c>
      <c r="E86" s="112">
        <v>9.52</v>
      </c>
      <c r="F86" s="112">
        <v>5.93</v>
      </c>
      <c r="G86" s="112">
        <v>101</v>
      </c>
      <c r="H86" s="112">
        <v>30.25</v>
      </c>
      <c r="I86" s="112">
        <v>8.48</v>
      </c>
      <c r="J86" s="112">
        <v>0.49</v>
      </c>
      <c r="K86" s="112">
        <v>52.55</v>
      </c>
      <c r="L86" s="112">
        <v>22.49</v>
      </c>
      <c r="M86" s="112">
        <v>58.22</v>
      </c>
      <c r="N86" s="112">
        <v>1.7</v>
      </c>
      <c r="O86" s="112">
        <v>0</v>
      </c>
      <c r="P86" s="112">
        <v>0.85</v>
      </c>
      <c r="Q86" s="112">
        <v>10.41</v>
      </c>
    </row>
    <row r="87" spans="1:17">
      <c r="A87" s="80">
        <v>45625.822916666664</v>
      </c>
      <c r="B87" s="112">
        <v>8.02</v>
      </c>
      <c r="C87" s="112">
        <v>23.81</v>
      </c>
      <c r="D87" s="112">
        <v>20.23</v>
      </c>
      <c r="E87" s="112">
        <v>8.99</v>
      </c>
      <c r="F87" s="112">
        <v>5.14</v>
      </c>
      <c r="G87" s="112">
        <v>101</v>
      </c>
      <c r="H87" s="112">
        <v>30.25</v>
      </c>
      <c r="I87" s="112">
        <v>8.69</v>
      </c>
      <c r="J87" s="112">
        <v>0.39</v>
      </c>
      <c r="K87" s="112">
        <v>54.61</v>
      </c>
      <c r="L87" s="112">
        <v>22.34</v>
      </c>
      <c r="M87" s="112">
        <v>58.06</v>
      </c>
      <c r="N87" s="112">
        <v>1.6</v>
      </c>
      <c r="O87" s="112">
        <v>0</v>
      </c>
      <c r="P87" s="112">
        <v>0.87</v>
      </c>
      <c r="Q87" s="112">
        <v>10.4</v>
      </c>
    </row>
    <row r="88" spans="1:17">
      <c r="A88" s="80">
        <v>45625.833333333336</v>
      </c>
      <c r="B88" s="112">
        <v>8.57</v>
      </c>
      <c r="C88" s="112">
        <v>23.76</v>
      </c>
      <c r="D88" s="112">
        <v>20.64</v>
      </c>
      <c r="E88" s="112">
        <v>9.6199999999999992</v>
      </c>
      <c r="F88" s="112">
        <v>5.87</v>
      </c>
      <c r="G88" s="112">
        <v>101</v>
      </c>
      <c r="H88" s="112">
        <v>30.25</v>
      </c>
      <c r="I88" s="112">
        <v>8.93</v>
      </c>
      <c r="J88" s="112">
        <v>0.31</v>
      </c>
      <c r="K88" s="112">
        <v>53</v>
      </c>
      <c r="L88" s="112">
        <v>22.32</v>
      </c>
      <c r="M88" s="112">
        <v>57.93</v>
      </c>
      <c r="N88" s="112">
        <v>1.8</v>
      </c>
      <c r="O88" s="112">
        <v>0</v>
      </c>
      <c r="P88" s="112">
        <v>0.89</v>
      </c>
      <c r="Q88" s="112">
        <v>10.42</v>
      </c>
    </row>
    <row r="89" spans="1:17">
      <c r="A89" s="80">
        <v>45625.84375</v>
      </c>
      <c r="B89" s="112">
        <v>9</v>
      </c>
      <c r="C89" s="112">
        <v>23.91</v>
      </c>
      <c r="D89" s="112">
        <v>21.06</v>
      </c>
      <c r="E89" s="112">
        <v>9.5299999999999994</v>
      </c>
      <c r="F89" s="112">
        <v>6.02</v>
      </c>
      <c r="G89" s="112">
        <v>101.34</v>
      </c>
      <c r="H89" s="112">
        <v>30.47</v>
      </c>
      <c r="I89" s="112">
        <v>9.17</v>
      </c>
      <c r="J89" s="112">
        <v>0.38</v>
      </c>
      <c r="K89" s="112">
        <v>52.58</v>
      </c>
      <c r="L89" s="112">
        <v>22.32</v>
      </c>
      <c r="M89" s="112">
        <v>57.22</v>
      </c>
      <c r="N89" s="112">
        <v>2.1</v>
      </c>
      <c r="O89" s="112">
        <v>0</v>
      </c>
      <c r="P89" s="112">
        <v>0.91</v>
      </c>
      <c r="Q89" s="112">
        <v>10.41</v>
      </c>
    </row>
    <row r="90" spans="1:17">
      <c r="A90" s="80">
        <v>45625.854166666664</v>
      </c>
      <c r="B90" s="112">
        <v>9.16</v>
      </c>
      <c r="C90" s="112">
        <v>23.65</v>
      </c>
      <c r="D90" s="112">
        <v>21.06</v>
      </c>
      <c r="E90" s="112">
        <v>9.82</v>
      </c>
      <c r="F90" s="112">
        <v>5.65</v>
      </c>
      <c r="G90" s="112">
        <v>115.93</v>
      </c>
      <c r="H90" s="112">
        <v>37.47</v>
      </c>
      <c r="I90" s="112">
        <v>9.4</v>
      </c>
      <c r="J90" s="112">
        <v>0.55000000000000004</v>
      </c>
      <c r="K90" s="112">
        <v>53.2</v>
      </c>
      <c r="L90" s="112">
        <v>22.3</v>
      </c>
      <c r="M90" s="112">
        <v>56.02</v>
      </c>
      <c r="N90" s="112">
        <v>1.9</v>
      </c>
      <c r="O90" s="112">
        <v>0</v>
      </c>
      <c r="P90" s="112">
        <v>0.92</v>
      </c>
      <c r="Q90" s="112">
        <v>10.39</v>
      </c>
    </row>
    <row r="91" spans="1:17">
      <c r="A91" s="80">
        <v>45625.864583333336</v>
      </c>
      <c r="B91" s="112">
        <v>9.2200000000000006</v>
      </c>
      <c r="C91" s="112">
        <v>23.41</v>
      </c>
      <c r="D91" s="112">
        <v>20.98</v>
      </c>
      <c r="E91" s="112">
        <v>9.9</v>
      </c>
      <c r="F91" s="112">
        <v>5.84</v>
      </c>
      <c r="G91" s="112">
        <v>115.93</v>
      </c>
      <c r="H91" s="112">
        <v>37.47</v>
      </c>
      <c r="I91" s="112">
        <v>9.58</v>
      </c>
      <c r="J91" s="112">
        <v>0.64</v>
      </c>
      <c r="K91" s="112">
        <v>46.43</v>
      </c>
      <c r="L91" s="112">
        <v>22.03</v>
      </c>
      <c r="M91" s="112">
        <v>56.41</v>
      </c>
      <c r="N91" s="112">
        <v>2</v>
      </c>
      <c r="O91" s="112">
        <v>0</v>
      </c>
      <c r="P91" s="112">
        <v>0.92</v>
      </c>
      <c r="Q91" s="112">
        <v>10.38</v>
      </c>
    </row>
    <row r="92" spans="1:17">
      <c r="A92" s="80">
        <v>45625.875</v>
      </c>
      <c r="B92" s="112">
        <v>9.2799999999999994</v>
      </c>
      <c r="C92" s="112">
        <v>23.31</v>
      </c>
      <c r="D92" s="112">
        <v>20.97</v>
      </c>
      <c r="E92" s="112">
        <v>9.9700000000000006</v>
      </c>
      <c r="F92" s="112">
        <v>6.12</v>
      </c>
      <c r="G92" s="112">
        <v>115.93</v>
      </c>
      <c r="H92" s="112">
        <v>37.47</v>
      </c>
      <c r="I92" s="112">
        <v>9.6999999999999993</v>
      </c>
      <c r="J92" s="112">
        <v>0.71</v>
      </c>
      <c r="K92" s="112">
        <v>50.98</v>
      </c>
      <c r="L92" s="112">
        <v>21.88</v>
      </c>
      <c r="M92" s="112">
        <v>56.27</v>
      </c>
      <c r="N92" s="112">
        <v>2</v>
      </c>
      <c r="O92" s="112">
        <v>0</v>
      </c>
      <c r="P92" s="112">
        <v>0.93</v>
      </c>
      <c r="Q92" s="112">
        <v>10.39</v>
      </c>
    </row>
    <row r="93" spans="1:17">
      <c r="A93" s="80">
        <v>45625.885416666664</v>
      </c>
      <c r="B93" s="112">
        <v>9.2200000000000006</v>
      </c>
      <c r="C93" s="112">
        <v>23.2</v>
      </c>
      <c r="D93" s="112">
        <v>20.87</v>
      </c>
      <c r="E93" s="112">
        <v>9.9499999999999993</v>
      </c>
      <c r="F93" s="112">
        <v>5.88</v>
      </c>
      <c r="G93" s="112">
        <v>115.98</v>
      </c>
      <c r="H93" s="112">
        <v>37.44</v>
      </c>
      <c r="I93" s="112">
        <v>9.77</v>
      </c>
      <c r="J93" s="112">
        <v>0.67</v>
      </c>
      <c r="K93" s="112">
        <v>45.59</v>
      </c>
      <c r="L93" s="112">
        <v>21.76</v>
      </c>
      <c r="M93" s="112">
        <v>56.22</v>
      </c>
      <c r="N93" s="112">
        <v>2</v>
      </c>
      <c r="O93" s="112">
        <v>0</v>
      </c>
      <c r="P93" s="112">
        <v>0.93</v>
      </c>
      <c r="Q93" s="112">
        <v>10.41</v>
      </c>
    </row>
    <row r="94" spans="1:17">
      <c r="A94" s="80">
        <v>45625.895833333336</v>
      </c>
      <c r="B94" s="112">
        <v>9.23</v>
      </c>
      <c r="C94" s="112">
        <v>23.17</v>
      </c>
      <c r="D94" s="112">
        <v>20.86</v>
      </c>
      <c r="E94" s="112">
        <v>10.09</v>
      </c>
      <c r="F94" s="112">
        <v>5.8</v>
      </c>
      <c r="G94" s="112">
        <v>118.09</v>
      </c>
      <c r="H94" s="112">
        <v>36.479999999999997</v>
      </c>
      <c r="I94" s="112">
        <v>9.83</v>
      </c>
      <c r="J94" s="112">
        <v>0.56999999999999995</v>
      </c>
      <c r="K94" s="112">
        <v>41.37</v>
      </c>
      <c r="L94" s="112">
        <v>21.48</v>
      </c>
      <c r="M94" s="112">
        <v>57.27</v>
      </c>
      <c r="N94" s="112">
        <v>1.9</v>
      </c>
      <c r="O94" s="112">
        <v>0</v>
      </c>
      <c r="P94" s="112">
        <v>0.93</v>
      </c>
      <c r="Q94" s="112">
        <v>10.4</v>
      </c>
    </row>
    <row r="95" spans="1:17">
      <c r="A95" s="80">
        <v>45625.90625</v>
      </c>
      <c r="B95" s="112">
        <v>9.4700000000000006</v>
      </c>
      <c r="C95" s="112">
        <v>23.14</v>
      </c>
      <c r="D95" s="112">
        <v>21.03</v>
      </c>
      <c r="E95" s="112">
        <v>9.9700000000000006</v>
      </c>
      <c r="F95" s="112">
        <v>4.43</v>
      </c>
      <c r="G95" s="112">
        <v>118.09</v>
      </c>
      <c r="H95" s="112">
        <v>36.479999999999997</v>
      </c>
      <c r="I95" s="112">
        <v>9.83</v>
      </c>
      <c r="J95" s="112">
        <v>0.59</v>
      </c>
      <c r="K95" s="112">
        <v>50.7</v>
      </c>
      <c r="L95" s="112">
        <v>21.53</v>
      </c>
      <c r="M95" s="112">
        <v>57.16</v>
      </c>
      <c r="N95" s="112">
        <v>2</v>
      </c>
      <c r="O95" s="112">
        <v>0</v>
      </c>
      <c r="P95" s="112">
        <v>0.93</v>
      </c>
      <c r="Q95" s="112">
        <v>10.37</v>
      </c>
    </row>
    <row r="96" spans="1:17">
      <c r="A96" s="80">
        <v>45625.916666666664</v>
      </c>
      <c r="B96" s="112">
        <v>9.59</v>
      </c>
      <c r="C96" s="112">
        <v>23.08</v>
      </c>
      <c r="D96" s="112">
        <v>21.1</v>
      </c>
      <c r="E96" s="112">
        <v>10.08</v>
      </c>
      <c r="F96" s="112">
        <v>5.16</v>
      </c>
      <c r="G96" s="112">
        <v>118.09</v>
      </c>
      <c r="H96" s="112">
        <v>36.479999999999997</v>
      </c>
      <c r="I96" s="112">
        <v>9.82</v>
      </c>
      <c r="J96" s="112">
        <v>0.61</v>
      </c>
      <c r="K96" s="112">
        <v>45.51</v>
      </c>
      <c r="L96" s="112">
        <v>21.41</v>
      </c>
      <c r="M96" s="112">
        <v>57.8</v>
      </c>
      <c r="N96" s="112">
        <v>2.1</v>
      </c>
      <c r="O96" s="112">
        <v>0</v>
      </c>
      <c r="P96" s="112">
        <v>0.94</v>
      </c>
      <c r="Q96" s="112">
        <v>10.37</v>
      </c>
    </row>
    <row r="97" spans="1:21">
      <c r="A97" s="80">
        <v>45625.927083333336</v>
      </c>
      <c r="B97" s="112">
        <v>9.81</v>
      </c>
      <c r="C97" s="112">
        <v>23.02</v>
      </c>
      <c r="D97" s="112">
        <v>21.25</v>
      </c>
      <c r="E97" s="112">
        <v>10.53</v>
      </c>
      <c r="F97" s="112">
        <v>5.6</v>
      </c>
      <c r="G97" s="112">
        <v>117.78</v>
      </c>
      <c r="H97" s="112">
        <v>36.44</v>
      </c>
      <c r="I97" s="112">
        <v>9.82</v>
      </c>
      <c r="J97" s="112">
        <v>0.4</v>
      </c>
      <c r="K97" s="112">
        <v>48.58</v>
      </c>
      <c r="L97" s="112">
        <v>21.32</v>
      </c>
      <c r="M97" s="112">
        <v>57.97</v>
      </c>
      <c r="N97" s="112">
        <v>2.1</v>
      </c>
      <c r="O97" s="112">
        <v>0</v>
      </c>
      <c r="P97" s="112">
        <v>0.94</v>
      </c>
      <c r="Q97" s="112">
        <v>10.37</v>
      </c>
    </row>
    <row r="98" spans="1:21">
      <c r="A98" s="80">
        <v>45625.9375</v>
      </c>
      <c r="B98" s="112">
        <v>9.7799999999999994</v>
      </c>
      <c r="C98" s="112">
        <v>22.57</v>
      </c>
      <c r="D98" s="112">
        <v>20.99</v>
      </c>
      <c r="E98" s="112">
        <v>9.89</v>
      </c>
      <c r="F98" s="112">
        <v>5.62</v>
      </c>
      <c r="G98" s="112">
        <v>103.95</v>
      </c>
      <c r="H98" s="112">
        <v>34.33</v>
      </c>
      <c r="I98" s="112">
        <v>9.84</v>
      </c>
      <c r="J98" s="112">
        <v>0.33</v>
      </c>
      <c r="K98" s="112">
        <v>63.19</v>
      </c>
      <c r="L98" s="112">
        <v>21.21</v>
      </c>
      <c r="M98" s="112">
        <v>58.89</v>
      </c>
      <c r="N98" s="112">
        <v>2</v>
      </c>
      <c r="O98" s="112">
        <v>0</v>
      </c>
      <c r="P98" s="112">
        <v>0.95</v>
      </c>
      <c r="Q98" s="112">
        <v>10.38</v>
      </c>
    </row>
    <row r="99" spans="1:21">
      <c r="A99" s="80">
        <v>45625.947916666664</v>
      </c>
      <c r="B99" s="112">
        <v>9.39</v>
      </c>
      <c r="C99" s="112">
        <v>22.58</v>
      </c>
      <c r="D99" s="112">
        <v>20.68</v>
      </c>
      <c r="E99" s="112">
        <v>9.51</v>
      </c>
      <c r="F99" s="112">
        <v>5.64</v>
      </c>
      <c r="G99" s="112">
        <v>103.95</v>
      </c>
      <c r="H99" s="112">
        <v>34.33</v>
      </c>
      <c r="I99" s="112">
        <v>9.8699999999999992</v>
      </c>
      <c r="J99" s="112">
        <v>0.14000000000000001</v>
      </c>
      <c r="K99" s="112">
        <v>133.19</v>
      </c>
      <c r="L99" s="112">
        <v>20.87</v>
      </c>
      <c r="M99" s="112">
        <v>61.97</v>
      </c>
      <c r="N99" s="112">
        <v>1.9</v>
      </c>
      <c r="O99" s="112">
        <v>0</v>
      </c>
      <c r="P99" s="112">
        <v>0.95</v>
      </c>
      <c r="Q99" s="112">
        <v>10.39</v>
      </c>
    </row>
    <row r="100" spans="1:21">
      <c r="A100" s="80">
        <v>45625.958333333336</v>
      </c>
      <c r="B100" s="112">
        <v>9.1199999999999992</v>
      </c>
      <c r="C100" s="112">
        <v>22.72</v>
      </c>
      <c r="D100" s="112">
        <v>20.53</v>
      </c>
      <c r="E100" s="112">
        <v>9.7200000000000006</v>
      </c>
      <c r="F100" s="112">
        <v>5.49</v>
      </c>
      <c r="G100" s="112">
        <v>103.95</v>
      </c>
      <c r="H100" s="112">
        <v>34.33</v>
      </c>
      <c r="I100" s="112">
        <v>9.8800000000000008</v>
      </c>
      <c r="J100" s="112">
        <v>0.13</v>
      </c>
      <c r="K100" s="112">
        <v>73.58</v>
      </c>
      <c r="L100" s="112">
        <v>20.68</v>
      </c>
      <c r="M100" s="112">
        <v>62.07</v>
      </c>
      <c r="N100" s="112">
        <v>1.7</v>
      </c>
      <c r="O100" s="112">
        <v>0</v>
      </c>
      <c r="P100" s="112">
        <v>0.94</v>
      </c>
      <c r="Q100" s="112">
        <v>10.39</v>
      </c>
    </row>
    <row r="101" spans="1:21">
      <c r="A101" s="80">
        <v>45625.96875</v>
      </c>
      <c r="B101" s="112">
        <v>9.2200000000000006</v>
      </c>
      <c r="C101" s="112">
        <v>22.92</v>
      </c>
      <c r="D101" s="112">
        <v>20.72</v>
      </c>
      <c r="E101" s="112">
        <v>9.5500000000000007</v>
      </c>
      <c r="F101" s="112">
        <v>5.22</v>
      </c>
      <c r="G101" s="112">
        <v>103.94</v>
      </c>
      <c r="H101" s="112">
        <v>34.33</v>
      </c>
      <c r="I101" s="112">
        <v>9.8000000000000007</v>
      </c>
      <c r="J101" s="112">
        <v>0.17</v>
      </c>
      <c r="K101" s="112">
        <v>50.03</v>
      </c>
      <c r="L101" s="112">
        <v>20.45</v>
      </c>
      <c r="M101" s="112">
        <v>62.68</v>
      </c>
      <c r="N101" s="112">
        <v>1.6</v>
      </c>
      <c r="O101" s="112">
        <v>0</v>
      </c>
      <c r="P101" s="112">
        <v>0.93</v>
      </c>
      <c r="Q101" s="112">
        <v>10.36</v>
      </c>
    </row>
    <row r="102" spans="1:21">
      <c r="A102" s="80">
        <v>45625.979166666664</v>
      </c>
      <c r="B102" s="112">
        <v>9.44</v>
      </c>
      <c r="C102" s="112">
        <v>23.08</v>
      </c>
      <c r="D102" s="112">
        <v>20.98</v>
      </c>
      <c r="E102" s="112">
        <v>9.42</v>
      </c>
      <c r="F102" s="112">
        <v>5.17</v>
      </c>
      <c r="G102" s="112">
        <v>103.37</v>
      </c>
      <c r="H102" s="112">
        <v>34.31</v>
      </c>
      <c r="I102" s="112">
        <v>9.73</v>
      </c>
      <c r="J102" s="112">
        <v>0.28999999999999998</v>
      </c>
      <c r="K102" s="112">
        <v>41.32</v>
      </c>
      <c r="L102" s="112">
        <v>20.329999999999998</v>
      </c>
      <c r="M102" s="112">
        <v>62.79</v>
      </c>
      <c r="N102" s="112">
        <v>1.7</v>
      </c>
      <c r="O102" s="112">
        <v>0</v>
      </c>
      <c r="P102" s="112">
        <v>0.92</v>
      </c>
      <c r="Q102" s="112">
        <v>10.36</v>
      </c>
    </row>
    <row r="103" spans="1:21">
      <c r="A103" s="80">
        <v>45625.989583333336</v>
      </c>
      <c r="B103" s="112">
        <v>9.82</v>
      </c>
      <c r="C103" s="112">
        <v>23.1</v>
      </c>
      <c r="D103" s="112">
        <v>21.29</v>
      </c>
      <c r="E103" s="112">
        <v>9.6199999999999992</v>
      </c>
      <c r="F103" s="112">
        <v>5.21</v>
      </c>
      <c r="G103" s="112">
        <v>103.37</v>
      </c>
      <c r="H103" s="112">
        <v>34.31</v>
      </c>
      <c r="I103" s="112">
        <v>9.68</v>
      </c>
      <c r="J103" s="112">
        <v>0.41</v>
      </c>
      <c r="K103" s="112">
        <v>54.9</v>
      </c>
      <c r="L103" s="112">
        <v>20.23</v>
      </c>
      <c r="M103" s="112">
        <v>62.93</v>
      </c>
      <c r="N103" s="112">
        <v>1.7</v>
      </c>
      <c r="O103" s="112">
        <v>0</v>
      </c>
      <c r="P103" s="112">
        <v>0.92</v>
      </c>
      <c r="Q103" s="112">
        <v>10.38</v>
      </c>
    </row>
    <row r="104" spans="1:21">
      <c r="A104" s="80">
        <v>45626</v>
      </c>
      <c r="B104" s="112">
        <v>10.32</v>
      </c>
      <c r="C104" s="112">
        <v>23.25</v>
      </c>
      <c r="D104" s="112">
        <v>21.77</v>
      </c>
      <c r="E104" s="112">
        <v>9.59</v>
      </c>
      <c r="F104" s="112">
        <v>5.58</v>
      </c>
      <c r="G104" s="112">
        <v>103.37</v>
      </c>
      <c r="H104" s="112">
        <v>34.31</v>
      </c>
      <c r="I104" s="112">
        <v>9.61</v>
      </c>
      <c r="J104" s="112">
        <v>0.28000000000000003</v>
      </c>
      <c r="K104" s="112">
        <v>42.22</v>
      </c>
      <c r="L104" s="112">
        <v>20.23</v>
      </c>
      <c r="M104" s="112">
        <v>62.78</v>
      </c>
      <c r="N104" s="112">
        <v>1.7</v>
      </c>
      <c r="O104" s="112">
        <v>0</v>
      </c>
      <c r="P104" s="112">
        <v>0.91</v>
      </c>
      <c r="Q104" s="112">
        <v>10.37</v>
      </c>
    </row>
    <row r="105" spans="1:21">
      <c r="A105" s="32"/>
      <c r="B105" s="2"/>
      <c r="C105" s="2"/>
      <c r="D105" s="2"/>
      <c r="E105" s="2"/>
      <c r="F105" s="2"/>
      <c r="G105" s="32"/>
      <c r="H105" s="32"/>
      <c r="I105" s="32"/>
      <c r="J105" s="2"/>
      <c r="K105" s="2"/>
      <c r="L105" s="32"/>
      <c r="M105" s="32"/>
      <c r="N105" s="32"/>
      <c r="O105" s="32"/>
      <c r="P105" s="32"/>
      <c r="Q105" s="2"/>
      <c r="R105" s="11"/>
      <c r="S105" s="11"/>
      <c r="T105" s="11"/>
      <c r="U105" s="11"/>
    </row>
    <row r="106" spans="1:21">
      <c r="A106" s="182" t="s">
        <v>48</v>
      </c>
      <c r="B106" s="183">
        <f>MIN(B9:B104)</f>
        <v>3.53</v>
      </c>
      <c r="C106" s="183">
        <f>MIN(C9:C104)</f>
        <v>19.25</v>
      </c>
      <c r="D106" s="183">
        <f t="shared" ref="D106:Q106" si="0">MIN(D9:D104)</f>
        <v>14.27</v>
      </c>
      <c r="E106" s="183">
        <f t="shared" si="0"/>
        <v>6.67</v>
      </c>
      <c r="F106" s="183">
        <f t="shared" si="0"/>
        <v>4.43</v>
      </c>
      <c r="G106" s="183">
        <f t="shared" si="0"/>
        <v>74.23</v>
      </c>
      <c r="H106" s="183">
        <f t="shared" si="0"/>
        <v>29.82</v>
      </c>
      <c r="I106" s="183">
        <f t="shared" si="0"/>
        <v>7.22</v>
      </c>
      <c r="J106" s="183">
        <f t="shared" si="0"/>
        <v>0.13</v>
      </c>
      <c r="K106" s="183">
        <f t="shared" si="0"/>
        <v>32.72</v>
      </c>
      <c r="L106" s="183">
        <f t="shared" si="0"/>
        <v>14.55</v>
      </c>
      <c r="M106" s="183">
        <f t="shared" si="0"/>
        <v>38.979999999999997</v>
      </c>
      <c r="N106" s="183">
        <f t="shared" si="0"/>
        <v>1.2</v>
      </c>
      <c r="O106" s="183">
        <f t="shared" si="0"/>
        <v>0</v>
      </c>
      <c r="P106" s="183">
        <f t="shared" si="0"/>
        <v>0.62</v>
      </c>
      <c r="Q106" s="183">
        <f t="shared" si="0"/>
        <v>10.36</v>
      </c>
      <c r="R106" s="187"/>
      <c r="S106" s="187"/>
      <c r="T106" s="187"/>
      <c r="U106" s="187"/>
    </row>
    <row r="107" spans="1:21">
      <c r="A107" s="182" t="s">
        <v>49</v>
      </c>
      <c r="B107" s="184">
        <f>MAX(B9:B104)</f>
        <v>12.9</v>
      </c>
      <c r="C107" s="184">
        <f t="shared" ref="C107:Q107" si="1">MAX(C9:C104)</f>
        <v>24.46</v>
      </c>
      <c r="D107" s="184">
        <f t="shared" si="1"/>
        <v>23.9</v>
      </c>
      <c r="E107" s="184">
        <f t="shared" si="1"/>
        <v>10.53</v>
      </c>
      <c r="F107" s="184">
        <f t="shared" si="1"/>
        <v>27.85</v>
      </c>
      <c r="G107" s="184">
        <f t="shared" si="1"/>
        <v>120.22</v>
      </c>
      <c r="H107" s="184">
        <f t="shared" si="1"/>
        <v>40.83</v>
      </c>
      <c r="I107" s="184">
        <f t="shared" si="1"/>
        <v>11.73</v>
      </c>
      <c r="J107" s="184">
        <f t="shared" si="1"/>
        <v>1.21</v>
      </c>
      <c r="K107" s="184">
        <f t="shared" si="1"/>
        <v>133.19</v>
      </c>
      <c r="L107" s="184">
        <f t="shared" si="1"/>
        <v>27.95</v>
      </c>
      <c r="M107" s="184">
        <f t="shared" si="1"/>
        <v>78.78</v>
      </c>
      <c r="N107" s="184">
        <f t="shared" si="1"/>
        <v>461.9</v>
      </c>
      <c r="O107" s="184">
        <f t="shared" si="1"/>
        <v>0</v>
      </c>
      <c r="P107" s="184">
        <f t="shared" si="1"/>
        <v>1.04</v>
      </c>
      <c r="Q107" s="184">
        <f t="shared" si="1"/>
        <v>10.61</v>
      </c>
      <c r="R107" s="188"/>
      <c r="S107" s="188"/>
      <c r="T107" s="188"/>
      <c r="U107" s="188"/>
    </row>
    <row r="108" spans="1:21">
      <c r="A108" s="182" t="s">
        <v>50</v>
      </c>
      <c r="B108" s="183">
        <f>AVERAGE(B9:B104)</f>
        <v>7.3053124999999994</v>
      </c>
      <c r="C108" s="183">
        <f t="shared" ref="C108:Q108" si="2">AVERAGE(C9:C104)</f>
        <v>22.380312500000002</v>
      </c>
      <c r="D108" s="183">
        <f t="shared" si="2"/>
        <v>18.902708333333333</v>
      </c>
      <c r="E108" s="183">
        <f t="shared" si="2"/>
        <v>8.6900000000000013</v>
      </c>
      <c r="F108" s="183">
        <f t="shared" si="2"/>
        <v>8.6405208333333299</v>
      </c>
      <c r="G108" s="183">
        <f t="shared" si="2"/>
        <v>97.184583333333407</v>
      </c>
      <c r="H108" s="183">
        <f t="shared" si="2"/>
        <v>35.277395833333323</v>
      </c>
      <c r="I108" s="183">
        <f t="shared" si="2"/>
        <v>9.6722916666666734</v>
      </c>
      <c r="J108" s="183">
        <f t="shared" si="2"/>
        <v>0.59093750000000023</v>
      </c>
      <c r="K108" s="183">
        <f t="shared" si="2"/>
        <v>53.605624999999954</v>
      </c>
      <c r="L108" s="183">
        <f t="shared" si="2"/>
        <v>21.194687500000004</v>
      </c>
      <c r="M108" s="183">
        <f t="shared" si="2"/>
        <v>58.556666666666729</v>
      </c>
      <c r="N108" s="183">
        <f t="shared" si="2"/>
        <v>91.744791666666686</v>
      </c>
      <c r="O108" s="183">
        <f t="shared" si="2"/>
        <v>0</v>
      </c>
      <c r="P108" s="183">
        <f t="shared" si="2"/>
        <v>0.89604166666666696</v>
      </c>
      <c r="Q108" s="183">
        <f t="shared" si="2"/>
        <v>10.495520833333332</v>
      </c>
      <c r="R108" s="187"/>
      <c r="S108" s="187"/>
      <c r="T108" s="187"/>
      <c r="U108" s="187"/>
    </row>
    <row r="109" spans="1:21">
      <c r="A109" s="182" t="s">
        <v>51</v>
      </c>
      <c r="B109" s="183">
        <f>STDEV(B9:B104)</f>
        <v>2.6941148153257872</v>
      </c>
      <c r="C109" s="183">
        <f t="shared" ref="C109:Q109" si="3">STDEV(C9:C104)</f>
        <v>1.3353110839012017</v>
      </c>
      <c r="D109" s="183">
        <f t="shared" si="3"/>
        <v>2.599118668102173</v>
      </c>
      <c r="E109" s="183">
        <f t="shared" si="3"/>
        <v>1.069667926827834</v>
      </c>
      <c r="F109" s="183">
        <f t="shared" si="3"/>
        <v>5.5828318356211177</v>
      </c>
      <c r="G109" s="183">
        <f t="shared" si="3"/>
        <v>13.721938478728744</v>
      </c>
      <c r="H109" s="183">
        <f t="shared" si="3"/>
        <v>2.9445804793827159</v>
      </c>
      <c r="I109" s="183">
        <f t="shared" si="3"/>
        <v>1.3679492751188245</v>
      </c>
      <c r="J109" s="183">
        <f t="shared" si="3"/>
        <v>0.24309875890046603</v>
      </c>
      <c r="K109" s="183">
        <f t="shared" si="3"/>
        <v>13.780836794736473</v>
      </c>
      <c r="L109" s="183">
        <f t="shared" si="3"/>
        <v>4.5887587940244119</v>
      </c>
      <c r="M109" s="183">
        <f t="shared" si="3"/>
        <v>12.897038392524061</v>
      </c>
      <c r="N109" s="183">
        <f t="shared" si="3"/>
        <v>148.7667732213514</v>
      </c>
      <c r="O109" s="183">
        <f t="shared" si="3"/>
        <v>0</v>
      </c>
      <c r="P109" s="183">
        <f t="shared" si="3"/>
        <v>0.11268474110186073</v>
      </c>
      <c r="Q109" s="183">
        <f t="shared" si="3"/>
        <v>7.0753386255829956E-2</v>
      </c>
      <c r="R109" s="187"/>
      <c r="S109" s="187"/>
      <c r="T109" s="187"/>
      <c r="U109" s="187"/>
    </row>
    <row r="110" spans="1:21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</row>
    <row r="111" spans="1:21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1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A113" s="3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32"/>
      <c r="M113" s="2"/>
      <c r="N113" s="186"/>
      <c r="O113" s="186"/>
      <c r="P113" s="186"/>
      <c r="Q113" s="186"/>
      <c r="R113" s="186"/>
      <c r="S113" s="186"/>
      <c r="T113" s="186"/>
      <c r="U113" s="186"/>
    </row>
    <row r="114" spans="1:21">
      <c r="A114" s="3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>
      <c r="A115" s="153" t="s">
        <v>55</v>
      </c>
      <c r="B115" s="190" t="s">
        <v>56</v>
      </c>
      <c r="C115" s="190"/>
      <c r="D115" s="190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>
      <c r="A116" s="32"/>
      <c r="B116" s="2"/>
      <c r="C116" s="2"/>
      <c r="D116" s="163"/>
      <c r="E116" s="163"/>
      <c r="F116" s="163"/>
      <c r="G116" s="163"/>
      <c r="H116" s="163"/>
      <c r="I116" s="163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V117"/>
  <sheetViews>
    <sheetView zoomScale="85" zoomScaleNormal="85" workbookViewId="0">
      <pane ySplit="1" topLeftCell="A95" activePane="bottomLeft" state="frozen"/>
      <selection activeCell="A9" sqref="A9"/>
      <selection pane="bottomLeft" activeCell="A9" sqref="A9:XFD104"/>
    </sheetView>
  </sheetViews>
  <sheetFormatPr defaultColWidth="8.85546875" defaultRowHeight="15"/>
  <cols>
    <col min="1" max="1" width="21" style="32" customWidth="1"/>
    <col min="2" max="2" width="14.140625" style="2" customWidth="1"/>
    <col min="3" max="3" width="11.7109375" style="2" customWidth="1"/>
    <col min="4" max="5" width="10.85546875" style="2" customWidth="1"/>
    <col min="6" max="7" width="10.7109375" style="2" customWidth="1"/>
    <col min="8" max="8" width="11.5703125" style="2" customWidth="1"/>
    <col min="9" max="9" width="12.140625" style="2" customWidth="1"/>
    <col min="10" max="10" width="11.5703125" style="2" customWidth="1"/>
    <col min="11" max="11" width="10.140625" style="2" customWidth="1"/>
    <col min="12" max="12" width="11.140625" style="2" customWidth="1"/>
    <col min="13" max="13" width="12.28515625" style="2" customWidth="1"/>
    <col min="14" max="14" width="10.140625" style="2" customWidth="1"/>
    <col min="15" max="15" width="9.85546875" style="2" customWidth="1"/>
    <col min="16" max="16" width="10" style="2" customWidth="1"/>
    <col min="17" max="17" width="11.7109375" style="2" customWidth="1"/>
    <col min="18" max="19" width="9.140625" style="2" customWidth="1"/>
    <col min="20" max="20" width="11.42578125" style="2" customWidth="1"/>
    <col min="21" max="16384" width="8.85546875" style="2"/>
  </cols>
  <sheetData>
    <row r="1" spans="1:21">
      <c r="A1" s="153" t="s">
        <v>0</v>
      </c>
      <c r="B1" s="145" t="s">
        <v>1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>
      <c r="A2" s="153" t="s">
        <v>2</v>
      </c>
      <c r="B2" s="148">
        <f>$A$9</f>
        <v>45626.010416666664</v>
      </c>
      <c r="C2" s="189" t="s">
        <v>3</v>
      </c>
      <c r="D2" s="189"/>
      <c r="E2" s="189"/>
      <c r="F2" s="189"/>
      <c r="G2" s="149" t="s">
        <v>4</v>
      </c>
      <c r="H2" s="150"/>
      <c r="I2" s="150"/>
      <c r="J2" s="48" t="s">
        <v>5</v>
      </c>
      <c r="K2" s="147"/>
      <c r="L2" s="165" t="s">
        <v>6</v>
      </c>
      <c r="M2" s="147"/>
      <c r="N2" s="180" t="s">
        <v>7</v>
      </c>
      <c r="O2" s="166"/>
      <c r="P2" s="172" t="s">
        <v>8</v>
      </c>
      <c r="Q2" s="166"/>
      <c r="S2"/>
      <c r="T2"/>
      <c r="U2"/>
    </row>
    <row r="3" spans="1:21">
      <c r="A3" s="153" t="s">
        <v>9</v>
      </c>
      <c r="B3" s="147" t="s">
        <v>10</v>
      </c>
      <c r="C3" s="189" t="s">
        <v>11</v>
      </c>
      <c r="D3" s="189"/>
      <c r="E3" s="189"/>
      <c r="F3" s="189"/>
      <c r="G3" s="151" t="s">
        <v>12</v>
      </c>
      <c r="H3" s="150"/>
      <c r="I3" s="150"/>
      <c r="J3" s="48" t="s">
        <v>13</v>
      </c>
      <c r="K3"/>
      <c r="L3" s="167" t="s">
        <v>14</v>
      </c>
      <c r="M3" s="147"/>
      <c r="N3" s="180" t="s">
        <v>15</v>
      </c>
      <c r="O3" s="147"/>
      <c r="P3" s="173" t="s">
        <v>15</v>
      </c>
      <c r="Q3" s="147"/>
      <c r="S3"/>
      <c r="T3"/>
      <c r="U3"/>
    </row>
    <row r="4" spans="1:21">
      <c r="A4" s="153" t="s">
        <v>16</v>
      </c>
      <c r="B4" s="147" t="s">
        <v>17</v>
      </c>
      <c r="C4" s="189" t="s">
        <v>18</v>
      </c>
      <c r="D4" s="189"/>
      <c r="E4" s="189"/>
      <c r="F4" s="189"/>
      <c r="G4" s="152" t="s">
        <v>19</v>
      </c>
      <c r="H4" s="150"/>
      <c r="I4" s="150"/>
      <c r="J4" s="48" t="s">
        <v>20</v>
      </c>
      <c r="K4" s="169"/>
      <c r="L4" s="170" t="s">
        <v>21</v>
      </c>
      <c r="M4" s="147"/>
      <c r="O4" s="147"/>
      <c r="P4" s="147"/>
      <c r="Q4" s="147"/>
      <c r="R4" s="147"/>
      <c r="S4"/>
      <c r="T4"/>
      <c r="U4"/>
    </row>
    <row r="5" spans="1:21">
      <c r="A5" s="153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>
      <c r="A6" s="153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>
      <c r="A7" s="153" t="s">
        <v>22</v>
      </c>
      <c r="B7" s="179" t="s">
        <v>23</v>
      </c>
      <c r="C7" s="179" t="s">
        <v>24</v>
      </c>
      <c r="D7" s="179" t="s">
        <v>25</v>
      </c>
      <c r="E7" s="179" t="s">
        <v>26</v>
      </c>
      <c r="F7" s="179" t="s">
        <v>27</v>
      </c>
      <c r="G7" s="179" t="s">
        <v>28</v>
      </c>
      <c r="H7" s="179" t="s">
        <v>29</v>
      </c>
      <c r="I7" s="179" t="s">
        <v>30</v>
      </c>
      <c r="J7" s="179" t="s">
        <v>31</v>
      </c>
      <c r="K7" s="179" t="s">
        <v>32</v>
      </c>
      <c r="L7" s="179" t="s">
        <v>33</v>
      </c>
      <c r="M7" s="179" t="s">
        <v>34</v>
      </c>
      <c r="N7" s="179" t="s">
        <v>35</v>
      </c>
      <c r="O7" s="179" t="s">
        <v>36</v>
      </c>
      <c r="P7" s="179" t="s">
        <v>37</v>
      </c>
      <c r="Q7" s="179" t="s">
        <v>38</v>
      </c>
      <c r="R7" s="174"/>
      <c r="S7" s="175"/>
      <c r="T7" s="174"/>
      <c r="U7" s="174"/>
    </row>
    <row r="8" spans="1:21">
      <c r="A8" s="153"/>
      <c r="B8" s="114" t="s">
        <v>39</v>
      </c>
      <c r="C8" s="114" t="s">
        <v>39</v>
      </c>
      <c r="D8" s="114" t="s">
        <v>40</v>
      </c>
      <c r="E8" s="114" t="s">
        <v>39</v>
      </c>
      <c r="F8" s="114" t="s">
        <v>39</v>
      </c>
      <c r="G8" s="114" t="s">
        <v>39</v>
      </c>
      <c r="H8" s="114" t="s">
        <v>39</v>
      </c>
      <c r="I8" s="114" t="s">
        <v>39</v>
      </c>
      <c r="J8" s="114" t="s">
        <v>41</v>
      </c>
      <c r="K8" s="114" t="s">
        <v>42</v>
      </c>
      <c r="L8" s="181" t="s">
        <v>43</v>
      </c>
      <c r="M8" s="114" t="s">
        <v>44</v>
      </c>
      <c r="N8" s="114" t="s">
        <v>45</v>
      </c>
      <c r="O8" s="181" t="s">
        <v>46</v>
      </c>
      <c r="P8" s="114" t="s">
        <v>47</v>
      </c>
      <c r="Q8" s="114" t="s">
        <v>39</v>
      </c>
      <c r="R8" s="174"/>
      <c r="S8" s="175"/>
      <c r="T8" s="174"/>
      <c r="U8" s="174"/>
    </row>
    <row r="9" spans="1:21" customFormat="1">
      <c r="A9" s="80">
        <v>45626.010416666664</v>
      </c>
      <c r="B9" s="112">
        <v>10.55</v>
      </c>
      <c r="C9" s="112">
        <v>23.75</v>
      </c>
      <c r="D9" s="112">
        <v>22.22</v>
      </c>
      <c r="E9" s="112">
        <v>9.31</v>
      </c>
      <c r="F9" s="112">
        <v>5.79</v>
      </c>
      <c r="G9" s="112">
        <v>103.33</v>
      </c>
      <c r="H9" s="112">
        <v>34.26</v>
      </c>
      <c r="I9" s="112">
        <v>9.5399999999999991</v>
      </c>
      <c r="J9" s="112">
        <v>0.37</v>
      </c>
      <c r="K9" s="112">
        <v>51.06</v>
      </c>
      <c r="L9" s="112">
        <v>20</v>
      </c>
      <c r="M9" s="112">
        <v>63.89</v>
      </c>
      <c r="N9" s="112">
        <v>1.7</v>
      </c>
      <c r="O9" s="112">
        <v>0</v>
      </c>
      <c r="P9" s="112">
        <v>0.9</v>
      </c>
      <c r="Q9" s="112">
        <v>10.35</v>
      </c>
    </row>
    <row r="10" spans="1:21" customFormat="1">
      <c r="A10" s="80">
        <v>45626.020833333336</v>
      </c>
      <c r="B10" s="112">
        <v>10.63</v>
      </c>
      <c r="C10" s="112">
        <v>23.32</v>
      </c>
      <c r="D10" s="112">
        <v>22.06</v>
      </c>
      <c r="E10" s="112">
        <v>9.66</v>
      </c>
      <c r="F10" s="112">
        <v>5.59</v>
      </c>
      <c r="G10" s="112">
        <v>101.58</v>
      </c>
      <c r="H10" s="112">
        <v>32.909999999999997</v>
      </c>
      <c r="I10" s="112">
        <v>9.49</v>
      </c>
      <c r="J10" s="112">
        <v>0.56999999999999995</v>
      </c>
      <c r="K10" s="112">
        <v>46.69</v>
      </c>
      <c r="L10" s="112">
        <v>19.88</v>
      </c>
      <c r="M10" s="112">
        <v>64.03</v>
      </c>
      <c r="N10" s="112">
        <v>1.7</v>
      </c>
      <c r="O10" s="112">
        <v>0</v>
      </c>
      <c r="P10" s="112">
        <v>0.88</v>
      </c>
      <c r="Q10" s="112">
        <v>10.38</v>
      </c>
    </row>
    <row r="11" spans="1:21" customFormat="1">
      <c r="A11" s="80">
        <v>45626.03125</v>
      </c>
      <c r="B11" s="112">
        <v>10.52</v>
      </c>
      <c r="C11" s="112">
        <v>23.21</v>
      </c>
      <c r="D11" s="112">
        <v>21.92</v>
      </c>
      <c r="E11" s="112">
        <v>9.56</v>
      </c>
      <c r="F11" s="112">
        <v>5.75</v>
      </c>
      <c r="G11" s="112">
        <v>101.58</v>
      </c>
      <c r="H11" s="112">
        <v>32.909999999999997</v>
      </c>
      <c r="I11" s="112">
        <v>9.43</v>
      </c>
      <c r="J11" s="112">
        <v>0.52</v>
      </c>
      <c r="K11" s="112">
        <v>53.4</v>
      </c>
      <c r="L11" s="112">
        <v>19.649999999999999</v>
      </c>
      <c r="M11" s="112">
        <v>65.13</v>
      </c>
      <c r="N11" s="112">
        <v>2</v>
      </c>
      <c r="O11" s="112">
        <v>0</v>
      </c>
      <c r="P11" s="112">
        <v>0.87</v>
      </c>
      <c r="Q11" s="112">
        <v>10.36</v>
      </c>
    </row>
    <row r="12" spans="1:21" customFormat="1">
      <c r="A12" s="80">
        <v>45626.041666666664</v>
      </c>
      <c r="B12" s="112">
        <v>10.199999999999999</v>
      </c>
      <c r="C12" s="112">
        <v>23.08</v>
      </c>
      <c r="D12" s="112">
        <v>21.59</v>
      </c>
      <c r="E12" s="112">
        <v>9.3699999999999992</v>
      </c>
      <c r="F12" s="112">
        <v>5.1100000000000003</v>
      </c>
      <c r="G12" s="112">
        <v>101.58</v>
      </c>
      <c r="H12" s="112">
        <v>32.909999999999997</v>
      </c>
      <c r="I12" s="112">
        <v>9.34</v>
      </c>
      <c r="J12" s="112">
        <v>0.42</v>
      </c>
      <c r="K12" s="112">
        <v>43.66</v>
      </c>
      <c r="L12" s="112">
        <v>19.47</v>
      </c>
      <c r="M12" s="112">
        <v>65.95</v>
      </c>
      <c r="N12" s="112">
        <v>1.7</v>
      </c>
      <c r="O12" s="112">
        <v>0</v>
      </c>
      <c r="P12" s="112">
        <v>0.86</v>
      </c>
      <c r="Q12" s="112">
        <v>10.36</v>
      </c>
    </row>
    <row r="13" spans="1:21" customFormat="1">
      <c r="A13" s="80">
        <v>45626.052083333336</v>
      </c>
      <c r="B13" s="112">
        <v>10.24</v>
      </c>
      <c r="C13" s="112">
        <v>22.95</v>
      </c>
      <c r="D13" s="112">
        <v>21.55</v>
      </c>
      <c r="E13" s="112">
        <v>9.74</v>
      </c>
      <c r="F13" s="112">
        <v>5.81</v>
      </c>
      <c r="G13" s="112">
        <v>101.4</v>
      </c>
      <c r="H13" s="112">
        <v>32.89</v>
      </c>
      <c r="I13" s="112">
        <v>9.25</v>
      </c>
      <c r="J13" s="112">
        <v>0.43</v>
      </c>
      <c r="K13" s="112">
        <v>46.01</v>
      </c>
      <c r="L13" s="112">
        <v>19.39</v>
      </c>
      <c r="M13" s="112">
        <v>66.37</v>
      </c>
      <c r="N13" s="112">
        <v>1.7</v>
      </c>
      <c r="O13" s="112">
        <v>0</v>
      </c>
      <c r="P13" s="112">
        <v>0.85</v>
      </c>
      <c r="Q13" s="112">
        <v>10.36</v>
      </c>
    </row>
    <row r="14" spans="1:21" customFormat="1">
      <c r="A14" s="80">
        <v>45626.0625</v>
      </c>
      <c r="B14" s="112">
        <v>10.18</v>
      </c>
      <c r="C14" s="112">
        <v>22.94</v>
      </c>
      <c r="D14" s="112">
        <v>21.5</v>
      </c>
      <c r="E14" s="112">
        <v>9.3800000000000008</v>
      </c>
      <c r="F14" s="112">
        <v>5.87</v>
      </c>
      <c r="G14" s="112">
        <v>93.57</v>
      </c>
      <c r="H14" s="112">
        <v>31.04</v>
      </c>
      <c r="I14" s="112">
        <v>9.17</v>
      </c>
      <c r="J14" s="112">
        <v>0.48</v>
      </c>
      <c r="K14" s="112">
        <v>55.2</v>
      </c>
      <c r="L14" s="112">
        <v>19.22</v>
      </c>
      <c r="M14" s="112">
        <v>67.239999999999995</v>
      </c>
      <c r="N14" s="112">
        <v>1.7</v>
      </c>
      <c r="O14" s="112">
        <v>0</v>
      </c>
      <c r="P14" s="112">
        <v>0.83</v>
      </c>
      <c r="Q14" s="112">
        <v>10.35</v>
      </c>
    </row>
    <row r="15" spans="1:21" customFormat="1">
      <c r="A15" s="80">
        <v>45626.072916666664</v>
      </c>
      <c r="B15" s="112">
        <v>9.98</v>
      </c>
      <c r="C15" s="112">
        <v>22.72</v>
      </c>
      <c r="D15" s="112">
        <v>21.23</v>
      </c>
      <c r="E15" s="112">
        <v>9.6</v>
      </c>
      <c r="F15" s="112">
        <v>6.68</v>
      </c>
      <c r="G15" s="112">
        <v>93.57</v>
      </c>
      <c r="H15" s="112">
        <v>31.04</v>
      </c>
      <c r="I15" s="112">
        <v>9.09</v>
      </c>
      <c r="J15" s="112">
        <v>0.52</v>
      </c>
      <c r="K15" s="112">
        <v>44.18</v>
      </c>
      <c r="L15" s="112">
        <v>19.170000000000002</v>
      </c>
      <c r="M15" s="112">
        <v>67.55</v>
      </c>
      <c r="N15" s="112">
        <v>1.7</v>
      </c>
      <c r="O15" s="112">
        <v>0</v>
      </c>
      <c r="P15" s="112">
        <v>0.82</v>
      </c>
      <c r="Q15" s="112">
        <v>10.36</v>
      </c>
    </row>
    <row r="16" spans="1:21" customFormat="1">
      <c r="A16" s="80">
        <v>45626.083333333336</v>
      </c>
      <c r="B16" s="112">
        <v>9.92</v>
      </c>
      <c r="C16" s="112">
        <v>22.6</v>
      </c>
      <c r="D16" s="112">
        <v>21.12</v>
      </c>
      <c r="E16" s="112">
        <v>9.33</v>
      </c>
      <c r="F16" s="112">
        <v>5.85</v>
      </c>
      <c r="G16" s="112">
        <v>93.57</v>
      </c>
      <c r="H16" s="112">
        <v>31.04</v>
      </c>
      <c r="I16" s="112">
        <v>8.99</v>
      </c>
      <c r="J16" s="112">
        <v>0.6</v>
      </c>
      <c r="K16" s="112">
        <v>46.85</v>
      </c>
      <c r="L16" s="112">
        <v>19.11</v>
      </c>
      <c r="M16" s="112">
        <v>67.81</v>
      </c>
      <c r="N16" s="112">
        <v>1.7</v>
      </c>
      <c r="O16" s="112">
        <v>0</v>
      </c>
      <c r="P16" s="112">
        <v>0.82</v>
      </c>
      <c r="Q16" s="112">
        <v>10.33</v>
      </c>
    </row>
    <row r="17" spans="1:17" customFormat="1">
      <c r="A17" s="80">
        <v>45626.09375</v>
      </c>
      <c r="B17" s="112">
        <v>9.77</v>
      </c>
      <c r="C17" s="112">
        <v>22.51</v>
      </c>
      <c r="D17" s="112">
        <v>20.94</v>
      </c>
      <c r="E17" s="112">
        <v>7.6</v>
      </c>
      <c r="F17" s="112">
        <v>5.38</v>
      </c>
      <c r="G17" s="112">
        <v>93.45</v>
      </c>
      <c r="H17" s="112">
        <v>31.01</v>
      </c>
      <c r="I17" s="112">
        <v>8.92</v>
      </c>
      <c r="J17" s="112">
        <v>0.47</v>
      </c>
      <c r="K17" s="112">
        <v>46.15</v>
      </c>
      <c r="L17" s="112">
        <v>18.97</v>
      </c>
      <c r="M17" s="112">
        <v>69.010000000000005</v>
      </c>
      <c r="N17" s="112">
        <v>1.8</v>
      </c>
      <c r="O17" s="112">
        <v>0</v>
      </c>
      <c r="P17" s="112">
        <v>0.8</v>
      </c>
      <c r="Q17" s="112">
        <v>10.33</v>
      </c>
    </row>
    <row r="18" spans="1:17" customFormat="1">
      <c r="A18" s="80">
        <v>45626.104166666664</v>
      </c>
      <c r="B18" s="112">
        <v>9.82</v>
      </c>
      <c r="C18" s="112">
        <v>22.37</v>
      </c>
      <c r="D18" s="112">
        <v>20.92</v>
      </c>
      <c r="E18" s="112">
        <v>9.09</v>
      </c>
      <c r="F18" s="112">
        <v>4.93</v>
      </c>
      <c r="G18" s="112">
        <v>88.22</v>
      </c>
      <c r="H18" s="112">
        <v>28.77</v>
      </c>
      <c r="I18" s="112">
        <v>8.8699999999999992</v>
      </c>
      <c r="J18" s="112">
        <v>0.63</v>
      </c>
      <c r="K18" s="112">
        <v>42.32</v>
      </c>
      <c r="L18" s="112">
        <v>18.829999999999998</v>
      </c>
      <c r="M18" s="112">
        <v>69.760000000000005</v>
      </c>
      <c r="N18" s="112">
        <v>1.7</v>
      </c>
      <c r="O18" s="112">
        <v>0</v>
      </c>
      <c r="P18" s="112">
        <v>0.8</v>
      </c>
      <c r="Q18" s="112">
        <v>10.3</v>
      </c>
    </row>
    <row r="19" spans="1:17" customFormat="1">
      <c r="A19" s="80">
        <v>45626.114583333336</v>
      </c>
      <c r="B19" s="112">
        <v>9.7100000000000009</v>
      </c>
      <c r="C19" s="112">
        <v>22.24</v>
      </c>
      <c r="D19" s="112">
        <v>20.75</v>
      </c>
      <c r="E19" s="112">
        <v>9.07</v>
      </c>
      <c r="F19" s="112">
        <v>5.47</v>
      </c>
      <c r="G19" s="112">
        <v>88.22</v>
      </c>
      <c r="H19" s="112">
        <v>28.77</v>
      </c>
      <c r="I19" s="112">
        <v>8.81</v>
      </c>
      <c r="J19" s="112">
        <v>0.6</v>
      </c>
      <c r="K19" s="112">
        <v>43.81</v>
      </c>
      <c r="L19" s="112">
        <v>18.760000000000002</v>
      </c>
      <c r="M19" s="112">
        <v>70.19</v>
      </c>
      <c r="N19" s="112">
        <v>1.7</v>
      </c>
      <c r="O19" s="112">
        <v>0</v>
      </c>
      <c r="P19" s="112">
        <v>0.79</v>
      </c>
      <c r="Q19" s="112">
        <v>10.32</v>
      </c>
    </row>
    <row r="20" spans="1:17" customFormat="1">
      <c r="A20" s="80">
        <v>45626.125</v>
      </c>
      <c r="B20" s="112">
        <v>9.75</v>
      </c>
      <c r="C20" s="112">
        <v>22.07</v>
      </c>
      <c r="D20" s="112">
        <v>20.7</v>
      </c>
      <c r="E20" s="112">
        <v>8.8699999999999992</v>
      </c>
      <c r="F20" s="112">
        <v>5.46</v>
      </c>
      <c r="G20" s="112">
        <v>88.22</v>
      </c>
      <c r="H20" s="112">
        <v>28.77</v>
      </c>
      <c r="I20" s="112">
        <v>8.7799999999999994</v>
      </c>
      <c r="J20" s="112">
        <v>0.46</v>
      </c>
      <c r="K20" s="112">
        <v>33.24</v>
      </c>
      <c r="L20" s="112">
        <v>18.64</v>
      </c>
      <c r="M20" s="112">
        <v>71</v>
      </c>
      <c r="N20" s="112">
        <v>1.8</v>
      </c>
      <c r="O20" s="112">
        <v>0</v>
      </c>
      <c r="P20" s="112">
        <v>0.79</v>
      </c>
      <c r="Q20" s="112">
        <v>10.33</v>
      </c>
    </row>
    <row r="21" spans="1:17" customFormat="1">
      <c r="A21" s="80">
        <v>45626.135416666664</v>
      </c>
      <c r="B21" s="112">
        <v>9.83</v>
      </c>
      <c r="C21" s="112">
        <v>21.96</v>
      </c>
      <c r="D21" s="112">
        <v>20.71</v>
      </c>
      <c r="E21" s="112">
        <v>9.1</v>
      </c>
      <c r="F21" s="112">
        <v>5.59</v>
      </c>
      <c r="G21" s="112">
        <v>88.04</v>
      </c>
      <c r="H21" s="112">
        <v>28.76</v>
      </c>
      <c r="I21" s="112">
        <v>8.8000000000000007</v>
      </c>
      <c r="J21" s="112">
        <v>0.65</v>
      </c>
      <c r="K21" s="112">
        <v>44.74</v>
      </c>
      <c r="L21" s="112">
        <v>18.39</v>
      </c>
      <c r="M21" s="112">
        <v>72.459999999999994</v>
      </c>
      <c r="N21" s="112">
        <v>2.1</v>
      </c>
      <c r="O21" s="112">
        <v>0</v>
      </c>
      <c r="P21" s="112">
        <v>0.79</v>
      </c>
      <c r="Q21" s="112">
        <v>10.33</v>
      </c>
    </row>
    <row r="22" spans="1:17" customFormat="1">
      <c r="A22" s="80">
        <v>45626.145833333336</v>
      </c>
      <c r="B22" s="112">
        <v>9.7799999999999994</v>
      </c>
      <c r="C22" s="112">
        <v>21.91</v>
      </c>
      <c r="D22" s="112">
        <v>20.64</v>
      </c>
      <c r="E22" s="112">
        <v>9.1999999999999993</v>
      </c>
      <c r="F22" s="112">
        <v>5.47</v>
      </c>
      <c r="G22" s="112">
        <v>80.34</v>
      </c>
      <c r="H22" s="112">
        <v>28.37</v>
      </c>
      <c r="I22" s="112">
        <v>8.86</v>
      </c>
      <c r="J22" s="112">
        <v>0.68</v>
      </c>
      <c r="K22" s="112">
        <v>42.25</v>
      </c>
      <c r="L22" s="112">
        <v>18.260000000000002</v>
      </c>
      <c r="M22" s="112">
        <v>73.180000000000007</v>
      </c>
      <c r="N22" s="112">
        <v>1.9</v>
      </c>
      <c r="O22" s="112">
        <v>0</v>
      </c>
      <c r="P22" s="112">
        <v>0.79</v>
      </c>
      <c r="Q22" s="112">
        <v>10.3</v>
      </c>
    </row>
    <row r="23" spans="1:17" customFormat="1">
      <c r="A23" s="80">
        <v>45626.15625</v>
      </c>
      <c r="B23" s="112">
        <v>9.82</v>
      </c>
      <c r="C23" s="112">
        <v>21.52</v>
      </c>
      <c r="D23" s="112">
        <v>20.46</v>
      </c>
      <c r="E23" s="112">
        <v>9.19</v>
      </c>
      <c r="F23" s="112">
        <v>5.39</v>
      </c>
      <c r="G23" s="112">
        <v>80.34</v>
      </c>
      <c r="H23" s="112">
        <v>28.37</v>
      </c>
      <c r="I23" s="112">
        <v>8.92</v>
      </c>
      <c r="J23" s="112">
        <v>0.61</v>
      </c>
      <c r="K23" s="112">
        <v>40.380000000000003</v>
      </c>
      <c r="L23" s="112">
        <v>18.22</v>
      </c>
      <c r="M23" s="112">
        <v>73.58</v>
      </c>
      <c r="N23" s="112">
        <v>1.7</v>
      </c>
      <c r="O23" s="112">
        <v>0</v>
      </c>
      <c r="P23" s="112">
        <v>0.77</v>
      </c>
      <c r="Q23" s="112">
        <v>10.28</v>
      </c>
    </row>
    <row r="24" spans="1:17" customFormat="1">
      <c r="A24" s="80">
        <v>45626.166666666664</v>
      </c>
      <c r="B24" s="112">
        <v>9.91</v>
      </c>
      <c r="C24" s="112">
        <v>21.09</v>
      </c>
      <c r="D24" s="112">
        <v>20.32</v>
      </c>
      <c r="E24" s="112">
        <v>9.44</v>
      </c>
      <c r="F24" s="112">
        <v>5.61</v>
      </c>
      <c r="G24" s="112">
        <v>80.34</v>
      </c>
      <c r="H24" s="112">
        <v>28.37</v>
      </c>
      <c r="I24" s="112">
        <v>8.9600000000000009</v>
      </c>
      <c r="J24" s="112">
        <v>0.75</v>
      </c>
      <c r="K24" s="112">
        <v>43.95</v>
      </c>
      <c r="L24" s="112">
        <v>18.100000000000001</v>
      </c>
      <c r="M24" s="112">
        <v>74.400000000000006</v>
      </c>
      <c r="N24" s="112">
        <v>2</v>
      </c>
      <c r="O24" s="112">
        <v>0</v>
      </c>
      <c r="P24" s="112">
        <v>0.77</v>
      </c>
      <c r="Q24" s="112">
        <v>10.28</v>
      </c>
    </row>
    <row r="25" spans="1:17" customFormat="1">
      <c r="A25" s="80">
        <v>45626.177083333336</v>
      </c>
      <c r="B25" s="112">
        <v>9.9600000000000009</v>
      </c>
      <c r="C25" s="112">
        <v>20.72</v>
      </c>
      <c r="D25" s="112">
        <v>20.16</v>
      </c>
      <c r="E25" s="112">
        <v>9.4</v>
      </c>
      <c r="F25" s="112">
        <v>5.64</v>
      </c>
      <c r="G25" s="112">
        <v>80.31</v>
      </c>
      <c r="H25" s="112">
        <v>28.37</v>
      </c>
      <c r="I25" s="112">
        <v>9.02</v>
      </c>
      <c r="J25" s="112">
        <v>0.61</v>
      </c>
      <c r="K25" s="112">
        <v>45.02</v>
      </c>
      <c r="L25" s="112">
        <v>17.989999999999998</v>
      </c>
      <c r="M25" s="112">
        <v>75.099999999999994</v>
      </c>
      <c r="N25" s="112">
        <v>1.8</v>
      </c>
      <c r="O25" s="112">
        <v>0</v>
      </c>
      <c r="P25" s="112">
        <v>0.76</v>
      </c>
      <c r="Q25" s="112">
        <v>10.27</v>
      </c>
    </row>
    <row r="26" spans="1:17" customFormat="1">
      <c r="A26" s="80">
        <v>45626.1875</v>
      </c>
      <c r="B26" s="112">
        <v>10.029999999999999</v>
      </c>
      <c r="C26" s="112">
        <v>20.39</v>
      </c>
      <c r="D26" s="112">
        <v>20.05</v>
      </c>
      <c r="E26" s="112">
        <v>9.34</v>
      </c>
      <c r="F26" s="112">
        <v>5.58</v>
      </c>
      <c r="G26" s="112">
        <v>79.19</v>
      </c>
      <c r="H26" s="112">
        <v>28.38</v>
      </c>
      <c r="I26" s="112">
        <v>9.09</v>
      </c>
      <c r="J26" s="112">
        <v>0.73</v>
      </c>
      <c r="K26" s="112">
        <v>43.84</v>
      </c>
      <c r="L26" s="112">
        <v>17.96</v>
      </c>
      <c r="M26" s="112">
        <v>75.28</v>
      </c>
      <c r="N26" s="112">
        <v>1.7</v>
      </c>
      <c r="O26" s="112">
        <v>0</v>
      </c>
      <c r="P26" s="112">
        <v>0.76</v>
      </c>
      <c r="Q26" s="112">
        <v>10.29</v>
      </c>
    </row>
    <row r="27" spans="1:17" customFormat="1">
      <c r="A27" s="80">
        <v>45626.197916666664</v>
      </c>
      <c r="B27" s="112">
        <v>10.17</v>
      </c>
      <c r="C27" s="112">
        <v>20.18</v>
      </c>
      <c r="D27" s="112">
        <v>20.05</v>
      </c>
      <c r="E27" s="112">
        <v>9.74</v>
      </c>
      <c r="F27" s="112">
        <v>5.63</v>
      </c>
      <c r="G27" s="112">
        <v>79.19</v>
      </c>
      <c r="H27" s="112">
        <v>28.38</v>
      </c>
      <c r="I27" s="112">
        <v>9.17</v>
      </c>
      <c r="J27" s="112">
        <v>0.72</v>
      </c>
      <c r="K27" s="112">
        <v>43.24</v>
      </c>
      <c r="L27" s="112">
        <v>17.940000000000001</v>
      </c>
      <c r="M27" s="112">
        <v>75.45</v>
      </c>
      <c r="N27" s="112">
        <v>1.7</v>
      </c>
      <c r="O27" s="112">
        <v>0</v>
      </c>
      <c r="P27" s="112">
        <v>0.76</v>
      </c>
      <c r="Q27" s="112">
        <v>10.28</v>
      </c>
    </row>
    <row r="28" spans="1:17" customFormat="1">
      <c r="A28" s="80">
        <v>45626.208333333336</v>
      </c>
      <c r="B28" s="112">
        <v>10.35</v>
      </c>
      <c r="C28" s="112">
        <v>20.02</v>
      </c>
      <c r="D28" s="112">
        <v>20.11</v>
      </c>
      <c r="E28" s="112">
        <v>9.08</v>
      </c>
      <c r="F28" s="112">
        <v>5.42</v>
      </c>
      <c r="G28" s="112">
        <v>79.19</v>
      </c>
      <c r="H28" s="112">
        <v>28.38</v>
      </c>
      <c r="I28" s="112">
        <v>9.27</v>
      </c>
      <c r="J28" s="112">
        <v>0.66</v>
      </c>
      <c r="K28" s="112">
        <v>44.03</v>
      </c>
      <c r="L28" s="112">
        <v>17.829999999999998</v>
      </c>
      <c r="M28" s="112">
        <v>76.33</v>
      </c>
      <c r="N28" s="112">
        <v>1.9</v>
      </c>
      <c r="O28" s="112">
        <v>0</v>
      </c>
      <c r="P28" s="112">
        <v>0.77</v>
      </c>
      <c r="Q28" s="112">
        <v>10.3</v>
      </c>
    </row>
    <row r="29" spans="1:17" customFormat="1">
      <c r="A29" s="80">
        <v>45626.21875</v>
      </c>
      <c r="B29" s="112">
        <v>10.53</v>
      </c>
      <c r="C29" s="112">
        <v>19.93</v>
      </c>
      <c r="D29" s="112">
        <v>20.21</v>
      </c>
      <c r="E29" s="112">
        <v>9.52</v>
      </c>
      <c r="F29" s="112">
        <v>6.63</v>
      </c>
      <c r="G29" s="112">
        <v>79.22</v>
      </c>
      <c r="H29" s="112">
        <v>28.38</v>
      </c>
      <c r="I29" s="112">
        <v>9.35</v>
      </c>
      <c r="J29" s="112">
        <v>0.71</v>
      </c>
      <c r="K29" s="112">
        <v>45.39</v>
      </c>
      <c r="L29" s="112">
        <v>17.760000000000002</v>
      </c>
      <c r="M29" s="112">
        <v>76.92</v>
      </c>
      <c r="N29" s="112">
        <v>1.8</v>
      </c>
      <c r="O29" s="112">
        <v>0</v>
      </c>
      <c r="P29" s="112">
        <v>0.77</v>
      </c>
      <c r="Q29" s="112">
        <v>10.28</v>
      </c>
    </row>
    <row r="30" spans="1:17" customFormat="1">
      <c r="A30" s="80">
        <v>45626.229166666664</v>
      </c>
      <c r="B30" s="112">
        <v>10.81</v>
      </c>
      <c r="C30" s="112">
        <v>19.88</v>
      </c>
      <c r="D30" s="112">
        <v>20.399999999999999</v>
      </c>
      <c r="E30" s="112">
        <v>9.7200000000000006</v>
      </c>
      <c r="F30" s="112">
        <v>6.02</v>
      </c>
      <c r="G30" s="112">
        <v>80.66</v>
      </c>
      <c r="H30" s="112">
        <v>28.19</v>
      </c>
      <c r="I30" s="112">
        <v>9.41</v>
      </c>
      <c r="J30" s="112">
        <v>0.83</v>
      </c>
      <c r="K30" s="112">
        <v>45.14</v>
      </c>
      <c r="L30" s="112">
        <v>17.690000000000001</v>
      </c>
      <c r="M30" s="112">
        <v>77.05</v>
      </c>
      <c r="N30" s="112">
        <v>1.9</v>
      </c>
      <c r="O30" s="112">
        <v>0</v>
      </c>
      <c r="P30" s="112">
        <v>0.77</v>
      </c>
      <c r="Q30" s="112">
        <v>10.28</v>
      </c>
    </row>
    <row r="31" spans="1:17" customFormat="1">
      <c r="A31" s="80">
        <v>45626.239583333336</v>
      </c>
      <c r="B31" s="112">
        <v>11.06</v>
      </c>
      <c r="C31" s="112">
        <v>19.79</v>
      </c>
      <c r="D31" s="112">
        <v>20.56</v>
      </c>
      <c r="E31" s="112">
        <v>9.25</v>
      </c>
      <c r="F31" s="112">
        <v>5.22</v>
      </c>
      <c r="G31" s="112">
        <v>80.66</v>
      </c>
      <c r="H31" s="112">
        <v>28.19</v>
      </c>
      <c r="I31" s="112">
        <v>9.49</v>
      </c>
      <c r="J31" s="112">
        <v>0.64</v>
      </c>
      <c r="K31" s="112">
        <v>38.61</v>
      </c>
      <c r="L31" s="112">
        <v>17.579999999999998</v>
      </c>
      <c r="M31" s="112">
        <v>77.77</v>
      </c>
      <c r="N31" s="112">
        <v>2.1</v>
      </c>
      <c r="O31" s="112">
        <v>0</v>
      </c>
      <c r="P31" s="112">
        <v>0.78</v>
      </c>
      <c r="Q31" s="112">
        <v>10.28</v>
      </c>
    </row>
    <row r="32" spans="1:17" customFormat="1">
      <c r="A32" s="80">
        <v>45626.25</v>
      </c>
      <c r="B32" s="112">
        <v>11.31</v>
      </c>
      <c r="C32" s="112">
        <v>19.75</v>
      </c>
      <c r="D32" s="112">
        <v>20.74</v>
      </c>
      <c r="E32" s="112">
        <v>9.34</v>
      </c>
      <c r="F32" s="112">
        <v>5.57</v>
      </c>
      <c r="G32" s="112">
        <v>80.66</v>
      </c>
      <c r="H32" s="112">
        <v>28.19</v>
      </c>
      <c r="I32" s="112">
        <v>9.6</v>
      </c>
      <c r="J32" s="112">
        <v>0.86</v>
      </c>
      <c r="K32" s="112">
        <v>48.34</v>
      </c>
      <c r="L32" s="112">
        <v>17.48</v>
      </c>
      <c r="M32" s="112">
        <v>78.180000000000007</v>
      </c>
      <c r="N32" s="112">
        <v>2.1</v>
      </c>
      <c r="O32" s="112">
        <v>0</v>
      </c>
      <c r="P32" s="112">
        <v>0.79</v>
      </c>
      <c r="Q32" s="112">
        <v>10.28</v>
      </c>
    </row>
    <row r="33" spans="1:17" customFormat="1">
      <c r="A33" s="80">
        <v>45626.260416666664</v>
      </c>
      <c r="B33" s="112">
        <v>11.53</v>
      </c>
      <c r="C33" s="112">
        <v>19.64</v>
      </c>
      <c r="D33" s="112">
        <v>20.85</v>
      </c>
      <c r="E33" s="112">
        <v>9.19</v>
      </c>
      <c r="F33" s="112">
        <v>5.13</v>
      </c>
      <c r="G33" s="112">
        <v>80.66</v>
      </c>
      <c r="H33" s="112">
        <v>28.22</v>
      </c>
      <c r="I33" s="112">
        <v>9.74</v>
      </c>
      <c r="J33" s="112">
        <v>0.78</v>
      </c>
      <c r="K33" s="112">
        <v>43.5</v>
      </c>
      <c r="L33" s="112">
        <v>17.399999999999999</v>
      </c>
      <c r="M33" s="112">
        <v>78.83</v>
      </c>
      <c r="N33" s="112">
        <v>3.1</v>
      </c>
      <c r="O33" s="112">
        <v>0</v>
      </c>
      <c r="P33" s="112">
        <v>0.78</v>
      </c>
      <c r="Q33" s="112">
        <v>10.27</v>
      </c>
    </row>
    <row r="34" spans="1:17" customFormat="1">
      <c r="A34" s="80">
        <v>45626.270833333336</v>
      </c>
      <c r="B34" s="112">
        <v>11.78</v>
      </c>
      <c r="C34" s="112">
        <v>19.62</v>
      </c>
      <c r="D34" s="112">
        <v>21.05</v>
      </c>
      <c r="E34" s="112">
        <v>9.26</v>
      </c>
      <c r="F34" s="112">
        <v>4.97</v>
      </c>
      <c r="G34" s="112">
        <v>80.760000000000005</v>
      </c>
      <c r="H34" s="112">
        <v>30.16</v>
      </c>
      <c r="I34" s="112">
        <v>9.8699999999999992</v>
      </c>
      <c r="J34" s="112">
        <v>0.8</v>
      </c>
      <c r="K34" s="112">
        <v>38.78</v>
      </c>
      <c r="L34" s="112">
        <v>17.329999999999998</v>
      </c>
      <c r="M34" s="112">
        <v>79.5</v>
      </c>
      <c r="N34" s="112">
        <v>8.5</v>
      </c>
      <c r="O34" s="112">
        <v>0</v>
      </c>
      <c r="P34" s="112">
        <v>0.79</v>
      </c>
      <c r="Q34" s="112">
        <v>10.28</v>
      </c>
    </row>
    <row r="35" spans="1:17" customFormat="1">
      <c r="A35" s="80">
        <v>45626.28125</v>
      </c>
      <c r="B35" s="112">
        <v>12.04</v>
      </c>
      <c r="C35" s="112">
        <v>19.61</v>
      </c>
      <c r="D35" s="112">
        <v>21.26</v>
      </c>
      <c r="E35" s="112">
        <v>9.3000000000000007</v>
      </c>
      <c r="F35" s="112">
        <v>5.24</v>
      </c>
      <c r="G35" s="112">
        <v>80.760000000000005</v>
      </c>
      <c r="H35" s="112">
        <v>30.16</v>
      </c>
      <c r="I35" s="112">
        <v>9.94</v>
      </c>
      <c r="J35" s="112">
        <v>0.86</v>
      </c>
      <c r="K35" s="112">
        <v>45.89</v>
      </c>
      <c r="L35" s="112">
        <v>17.440000000000001</v>
      </c>
      <c r="M35" s="112">
        <v>79.45</v>
      </c>
      <c r="N35" s="112">
        <v>8.6999999999999993</v>
      </c>
      <c r="O35" s="112">
        <v>0</v>
      </c>
      <c r="P35" s="112">
        <v>0.8</v>
      </c>
      <c r="Q35" s="112">
        <v>10.28</v>
      </c>
    </row>
    <row r="36" spans="1:17" customFormat="1">
      <c r="A36" s="80">
        <v>45626.291666666664</v>
      </c>
      <c r="B36" s="112">
        <v>12.34</v>
      </c>
      <c r="C36" s="112">
        <v>19.510000000000002</v>
      </c>
      <c r="D36" s="112">
        <v>21.44</v>
      </c>
      <c r="E36" s="112">
        <v>9.34</v>
      </c>
      <c r="F36" s="112">
        <v>5.77</v>
      </c>
      <c r="G36" s="112">
        <v>80.760000000000005</v>
      </c>
      <c r="H36" s="112">
        <v>30.16</v>
      </c>
      <c r="I36" s="112">
        <v>10</v>
      </c>
      <c r="J36" s="112">
        <v>0.98</v>
      </c>
      <c r="K36" s="112">
        <v>50.51</v>
      </c>
      <c r="L36" s="112">
        <v>17.510000000000002</v>
      </c>
      <c r="M36" s="112">
        <v>79.38</v>
      </c>
      <c r="N36" s="112">
        <v>10.7</v>
      </c>
      <c r="O36" s="112">
        <v>0</v>
      </c>
      <c r="P36" s="112">
        <v>0.8</v>
      </c>
      <c r="Q36" s="112">
        <v>10.27</v>
      </c>
    </row>
    <row r="37" spans="1:17" customFormat="1">
      <c r="A37" s="80">
        <v>45626.302083333336</v>
      </c>
      <c r="B37" s="112">
        <v>12.59</v>
      </c>
      <c r="C37" s="112">
        <v>19.59</v>
      </c>
      <c r="D37" s="112">
        <v>21.69</v>
      </c>
      <c r="E37" s="112">
        <v>9.33</v>
      </c>
      <c r="F37" s="112">
        <v>5.71</v>
      </c>
      <c r="G37" s="112">
        <v>80.77</v>
      </c>
      <c r="H37" s="112">
        <v>30.1</v>
      </c>
      <c r="I37" s="112">
        <v>10.08</v>
      </c>
      <c r="J37" s="112">
        <v>0.8</v>
      </c>
      <c r="K37" s="112">
        <v>46</v>
      </c>
      <c r="L37" s="112">
        <v>17.5</v>
      </c>
      <c r="M37" s="112">
        <v>79.84</v>
      </c>
      <c r="N37" s="112">
        <v>17.7</v>
      </c>
      <c r="O37" s="112">
        <v>0</v>
      </c>
      <c r="P37" s="112">
        <v>0.8</v>
      </c>
      <c r="Q37" s="112">
        <v>10.27</v>
      </c>
    </row>
    <row r="38" spans="1:17" customFormat="1">
      <c r="A38" s="80">
        <v>45626.3125</v>
      </c>
      <c r="B38" s="112">
        <v>12.81</v>
      </c>
      <c r="C38" s="112">
        <v>19.690000000000001</v>
      </c>
      <c r="D38" s="112">
        <v>21.91</v>
      </c>
      <c r="E38" s="112">
        <v>9.09</v>
      </c>
      <c r="F38" s="112">
        <v>4.92</v>
      </c>
      <c r="G38" s="112">
        <v>81.19</v>
      </c>
      <c r="H38" s="112">
        <v>26.13</v>
      </c>
      <c r="I38" s="112">
        <v>10.17</v>
      </c>
      <c r="J38" s="112">
        <v>0.76</v>
      </c>
      <c r="K38" s="112">
        <v>46.39</v>
      </c>
      <c r="L38" s="112">
        <v>17.57</v>
      </c>
      <c r="M38" s="112">
        <v>80.11</v>
      </c>
      <c r="N38" s="112">
        <v>27.2</v>
      </c>
      <c r="O38" s="112">
        <v>0</v>
      </c>
      <c r="P38" s="112">
        <v>0.81</v>
      </c>
      <c r="Q38" s="112">
        <v>10.27</v>
      </c>
    </row>
    <row r="39" spans="1:17" customFormat="1">
      <c r="A39" s="80">
        <v>45626.322916666664</v>
      </c>
      <c r="B39" s="112">
        <v>13.06</v>
      </c>
      <c r="C39" s="112">
        <v>19.649999999999999</v>
      </c>
      <c r="D39" s="112">
        <v>22.1</v>
      </c>
      <c r="E39" s="112">
        <v>9.5299999999999994</v>
      </c>
      <c r="F39" s="112">
        <v>5.71</v>
      </c>
      <c r="G39" s="112">
        <v>81.19</v>
      </c>
      <c r="H39" s="112">
        <v>26.13</v>
      </c>
      <c r="I39" s="112">
        <v>10.23</v>
      </c>
      <c r="J39" s="112">
        <v>0.66</v>
      </c>
      <c r="K39" s="112">
        <v>49.27</v>
      </c>
      <c r="L39" s="112">
        <v>17.739999999999998</v>
      </c>
      <c r="M39" s="112">
        <v>80.17</v>
      </c>
      <c r="N39" s="112">
        <v>40</v>
      </c>
      <c r="O39" s="112">
        <v>0</v>
      </c>
      <c r="P39" s="112">
        <v>0.82</v>
      </c>
      <c r="Q39" s="112">
        <v>10.26</v>
      </c>
    </row>
    <row r="40" spans="1:17" customFormat="1">
      <c r="A40" s="80">
        <v>45626.333333333336</v>
      </c>
      <c r="B40" s="112">
        <v>13.41</v>
      </c>
      <c r="C40" s="112">
        <v>19.62</v>
      </c>
      <c r="D40" s="112">
        <v>22.35</v>
      </c>
      <c r="E40" s="112">
        <v>9.07</v>
      </c>
      <c r="F40" s="112">
        <v>4.93</v>
      </c>
      <c r="G40" s="112">
        <v>81.19</v>
      </c>
      <c r="H40" s="112">
        <v>26.13</v>
      </c>
      <c r="I40" s="112">
        <v>10.32</v>
      </c>
      <c r="J40" s="112">
        <v>0.73</v>
      </c>
      <c r="K40" s="112">
        <v>51.61</v>
      </c>
      <c r="L40" s="112">
        <v>18.23</v>
      </c>
      <c r="M40" s="112">
        <v>79.28</v>
      </c>
      <c r="N40" s="112">
        <v>64.599999999999994</v>
      </c>
      <c r="O40" s="112">
        <v>0</v>
      </c>
      <c r="P40" s="112">
        <v>0.83</v>
      </c>
      <c r="Q40" s="112">
        <v>10.26</v>
      </c>
    </row>
    <row r="41" spans="1:17" customFormat="1">
      <c r="A41" s="80">
        <v>45626.34375</v>
      </c>
      <c r="B41" s="112">
        <v>13.61</v>
      </c>
      <c r="C41" s="112">
        <v>19.57</v>
      </c>
      <c r="D41" s="112">
        <v>22.49</v>
      </c>
      <c r="E41" s="112">
        <v>8.8800000000000008</v>
      </c>
      <c r="F41" s="112">
        <v>5.3</v>
      </c>
      <c r="G41" s="112">
        <v>81.239999999999995</v>
      </c>
      <c r="H41" s="112">
        <v>26.17</v>
      </c>
      <c r="I41" s="112">
        <v>10.41</v>
      </c>
      <c r="J41" s="112">
        <v>0.86</v>
      </c>
      <c r="K41" s="112">
        <v>49.39</v>
      </c>
      <c r="L41" s="112">
        <v>18.79</v>
      </c>
      <c r="M41" s="112">
        <v>78.650000000000006</v>
      </c>
      <c r="N41" s="112">
        <v>59</v>
      </c>
      <c r="O41" s="112">
        <v>0</v>
      </c>
      <c r="P41" s="112">
        <v>0.85</v>
      </c>
      <c r="Q41" s="112">
        <v>10.27</v>
      </c>
    </row>
    <row r="42" spans="1:17" customFormat="1">
      <c r="A42" s="80">
        <v>45626.354166666664</v>
      </c>
      <c r="B42" s="112">
        <v>13.8</v>
      </c>
      <c r="C42" s="112">
        <v>19.989999999999998</v>
      </c>
      <c r="D42" s="112">
        <v>22.86</v>
      </c>
      <c r="E42" s="112">
        <v>9.2799999999999994</v>
      </c>
      <c r="F42" s="112">
        <v>5.59</v>
      </c>
      <c r="G42" s="112">
        <v>83.4</v>
      </c>
      <c r="H42" s="112">
        <v>28.64</v>
      </c>
      <c r="I42" s="112">
        <v>10.52</v>
      </c>
      <c r="J42" s="112">
        <v>0.74</v>
      </c>
      <c r="K42" s="112">
        <v>45.94</v>
      </c>
      <c r="L42" s="112">
        <v>19.329999999999998</v>
      </c>
      <c r="M42" s="112">
        <v>77.900000000000006</v>
      </c>
      <c r="N42" s="112">
        <v>59.1</v>
      </c>
      <c r="O42" s="112">
        <v>0</v>
      </c>
      <c r="P42" s="112">
        <v>0.85</v>
      </c>
      <c r="Q42" s="112">
        <v>10.28</v>
      </c>
    </row>
    <row r="43" spans="1:17" customFormat="1">
      <c r="A43" s="80">
        <v>45626.364583333336</v>
      </c>
      <c r="B43" s="112">
        <v>14.11</v>
      </c>
      <c r="C43" s="112">
        <v>20.48</v>
      </c>
      <c r="D43" s="112">
        <v>23.37</v>
      </c>
      <c r="E43" s="112">
        <v>8.9700000000000006</v>
      </c>
      <c r="F43" s="112">
        <v>5.47</v>
      </c>
      <c r="G43" s="112">
        <v>83.4</v>
      </c>
      <c r="H43" s="112">
        <v>28.64</v>
      </c>
      <c r="I43" s="112">
        <v>10.61</v>
      </c>
      <c r="J43" s="112">
        <v>0.73</v>
      </c>
      <c r="K43" s="112">
        <v>45.69</v>
      </c>
      <c r="L43" s="112">
        <v>19.989999999999998</v>
      </c>
      <c r="M43" s="112">
        <v>76.97</v>
      </c>
      <c r="N43" s="112">
        <v>63.7</v>
      </c>
      <c r="O43" s="112">
        <v>0</v>
      </c>
      <c r="P43" s="112">
        <v>0.86</v>
      </c>
      <c r="Q43" s="112">
        <v>10.3</v>
      </c>
    </row>
    <row r="44" spans="1:17" customFormat="1">
      <c r="A44" s="80">
        <v>45626.375</v>
      </c>
      <c r="B44" s="112">
        <v>14.08</v>
      </c>
      <c r="C44" s="112">
        <v>21.09</v>
      </c>
      <c r="D44" s="112">
        <v>23.66</v>
      </c>
      <c r="E44" s="112">
        <v>9.25</v>
      </c>
      <c r="F44" s="112">
        <v>5.37</v>
      </c>
      <c r="G44" s="112">
        <v>83.4</v>
      </c>
      <c r="H44" s="112">
        <v>28.64</v>
      </c>
      <c r="I44" s="112">
        <v>10.7</v>
      </c>
      <c r="J44" s="112">
        <v>0.84</v>
      </c>
      <c r="K44" s="112">
        <v>49.57</v>
      </c>
      <c r="L44" s="112">
        <v>20.57</v>
      </c>
      <c r="M44" s="112">
        <v>75.900000000000006</v>
      </c>
      <c r="N44" s="112">
        <v>80.400000000000006</v>
      </c>
      <c r="O44" s="112">
        <v>0</v>
      </c>
      <c r="P44" s="112">
        <v>0.87</v>
      </c>
      <c r="Q44" s="112">
        <v>10.29</v>
      </c>
    </row>
    <row r="45" spans="1:17" customFormat="1">
      <c r="A45" s="80">
        <v>45626.385416666664</v>
      </c>
      <c r="B45" s="112">
        <v>13.76</v>
      </c>
      <c r="C45" s="112">
        <v>21.43</v>
      </c>
      <c r="D45" s="112">
        <v>23.59</v>
      </c>
      <c r="E45" s="112">
        <v>9.6199999999999992</v>
      </c>
      <c r="F45" s="112">
        <v>5.44</v>
      </c>
      <c r="G45" s="112">
        <v>83.46</v>
      </c>
      <c r="H45" s="112">
        <v>28.64</v>
      </c>
      <c r="I45" s="112">
        <v>10.75</v>
      </c>
      <c r="J45" s="112">
        <v>0.86</v>
      </c>
      <c r="K45" s="112">
        <v>47.19</v>
      </c>
      <c r="L45" s="112">
        <v>21.08</v>
      </c>
      <c r="M45" s="112">
        <v>74.62</v>
      </c>
      <c r="N45" s="112">
        <v>89</v>
      </c>
      <c r="O45" s="112">
        <v>0</v>
      </c>
      <c r="P45" s="112">
        <v>0.88</v>
      </c>
      <c r="Q45" s="112">
        <v>10.28</v>
      </c>
    </row>
    <row r="46" spans="1:17" customFormat="1">
      <c r="A46" s="80">
        <v>45626.395833333336</v>
      </c>
      <c r="B46" s="112">
        <v>13.35</v>
      </c>
      <c r="C46" s="112">
        <v>21.89</v>
      </c>
      <c r="D46" s="112">
        <v>23.49</v>
      </c>
      <c r="E46" s="112">
        <v>8.99</v>
      </c>
      <c r="F46" s="112">
        <v>4.7699999999999996</v>
      </c>
      <c r="G46" s="112">
        <v>86.11</v>
      </c>
      <c r="H46" s="112">
        <v>28.4</v>
      </c>
      <c r="I46" s="112">
        <v>10.75</v>
      </c>
      <c r="J46" s="112">
        <v>0.88</v>
      </c>
      <c r="K46" s="112">
        <v>56.68</v>
      </c>
      <c r="L46" s="112">
        <v>21.7</v>
      </c>
      <c r="M46" s="112">
        <v>72.92</v>
      </c>
      <c r="N46" s="112">
        <v>81</v>
      </c>
      <c r="O46" s="112">
        <v>0</v>
      </c>
      <c r="P46" s="112">
        <v>0.87</v>
      </c>
      <c r="Q46" s="112">
        <v>10.28</v>
      </c>
    </row>
    <row r="47" spans="1:17" customFormat="1">
      <c r="A47" s="80">
        <v>45626.40625</v>
      </c>
      <c r="B47" s="112">
        <v>12.58</v>
      </c>
      <c r="C47" s="112">
        <v>22.28</v>
      </c>
      <c r="D47" s="112">
        <v>23.08</v>
      </c>
      <c r="E47" s="112">
        <v>9.08</v>
      </c>
      <c r="F47" s="112">
        <v>5.81</v>
      </c>
      <c r="G47" s="112">
        <v>86.11</v>
      </c>
      <c r="H47" s="112">
        <v>28.4</v>
      </c>
      <c r="I47" s="112">
        <v>10.79</v>
      </c>
      <c r="J47" s="112">
        <v>1.1000000000000001</v>
      </c>
      <c r="K47" s="112">
        <v>47.7</v>
      </c>
      <c r="L47" s="112">
        <v>21.96</v>
      </c>
      <c r="M47" s="112">
        <v>72.56</v>
      </c>
      <c r="N47" s="112">
        <v>98.2</v>
      </c>
      <c r="O47" s="112">
        <v>0</v>
      </c>
      <c r="P47" s="112">
        <v>0.89</v>
      </c>
      <c r="Q47" s="112">
        <v>10.28</v>
      </c>
    </row>
    <row r="48" spans="1:17" customFormat="1">
      <c r="A48" s="80">
        <v>45626.416666666664</v>
      </c>
      <c r="B48" s="112">
        <v>11.69</v>
      </c>
      <c r="C48" s="112">
        <v>22.55</v>
      </c>
      <c r="D48" s="112">
        <v>22.5</v>
      </c>
      <c r="E48" s="112">
        <v>9.51</v>
      </c>
      <c r="F48" s="112">
        <v>5.91</v>
      </c>
      <c r="G48" s="112">
        <v>86.11</v>
      </c>
      <c r="H48" s="112">
        <v>28.4</v>
      </c>
      <c r="I48" s="112">
        <v>10.83</v>
      </c>
      <c r="J48" s="112">
        <v>1.01</v>
      </c>
      <c r="K48" s="112">
        <v>52.46</v>
      </c>
      <c r="L48" s="112">
        <v>22.25</v>
      </c>
      <c r="M48" s="112">
        <v>72.19</v>
      </c>
      <c r="N48" s="112">
        <v>76.099999999999994</v>
      </c>
      <c r="O48" s="112">
        <v>0</v>
      </c>
      <c r="P48" s="112">
        <v>0.89</v>
      </c>
      <c r="Q48" s="112">
        <v>10.27</v>
      </c>
    </row>
    <row r="49" spans="1:17" customFormat="1">
      <c r="A49" s="80">
        <v>45626.427083333336</v>
      </c>
      <c r="B49" s="112">
        <v>10.64</v>
      </c>
      <c r="C49" s="112">
        <v>22.89</v>
      </c>
      <c r="D49" s="112">
        <v>21.84</v>
      </c>
      <c r="E49" s="112">
        <v>7.11</v>
      </c>
      <c r="F49" s="112">
        <v>5.79</v>
      </c>
      <c r="G49" s="112">
        <v>86.23</v>
      </c>
      <c r="H49" s="112">
        <v>28.4</v>
      </c>
      <c r="I49" s="112">
        <v>10.86</v>
      </c>
      <c r="J49" s="112">
        <v>0.76</v>
      </c>
      <c r="K49" s="112">
        <v>60.97</v>
      </c>
      <c r="L49" s="112">
        <v>22.73</v>
      </c>
      <c r="M49" s="112">
        <v>71</v>
      </c>
      <c r="N49" s="112">
        <v>147.6</v>
      </c>
      <c r="O49" s="112">
        <v>0</v>
      </c>
      <c r="P49" s="112">
        <v>0.89</v>
      </c>
      <c r="Q49" s="112">
        <v>10.25</v>
      </c>
    </row>
    <row r="50" spans="1:17" customFormat="1">
      <c r="A50" s="80">
        <v>45626.4375</v>
      </c>
      <c r="B50" s="112">
        <v>9.5299999999999994</v>
      </c>
      <c r="C50" s="112">
        <v>23.09</v>
      </c>
      <c r="D50" s="112">
        <v>21.06</v>
      </c>
      <c r="E50" s="112">
        <v>8.61</v>
      </c>
      <c r="F50" s="112">
        <v>6.18</v>
      </c>
      <c r="G50" s="112">
        <v>91.69</v>
      </c>
      <c r="H50" s="112">
        <v>28.19</v>
      </c>
      <c r="I50" s="112">
        <v>10.92</v>
      </c>
      <c r="J50" s="112">
        <v>0.86</v>
      </c>
      <c r="K50" s="112">
        <v>49.45</v>
      </c>
      <c r="L50" s="112">
        <v>23.39</v>
      </c>
      <c r="M50" s="112">
        <v>68.819999999999993</v>
      </c>
      <c r="N50" s="112">
        <v>155.6</v>
      </c>
      <c r="O50" s="112">
        <v>0</v>
      </c>
      <c r="P50" s="112">
        <v>0.88</v>
      </c>
      <c r="Q50" s="112">
        <v>10.27</v>
      </c>
    </row>
    <row r="51" spans="1:17" customFormat="1">
      <c r="A51" s="80">
        <v>45626.447916666664</v>
      </c>
      <c r="B51" s="112">
        <v>8.49</v>
      </c>
      <c r="C51" s="112">
        <v>23.23</v>
      </c>
      <c r="D51" s="112">
        <v>20.29</v>
      </c>
      <c r="E51" s="112">
        <v>8.59</v>
      </c>
      <c r="F51" s="112">
        <v>6.33</v>
      </c>
      <c r="G51" s="112">
        <v>91.69</v>
      </c>
      <c r="H51" s="112">
        <v>28.19</v>
      </c>
      <c r="I51" s="112">
        <v>10.91</v>
      </c>
      <c r="J51" s="112">
        <v>0.64</v>
      </c>
      <c r="K51" s="112">
        <v>60.3</v>
      </c>
      <c r="L51" s="112">
        <v>24.15</v>
      </c>
      <c r="M51" s="112">
        <v>66.02</v>
      </c>
      <c r="N51" s="112">
        <v>195</v>
      </c>
      <c r="O51" s="112">
        <v>0</v>
      </c>
      <c r="P51" s="112">
        <v>0.89</v>
      </c>
      <c r="Q51" s="112">
        <v>10.26</v>
      </c>
    </row>
    <row r="52" spans="1:17" customFormat="1">
      <c r="A52" s="80">
        <v>45626.458333333336</v>
      </c>
      <c r="B52" s="112">
        <v>7.53</v>
      </c>
      <c r="C52" s="112">
        <v>23.29</v>
      </c>
      <c r="D52" s="112">
        <v>19.559999999999999</v>
      </c>
      <c r="E52" s="112">
        <v>8.7200000000000006</v>
      </c>
      <c r="F52" s="112">
        <v>6.72</v>
      </c>
      <c r="G52" s="112">
        <v>91.69</v>
      </c>
      <c r="H52" s="112">
        <v>28.19</v>
      </c>
      <c r="I52" s="112">
        <v>10.89</v>
      </c>
      <c r="J52" s="112">
        <v>0.72</v>
      </c>
      <c r="K52" s="112">
        <v>50.84</v>
      </c>
      <c r="L52" s="112">
        <v>24.44</v>
      </c>
      <c r="M52" s="112">
        <v>65.05</v>
      </c>
      <c r="N52" s="112">
        <v>177.7</v>
      </c>
      <c r="O52" s="112">
        <v>0</v>
      </c>
      <c r="P52" s="112">
        <v>0.88</v>
      </c>
      <c r="Q52" s="112">
        <v>10.26</v>
      </c>
    </row>
    <row r="53" spans="1:17" customFormat="1">
      <c r="A53" s="80">
        <v>45626.46875</v>
      </c>
      <c r="B53" s="112">
        <v>6.71</v>
      </c>
      <c r="C53" s="112">
        <v>23.26</v>
      </c>
      <c r="D53" s="112">
        <v>18.88</v>
      </c>
      <c r="E53" s="112">
        <v>8.17</v>
      </c>
      <c r="F53" s="112">
        <v>7.12</v>
      </c>
      <c r="G53" s="112">
        <v>91.66</v>
      </c>
      <c r="H53" s="112">
        <v>28.21</v>
      </c>
      <c r="I53" s="112">
        <v>10.86</v>
      </c>
      <c r="J53" s="112">
        <v>1.02</v>
      </c>
      <c r="K53" s="112">
        <v>50.79</v>
      </c>
      <c r="L53" s="112">
        <v>24.79</v>
      </c>
      <c r="M53" s="112">
        <v>63.38</v>
      </c>
      <c r="N53" s="112">
        <v>213.8</v>
      </c>
      <c r="O53" s="112">
        <v>0</v>
      </c>
      <c r="P53" s="112">
        <v>0.88</v>
      </c>
      <c r="Q53" s="112">
        <v>10.25</v>
      </c>
    </row>
    <row r="54" spans="1:17" customFormat="1">
      <c r="A54" s="80">
        <v>45626.479166666664</v>
      </c>
      <c r="B54" s="112">
        <v>5.97</v>
      </c>
      <c r="C54" s="112">
        <v>23.2</v>
      </c>
      <c r="D54" s="112">
        <v>18.260000000000002</v>
      </c>
      <c r="E54" s="112">
        <v>8.69</v>
      </c>
      <c r="F54" s="112">
        <v>6.78</v>
      </c>
      <c r="G54" s="112">
        <v>90.18</v>
      </c>
      <c r="H54" s="112">
        <v>29.94</v>
      </c>
      <c r="I54" s="112">
        <v>10.8</v>
      </c>
      <c r="J54" s="112">
        <v>0.81</v>
      </c>
      <c r="K54" s="112">
        <v>58.96</v>
      </c>
      <c r="L54" s="112">
        <v>24.85</v>
      </c>
      <c r="M54" s="112">
        <v>62.89</v>
      </c>
      <c r="N54" s="112">
        <v>141.4</v>
      </c>
      <c r="O54" s="112">
        <v>0</v>
      </c>
      <c r="P54" s="112">
        <v>0.88</v>
      </c>
      <c r="Q54" s="112">
        <v>10.23</v>
      </c>
    </row>
    <row r="55" spans="1:17" customFormat="1">
      <c r="A55" s="80">
        <v>45626.489583333336</v>
      </c>
      <c r="B55" s="112">
        <v>5.35</v>
      </c>
      <c r="C55" s="112">
        <v>23.16</v>
      </c>
      <c r="D55" s="112">
        <v>17.739999999999998</v>
      </c>
      <c r="E55" s="112">
        <v>8.58</v>
      </c>
      <c r="F55" s="112">
        <v>6.59</v>
      </c>
      <c r="G55" s="112">
        <v>90.18</v>
      </c>
      <c r="H55" s="112">
        <v>29.94</v>
      </c>
      <c r="I55" s="112">
        <v>10.95</v>
      </c>
      <c r="J55" s="112">
        <v>0.49</v>
      </c>
      <c r="K55" s="112">
        <v>79.75</v>
      </c>
      <c r="L55" s="112">
        <v>24.82</v>
      </c>
      <c r="M55" s="112">
        <v>63.2</v>
      </c>
      <c r="N55" s="112">
        <v>98.3</v>
      </c>
      <c r="O55" s="112">
        <v>0</v>
      </c>
      <c r="P55" s="112">
        <v>0.87</v>
      </c>
      <c r="Q55" s="112">
        <v>10.220000000000001</v>
      </c>
    </row>
    <row r="56" spans="1:17" customFormat="1">
      <c r="A56" s="80">
        <v>45626.5</v>
      </c>
      <c r="B56" s="112">
        <v>4.83</v>
      </c>
      <c r="C56" s="112">
        <v>22.76</v>
      </c>
      <c r="D56" s="112">
        <v>17.12</v>
      </c>
      <c r="E56" s="112">
        <v>8.76</v>
      </c>
      <c r="F56" s="112">
        <v>7.36</v>
      </c>
      <c r="G56" s="112">
        <v>90.18</v>
      </c>
      <c r="H56" s="112">
        <v>29.94</v>
      </c>
      <c r="I56" s="112">
        <v>11.13</v>
      </c>
      <c r="J56" s="112">
        <v>0.62</v>
      </c>
      <c r="K56" s="112">
        <v>65.209999999999994</v>
      </c>
      <c r="L56" s="112">
        <v>24.48</v>
      </c>
      <c r="M56" s="112">
        <v>64.92</v>
      </c>
      <c r="N56" s="112">
        <v>78.900000000000006</v>
      </c>
      <c r="O56" s="112">
        <v>0</v>
      </c>
      <c r="P56" s="112">
        <v>0.86</v>
      </c>
      <c r="Q56" s="112">
        <v>10.23</v>
      </c>
    </row>
    <row r="57" spans="1:17" customFormat="1">
      <c r="A57" s="80">
        <v>45626.510416666664</v>
      </c>
      <c r="B57" s="112">
        <v>4.46</v>
      </c>
      <c r="C57" s="112">
        <v>22.37</v>
      </c>
      <c r="D57" s="112">
        <v>16.62</v>
      </c>
      <c r="E57" s="112">
        <v>8.8800000000000008</v>
      </c>
      <c r="F57" s="112">
        <v>7.32</v>
      </c>
      <c r="G57" s="112">
        <v>89.9</v>
      </c>
      <c r="H57" s="112">
        <v>29.94</v>
      </c>
      <c r="I57" s="112">
        <v>11.03</v>
      </c>
      <c r="J57" s="112">
        <v>0.72</v>
      </c>
      <c r="K57" s="112">
        <v>63.92</v>
      </c>
      <c r="L57" s="112">
        <v>24.39</v>
      </c>
      <c r="M57" s="112">
        <v>65.22</v>
      </c>
      <c r="N57" s="112">
        <v>127.3</v>
      </c>
      <c r="O57" s="112">
        <v>0</v>
      </c>
      <c r="P57" s="112">
        <v>0.85</v>
      </c>
      <c r="Q57" s="112">
        <v>10.23</v>
      </c>
    </row>
    <row r="58" spans="1:17" customFormat="1">
      <c r="A58" s="80">
        <v>45626.520833333336</v>
      </c>
      <c r="B58" s="112">
        <v>4.25</v>
      </c>
      <c r="C58" s="112">
        <v>21.93</v>
      </c>
      <c r="D58" s="112">
        <v>16.21</v>
      </c>
      <c r="E58" s="112">
        <v>8.94</v>
      </c>
      <c r="F58" s="112">
        <v>7.91</v>
      </c>
      <c r="G58" s="112">
        <v>77.97</v>
      </c>
      <c r="H58" s="112">
        <v>29.82</v>
      </c>
      <c r="I58" s="112">
        <v>10.89</v>
      </c>
      <c r="J58" s="112">
        <v>0.56000000000000005</v>
      </c>
      <c r="K58" s="112">
        <v>75.67</v>
      </c>
      <c r="L58" s="112">
        <v>24.71</v>
      </c>
      <c r="M58" s="112">
        <v>63.89</v>
      </c>
      <c r="N58" s="112">
        <v>89.9</v>
      </c>
      <c r="O58" s="112">
        <v>0</v>
      </c>
      <c r="P58" s="112">
        <v>0.84</v>
      </c>
      <c r="Q58" s="112">
        <v>10.220000000000001</v>
      </c>
    </row>
    <row r="59" spans="1:17" customFormat="1">
      <c r="A59" s="80">
        <v>45626.53125</v>
      </c>
      <c r="B59" s="112">
        <v>4.12</v>
      </c>
      <c r="C59" s="112">
        <v>21.6</v>
      </c>
      <c r="D59" s="112">
        <v>15.94</v>
      </c>
      <c r="E59" s="112">
        <v>8.51</v>
      </c>
      <c r="F59" s="112">
        <v>7.49</v>
      </c>
      <c r="G59" s="112">
        <v>77.97</v>
      </c>
      <c r="H59" s="112">
        <v>29.82</v>
      </c>
      <c r="I59" s="112">
        <v>10.75</v>
      </c>
      <c r="J59" s="112">
        <v>0.76</v>
      </c>
      <c r="K59" s="112">
        <v>54.73</v>
      </c>
      <c r="L59" s="112">
        <v>24.52</v>
      </c>
      <c r="M59" s="112">
        <v>64.239999999999995</v>
      </c>
      <c r="N59" s="112">
        <v>82.4</v>
      </c>
      <c r="O59" s="112">
        <v>0</v>
      </c>
      <c r="P59" s="112">
        <v>0.84</v>
      </c>
      <c r="Q59" s="112">
        <v>10.220000000000001</v>
      </c>
    </row>
    <row r="60" spans="1:17" customFormat="1">
      <c r="A60" s="80">
        <v>45626.541666666664</v>
      </c>
      <c r="B60" s="112">
        <v>4.16</v>
      </c>
      <c r="C60" s="112">
        <v>21.55</v>
      </c>
      <c r="D60" s="112">
        <v>15.94</v>
      </c>
      <c r="E60" s="112">
        <v>8.9700000000000006</v>
      </c>
      <c r="F60" s="112">
        <v>7.91</v>
      </c>
      <c r="G60" s="112">
        <v>77.97</v>
      </c>
      <c r="H60" s="112">
        <v>29.82</v>
      </c>
      <c r="I60" s="112">
        <v>10.64</v>
      </c>
      <c r="J60" s="112">
        <v>1.1599999999999999</v>
      </c>
      <c r="K60" s="112">
        <v>44.77</v>
      </c>
      <c r="L60" s="112">
        <v>24.39</v>
      </c>
      <c r="M60" s="112">
        <v>64.13</v>
      </c>
      <c r="N60" s="112">
        <v>128.1</v>
      </c>
      <c r="O60" s="112">
        <v>0</v>
      </c>
      <c r="P60" s="112">
        <v>0.85</v>
      </c>
      <c r="Q60" s="112">
        <v>10.220000000000001</v>
      </c>
    </row>
    <row r="61" spans="1:17" customFormat="1">
      <c r="A61" s="80">
        <v>45626.552083333336</v>
      </c>
      <c r="B61" s="112">
        <v>4.26</v>
      </c>
      <c r="C61" s="112">
        <v>21.46</v>
      </c>
      <c r="D61" s="112">
        <v>15.98</v>
      </c>
      <c r="E61" s="112">
        <v>9.4700000000000006</v>
      </c>
      <c r="F61" s="112">
        <v>7.95</v>
      </c>
      <c r="G61" s="112">
        <v>78</v>
      </c>
      <c r="H61" s="112">
        <v>29.81</v>
      </c>
      <c r="I61" s="112">
        <v>10.53</v>
      </c>
      <c r="J61" s="112">
        <v>1.18</v>
      </c>
      <c r="K61" s="112">
        <v>50.86</v>
      </c>
      <c r="L61" s="112">
        <v>24.85</v>
      </c>
      <c r="M61" s="112">
        <v>62.18</v>
      </c>
      <c r="N61" s="112">
        <v>176.4</v>
      </c>
      <c r="O61" s="112">
        <v>0</v>
      </c>
      <c r="P61" s="112">
        <v>0.85</v>
      </c>
      <c r="Q61" s="112">
        <v>10.210000000000001</v>
      </c>
    </row>
    <row r="62" spans="1:17" customFormat="1">
      <c r="A62" s="80">
        <v>45626.5625</v>
      </c>
      <c r="B62" s="112">
        <v>4.46</v>
      </c>
      <c r="C62" s="112">
        <v>21.24</v>
      </c>
      <c r="D62" s="112">
        <v>16.02</v>
      </c>
      <c r="E62" s="112">
        <v>10.49</v>
      </c>
      <c r="F62" s="112">
        <v>8.0500000000000007</v>
      </c>
      <c r="G62" s="112">
        <v>79.48</v>
      </c>
      <c r="H62" s="112">
        <v>29.17</v>
      </c>
      <c r="I62" s="112">
        <v>10.48</v>
      </c>
      <c r="J62" s="112">
        <v>1.2</v>
      </c>
      <c r="K62" s="112">
        <v>42.89</v>
      </c>
      <c r="L62" s="112">
        <v>24.71</v>
      </c>
      <c r="M62" s="112">
        <v>61.87</v>
      </c>
      <c r="N62" s="112">
        <v>89.3</v>
      </c>
      <c r="O62" s="112">
        <v>0</v>
      </c>
      <c r="P62" s="112">
        <v>0.82</v>
      </c>
      <c r="Q62" s="112">
        <v>10.19</v>
      </c>
    </row>
    <row r="63" spans="1:17" customFormat="1">
      <c r="A63" s="80">
        <v>45626.572916666664</v>
      </c>
      <c r="B63" s="112">
        <v>4.62</v>
      </c>
      <c r="C63" s="112">
        <v>21.11</v>
      </c>
      <c r="D63" s="112">
        <v>16.09</v>
      </c>
      <c r="E63" s="112">
        <v>10.91</v>
      </c>
      <c r="F63" s="112">
        <v>8.02</v>
      </c>
      <c r="G63" s="112">
        <v>79.48</v>
      </c>
      <c r="H63" s="112">
        <v>29.17</v>
      </c>
      <c r="I63" s="112">
        <v>10.48</v>
      </c>
      <c r="J63" s="112">
        <v>0.94</v>
      </c>
      <c r="K63" s="112">
        <v>42.77</v>
      </c>
      <c r="L63" s="112">
        <v>24.53</v>
      </c>
      <c r="M63" s="112">
        <v>62.74</v>
      </c>
      <c r="N63" s="112">
        <v>49.7</v>
      </c>
      <c r="O63" s="112">
        <v>0</v>
      </c>
      <c r="P63" s="112">
        <v>0.82</v>
      </c>
      <c r="Q63" s="112">
        <v>10.19</v>
      </c>
    </row>
    <row r="64" spans="1:17" customFormat="1">
      <c r="A64" s="80">
        <v>45626.583333333336</v>
      </c>
      <c r="B64" s="112">
        <v>4.75</v>
      </c>
      <c r="C64" s="112">
        <v>21.3</v>
      </c>
      <c r="D64" s="112">
        <v>16.29</v>
      </c>
      <c r="E64" s="112">
        <v>10.53</v>
      </c>
      <c r="F64" s="112">
        <v>7.13</v>
      </c>
      <c r="G64" s="112">
        <v>79.48</v>
      </c>
      <c r="H64" s="112">
        <v>29.17</v>
      </c>
      <c r="I64" s="112">
        <v>10.46</v>
      </c>
      <c r="J64" s="112">
        <v>0.96</v>
      </c>
      <c r="K64" s="112">
        <v>48.16</v>
      </c>
      <c r="L64" s="112">
        <v>24.37</v>
      </c>
      <c r="M64" s="112">
        <v>62.54</v>
      </c>
      <c r="N64" s="112">
        <v>43.5</v>
      </c>
      <c r="O64" s="112">
        <v>0</v>
      </c>
      <c r="P64" s="112">
        <v>0.82</v>
      </c>
      <c r="Q64" s="112">
        <v>10.19</v>
      </c>
    </row>
    <row r="65" spans="1:17" customFormat="1">
      <c r="A65" s="80">
        <v>45626.59375</v>
      </c>
      <c r="B65" s="112">
        <v>4.82</v>
      </c>
      <c r="C65" s="112">
        <v>21.37</v>
      </c>
      <c r="D65" s="112">
        <v>16.38</v>
      </c>
      <c r="E65" s="112">
        <v>10.33</v>
      </c>
      <c r="F65" s="112">
        <v>6.78</v>
      </c>
      <c r="G65" s="112">
        <v>79.34</v>
      </c>
      <c r="H65" s="112">
        <v>29.2</v>
      </c>
      <c r="I65" s="112">
        <v>10.42</v>
      </c>
      <c r="J65" s="112">
        <v>1.24</v>
      </c>
      <c r="K65" s="112">
        <v>47.83</v>
      </c>
      <c r="L65" s="112">
        <v>24.15</v>
      </c>
      <c r="M65" s="112">
        <v>63.03</v>
      </c>
      <c r="N65" s="112">
        <v>48.9</v>
      </c>
      <c r="O65" s="112">
        <v>0</v>
      </c>
      <c r="P65" s="112">
        <v>0.81</v>
      </c>
      <c r="Q65" s="112">
        <v>10.18</v>
      </c>
    </row>
    <row r="66" spans="1:17" customFormat="1">
      <c r="A66" s="80">
        <v>45626.604166666664</v>
      </c>
      <c r="B66" s="112">
        <v>4.9000000000000004</v>
      </c>
      <c r="C66" s="112">
        <v>21.34</v>
      </c>
      <c r="D66" s="112">
        <v>16.43</v>
      </c>
      <c r="E66" s="112">
        <v>10.83</v>
      </c>
      <c r="F66" s="112">
        <v>7.25</v>
      </c>
      <c r="G66" s="112">
        <v>73.510000000000005</v>
      </c>
      <c r="H66" s="112">
        <v>30</v>
      </c>
      <c r="I66" s="112">
        <v>10.41</v>
      </c>
      <c r="J66" s="112">
        <v>1.23</v>
      </c>
      <c r="K66" s="112">
        <v>45.43</v>
      </c>
      <c r="L66" s="112">
        <v>24.17</v>
      </c>
      <c r="M66" s="112">
        <v>62.76</v>
      </c>
      <c r="N66" s="112">
        <v>56.4</v>
      </c>
      <c r="O66" s="112">
        <v>0</v>
      </c>
      <c r="P66" s="112">
        <v>0.83</v>
      </c>
      <c r="Q66" s="112">
        <v>10.19</v>
      </c>
    </row>
    <row r="67" spans="1:17" customFormat="1">
      <c r="A67" s="80">
        <v>45626.614583333336</v>
      </c>
      <c r="B67" s="112">
        <v>4.9800000000000004</v>
      </c>
      <c r="C67" s="112">
        <v>21.25</v>
      </c>
      <c r="D67" s="112">
        <v>16.45</v>
      </c>
      <c r="E67" s="112">
        <v>10.68</v>
      </c>
      <c r="F67" s="112">
        <v>7.26</v>
      </c>
      <c r="G67" s="112">
        <v>73.510000000000005</v>
      </c>
      <c r="H67" s="112">
        <v>30</v>
      </c>
      <c r="I67" s="112">
        <v>10.42</v>
      </c>
      <c r="J67" s="112">
        <v>0.88</v>
      </c>
      <c r="K67" s="112">
        <v>38.450000000000003</v>
      </c>
      <c r="L67" s="112">
        <v>24.26</v>
      </c>
      <c r="M67" s="112">
        <v>62.21</v>
      </c>
      <c r="N67" s="112">
        <v>35.6</v>
      </c>
      <c r="O67" s="112">
        <v>0</v>
      </c>
      <c r="P67" s="112">
        <v>0.83</v>
      </c>
      <c r="Q67" s="112">
        <v>10.199999999999999</v>
      </c>
    </row>
    <row r="68" spans="1:17" customFormat="1">
      <c r="A68" s="80">
        <v>45626.625</v>
      </c>
      <c r="B68" s="112">
        <v>5.04</v>
      </c>
      <c r="C68" s="112">
        <v>21.18</v>
      </c>
      <c r="D68" s="112">
        <v>16.46</v>
      </c>
      <c r="E68" s="112">
        <v>10.83</v>
      </c>
      <c r="F68" s="112">
        <v>7.45</v>
      </c>
      <c r="G68" s="112">
        <v>73.510000000000005</v>
      </c>
      <c r="H68" s="112">
        <v>30</v>
      </c>
      <c r="I68" s="112">
        <v>10.45</v>
      </c>
      <c r="J68" s="112">
        <v>1.02</v>
      </c>
      <c r="K68" s="112">
        <v>50.15</v>
      </c>
      <c r="L68" s="112">
        <v>24.19</v>
      </c>
      <c r="M68" s="112">
        <v>62.16</v>
      </c>
      <c r="N68" s="112">
        <v>27.3</v>
      </c>
      <c r="O68" s="112">
        <v>0</v>
      </c>
      <c r="P68" s="112">
        <v>0.84</v>
      </c>
      <c r="Q68" s="112">
        <v>10.199999999999999</v>
      </c>
    </row>
    <row r="69" spans="1:17" customFormat="1">
      <c r="A69" s="80">
        <v>45626.635416666664</v>
      </c>
      <c r="B69" s="112">
        <v>5.04</v>
      </c>
      <c r="C69" s="112">
        <v>21.13</v>
      </c>
      <c r="D69" s="112">
        <v>16.440000000000001</v>
      </c>
      <c r="E69" s="112">
        <v>10.48</v>
      </c>
      <c r="F69" s="112">
        <v>6.42</v>
      </c>
      <c r="G69" s="112">
        <v>73.56</v>
      </c>
      <c r="H69" s="112">
        <v>29.99</v>
      </c>
      <c r="I69" s="112">
        <v>10.47</v>
      </c>
      <c r="J69" s="112">
        <v>0.66</v>
      </c>
      <c r="K69" s="112">
        <v>61.3</v>
      </c>
      <c r="L69" s="112">
        <v>24.06</v>
      </c>
      <c r="M69" s="112">
        <v>63.37</v>
      </c>
      <c r="N69" s="112">
        <v>25.8</v>
      </c>
      <c r="O69" s="112">
        <v>0</v>
      </c>
      <c r="P69" s="112">
        <v>0.84</v>
      </c>
      <c r="Q69" s="112">
        <v>10.199999999999999</v>
      </c>
    </row>
    <row r="70" spans="1:17" customFormat="1">
      <c r="A70" s="80">
        <v>45626.645833333336</v>
      </c>
      <c r="B70" s="112">
        <v>4.99</v>
      </c>
      <c r="C70" s="112">
        <v>21.22</v>
      </c>
      <c r="D70" s="112">
        <v>16.440000000000001</v>
      </c>
      <c r="E70" s="112">
        <v>10.41</v>
      </c>
      <c r="F70" s="112">
        <v>6.35</v>
      </c>
      <c r="G70" s="112">
        <v>75.98</v>
      </c>
      <c r="H70" s="112">
        <v>29.17</v>
      </c>
      <c r="I70" s="112">
        <v>10.47</v>
      </c>
      <c r="J70" s="112">
        <v>0.94</v>
      </c>
      <c r="K70" s="112">
        <v>47.07</v>
      </c>
      <c r="L70" s="112">
        <v>23.62</v>
      </c>
      <c r="M70" s="112">
        <v>66.069999999999993</v>
      </c>
      <c r="N70" s="112">
        <v>39.799999999999997</v>
      </c>
      <c r="O70" s="112">
        <v>0</v>
      </c>
      <c r="P70" s="112">
        <v>0.84</v>
      </c>
      <c r="Q70" s="112">
        <v>10.199999999999999</v>
      </c>
    </row>
    <row r="71" spans="1:17" customFormat="1">
      <c r="A71" s="80">
        <v>45626.65625</v>
      </c>
      <c r="B71" s="112">
        <v>5.0599999999999996</v>
      </c>
      <c r="C71" s="112">
        <v>20.82</v>
      </c>
      <c r="D71" s="112">
        <v>16.28</v>
      </c>
      <c r="E71" s="112">
        <v>10.68</v>
      </c>
      <c r="F71" s="112">
        <v>6.24</v>
      </c>
      <c r="G71" s="112">
        <v>75.98</v>
      </c>
      <c r="H71" s="112">
        <v>29.17</v>
      </c>
      <c r="I71" s="112">
        <v>10.43</v>
      </c>
      <c r="J71" s="112">
        <v>0.73</v>
      </c>
      <c r="K71" s="112">
        <v>55.43</v>
      </c>
      <c r="L71" s="112">
        <v>23.64</v>
      </c>
      <c r="M71" s="112">
        <v>65.98</v>
      </c>
      <c r="N71" s="112">
        <v>42.7</v>
      </c>
      <c r="O71" s="112">
        <v>0</v>
      </c>
      <c r="P71" s="112">
        <v>0.84</v>
      </c>
      <c r="Q71" s="112">
        <v>10.19</v>
      </c>
    </row>
    <row r="72" spans="1:17" customFormat="1">
      <c r="A72" s="80">
        <v>45626.666666666664</v>
      </c>
      <c r="B72" s="112">
        <v>5.09</v>
      </c>
      <c r="C72" s="112">
        <v>20.93</v>
      </c>
      <c r="D72" s="112">
        <v>16.37</v>
      </c>
      <c r="E72" s="112">
        <v>10.55</v>
      </c>
      <c r="F72" s="112">
        <v>6</v>
      </c>
      <c r="G72" s="112">
        <v>75.98</v>
      </c>
      <c r="H72" s="112">
        <v>29.17</v>
      </c>
      <c r="I72" s="112">
        <v>10.4</v>
      </c>
      <c r="J72" s="112">
        <v>0.5</v>
      </c>
      <c r="K72" s="112">
        <v>82.44</v>
      </c>
      <c r="L72" s="112">
        <v>23.77</v>
      </c>
      <c r="M72" s="112">
        <v>64.64</v>
      </c>
      <c r="N72" s="112">
        <v>40.200000000000003</v>
      </c>
      <c r="O72" s="112">
        <v>0</v>
      </c>
      <c r="P72" s="112">
        <v>0.85</v>
      </c>
      <c r="Q72" s="112">
        <v>10.19</v>
      </c>
    </row>
    <row r="73" spans="1:17" customFormat="1">
      <c r="A73" s="80">
        <v>45626.677083333336</v>
      </c>
      <c r="B73" s="112">
        <v>5.03</v>
      </c>
      <c r="C73" s="112">
        <v>20.89</v>
      </c>
      <c r="D73" s="112">
        <v>16.3</v>
      </c>
      <c r="E73" s="112">
        <v>10.6</v>
      </c>
      <c r="F73" s="112">
        <v>6.29</v>
      </c>
      <c r="G73" s="112">
        <v>75.989999999999995</v>
      </c>
      <c r="H73" s="112">
        <v>29.12</v>
      </c>
      <c r="I73" s="112">
        <v>10.37</v>
      </c>
      <c r="J73" s="112">
        <v>0.7</v>
      </c>
      <c r="K73" s="112">
        <v>61.54</v>
      </c>
      <c r="L73" s="112">
        <v>23.45</v>
      </c>
      <c r="M73" s="112">
        <v>65.84</v>
      </c>
      <c r="N73" s="112">
        <v>19.5</v>
      </c>
      <c r="O73" s="112">
        <v>0</v>
      </c>
      <c r="P73" s="112">
        <v>0.86</v>
      </c>
      <c r="Q73" s="112">
        <v>10.210000000000001</v>
      </c>
    </row>
    <row r="74" spans="1:17" customFormat="1">
      <c r="A74" s="80">
        <v>45626.6875</v>
      </c>
      <c r="B74" s="112">
        <v>5.03</v>
      </c>
      <c r="C74" s="112">
        <v>21.05</v>
      </c>
      <c r="D74" s="112">
        <v>16.38</v>
      </c>
      <c r="E74" s="112">
        <v>10.58</v>
      </c>
      <c r="F74" s="112">
        <v>6.5</v>
      </c>
      <c r="G74" s="112">
        <v>76.599999999999994</v>
      </c>
      <c r="H74" s="112">
        <v>27.53</v>
      </c>
      <c r="I74" s="112">
        <v>10.35</v>
      </c>
      <c r="J74" s="112">
        <v>0.71</v>
      </c>
      <c r="K74" s="112">
        <v>59.89</v>
      </c>
      <c r="L74" s="112">
        <v>23.27</v>
      </c>
      <c r="M74" s="112">
        <v>67.72</v>
      </c>
      <c r="N74" s="112">
        <v>15.9</v>
      </c>
      <c r="O74" s="112">
        <v>0</v>
      </c>
      <c r="P74" s="112">
        <v>0.86</v>
      </c>
      <c r="Q74" s="112">
        <v>10.210000000000001</v>
      </c>
    </row>
    <row r="75" spans="1:17" customFormat="1">
      <c r="A75" s="80">
        <v>45626.697916666664</v>
      </c>
      <c r="B75" s="112">
        <v>5.18</v>
      </c>
      <c r="C75" s="112">
        <v>20.98</v>
      </c>
      <c r="D75" s="112">
        <v>16.47</v>
      </c>
      <c r="E75" s="112">
        <v>10.76</v>
      </c>
      <c r="F75" s="112">
        <v>6.23</v>
      </c>
      <c r="G75" s="112">
        <v>76.599999999999994</v>
      </c>
      <c r="H75" s="112">
        <v>27.53</v>
      </c>
      <c r="I75" s="112">
        <v>10.33</v>
      </c>
      <c r="J75" s="112">
        <v>0.48</v>
      </c>
      <c r="K75" s="112">
        <v>76.75</v>
      </c>
      <c r="L75" s="112">
        <v>22.92</v>
      </c>
      <c r="M75" s="112">
        <v>70.569999999999993</v>
      </c>
      <c r="N75" s="112">
        <v>14.7</v>
      </c>
      <c r="O75" s="112">
        <v>0</v>
      </c>
      <c r="P75" s="112">
        <v>0.87</v>
      </c>
      <c r="Q75" s="112">
        <v>10.19</v>
      </c>
    </row>
    <row r="76" spans="1:17" customFormat="1">
      <c r="A76" s="80">
        <v>45626.708333333336</v>
      </c>
      <c r="B76" s="112">
        <v>5.28</v>
      </c>
      <c r="C76" s="112">
        <v>20.96</v>
      </c>
      <c r="D76" s="112">
        <v>16.53</v>
      </c>
      <c r="E76" s="112">
        <v>10.66</v>
      </c>
      <c r="F76" s="112">
        <v>6.02</v>
      </c>
      <c r="G76" s="112">
        <v>76.599999999999994</v>
      </c>
      <c r="H76" s="112">
        <v>27.53</v>
      </c>
      <c r="I76" s="112">
        <v>10.32</v>
      </c>
      <c r="J76" s="112">
        <v>0.37</v>
      </c>
      <c r="K76" s="112">
        <v>66.650000000000006</v>
      </c>
      <c r="L76" s="112">
        <v>22.75</v>
      </c>
      <c r="M76" s="112">
        <v>72.27</v>
      </c>
      <c r="N76" s="112">
        <v>7.9</v>
      </c>
      <c r="O76" s="112">
        <v>0</v>
      </c>
      <c r="P76" s="112">
        <v>0.87</v>
      </c>
      <c r="Q76" s="112">
        <v>10.18</v>
      </c>
    </row>
    <row r="77" spans="1:17" customFormat="1">
      <c r="A77" s="80">
        <v>45626.71875</v>
      </c>
      <c r="B77" s="112">
        <v>5.38</v>
      </c>
      <c r="C77" s="112">
        <v>20.86</v>
      </c>
      <c r="D77" s="112">
        <v>16.57</v>
      </c>
      <c r="E77" s="112">
        <v>10.220000000000001</v>
      </c>
      <c r="F77" s="112">
        <v>5.96</v>
      </c>
      <c r="G77" s="112">
        <v>76.48</v>
      </c>
      <c r="H77" s="112">
        <v>27.53</v>
      </c>
      <c r="I77" s="112">
        <v>10.39</v>
      </c>
      <c r="J77" s="112">
        <v>0.41</v>
      </c>
      <c r="K77" s="112">
        <v>65.97</v>
      </c>
      <c r="L77" s="112">
        <v>22.46</v>
      </c>
      <c r="M77" s="112">
        <v>74.23</v>
      </c>
      <c r="N77" s="112">
        <v>3.1</v>
      </c>
      <c r="O77" s="112">
        <v>0</v>
      </c>
      <c r="P77" s="112">
        <v>0.88</v>
      </c>
      <c r="Q77" s="112">
        <v>10.18</v>
      </c>
    </row>
    <row r="78" spans="1:17" customFormat="1">
      <c r="A78" s="80">
        <v>45626.729166666664</v>
      </c>
      <c r="B78" s="112">
        <v>5.48</v>
      </c>
      <c r="C78" s="112">
        <v>20.87</v>
      </c>
      <c r="D78" s="112">
        <v>16.649999999999999</v>
      </c>
      <c r="E78" s="112">
        <v>10.039999999999999</v>
      </c>
      <c r="F78" s="112">
        <v>5.99</v>
      </c>
      <c r="G78" s="112">
        <v>71.09</v>
      </c>
      <c r="H78" s="112">
        <v>27.48</v>
      </c>
      <c r="I78" s="112">
        <v>10.48</v>
      </c>
      <c r="J78" s="112">
        <v>0.48</v>
      </c>
      <c r="K78" s="112">
        <v>59.6</v>
      </c>
      <c r="L78" s="112">
        <v>22.25</v>
      </c>
      <c r="M78" s="112">
        <v>75.25</v>
      </c>
      <c r="N78" s="112">
        <v>2.4</v>
      </c>
      <c r="O78" s="112">
        <v>0</v>
      </c>
      <c r="P78" s="112">
        <v>0.88</v>
      </c>
      <c r="Q78" s="112">
        <v>10.18</v>
      </c>
    </row>
    <row r="79" spans="1:17" customFormat="1">
      <c r="A79" s="80">
        <v>45626.739583333336</v>
      </c>
      <c r="B79" s="112">
        <v>5.69</v>
      </c>
      <c r="C79" s="112">
        <v>20.46</v>
      </c>
      <c r="D79" s="112">
        <v>16.600000000000001</v>
      </c>
      <c r="E79" s="112">
        <v>10.11</v>
      </c>
      <c r="F79" s="112">
        <v>5.89</v>
      </c>
      <c r="G79" s="112">
        <v>71.09</v>
      </c>
      <c r="H79" s="112">
        <v>27.48</v>
      </c>
      <c r="I79" s="112">
        <v>10.51</v>
      </c>
      <c r="J79" s="112">
        <v>0.62</v>
      </c>
      <c r="K79" s="112">
        <v>58.27</v>
      </c>
      <c r="L79" s="112">
        <v>22.1</v>
      </c>
      <c r="M79" s="112">
        <v>76.88</v>
      </c>
      <c r="N79" s="112">
        <v>2.2999999999999998</v>
      </c>
      <c r="O79" s="112">
        <v>0</v>
      </c>
      <c r="P79" s="112">
        <v>0.89</v>
      </c>
      <c r="Q79" s="112">
        <v>10.199999999999999</v>
      </c>
    </row>
    <row r="80" spans="1:17" customFormat="1">
      <c r="A80" s="80">
        <v>45626.75</v>
      </c>
      <c r="B80" s="112">
        <v>5.9</v>
      </c>
      <c r="C80" s="112">
        <v>20.03</v>
      </c>
      <c r="D80" s="112">
        <v>16.55</v>
      </c>
      <c r="E80" s="112">
        <v>10.25</v>
      </c>
      <c r="F80" s="112">
        <v>6.12</v>
      </c>
      <c r="G80" s="112">
        <v>71.09</v>
      </c>
      <c r="H80" s="112">
        <v>27.48</v>
      </c>
      <c r="I80" s="112">
        <v>10.54</v>
      </c>
      <c r="J80" s="112">
        <v>0.9</v>
      </c>
      <c r="K80" s="112">
        <v>50.51</v>
      </c>
      <c r="L80" s="112">
        <v>21.87</v>
      </c>
      <c r="M80" s="112">
        <v>78.13</v>
      </c>
      <c r="N80" s="112">
        <v>2.2999999999999998</v>
      </c>
      <c r="O80" s="112">
        <v>0</v>
      </c>
      <c r="P80" s="112">
        <v>0.89</v>
      </c>
      <c r="Q80" s="112">
        <v>10.199999999999999</v>
      </c>
    </row>
    <row r="81" spans="1:17" customFormat="1">
      <c r="A81" s="80">
        <v>45626.760416666664</v>
      </c>
      <c r="B81" s="112">
        <v>6.09</v>
      </c>
      <c r="C81" s="112">
        <v>20.04</v>
      </c>
      <c r="D81" s="112">
        <v>16.71</v>
      </c>
      <c r="E81" s="112">
        <v>8.17</v>
      </c>
      <c r="F81" s="112">
        <v>5.78</v>
      </c>
      <c r="G81" s="112">
        <v>71.08</v>
      </c>
      <c r="H81" s="112">
        <v>27.44</v>
      </c>
      <c r="I81" s="112">
        <v>10.56</v>
      </c>
      <c r="J81" s="112">
        <v>0.65</v>
      </c>
      <c r="K81" s="112">
        <v>62.67</v>
      </c>
      <c r="L81" s="112">
        <v>21.69</v>
      </c>
      <c r="M81" s="112">
        <v>79.09</v>
      </c>
      <c r="N81" s="112">
        <v>2</v>
      </c>
      <c r="O81" s="112">
        <v>0</v>
      </c>
      <c r="P81" s="112">
        <v>0.93</v>
      </c>
      <c r="Q81" s="112">
        <v>10.210000000000001</v>
      </c>
    </row>
    <row r="82" spans="1:17" customFormat="1">
      <c r="A82" s="80">
        <v>45626.770833333336</v>
      </c>
      <c r="B82" s="112">
        <v>6.1</v>
      </c>
      <c r="C82" s="112">
        <v>20.65</v>
      </c>
      <c r="D82" s="112">
        <v>17.03</v>
      </c>
      <c r="E82" s="112">
        <v>9.6</v>
      </c>
      <c r="F82" s="112">
        <v>5.65</v>
      </c>
      <c r="G82" s="112">
        <v>70.69</v>
      </c>
      <c r="H82" s="112">
        <v>25.03</v>
      </c>
      <c r="I82" s="112">
        <v>10.58</v>
      </c>
      <c r="J82" s="112">
        <v>0.53</v>
      </c>
      <c r="K82" s="112">
        <v>56.24</v>
      </c>
      <c r="L82" s="112">
        <v>21.75</v>
      </c>
      <c r="M82" s="112">
        <v>79.459999999999994</v>
      </c>
      <c r="N82" s="112">
        <v>2.1</v>
      </c>
      <c r="O82" s="112">
        <v>0</v>
      </c>
      <c r="P82" s="112">
        <v>0.93</v>
      </c>
      <c r="Q82" s="112">
        <v>10.199999999999999</v>
      </c>
    </row>
    <row r="83" spans="1:17" customFormat="1">
      <c r="A83" s="80">
        <v>45626.78125</v>
      </c>
      <c r="B83" s="112">
        <v>6.48</v>
      </c>
      <c r="C83" s="112">
        <v>21.27</v>
      </c>
      <c r="D83" s="112">
        <v>17.66</v>
      </c>
      <c r="E83" s="112">
        <v>9.43</v>
      </c>
      <c r="F83" s="112">
        <v>5.47</v>
      </c>
      <c r="G83" s="112">
        <v>70.69</v>
      </c>
      <c r="H83" s="112">
        <v>25.03</v>
      </c>
      <c r="I83" s="112">
        <v>10.61</v>
      </c>
      <c r="J83" s="112">
        <v>0.6</v>
      </c>
      <c r="K83" s="112">
        <v>53.32</v>
      </c>
      <c r="L83" s="112">
        <v>21.42</v>
      </c>
      <c r="M83" s="112">
        <v>81.78</v>
      </c>
      <c r="N83" s="112">
        <v>2.1</v>
      </c>
      <c r="O83" s="112">
        <v>0</v>
      </c>
      <c r="P83" s="112">
        <v>0.95</v>
      </c>
      <c r="Q83" s="112">
        <v>10.19</v>
      </c>
    </row>
    <row r="84" spans="1:17" customFormat="1">
      <c r="A84" s="80">
        <v>45626.791666666664</v>
      </c>
      <c r="B84" s="112">
        <v>7.1</v>
      </c>
      <c r="C84" s="112">
        <v>21.72</v>
      </c>
      <c r="D84" s="112">
        <v>18.39</v>
      </c>
      <c r="E84" s="112">
        <v>9.7899999999999991</v>
      </c>
      <c r="F84" s="112">
        <v>5.51</v>
      </c>
      <c r="G84" s="112">
        <v>70.69</v>
      </c>
      <c r="H84" s="112">
        <v>25.03</v>
      </c>
      <c r="I84" s="112">
        <v>10.66</v>
      </c>
      <c r="J84" s="112">
        <v>0.57999999999999996</v>
      </c>
      <c r="K84" s="112">
        <v>50.27</v>
      </c>
      <c r="L84" s="112">
        <v>21.32</v>
      </c>
      <c r="M84" s="112">
        <v>82.91</v>
      </c>
      <c r="N84" s="112">
        <v>2.1</v>
      </c>
      <c r="O84" s="112">
        <v>0</v>
      </c>
      <c r="P84" s="112">
        <v>0.97</v>
      </c>
      <c r="Q84" s="112">
        <v>10.199999999999999</v>
      </c>
    </row>
    <row r="85" spans="1:17" customFormat="1">
      <c r="A85" s="80">
        <v>45626.802083333336</v>
      </c>
      <c r="B85" s="112">
        <v>7.26</v>
      </c>
      <c r="C85" s="112">
        <v>21.97</v>
      </c>
      <c r="D85" s="112">
        <v>18.649999999999999</v>
      </c>
      <c r="E85" s="112">
        <v>9.5399999999999991</v>
      </c>
      <c r="F85" s="112">
        <v>5.56</v>
      </c>
      <c r="G85" s="112">
        <v>70.790000000000006</v>
      </c>
      <c r="H85" s="112">
        <v>25.07</v>
      </c>
      <c r="I85" s="112">
        <v>10.74</v>
      </c>
      <c r="J85" s="112">
        <v>0.37</v>
      </c>
      <c r="K85" s="112">
        <v>72.05</v>
      </c>
      <c r="L85" s="112">
        <v>21.4</v>
      </c>
      <c r="M85" s="112">
        <v>82.8</v>
      </c>
      <c r="N85" s="112">
        <v>1.9</v>
      </c>
      <c r="O85" s="112">
        <v>0</v>
      </c>
      <c r="P85" s="112">
        <v>0.97</v>
      </c>
      <c r="Q85" s="112">
        <v>10.19</v>
      </c>
    </row>
    <row r="86" spans="1:17" customFormat="1">
      <c r="A86" s="80">
        <v>45626.8125</v>
      </c>
      <c r="B86" s="112">
        <v>7.28</v>
      </c>
      <c r="C86" s="112">
        <v>22.21</v>
      </c>
      <c r="D86" s="112">
        <v>18.79</v>
      </c>
      <c r="E86" s="112">
        <v>10.41</v>
      </c>
      <c r="F86" s="112">
        <v>5.2</v>
      </c>
      <c r="G86" s="112">
        <v>75.510000000000005</v>
      </c>
      <c r="H86" s="112">
        <v>26.48</v>
      </c>
      <c r="I86" s="112">
        <v>10.79</v>
      </c>
      <c r="J86" s="112">
        <v>0.44</v>
      </c>
      <c r="K86" s="112">
        <v>67.790000000000006</v>
      </c>
      <c r="L86" s="112">
        <v>21.26</v>
      </c>
      <c r="M86" s="112">
        <v>83.84</v>
      </c>
      <c r="N86" s="112">
        <v>2</v>
      </c>
      <c r="O86" s="112">
        <v>0</v>
      </c>
      <c r="P86" s="112">
        <v>0.97</v>
      </c>
      <c r="Q86" s="112">
        <v>10.19</v>
      </c>
    </row>
    <row r="87" spans="1:17" customFormat="1">
      <c r="A87" s="80">
        <v>45626.822916666664</v>
      </c>
      <c r="B87" s="112">
        <v>7.45</v>
      </c>
      <c r="C87" s="112">
        <v>22.26</v>
      </c>
      <c r="D87" s="112">
        <v>18.96</v>
      </c>
      <c r="E87" s="112">
        <v>9.81</v>
      </c>
      <c r="F87" s="112">
        <v>5.28</v>
      </c>
      <c r="G87" s="112">
        <v>75.510000000000005</v>
      </c>
      <c r="H87" s="112">
        <v>26.48</v>
      </c>
      <c r="I87" s="112">
        <v>10.82</v>
      </c>
      <c r="J87" s="112">
        <v>0.41</v>
      </c>
      <c r="K87" s="112">
        <v>65.84</v>
      </c>
      <c r="L87" s="112">
        <v>21.07</v>
      </c>
      <c r="M87" s="112">
        <v>85.31</v>
      </c>
      <c r="N87" s="112">
        <v>2</v>
      </c>
      <c r="O87" s="112">
        <v>0</v>
      </c>
      <c r="P87" s="112">
        <v>0.97</v>
      </c>
      <c r="Q87" s="112">
        <v>10.199999999999999</v>
      </c>
    </row>
    <row r="88" spans="1:17" customFormat="1">
      <c r="A88" s="80">
        <v>45626.833333333336</v>
      </c>
      <c r="B88" s="112">
        <v>7.43</v>
      </c>
      <c r="C88" s="112">
        <v>22.15</v>
      </c>
      <c r="D88" s="112">
        <v>18.88</v>
      </c>
      <c r="E88" s="112">
        <v>9.86</v>
      </c>
      <c r="F88" s="112">
        <v>5.34</v>
      </c>
      <c r="G88" s="112">
        <v>75.510000000000005</v>
      </c>
      <c r="H88" s="112">
        <v>26.48</v>
      </c>
      <c r="I88" s="112">
        <v>10.83</v>
      </c>
      <c r="J88" s="112">
        <v>0.26</v>
      </c>
      <c r="K88" s="112">
        <v>144.21</v>
      </c>
      <c r="L88" s="112">
        <v>21.11</v>
      </c>
      <c r="M88" s="112">
        <v>85.44</v>
      </c>
      <c r="N88" s="112">
        <v>1.8</v>
      </c>
      <c r="O88" s="112">
        <v>0</v>
      </c>
      <c r="P88" s="112">
        <v>0.97</v>
      </c>
      <c r="Q88" s="112">
        <v>10.17</v>
      </c>
    </row>
    <row r="89" spans="1:17" customFormat="1">
      <c r="A89" s="80">
        <v>45626.84375</v>
      </c>
      <c r="B89" s="112">
        <v>7.25</v>
      </c>
      <c r="C89" s="112">
        <v>21.98</v>
      </c>
      <c r="D89" s="112">
        <v>18.649999999999999</v>
      </c>
      <c r="E89" s="112">
        <v>9.49</v>
      </c>
      <c r="F89" s="112">
        <v>5.42</v>
      </c>
      <c r="G89" s="112">
        <v>75.42</v>
      </c>
      <c r="H89" s="112">
        <v>26.47</v>
      </c>
      <c r="I89" s="112">
        <v>10.79</v>
      </c>
      <c r="J89" s="112">
        <v>0.18</v>
      </c>
      <c r="K89" s="112">
        <v>137.82</v>
      </c>
      <c r="L89" s="112">
        <v>21.09</v>
      </c>
      <c r="M89" s="112">
        <v>85.41</v>
      </c>
      <c r="N89" s="112">
        <v>1.7</v>
      </c>
      <c r="O89" s="112">
        <v>0</v>
      </c>
      <c r="P89" s="112">
        <v>0.95</v>
      </c>
      <c r="Q89" s="112">
        <v>10.19</v>
      </c>
    </row>
    <row r="90" spans="1:17" customFormat="1">
      <c r="A90" s="80">
        <v>45626.854166666664</v>
      </c>
      <c r="B90" s="112">
        <v>7.04</v>
      </c>
      <c r="C90" s="112">
        <v>21.85</v>
      </c>
      <c r="D90" s="112">
        <v>18.41</v>
      </c>
      <c r="E90" s="112">
        <v>9.75</v>
      </c>
      <c r="F90" s="112">
        <v>5.62</v>
      </c>
      <c r="G90" s="112">
        <v>71.510000000000005</v>
      </c>
      <c r="H90" s="112">
        <v>26.2</v>
      </c>
      <c r="I90" s="112">
        <v>10.72</v>
      </c>
      <c r="J90" s="112">
        <v>0.15</v>
      </c>
      <c r="K90" s="112">
        <v>118.48</v>
      </c>
      <c r="L90" s="112">
        <v>21.03</v>
      </c>
      <c r="M90" s="112">
        <v>85.43</v>
      </c>
      <c r="N90" s="112">
        <v>1.8</v>
      </c>
      <c r="O90" s="112">
        <v>0</v>
      </c>
      <c r="P90" s="112">
        <v>0.94</v>
      </c>
      <c r="Q90" s="112">
        <v>10.18</v>
      </c>
    </row>
    <row r="91" spans="1:17" customFormat="1">
      <c r="A91" s="80">
        <v>45626.864583333336</v>
      </c>
      <c r="B91" s="112">
        <v>6.91</v>
      </c>
      <c r="C91" s="112">
        <v>21.73</v>
      </c>
      <c r="D91" s="112">
        <v>18.25</v>
      </c>
      <c r="E91" s="112">
        <v>9.9499999999999993</v>
      </c>
      <c r="F91" s="112">
        <v>5.6</v>
      </c>
      <c r="G91" s="112">
        <v>71.510000000000005</v>
      </c>
      <c r="H91" s="112">
        <v>26.2</v>
      </c>
      <c r="I91" s="112">
        <v>10.66</v>
      </c>
      <c r="J91" s="112">
        <v>0.23</v>
      </c>
      <c r="K91" s="112">
        <v>152.61000000000001</v>
      </c>
      <c r="L91" s="112">
        <v>21.03</v>
      </c>
      <c r="M91" s="112">
        <v>85.69</v>
      </c>
      <c r="N91" s="112">
        <v>1.6</v>
      </c>
      <c r="O91" s="112">
        <v>0</v>
      </c>
      <c r="P91" s="112">
        <v>0.94</v>
      </c>
      <c r="Q91" s="112">
        <v>10.18</v>
      </c>
    </row>
    <row r="92" spans="1:17" customFormat="1">
      <c r="A92" s="80">
        <v>45626.875</v>
      </c>
      <c r="B92" s="112">
        <v>6.83</v>
      </c>
      <c r="C92" s="112">
        <v>21.6</v>
      </c>
      <c r="D92" s="112">
        <v>18.12</v>
      </c>
      <c r="E92" s="112">
        <v>9.93</v>
      </c>
      <c r="F92" s="112">
        <v>5.92</v>
      </c>
      <c r="G92" s="112">
        <v>71.510000000000005</v>
      </c>
      <c r="H92" s="112">
        <v>26.2</v>
      </c>
      <c r="I92" s="112">
        <v>10.62</v>
      </c>
      <c r="J92" s="112">
        <v>0.19</v>
      </c>
      <c r="K92" s="112">
        <v>157.66</v>
      </c>
      <c r="L92" s="112">
        <v>20.83</v>
      </c>
      <c r="M92" s="112">
        <v>86.92</v>
      </c>
      <c r="N92" s="112">
        <v>1.8</v>
      </c>
      <c r="O92" s="112">
        <v>0</v>
      </c>
      <c r="P92" s="112">
        <v>0.94</v>
      </c>
      <c r="Q92" s="112">
        <v>10.199999999999999</v>
      </c>
    </row>
    <row r="93" spans="1:17" customFormat="1">
      <c r="A93" s="80">
        <v>45626.885416666664</v>
      </c>
      <c r="B93" s="112">
        <v>6.7</v>
      </c>
      <c r="C93" s="112">
        <v>21.32</v>
      </c>
      <c r="D93" s="112">
        <v>17.86</v>
      </c>
      <c r="E93" s="112">
        <v>9.84</v>
      </c>
      <c r="F93" s="112">
        <v>5.93</v>
      </c>
      <c r="G93" s="112">
        <v>71.42</v>
      </c>
      <c r="H93" s="112">
        <v>26.19</v>
      </c>
      <c r="I93" s="112">
        <v>10.61</v>
      </c>
      <c r="J93" s="112">
        <v>0.13</v>
      </c>
      <c r="K93" s="112">
        <v>159.18</v>
      </c>
      <c r="L93" s="112">
        <v>20.55</v>
      </c>
      <c r="M93" s="112">
        <v>88.77</v>
      </c>
      <c r="N93" s="112">
        <v>1.9</v>
      </c>
      <c r="O93" s="112">
        <v>0</v>
      </c>
      <c r="P93" s="112">
        <v>0.94</v>
      </c>
      <c r="Q93" s="112">
        <v>10.19</v>
      </c>
    </row>
    <row r="94" spans="1:17" customFormat="1">
      <c r="A94" s="80">
        <v>45626.895833333336</v>
      </c>
      <c r="B94" s="112">
        <v>6.58</v>
      </c>
      <c r="C94" s="112">
        <v>20.9</v>
      </c>
      <c r="D94" s="112">
        <v>17.55</v>
      </c>
      <c r="E94" s="112">
        <v>9.85</v>
      </c>
      <c r="F94" s="112">
        <v>5.42</v>
      </c>
      <c r="G94" s="112">
        <v>67.209999999999994</v>
      </c>
      <c r="H94" s="112">
        <v>26.01</v>
      </c>
      <c r="I94" s="112">
        <v>10.6</v>
      </c>
      <c r="J94" s="112">
        <v>0.14000000000000001</v>
      </c>
      <c r="K94" s="112">
        <v>178.32</v>
      </c>
      <c r="L94" s="112">
        <v>20.29</v>
      </c>
      <c r="M94" s="112">
        <v>90.59</v>
      </c>
      <c r="N94" s="112">
        <v>1.8</v>
      </c>
      <c r="O94" s="112">
        <v>0</v>
      </c>
      <c r="P94" s="112">
        <v>0.93</v>
      </c>
      <c r="Q94" s="112">
        <v>10.19</v>
      </c>
    </row>
    <row r="95" spans="1:17" customFormat="1">
      <c r="A95" s="80">
        <v>45626.90625</v>
      </c>
      <c r="B95" s="112">
        <v>6.48</v>
      </c>
      <c r="C95" s="112">
        <v>20.58</v>
      </c>
      <c r="D95" s="112">
        <v>17.29</v>
      </c>
      <c r="E95" s="112">
        <v>10.28</v>
      </c>
      <c r="F95" s="112">
        <v>5.96</v>
      </c>
      <c r="G95" s="112">
        <v>67.209999999999994</v>
      </c>
      <c r="H95" s="112">
        <v>26.01</v>
      </c>
      <c r="I95" s="112">
        <v>10.58</v>
      </c>
      <c r="J95" s="112">
        <v>0.14000000000000001</v>
      </c>
      <c r="K95" s="112">
        <v>151.32</v>
      </c>
      <c r="L95" s="112">
        <v>20.260000000000002</v>
      </c>
      <c r="M95" s="112">
        <v>91.22</v>
      </c>
      <c r="N95" s="112">
        <v>1.7</v>
      </c>
      <c r="O95" s="112">
        <v>0</v>
      </c>
      <c r="P95" s="112">
        <v>0.93</v>
      </c>
      <c r="Q95" s="112">
        <v>10.18</v>
      </c>
    </row>
    <row r="96" spans="1:17" customFormat="1">
      <c r="A96" s="80">
        <v>45626.916666666664</v>
      </c>
      <c r="B96" s="112">
        <v>6.43</v>
      </c>
      <c r="C96" s="112">
        <v>20.48</v>
      </c>
      <c r="D96" s="112">
        <v>17.2</v>
      </c>
      <c r="E96" s="112">
        <v>10.06</v>
      </c>
      <c r="F96" s="112">
        <v>5.54</v>
      </c>
      <c r="G96" s="112">
        <v>67.209999999999994</v>
      </c>
      <c r="H96" s="112">
        <v>26.01</v>
      </c>
      <c r="I96" s="112">
        <v>10.56</v>
      </c>
      <c r="J96" s="112">
        <v>0.17</v>
      </c>
      <c r="K96" s="112">
        <v>129.97999999999999</v>
      </c>
      <c r="L96" s="112">
        <v>20.63</v>
      </c>
      <c r="M96" s="112">
        <v>90.29</v>
      </c>
      <c r="N96" s="112">
        <v>1.7</v>
      </c>
      <c r="O96" s="112">
        <v>0</v>
      </c>
      <c r="P96" s="112">
        <v>0.93</v>
      </c>
      <c r="Q96" s="112">
        <v>10.18</v>
      </c>
    </row>
    <row r="97" spans="1:22" customFormat="1">
      <c r="A97" s="80">
        <v>45626.927083333336</v>
      </c>
      <c r="B97" s="112">
        <v>6.62</v>
      </c>
      <c r="C97" s="112">
        <v>20.47</v>
      </c>
      <c r="D97" s="112">
        <v>17.350000000000001</v>
      </c>
      <c r="E97" s="112">
        <v>10</v>
      </c>
      <c r="F97" s="112">
        <v>5.56</v>
      </c>
      <c r="G97" s="112">
        <v>67.09</v>
      </c>
      <c r="H97" s="112">
        <v>25.91</v>
      </c>
      <c r="I97" s="112">
        <v>10.57</v>
      </c>
      <c r="J97" s="112">
        <v>0.32</v>
      </c>
      <c r="K97" s="112">
        <v>80.040000000000006</v>
      </c>
      <c r="L97" s="112">
        <v>20.68</v>
      </c>
      <c r="M97" s="112">
        <v>90.46</v>
      </c>
      <c r="N97" s="112">
        <v>1.9</v>
      </c>
      <c r="O97" s="112">
        <v>0</v>
      </c>
      <c r="P97" s="112">
        <v>0.91</v>
      </c>
      <c r="Q97" s="112">
        <v>10.19</v>
      </c>
    </row>
    <row r="98" spans="1:22" customFormat="1">
      <c r="A98" s="80">
        <v>45626.9375</v>
      </c>
      <c r="B98" s="112">
        <v>6.82</v>
      </c>
      <c r="C98" s="112">
        <v>20.34</v>
      </c>
      <c r="D98" s="112">
        <v>17.45</v>
      </c>
      <c r="E98" s="112">
        <v>10.11</v>
      </c>
      <c r="F98" s="112">
        <v>6.01</v>
      </c>
      <c r="G98" s="112">
        <v>62</v>
      </c>
      <c r="H98" s="112">
        <v>22.74</v>
      </c>
      <c r="I98" s="112">
        <v>10.57</v>
      </c>
      <c r="J98" s="112">
        <v>0.45</v>
      </c>
      <c r="K98" s="112">
        <v>82.77</v>
      </c>
      <c r="L98" s="112">
        <v>20.67</v>
      </c>
      <c r="M98" s="112">
        <v>90.5</v>
      </c>
      <c r="N98" s="112">
        <v>2</v>
      </c>
      <c r="O98" s="112">
        <v>0</v>
      </c>
      <c r="P98" s="112">
        <v>0.9</v>
      </c>
      <c r="Q98" s="112">
        <v>10.18</v>
      </c>
    </row>
    <row r="99" spans="1:22" customFormat="1">
      <c r="A99" s="80">
        <v>45626.947916666664</v>
      </c>
      <c r="B99" s="112">
        <v>6.81</v>
      </c>
      <c r="C99" s="112">
        <v>20.13</v>
      </c>
      <c r="D99" s="112">
        <v>17.329999999999998</v>
      </c>
      <c r="E99" s="112">
        <v>9.93</v>
      </c>
      <c r="F99" s="112">
        <v>9.3699999999999992</v>
      </c>
      <c r="G99" s="112">
        <v>62</v>
      </c>
      <c r="H99" s="112">
        <v>22.74</v>
      </c>
      <c r="I99" s="112">
        <v>10.49</v>
      </c>
      <c r="J99" s="112">
        <v>0.26</v>
      </c>
      <c r="K99" s="112">
        <v>100.42</v>
      </c>
      <c r="L99" s="112">
        <v>20.67</v>
      </c>
      <c r="M99" s="112">
        <v>90.24</v>
      </c>
      <c r="N99" s="112">
        <v>2.1</v>
      </c>
      <c r="O99" s="112">
        <v>0</v>
      </c>
      <c r="P99" s="112">
        <v>0.88</v>
      </c>
      <c r="Q99" s="112">
        <v>10.19</v>
      </c>
    </row>
    <row r="100" spans="1:22" customFormat="1">
      <c r="A100" s="80">
        <v>45626.958333333336</v>
      </c>
      <c r="B100" s="112">
        <v>6.69</v>
      </c>
      <c r="C100" s="112">
        <v>20.13</v>
      </c>
      <c r="D100" s="112">
        <v>17.23</v>
      </c>
      <c r="E100" s="112">
        <v>10.029999999999999</v>
      </c>
      <c r="F100" s="112">
        <v>7.24</v>
      </c>
      <c r="G100" s="112">
        <v>62</v>
      </c>
      <c r="H100" s="112">
        <v>22.74</v>
      </c>
      <c r="I100" s="112">
        <v>10.34</v>
      </c>
      <c r="J100" s="112">
        <v>0.2</v>
      </c>
      <c r="K100" s="112">
        <v>122.36</v>
      </c>
      <c r="L100" s="112">
        <v>20.63</v>
      </c>
      <c r="M100" s="112">
        <v>90.47</v>
      </c>
      <c r="N100" s="112">
        <v>2.2000000000000002</v>
      </c>
      <c r="O100" s="112">
        <v>0</v>
      </c>
      <c r="P100" s="112">
        <v>0.87</v>
      </c>
      <c r="Q100" s="112">
        <v>10.18</v>
      </c>
    </row>
    <row r="101" spans="1:22" customFormat="1">
      <c r="A101" s="80">
        <v>45626.96875</v>
      </c>
      <c r="B101" s="112">
        <v>6.76</v>
      </c>
      <c r="C101" s="112">
        <v>19.84</v>
      </c>
      <c r="D101" s="112">
        <v>17.14</v>
      </c>
      <c r="E101" s="112">
        <v>10.52</v>
      </c>
      <c r="F101" s="112">
        <v>6.85</v>
      </c>
      <c r="G101" s="112">
        <v>61.81</v>
      </c>
      <c r="H101" s="112">
        <v>22.67</v>
      </c>
      <c r="I101" s="112">
        <v>10.17</v>
      </c>
      <c r="J101" s="112">
        <v>0.27</v>
      </c>
      <c r="K101" s="112">
        <v>88.32</v>
      </c>
      <c r="L101" s="112">
        <v>20.53</v>
      </c>
      <c r="M101" s="112">
        <v>91.05</v>
      </c>
      <c r="N101" s="112">
        <v>2.2999999999999998</v>
      </c>
      <c r="O101" s="112">
        <v>0</v>
      </c>
      <c r="P101" s="112">
        <v>0.85</v>
      </c>
      <c r="Q101" s="112">
        <v>10.16</v>
      </c>
    </row>
    <row r="102" spans="1:22" customFormat="1">
      <c r="A102" s="80">
        <v>45626.979166666664</v>
      </c>
      <c r="B102" s="112">
        <v>6.92</v>
      </c>
      <c r="C102" s="112">
        <v>19.57</v>
      </c>
      <c r="D102" s="112">
        <v>17.12</v>
      </c>
      <c r="E102" s="112">
        <v>10.130000000000001</v>
      </c>
      <c r="F102" s="112">
        <v>5.16</v>
      </c>
      <c r="G102" s="112">
        <v>53.53</v>
      </c>
      <c r="H102" s="112">
        <v>20.51</v>
      </c>
      <c r="I102" s="112">
        <v>10</v>
      </c>
      <c r="J102" s="112">
        <v>0.34</v>
      </c>
      <c r="K102" s="112">
        <v>92.36</v>
      </c>
      <c r="L102" s="112">
        <v>20.36</v>
      </c>
      <c r="M102" s="112">
        <v>91.95</v>
      </c>
      <c r="N102" s="112">
        <v>2.2000000000000002</v>
      </c>
      <c r="O102" s="112">
        <v>0</v>
      </c>
      <c r="P102" s="112">
        <v>0.82</v>
      </c>
      <c r="Q102" s="112">
        <v>10.16</v>
      </c>
    </row>
    <row r="103" spans="1:22" customFormat="1">
      <c r="A103" s="80">
        <v>45626.989583333336</v>
      </c>
      <c r="B103" s="112">
        <v>7.17</v>
      </c>
      <c r="C103" s="112">
        <v>19.149999999999999</v>
      </c>
      <c r="D103" s="112">
        <v>17.11</v>
      </c>
      <c r="E103" s="112">
        <v>10.09</v>
      </c>
      <c r="F103" s="112">
        <v>5.08</v>
      </c>
      <c r="G103" s="112">
        <v>53.53</v>
      </c>
      <c r="H103" s="112">
        <v>20.51</v>
      </c>
      <c r="I103" s="112">
        <v>9.89</v>
      </c>
      <c r="J103" s="112">
        <v>0.22</v>
      </c>
      <c r="K103" s="112">
        <v>73.88</v>
      </c>
      <c r="L103" s="112">
        <v>20.39</v>
      </c>
      <c r="M103" s="112">
        <v>92.23</v>
      </c>
      <c r="N103" s="112">
        <v>2.1</v>
      </c>
      <c r="O103" s="112">
        <v>0</v>
      </c>
      <c r="P103" s="112">
        <v>0.81</v>
      </c>
      <c r="Q103" s="112">
        <v>10.15</v>
      </c>
    </row>
    <row r="104" spans="1:22" customFormat="1">
      <c r="A104" s="80">
        <v>45627</v>
      </c>
      <c r="B104" s="112">
        <v>7.64</v>
      </c>
      <c r="C104" s="112">
        <v>18.940000000000001</v>
      </c>
      <c r="D104" s="112">
        <v>17.37</v>
      </c>
      <c r="E104" s="112">
        <v>10.11</v>
      </c>
      <c r="F104" s="112">
        <v>5.53</v>
      </c>
      <c r="G104" s="112">
        <v>53.53</v>
      </c>
      <c r="H104" s="112">
        <v>20.51</v>
      </c>
      <c r="I104" s="112">
        <v>9.8699999999999992</v>
      </c>
      <c r="J104" s="112">
        <v>0.43</v>
      </c>
      <c r="K104" s="112">
        <v>55.05</v>
      </c>
      <c r="L104" s="112">
        <v>20.46</v>
      </c>
      <c r="M104" s="112">
        <v>92.04</v>
      </c>
      <c r="N104" s="112">
        <v>2.1</v>
      </c>
      <c r="O104" s="112">
        <v>0</v>
      </c>
      <c r="P104" s="112">
        <v>0.79</v>
      </c>
      <c r="Q104" s="112">
        <v>10.14</v>
      </c>
    </row>
    <row r="105" spans="1:22">
      <c r="G105" s="32"/>
      <c r="H105" s="32"/>
      <c r="I105" s="32"/>
      <c r="L105" s="32"/>
      <c r="M105" s="32"/>
      <c r="N105" s="32"/>
      <c r="O105" s="32"/>
      <c r="P105" s="32"/>
      <c r="R105" s="11"/>
      <c r="S105" s="11"/>
      <c r="T105" s="11"/>
      <c r="U105" s="11"/>
    </row>
    <row r="106" spans="1:22">
      <c r="A106" s="182" t="s">
        <v>48</v>
      </c>
      <c r="B106" s="183">
        <f>MIN(B9:B104)</f>
        <v>4.12</v>
      </c>
      <c r="C106" s="183">
        <f>MIN(C9:C104)</f>
        <v>18.940000000000001</v>
      </c>
      <c r="D106" s="183">
        <f t="shared" ref="D106:Q106" si="0">MIN(D9:D104)</f>
        <v>15.94</v>
      </c>
      <c r="E106" s="183">
        <f t="shared" si="0"/>
        <v>7.11</v>
      </c>
      <c r="F106" s="183">
        <f t="shared" si="0"/>
        <v>4.7699999999999996</v>
      </c>
      <c r="G106" s="183">
        <f t="shared" si="0"/>
        <v>53.53</v>
      </c>
      <c r="H106" s="183">
        <f t="shared" si="0"/>
        <v>20.51</v>
      </c>
      <c r="I106" s="183">
        <f t="shared" si="0"/>
        <v>8.7799999999999994</v>
      </c>
      <c r="J106" s="183">
        <f t="shared" si="0"/>
        <v>0.13</v>
      </c>
      <c r="K106" s="183">
        <f t="shared" si="0"/>
        <v>33.24</v>
      </c>
      <c r="L106" s="183">
        <f t="shared" si="0"/>
        <v>17.329999999999998</v>
      </c>
      <c r="M106" s="183">
        <f t="shared" si="0"/>
        <v>61.87</v>
      </c>
      <c r="N106" s="183">
        <f t="shared" si="0"/>
        <v>1.6</v>
      </c>
      <c r="O106" s="183">
        <f t="shared" si="0"/>
        <v>0</v>
      </c>
      <c r="P106" s="183">
        <f t="shared" si="0"/>
        <v>0.76</v>
      </c>
      <c r="Q106" s="183">
        <f t="shared" si="0"/>
        <v>10.14</v>
      </c>
      <c r="R106" s="187"/>
      <c r="S106" s="187"/>
      <c r="T106" s="187"/>
      <c r="U106" s="187"/>
    </row>
    <row r="107" spans="1:22">
      <c r="A107" s="182" t="s">
        <v>49</v>
      </c>
      <c r="B107" s="184">
        <f>MAX(B9:B104)</f>
        <v>14.11</v>
      </c>
      <c r="C107" s="184">
        <f t="shared" ref="C107:Q107" si="1">MAX(C9:C104)</f>
        <v>23.75</v>
      </c>
      <c r="D107" s="184">
        <f t="shared" si="1"/>
        <v>23.66</v>
      </c>
      <c r="E107" s="184">
        <f t="shared" si="1"/>
        <v>10.91</v>
      </c>
      <c r="F107" s="184">
        <f t="shared" si="1"/>
        <v>9.3699999999999992</v>
      </c>
      <c r="G107" s="184">
        <f t="shared" si="1"/>
        <v>103.33</v>
      </c>
      <c r="H107" s="184">
        <f t="shared" si="1"/>
        <v>34.26</v>
      </c>
      <c r="I107" s="184">
        <f t="shared" si="1"/>
        <v>11.13</v>
      </c>
      <c r="J107" s="184">
        <f t="shared" si="1"/>
        <v>1.24</v>
      </c>
      <c r="K107" s="184">
        <f t="shared" si="1"/>
        <v>178.32</v>
      </c>
      <c r="L107" s="184">
        <f t="shared" si="1"/>
        <v>24.85</v>
      </c>
      <c r="M107" s="184">
        <f t="shared" si="1"/>
        <v>92.23</v>
      </c>
      <c r="N107" s="184">
        <f t="shared" si="1"/>
        <v>213.8</v>
      </c>
      <c r="O107" s="184">
        <f t="shared" si="1"/>
        <v>0</v>
      </c>
      <c r="P107" s="184">
        <f t="shared" si="1"/>
        <v>0.97</v>
      </c>
      <c r="Q107" s="184">
        <f t="shared" si="1"/>
        <v>10.38</v>
      </c>
      <c r="R107" s="188"/>
      <c r="S107" s="188"/>
      <c r="T107" s="188"/>
      <c r="U107" s="188"/>
    </row>
    <row r="108" spans="1:22">
      <c r="A108" s="182" t="s">
        <v>50</v>
      </c>
      <c r="B108" s="183">
        <f>AVERAGE(B9:B104)</f>
        <v>8.262812499999999</v>
      </c>
      <c r="C108" s="183">
        <f t="shared" ref="C108:Q108" si="2">AVERAGE(C9:C104)</f>
        <v>21.2621875</v>
      </c>
      <c r="D108" s="183">
        <f t="shared" si="2"/>
        <v>19.085833333333337</v>
      </c>
      <c r="E108" s="183">
        <f t="shared" si="2"/>
        <v>9.5751041666666641</v>
      </c>
      <c r="F108" s="183">
        <f t="shared" si="2"/>
        <v>6.0302083333333334</v>
      </c>
      <c r="G108" s="183">
        <f t="shared" si="2"/>
        <v>79.339166666666671</v>
      </c>
      <c r="H108" s="183">
        <f t="shared" si="2"/>
        <v>28.026354166666682</v>
      </c>
      <c r="I108" s="183">
        <f t="shared" si="2"/>
        <v>10.180208333333335</v>
      </c>
      <c r="J108" s="183">
        <f t="shared" si="2"/>
        <v>0.63374999999999981</v>
      </c>
      <c r="K108" s="183">
        <f t="shared" si="2"/>
        <v>63.795312499999973</v>
      </c>
      <c r="L108" s="183">
        <f t="shared" si="2"/>
        <v>21.008854166666669</v>
      </c>
      <c r="M108" s="183">
        <f t="shared" si="2"/>
        <v>74.676979166666669</v>
      </c>
      <c r="N108" s="183">
        <f t="shared" si="2"/>
        <v>33.929166666666674</v>
      </c>
      <c r="O108" s="183">
        <f t="shared" si="2"/>
        <v>0</v>
      </c>
      <c r="P108" s="183">
        <f t="shared" si="2"/>
        <v>0.85489583333333385</v>
      </c>
      <c r="Q108" s="183">
        <f t="shared" si="2"/>
        <v>10.24083333333334</v>
      </c>
      <c r="R108" s="187"/>
      <c r="S108" s="187"/>
      <c r="T108" s="187"/>
      <c r="U108" s="187"/>
    </row>
    <row r="109" spans="1:22">
      <c r="A109" s="182" t="s">
        <v>51</v>
      </c>
      <c r="B109" s="183">
        <f>STDEV(B9:B104)</f>
        <v>2.9225571726882644</v>
      </c>
      <c r="C109" s="183">
        <f t="shared" ref="C109:Q109" si="3">STDEV(C9:C104)</f>
        <v>1.1852951692122595</v>
      </c>
      <c r="D109" s="183">
        <f t="shared" si="3"/>
        <v>2.3464358937564693</v>
      </c>
      <c r="E109" s="183">
        <f t="shared" si="3"/>
        <v>0.71877965995250181</v>
      </c>
      <c r="F109" s="183">
        <f t="shared" si="3"/>
        <v>0.85826996018818746</v>
      </c>
      <c r="G109" s="183">
        <f t="shared" si="3"/>
        <v>10.216866928004686</v>
      </c>
      <c r="H109" s="183">
        <f t="shared" si="3"/>
        <v>2.5564733602494845</v>
      </c>
      <c r="I109" s="183">
        <f t="shared" si="3"/>
        <v>0.6619365197209639</v>
      </c>
      <c r="J109" s="183">
        <f t="shared" si="3"/>
        <v>0.26991714128208844</v>
      </c>
      <c r="K109" s="183">
        <f t="shared" si="3"/>
        <v>31.103014778673337</v>
      </c>
      <c r="L109" s="183">
        <f t="shared" si="3"/>
        <v>2.3963256389694552</v>
      </c>
      <c r="M109" s="183">
        <f t="shared" si="3"/>
        <v>9.2057772615371469</v>
      </c>
      <c r="N109" s="183">
        <f t="shared" si="3"/>
        <v>50.939821909193483</v>
      </c>
      <c r="O109" s="183">
        <f t="shared" si="3"/>
        <v>0</v>
      </c>
      <c r="P109" s="183">
        <f t="shared" si="3"/>
        <v>5.6269928243781638E-2</v>
      </c>
      <c r="Q109" s="183">
        <f t="shared" si="3"/>
        <v>5.8050190020391079E-2</v>
      </c>
      <c r="R109" s="187"/>
      <c r="S109" s="187"/>
      <c r="T109" s="187"/>
      <c r="U109" s="187"/>
    </row>
    <row r="110" spans="1:22">
      <c r="A110" s="182" t="s">
        <v>52</v>
      </c>
      <c r="B110" s="184">
        <f t="shared" ref="B110:Q110" si="4">COUNT(B9:B104)</f>
        <v>96</v>
      </c>
      <c r="C110" s="184">
        <f t="shared" si="4"/>
        <v>96</v>
      </c>
      <c r="D110" s="184">
        <f t="shared" si="4"/>
        <v>96</v>
      </c>
      <c r="E110" s="184">
        <f t="shared" si="4"/>
        <v>96</v>
      </c>
      <c r="F110" s="184">
        <f t="shared" si="4"/>
        <v>96</v>
      </c>
      <c r="G110" s="184">
        <f t="shared" si="4"/>
        <v>96</v>
      </c>
      <c r="H110" s="184">
        <f t="shared" si="4"/>
        <v>96</v>
      </c>
      <c r="I110" s="184">
        <f t="shared" si="4"/>
        <v>96</v>
      </c>
      <c r="J110" s="184">
        <f t="shared" si="4"/>
        <v>96</v>
      </c>
      <c r="K110" s="184">
        <f t="shared" si="4"/>
        <v>96</v>
      </c>
      <c r="L110" s="184">
        <f t="shared" si="4"/>
        <v>96</v>
      </c>
      <c r="M110" s="184">
        <f t="shared" si="4"/>
        <v>96</v>
      </c>
      <c r="N110" s="184">
        <f t="shared" si="4"/>
        <v>96</v>
      </c>
      <c r="O110" s="184">
        <f t="shared" si="4"/>
        <v>96</v>
      </c>
      <c r="P110" s="184">
        <f t="shared" si="4"/>
        <v>96</v>
      </c>
      <c r="Q110" s="184">
        <f t="shared" si="4"/>
        <v>96</v>
      </c>
      <c r="R110" s="188"/>
      <c r="S110" s="188"/>
      <c r="T110" s="188"/>
      <c r="U110" s="188"/>
      <c r="V110" s="184"/>
    </row>
    <row r="111" spans="1:22">
      <c r="A111" s="153" t="s">
        <v>53</v>
      </c>
      <c r="B111" s="147" t="str">
        <f>IF(B110&gt;=87,"&gt;90%",IF(B110&lt;=87,"&lt;90%"))</f>
        <v>&gt;90%</v>
      </c>
      <c r="C111" s="147" t="str">
        <f t="shared" ref="C111:Q111" si="5">IF(C110&gt;=87,"&gt;90%",IF(C110&lt;=87,"&lt;90%"))</f>
        <v>&gt;90%</v>
      </c>
      <c r="D111" s="147" t="str">
        <f t="shared" si="5"/>
        <v>&gt;90%</v>
      </c>
      <c r="E111" s="147" t="str">
        <f t="shared" si="5"/>
        <v>&gt;90%</v>
      </c>
      <c r="F111" s="147" t="str">
        <f t="shared" si="5"/>
        <v>&gt;90%</v>
      </c>
      <c r="G111" s="147" t="str">
        <f t="shared" si="5"/>
        <v>&gt;90%</v>
      </c>
      <c r="H111" s="147" t="str">
        <f t="shared" si="5"/>
        <v>&gt;90%</v>
      </c>
      <c r="I111" s="147" t="str">
        <f t="shared" si="5"/>
        <v>&gt;90%</v>
      </c>
      <c r="J111" s="147" t="str">
        <f t="shared" si="5"/>
        <v>&gt;90%</v>
      </c>
      <c r="K111" s="147" t="str">
        <f t="shared" si="5"/>
        <v>&gt;90%</v>
      </c>
      <c r="L111" s="147" t="str">
        <f t="shared" si="5"/>
        <v>&gt;90%</v>
      </c>
      <c r="M111" s="147" t="str">
        <f t="shared" si="5"/>
        <v>&gt;90%</v>
      </c>
      <c r="N111" s="147" t="str">
        <f t="shared" si="5"/>
        <v>&gt;90%</v>
      </c>
      <c r="O111" s="147" t="str">
        <f t="shared" si="5"/>
        <v>&gt;90%</v>
      </c>
      <c r="P111" s="147" t="str">
        <f t="shared" si="5"/>
        <v>&gt;90%</v>
      </c>
      <c r="Q111" s="147" t="str">
        <f t="shared" si="5"/>
        <v>&gt;90%</v>
      </c>
      <c r="R111" s="175"/>
      <c r="S111" s="175"/>
      <c r="T111" s="175"/>
      <c r="U111" s="175"/>
    </row>
    <row r="112" spans="1:22">
      <c r="A112" s="153" t="s">
        <v>54</v>
      </c>
      <c r="B112" s="147" t="str">
        <f>IF(B110&gt;=87,"OK",IF(B110&lt;=87,"LESS"))</f>
        <v>OK</v>
      </c>
      <c r="C112" s="147" t="str">
        <f t="shared" ref="C112:Q112" si="6">IF(C110&gt;=87,"OK",IF(C110&lt;=87,"LESS"))</f>
        <v>OK</v>
      </c>
      <c r="D112" s="147" t="str">
        <f t="shared" si="6"/>
        <v>OK</v>
      </c>
      <c r="E112" s="147" t="str">
        <f t="shared" si="6"/>
        <v>OK</v>
      </c>
      <c r="F112" s="147" t="str">
        <f t="shared" si="6"/>
        <v>OK</v>
      </c>
      <c r="G112" s="147" t="str">
        <f t="shared" si="6"/>
        <v>OK</v>
      </c>
      <c r="H112" s="147" t="str">
        <f t="shared" si="6"/>
        <v>OK</v>
      </c>
      <c r="I112" s="147" t="str">
        <f t="shared" si="6"/>
        <v>OK</v>
      </c>
      <c r="J112" s="147" t="str">
        <f t="shared" si="6"/>
        <v>OK</v>
      </c>
      <c r="K112" s="147" t="str">
        <f t="shared" si="6"/>
        <v>OK</v>
      </c>
      <c r="L112" s="147" t="str">
        <f t="shared" si="6"/>
        <v>OK</v>
      </c>
      <c r="M112" s="147" t="str">
        <f t="shared" si="6"/>
        <v>OK</v>
      </c>
      <c r="N112" s="147" t="str">
        <f t="shared" si="6"/>
        <v>OK</v>
      </c>
      <c r="O112" s="147" t="str">
        <f t="shared" si="6"/>
        <v>OK</v>
      </c>
      <c r="P112" s="147" t="str">
        <f t="shared" si="6"/>
        <v>OK</v>
      </c>
      <c r="Q112" s="147" t="str">
        <f t="shared" si="6"/>
        <v>OK</v>
      </c>
      <c r="R112" s="175"/>
      <c r="S112" s="175"/>
      <c r="T112" s="175"/>
      <c r="U112" s="175"/>
    </row>
    <row r="113" spans="1:21">
      <c r="L113" s="32"/>
      <c r="N113" s="186"/>
      <c r="O113" s="186"/>
      <c r="P113" s="186"/>
      <c r="Q113" s="186"/>
      <c r="R113" s="186"/>
      <c r="S113" s="186"/>
      <c r="T113" s="186"/>
      <c r="U113" s="186"/>
    </row>
    <row r="115" spans="1:21">
      <c r="A115" s="153" t="s">
        <v>55</v>
      </c>
      <c r="B115" s="190" t="s">
        <v>56</v>
      </c>
      <c r="C115" s="190"/>
      <c r="D115" s="190"/>
    </row>
    <row r="116" spans="1:21">
      <c r="D116" s="163"/>
      <c r="E116" s="163"/>
      <c r="F116" s="163"/>
      <c r="G116" s="163"/>
      <c r="H116" s="163"/>
      <c r="I116" s="163"/>
    </row>
    <row r="117" spans="1:21" ht="15.75">
      <c r="A117" s="185" t="s">
        <v>57</v>
      </c>
      <c r="B117" s="191"/>
      <c r="C117" s="191"/>
      <c r="D117" s="191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</row>
  </sheetData>
  <mergeCells count="5">
    <mergeCell ref="C2:F2"/>
    <mergeCell ref="C3:F3"/>
    <mergeCell ref="C4:F4"/>
    <mergeCell ref="B115:D115"/>
    <mergeCell ref="B117:U117"/>
  </mergeCells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54"/>
  <sheetViews>
    <sheetView tabSelected="1" zoomScale="80" zoomScaleNormal="80" workbookViewId="0">
      <pane xSplit="1" ySplit="8" topLeftCell="B27" activePane="bottomRight" state="frozen"/>
      <selection pane="topRight"/>
      <selection pane="bottomLeft"/>
      <selection pane="bottomRight" activeCell="A39" sqref="A39:XFD39"/>
    </sheetView>
  </sheetViews>
  <sheetFormatPr defaultColWidth="8.85546875" defaultRowHeight="15"/>
  <cols>
    <col min="1" max="1" width="15.85546875" style="143" customWidth="1"/>
    <col min="2" max="2" width="14.140625" customWidth="1"/>
    <col min="3" max="3" width="9.85546875" customWidth="1"/>
    <col min="4" max="4" width="10.28515625" customWidth="1"/>
    <col min="5" max="5" width="10.5703125" customWidth="1"/>
    <col min="7" max="7" width="10.7109375" customWidth="1"/>
    <col min="8" max="8" width="12.28515625" customWidth="1"/>
    <col min="9" max="9" width="10.42578125" customWidth="1"/>
    <col min="11" max="11" width="9.5703125" customWidth="1"/>
    <col min="12" max="12" width="10.42578125" customWidth="1"/>
    <col min="13" max="13" width="10" customWidth="1"/>
    <col min="17" max="17" width="9.7109375" customWidth="1"/>
    <col min="20" max="20" width="10.28515625" customWidth="1"/>
  </cols>
  <sheetData>
    <row r="1" spans="1:21" s="2" customFormat="1">
      <c r="A1" s="144" t="s">
        <v>0</v>
      </c>
      <c r="B1" s="145" t="s">
        <v>58</v>
      </c>
      <c r="C1" s="146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</row>
    <row r="2" spans="1:21" s="2" customFormat="1">
      <c r="A2" s="144" t="s">
        <v>2</v>
      </c>
      <c r="B2" s="148">
        <f>$A$9</f>
        <v>45597.010416666664</v>
      </c>
      <c r="C2"/>
      <c r="D2" s="48" t="s">
        <v>3</v>
      </c>
      <c r="E2" s="48"/>
      <c r="F2" s="48"/>
      <c r="G2" s="149" t="s">
        <v>4</v>
      </c>
      <c r="H2" s="150"/>
      <c r="I2" s="150"/>
      <c r="J2" s="150"/>
      <c r="K2" s="147"/>
      <c r="L2" s="48" t="s">
        <v>5</v>
      </c>
      <c r="M2" s="147"/>
      <c r="N2" s="165" t="s">
        <v>6</v>
      </c>
      <c r="P2" s="166" t="s">
        <v>7</v>
      </c>
      <c r="Q2" s="147"/>
      <c r="R2" s="172" t="s">
        <v>8</v>
      </c>
      <c r="S2"/>
      <c r="T2"/>
      <c r="U2"/>
    </row>
    <row r="3" spans="1:21" s="2" customFormat="1">
      <c r="A3" s="144" t="s">
        <v>9</v>
      </c>
      <c r="B3" s="147" t="s">
        <v>10</v>
      </c>
      <c r="C3"/>
      <c r="D3" s="48" t="s">
        <v>11</v>
      </c>
      <c r="E3" s="48"/>
      <c r="F3" s="48"/>
      <c r="G3" s="151" t="s">
        <v>12</v>
      </c>
      <c r="H3" s="150"/>
      <c r="I3" s="144"/>
      <c r="J3" s="150"/>
      <c r="K3"/>
      <c r="L3" s="48" t="s">
        <v>13</v>
      </c>
      <c r="M3" s="147"/>
      <c r="N3" s="167" t="s">
        <v>14</v>
      </c>
      <c r="O3" s="147"/>
      <c r="P3" s="168" t="s">
        <v>15</v>
      </c>
      <c r="Q3" s="147"/>
      <c r="R3" s="173" t="s">
        <v>15</v>
      </c>
      <c r="S3"/>
      <c r="T3"/>
      <c r="U3"/>
    </row>
    <row r="4" spans="1:21" s="2" customFormat="1">
      <c r="A4" s="144" t="s">
        <v>16</v>
      </c>
      <c r="B4" s="147" t="s">
        <v>59</v>
      </c>
      <c r="C4"/>
      <c r="D4" s="48" t="s">
        <v>18</v>
      </c>
      <c r="E4" s="48"/>
      <c r="F4" s="48"/>
      <c r="G4" s="152" t="s">
        <v>19</v>
      </c>
      <c r="H4" s="150"/>
      <c r="I4" s="144"/>
      <c r="J4" s="150"/>
      <c r="K4" s="169"/>
      <c r="L4" s="48" t="s">
        <v>20</v>
      </c>
      <c r="M4" s="147"/>
      <c r="N4" s="170" t="s">
        <v>21</v>
      </c>
      <c r="O4" s="147"/>
      <c r="P4" s="147"/>
      <c r="Q4" s="147"/>
      <c r="R4" s="147"/>
      <c r="S4"/>
      <c r="T4"/>
      <c r="U4"/>
    </row>
    <row r="5" spans="1:21" s="2" customFormat="1">
      <c r="A5" s="144"/>
      <c r="B5" s="147"/>
      <c r="C5" s="147"/>
      <c r="D5" s="147"/>
      <c r="E5" s="147"/>
      <c r="F5" s="147"/>
      <c r="G5" s="147"/>
      <c r="H5" s="153"/>
      <c r="I5" s="153"/>
      <c r="J5" s="153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</row>
    <row r="6" spans="1:21" s="2" customFormat="1">
      <c r="A6" s="144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7"/>
      <c r="T6" s="147"/>
      <c r="U6"/>
    </row>
    <row r="7" spans="1:21" s="2" customFormat="1">
      <c r="A7" s="154" t="s">
        <v>22</v>
      </c>
      <c r="B7" s="155" t="s">
        <v>23</v>
      </c>
      <c r="C7" s="155" t="s">
        <v>24</v>
      </c>
      <c r="D7" s="155" t="s">
        <v>25</v>
      </c>
      <c r="E7" s="155" t="s">
        <v>26</v>
      </c>
      <c r="F7" s="155" t="s">
        <v>27</v>
      </c>
      <c r="G7" s="155" t="s">
        <v>28</v>
      </c>
      <c r="H7" s="155" t="s">
        <v>29</v>
      </c>
      <c r="I7" s="155" t="s">
        <v>30</v>
      </c>
      <c r="J7" s="155" t="s">
        <v>31</v>
      </c>
      <c r="K7" s="155" t="s">
        <v>32</v>
      </c>
      <c r="L7" s="155" t="s">
        <v>33</v>
      </c>
      <c r="M7" s="155" t="s">
        <v>34</v>
      </c>
      <c r="N7" s="155" t="s">
        <v>35</v>
      </c>
      <c r="O7" s="155" t="s">
        <v>36</v>
      </c>
      <c r="P7" s="155" t="s">
        <v>37</v>
      </c>
      <c r="Q7" s="155" t="s">
        <v>38</v>
      </c>
      <c r="R7" s="174"/>
      <c r="S7" s="175"/>
      <c r="T7" s="174"/>
      <c r="U7" s="174"/>
    </row>
    <row r="8" spans="1:21" s="2" customFormat="1">
      <c r="A8" s="154"/>
      <c r="B8" s="156" t="s">
        <v>39</v>
      </c>
      <c r="C8" s="156" t="s">
        <v>39</v>
      </c>
      <c r="D8" s="156" t="s">
        <v>40</v>
      </c>
      <c r="E8" s="156" t="s">
        <v>39</v>
      </c>
      <c r="F8" s="156" t="s">
        <v>39</v>
      </c>
      <c r="G8" s="156" t="s">
        <v>39</v>
      </c>
      <c r="H8" s="156" t="s">
        <v>39</v>
      </c>
      <c r="I8" s="156" t="s">
        <v>39</v>
      </c>
      <c r="J8" s="156" t="s">
        <v>41</v>
      </c>
      <c r="K8" s="156" t="s">
        <v>42</v>
      </c>
      <c r="L8" s="171" t="s">
        <v>43</v>
      </c>
      <c r="M8" s="156" t="s">
        <v>44</v>
      </c>
      <c r="N8" s="156" t="s">
        <v>45</v>
      </c>
      <c r="O8" s="171" t="s">
        <v>46</v>
      </c>
      <c r="P8" s="156" t="s">
        <v>47</v>
      </c>
      <c r="Q8" s="114" t="s">
        <v>39</v>
      </c>
      <c r="R8" s="174"/>
      <c r="S8" s="175"/>
      <c r="T8" s="174"/>
      <c r="U8" s="174"/>
    </row>
    <row r="9" spans="1:21">
      <c r="A9" s="157">
        <f>'01'!$B$2</f>
        <v>45597.010416666664</v>
      </c>
      <c r="B9" s="95">
        <f>'01'!B108</f>
        <v>5.3033333333333355</v>
      </c>
      <c r="C9" s="95">
        <f>'01'!C108</f>
        <v>8.0665625000000052</v>
      </c>
      <c r="D9" s="95">
        <f>'01'!D108</f>
        <v>14.034687499999995</v>
      </c>
      <c r="E9" s="95">
        <f>'01'!E108</f>
        <v>10.107395833333335</v>
      </c>
      <c r="F9" s="95">
        <f>'01'!F108</f>
        <v>14.855208333333328</v>
      </c>
      <c r="G9" s="95">
        <f>'01'!G108</f>
        <v>105.44893333333333</v>
      </c>
      <c r="H9" s="95">
        <f>'01'!H108</f>
        <v>44.963763440860198</v>
      </c>
      <c r="I9" s="95">
        <f>'01'!I108</f>
        <v>7.6573958333333296</v>
      </c>
      <c r="J9" s="95">
        <f>'01'!J108</f>
        <v>0.18739583333333323</v>
      </c>
      <c r="K9" s="95">
        <f>'01'!K108</f>
        <v>150.56854166666668</v>
      </c>
      <c r="L9" s="95">
        <f>'01'!L108</f>
        <v>26.964479166666674</v>
      </c>
      <c r="M9" s="95">
        <f>'01'!M108</f>
        <v>68.249791666666681</v>
      </c>
      <c r="N9" s="95">
        <f>'01'!N108</f>
        <v>141.23229166666667</v>
      </c>
      <c r="O9" s="95">
        <f>'01'!O108</f>
        <v>0</v>
      </c>
      <c r="P9" s="95">
        <f>'01'!P108</f>
        <v>0.63447916666666671</v>
      </c>
      <c r="Q9" s="95">
        <f>'01'!Q108</f>
        <v>4.2825000000000015</v>
      </c>
      <c r="R9" s="160"/>
      <c r="S9" s="160"/>
      <c r="T9" s="160"/>
      <c r="U9" s="160"/>
    </row>
    <row r="10" spans="1:21">
      <c r="A10" s="157">
        <f>'02'!$B$2</f>
        <v>45598.010416666664</v>
      </c>
      <c r="B10" s="95">
        <f>'02'!B108</f>
        <v>5.2436458333333356</v>
      </c>
      <c r="C10" s="95">
        <f>'02'!C108</f>
        <v>8.0728125000000013</v>
      </c>
      <c r="D10" s="95">
        <f>'02'!D108</f>
        <v>13.990520833333344</v>
      </c>
      <c r="E10" s="95">
        <f>'02'!E108</f>
        <v>11.048229166666665</v>
      </c>
      <c r="F10" s="95">
        <f>'02'!F108</f>
        <v>8.6039583333333347</v>
      </c>
      <c r="G10" s="95">
        <f>'02'!G108</f>
        <v>77.149374999999978</v>
      </c>
      <c r="H10" s="95">
        <f>'02'!H108</f>
        <v>34.01229166666667</v>
      </c>
      <c r="I10" s="95">
        <f>'02'!I108</f>
        <v>7.8848958333333306</v>
      </c>
      <c r="J10" s="95">
        <f>'02'!J108</f>
        <v>0.19843750000000016</v>
      </c>
      <c r="K10" s="95">
        <f>'02'!K108</f>
        <v>161.94989583333339</v>
      </c>
      <c r="L10" s="95">
        <f>'02'!L108</f>
        <v>26.373749999999998</v>
      </c>
      <c r="M10" s="95">
        <f>'02'!M108</f>
        <v>66.062916666666624</v>
      </c>
      <c r="N10" s="95">
        <f>'02'!N108</f>
        <v>129.85416666666677</v>
      </c>
      <c r="O10" s="95">
        <f>'02'!O108</f>
        <v>0</v>
      </c>
      <c r="P10" s="95">
        <f>'02'!P108</f>
        <v>0.6338541666666665</v>
      </c>
      <c r="Q10" s="95">
        <f>'02'!Q108</f>
        <v>4.2888541666666695</v>
      </c>
      <c r="R10" s="160"/>
      <c r="S10" s="160"/>
      <c r="T10" s="160"/>
      <c r="U10" s="160"/>
    </row>
    <row r="11" spans="1:21">
      <c r="A11" s="157">
        <f>'03'!$B$2</f>
        <v>45599.010416666664</v>
      </c>
      <c r="B11" s="95">
        <f>'03'!B108</f>
        <v>5.2445833333333294</v>
      </c>
      <c r="C11" s="95">
        <f>'03'!C108</f>
        <v>8.0712500000000027</v>
      </c>
      <c r="D11" s="95">
        <f>'03'!D108</f>
        <v>13.989895833333334</v>
      </c>
      <c r="E11" s="95">
        <f>'03'!E108</f>
        <v>11.984062500000006</v>
      </c>
      <c r="F11" s="95">
        <f>'03'!F108</f>
        <v>9.5182291666666661</v>
      </c>
      <c r="G11" s="95">
        <f>'03'!G108</f>
        <v>76.29916666666675</v>
      </c>
      <c r="H11" s="95">
        <f>'03'!H108</f>
        <v>28.337916666666686</v>
      </c>
      <c r="I11" s="95">
        <f>'03'!I108</f>
        <v>7.0861458333333323</v>
      </c>
      <c r="J11" s="95">
        <f>'03'!J108</f>
        <v>0.19541666666666668</v>
      </c>
      <c r="K11" s="95">
        <f>'03'!K108</f>
        <v>159.53552083333332</v>
      </c>
      <c r="L11" s="95">
        <f>'03'!L108</f>
        <v>26.795208333333338</v>
      </c>
      <c r="M11" s="95">
        <f>'03'!M108</f>
        <v>63.447499999999984</v>
      </c>
      <c r="N11" s="95">
        <f>'03'!N108</f>
        <v>119.53750000000001</v>
      </c>
      <c r="O11" s="95">
        <f>'03'!O108</f>
        <v>0</v>
      </c>
      <c r="P11" s="95">
        <f>'03'!P108</f>
        <v>0.62552083333333364</v>
      </c>
      <c r="Q11" s="95">
        <f>'03'!Q108</f>
        <v>4.2894791666666681</v>
      </c>
      <c r="R11" s="160"/>
      <c r="S11" s="160"/>
      <c r="T11" s="160"/>
      <c r="U11" s="160"/>
    </row>
    <row r="12" spans="1:21">
      <c r="A12" s="157">
        <f>'04'!$B$2</f>
        <v>45600.010416666664</v>
      </c>
      <c r="B12" s="95">
        <f>'04'!B108</f>
        <v>5.2482291666666683</v>
      </c>
      <c r="C12" s="95">
        <f>'04'!C108</f>
        <v>8.0683333333333369</v>
      </c>
      <c r="D12" s="95">
        <f>'04'!D108</f>
        <v>13.991875000000007</v>
      </c>
      <c r="E12" s="95">
        <f>'04'!E108</f>
        <v>10.654375000000003</v>
      </c>
      <c r="F12" s="95">
        <f>'04'!F108</f>
        <v>8.1388541666666683</v>
      </c>
      <c r="G12" s="95">
        <f>'04'!G108</f>
        <v>83.60624999999996</v>
      </c>
      <c r="H12" s="95">
        <f>'04'!H108</f>
        <v>29.10854166666665</v>
      </c>
      <c r="I12" s="95">
        <f>'04'!I108</f>
        <v>9.4326041666666693</v>
      </c>
      <c r="J12" s="95">
        <f>'04'!J108</f>
        <v>0.24364583333333337</v>
      </c>
      <c r="K12" s="95">
        <f>'04'!K108</f>
        <v>181.83572916666665</v>
      </c>
      <c r="L12" s="95">
        <f>'04'!L108</f>
        <v>25.683958333333326</v>
      </c>
      <c r="M12" s="95">
        <f>'04'!M108</f>
        <v>65.376145833333354</v>
      </c>
      <c r="N12" s="95">
        <f>'04'!N108</f>
        <v>123.93645833333339</v>
      </c>
      <c r="O12" s="95">
        <f>'04'!O108</f>
        <v>0</v>
      </c>
      <c r="P12" s="95">
        <f>'04'!P108</f>
        <v>0.80052083333333324</v>
      </c>
      <c r="Q12" s="95">
        <f>'04'!Q108</f>
        <v>4.290416666666669</v>
      </c>
      <c r="R12" s="160"/>
      <c r="S12" s="160"/>
      <c r="T12" s="160"/>
      <c r="U12" s="160"/>
    </row>
    <row r="13" spans="1:21">
      <c r="A13" s="157">
        <f>'05'!$B$2</f>
        <v>45601.010416666664</v>
      </c>
      <c r="B13" s="95">
        <f>'05'!B108</f>
        <v>5.2257291666666701</v>
      </c>
      <c r="C13" s="95">
        <f>'05'!C108</f>
        <v>8.0650000000000031</v>
      </c>
      <c r="D13" s="95">
        <f>'05'!D108</f>
        <v>13.972187500000018</v>
      </c>
      <c r="E13" s="95">
        <f>'05'!E108</f>
        <v>9.5429166666666649</v>
      </c>
      <c r="F13" s="95">
        <f>'05'!F108</f>
        <v>8.0820833333333333</v>
      </c>
      <c r="G13" s="95">
        <f>'05'!G108</f>
        <v>69.078229166666688</v>
      </c>
      <c r="H13" s="95">
        <f>'05'!H108</f>
        <v>22.321874999999981</v>
      </c>
      <c r="I13" s="95">
        <f>'05'!I108</f>
        <v>8.2785416666666674</v>
      </c>
      <c r="J13" s="95">
        <f>'05'!J108</f>
        <v>0.31510416666666669</v>
      </c>
      <c r="K13" s="95">
        <f>'05'!K108</f>
        <v>108.44687499999998</v>
      </c>
      <c r="L13" s="95">
        <f>'05'!L108</f>
        <v>25.498750000000012</v>
      </c>
      <c r="M13" s="95">
        <f>'05'!M108</f>
        <v>64.707083333333316</v>
      </c>
      <c r="N13" s="95">
        <f>'05'!N108</f>
        <v>129.0812500000001</v>
      </c>
      <c r="O13" s="95">
        <f>'05'!O108</f>
        <v>0</v>
      </c>
      <c r="P13" s="95">
        <f>'05'!P108</f>
        <v>0.67187499999999989</v>
      </c>
      <c r="Q13" s="95">
        <f>'05'!Q108</f>
        <v>4.2933333333333357</v>
      </c>
      <c r="R13" s="160"/>
      <c r="S13" s="160"/>
      <c r="T13" s="160"/>
      <c r="U13" s="160"/>
    </row>
    <row r="14" spans="1:21">
      <c r="A14" s="157">
        <f>'06'!$B$2</f>
        <v>45602.010416666664</v>
      </c>
      <c r="B14" s="95">
        <f>'06'!B108</f>
        <v>5.2233333333333389</v>
      </c>
      <c r="C14" s="95">
        <f>'06'!C108</f>
        <v>8.0710416666666678</v>
      </c>
      <c r="D14" s="95">
        <f>'06'!D108</f>
        <v>13.972708333333346</v>
      </c>
      <c r="E14" s="95">
        <f>'06'!E108</f>
        <v>10.558645833333328</v>
      </c>
      <c r="F14" s="95">
        <f>'06'!F108</f>
        <v>8.1069791666666671</v>
      </c>
      <c r="G14" s="95">
        <f>'06'!G108</f>
        <v>81.001354166666701</v>
      </c>
      <c r="H14" s="95">
        <f>'06'!H108</f>
        <v>32.430833333333361</v>
      </c>
      <c r="I14" s="95">
        <f>'06'!I108</f>
        <v>8.2740625000000012</v>
      </c>
      <c r="J14" s="95">
        <f>'06'!J108</f>
        <v>0.30020833333333335</v>
      </c>
      <c r="K14" s="95">
        <f>'06'!K108</f>
        <v>125.75718750000006</v>
      </c>
      <c r="L14" s="95">
        <f>'06'!L108</f>
        <v>24.850520833333334</v>
      </c>
      <c r="M14" s="95">
        <f>'06'!M108</f>
        <v>69.672291666666709</v>
      </c>
      <c r="N14" s="95">
        <f>'06'!N108</f>
        <v>116.46770833333331</v>
      </c>
      <c r="O14" s="95">
        <f>'06'!O108</f>
        <v>0</v>
      </c>
      <c r="P14" s="95">
        <f>'06'!P108</f>
        <v>0.64041666666666663</v>
      </c>
      <c r="Q14" s="95">
        <f>'06'!Q108</f>
        <v>4.2973958333333373</v>
      </c>
      <c r="R14" s="160"/>
      <c r="S14" s="160"/>
      <c r="T14" s="160"/>
      <c r="U14" s="160"/>
    </row>
    <row r="15" spans="1:21">
      <c r="A15" s="157">
        <f>'07'!$B$2</f>
        <v>45603.010416666664</v>
      </c>
      <c r="B15" s="95">
        <f>'07'!B108</f>
        <v>5.2684374999999992</v>
      </c>
      <c r="C15" s="95">
        <f>'07'!C108</f>
        <v>8.0767708333333363</v>
      </c>
      <c r="D15" s="95">
        <f>'07'!D108</f>
        <v>14.012187499999991</v>
      </c>
      <c r="E15" s="95">
        <f>'07'!E108</f>
        <v>11.045729166666662</v>
      </c>
      <c r="F15" s="95">
        <f>'07'!F108</f>
        <v>10.063229166666668</v>
      </c>
      <c r="G15" s="95">
        <f>'07'!G108</f>
        <v>92.148571428571415</v>
      </c>
      <c r="H15" s="95">
        <f>'07'!H108</f>
        <v>35.37197802197803</v>
      </c>
      <c r="I15" s="95">
        <f>'07'!I108</f>
        <v>7.7492708333333278</v>
      </c>
      <c r="J15" s="95">
        <f>'07'!J108</f>
        <v>0.26260416666666669</v>
      </c>
      <c r="K15" s="95">
        <f>'07'!K108</f>
        <v>127.46708333333328</v>
      </c>
      <c r="L15" s="95">
        <f>'07'!L108</f>
        <v>24.744270833333342</v>
      </c>
      <c r="M15" s="95">
        <f>'07'!M108</f>
        <v>71.416562500000026</v>
      </c>
      <c r="N15" s="95">
        <f>'07'!N108</f>
        <v>100.2114583333334</v>
      </c>
      <c r="O15" s="95">
        <f>'07'!O108</f>
        <v>0</v>
      </c>
      <c r="P15" s="95">
        <f>'07'!P108</f>
        <v>0.67145833333333338</v>
      </c>
      <c r="Q15" s="95">
        <f>'07'!Q108</f>
        <v>4.2980208333333385</v>
      </c>
      <c r="R15" s="160"/>
      <c r="S15" s="160"/>
      <c r="T15" s="160"/>
      <c r="U15" s="160"/>
    </row>
    <row r="16" spans="1:21">
      <c r="A16" s="157">
        <f>'08'!$B$2</f>
        <v>45604.010416666664</v>
      </c>
      <c r="B16" s="95">
        <f>'08'!B108</f>
        <v>5.2296875000000034</v>
      </c>
      <c r="C16" s="95">
        <f>'08'!C108</f>
        <v>8.0739583333333336</v>
      </c>
      <c r="D16" s="95">
        <f>'08'!D108</f>
        <v>13.980000000000013</v>
      </c>
      <c r="E16" s="95">
        <f>'08'!E108</f>
        <v>9.7401041666666615</v>
      </c>
      <c r="F16" s="95">
        <f>'08'!F108</f>
        <v>7.5131250000000023</v>
      </c>
      <c r="G16" s="95">
        <f>'08'!G108</f>
        <v>82.919375000000045</v>
      </c>
      <c r="H16" s="95">
        <f>'08'!H108</f>
        <v>31.586666666666655</v>
      </c>
      <c r="I16" s="95">
        <f>'08'!I108</f>
        <v>10.111562499999998</v>
      </c>
      <c r="J16" s="95">
        <f>'08'!J108</f>
        <v>0.27468750000000003</v>
      </c>
      <c r="K16" s="95">
        <f>'08'!K108</f>
        <v>122.8691666666666</v>
      </c>
      <c r="L16" s="95">
        <f>'08'!L108</f>
        <v>24.898229166666653</v>
      </c>
      <c r="M16" s="95">
        <f>'08'!M108</f>
        <v>70.215416666666684</v>
      </c>
      <c r="N16" s="95">
        <f>'08'!N108</f>
        <v>118.60000000000012</v>
      </c>
      <c r="O16" s="95">
        <f>'08'!O108</f>
        <v>0</v>
      </c>
      <c r="P16" s="95">
        <f>'08'!P108</f>
        <v>0.80052083333333268</v>
      </c>
      <c r="Q16" s="95">
        <f>'08'!Q108</f>
        <v>4.3004166666666714</v>
      </c>
      <c r="R16" s="160"/>
      <c r="S16" s="160"/>
      <c r="T16" s="160"/>
      <c r="U16" s="160"/>
    </row>
    <row r="17" spans="1:21">
      <c r="A17" s="157">
        <f>'09'!$B$2</f>
        <v>45605.010416666664</v>
      </c>
      <c r="B17" s="95">
        <f>'09'!B108</f>
        <v>5.3265624999999996</v>
      </c>
      <c r="C17" s="95">
        <f>'09'!C108</f>
        <v>8.0757291666666706</v>
      </c>
      <c r="D17" s="95">
        <f>'09'!D108</f>
        <v>14.058229166666651</v>
      </c>
      <c r="E17" s="95">
        <f>'09'!E108</f>
        <v>10.040416666666667</v>
      </c>
      <c r="F17" s="95">
        <f>'09'!F108</f>
        <v>7.1278125000000019</v>
      </c>
      <c r="G17" s="95">
        <f>'09'!G108</f>
        <v>86.13677083333333</v>
      </c>
      <c r="H17" s="95">
        <f>'09'!H108</f>
        <v>31.121458333333333</v>
      </c>
      <c r="I17" s="95">
        <f>'09'!I108</f>
        <v>9.0303124999999973</v>
      </c>
      <c r="J17" s="95">
        <f>'09'!J108</f>
        <v>0.25156250000000008</v>
      </c>
      <c r="K17" s="95">
        <f>'09'!K108</f>
        <v>133.83822916666671</v>
      </c>
      <c r="L17" s="95">
        <f>'09'!L108</f>
        <v>25.014374999999998</v>
      </c>
      <c r="M17" s="95">
        <f>'09'!M108</f>
        <v>70.689062499999991</v>
      </c>
      <c r="N17" s="95">
        <f>'09'!N108</f>
        <v>107.77291666666667</v>
      </c>
      <c r="O17" s="95">
        <f>'09'!O108</f>
        <v>0</v>
      </c>
      <c r="P17" s="95">
        <f>'09'!P108</f>
        <v>0.77333333333333298</v>
      </c>
      <c r="Q17" s="95">
        <f>'09'!Q108</f>
        <v>4.3070833333333356</v>
      </c>
      <c r="R17" s="160"/>
      <c r="S17" s="160"/>
      <c r="T17" s="160"/>
      <c r="U17" s="160"/>
    </row>
    <row r="18" spans="1:21">
      <c r="A18" s="157">
        <f>'10'!$B$2</f>
        <v>45606.010416666664</v>
      </c>
      <c r="B18" s="95">
        <f>'10'!B108</f>
        <v>5.1877083333333331</v>
      </c>
      <c r="C18" s="95">
        <f>'10'!C108</f>
        <v>8.0683333333333369</v>
      </c>
      <c r="D18" s="95">
        <f>'10'!D108</f>
        <v>13.943437500000021</v>
      </c>
      <c r="E18" s="95">
        <f>'10'!E108</f>
        <v>9.6851041666666688</v>
      </c>
      <c r="F18" s="95">
        <f>'10'!F108</f>
        <v>7.6120833333333353</v>
      </c>
      <c r="G18" s="95">
        <f>'10'!G108</f>
        <v>87.767291666666608</v>
      </c>
      <c r="H18" s="95">
        <f>'10'!H108</f>
        <v>30.986666666666665</v>
      </c>
      <c r="I18" s="95">
        <f>'10'!I108</f>
        <v>8.4527083333333355</v>
      </c>
      <c r="J18" s="95">
        <f>'10'!J108</f>
        <v>0.26072916666666668</v>
      </c>
      <c r="K18" s="95">
        <f>'10'!K108</f>
        <v>123.73739583333328</v>
      </c>
      <c r="L18" s="95">
        <f>'10'!L108</f>
        <v>25.170625000000005</v>
      </c>
      <c r="M18" s="95">
        <f>'10'!M108</f>
        <v>67.298541666666665</v>
      </c>
      <c r="N18" s="95">
        <f>'10'!N108</f>
        <v>83.705208333333346</v>
      </c>
      <c r="O18" s="95">
        <f>'10'!O108</f>
        <v>0</v>
      </c>
      <c r="P18" s="95">
        <f>'10'!P108</f>
        <v>0.74062499999999964</v>
      </c>
      <c r="Q18" s="95">
        <f>'10'!Q108</f>
        <v>4.3056250000000045</v>
      </c>
      <c r="R18" s="160"/>
      <c r="S18" s="160"/>
      <c r="T18" s="160"/>
      <c r="U18" s="160"/>
    </row>
    <row r="19" spans="1:21">
      <c r="A19" s="157">
        <f>'11'!$B$2</f>
        <v>45607.010416666664</v>
      </c>
      <c r="B19" s="95">
        <f>'11'!B108</f>
        <v>5.1876041666666692</v>
      </c>
      <c r="C19" s="95">
        <f>'11'!C108</f>
        <v>8.0714583333333287</v>
      </c>
      <c r="D19" s="95">
        <f>'11'!D108</f>
        <v>13.945208333333348</v>
      </c>
      <c r="E19" s="95">
        <f>'11'!E108</f>
        <v>10.061041666666666</v>
      </c>
      <c r="F19" s="95">
        <f>'11'!F108</f>
        <v>7.5658333333333312</v>
      </c>
      <c r="G19" s="95">
        <f>'11'!G108</f>
        <v>74.202708333333348</v>
      </c>
      <c r="H19" s="95">
        <f>'11'!H108</f>
        <v>26.451041666666644</v>
      </c>
      <c r="I19" s="95">
        <f>'11'!I108</f>
        <v>7.7561458333333348</v>
      </c>
      <c r="J19" s="95">
        <f>'11'!J108</f>
        <v>0.36177083333333343</v>
      </c>
      <c r="K19" s="95">
        <f>'11'!K108</f>
        <v>75.888854166666661</v>
      </c>
      <c r="L19" s="95">
        <f>'11'!L108</f>
        <v>25.456979166666674</v>
      </c>
      <c r="M19" s="95">
        <f>'11'!M108</f>
        <v>63.608124999999944</v>
      </c>
      <c r="N19" s="95">
        <f>'11'!N108</f>
        <v>100.95520833333337</v>
      </c>
      <c r="O19" s="95">
        <f>'11'!O108</f>
        <v>0</v>
      </c>
      <c r="P19" s="95">
        <f>'11'!P108</f>
        <v>0.66552083333333345</v>
      </c>
      <c r="Q19" s="95">
        <f>'11'!Q108</f>
        <v>4.6236458333333408</v>
      </c>
      <c r="R19" s="160"/>
      <c r="S19" s="160"/>
      <c r="T19" s="160"/>
      <c r="U19" s="160"/>
    </row>
    <row r="20" spans="1:21">
      <c r="A20" s="157">
        <f>'12'!$B$2</f>
        <v>45608.010416666664</v>
      </c>
      <c r="B20" s="95">
        <f>'12'!B108</f>
        <v>5.26</v>
      </c>
      <c r="C20" s="95">
        <f>'12'!C108</f>
        <v>8.0719791666666669</v>
      </c>
      <c r="D20" s="95">
        <f>'12'!D108</f>
        <v>14.003854166666665</v>
      </c>
      <c r="E20" s="95">
        <f>'12'!E108</f>
        <v>10.208958333333337</v>
      </c>
      <c r="F20" s="95">
        <f>'12'!F108</f>
        <v>7.7796874999999988</v>
      </c>
      <c r="G20" s="95">
        <f>'12'!G108</f>
        <v>83.916041666666658</v>
      </c>
      <c r="H20" s="95">
        <f>'12'!H108</f>
        <v>33.524999999999999</v>
      </c>
      <c r="I20" s="95">
        <f>'12'!I108</f>
        <v>8.4902083333333351</v>
      </c>
      <c r="J20" s="95">
        <f>'12'!J108</f>
        <v>0.36291666666666661</v>
      </c>
      <c r="K20" s="95">
        <f>'12'!K108</f>
        <v>90.745833333333351</v>
      </c>
      <c r="L20" s="95">
        <f>'12'!L108</f>
        <v>24.700416666666673</v>
      </c>
      <c r="M20" s="95">
        <f>'12'!M108</f>
        <v>62.996562500000003</v>
      </c>
      <c r="N20" s="95">
        <f>'12'!N108</f>
        <v>124.74583333333338</v>
      </c>
      <c r="O20" s="95">
        <f>'12'!O108</f>
        <v>0</v>
      </c>
      <c r="P20" s="95">
        <f>'12'!P108</f>
        <v>0.77885416666666651</v>
      </c>
      <c r="Q20" s="95">
        <f>'12'!Q108</f>
        <v>4.9802083333333407</v>
      </c>
      <c r="R20" s="160"/>
      <c r="S20" s="160"/>
      <c r="T20" s="160"/>
      <c r="U20" s="160"/>
    </row>
    <row r="21" spans="1:21" s="142" customFormat="1">
      <c r="A21" s="157">
        <f>'13'!$B$2</f>
        <v>45609.010416666664</v>
      </c>
      <c r="B21" s="158">
        <f>'13'!B108</f>
        <v>5.3357291666666669</v>
      </c>
      <c r="C21" s="158">
        <f>'13'!C108</f>
        <v>8.0795833333333391</v>
      </c>
      <c r="D21" s="158">
        <f>'13'!D108</f>
        <v>14.068333333333321</v>
      </c>
      <c r="E21" s="158">
        <f>'13'!E108</f>
        <v>9.880625000000002</v>
      </c>
      <c r="F21" s="158">
        <f>'13'!F108</f>
        <v>7.5353124999999999</v>
      </c>
      <c r="G21" s="158">
        <f>'13'!G108</f>
        <v>76.477708333333339</v>
      </c>
      <c r="H21" s="158">
        <f>'13'!H108</f>
        <v>30.614166666666677</v>
      </c>
      <c r="I21" s="158">
        <f>'13'!I108</f>
        <v>8.5268750000000022</v>
      </c>
      <c r="J21" s="158">
        <f>'13'!J108</f>
        <v>0.31802083333333331</v>
      </c>
      <c r="K21" s="158">
        <f>'13'!K108</f>
        <v>103.73229166666665</v>
      </c>
      <c r="L21" s="158">
        <f>'13'!L108</f>
        <v>24.584166666666658</v>
      </c>
      <c r="M21" s="158">
        <f>'13'!M108</f>
        <v>61.296041666666639</v>
      </c>
      <c r="N21" s="158">
        <f>'13'!N108</f>
        <v>123.13333333333337</v>
      </c>
      <c r="O21" s="158">
        <f>'13'!O108</f>
        <v>0</v>
      </c>
      <c r="P21" s="158">
        <f>'13'!P108</f>
        <v>0.69083333333333341</v>
      </c>
      <c r="Q21" s="158">
        <f>'13'!Q108</f>
        <v>4.9805208333333395</v>
      </c>
      <c r="R21" s="176"/>
      <c r="S21" s="176"/>
      <c r="T21" s="176"/>
      <c r="U21" s="176"/>
    </row>
    <row r="22" spans="1:21" s="142" customFormat="1">
      <c r="A22" s="157">
        <f>'14'!$B$2</f>
        <v>45610.010416666664</v>
      </c>
      <c r="B22" s="159">
        <f>'14'!B108</f>
        <v>5.1392708333333328</v>
      </c>
      <c r="C22" s="159">
        <f>'14'!C108</f>
        <v>8.0685416666666701</v>
      </c>
      <c r="D22" s="159">
        <f>'14'!D108</f>
        <v>13.90479166666668</v>
      </c>
      <c r="E22" s="159">
        <f>'14'!E108</f>
        <v>10.390833333333335</v>
      </c>
      <c r="F22" s="159">
        <f>'14'!F108</f>
        <v>8.7255208333333343</v>
      </c>
      <c r="G22" s="159">
        <f>'14'!G108</f>
        <v>74.677078651685406</v>
      </c>
      <c r="H22" s="159">
        <f>'14'!H108</f>
        <v>24.814157303370791</v>
      </c>
      <c r="I22" s="159">
        <f>'14'!I108</f>
        <v>7.2408333333333337</v>
      </c>
      <c r="J22" s="159">
        <f>'14'!J108</f>
        <v>0.34781249999999986</v>
      </c>
      <c r="K22" s="159">
        <f>'14'!K108</f>
        <v>107.41708333333332</v>
      </c>
      <c r="L22" s="159">
        <f>'14'!L108</f>
        <v>24.054062500000004</v>
      </c>
      <c r="M22" s="159">
        <f>'14'!M108</f>
        <v>63.064583333333339</v>
      </c>
      <c r="N22" s="159">
        <f>'14'!N108</f>
        <v>119.65520833333331</v>
      </c>
      <c r="O22" s="159">
        <f>'14'!O108</f>
        <v>0</v>
      </c>
      <c r="P22" s="159">
        <f>'14'!P108</f>
        <v>0.59052083333333327</v>
      </c>
      <c r="Q22" s="159">
        <f>'14'!Q108</f>
        <v>4.9836458333333393</v>
      </c>
      <c r="R22" s="177"/>
      <c r="S22" s="177"/>
      <c r="T22" s="177"/>
      <c r="U22" s="177"/>
    </row>
    <row r="23" spans="1:21">
      <c r="A23" s="157">
        <f>'15'!$B$2</f>
        <v>45611.010416666664</v>
      </c>
      <c r="B23" s="95">
        <f>'15'!B108</f>
        <v>5.2811458333333299</v>
      </c>
      <c r="C23" s="95">
        <f>'15'!C108</f>
        <v>8.0772916666666745</v>
      </c>
      <c r="D23" s="95">
        <f>'15'!D108</f>
        <v>14.022812499999988</v>
      </c>
      <c r="E23" s="95">
        <f>'15'!E108</f>
        <v>11.726041666666665</v>
      </c>
      <c r="F23" s="95">
        <f>'15'!F108</f>
        <v>7.3656250000000023</v>
      </c>
      <c r="G23" s="95">
        <f>'15'!G108</f>
        <v>82.841250000000016</v>
      </c>
      <c r="H23" s="95">
        <f>'15'!H108</f>
        <v>26.555520833333336</v>
      </c>
      <c r="I23" s="95">
        <f>'15'!I108</f>
        <v>8.7198958333333341</v>
      </c>
      <c r="J23" s="95">
        <f>'15'!J108</f>
        <v>0.31708333333333344</v>
      </c>
      <c r="K23" s="95">
        <f>'15'!K108</f>
        <v>90.125937499999978</v>
      </c>
      <c r="L23" s="95">
        <f>'15'!L108</f>
        <v>23.561458333333334</v>
      </c>
      <c r="M23" s="95">
        <f>'15'!M108</f>
        <v>57.64145833333334</v>
      </c>
      <c r="N23" s="95">
        <f>'15'!N108</f>
        <v>120.12916666666679</v>
      </c>
      <c r="O23" s="95">
        <f>'15'!O108</f>
        <v>0</v>
      </c>
      <c r="P23" s="95">
        <f>'15'!P108</f>
        <v>0.66770833333333346</v>
      </c>
      <c r="Q23" s="95">
        <f>'15'!Q108</f>
        <v>4.9855208333333394</v>
      </c>
      <c r="R23" s="160"/>
      <c r="S23" s="160"/>
      <c r="T23" s="160"/>
      <c r="U23" s="160"/>
    </row>
    <row r="24" spans="1:21">
      <c r="A24" s="157">
        <f>'16'!$B$2</f>
        <v>45612.010416666664</v>
      </c>
      <c r="B24" s="95">
        <f>'16'!B108</f>
        <v>5.2933333333333357</v>
      </c>
      <c r="C24" s="95">
        <f>'16'!C108</f>
        <v>8.0816666666666723</v>
      </c>
      <c r="D24" s="95">
        <f>'16'!D108</f>
        <v>14.034687499999981</v>
      </c>
      <c r="E24" s="95">
        <f>'16'!E108</f>
        <v>10.3871875</v>
      </c>
      <c r="F24" s="95">
        <f>'16'!F108</f>
        <v>7.3532291666666678</v>
      </c>
      <c r="G24" s="95">
        <f>'16'!G108</f>
        <v>91.952395833333313</v>
      </c>
      <c r="H24" s="95">
        <f>'16'!H108</f>
        <v>29.344270833333308</v>
      </c>
      <c r="I24" s="95">
        <f>'16'!I108</f>
        <v>9.5747916666666679</v>
      </c>
      <c r="J24" s="95">
        <f>'16'!J108</f>
        <v>0.33343750000000005</v>
      </c>
      <c r="K24" s="95">
        <f>'16'!K108</f>
        <v>116.00979166666662</v>
      </c>
      <c r="L24" s="95">
        <f>'16'!L108</f>
        <v>22.474166666666662</v>
      </c>
      <c r="M24" s="95">
        <f>'16'!M108</f>
        <v>58.400208333333318</v>
      </c>
      <c r="N24" s="95">
        <f>'16'!N108</f>
        <v>122.79895833333337</v>
      </c>
      <c r="O24" s="95">
        <f>'16'!O108</f>
        <v>0</v>
      </c>
      <c r="P24" s="95">
        <f>'16'!P108</f>
        <v>0.76083333333333325</v>
      </c>
      <c r="Q24" s="95">
        <f>'16'!Q108</f>
        <v>4.9902083333333378</v>
      </c>
      <c r="R24" s="160"/>
      <c r="S24" s="160"/>
      <c r="T24" s="160"/>
      <c r="U24" s="160"/>
    </row>
    <row r="25" spans="1:21">
      <c r="A25" s="157">
        <f>'17'!$B$2</f>
        <v>45613.010416666664</v>
      </c>
      <c r="B25" s="95">
        <f>'17'!B108</f>
        <v>5.1948958333333328</v>
      </c>
      <c r="C25" s="95">
        <f>'17'!C108</f>
        <v>8.0754166666666745</v>
      </c>
      <c r="D25" s="95">
        <f>'17'!D108</f>
        <v>13.95270833333336</v>
      </c>
      <c r="E25" s="95">
        <f>'17'!E108</f>
        <v>9.5045833333333292</v>
      </c>
      <c r="F25" s="95">
        <f>'17'!F108</f>
        <v>7.799062499999998</v>
      </c>
      <c r="G25" s="95">
        <f>'17'!G108</f>
        <v>94.037187499999973</v>
      </c>
      <c r="H25" s="95">
        <f>'17'!H108</f>
        <v>29.402812500000007</v>
      </c>
      <c r="I25" s="95">
        <f>'17'!I108</f>
        <v>10.116666666666669</v>
      </c>
      <c r="J25" s="95">
        <f>'17'!J108</f>
        <v>0.32010416666666675</v>
      </c>
      <c r="K25" s="95">
        <f>'17'!K108</f>
        <v>135.76562499999997</v>
      </c>
      <c r="L25" s="95">
        <f>'17'!L108</f>
        <v>22.061562499999997</v>
      </c>
      <c r="M25" s="95">
        <f>'17'!M108</f>
        <v>62.476041666666653</v>
      </c>
      <c r="N25" s="95">
        <f>'17'!N108</f>
        <v>110.82499999999995</v>
      </c>
      <c r="O25" s="95">
        <f>'17'!O108</f>
        <v>0</v>
      </c>
      <c r="P25" s="95">
        <f>'17'!P108</f>
        <v>0.91614583333333366</v>
      </c>
      <c r="Q25" s="95">
        <f>'17'!Q108</f>
        <v>4.9869791666666732</v>
      </c>
      <c r="R25" s="160"/>
      <c r="S25" s="160"/>
      <c r="T25" s="160"/>
      <c r="U25" s="160"/>
    </row>
    <row r="26" spans="1:21">
      <c r="A26" s="157">
        <f>'18'!$B$2</f>
        <v>45614.010416666664</v>
      </c>
      <c r="B26" s="95">
        <f>'18'!B108</f>
        <v>5.2206250000000018</v>
      </c>
      <c r="C26" s="95">
        <f>'18'!C108</f>
        <v>8.0769791666666695</v>
      </c>
      <c r="D26" s="95">
        <f>'18'!D108</f>
        <v>13.974166666666681</v>
      </c>
      <c r="E26" s="95">
        <f>'18'!E108</f>
        <v>8.7866666666666706</v>
      </c>
      <c r="F26" s="95">
        <f>'18'!F108</f>
        <v>8.7234375000000028</v>
      </c>
      <c r="G26" s="95">
        <f>'18'!G108</f>
        <v>100.12249999999996</v>
      </c>
      <c r="H26" s="95">
        <f>'18'!H108</f>
        <v>29.820208333333358</v>
      </c>
      <c r="I26" s="95">
        <f>'18'!I108</f>
        <v>10.509375000000004</v>
      </c>
      <c r="J26" s="95">
        <f>'18'!J108</f>
        <v>0.3507291666666667</v>
      </c>
      <c r="K26" s="95">
        <f>'18'!K108</f>
        <v>117.90552083333334</v>
      </c>
      <c r="L26" s="95">
        <f>'18'!L108</f>
        <v>22.020833333333329</v>
      </c>
      <c r="M26" s="95">
        <f>'18'!M108</f>
        <v>59.335520833333327</v>
      </c>
      <c r="N26" s="95">
        <f>'18'!N108</f>
        <v>113.75000000000001</v>
      </c>
      <c r="O26" s="95">
        <f>'18'!O108</f>
        <v>0</v>
      </c>
      <c r="P26" s="95">
        <f>'18'!P108</f>
        <v>0.89156250000000004</v>
      </c>
      <c r="Q26" s="95">
        <f>'18'!Q108</f>
        <v>4.9896875000000049</v>
      </c>
      <c r="R26" s="160"/>
      <c r="S26" s="160"/>
      <c r="T26" s="160"/>
      <c r="U26" s="160"/>
    </row>
    <row r="27" spans="1:21">
      <c r="A27" s="157">
        <f>'19'!$B$2</f>
        <v>45615.010416666664</v>
      </c>
      <c r="B27" s="95">
        <f>'19'!B108</f>
        <v>6.0382291666666665</v>
      </c>
      <c r="C27" s="95">
        <f>'19'!C108</f>
        <v>12.202395833333339</v>
      </c>
      <c r="D27" s="95">
        <f>'19'!D108</f>
        <v>15.408125000000007</v>
      </c>
      <c r="E27" s="95">
        <f>'19'!E108</f>
        <v>8.7477083333333354</v>
      </c>
      <c r="F27" s="95">
        <f>'19'!F108</f>
        <v>7.321770833333332</v>
      </c>
      <c r="G27" s="95">
        <f>'19'!G108</f>
        <v>95.545625000000086</v>
      </c>
      <c r="H27" s="95">
        <f>'19'!H108</f>
        <v>29.915104166666662</v>
      </c>
      <c r="I27" s="95">
        <f>'19'!I108</f>
        <v>10.368958333333332</v>
      </c>
      <c r="J27" s="95">
        <f>'19'!J108</f>
        <v>0.3289583333333333</v>
      </c>
      <c r="K27" s="95">
        <f>'19'!K108</f>
        <v>118.16104166666672</v>
      </c>
      <c r="L27" s="95">
        <f>'19'!L108</f>
        <v>21.572083333333335</v>
      </c>
      <c r="M27" s="95">
        <f>'19'!M108</f>
        <v>61.827916666666674</v>
      </c>
      <c r="N27" s="95">
        <f>'19'!N108</f>
        <v>103.42291666666667</v>
      </c>
      <c r="O27" s="95">
        <f>'19'!O108</f>
        <v>0</v>
      </c>
      <c r="P27" s="95">
        <f>'19'!P108</f>
        <v>0.8633333333333334</v>
      </c>
      <c r="Q27" s="95">
        <f>'19'!Q108</f>
        <v>4.7851041666666712</v>
      </c>
      <c r="R27" s="160"/>
      <c r="S27" s="160"/>
      <c r="T27" s="160"/>
      <c r="U27" s="160"/>
    </row>
    <row r="28" spans="1:21">
      <c r="A28" s="157">
        <f>'20'!$B$2</f>
        <v>45616.010416666664</v>
      </c>
      <c r="B28" s="95">
        <f>'20'!B108</f>
        <v>11.225729166666673</v>
      </c>
      <c r="C28" s="95">
        <f>'20'!C108</f>
        <v>21.446458333333329</v>
      </c>
      <c r="D28" s="95">
        <f>'20'!D108</f>
        <v>21.558125000000004</v>
      </c>
      <c r="E28" s="95">
        <f>'20'!E108</f>
        <v>9.4408333333333285</v>
      </c>
      <c r="F28" s="95">
        <f>'20'!F108</f>
        <v>6.884895833333335</v>
      </c>
      <c r="G28" s="95">
        <f>'20'!G108</f>
        <v>101.55229166666659</v>
      </c>
      <c r="H28" s="95">
        <f>'20'!H108</f>
        <v>37.280833333333327</v>
      </c>
      <c r="I28" s="95">
        <f>'20'!I108</f>
        <v>11.581041666666669</v>
      </c>
      <c r="J28" s="95">
        <f>'20'!J108</f>
        <v>0.3805208333333332</v>
      </c>
      <c r="K28" s="95">
        <f>'20'!K108</f>
        <v>101.23052083333336</v>
      </c>
      <c r="L28" s="95">
        <f>'20'!L108</f>
        <v>21.027395833333333</v>
      </c>
      <c r="M28" s="95">
        <f>'20'!M108</f>
        <v>61.563749999999992</v>
      </c>
      <c r="N28" s="95">
        <f>'20'!N108</f>
        <v>99.563541666666652</v>
      </c>
      <c r="O28" s="95">
        <f>'20'!O108</f>
        <v>0</v>
      </c>
      <c r="P28" s="95">
        <f>'20'!P108</f>
        <v>0.90531249999999963</v>
      </c>
      <c r="Q28" s="95">
        <f>'20'!Q108</f>
        <v>4.7398958333333354</v>
      </c>
      <c r="R28" s="160"/>
      <c r="S28" s="160"/>
      <c r="T28" s="160"/>
      <c r="U28" s="160"/>
    </row>
    <row r="29" spans="1:21">
      <c r="A29" s="157">
        <f>'21'!$B$2</f>
        <v>45617.010416666664</v>
      </c>
      <c r="B29" s="95">
        <f>'21'!B108</f>
        <v>11.002187500000003</v>
      </c>
      <c r="C29" s="95">
        <f>'21'!C108</f>
        <v>20.869375000000002</v>
      </c>
      <c r="D29" s="95">
        <f>'21'!D108</f>
        <v>21.078125000000004</v>
      </c>
      <c r="E29" s="95">
        <f>'21'!E108</f>
        <v>9.372187499999999</v>
      </c>
      <c r="F29" s="95">
        <f>'21'!F108</f>
        <v>6.5717708333333329</v>
      </c>
      <c r="G29" s="95">
        <f>'21'!G108</f>
        <v>111.07135416666661</v>
      </c>
      <c r="H29" s="95">
        <f>'21'!H108</f>
        <v>42.827500000000015</v>
      </c>
      <c r="I29" s="95">
        <f>'21'!I108</f>
        <v>12.391145833333335</v>
      </c>
      <c r="J29" s="95">
        <f>'21'!J108</f>
        <v>0.25218750000000001</v>
      </c>
      <c r="K29" s="95">
        <f>'21'!K108</f>
        <v>130.35906249999999</v>
      </c>
      <c r="L29" s="95">
        <f>'21'!L108</f>
        <v>20.757187500000001</v>
      </c>
      <c r="M29" s="95">
        <f>'21'!M108</f>
        <v>65.079479166666673</v>
      </c>
      <c r="N29" s="95">
        <f>'21'!N108</f>
        <v>93.668750000000003</v>
      </c>
      <c r="O29" s="95">
        <f>'21'!O108</f>
        <v>0</v>
      </c>
      <c r="P29" s="95">
        <f>'21'!P108</f>
        <v>0.985104166666667</v>
      </c>
      <c r="Q29" s="95">
        <f>'21'!Q108</f>
        <v>4.749479166666668</v>
      </c>
      <c r="R29" s="160"/>
      <c r="S29" s="160"/>
      <c r="T29" s="160"/>
      <c r="U29" s="160"/>
    </row>
    <row r="30" spans="1:21">
      <c r="A30" s="157">
        <f>'22'!$B$2</f>
        <v>45618.010416666664</v>
      </c>
      <c r="B30" s="95">
        <f>'22'!B108</f>
        <v>8.2871874999999999</v>
      </c>
      <c r="C30" s="95">
        <f>'22'!C108</f>
        <v>22.074999999999992</v>
      </c>
      <c r="D30" s="95">
        <f>'22'!D108</f>
        <v>19.530624999999997</v>
      </c>
      <c r="E30" s="95">
        <f>'22'!E108</f>
        <v>9.0978125000000016</v>
      </c>
      <c r="F30" s="95">
        <f>'22'!F108</f>
        <v>6.6035416666666649</v>
      </c>
      <c r="G30" s="95">
        <f>'22'!G108</f>
        <v>119.1036458333333</v>
      </c>
      <c r="H30" s="95">
        <f>'22'!H108</f>
        <v>44.268645833333316</v>
      </c>
      <c r="I30" s="95">
        <f>'22'!I108</f>
        <v>11.657187500000006</v>
      </c>
      <c r="J30" s="95">
        <f>'22'!J108</f>
        <v>0.28677083333333331</v>
      </c>
      <c r="K30" s="95">
        <f>'22'!K108</f>
        <v>110.12718750000005</v>
      </c>
      <c r="L30" s="95">
        <f>'22'!L108</f>
        <v>20.689687499999998</v>
      </c>
      <c r="M30" s="95">
        <f>'22'!M108</f>
        <v>62.637604166666669</v>
      </c>
      <c r="N30" s="95">
        <f>'22'!N108</f>
        <v>87.658333333333289</v>
      </c>
      <c r="O30" s="95">
        <f>'22'!O108</f>
        <v>0</v>
      </c>
      <c r="P30" s="95">
        <f>'22'!P108</f>
        <v>1.0279166666666664</v>
      </c>
      <c r="Q30" s="95">
        <f>'22'!Q108</f>
        <v>4.7463541666666673</v>
      </c>
      <c r="R30" s="160"/>
      <c r="S30" s="160"/>
      <c r="T30" s="160"/>
      <c r="U30" s="160"/>
    </row>
    <row r="31" spans="1:21">
      <c r="A31" s="157">
        <f>'23'!$B$2</f>
        <v>45619.010416666664</v>
      </c>
      <c r="B31" s="95">
        <f>'23'!B108</f>
        <v>9.6411458333333346</v>
      </c>
      <c r="C31" s="95">
        <f>'23'!C108</f>
        <v>22.381770833333334</v>
      </c>
      <c r="D31" s="95">
        <f>'23'!D108</f>
        <v>20.776041666666668</v>
      </c>
      <c r="E31" s="95">
        <f>'23'!E108</f>
        <v>9.3255208333333339</v>
      </c>
      <c r="F31" s="95">
        <f>'23'!F108</f>
        <v>6.8131250000000003</v>
      </c>
      <c r="G31" s="95">
        <f>'23'!G108</f>
        <v>120.92281249999995</v>
      </c>
      <c r="H31" s="95">
        <f>'23'!H108</f>
        <v>43.697083333333353</v>
      </c>
      <c r="I31" s="95">
        <f>'23'!I108</f>
        <v>11.869687500000003</v>
      </c>
      <c r="J31" s="95">
        <f>'23'!J108</f>
        <v>0.26333333333333331</v>
      </c>
      <c r="K31" s="95">
        <f>'23'!K108</f>
        <v>133.94354166666665</v>
      </c>
      <c r="L31" s="95">
        <f>'23'!L108</f>
        <v>20.350312500000005</v>
      </c>
      <c r="M31" s="95">
        <f>'23'!M108</f>
        <v>64.921666666666681</v>
      </c>
      <c r="N31" s="95">
        <f>'23'!N108</f>
        <v>91.865624999999923</v>
      </c>
      <c r="O31" s="95">
        <f>'23'!O108</f>
        <v>0</v>
      </c>
      <c r="P31" s="95">
        <f>'23'!P108</f>
        <v>1.0008333333333335</v>
      </c>
      <c r="Q31" s="95">
        <f>'23'!Q108</f>
        <v>4.7541666666666647</v>
      </c>
      <c r="R31" s="160"/>
      <c r="S31" s="178"/>
      <c r="T31" s="160"/>
      <c r="U31" s="160"/>
    </row>
    <row r="32" spans="1:21">
      <c r="A32" s="157">
        <f>'24'!$B$2</f>
        <v>45620.010416666664</v>
      </c>
      <c r="B32" s="95">
        <f>'24'!B108</f>
        <v>14.663437500000008</v>
      </c>
      <c r="C32" s="95">
        <f>'24'!C108</f>
        <v>22.780104166666671</v>
      </c>
      <c r="D32" s="95">
        <f>'24'!D108</f>
        <v>25.011875000000003</v>
      </c>
      <c r="E32" s="95">
        <f>'24'!E108</f>
        <v>8.4434374999999999</v>
      </c>
      <c r="F32" s="95">
        <f>'24'!F108</f>
        <v>6.5745833333333321</v>
      </c>
      <c r="G32" s="95">
        <f>'24'!G108</f>
        <v>107.50656250000007</v>
      </c>
      <c r="H32" s="95">
        <f>'24'!H108</f>
        <v>40.630104166666662</v>
      </c>
      <c r="I32" s="95">
        <f>'24'!I108</f>
        <v>12.162708333333333</v>
      </c>
      <c r="J32" s="95">
        <f>'24'!J108</f>
        <v>0.30343749999999997</v>
      </c>
      <c r="K32" s="95">
        <f>'24'!K108</f>
        <v>115.83104166666674</v>
      </c>
      <c r="L32" s="95">
        <f>'24'!L108</f>
        <v>20.08666666666667</v>
      </c>
      <c r="M32" s="95">
        <f>'24'!M108</f>
        <v>64.584791666666675</v>
      </c>
      <c r="N32" s="95">
        <f>'24'!N108</f>
        <v>95.404166666666626</v>
      </c>
      <c r="O32" s="95">
        <f>'24'!O108</f>
        <v>0</v>
      </c>
      <c r="P32" s="95">
        <f>'24'!P108</f>
        <v>1.0297916666666669</v>
      </c>
      <c r="Q32" s="95">
        <f>'24'!Q108</f>
        <v>4.7534374999999978</v>
      </c>
      <c r="R32" s="160"/>
      <c r="S32" s="160"/>
      <c r="T32" s="160"/>
      <c r="U32" s="160"/>
    </row>
    <row r="33" spans="1:21">
      <c r="A33" s="157">
        <f>'25'!$B$2</f>
        <v>45621.010416666664</v>
      </c>
      <c r="B33" s="95">
        <f>'25'!B108</f>
        <v>12.947291666666663</v>
      </c>
      <c r="C33" s="95">
        <f>'25'!C108</f>
        <v>21.096458333333334</v>
      </c>
      <c r="D33" s="95">
        <f>'25'!D108</f>
        <v>22.756145833333338</v>
      </c>
      <c r="E33" s="95">
        <f>'25'!E108</f>
        <v>8.8828125</v>
      </c>
      <c r="F33" s="95">
        <f>'25'!F108</f>
        <v>6.5611458333333346</v>
      </c>
      <c r="G33" s="95">
        <f>'25'!G108</f>
        <v>91.899895833333332</v>
      </c>
      <c r="H33" s="95">
        <f>'25'!H108</f>
        <v>33.252812500000005</v>
      </c>
      <c r="I33" s="95">
        <f>'25'!I108</f>
        <v>10.370104166666668</v>
      </c>
      <c r="J33" s="95">
        <f>'25'!J108</f>
        <v>0.36031249999999987</v>
      </c>
      <c r="K33" s="95">
        <f>'25'!K108</f>
        <v>124.72968750000003</v>
      </c>
      <c r="L33" s="95">
        <f>'25'!L108</f>
        <v>20.248645833333338</v>
      </c>
      <c r="M33" s="95">
        <f>'25'!M108</f>
        <v>60.783437500000026</v>
      </c>
      <c r="N33" s="95">
        <f>'25'!N108</f>
        <v>103.56041666666665</v>
      </c>
      <c r="O33" s="95">
        <f>'25'!O108</f>
        <v>0</v>
      </c>
      <c r="P33" s="95">
        <f>'25'!P108</f>
        <v>0.92125000000000046</v>
      </c>
      <c r="Q33" s="95">
        <f>'25'!Q108</f>
        <v>4.7574999999999976</v>
      </c>
      <c r="R33" s="160"/>
      <c r="S33" s="178"/>
      <c r="T33" s="160"/>
      <c r="U33" s="160"/>
    </row>
    <row r="34" spans="1:21">
      <c r="A34" s="157">
        <f>'26'!$B$2</f>
        <v>45622.010416666664</v>
      </c>
      <c r="B34" s="95">
        <f>'26'!B108</f>
        <v>14.673333333333344</v>
      </c>
      <c r="C34" s="95">
        <f>'26'!C108</f>
        <v>20.887291666666663</v>
      </c>
      <c r="D34" s="95">
        <f>'26'!D108</f>
        <v>24.031041666666667</v>
      </c>
      <c r="E34" s="95">
        <f>'26'!E108</f>
        <v>9.4509374999999984</v>
      </c>
      <c r="F34" s="95">
        <f>'26'!F108</f>
        <v>6.4637499999999948</v>
      </c>
      <c r="G34" s="95">
        <f>'26'!G108</f>
        <v>84.661354166666712</v>
      </c>
      <c r="H34" s="95">
        <f>'26'!H108</f>
        <v>29.175104166666667</v>
      </c>
      <c r="I34" s="95">
        <f>'26'!I108</f>
        <v>9.8767708333333335</v>
      </c>
      <c r="J34" s="95">
        <f>'26'!J108</f>
        <v>0.29322916666666665</v>
      </c>
      <c r="K34" s="95">
        <f>'26'!K108</f>
        <v>138.70697916666668</v>
      </c>
      <c r="L34" s="95">
        <f>'26'!L108</f>
        <v>20.208437500000002</v>
      </c>
      <c r="M34" s="95">
        <f>'26'!M108</f>
        <v>61.867395833333312</v>
      </c>
      <c r="N34" s="95">
        <f>'26'!N108</f>
        <v>101.49374999999993</v>
      </c>
      <c r="O34" s="95">
        <f>'26'!O108</f>
        <v>0</v>
      </c>
      <c r="P34" s="95">
        <f>'26'!P108</f>
        <v>0.85947916666666713</v>
      </c>
      <c r="Q34" s="95">
        <f>'26'!Q108</f>
        <v>4.7568749999999964</v>
      </c>
      <c r="R34" s="160"/>
      <c r="S34" s="160"/>
      <c r="T34" s="160"/>
      <c r="U34" s="160"/>
    </row>
    <row r="35" spans="1:21">
      <c r="A35" s="157">
        <f>'27'!$B$2</f>
        <v>45623.010416666664</v>
      </c>
      <c r="B35" s="95">
        <f>'27'!B108</f>
        <v>13.053229166666668</v>
      </c>
      <c r="C35" s="95">
        <f>'27'!C108</f>
        <v>22.451354166666665</v>
      </c>
      <c r="D35" s="95">
        <f>'27'!D108</f>
        <v>23.548645833333328</v>
      </c>
      <c r="E35" s="95">
        <f>'27'!E108</f>
        <v>8.6371875000000014</v>
      </c>
      <c r="F35" s="95">
        <f>'27'!F108</f>
        <v>7.6638541666666669</v>
      </c>
      <c r="G35" s="95">
        <f>'27'!G108</f>
        <v>103.82489583333331</v>
      </c>
      <c r="H35" s="95">
        <f>'27'!H108</f>
        <v>31.372395833333311</v>
      </c>
      <c r="I35" s="95">
        <f>'27'!I108</f>
        <v>9.7511458333333341</v>
      </c>
      <c r="J35" s="95">
        <f>'27'!J108</f>
        <v>0.3456249999999999</v>
      </c>
      <c r="K35" s="95">
        <f>'27'!K108</f>
        <v>112.2475</v>
      </c>
      <c r="L35" s="95">
        <f>'27'!L108</f>
        <v>20.179895833333333</v>
      </c>
      <c r="M35" s="95">
        <f>'27'!M108</f>
        <v>56.406666666666673</v>
      </c>
      <c r="N35" s="95">
        <f>'27'!N108</f>
        <v>96.663541666666731</v>
      </c>
      <c r="O35" s="95">
        <f>'27'!O108</f>
        <v>0</v>
      </c>
      <c r="P35" s="95">
        <f>'27'!P108</f>
        <v>0.85124999999999995</v>
      </c>
      <c r="Q35" s="95">
        <f>'27'!Q108</f>
        <v>7.7580208333333331</v>
      </c>
      <c r="R35" s="160"/>
      <c r="S35" s="160"/>
      <c r="T35" s="160"/>
      <c r="U35" s="160"/>
    </row>
    <row r="36" spans="1:21">
      <c r="A36" s="157">
        <f>'28'!$B$2</f>
        <v>45624.010416666664</v>
      </c>
      <c r="B36" s="95">
        <f>'28'!B108</f>
        <v>9.9178125000000055</v>
      </c>
      <c r="C36" s="95">
        <f>'28'!C108</f>
        <v>22.96083333333333</v>
      </c>
      <c r="D36" s="95">
        <f>'28'!D108</f>
        <v>21.300416666666667</v>
      </c>
      <c r="E36" s="95">
        <f>'28'!E108</f>
        <v>8.8324999999999996</v>
      </c>
      <c r="F36" s="95">
        <f>'28'!F108</f>
        <v>6.7962500000000015</v>
      </c>
      <c r="G36" s="95">
        <f>'28'!G108</f>
        <v>98.838750000000019</v>
      </c>
      <c r="H36" s="95">
        <f>'28'!H108</f>
        <v>36.035624999999989</v>
      </c>
      <c r="I36" s="95">
        <f>'28'!I108</f>
        <v>10.49791666666667</v>
      </c>
      <c r="J36" s="95">
        <f>'28'!J108</f>
        <v>0.49572916666666655</v>
      </c>
      <c r="K36" s="95">
        <f>'28'!K108</f>
        <v>66.762187500000024</v>
      </c>
      <c r="L36" s="95">
        <f>'28'!L108</f>
        <v>19.670208333333328</v>
      </c>
      <c r="M36" s="95">
        <f>'28'!M108</f>
        <v>56.742395833333312</v>
      </c>
      <c r="N36" s="95">
        <f>'28'!N108</f>
        <v>82.387499999999946</v>
      </c>
      <c r="O36" s="95">
        <f>'28'!O108</f>
        <v>0</v>
      </c>
      <c r="P36" s="95">
        <f>'28'!P108</f>
        <v>0.9461458333333338</v>
      </c>
      <c r="Q36" s="95">
        <f>'28'!Q108</f>
        <v>10.786145833333334</v>
      </c>
      <c r="R36" s="160"/>
      <c r="S36" s="160"/>
      <c r="T36" s="160"/>
      <c r="U36" s="160"/>
    </row>
    <row r="37" spans="1:21" s="2" customFormat="1">
      <c r="A37" s="157">
        <f>'29'!$B$2</f>
        <v>45625.010416666664</v>
      </c>
      <c r="B37" s="95">
        <f>'29'!B108</f>
        <v>7.3053124999999994</v>
      </c>
      <c r="C37" s="95">
        <f>'29'!C108</f>
        <v>22.380312500000002</v>
      </c>
      <c r="D37" s="95">
        <f>'29'!D108</f>
        <v>18.902708333333333</v>
      </c>
      <c r="E37" s="95">
        <f>'29'!E108</f>
        <v>8.6900000000000013</v>
      </c>
      <c r="F37" s="95">
        <f>'29'!F108</f>
        <v>8.6405208333333299</v>
      </c>
      <c r="G37" s="95">
        <f>'29'!G108</f>
        <v>97.184583333333407</v>
      </c>
      <c r="H37" s="95">
        <f>'29'!H108</f>
        <v>35.277395833333323</v>
      </c>
      <c r="I37" s="95">
        <f>'29'!I108</f>
        <v>9.6722916666666734</v>
      </c>
      <c r="J37" s="95">
        <f>'29'!J108</f>
        <v>0.59093750000000023</v>
      </c>
      <c r="K37" s="95">
        <f>'29'!K108</f>
        <v>53.605624999999954</v>
      </c>
      <c r="L37" s="95">
        <f>'29'!L108</f>
        <v>21.194687500000004</v>
      </c>
      <c r="M37" s="95">
        <f>'29'!M108</f>
        <v>58.556666666666729</v>
      </c>
      <c r="N37" s="95">
        <f>'29'!N108</f>
        <v>91.744791666666686</v>
      </c>
      <c r="O37" s="95">
        <f>'29'!O108</f>
        <v>0</v>
      </c>
      <c r="P37" s="95">
        <f>'29'!P108</f>
        <v>0.89604166666666696</v>
      </c>
      <c r="Q37" s="95">
        <f>'29'!Q108</f>
        <v>10.495520833333332</v>
      </c>
      <c r="R37" s="160"/>
      <c r="S37" s="160"/>
      <c r="T37" s="160"/>
      <c r="U37" s="160"/>
    </row>
    <row r="38" spans="1:21" s="2" customFormat="1">
      <c r="A38" s="157">
        <f>'30'!$B$2</f>
        <v>45626.010416666664</v>
      </c>
      <c r="B38" s="95">
        <f>'30'!B108</f>
        <v>8.262812499999999</v>
      </c>
      <c r="C38" s="95">
        <f>'30'!C108</f>
        <v>21.2621875</v>
      </c>
      <c r="D38" s="95">
        <f>'30'!D108</f>
        <v>19.085833333333337</v>
      </c>
      <c r="E38" s="95">
        <f>'30'!E108</f>
        <v>9.5751041666666641</v>
      </c>
      <c r="F38" s="95">
        <f>'30'!F108</f>
        <v>6.0302083333333334</v>
      </c>
      <c r="G38" s="95">
        <f>'30'!G108</f>
        <v>79.339166666666671</v>
      </c>
      <c r="H38" s="95">
        <f>'30'!H108</f>
        <v>28.026354166666682</v>
      </c>
      <c r="I38" s="95">
        <f>'30'!I108</f>
        <v>10.180208333333335</v>
      </c>
      <c r="J38" s="95">
        <f>'30'!J108</f>
        <v>0.63374999999999981</v>
      </c>
      <c r="K38" s="95">
        <f>'30'!K108</f>
        <v>63.795312499999973</v>
      </c>
      <c r="L38" s="95">
        <f>'30'!L108</f>
        <v>21.008854166666669</v>
      </c>
      <c r="M38" s="95">
        <f>'30'!M108</f>
        <v>74.676979166666669</v>
      </c>
      <c r="N38" s="95">
        <f>'30'!N108</f>
        <v>33.929166666666674</v>
      </c>
      <c r="O38" s="95">
        <f>'30'!O108</f>
        <v>0</v>
      </c>
      <c r="P38" s="95">
        <f>'30'!P108</f>
        <v>0.85489583333333385</v>
      </c>
      <c r="Q38" s="95">
        <f>'30'!Q108</f>
        <v>10.24083333333334</v>
      </c>
      <c r="R38" s="160"/>
      <c r="S38" s="160"/>
      <c r="T38" s="160"/>
      <c r="U38" s="160"/>
    </row>
    <row r="39" spans="1:21" s="2" customFormat="1">
      <c r="A39" s="144"/>
      <c r="B39" s="160"/>
      <c r="C39" s="160"/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  <c r="O39" s="160"/>
      <c r="P39" s="160"/>
      <c r="Q39" s="160"/>
      <c r="R39" s="161"/>
      <c r="S39" s="161"/>
      <c r="T39" s="161"/>
      <c r="U39" s="161"/>
    </row>
    <row r="40" spans="1:21" s="2" customFormat="1">
      <c r="A40" s="144" t="s">
        <v>48</v>
      </c>
      <c r="B40" s="161">
        <f>MIN(B9:B38)</f>
        <v>5.1392708333333328</v>
      </c>
      <c r="C40" s="161">
        <f>MIN(C9:C38)</f>
        <v>8.0650000000000031</v>
      </c>
      <c r="D40" s="161">
        <f>MIN(D9:D38)</f>
        <v>13.90479166666668</v>
      </c>
      <c r="E40" s="161">
        <f>MIN(E9:E38)</f>
        <v>8.4434374999999999</v>
      </c>
      <c r="F40" s="161">
        <f>MIN(F9:F38)</f>
        <v>6.0302083333333334</v>
      </c>
      <c r="G40" s="161">
        <f>MIN(G9:G38)</f>
        <v>69.078229166666688</v>
      </c>
      <c r="H40" s="161">
        <f>MIN(H9:H38)</f>
        <v>22.321874999999981</v>
      </c>
      <c r="I40" s="161">
        <f>MIN(I9:I38)</f>
        <v>7.0861458333333323</v>
      </c>
      <c r="J40" s="161">
        <f>MIN(J9:J38)</f>
        <v>0.18739583333333323</v>
      </c>
      <c r="K40" s="161">
        <f>MIN(K9:K38)</f>
        <v>53.605624999999954</v>
      </c>
      <c r="L40" s="161">
        <f>MIN(L9:L38)</f>
        <v>19.670208333333328</v>
      </c>
      <c r="M40" s="161">
        <f>MIN(M9:M38)</f>
        <v>56.406666666666673</v>
      </c>
      <c r="N40" s="161">
        <f>MIN(N9:N38)</f>
        <v>33.929166666666674</v>
      </c>
      <c r="O40" s="161">
        <f>MIN(O9:O38)</f>
        <v>0</v>
      </c>
      <c r="P40" s="161">
        <f>MIN(P9:P38)</f>
        <v>0.59052083333333327</v>
      </c>
      <c r="Q40" s="161">
        <f>MIN(Q9:Q38)</f>
        <v>4.2825000000000015</v>
      </c>
      <c r="R40" s="161"/>
      <c r="S40" s="161"/>
      <c r="T40" s="161"/>
      <c r="U40" s="161"/>
    </row>
    <row r="41" spans="1:21" s="2" customFormat="1">
      <c r="A41" s="144" t="s">
        <v>49</v>
      </c>
      <c r="B41" s="161">
        <f>MAX(B9:B38)</f>
        <v>14.673333333333344</v>
      </c>
      <c r="C41" s="161">
        <f>MAX(C9:C38)</f>
        <v>22.96083333333333</v>
      </c>
      <c r="D41" s="161">
        <f>MAX(D9:D38)</f>
        <v>25.011875000000003</v>
      </c>
      <c r="E41" s="161">
        <f>MAX(E9:E38)</f>
        <v>11.984062500000006</v>
      </c>
      <c r="F41" s="161">
        <f>MAX(F9:F38)</f>
        <v>14.855208333333328</v>
      </c>
      <c r="G41" s="161">
        <f>MAX(G9:G38)</f>
        <v>120.92281249999995</v>
      </c>
      <c r="H41" s="161">
        <f>MAX(H9:H38)</f>
        <v>44.963763440860198</v>
      </c>
      <c r="I41" s="161">
        <f>MAX(I9:I38)</f>
        <v>12.391145833333335</v>
      </c>
      <c r="J41" s="161">
        <f>MAX(J9:J38)</f>
        <v>0.63374999999999981</v>
      </c>
      <c r="K41" s="161">
        <f>MAX(K9:K38)</f>
        <v>181.83572916666665</v>
      </c>
      <c r="L41" s="161">
        <f>MAX(L9:L38)</f>
        <v>26.964479166666674</v>
      </c>
      <c r="M41" s="161">
        <f>MAX(M9:M38)</f>
        <v>74.676979166666669</v>
      </c>
      <c r="N41" s="161">
        <f>MAX(N9:N38)</f>
        <v>141.23229166666667</v>
      </c>
      <c r="O41" s="161">
        <f>MAX(O9:O38)</f>
        <v>0</v>
      </c>
      <c r="P41" s="161">
        <f>MAX(P9:P38)</f>
        <v>1.0297916666666669</v>
      </c>
      <c r="Q41" s="161">
        <f>MAX(Q9:Q38)</f>
        <v>10.786145833333334</v>
      </c>
      <c r="R41" s="161"/>
      <c r="S41" s="161"/>
      <c r="T41" s="161"/>
      <c r="U41" s="161"/>
    </row>
    <row r="42" spans="1:21" s="2" customFormat="1">
      <c r="A42" s="144" t="s">
        <v>50</v>
      </c>
      <c r="B42" s="161">
        <f>AVERAGE(B9:B38)</f>
        <v>7.3810520833333326</v>
      </c>
      <c r="C42" s="161">
        <f>AVERAGE(C9:C38)</f>
        <v>13.270208333333333</v>
      </c>
      <c r="D42" s="161">
        <f>AVERAGE(D9:D38)</f>
        <v>16.828000000000003</v>
      </c>
      <c r="E42" s="161">
        <f>AVERAGE(E9:E38)</f>
        <v>9.7949652777777771</v>
      </c>
      <c r="F42" s="161">
        <f>AVERAGE(F9:F38)</f>
        <v>7.8464895833333355</v>
      </c>
      <c r="G42" s="161">
        <f>AVERAGE(G9:G38)</f>
        <v>91.041104169341892</v>
      </c>
      <c r="H42" s="161">
        <f>AVERAGE(H9:H38)</f>
        <v>32.750937597762523</v>
      </c>
      <c r="I42" s="161">
        <f>AVERAGE(I9:I38)</f>
        <v>9.5090486111111137</v>
      </c>
      <c r="J42" s="161">
        <f>AVERAGE(J9:J38)</f>
        <v>0.32454861111111116</v>
      </c>
      <c r="K42" s="161">
        <f>AVERAGE(K9:K38)</f>
        <v>116.76987500000001</v>
      </c>
      <c r="L42" s="161">
        <f>AVERAGE(L9:L38)</f>
        <v>23.063395833333335</v>
      </c>
      <c r="M42" s="161">
        <f>AVERAGE(M9:M38)</f>
        <v>63.853420138888879</v>
      </c>
      <c r="N42" s="161">
        <f>AVERAGE(N9:N38)</f>
        <v>106.25847222222225</v>
      </c>
      <c r="O42" s="161">
        <f>AVERAGE(O9:O38)</f>
        <v>0</v>
      </c>
      <c r="P42" s="161">
        <f>AVERAGE(P9:P38)</f>
        <v>0.80319791666666673</v>
      </c>
      <c r="Q42" s="161">
        <f>AVERAGE(Q9:Q38)</f>
        <v>5.3265625000000032</v>
      </c>
      <c r="R42" s="161"/>
      <c r="S42" s="161"/>
      <c r="T42" s="161"/>
      <c r="U42" s="161"/>
    </row>
    <row r="43" spans="1:21" s="2" customFormat="1">
      <c r="A43" s="144" t="s">
        <v>51</v>
      </c>
      <c r="B43" s="161">
        <f>STDEV(B9:B38)</f>
        <v>3.1860096745983184</v>
      </c>
      <c r="C43" s="161">
        <f>STDEV(C9:C38)</f>
        <v>6.7140370784413221</v>
      </c>
      <c r="D43" s="161">
        <f>STDEV(D9:D38)</f>
        <v>3.8896090639521068</v>
      </c>
      <c r="E43" s="161">
        <f>STDEV(E9:E38)</f>
        <v>0.90384657449052941</v>
      </c>
      <c r="F43" s="161">
        <f>STDEV(F9:F38)</f>
        <v>1.6207676387525409</v>
      </c>
      <c r="G43" s="161">
        <f>STDEV(G9:G38)</f>
        <v>13.462393631575328</v>
      </c>
      <c r="H43" s="161">
        <f>STDEV(H9:H38)</f>
        <v>5.822280267785696</v>
      </c>
      <c r="I43" s="161">
        <f>STDEV(I9:I38)</f>
        <v>1.4966910838382854</v>
      </c>
      <c r="J43" s="161">
        <f>STDEV(J9:J38)</f>
        <v>0.10020762141198877</v>
      </c>
      <c r="K43" s="161">
        <f>STDEV(K9:K38)</f>
        <v>28.885042690619681</v>
      </c>
      <c r="L43" s="161">
        <f>STDEV(L9:L38)</f>
        <v>2.3641173503138138</v>
      </c>
      <c r="M43" s="161">
        <f>STDEV(M9:M38)</f>
        <v>4.5286119970896328</v>
      </c>
      <c r="N43" s="161">
        <f>STDEV(N9:N38)</f>
        <v>20.331004056462081</v>
      </c>
      <c r="O43" s="161">
        <f>STDEV(O9:O38)</f>
        <v>0</v>
      </c>
      <c r="P43" s="161">
        <f>STDEV(P9:P38)</f>
        <v>0.1328638976780902</v>
      </c>
      <c r="Q43" s="161">
        <f>STDEV(Q9:Q38)</f>
        <v>1.8675420487099386</v>
      </c>
      <c r="R43" s="147"/>
      <c r="S43" s="147"/>
      <c r="T43" s="147"/>
      <c r="U43" s="147"/>
    </row>
    <row r="44" spans="1:21" s="2" customFormat="1">
      <c r="A44" s="144" t="s">
        <v>52</v>
      </c>
      <c r="B44" s="147">
        <f>COUNT(B9:B38)</f>
        <v>30</v>
      </c>
      <c r="C44" s="147">
        <f>COUNT(C9:C38)</f>
        <v>30</v>
      </c>
      <c r="D44" s="147">
        <f>COUNT(D9:D38)</f>
        <v>30</v>
      </c>
      <c r="E44" s="147">
        <f>COUNT(E9:E38)</f>
        <v>30</v>
      </c>
      <c r="F44" s="147">
        <f>COUNT(F9:F38)</f>
        <v>30</v>
      </c>
      <c r="G44" s="147">
        <f>COUNT(G9:G38)</f>
        <v>30</v>
      </c>
      <c r="H44" s="147">
        <f>COUNT(H9:H38)</f>
        <v>30</v>
      </c>
      <c r="I44" s="147">
        <f>COUNT(I9:I38)</f>
        <v>30</v>
      </c>
      <c r="J44" s="147">
        <f>COUNT(J9:J38)</f>
        <v>30</v>
      </c>
      <c r="K44" s="147">
        <f>COUNT(K9:K38)</f>
        <v>30</v>
      </c>
      <c r="L44" s="147">
        <f>COUNT(L9:L38)</f>
        <v>30</v>
      </c>
      <c r="M44" s="147">
        <f>COUNT(M9:M38)</f>
        <v>30</v>
      </c>
      <c r="N44" s="147">
        <f>COUNT(N9:N38)</f>
        <v>30</v>
      </c>
      <c r="O44" s="147">
        <f>COUNT(O9:O38)</f>
        <v>30</v>
      </c>
      <c r="P44" s="147">
        <f>COUNT(P9:P38)</f>
        <v>30</v>
      </c>
      <c r="Q44" s="147">
        <f>COUNT(Q9:Q38)</f>
        <v>30</v>
      </c>
      <c r="R44" s="147"/>
      <c r="S44" s="147"/>
      <c r="T44" s="147"/>
      <c r="U44" s="147"/>
    </row>
    <row r="45" spans="1:21">
      <c r="A45" s="144" t="s">
        <v>53</v>
      </c>
      <c r="B45" s="147" t="str">
        <f>IF(B44&gt;=28,"&gt;90%",IF(B44&lt;=28,"&lt;90%"))</f>
        <v>&gt;90%</v>
      </c>
      <c r="C45" s="147" t="str">
        <f t="shared" ref="C45:Q45" si="0">IF(C44&gt;=28,"&gt;90%",IF(C44&lt;=28,"&lt;90%"))</f>
        <v>&gt;90%</v>
      </c>
      <c r="D45" s="147" t="str">
        <f t="shared" si="0"/>
        <v>&gt;90%</v>
      </c>
      <c r="E45" s="147" t="str">
        <f t="shared" si="0"/>
        <v>&gt;90%</v>
      </c>
      <c r="F45" s="147" t="str">
        <f t="shared" si="0"/>
        <v>&gt;90%</v>
      </c>
      <c r="G45" s="147" t="str">
        <f t="shared" si="0"/>
        <v>&gt;90%</v>
      </c>
      <c r="H45" s="147" t="str">
        <f t="shared" si="0"/>
        <v>&gt;90%</v>
      </c>
      <c r="I45" s="147" t="str">
        <f t="shared" si="0"/>
        <v>&gt;90%</v>
      </c>
      <c r="J45" s="147" t="str">
        <f t="shared" si="0"/>
        <v>&gt;90%</v>
      </c>
      <c r="K45" s="147" t="str">
        <f t="shared" si="0"/>
        <v>&gt;90%</v>
      </c>
      <c r="L45" s="147" t="str">
        <f t="shared" si="0"/>
        <v>&gt;90%</v>
      </c>
      <c r="M45" s="147" t="str">
        <f t="shared" si="0"/>
        <v>&gt;90%</v>
      </c>
      <c r="N45" s="147" t="str">
        <f t="shared" si="0"/>
        <v>&gt;90%</v>
      </c>
      <c r="O45" s="147" t="str">
        <f t="shared" si="0"/>
        <v>&gt;90%</v>
      </c>
      <c r="P45" s="147" t="str">
        <f t="shared" si="0"/>
        <v>&gt;90%</v>
      </c>
      <c r="Q45" s="147" t="str">
        <f t="shared" si="0"/>
        <v>&gt;90%</v>
      </c>
      <c r="R45" s="147"/>
      <c r="S45" s="147"/>
      <c r="T45" s="147"/>
      <c r="U45" s="147"/>
    </row>
    <row r="46" spans="1:21">
      <c r="A46" s="144" t="s">
        <v>54</v>
      </c>
      <c r="B46" s="147" t="str">
        <f>IF(B44&gt;=28,"OK",IF(B44&lt;=28,"LESS"))</f>
        <v>OK</v>
      </c>
      <c r="C46" s="147" t="str">
        <f t="shared" ref="C46:Q46" si="1">IF(C44&gt;=28,"OK",IF(C44&lt;=28,"LESS"))</f>
        <v>OK</v>
      </c>
      <c r="D46" s="147" t="str">
        <f t="shared" si="1"/>
        <v>OK</v>
      </c>
      <c r="E46" s="147" t="str">
        <f t="shared" si="1"/>
        <v>OK</v>
      </c>
      <c r="F46" s="147" t="str">
        <f t="shared" si="1"/>
        <v>OK</v>
      </c>
      <c r="G46" s="147" t="str">
        <f t="shared" si="1"/>
        <v>OK</v>
      </c>
      <c r="H46" s="147" t="str">
        <f t="shared" si="1"/>
        <v>OK</v>
      </c>
      <c r="I46" s="147" t="str">
        <f t="shared" si="1"/>
        <v>OK</v>
      </c>
      <c r="J46" s="147" t="str">
        <f t="shared" si="1"/>
        <v>OK</v>
      </c>
      <c r="K46" s="147" t="str">
        <f t="shared" si="1"/>
        <v>OK</v>
      </c>
      <c r="L46" s="147" t="str">
        <f t="shared" si="1"/>
        <v>OK</v>
      </c>
      <c r="M46" s="147" t="str">
        <f t="shared" si="1"/>
        <v>OK</v>
      </c>
      <c r="N46" s="147" t="str">
        <f t="shared" si="1"/>
        <v>OK</v>
      </c>
      <c r="O46" s="147" t="str">
        <f t="shared" si="1"/>
        <v>OK</v>
      </c>
      <c r="P46" s="147" t="str">
        <f t="shared" si="1"/>
        <v>OK</v>
      </c>
      <c r="Q46" s="147" t="str">
        <f t="shared" si="1"/>
        <v>OK</v>
      </c>
      <c r="R46" s="2"/>
      <c r="S46" s="2"/>
      <c r="T46" s="2"/>
    </row>
    <row r="47" spans="1:2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9" spans="1:16">
      <c r="A49" s="144" t="s">
        <v>55</v>
      </c>
      <c r="B49" s="190" t="s">
        <v>56</v>
      </c>
      <c r="C49" s="190"/>
      <c r="D49" s="190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>
      <c r="A50" s="162"/>
      <c r="B50" s="2"/>
      <c r="C50" s="2"/>
      <c r="D50" s="163"/>
      <c r="E50" s="163"/>
      <c r="F50" s="163"/>
      <c r="G50" s="163"/>
      <c r="H50" s="163"/>
      <c r="I50" s="163"/>
      <c r="J50" s="2"/>
      <c r="K50" s="2"/>
      <c r="L50" s="2"/>
      <c r="M50" s="2"/>
      <c r="N50" s="2"/>
      <c r="O50" s="2"/>
      <c r="P50" s="2"/>
    </row>
    <row r="51" spans="1:16" ht="15.75">
      <c r="A51" s="164" t="s">
        <v>57</v>
      </c>
      <c r="B51" s="192"/>
      <c r="C51" s="192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</row>
    <row r="52" spans="1:16">
      <c r="A52" s="16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>
      <c r="A53" s="16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>
      <c r="A54" s="16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</sheetData>
  <mergeCells count="2">
    <mergeCell ref="B49:D49"/>
    <mergeCell ref="B51:P51"/>
  </mergeCells>
  <pageMargins left="0.17" right="0.17" top="0.19" bottom="0.16" header="0.17" footer="0.16"/>
  <pageSetup paperSize="9" orientation="landscape"/>
</worksheet>
</file>

<file path=xl/worksheets/sheet32.xml><?xml version="1.0" encoding="utf-8"?>
<worksheet xmlns="http://schemas.openxmlformats.org/spreadsheetml/2006/main" xmlns:r="http://schemas.openxmlformats.org/officeDocument/2006/relationships">
  <dimension ref="B1:X119"/>
  <sheetViews>
    <sheetView topLeftCell="C3" zoomScale="85" zoomScaleNormal="85" workbookViewId="0">
      <selection activeCell="U28" sqref="U28"/>
    </sheetView>
  </sheetViews>
  <sheetFormatPr defaultColWidth="8.85546875" defaultRowHeight="15"/>
  <cols>
    <col min="1" max="1" width="4.5703125" style="2" customWidth="1"/>
    <col min="2" max="2" width="16.140625" style="86" customWidth="1"/>
    <col min="3" max="3" width="10.28515625" style="2" customWidth="1"/>
    <col min="4" max="7" width="9.140625" style="2" customWidth="1"/>
    <col min="8" max="8" width="9.140625" style="88" customWidth="1"/>
    <col min="9" max="12" width="9.140625" style="2" customWidth="1"/>
    <col min="13" max="13" width="13.28515625" style="2" customWidth="1"/>
    <col min="14" max="14" width="5.7109375" style="2" customWidth="1"/>
    <col min="15" max="15" width="16.140625" style="89" customWidth="1"/>
    <col min="16" max="16" width="10.85546875" style="89" customWidth="1"/>
    <col min="17" max="17" width="15.42578125" style="89" customWidth="1"/>
    <col min="18" max="18" width="13.42578125" style="89" customWidth="1"/>
    <col min="19" max="19" width="16.85546875" style="90" customWidth="1"/>
    <col min="20" max="20" width="10" style="90" customWidth="1"/>
    <col min="21" max="21" width="12.85546875" style="89" customWidth="1"/>
    <col min="22" max="22" width="10.7109375" style="89" customWidth="1"/>
    <col min="23" max="23" width="8.85546875" style="2"/>
    <col min="24" max="24" width="10.85546875" style="2" customWidth="1"/>
    <col min="25" max="16384" width="8.85546875" style="2"/>
  </cols>
  <sheetData>
    <row r="1" spans="2:24" ht="24" customHeight="1">
      <c r="B1" s="2"/>
      <c r="C1" s="91" t="s">
        <v>60</v>
      </c>
      <c r="D1" s="193" t="s">
        <v>61</v>
      </c>
      <c r="E1" s="193"/>
      <c r="F1" s="193"/>
      <c r="G1" s="193"/>
      <c r="H1" s="193"/>
      <c r="I1" s="193"/>
      <c r="J1" s="194"/>
    </row>
    <row r="2" spans="2:24" ht="22.5" customHeight="1">
      <c r="B2" s="2"/>
      <c r="C2" s="91" t="s">
        <v>2</v>
      </c>
      <c r="D2" s="195" t="s">
        <v>238</v>
      </c>
      <c r="E2" s="196"/>
      <c r="F2" s="196"/>
      <c r="G2" s="196"/>
      <c r="H2" s="196"/>
      <c r="I2" s="196"/>
      <c r="J2" s="197"/>
    </row>
    <row r="4" spans="2:24">
      <c r="S4" s="89"/>
      <c r="T4" s="89"/>
      <c r="U4" s="90"/>
      <c r="V4" s="90"/>
      <c r="W4" s="89"/>
      <c r="X4" s="89"/>
    </row>
    <row r="5" spans="2:24">
      <c r="B5" s="92"/>
      <c r="C5" s="93"/>
      <c r="D5" s="93"/>
      <c r="E5" s="93"/>
      <c r="F5" s="93"/>
      <c r="G5" s="198" t="s">
        <v>62</v>
      </c>
      <c r="H5" s="198"/>
      <c r="I5" s="93"/>
      <c r="J5" s="93"/>
      <c r="K5" s="93"/>
      <c r="L5" s="93"/>
      <c r="M5" s="107"/>
      <c r="O5" s="108"/>
      <c r="P5" s="109"/>
      <c r="Q5" s="109"/>
      <c r="R5" s="109"/>
      <c r="S5" s="127" t="s">
        <v>63</v>
      </c>
      <c r="T5" s="109"/>
      <c r="U5" s="128"/>
      <c r="V5" s="128"/>
      <c r="W5" s="109"/>
      <c r="X5" s="129"/>
    </row>
    <row r="6" spans="2:24">
      <c r="B6" s="94"/>
      <c r="C6" s="6"/>
      <c r="D6" s="6"/>
      <c r="E6" s="6"/>
      <c r="F6" s="6"/>
      <c r="G6" s="6"/>
      <c r="H6" s="95"/>
      <c r="I6" s="6"/>
      <c r="J6" s="6"/>
      <c r="K6" s="6"/>
      <c r="L6" s="6"/>
      <c r="M6" s="110"/>
      <c r="O6" s="111"/>
      <c r="P6" s="112"/>
      <c r="Q6" s="112"/>
      <c r="R6" s="112"/>
      <c r="S6" s="112"/>
      <c r="T6" s="112"/>
      <c r="U6" s="130"/>
      <c r="V6" s="130"/>
      <c r="W6" s="112"/>
      <c r="X6" s="131"/>
    </row>
    <row r="7" spans="2:24" ht="15.75">
      <c r="B7" s="96" t="s">
        <v>64</v>
      </c>
      <c r="C7" s="97" t="s">
        <v>65</v>
      </c>
      <c r="D7" s="97" t="s">
        <v>66</v>
      </c>
      <c r="E7" s="97" t="s">
        <v>67</v>
      </c>
      <c r="F7" s="97" t="s">
        <v>68</v>
      </c>
      <c r="G7" s="97" t="s">
        <v>69</v>
      </c>
      <c r="H7" s="98" t="s">
        <v>70</v>
      </c>
      <c r="I7" s="97" t="s">
        <v>71</v>
      </c>
      <c r="J7" s="97" t="s">
        <v>72</v>
      </c>
      <c r="K7" s="97" t="s">
        <v>73</v>
      </c>
      <c r="L7" s="97" t="s">
        <v>54</v>
      </c>
      <c r="M7" s="39" t="s">
        <v>74</v>
      </c>
      <c r="O7" s="113" t="s">
        <v>64</v>
      </c>
      <c r="P7" s="114" t="s">
        <v>65</v>
      </c>
      <c r="Q7" s="114" t="s">
        <v>75</v>
      </c>
      <c r="R7" s="114" t="s">
        <v>11</v>
      </c>
      <c r="S7" s="114" t="s">
        <v>76</v>
      </c>
      <c r="T7" s="114" t="s">
        <v>77</v>
      </c>
      <c r="U7" s="132" t="s">
        <v>78</v>
      </c>
      <c r="V7" s="132" t="s">
        <v>79</v>
      </c>
      <c r="W7" s="114" t="s">
        <v>54</v>
      </c>
      <c r="X7" s="133" t="s">
        <v>74</v>
      </c>
    </row>
    <row r="8" spans="2:24" ht="15.75">
      <c r="B8" s="82"/>
      <c r="C8" s="6" t="s">
        <v>62</v>
      </c>
      <c r="D8" s="6" t="s">
        <v>39</v>
      </c>
      <c r="E8" s="6">
        <v>0</v>
      </c>
      <c r="F8" s="6">
        <v>200</v>
      </c>
      <c r="G8" s="6">
        <v>0</v>
      </c>
      <c r="H8" s="95"/>
      <c r="I8" s="6">
        <v>0</v>
      </c>
      <c r="J8" s="95" t="e">
        <f>F8/H8</f>
        <v>#DIV/0!</v>
      </c>
      <c r="K8" s="95">
        <f>(H8-F8)*100/F8</f>
        <v>-100</v>
      </c>
      <c r="L8" s="6" t="s">
        <v>80</v>
      </c>
      <c r="M8" s="115" t="s">
        <v>56</v>
      </c>
      <c r="O8" s="82">
        <v>45603.560416666667</v>
      </c>
      <c r="P8" s="112" t="s">
        <v>63</v>
      </c>
      <c r="Q8" s="112">
        <v>4924.3</v>
      </c>
      <c r="R8" s="112">
        <v>3766.29</v>
      </c>
      <c r="S8" s="134" t="s">
        <v>81</v>
      </c>
      <c r="T8" s="134">
        <v>873.59</v>
      </c>
      <c r="U8" s="130">
        <v>0.96889999999999998</v>
      </c>
      <c r="V8" s="130">
        <v>0.95830000000000004</v>
      </c>
      <c r="W8" s="6" t="s">
        <v>80</v>
      </c>
      <c r="X8" s="115" t="s">
        <v>56</v>
      </c>
    </row>
    <row r="9" spans="2:24" ht="15.75">
      <c r="B9" s="82"/>
      <c r="C9" s="6" t="s">
        <v>62</v>
      </c>
      <c r="D9" s="6" t="s">
        <v>39</v>
      </c>
      <c r="E9" s="6">
        <v>0</v>
      </c>
      <c r="F9" s="6">
        <v>200</v>
      </c>
      <c r="G9" s="6">
        <v>0</v>
      </c>
      <c r="H9" s="95"/>
      <c r="I9" s="6">
        <v>0</v>
      </c>
      <c r="J9" s="95" t="e">
        <f t="shared" ref="J9:J14" si="0">F9/H9</f>
        <v>#DIV/0!</v>
      </c>
      <c r="K9" s="95">
        <f t="shared" ref="K9:K14" si="1">(H9-F9)*100/F9</f>
        <v>-100</v>
      </c>
      <c r="L9" s="6" t="s">
        <v>80</v>
      </c>
      <c r="M9" s="115" t="s">
        <v>56</v>
      </c>
      <c r="O9" s="82">
        <v>45610.592361111114</v>
      </c>
      <c r="P9" s="112" t="s">
        <v>63</v>
      </c>
      <c r="Q9" s="112">
        <v>4864.71</v>
      </c>
      <c r="R9" s="112">
        <v>3726.85</v>
      </c>
      <c r="S9" s="134" t="s">
        <v>81</v>
      </c>
      <c r="T9" s="134">
        <v>864.9</v>
      </c>
      <c r="U9" s="130">
        <v>0.95830000000000004</v>
      </c>
      <c r="V9" s="130">
        <v>0.95730000000000004</v>
      </c>
      <c r="W9" s="6" t="s">
        <v>80</v>
      </c>
      <c r="X9" s="115" t="s">
        <v>56</v>
      </c>
    </row>
    <row r="10" spans="2:24" ht="15.75">
      <c r="B10" s="82"/>
      <c r="C10" s="6" t="s">
        <v>62</v>
      </c>
      <c r="D10" s="6" t="s">
        <v>39</v>
      </c>
      <c r="E10" s="6">
        <v>0</v>
      </c>
      <c r="F10" s="6">
        <v>200</v>
      </c>
      <c r="G10" s="6">
        <v>0</v>
      </c>
      <c r="H10" s="95"/>
      <c r="I10" s="6">
        <v>0</v>
      </c>
      <c r="J10" s="95" t="e">
        <f t="shared" si="0"/>
        <v>#DIV/0!</v>
      </c>
      <c r="K10" s="95">
        <f t="shared" si="1"/>
        <v>-100</v>
      </c>
      <c r="L10" s="6" t="s">
        <v>80</v>
      </c>
      <c r="M10" s="115" t="s">
        <v>56</v>
      </c>
      <c r="O10" s="82"/>
      <c r="P10" s="112" t="s">
        <v>63</v>
      </c>
      <c r="Q10" s="112"/>
      <c r="R10" s="112"/>
      <c r="S10" s="134" t="s">
        <v>81</v>
      </c>
      <c r="T10" s="134"/>
      <c r="U10" s="130"/>
      <c r="V10" s="130"/>
      <c r="W10" s="6" t="s">
        <v>80</v>
      </c>
      <c r="X10" s="115" t="s">
        <v>56</v>
      </c>
    </row>
    <row r="11" spans="2:24" ht="15.75">
      <c r="B11" s="82"/>
      <c r="C11" s="6" t="s">
        <v>62</v>
      </c>
      <c r="D11" s="6" t="s">
        <v>39</v>
      </c>
      <c r="E11" s="6">
        <v>0</v>
      </c>
      <c r="F11" s="6">
        <v>200</v>
      </c>
      <c r="G11" s="6">
        <v>0</v>
      </c>
      <c r="H11" s="95"/>
      <c r="I11" s="6">
        <v>0</v>
      </c>
      <c r="J11" s="95" t="e">
        <f t="shared" si="0"/>
        <v>#DIV/0!</v>
      </c>
      <c r="K11" s="95">
        <f t="shared" si="1"/>
        <v>-100</v>
      </c>
      <c r="L11" s="6" t="s">
        <v>80</v>
      </c>
      <c r="M11" s="115" t="s">
        <v>56</v>
      </c>
      <c r="O11" s="82"/>
      <c r="P11" s="112" t="s">
        <v>63</v>
      </c>
      <c r="Q11" s="112"/>
      <c r="R11" s="112"/>
      <c r="S11" s="134" t="s">
        <v>81</v>
      </c>
      <c r="T11" s="134"/>
      <c r="U11" s="130"/>
      <c r="V11" s="130"/>
      <c r="W11" s="6" t="s">
        <v>80</v>
      </c>
      <c r="X11" s="115" t="s">
        <v>56</v>
      </c>
    </row>
    <row r="12" spans="2:24" ht="15.75">
      <c r="B12" s="82"/>
      <c r="C12" s="6" t="s">
        <v>62</v>
      </c>
      <c r="D12" s="6" t="s">
        <v>39</v>
      </c>
      <c r="E12" s="6">
        <v>0</v>
      </c>
      <c r="F12" s="6">
        <v>200</v>
      </c>
      <c r="G12" s="6">
        <v>0</v>
      </c>
      <c r="H12" s="95"/>
      <c r="I12" s="6">
        <v>0</v>
      </c>
      <c r="J12" s="95" t="e">
        <f t="shared" si="0"/>
        <v>#DIV/0!</v>
      </c>
      <c r="K12" s="95">
        <f t="shared" si="1"/>
        <v>-100</v>
      </c>
      <c r="L12" s="6" t="s">
        <v>80</v>
      </c>
      <c r="M12" s="115" t="s">
        <v>56</v>
      </c>
      <c r="O12" s="82"/>
      <c r="P12" s="112" t="s">
        <v>63</v>
      </c>
      <c r="Q12" s="112"/>
      <c r="R12" s="112"/>
      <c r="S12" s="134" t="s">
        <v>81</v>
      </c>
      <c r="T12" s="134"/>
      <c r="U12" s="130"/>
      <c r="V12" s="130"/>
      <c r="W12" s="6" t="s">
        <v>80</v>
      </c>
      <c r="X12" s="115" t="s">
        <v>56</v>
      </c>
    </row>
    <row r="13" spans="2:24" ht="15.75">
      <c r="B13" s="82"/>
      <c r="C13" s="6" t="s">
        <v>62</v>
      </c>
      <c r="D13" s="6" t="s">
        <v>39</v>
      </c>
      <c r="E13" s="6">
        <v>0</v>
      </c>
      <c r="F13" s="6">
        <v>200</v>
      </c>
      <c r="G13" s="6">
        <v>0</v>
      </c>
      <c r="H13" s="95"/>
      <c r="I13" s="6">
        <v>0</v>
      </c>
      <c r="J13" s="95" t="e">
        <f t="shared" si="0"/>
        <v>#DIV/0!</v>
      </c>
      <c r="K13" s="95">
        <f t="shared" si="1"/>
        <v>-100</v>
      </c>
      <c r="L13" s="6" t="s">
        <v>80</v>
      </c>
      <c r="M13" s="115" t="s">
        <v>56</v>
      </c>
      <c r="O13" s="82"/>
      <c r="P13" s="112" t="s">
        <v>63</v>
      </c>
      <c r="Q13" s="112"/>
      <c r="R13" s="112"/>
      <c r="S13" s="134" t="s">
        <v>81</v>
      </c>
      <c r="T13" s="134"/>
      <c r="U13" s="130"/>
      <c r="V13" s="130"/>
      <c r="W13" s="6" t="s">
        <v>80</v>
      </c>
      <c r="X13" s="115" t="s">
        <v>56</v>
      </c>
    </row>
    <row r="14" spans="2:24" ht="15.75">
      <c r="B14" s="82"/>
      <c r="C14" s="6" t="s">
        <v>62</v>
      </c>
      <c r="D14" s="6" t="s">
        <v>39</v>
      </c>
      <c r="E14" s="6">
        <v>0</v>
      </c>
      <c r="F14" s="6">
        <v>200</v>
      </c>
      <c r="G14" s="6">
        <v>0</v>
      </c>
      <c r="H14" s="95"/>
      <c r="I14" s="6">
        <v>0</v>
      </c>
      <c r="J14" s="95" t="e">
        <f t="shared" si="0"/>
        <v>#DIV/0!</v>
      </c>
      <c r="K14" s="95">
        <f t="shared" si="1"/>
        <v>-100</v>
      </c>
      <c r="L14" s="6" t="s">
        <v>80</v>
      </c>
      <c r="M14" s="115" t="s">
        <v>56</v>
      </c>
      <c r="O14" s="82"/>
      <c r="P14" s="112" t="s">
        <v>63</v>
      </c>
      <c r="Q14" s="112"/>
      <c r="R14" s="112"/>
      <c r="S14" s="134" t="s">
        <v>81</v>
      </c>
      <c r="T14" s="134"/>
      <c r="U14" s="130"/>
      <c r="V14" s="130"/>
      <c r="W14" s="6" t="s">
        <v>80</v>
      </c>
      <c r="X14" s="115" t="s">
        <v>56</v>
      </c>
    </row>
    <row r="15" spans="2:24" ht="15.75">
      <c r="B15" s="82"/>
      <c r="C15" s="6"/>
      <c r="D15" s="6"/>
      <c r="E15" s="6"/>
      <c r="F15" s="6"/>
      <c r="G15" s="6"/>
      <c r="H15" s="95"/>
      <c r="I15" s="6"/>
      <c r="J15" s="95"/>
      <c r="K15" s="95"/>
      <c r="L15" s="6"/>
      <c r="M15" s="116"/>
      <c r="O15" s="82"/>
      <c r="P15" s="112" t="s">
        <v>63</v>
      </c>
      <c r="Q15" s="112"/>
      <c r="R15" s="112"/>
      <c r="S15" s="134" t="s">
        <v>81</v>
      </c>
      <c r="T15" s="134"/>
      <c r="U15" s="130"/>
      <c r="V15" s="130"/>
      <c r="W15" s="6" t="s">
        <v>80</v>
      </c>
      <c r="X15" s="115"/>
    </row>
    <row r="16" spans="2:24" ht="15.75">
      <c r="B16" s="82"/>
      <c r="C16" s="6"/>
      <c r="D16" s="6"/>
      <c r="E16" s="6"/>
      <c r="F16" s="6"/>
      <c r="G16" s="6"/>
      <c r="H16" s="95"/>
      <c r="I16" s="6"/>
      <c r="J16" s="95"/>
      <c r="K16" s="95"/>
      <c r="L16" s="6"/>
      <c r="M16" s="116"/>
      <c r="O16" s="82"/>
      <c r="P16" s="112" t="s">
        <v>63</v>
      </c>
      <c r="Q16" s="112"/>
      <c r="R16" s="112"/>
      <c r="S16" s="134" t="s">
        <v>81</v>
      </c>
      <c r="T16" s="134"/>
      <c r="U16" s="130"/>
      <c r="V16" s="130"/>
      <c r="W16" s="6" t="s">
        <v>80</v>
      </c>
      <c r="X16" s="115"/>
    </row>
    <row r="17" spans="2:24" ht="15.75">
      <c r="B17" s="82"/>
      <c r="C17" s="6"/>
      <c r="D17" s="6"/>
      <c r="E17" s="6"/>
      <c r="F17" s="6"/>
      <c r="G17" s="6"/>
      <c r="H17" s="95"/>
      <c r="I17" s="6"/>
      <c r="J17" s="95"/>
      <c r="K17" s="95"/>
      <c r="L17" s="6"/>
      <c r="M17" s="116"/>
      <c r="O17" s="82"/>
      <c r="P17" s="112" t="s">
        <v>63</v>
      </c>
      <c r="Q17" s="112"/>
      <c r="R17" s="112"/>
      <c r="S17" s="134" t="s">
        <v>81</v>
      </c>
      <c r="T17" s="134"/>
      <c r="U17" s="130"/>
      <c r="V17" s="130"/>
      <c r="W17" s="6"/>
      <c r="X17" s="115"/>
    </row>
    <row r="18" spans="2:24" ht="15.75">
      <c r="B18" s="83"/>
      <c r="C18" s="6"/>
      <c r="D18" s="6"/>
      <c r="E18" s="6"/>
      <c r="F18" s="6"/>
      <c r="G18" s="6"/>
      <c r="H18" s="95"/>
      <c r="I18" s="6"/>
      <c r="J18" s="95"/>
      <c r="K18" s="95"/>
      <c r="L18" s="6"/>
      <c r="M18" s="116"/>
      <c r="O18" s="117"/>
      <c r="P18" s="112"/>
      <c r="Q18" s="112"/>
      <c r="R18" s="112"/>
      <c r="S18" s="134"/>
      <c r="T18" s="134"/>
      <c r="U18" s="130"/>
      <c r="V18" s="130"/>
      <c r="W18" s="6"/>
      <c r="X18" s="115"/>
    </row>
    <row r="19" spans="2:24" ht="15.75">
      <c r="B19" s="83"/>
      <c r="C19" s="6"/>
      <c r="D19" s="6"/>
      <c r="E19" s="6"/>
      <c r="F19" s="6"/>
      <c r="G19" s="6"/>
      <c r="H19" s="95"/>
      <c r="I19" s="6"/>
      <c r="J19" s="95"/>
      <c r="K19" s="95"/>
      <c r="L19" s="6"/>
      <c r="M19" s="116"/>
      <c r="O19" s="118"/>
      <c r="P19" s="112"/>
      <c r="Q19" s="112"/>
      <c r="R19" s="112"/>
      <c r="S19" s="134"/>
      <c r="T19" s="134"/>
      <c r="U19" s="130"/>
      <c r="V19" s="130"/>
      <c r="W19" s="6"/>
      <c r="X19" s="115"/>
    </row>
    <row r="20" spans="2:24" ht="15.75">
      <c r="B20" s="83"/>
      <c r="C20" s="6"/>
      <c r="D20" s="6"/>
      <c r="E20" s="6"/>
      <c r="F20" s="6"/>
      <c r="G20" s="6"/>
      <c r="H20" s="95"/>
      <c r="I20" s="6"/>
      <c r="J20" s="95"/>
      <c r="K20" s="95"/>
      <c r="L20" s="6"/>
      <c r="M20" s="116"/>
      <c r="O20" s="118"/>
      <c r="P20" s="112"/>
      <c r="Q20" s="112"/>
      <c r="R20" s="112"/>
      <c r="S20" s="134"/>
      <c r="T20" s="134"/>
      <c r="U20" s="130"/>
      <c r="V20" s="130"/>
      <c r="W20" s="6"/>
      <c r="X20" s="115"/>
    </row>
    <row r="21" spans="2:24">
      <c r="B21" s="99"/>
      <c r="C21" s="199" t="s">
        <v>82</v>
      </c>
      <c r="D21" s="199"/>
      <c r="E21" s="199"/>
      <c r="F21" s="199"/>
      <c r="G21" s="199"/>
      <c r="H21" s="199"/>
      <c r="I21" s="119">
        <f>COUNT(B8:B20)</f>
        <v>0</v>
      </c>
      <c r="J21" s="120"/>
      <c r="K21" s="120"/>
      <c r="L21" s="106"/>
      <c r="M21" s="121"/>
      <c r="O21" s="122"/>
      <c r="P21" s="200" t="s">
        <v>83</v>
      </c>
      <c r="Q21" s="200"/>
      <c r="R21" s="200"/>
      <c r="S21" s="200"/>
      <c r="T21" s="135">
        <f>COUNT(O8:O20)</f>
        <v>2</v>
      </c>
      <c r="U21" s="136"/>
      <c r="V21" s="136"/>
      <c r="W21" s="137"/>
      <c r="X21" s="138"/>
    </row>
    <row r="22" spans="2:24">
      <c r="C22" s="100"/>
      <c r="D22" s="100"/>
      <c r="E22" s="100"/>
      <c r="F22" s="100"/>
      <c r="G22" s="100"/>
      <c r="H22" s="101"/>
      <c r="J22" s="88"/>
      <c r="K22" s="88"/>
      <c r="S22" s="89"/>
      <c r="T22" s="89"/>
      <c r="U22" s="90"/>
      <c r="V22" s="90"/>
      <c r="W22" s="89"/>
      <c r="X22" s="89"/>
    </row>
    <row r="23" spans="2:24">
      <c r="J23" s="88"/>
      <c r="K23" s="88"/>
      <c r="S23" s="89"/>
      <c r="T23" s="89"/>
      <c r="U23" s="90"/>
      <c r="V23" s="90"/>
      <c r="W23" s="89"/>
      <c r="X23" s="89"/>
    </row>
    <row r="24" spans="2:24">
      <c r="B24" s="92"/>
      <c r="C24" s="102"/>
      <c r="D24" s="102"/>
      <c r="E24" s="102"/>
      <c r="F24" s="102"/>
      <c r="G24" s="201" t="s">
        <v>84</v>
      </c>
      <c r="H24" s="201"/>
      <c r="I24" s="93"/>
      <c r="J24" s="123"/>
      <c r="K24" s="123"/>
      <c r="L24" s="93"/>
      <c r="M24" s="107"/>
      <c r="O24" s="108"/>
      <c r="P24" s="109"/>
      <c r="Q24" s="109"/>
      <c r="R24" s="109"/>
      <c r="S24" s="127" t="s">
        <v>29</v>
      </c>
      <c r="T24" s="109"/>
      <c r="U24" s="128"/>
      <c r="V24" s="128"/>
      <c r="W24" s="109"/>
      <c r="X24" s="129"/>
    </row>
    <row r="25" spans="2:24">
      <c r="B25" s="103"/>
      <c r="C25" s="104"/>
      <c r="D25" s="104"/>
      <c r="E25" s="104"/>
      <c r="F25" s="104"/>
      <c r="G25" s="105"/>
      <c r="H25" s="105"/>
      <c r="I25" s="105"/>
      <c r="J25" s="124"/>
      <c r="K25" s="124"/>
      <c r="L25" s="105"/>
      <c r="M25" s="125"/>
      <c r="O25" s="111"/>
      <c r="P25" s="112"/>
      <c r="Q25" s="112"/>
      <c r="R25" s="112"/>
      <c r="S25" s="112"/>
      <c r="T25" s="112"/>
      <c r="U25" s="130"/>
      <c r="V25" s="130"/>
      <c r="W25" s="112"/>
      <c r="X25" s="131"/>
    </row>
    <row r="26" spans="2:24" ht="15.75">
      <c r="B26" s="96" t="s">
        <v>64</v>
      </c>
      <c r="C26" s="97" t="s">
        <v>65</v>
      </c>
      <c r="D26" s="97" t="s">
        <v>66</v>
      </c>
      <c r="E26" s="97" t="s">
        <v>67</v>
      </c>
      <c r="F26" s="97" t="s">
        <v>68</v>
      </c>
      <c r="G26" s="97" t="s">
        <v>69</v>
      </c>
      <c r="H26" s="98" t="s">
        <v>70</v>
      </c>
      <c r="I26" s="97" t="s">
        <v>71</v>
      </c>
      <c r="J26" s="97" t="s">
        <v>72</v>
      </c>
      <c r="K26" s="97" t="s">
        <v>73</v>
      </c>
      <c r="L26" s="97" t="s">
        <v>54</v>
      </c>
      <c r="M26" s="39" t="s">
        <v>74</v>
      </c>
      <c r="O26" s="113" t="s">
        <v>64</v>
      </c>
      <c r="P26" s="114" t="s">
        <v>65</v>
      </c>
      <c r="Q26" s="114" t="s">
        <v>75</v>
      </c>
      <c r="R26" s="114" t="s">
        <v>11</v>
      </c>
      <c r="S26" s="114" t="s">
        <v>76</v>
      </c>
      <c r="T26" s="114" t="s">
        <v>77</v>
      </c>
      <c r="U26" s="132" t="s">
        <v>78</v>
      </c>
      <c r="V26" s="132" t="s">
        <v>79</v>
      </c>
      <c r="W26" s="114" t="s">
        <v>54</v>
      </c>
      <c r="X26" s="133" t="s">
        <v>74</v>
      </c>
    </row>
    <row r="27" spans="2:24" ht="15.75">
      <c r="B27" s="82"/>
      <c r="C27" s="6" t="s">
        <v>85</v>
      </c>
      <c r="D27" s="6" t="s">
        <v>39</v>
      </c>
      <c r="E27" s="6">
        <v>0</v>
      </c>
      <c r="F27" s="6">
        <v>200</v>
      </c>
      <c r="G27" s="6"/>
      <c r="H27" s="95"/>
      <c r="I27" s="6">
        <v>0</v>
      </c>
      <c r="J27" s="95" t="e">
        <f>F27/H27</f>
        <v>#DIV/0!</v>
      </c>
      <c r="K27" s="95">
        <f>(H27-F27)*100/F27</f>
        <v>-100</v>
      </c>
      <c r="L27" s="6" t="s">
        <v>80</v>
      </c>
      <c r="M27" s="115" t="s">
        <v>56</v>
      </c>
      <c r="O27" s="82">
        <v>45603.560416666667</v>
      </c>
      <c r="P27" s="112" t="s">
        <v>29</v>
      </c>
      <c r="Q27" s="112">
        <v>4484.92</v>
      </c>
      <c r="R27" s="112">
        <v>3470.77</v>
      </c>
      <c r="S27" s="134" t="s">
        <v>86</v>
      </c>
      <c r="T27" s="134">
        <v>792.78</v>
      </c>
      <c r="U27" s="130">
        <v>0.91700000000000004</v>
      </c>
      <c r="V27" s="130">
        <v>0.91269999999999996</v>
      </c>
      <c r="W27" s="6" t="s">
        <v>80</v>
      </c>
      <c r="X27" s="115" t="s">
        <v>56</v>
      </c>
    </row>
    <row r="28" spans="2:24" ht="15.75">
      <c r="B28" s="82"/>
      <c r="C28" s="6" t="s">
        <v>85</v>
      </c>
      <c r="D28" s="6" t="s">
        <v>39</v>
      </c>
      <c r="E28" s="6">
        <v>0</v>
      </c>
      <c r="F28" s="6">
        <v>200</v>
      </c>
      <c r="G28" s="6"/>
      <c r="H28" s="95"/>
      <c r="I28" s="6">
        <v>0</v>
      </c>
      <c r="J28" s="95" t="e">
        <f t="shared" ref="J28:J33" si="2">F28/H28</f>
        <v>#DIV/0!</v>
      </c>
      <c r="K28" s="95">
        <f t="shared" ref="K28:K33" si="3">(H28-F28)*100/F28</f>
        <v>-100</v>
      </c>
      <c r="L28" s="6" t="s">
        <v>80</v>
      </c>
      <c r="M28" s="115" t="s">
        <v>56</v>
      </c>
      <c r="O28" s="82">
        <v>45610.592361111114</v>
      </c>
      <c r="P28" s="112" t="s">
        <v>29</v>
      </c>
      <c r="Q28" s="112">
        <v>4774.47</v>
      </c>
      <c r="R28" s="112">
        <v>3706.46</v>
      </c>
      <c r="S28" s="134" t="s">
        <v>86</v>
      </c>
      <c r="T28" s="134">
        <v>784.78</v>
      </c>
      <c r="U28" s="130">
        <v>0.91269999999999996</v>
      </c>
      <c r="V28" s="130">
        <v>0.91759999999999997</v>
      </c>
      <c r="W28" s="6" t="s">
        <v>80</v>
      </c>
      <c r="X28" s="115" t="s">
        <v>56</v>
      </c>
    </row>
    <row r="29" spans="2:24" ht="15.75">
      <c r="B29" s="82"/>
      <c r="C29" s="6" t="s">
        <v>85</v>
      </c>
      <c r="D29" s="6" t="s">
        <v>39</v>
      </c>
      <c r="E29" s="6">
        <v>0</v>
      </c>
      <c r="F29" s="6">
        <v>200</v>
      </c>
      <c r="G29" s="6"/>
      <c r="H29" s="95"/>
      <c r="I29" s="6">
        <v>0</v>
      </c>
      <c r="J29" s="95" t="e">
        <f t="shared" si="2"/>
        <v>#DIV/0!</v>
      </c>
      <c r="K29" s="95">
        <f t="shared" si="3"/>
        <v>-100</v>
      </c>
      <c r="L29" s="6" t="s">
        <v>80</v>
      </c>
      <c r="M29" s="115" t="s">
        <v>56</v>
      </c>
      <c r="O29" s="82"/>
      <c r="P29" s="112" t="s">
        <v>29</v>
      </c>
      <c r="Q29" s="112"/>
      <c r="R29" s="112"/>
      <c r="S29" s="134" t="s">
        <v>86</v>
      </c>
      <c r="T29" s="134"/>
      <c r="U29" s="130"/>
      <c r="V29" s="130"/>
      <c r="W29" s="6" t="s">
        <v>80</v>
      </c>
      <c r="X29" s="115" t="s">
        <v>56</v>
      </c>
    </row>
    <row r="30" spans="2:24" ht="15.75">
      <c r="B30" s="82"/>
      <c r="C30" s="6" t="s">
        <v>85</v>
      </c>
      <c r="D30" s="6" t="s">
        <v>39</v>
      </c>
      <c r="E30" s="6">
        <v>0</v>
      </c>
      <c r="F30" s="6">
        <v>200</v>
      </c>
      <c r="G30" s="6"/>
      <c r="H30" s="95"/>
      <c r="I30" s="6">
        <v>0</v>
      </c>
      <c r="J30" s="95" t="e">
        <f t="shared" si="2"/>
        <v>#DIV/0!</v>
      </c>
      <c r="K30" s="95">
        <f t="shared" si="3"/>
        <v>-100</v>
      </c>
      <c r="L30" s="6" t="s">
        <v>80</v>
      </c>
      <c r="M30" s="115" t="s">
        <v>56</v>
      </c>
      <c r="O30" s="82"/>
      <c r="P30" s="112" t="s">
        <v>29</v>
      </c>
      <c r="Q30" s="112"/>
      <c r="R30" s="112"/>
      <c r="S30" s="134" t="s">
        <v>86</v>
      </c>
      <c r="T30" s="134"/>
      <c r="U30" s="130"/>
      <c r="V30" s="130"/>
      <c r="W30" s="6" t="s">
        <v>80</v>
      </c>
      <c r="X30" s="115" t="s">
        <v>56</v>
      </c>
    </row>
    <row r="31" spans="2:24" ht="15.75">
      <c r="B31" s="82"/>
      <c r="C31" s="6" t="s">
        <v>85</v>
      </c>
      <c r="D31" s="6" t="s">
        <v>39</v>
      </c>
      <c r="E31" s="6">
        <v>0</v>
      </c>
      <c r="F31" s="6">
        <v>200</v>
      </c>
      <c r="G31" s="6"/>
      <c r="H31" s="95"/>
      <c r="I31" s="6">
        <v>0</v>
      </c>
      <c r="J31" s="95" t="e">
        <f t="shared" si="2"/>
        <v>#DIV/0!</v>
      </c>
      <c r="K31" s="95">
        <f t="shared" si="3"/>
        <v>-100</v>
      </c>
      <c r="L31" s="6" t="s">
        <v>80</v>
      </c>
      <c r="M31" s="115" t="s">
        <v>56</v>
      </c>
      <c r="O31" s="82"/>
      <c r="P31" s="112" t="s">
        <v>29</v>
      </c>
      <c r="Q31" s="112"/>
      <c r="R31" s="112"/>
      <c r="S31" s="134" t="s">
        <v>86</v>
      </c>
      <c r="T31" s="134"/>
      <c r="U31" s="130"/>
      <c r="V31" s="130"/>
      <c r="W31" s="6" t="s">
        <v>80</v>
      </c>
      <c r="X31" s="115" t="s">
        <v>56</v>
      </c>
    </row>
    <row r="32" spans="2:24" ht="15.75">
      <c r="B32" s="82"/>
      <c r="C32" s="6" t="s">
        <v>85</v>
      </c>
      <c r="D32" s="6" t="s">
        <v>39</v>
      </c>
      <c r="E32" s="6">
        <v>0</v>
      </c>
      <c r="F32" s="6">
        <v>200</v>
      </c>
      <c r="G32" s="6"/>
      <c r="H32" s="95"/>
      <c r="I32" s="6">
        <v>0</v>
      </c>
      <c r="J32" s="95" t="e">
        <f t="shared" si="2"/>
        <v>#DIV/0!</v>
      </c>
      <c r="K32" s="95">
        <f t="shared" si="3"/>
        <v>-100</v>
      </c>
      <c r="L32" s="6" t="s">
        <v>80</v>
      </c>
      <c r="M32" s="115" t="s">
        <v>56</v>
      </c>
      <c r="O32" s="82"/>
      <c r="P32" s="112" t="s">
        <v>29</v>
      </c>
      <c r="Q32" s="112"/>
      <c r="R32" s="112"/>
      <c r="S32" s="134" t="s">
        <v>86</v>
      </c>
      <c r="T32" s="134"/>
      <c r="U32" s="130"/>
      <c r="V32" s="130"/>
      <c r="W32" s="6" t="s">
        <v>80</v>
      </c>
      <c r="X32" s="115" t="s">
        <v>56</v>
      </c>
    </row>
    <row r="33" spans="2:24" ht="15.75">
      <c r="B33" s="82"/>
      <c r="C33" s="6" t="s">
        <v>85</v>
      </c>
      <c r="D33" s="6" t="s">
        <v>39</v>
      </c>
      <c r="E33" s="6">
        <v>0</v>
      </c>
      <c r="F33" s="6">
        <v>200</v>
      </c>
      <c r="G33" s="6"/>
      <c r="H33" s="95"/>
      <c r="I33" s="6">
        <v>0</v>
      </c>
      <c r="J33" s="95" t="e">
        <f t="shared" si="2"/>
        <v>#DIV/0!</v>
      </c>
      <c r="K33" s="95">
        <f t="shared" si="3"/>
        <v>-100</v>
      </c>
      <c r="L33" s="6" t="s">
        <v>80</v>
      </c>
      <c r="M33" s="115" t="s">
        <v>56</v>
      </c>
      <c r="O33" s="82"/>
      <c r="P33" s="112" t="s">
        <v>29</v>
      </c>
      <c r="Q33" s="112"/>
      <c r="R33" s="112"/>
      <c r="S33" s="134" t="s">
        <v>86</v>
      </c>
      <c r="T33" s="134"/>
      <c r="U33" s="130"/>
      <c r="V33" s="130"/>
      <c r="W33" s="6" t="s">
        <v>80</v>
      </c>
      <c r="X33" s="115" t="s">
        <v>56</v>
      </c>
    </row>
    <row r="34" spans="2:24" ht="15.75">
      <c r="B34" s="82"/>
      <c r="C34" s="6"/>
      <c r="D34" s="6"/>
      <c r="E34" s="6"/>
      <c r="F34" s="6"/>
      <c r="G34" s="6"/>
      <c r="H34" s="95"/>
      <c r="I34" s="6"/>
      <c r="J34" s="95"/>
      <c r="K34" s="95"/>
      <c r="L34" s="6"/>
      <c r="M34" s="116"/>
      <c r="O34" s="82"/>
      <c r="P34" s="112" t="s">
        <v>29</v>
      </c>
      <c r="Q34" s="112"/>
      <c r="R34" s="112"/>
      <c r="S34" s="134" t="s">
        <v>86</v>
      </c>
      <c r="T34" s="134"/>
      <c r="U34" s="130"/>
      <c r="V34" s="130"/>
      <c r="W34" s="6" t="s">
        <v>80</v>
      </c>
      <c r="X34" s="115"/>
    </row>
    <row r="35" spans="2:24" ht="15.75">
      <c r="B35" s="82"/>
      <c r="C35" s="6"/>
      <c r="D35" s="6"/>
      <c r="E35" s="6"/>
      <c r="F35" s="6"/>
      <c r="G35" s="6"/>
      <c r="H35" s="95"/>
      <c r="I35" s="6"/>
      <c r="J35" s="95"/>
      <c r="K35" s="95"/>
      <c r="L35" s="6"/>
      <c r="M35" s="116"/>
      <c r="O35" s="82"/>
      <c r="P35" s="112" t="s">
        <v>29</v>
      </c>
      <c r="Q35" s="112"/>
      <c r="R35" s="112"/>
      <c r="S35" s="134" t="s">
        <v>86</v>
      </c>
      <c r="T35" s="134"/>
      <c r="U35" s="130"/>
      <c r="V35" s="130"/>
      <c r="W35" s="6" t="s">
        <v>80</v>
      </c>
      <c r="X35" s="115"/>
    </row>
    <row r="36" spans="2:24" ht="15.75">
      <c r="B36" s="82"/>
      <c r="C36" s="6"/>
      <c r="D36" s="6"/>
      <c r="E36" s="6"/>
      <c r="F36" s="6"/>
      <c r="G36" s="6"/>
      <c r="H36" s="95"/>
      <c r="I36" s="6"/>
      <c r="J36" s="95"/>
      <c r="K36" s="95"/>
      <c r="L36" s="6"/>
      <c r="M36" s="116"/>
      <c r="O36" s="82"/>
      <c r="P36" s="112" t="s">
        <v>29</v>
      </c>
      <c r="Q36" s="112"/>
      <c r="R36" s="112"/>
      <c r="S36" s="134" t="s">
        <v>86</v>
      </c>
      <c r="T36" s="134"/>
      <c r="U36" s="130"/>
      <c r="V36" s="130"/>
      <c r="W36" s="6"/>
      <c r="X36" s="115"/>
    </row>
    <row r="37" spans="2:24" ht="15.75">
      <c r="B37" s="83"/>
      <c r="C37" s="6"/>
      <c r="D37" s="6"/>
      <c r="E37" s="6"/>
      <c r="F37" s="6"/>
      <c r="G37" s="6"/>
      <c r="H37" s="95"/>
      <c r="I37" s="6"/>
      <c r="J37" s="95"/>
      <c r="K37" s="95"/>
      <c r="L37" s="6"/>
      <c r="M37" s="116"/>
      <c r="O37" s="117"/>
      <c r="P37" s="112" t="s">
        <v>29</v>
      </c>
      <c r="Q37" s="112"/>
      <c r="R37" s="112"/>
      <c r="S37" s="134" t="s">
        <v>86</v>
      </c>
      <c r="T37" s="134"/>
      <c r="U37" s="130"/>
      <c r="V37" s="130"/>
      <c r="W37" s="6"/>
      <c r="X37" s="115"/>
    </row>
    <row r="38" spans="2:24" ht="15.75">
      <c r="B38" s="83"/>
      <c r="C38" s="6"/>
      <c r="D38" s="6"/>
      <c r="E38" s="6"/>
      <c r="F38" s="6"/>
      <c r="G38" s="6"/>
      <c r="H38" s="95"/>
      <c r="I38" s="6"/>
      <c r="J38" s="95"/>
      <c r="K38" s="95"/>
      <c r="L38" s="6"/>
      <c r="M38" s="116"/>
      <c r="O38" s="118"/>
      <c r="P38" s="112"/>
      <c r="Q38" s="112"/>
      <c r="R38" s="112"/>
      <c r="S38" s="134"/>
      <c r="T38" s="134"/>
      <c r="U38" s="130"/>
      <c r="V38" s="130"/>
      <c r="W38" s="6"/>
      <c r="X38" s="115"/>
    </row>
    <row r="39" spans="2:24" ht="15.75">
      <c r="B39" s="83"/>
      <c r="C39" s="6"/>
      <c r="D39" s="6"/>
      <c r="E39" s="6"/>
      <c r="F39" s="6"/>
      <c r="G39" s="6"/>
      <c r="H39" s="95"/>
      <c r="I39" s="6"/>
      <c r="J39" s="95"/>
      <c r="K39" s="95"/>
      <c r="L39" s="6"/>
      <c r="M39" s="116"/>
      <c r="O39" s="118"/>
      <c r="P39" s="112"/>
      <c r="Q39" s="112"/>
      <c r="R39" s="112"/>
      <c r="S39" s="134"/>
      <c r="T39" s="134"/>
      <c r="U39" s="130"/>
      <c r="V39" s="130"/>
      <c r="W39" s="6"/>
      <c r="X39" s="115"/>
    </row>
    <row r="40" spans="2:24" ht="15.75">
      <c r="B40" s="94"/>
      <c r="C40" s="6"/>
      <c r="D40" s="6"/>
      <c r="E40" s="6"/>
      <c r="F40" s="6"/>
      <c r="G40" s="6"/>
      <c r="H40" s="95"/>
      <c r="I40" s="6"/>
      <c r="J40" s="95"/>
      <c r="K40" s="95"/>
      <c r="L40" s="6"/>
      <c r="M40" s="116"/>
      <c r="O40" s="122"/>
      <c r="P40" s="200" t="s">
        <v>87</v>
      </c>
      <c r="Q40" s="200"/>
      <c r="R40" s="200"/>
      <c r="S40" s="200"/>
      <c r="T40" s="135">
        <f>COUNT(O27:O39)</f>
        <v>2</v>
      </c>
      <c r="U40" s="136"/>
      <c r="V40" s="136"/>
      <c r="W40" s="137"/>
      <c r="X40" s="138"/>
    </row>
    <row r="41" spans="2:24">
      <c r="B41" s="99"/>
      <c r="C41" s="106"/>
      <c r="D41" s="199" t="s">
        <v>88</v>
      </c>
      <c r="E41" s="199"/>
      <c r="F41" s="199"/>
      <c r="G41" s="199"/>
      <c r="H41" s="199"/>
      <c r="I41" s="199"/>
      <c r="J41" s="126">
        <f>COUNT(B27:B39)</f>
        <v>0</v>
      </c>
      <c r="K41" s="120"/>
      <c r="L41" s="106"/>
      <c r="M41" s="121"/>
      <c r="S41" s="89"/>
      <c r="T41" s="89"/>
      <c r="U41" s="90"/>
      <c r="V41" s="90"/>
      <c r="W41" s="89"/>
      <c r="X41" s="89"/>
    </row>
    <row r="44" spans="2:24">
      <c r="B44" s="92"/>
      <c r="C44" s="102"/>
      <c r="D44" s="102"/>
      <c r="E44" s="102"/>
      <c r="F44" s="102"/>
      <c r="G44" s="201" t="s">
        <v>38</v>
      </c>
      <c r="H44" s="201"/>
      <c r="I44" s="93"/>
      <c r="J44" s="123"/>
      <c r="K44" s="123"/>
      <c r="L44" s="93"/>
      <c r="M44" s="107"/>
    </row>
    <row r="45" spans="2:24">
      <c r="B45" s="94"/>
      <c r="C45" s="6"/>
      <c r="D45" s="6"/>
      <c r="E45" s="6"/>
      <c r="F45" s="6"/>
      <c r="G45" s="6"/>
      <c r="H45" s="95"/>
      <c r="I45" s="6"/>
      <c r="J45" s="95"/>
      <c r="K45" s="95"/>
      <c r="L45" s="6"/>
      <c r="M45" s="110"/>
    </row>
    <row r="46" spans="2:24" ht="15.75">
      <c r="B46" s="96" t="s">
        <v>64</v>
      </c>
      <c r="C46" s="97" t="s">
        <v>65</v>
      </c>
      <c r="D46" s="97" t="s">
        <v>66</v>
      </c>
      <c r="E46" s="97" t="s">
        <v>67</v>
      </c>
      <c r="F46" s="97" t="s">
        <v>68</v>
      </c>
      <c r="G46" s="97" t="s">
        <v>69</v>
      </c>
      <c r="H46" s="98" t="s">
        <v>70</v>
      </c>
      <c r="I46" s="97" t="s">
        <v>71</v>
      </c>
      <c r="J46" s="97" t="s">
        <v>72</v>
      </c>
      <c r="K46" s="97" t="s">
        <v>73</v>
      </c>
      <c r="L46" s="97" t="s">
        <v>54</v>
      </c>
      <c r="M46" s="39" t="s">
        <v>74</v>
      </c>
    </row>
    <row r="47" spans="2:24" ht="15.75">
      <c r="B47" s="82"/>
      <c r="C47" s="6" t="s">
        <v>38</v>
      </c>
      <c r="D47" s="6" t="s">
        <v>39</v>
      </c>
      <c r="E47" s="6">
        <v>0</v>
      </c>
      <c r="F47" s="6">
        <v>400</v>
      </c>
      <c r="G47" s="6">
        <v>0</v>
      </c>
      <c r="H47" s="95"/>
      <c r="I47" s="6">
        <v>0</v>
      </c>
      <c r="J47" s="95" t="e">
        <f>F47/H47</f>
        <v>#DIV/0!</v>
      </c>
      <c r="K47" s="95">
        <f>(H47-F47)*100/F47</f>
        <v>-100</v>
      </c>
      <c r="L47" s="6" t="s">
        <v>80</v>
      </c>
      <c r="M47" s="115" t="s">
        <v>56</v>
      </c>
    </row>
    <row r="48" spans="2:24" ht="15.75">
      <c r="B48" s="82"/>
      <c r="C48" s="6" t="s">
        <v>38</v>
      </c>
      <c r="D48" s="6" t="s">
        <v>39</v>
      </c>
      <c r="E48" s="6">
        <v>0</v>
      </c>
      <c r="F48" s="6">
        <v>400</v>
      </c>
      <c r="G48" s="6">
        <v>0</v>
      </c>
      <c r="H48" s="95"/>
      <c r="I48" s="6">
        <v>0</v>
      </c>
      <c r="J48" s="95" t="e">
        <f>F48/H48</f>
        <v>#DIV/0!</v>
      </c>
      <c r="K48" s="95">
        <f>(H48-F48)*100/F48</f>
        <v>-100</v>
      </c>
      <c r="L48" s="6" t="s">
        <v>80</v>
      </c>
      <c r="M48" s="115" t="s">
        <v>56</v>
      </c>
    </row>
    <row r="49" spans="2:13" ht="15.75">
      <c r="B49" s="82"/>
      <c r="C49" s="6" t="s">
        <v>38</v>
      </c>
      <c r="D49" s="6" t="s">
        <v>39</v>
      </c>
      <c r="E49" s="6">
        <v>0</v>
      </c>
      <c r="F49" s="6">
        <v>400</v>
      </c>
      <c r="G49" s="6">
        <v>0</v>
      </c>
      <c r="H49" s="95"/>
      <c r="I49" s="6">
        <v>0</v>
      </c>
      <c r="J49" s="95" t="e">
        <f>F49/H49</f>
        <v>#DIV/0!</v>
      </c>
      <c r="K49" s="95">
        <f>(H49-F49)*100/F49</f>
        <v>-100</v>
      </c>
      <c r="L49" s="6" t="s">
        <v>80</v>
      </c>
      <c r="M49" s="115" t="s">
        <v>56</v>
      </c>
    </row>
    <row r="50" spans="2:13" ht="15.75">
      <c r="B50" s="82"/>
      <c r="C50" s="6" t="s">
        <v>38</v>
      </c>
      <c r="D50" s="6" t="s">
        <v>39</v>
      </c>
      <c r="E50" s="6">
        <v>0</v>
      </c>
      <c r="F50" s="6">
        <v>400</v>
      </c>
      <c r="G50" s="6">
        <v>0</v>
      </c>
      <c r="H50" s="95"/>
      <c r="I50" s="6">
        <v>0</v>
      </c>
      <c r="J50" s="95" t="e">
        <f>F50/H50</f>
        <v>#DIV/0!</v>
      </c>
      <c r="K50" s="95">
        <f>(H50-F50)*100/F50</f>
        <v>-100</v>
      </c>
      <c r="L50" s="6" t="s">
        <v>80</v>
      </c>
      <c r="M50" s="115" t="s">
        <v>56</v>
      </c>
    </row>
    <row r="51" spans="2:13" ht="15.75">
      <c r="B51" s="82"/>
      <c r="C51" s="6" t="s">
        <v>38</v>
      </c>
      <c r="D51" s="6" t="s">
        <v>39</v>
      </c>
      <c r="E51" s="6">
        <v>0</v>
      </c>
      <c r="F51" s="6">
        <v>400</v>
      </c>
      <c r="G51" s="6">
        <v>0</v>
      </c>
      <c r="H51" s="95"/>
      <c r="I51" s="6">
        <v>0</v>
      </c>
      <c r="J51" s="95" t="e">
        <f>F51/H51</f>
        <v>#DIV/0!</v>
      </c>
      <c r="K51" s="95">
        <f>(H51-F51)*100/F51</f>
        <v>-100</v>
      </c>
      <c r="L51" s="6" t="s">
        <v>80</v>
      </c>
      <c r="M51" s="115" t="s">
        <v>56</v>
      </c>
    </row>
    <row r="52" spans="2:13" ht="15.75">
      <c r="B52" s="83"/>
      <c r="C52" s="6"/>
      <c r="D52" s="6"/>
      <c r="E52" s="6"/>
      <c r="F52" s="6"/>
      <c r="G52" s="6"/>
      <c r="H52" s="95"/>
      <c r="I52" s="6"/>
      <c r="J52" s="95"/>
      <c r="K52" s="95"/>
      <c r="L52" s="6"/>
      <c r="M52" s="115" t="s">
        <v>56</v>
      </c>
    </row>
    <row r="53" spans="2:13" ht="15.75">
      <c r="B53" s="83"/>
      <c r="C53" s="6"/>
      <c r="D53" s="6"/>
      <c r="E53" s="6"/>
      <c r="F53" s="6"/>
      <c r="G53" s="6"/>
      <c r="H53" s="95"/>
      <c r="I53" s="6"/>
      <c r="J53" s="95"/>
      <c r="K53" s="95"/>
      <c r="L53" s="6"/>
      <c r="M53" s="115" t="s">
        <v>56</v>
      </c>
    </row>
    <row r="54" spans="2:13" ht="15.75">
      <c r="B54" s="83"/>
      <c r="C54" s="6"/>
      <c r="D54" s="6"/>
      <c r="E54" s="6"/>
      <c r="F54" s="6"/>
      <c r="G54" s="6"/>
      <c r="H54" s="95"/>
      <c r="I54" s="6"/>
      <c r="J54" s="95"/>
      <c r="K54" s="95"/>
      <c r="L54" s="6"/>
      <c r="M54" s="116"/>
    </row>
    <row r="55" spans="2:13" ht="15.75">
      <c r="B55" s="83"/>
      <c r="C55" s="6"/>
      <c r="D55" s="6"/>
      <c r="E55" s="6"/>
      <c r="F55" s="6"/>
      <c r="G55" s="6"/>
      <c r="H55" s="95"/>
      <c r="I55" s="6"/>
      <c r="J55" s="95"/>
      <c r="K55" s="95"/>
      <c r="L55" s="6"/>
      <c r="M55" s="116"/>
    </row>
    <row r="56" spans="2:13" ht="15.75">
      <c r="B56" s="83"/>
      <c r="C56" s="6"/>
      <c r="D56" s="6"/>
      <c r="E56" s="6"/>
      <c r="F56" s="6"/>
      <c r="G56" s="6"/>
      <c r="H56" s="95"/>
      <c r="I56" s="6"/>
      <c r="J56" s="95"/>
      <c r="K56" s="95"/>
      <c r="L56" s="6"/>
      <c r="M56" s="116"/>
    </row>
    <row r="57" spans="2:13" ht="15.75">
      <c r="B57" s="83"/>
      <c r="C57" s="6"/>
      <c r="D57" s="6"/>
      <c r="E57" s="6"/>
      <c r="F57" s="6"/>
      <c r="G57" s="6"/>
      <c r="H57" s="95"/>
      <c r="I57" s="6"/>
      <c r="J57" s="95"/>
      <c r="K57" s="95"/>
      <c r="L57" s="6"/>
      <c r="M57" s="116"/>
    </row>
    <row r="58" spans="2:13" ht="15.75">
      <c r="B58" s="83"/>
      <c r="C58" s="6"/>
      <c r="D58" s="6"/>
      <c r="E58" s="6"/>
      <c r="F58" s="6"/>
      <c r="G58" s="6"/>
      <c r="H58" s="95"/>
      <c r="I58" s="6"/>
      <c r="J58" s="95"/>
      <c r="K58" s="95"/>
      <c r="L58" s="6"/>
      <c r="M58" s="116"/>
    </row>
    <row r="59" spans="2:13" ht="15.75">
      <c r="B59" s="83"/>
      <c r="C59" s="6"/>
      <c r="D59" s="6"/>
      <c r="E59" s="6"/>
      <c r="F59" s="6"/>
      <c r="G59" s="6"/>
      <c r="H59" s="95"/>
      <c r="I59" s="6"/>
      <c r="J59" s="95"/>
      <c r="K59" s="95"/>
      <c r="L59" s="6"/>
      <c r="M59" s="116"/>
    </row>
    <row r="60" spans="2:13" ht="15.75">
      <c r="B60" s="94"/>
      <c r="C60" s="6"/>
      <c r="D60" s="6"/>
      <c r="E60" s="6"/>
      <c r="F60" s="6"/>
      <c r="G60" s="6"/>
      <c r="H60" s="95"/>
      <c r="I60" s="6"/>
      <c r="J60" s="95"/>
      <c r="K60" s="95"/>
      <c r="L60" s="6"/>
      <c r="M60" s="116"/>
    </row>
    <row r="61" spans="2:13">
      <c r="B61" s="99"/>
      <c r="C61" s="106"/>
      <c r="D61" s="199" t="s">
        <v>89</v>
      </c>
      <c r="E61" s="199"/>
      <c r="F61" s="199"/>
      <c r="G61" s="199"/>
      <c r="H61" s="199"/>
      <c r="I61" s="199"/>
      <c r="J61" s="126">
        <f>COUNT(B47:B59)</f>
        <v>0</v>
      </c>
      <c r="K61" s="120"/>
      <c r="L61" s="106"/>
      <c r="M61" s="121"/>
    </row>
    <row r="64" spans="2:13">
      <c r="B64" s="92"/>
      <c r="C64" s="102"/>
      <c r="D64" s="102"/>
      <c r="E64" s="102"/>
      <c r="F64" s="102"/>
      <c r="G64" s="201" t="s">
        <v>37</v>
      </c>
      <c r="H64" s="201"/>
      <c r="I64" s="93"/>
      <c r="J64" s="123"/>
      <c r="K64" s="123"/>
      <c r="L64" s="93"/>
      <c r="M64" s="107"/>
    </row>
    <row r="65" spans="2:13">
      <c r="B65" s="94"/>
      <c r="C65" s="6"/>
      <c r="D65" s="6"/>
      <c r="E65" s="6"/>
      <c r="F65" s="6"/>
      <c r="G65" s="6"/>
      <c r="H65" s="95"/>
      <c r="I65" s="6"/>
      <c r="J65" s="95"/>
      <c r="K65" s="95"/>
      <c r="L65" s="6"/>
      <c r="M65" s="110"/>
    </row>
    <row r="66" spans="2:13" ht="15.75">
      <c r="B66" s="96" t="s">
        <v>64</v>
      </c>
      <c r="C66" s="97" t="s">
        <v>65</v>
      </c>
      <c r="D66" s="97" t="s">
        <v>66</v>
      </c>
      <c r="E66" s="97" t="s">
        <v>67</v>
      </c>
      <c r="F66" s="97" t="s">
        <v>68</v>
      </c>
      <c r="G66" s="97" t="s">
        <v>69</v>
      </c>
      <c r="H66" s="98" t="s">
        <v>70</v>
      </c>
      <c r="I66" s="97" t="s">
        <v>71</v>
      </c>
      <c r="J66" s="97" t="s">
        <v>72</v>
      </c>
      <c r="K66" s="97" t="s">
        <v>73</v>
      </c>
      <c r="L66" s="97" t="s">
        <v>54</v>
      </c>
      <c r="M66" s="39" t="s">
        <v>74</v>
      </c>
    </row>
    <row r="67" spans="2:13" ht="15.75">
      <c r="B67" s="82"/>
      <c r="C67" s="6" t="s">
        <v>37</v>
      </c>
      <c r="D67" s="6" t="s">
        <v>47</v>
      </c>
      <c r="E67" s="6">
        <v>0</v>
      </c>
      <c r="F67" s="6">
        <v>5</v>
      </c>
      <c r="G67" s="6">
        <v>0</v>
      </c>
      <c r="H67" s="139"/>
      <c r="I67" s="6">
        <v>0</v>
      </c>
      <c r="J67" s="95" t="e">
        <f>F67/H67</f>
        <v>#DIV/0!</v>
      </c>
      <c r="K67" s="95">
        <f>(H67-F67)*100/F67</f>
        <v>-100</v>
      </c>
      <c r="L67" s="6" t="s">
        <v>80</v>
      </c>
      <c r="M67" s="115" t="s">
        <v>56</v>
      </c>
    </row>
    <row r="68" spans="2:13" ht="15.75">
      <c r="B68" s="82"/>
      <c r="C68" s="6" t="s">
        <v>37</v>
      </c>
      <c r="D68" s="6" t="s">
        <v>47</v>
      </c>
      <c r="E68" s="6">
        <v>0</v>
      </c>
      <c r="F68" s="6">
        <v>5</v>
      </c>
      <c r="G68" s="6">
        <v>0</v>
      </c>
      <c r="H68" s="95"/>
      <c r="I68" s="6">
        <v>0</v>
      </c>
      <c r="J68" s="95" t="e">
        <f t="shared" ref="J68:J73" si="4">F68/H68</f>
        <v>#DIV/0!</v>
      </c>
      <c r="K68" s="95">
        <f t="shared" ref="K68:K73" si="5">(H68-F68)*100/F68</f>
        <v>-100</v>
      </c>
      <c r="L68" s="6" t="s">
        <v>80</v>
      </c>
      <c r="M68" s="115" t="s">
        <v>56</v>
      </c>
    </row>
    <row r="69" spans="2:13" ht="15.75">
      <c r="B69" s="82"/>
      <c r="C69" s="6" t="s">
        <v>37</v>
      </c>
      <c r="D69" s="6" t="s">
        <v>47</v>
      </c>
      <c r="E69" s="6">
        <v>0</v>
      </c>
      <c r="F69" s="6">
        <v>5</v>
      </c>
      <c r="G69" s="6">
        <v>0</v>
      </c>
      <c r="H69" s="95"/>
      <c r="I69" s="6">
        <v>0</v>
      </c>
      <c r="J69" s="95" t="e">
        <f t="shared" si="4"/>
        <v>#DIV/0!</v>
      </c>
      <c r="K69" s="95">
        <f t="shared" si="5"/>
        <v>-100</v>
      </c>
      <c r="L69" s="6" t="s">
        <v>80</v>
      </c>
      <c r="M69" s="115" t="s">
        <v>56</v>
      </c>
    </row>
    <row r="70" spans="2:13" ht="15.75">
      <c r="B70" s="82"/>
      <c r="C70" s="6" t="s">
        <v>37</v>
      </c>
      <c r="D70" s="6" t="s">
        <v>47</v>
      </c>
      <c r="E70" s="6">
        <v>0</v>
      </c>
      <c r="F70" s="6">
        <v>5</v>
      </c>
      <c r="G70" s="6">
        <v>0</v>
      </c>
      <c r="H70" s="95"/>
      <c r="I70" s="6">
        <v>0</v>
      </c>
      <c r="J70" s="95" t="e">
        <f t="shared" si="4"/>
        <v>#DIV/0!</v>
      </c>
      <c r="K70" s="95">
        <f t="shared" si="5"/>
        <v>-100</v>
      </c>
      <c r="L70" s="6" t="s">
        <v>80</v>
      </c>
      <c r="M70" s="115" t="s">
        <v>56</v>
      </c>
    </row>
    <row r="71" spans="2:13" ht="15.75">
      <c r="B71" s="82"/>
      <c r="C71" s="6" t="s">
        <v>37</v>
      </c>
      <c r="D71" s="6" t="s">
        <v>47</v>
      </c>
      <c r="E71" s="6">
        <v>0</v>
      </c>
      <c r="F71" s="6">
        <v>5</v>
      </c>
      <c r="G71" s="6">
        <v>0</v>
      </c>
      <c r="H71" s="139"/>
      <c r="I71" s="6">
        <v>0</v>
      </c>
      <c r="J71" s="95" t="e">
        <f t="shared" si="4"/>
        <v>#DIV/0!</v>
      </c>
      <c r="K71" s="95">
        <f t="shared" si="5"/>
        <v>-100</v>
      </c>
      <c r="L71" s="6" t="s">
        <v>80</v>
      </c>
      <c r="M71" s="115" t="s">
        <v>56</v>
      </c>
    </row>
    <row r="72" spans="2:13" ht="15.75">
      <c r="B72" s="82"/>
      <c r="C72" s="6" t="s">
        <v>37</v>
      </c>
      <c r="D72" s="6" t="s">
        <v>47</v>
      </c>
      <c r="E72" s="6">
        <v>0</v>
      </c>
      <c r="F72" s="6">
        <v>5</v>
      </c>
      <c r="G72" s="6">
        <v>0</v>
      </c>
      <c r="H72" s="139"/>
      <c r="I72" s="6">
        <v>0</v>
      </c>
      <c r="J72" s="95" t="e">
        <f t="shared" si="4"/>
        <v>#DIV/0!</v>
      </c>
      <c r="K72" s="95">
        <f t="shared" si="5"/>
        <v>-100</v>
      </c>
      <c r="L72" s="6" t="s">
        <v>80</v>
      </c>
      <c r="M72" s="115" t="s">
        <v>56</v>
      </c>
    </row>
    <row r="73" spans="2:13" ht="15.75">
      <c r="B73" s="82"/>
      <c r="C73" s="6" t="s">
        <v>37</v>
      </c>
      <c r="D73" s="6" t="s">
        <v>47</v>
      </c>
      <c r="E73" s="6">
        <v>0</v>
      </c>
      <c r="F73" s="6">
        <v>5</v>
      </c>
      <c r="G73" s="6">
        <v>0</v>
      </c>
      <c r="H73" s="139"/>
      <c r="I73" s="6">
        <v>0</v>
      </c>
      <c r="J73" s="95" t="e">
        <f t="shared" si="4"/>
        <v>#DIV/0!</v>
      </c>
      <c r="K73" s="95">
        <f t="shared" si="5"/>
        <v>-100</v>
      </c>
      <c r="L73" s="6" t="s">
        <v>80</v>
      </c>
      <c r="M73" s="115" t="s">
        <v>56</v>
      </c>
    </row>
    <row r="74" spans="2:13" ht="15.75">
      <c r="B74" s="82"/>
      <c r="C74" s="6"/>
      <c r="D74" s="6"/>
      <c r="E74" s="6"/>
      <c r="F74" s="6"/>
      <c r="G74" s="6"/>
      <c r="H74" s="139"/>
      <c r="I74" s="6"/>
      <c r="J74" s="95"/>
      <c r="K74" s="95"/>
      <c r="L74" s="6"/>
      <c r="M74" s="116"/>
    </row>
    <row r="75" spans="2:13" ht="15.75">
      <c r="B75" s="82"/>
      <c r="C75" s="6"/>
      <c r="D75" s="6"/>
      <c r="E75" s="6"/>
      <c r="F75" s="6"/>
      <c r="G75" s="6"/>
      <c r="H75" s="139"/>
      <c r="I75" s="6"/>
      <c r="J75" s="95"/>
      <c r="K75" s="95"/>
      <c r="L75" s="6"/>
      <c r="M75" s="116"/>
    </row>
    <row r="76" spans="2:13" ht="15.75">
      <c r="B76" s="82"/>
      <c r="C76" s="6"/>
      <c r="D76" s="6"/>
      <c r="E76" s="6"/>
      <c r="F76" s="6"/>
      <c r="G76" s="6"/>
      <c r="H76" s="139"/>
      <c r="I76" s="6"/>
      <c r="J76" s="95"/>
      <c r="K76" s="95"/>
      <c r="L76" s="6"/>
      <c r="M76" s="116"/>
    </row>
    <row r="77" spans="2:13" ht="15.75">
      <c r="B77" s="83"/>
      <c r="C77" s="6"/>
      <c r="D77" s="6"/>
      <c r="E77" s="6"/>
      <c r="F77" s="6"/>
      <c r="G77" s="6"/>
      <c r="H77" s="139"/>
      <c r="I77" s="6"/>
      <c r="J77" s="95"/>
      <c r="K77" s="95"/>
      <c r="L77" s="6"/>
      <c r="M77" s="116"/>
    </row>
    <row r="78" spans="2:13" ht="15.75">
      <c r="B78" s="83"/>
      <c r="C78" s="6"/>
      <c r="D78" s="6"/>
      <c r="E78" s="6"/>
      <c r="F78" s="6"/>
      <c r="G78" s="6"/>
      <c r="H78" s="139"/>
      <c r="I78" s="6"/>
      <c r="J78" s="95"/>
      <c r="K78" s="95"/>
      <c r="L78" s="6"/>
      <c r="M78" s="116"/>
    </row>
    <row r="79" spans="2:13" ht="15.75">
      <c r="B79" s="83"/>
      <c r="C79" s="6"/>
      <c r="D79" s="6"/>
      <c r="E79" s="6"/>
      <c r="F79" s="6"/>
      <c r="G79" s="6"/>
      <c r="H79" s="139"/>
      <c r="I79" s="6"/>
      <c r="J79" s="95"/>
      <c r="K79" s="95"/>
      <c r="L79" s="6"/>
      <c r="M79" s="116"/>
    </row>
    <row r="80" spans="2:13" ht="15.75">
      <c r="B80" s="94"/>
      <c r="C80" s="6"/>
      <c r="D80" s="6"/>
      <c r="E80" s="6"/>
      <c r="F80" s="6"/>
      <c r="G80" s="6"/>
      <c r="H80" s="139"/>
      <c r="I80" s="6"/>
      <c r="J80" s="95"/>
      <c r="K80" s="95"/>
      <c r="L80" s="6"/>
      <c r="M80" s="116"/>
    </row>
    <row r="81" spans="2:13">
      <c r="B81" s="99"/>
      <c r="C81" s="106"/>
      <c r="D81" s="199" t="s">
        <v>90</v>
      </c>
      <c r="E81" s="199"/>
      <c r="F81" s="199"/>
      <c r="G81" s="199"/>
      <c r="H81" s="199"/>
      <c r="I81" s="199"/>
      <c r="J81" s="126">
        <f>COUNT(B67:B79)</f>
        <v>0</v>
      </c>
      <c r="K81" s="120"/>
      <c r="L81" s="106"/>
      <c r="M81" s="121"/>
    </row>
    <row r="84" spans="2:13">
      <c r="B84" s="92"/>
      <c r="C84" s="102"/>
      <c r="D84" s="102"/>
      <c r="E84" s="102"/>
      <c r="F84" s="102"/>
      <c r="G84" s="201" t="s">
        <v>91</v>
      </c>
      <c r="H84" s="201"/>
      <c r="I84" s="93"/>
      <c r="J84" s="123"/>
      <c r="K84" s="123"/>
      <c r="L84" s="93"/>
      <c r="M84" s="107"/>
    </row>
    <row r="85" spans="2:13">
      <c r="B85" s="94"/>
      <c r="C85" s="6"/>
      <c r="D85" s="6"/>
      <c r="E85" s="6"/>
      <c r="F85" s="6"/>
      <c r="G85" s="6"/>
      <c r="H85" s="95"/>
      <c r="I85" s="6"/>
      <c r="J85" s="95"/>
      <c r="K85" s="95"/>
      <c r="L85" s="6"/>
      <c r="M85" s="110"/>
    </row>
    <row r="86" spans="2:13" ht="15.75">
      <c r="B86" s="96" t="s">
        <v>64</v>
      </c>
      <c r="C86" s="97" t="s">
        <v>65</v>
      </c>
      <c r="D86" s="97" t="s">
        <v>66</v>
      </c>
      <c r="E86" s="97" t="s">
        <v>67</v>
      </c>
      <c r="F86" s="97" t="s">
        <v>68</v>
      </c>
      <c r="G86" s="97" t="s">
        <v>69</v>
      </c>
      <c r="H86" s="98" t="s">
        <v>70</v>
      </c>
      <c r="I86" s="97" t="s">
        <v>71</v>
      </c>
      <c r="J86" s="97" t="s">
        <v>72</v>
      </c>
      <c r="K86" s="97" t="s">
        <v>73</v>
      </c>
      <c r="L86" s="97" t="s">
        <v>54</v>
      </c>
      <c r="M86" s="39" t="s">
        <v>74</v>
      </c>
    </row>
    <row r="87" spans="2:13" ht="15.75">
      <c r="B87" s="82"/>
      <c r="C87" s="6" t="s">
        <v>91</v>
      </c>
      <c r="D87" s="6" t="s">
        <v>39</v>
      </c>
      <c r="E87" s="6">
        <v>0</v>
      </c>
      <c r="F87" s="6">
        <v>60</v>
      </c>
      <c r="G87" s="6">
        <v>0</v>
      </c>
      <c r="H87" s="95"/>
      <c r="I87" s="6">
        <v>0</v>
      </c>
      <c r="J87" s="95" t="e">
        <f t="shared" ref="J87:J92" si="6">F87/H87</f>
        <v>#DIV/0!</v>
      </c>
      <c r="K87" s="95">
        <f t="shared" ref="K87:K92" si="7">(H87-F87)*100/F87</f>
        <v>-100</v>
      </c>
      <c r="L87" s="6" t="s">
        <v>80</v>
      </c>
      <c r="M87" s="115" t="s">
        <v>56</v>
      </c>
    </row>
    <row r="88" spans="2:13" ht="15.75">
      <c r="B88" s="82"/>
      <c r="C88" s="6" t="s">
        <v>91</v>
      </c>
      <c r="D88" s="6" t="s">
        <v>39</v>
      </c>
      <c r="E88" s="6">
        <v>0</v>
      </c>
      <c r="F88" s="6">
        <v>60</v>
      </c>
      <c r="G88" s="6">
        <v>0</v>
      </c>
      <c r="H88" s="95"/>
      <c r="I88" s="6">
        <v>0</v>
      </c>
      <c r="J88" s="95" t="e">
        <f t="shared" si="6"/>
        <v>#DIV/0!</v>
      </c>
      <c r="K88" s="95">
        <f t="shared" si="7"/>
        <v>-100</v>
      </c>
      <c r="L88" s="6" t="s">
        <v>80</v>
      </c>
      <c r="M88" s="115" t="s">
        <v>56</v>
      </c>
    </row>
    <row r="89" spans="2:13" ht="15.75">
      <c r="B89" s="82"/>
      <c r="C89" s="6" t="s">
        <v>91</v>
      </c>
      <c r="D89" s="6" t="s">
        <v>39</v>
      </c>
      <c r="E89" s="6">
        <v>0</v>
      </c>
      <c r="F89" s="6">
        <v>60</v>
      </c>
      <c r="G89" s="6">
        <v>0</v>
      </c>
      <c r="H89" s="95"/>
      <c r="I89" s="6">
        <v>0</v>
      </c>
      <c r="J89" s="95" t="e">
        <f t="shared" si="6"/>
        <v>#DIV/0!</v>
      </c>
      <c r="K89" s="95">
        <f t="shared" si="7"/>
        <v>-100</v>
      </c>
      <c r="L89" s="6" t="s">
        <v>80</v>
      </c>
      <c r="M89" s="115" t="s">
        <v>56</v>
      </c>
    </row>
    <row r="90" spans="2:13" ht="15.75">
      <c r="B90" s="82"/>
      <c r="C90" s="6" t="s">
        <v>91</v>
      </c>
      <c r="D90" s="6" t="s">
        <v>39</v>
      </c>
      <c r="E90" s="6">
        <v>0</v>
      </c>
      <c r="F90" s="6">
        <v>60</v>
      </c>
      <c r="G90" s="6">
        <v>0</v>
      </c>
      <c r="H90" s="95"/>
      <c r="I90" s="6">
        <v>0</v>
      </c>
      <c r="J90" s="95" t="e">
        <f t="shared" si="6"/>
        <v>#DIV/0!</v>
      </c>
      <c r="K90" s="95">
        <f t="shared" si="7"/>
        <v>-100</v>
      </c>
      <c r="L90" s="6" t="s">
        <v>80</v>
      </c>
      <c r="M90" s="115" t="s">
        <v>56</v>
      </c>
    </row>
    <row r="91" spans="2:13" ht="15.75">
      <c r="B91" s="82"/>
      <c r="C91" s="6" t="s">
        <v>91</v>
      </c>
      <c r="D91" s="6" t="s">
        <v>39</v>
      </c>
      <c r="E91" s="6">
        <v>0</v>
      </c>
      <c r="F91" s="6">
        <v>60</v>
      </c>
      <c r="G91" s="6">
        <v>0</v>
      </c>
      <c r="H91" s="95"/>
      <c r="I91" s="6">
        <v>0</v>
      </c>
      <c r="J91" s="95" t="e">
        <f t="shared" si="6"/>
        <v>#DIV/0!</v>
      </c>
      <c r="K91" s="95">
        <f t="shared" si="7"/>
        <v>-100</v>
      </c>
      <c r="L91" s="6" t="s">
        <v>80</v>
      </c>
      <c r="M91" s="115" t="s">
        <v>56</v>
      </c>
    </row>
    <row r="92" spans="2:13" ht="15.75">
      <c r="B92" s="82"/>
      <c r="C92" s="6" t="s">
        <v>91</v>
      </c>
      <c r="D92" s="6" t="s">
        <v>39</v>
      </c>
      <c r="E92" s="6">
        <v>0</v>
      </c>
      <c r="F92" s="6">
        <v>60</v>
      </c>
      <c r="G92" s="6">
        <v>0</v>
      </c>
      <c r="H92" s="95"/>
      <c r="I92" s="6">
        <v>0</v>
      </c>
      <c r="J92" s="95" t="e">
        <f t="shared" si="6"/>
        <v>#DIV/0!</v>
      </c>
      <c r="K92" s="95">
        <f t="shared" si="7"/>
        <v>-100</v>
      </c>
      <c r="L92" s="6" t="s">
        <v>80</v>
      </c>
      <c r="M92" s="115" t="s">
        <v>56</v>
      </c>
    </row>
    <row r="93" spans="2:13" ht="15.75">
      <c r="B93" s="83"/>
      <c r="C93" s="6"/>
      <c r="D93" s="6"/>
      <c r="E93" s="6"/>
      <c r="F93" s="6"/>
      <c r="G93" s="6"/>
      <c r="H93" s="95"/>
      <c r="I93" s="6"/>
      <c r="J93" s="95"/>
      <c r="K93" s="95"/>
      <c r="L93" s="6"/>
      <c r="M93" s="115" t="s">
        <v>56</v>
      </c>
    </row>
    <row r="94" spans="2:13" ht="15.75">
      <c r="B94" s="83"/>
      <c r="C94" s="6"/>
      <c r="D94" s="6"/>
      <c r="E94" s="6"/>
      <c r="F94" s="6"/>
      <c r="G94" s="6"/>
      <c r="H94" s="95"/>
      <c r="I94" s="6"/>
      <c r="J94" s="95"/>
      <c r="K94" s="95"/>
      <c r="L94" s="6"/>
      <c r="M94" s="116"/>
    </row>
    <row r="95" spans="2:13" ht="15.75">
      <c r="B95" s="83"/>
      <c r="C95" s="6"/>
      <c r="D95" s="6"/>
      <c r="E95" s="6"/>
      <c r="F95" s="6"/>
      <c r="G95" s="6"/>
      <c r="H95" s="95"/>
      <c r="I95" s="6"/>
      <c r="J95" s="95"/>
      <c r="K95" s="95"/>
      <c r="L95" s="6"/>
      <c r="M95" s="116"/>
    </row>
    <row r="96" spans="2:13" ht="15.75">
      <c r="B96" s="83"/>
      <c r="C96" s="6"/>
      <c r="D96" s="6"/>
      <c r="E96" s="6"/>
      <c r="F96" s="6"/>
      <c r="G96" s="6"/>
      <c r="H96" s="95"/>
      <c r="I96" s="6"/>
      <c r="J96" s="95"/>
      <c r="K96" s="95"/>
      <c r="L96" s="6"/>
      <c r="M96" s="116"/>
    </row>
    <row r="97" spans="2:13" ht="15.75">
      <c r="B97" s="83"/>
      <c r="C97" s="6"/>
      <c r="D97" s="6"/>
      <c r="E97" s="6"/>
      <c r="F97" s="6"/>
      <c r="G97" s="6"/>
      <c r="H97" s="95"/>
      <c r="I97" s="6"/>
      <c r="J97" s="95"/>
      <c r="K97" s="95"/>
      <c r="L97" s="6"/>
      <c r="M97" s="116"/>
    </row>
    <row r="98" spans="2:13" ht="15.75">
      <c r="B98" s="83"/>
      <c r="C98" s="6"/>
      <c r="D98" s="6"/>
      <c r="E98" s="6"/>
      <c r="F98" s="6"/>
      <c r="G98" s="6"/>
      <c r="H98" s="95"/>
      <c r="I98" s="6"/>
      <c r="J98" s="95"/>
      <c r="K98" s="95"/>
      <c r="L98" s="6"/>
      <c r="M98" s="116"/>
    </row>
    <row r="99" spans="2:13" ht="15.75">
      <c r="B99" s="83"/>
      <c r="C99" s="6"/>
      <c r="D99" s="6"/>
      <c r="E99" s="6"/>
      <c r="F99" s="6"/>
      <c r="G99" s="6"/>
      <c r="H99" s="95"/>
      <c r="I99" s="6"/>
      <c r="J99" s="95"/>
      <c r="K99" s="95"/>
      <c r="L99" s="6"/>
      <c r="M99" s="116"/>
    </row>
    <row r="100" spans="2:13" ht="15.75">
      <c r="B100" s="94"/>
      <c r="C100" s="6"/>
      <c r="D100" s="6"/>
      <c r="E100" s="6"/>
      <c r="F100" s="6"/>
      <c r="G100" s="6"/>
      <c r="H100" s="95"/>
      <c r="I100" s="6"/>
      <c r="J100" s="95"/>
      <c r="K100" s="95"/>
      <c r="L100" s="6"/>
      <c r="M100" s="116"/>
    </row>
    <row r="101" spans="2:13">
      <c r="B101" s="99"/>
      <c r="C101" s="106"/>
      <c r="D101" s="199" t="s">
        <v>92</v>
      </c>
      <c r="E101" s="199"/>
      <c r="F101" s="199"/>
      <c r="G101" s="199"/>
      <c r="H101" s="199"/>
      <c r="I101" s="199"/>
      <c r="J101" s="126">
        <f>COUNT(B87:B99)</f>
        <v>0</v>
      </c>
      <c r="K101" s="120"/>
      <c r="L101" s="106"/>
      <c r="M101" s="121"/>
    </row>
    <row r="104" spans="2:13">
      <c r="B104" s="92"/>
      <c r="C104" s="93"/>
      <c r="D104" s="93"/>
      <c r="E104" s="93"/>
      <c r="F104" s="93"/>
      <c r="G104" s="198" t="s">
        <v>93</v>
      </c>
      <c r="H104" s="198"/>
      <c r="I104" s="93"/>
      <c r="J104" s="93"/>
      <c r="K104" s="93"/>
      <c r="L104" s="93"/>
      <c r="M104" s="107"/>
    </row>
    <row r="105" spans="2:13">
      <c r="B105" s="94"/>
      <c r="C105" s="6"/>
      <c r="D105" s="6"/>
      <c r="E105" s="6"/>
      <c r="F105" s="6"/>
      <c r="G105" s="6"/>
      <c r="H105" s="95"/>
      <c r="I105" s="6"/>
      <c r="J105" s="6"/>
      <c r="K105" s="6"/>
      <c r="L105" s="6"/>
      <c r="M105" s="110"/>
    </row>
    <row r="106" spans="2:13" ht="15.75">
      <c r="B106" s="140" t="s">
        <v>64</v>
      </c>
      <c r="C106" s="97" t="s">
        <v>65</v>
      </c>
      <c r="D106" s="97" t="s">
        <v>66</v>
      </c>
      <c r="E106" s="97" t="s">
        <v>67</v>
      </c>
      <c r="F106" s="97" t="s">
        <v>68</v>
      </c>
      <c r="G106" s="97" t="s">
        <v>69</v>
      </c>
      <c r="H106" s="98" t="s">
        <v>70</v>
      </c>
      <c r="I106" s="97" t="s">
        <v>71</v>
      </c>
      <c r="J106" s="97" t="s">
        <v>72</v>
      </c>
      <c r="K106" s="97" t="s">
        <v>73</v>
      </c>
      <c r="L106" s="97" t="s">
        <v>54</v>
      </c>
      <c r="M106" s="141" t="s">
        <v>74</v>
      </c>
    </row>
    <row r="107" spans="2:13" ht="15.75">
      <c r="B107" s="82"/>
      <c r="C107" s="6" t="s">
        <v>93</v>
      </c>
      <c r="D107" s="6" t="s">
        <v>39</v>
      </c>
      <c r="E107" s="6">
        <v>0</v>
      </c>
      <c r="F107" s="6">
        <v>320</v>
      </c>
      <c r="G107" s="6">
        <v>0</v>
      </c>
      <c r="H107" s="95"/>
      <c r="I107" s="6">
        <f>G107-E107</f>
        <v>0</v>
      </c>
      <c r="J107" s="95" t="e">
        <f>F107/H107</f>
        <v>#DIV/0!</v>
      </c>
      <c r="K107" s="95">
        <f>(H107-F107)*100/F107</f>
        <v>-100</v>
      </c>
      <c r="L107" s="6" t="s">
        <v>80</v>
      </c>
      <c r="M107" s="115" t="s">
        <v>56</v>
      </c>
    </row>
    <row r="108" spans="2:13" ht="15.75">
      <c r="B108" s="82"/>
      <c r="C108" s="6" t="s">
        <v>93</v>
      </c>
      <c r="D108" s="6" t="s">
        <v>39</v>
      </c>
      <c r="E108" s="6">
        <v>0</v>
      </c>
      <c r="F108" s="6">
        <v>320</v>
      </c>
      <c r="G108" s="6">
        <v>0</v>
      </c>
      <c r="H108" s="95"/>
      <c r="I108" s="6">
        <f>G108-E108</f>
        <v>0</v>
      </c>
      <c r="J108" s="95" t="e">
        <f>F108/H108</f>
        <v>#DIV/0!</v>
      </c>
      <c r="K108" s="95">
        <f>(H108-F108)*100/F108</f>
        <v>-100</v>
      </c>
      <c r="L108" s="6" t="s">
        <v>80</v>
      </c>
      <c r="M108" s="115" t="s">
        <v>56</v>
      </c>
    </row>
    <row r="109" spans="2:13" ht="15.75">
      <c r="B109" s="82"/>
      <c r="C109" s="6" t="s">
        <v>93</v>
      </c>
      <c r="D109" s="6" t="s">
        <v>39</v>
      </c>
      <c r="E109" s="6">
        <v>0</v>
      </c>
      <c r="F109" s="6">
        <v>320</v>
      </c>
      <c r="G109" s="6">
        <v>0</v>
      </c>
      <c r="H109" s="95"/>
      <c r="I109" s="6">
        <f t="shared" ref="I109:I115" si="8">G109-E109</f>
        <v>0</v>
      </c>
      <c r="J109" s="95" t="e">
        <f t="shared" ref="J109:J115" si="9">F109/H109</f>
        <v>#DIV/0!</v>
      </c>
      <c r="K109" s="95">
        <f t="shared" ref="K109:K115" si="10">(H109-F109)*100/F109</f>
        <v>-100</v>
      </c>
      <c r="L109" s="6" t="s">
        <v>80</v>
      </c>
      <c r="M109" s="115" t="s">
        <v>56</v>
      </c>
    </row>
    <row r="110" spans="2:13" ht="15.75">
      <c r="B110" s="82"/>
      <c r="C110" s="6" t="s">
        <v>93</v>
      </c>
      <c r="D110" s="6" t="s">
        <v>39</v>
      </c>
      <c r="E110" s="6">
        <v>0</v>
      </c>
      <c r="F110" s="6">
        <v>320</v>
      </c>
      <c r="G110" s="6">
        <v>0</v>
      </c>
      <c r="H110" s="95"/>
      <c r="I110" s="6">
        <f t="shared" si="8"/>
        <v>0</v>
      </c>
      <c r="J110" s="95" t="e">
        <f t="shared" si="9"/>
        <v>#DIV/0!</v>
      </c>
      <c r="K110" s="95">
        <f t="shared" si="10"/>
        <v>-100</v>
      </c>
      <c r="L110" s="6" t="s">
        <v>80</v>
      </c>
      <c r="M110" s="115" t="s">
        <v>56</v>
      </c>
    </row>
    <row r="111" spans="2:13" ht="15.75">
      <c r="B111" s="82"/>
      <c r="C111" s="6" t="s">
        <v>93</v>
      </c>
      <c r="D111" s="6" t="s">
        <v>39</v>
      </c>
      <c r="E111" s="6">
        <v>0</v>
      </c>
      <c r="F111" s="6">
        <v>320</v>
      </c>
      <c r="G111" s="6">
        <v>0</v>
      </c>
      <c r="H111" s="95"/>
      <c r="I111" s="6">
        <f t="shared" si="8"/>
        <v>0</v>
      </c>
      <c r="J111" s="95" t="e">
        <f t="shared" si="9"/>
        <v>#DIV/0!</v>
      </c>
      <c r="K111" s="95">
        <f t="shared" si="10"/>
        <v>-100</v>
      </c>
      <c r="L111" s="6" t="s">
        <v>80</v>
      </c>
      <c r="M111" s="115" t="s">
        <v>56</v>
      </c>
    </row>
    <row r="112" spans="2:13" ht="15.75">
      <c r="B112" s="82"/>
      <c r="C112" s="6" t="s">
        <v>93</v>
      </c>
      <c r="D112" s="6" t="s">
        <v>39</v>
      </c>
      <c r="E112" s="6">
        <v>0</v>
      </c>
      <c r="F112" s="6">
        <v>320</v>
      </c>
      <c r="G112" s="6">
        <v>0</v>
      </c>
      <c r="H112" s="95"/>
      <c r="I112" s="6">
        <f t="shared" si="8"/>
        <v>0</v>
      </c>
      <c r="J112" s="95" t="e">
        <f t="shared" si="9"/>
        <v>#DIV/0!</v>
      </c>
      <c r="K112" s="95">
        <f t="shared" si="10"/>
        <v>-100</v>
      </c>
      <c r="L112" s="6" t="s">
        <v>80</v>
      </c>
      <c r="M112" s="115" t="s">
        <v>56</v>
      </c>
    </row>
    <row r="113" spans="2:13" ht="15.75">
      <c r="B113" s="82"/>
      <c r="C113" s="6" t="s">
        <v>93</v>
      </c>
      <c r="D113" s="6" t="s">
        <v>39</v>
      </c>
      <c r="E113" s="6">
        <v>0</v>
      </c>
      <c r="F113" s="6">
        <v>320</v>
      </c>
      <c r="G113" s="6">
        <v>0</v>
      </c>
      <c r="H113" s="95"/>
      <c r="I113" s="6">
        <f t="shared" si="8"/>
        <v>0</v>
      </c>
      <c r="J113" s="95" t="e">
        <f t="shared" si="9"/>
        <v>#DIV/0!</v>
      </c>
      <c r="K113" s="95">
        <f t="shared" si="10"/>
        <v>-100</v>
      </c>
      <c r="L113" s="6" t="s">
        <v>80</v>
      </c>
      <c r="M113" s="115" t="s">
        <v>56</v>
      </c>
    </row>
    <row r="114" spans="2:13" ht="15.75">
      <c r="B114" s="82"/>
      <c r="C114" s="6" t="s">
        <v>93</v>
      </c>
      <c r="D114" s="6" t="s">
        <v>39</v>
      </c>
      <c r="E114" s="6">
        <v>0</v>
      </c>
      <c r="F114" s="6">
        <v>320</v>
      </c>
      <c r="G114" s="6">
        <v>0</v>
      </c>
      <c r="H114" s="95"/>
      <c r="I114" s="6">
        <f t="shared" si="8"/>
        <v>0</v>
      </c>
      <c r="J114" s="95" t="e">
        <f t="shared" si="9"/>
        <v>#DIV/0!</v>
      </c>
      <c r="K114" s="95">
        <f t="shared" si="10"/>
        <v>-100</v>
      </c>
      <c r="L114" s="6" t="s">
        <v>80</v>
      </c>
      <c r="M114" s="116"/>
    </row>
    <row r="115" spans="2:13" ht="15.75">
      <c r="B115" s="82"/>
      <c r="C115" s="6" t="s">
        <v>93</v>
      </c>
      <c r="D115" s="6" t="s">
        <v>39</v>
      </c>
      <c r="E115" s="6">
        <v>0</v>
      </c>
      <c r="F115" s="6">
        <v>320</v>
      </c>
      <c r="G115" s="6">
        <v>0</v>
      </c>
      <c r="H115" s="95"/>
      <c r="I115" s="6">
        <f t="shared" si="8"/>
        <v>0</v>
      </c>
      <c r="J115" s="95" t="e">
        <f t="shared" si="9"/>
        <v>#DIV/0!</v>
      </c>
      <c r="K115" s="95">
        <f t="shared" si="10"/>
        <v>-100</v>
      </c>
      <c r="L115" s="6" t="s">
        <v>80</v>
      </c>
      <c r="M115" s="116"/>
    </row>
    <row r="116" spans="2:13" ht="15.75">
      <c r="B116" s="83"/>
      <c r="C116" s="6"/>
      <c r="D116" s="6"/>
      <c r="E116" s="6"/>
      <c r="F116" s="6"/>
      <c r="G116" s="6"/>
      <c r="H116" s="95"/>
      <c r="I116" s="6"/>
      <c r="J116" s="95"/>
      <c r="K116" s="95"/>
      <c r="L116" s="6"/>
      <c r="M116" s="116"/>
    </row>
    <row r="117" spans="2:13" ht="15.75">
      <c r="B117" s="83"/>
      <c r="C117" s="6"/>
      <c r="D117" s="6"/>
      <c r="E117" s="6"/>
      <c r="F117" s="6"/>
      <c r="G117" s="6"/>
      <c r="H117" s="95"/>
      <c r="I117" s="6"/>
      <c r="J117" s="95"/>
      <c r="K117" s="95"/>
      <c r="L117" s="6"/>
      <c r="M117" s="116"/>
    </row>
    <row r="118" spans="2:13" ht="15.75">
      <c r="B118" s="94"/>
      <c r="C118" s="6"/>
      <c r="D118" s="6"/>
      <c r="E118" s="6"/>
      <c r="F118" s="6"/>
      <c r="G118" s="6"/>
      <c r="H118" s="95"/>
      <c r="I118" s="6"/>
      <c r="J118" s="95"/>
      <c r="K118" s="95"/>
      <c r="L118" s="6"/>
      <c r="M118" s="116"/>
    </row>
    <row r="119" spans="2:13">
      <c r="B119" s="99"/>
      <c r="C119" s="199" t="s">
        <v>94</v>
      </c>
      <c r="D119" s="199"/>
      <c r="E119" s="199"/>
      <c r="F119" s="199"/>
      <c r="G119" s="199"/>
      <c r="H119" s="199"/>
      <c r="I119" s="126">
        <f>COUNT(B107:B118)</f>
        <v>0</v>
      </c>
      <c r="J119" s="120"/>
      <c r="K119" s="120"/>
      <c r="L119" s="106"/>
      <c r="M119" s="121"/>
    </row>
  </sheetData>
  <mergeCells count="16">
    <mergeCell ref="C119:H119"/>
    <mergeCell ref="G64:H64"/>
    <mergeCell ref="D81:I81"/>
    <mergeCell ref="G84:H84"/>
    <mergeCell ref="D101:I101"/>
    <mergeCell ref="G104:H104"/>
    <mergeCell ref="G24:H24"/>
    <mergeCell ref="P40:S40"/>
    <mergeCell ref="D41:I41"/>
    <mergeCell ref="G44:H44"/>
    <mergeCell ref="D61:I61"/>
    <mergeCell ref="D1:J1"/>
    <mergeCell ref="D2:J2"/>
    <mergeCell ref="G5:H5"/>
    <mergeCell ref="C21:H21"/>
    <mergeCell ref="P21:S21"/>
  </mergeCells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>
  <dimension ref="B2:E56"/>
  <sheetViews>
    <sheetView workbookViewId="0">
      <selection activeCell="D2" sqref="D2:E3"/>
    </sheetView>
  </sheetViews>
  <sheetFormatPr defaultColWidth="9" defaultRowHeight="15"/>
  <cols>
    <col min="1" max="1" width="9.140625" customWidth="1"/>
    <col min="2" max="2" width="28.28515625" customWidth="1"/>
    <col min="3" max="3" width="30" customWidth="1"/>
    <col min="4" max="4" width="27.85546875" customWidth="1"/>
  </cols>
  <sheetData>
    <row r="2" spans="2:5">
      <c r="B2" s="202" t="s">
        <v>95</v>
      </c>
      <c r="C2" s="202"/>
      <c r="D2" s="204">
        <f>'MONTHLY 30'!$B$2</f>
        <v>45597.010416666664</v>
      </c>
      <c r="E2" s="204"/>
    </row>
    <row r="3" spans="2:5">
      <c r="B3" s="202" t="s">
        <v>96</v>
      </c>
      <c r="C3" s="202"/>
      <c r="D3" s="204"/>
      <c r="E3" s="204"/>
    </row>
    <row r="7" spans="2:5" s="2" customFormat="1">
      <c r="B7" s="78" t="s">
        <v>97</v>
      </c>
      <c r="C7" s="78" t="s">
        <v>98</v>
      </c>
      <c r="D7" s="79" t="s">
        <v>99</v>
      </c>
    </row>
    <row r="8" spans="2:5" s="2" customFormat="1">
      <c r="B8" s="80"/>
      <c r="C8" s="80"/>
      <c r="D8" s="81">
        <f t="shared" ref="D8:D13" si="0">C8-B8</f>
        <v>0</v>
      </c>
    </row>
    <row r="9" spans="2:5" s="2" customFormat="1">
      <c r="B9" s="80"/>
      <c r="C9" s="80"/>
      <c r="D9" s="81">
        <f t="shared" si="0"/>
        <v>0</v>
      </c>
    </row>
    <row r="10" spans="2:5" s="2" customFormat="1">
      <c r="B10" s="82"/>
      <c r="C10" s="82"/>
      <c r="D10" s="81">
        <f t="shared" si="0"/>
        <v>0</v>
      </c>
    </row>
    <row r="11" spans="2:5" s="2" customFormat="1">
      <c r="B11" s="83"/>
      <c r="C11" s="83"/>
      <c r="D11" s="81">
        <f t="shared" si="0"/>
        <v>0</v>
      </c>
    </row>
    <row r="12" spans="2:5">
      <c r="B12" s="83"/>
      <c r="C12" s="83"/>
      <c r="D12" s="81">
        <f t="shared" si="0"/>
        <v>0</v>
      </c>
    </row>
    <row r="13" spans="2:5">
      <c r="B13" s="83"/>
      <c r="C13" s="83"/>
      <c r="D13" s="81">
        <f t="shared" si="0"/>
        <v>0</v>
      </c>
    </row>
    <row r="14" spans="2:5">
      <c r="B14" s="83"/>
      <c r="C14" s="83"/>
      <c r="D14" s="81">
        <f t="shared" ref="D14:D23" si="1">C14-B14</f>
        <v>0</v>
      </c>
    </row>
    <row r="15" spans="2:5">
      <c r="B15" s="82"/>
      <c r="C15" s="82"/>
      <c r="D15" s="81">
        <f t="shared" si="1"/>
        <v>0</v>
      </c>
    </row>
    <row r="16" spans="2:5">
      <c r="B16" s="82"/>
      <c r="C16" s="82"/>
      <c r="D16" s="81">
        <f t="shared" si="1"/>
        <v>0</v>
      </c>
    </row>
    <row r="17" spans="2:4">
      <c r="B17" s="82"/>
      <c r="C17" s="82"/>
      <c r="D17" s="81">
        <f t="shared" si="1"/>
        <v>0</v>
      </c>
    </row>
    <row r="18" spans="2:4">
      <c r="B18" s="82"/>
      <c r="C18" s="82"/>
      <c r="D18" s="81">
        <f t="shared" si="1"/>
        <v>0</v>
      </c>
    </row>
    <row r="19" spans="2:4">
      <c r="B19" s="83"/>
      <c r="C19" s="82"/>
      <c r="D19" s="81">
        <f t="shared" si="1"/>
        <v>0</v>
      </c>
    </row>
    <row r="20" spans="2:4">
      <c r="B20" s="83"/>
      <c r="C20" s="82"/>
      <c r="D20" s="81">
        <f t="shared" si="1"/>
        <v>0</v>
      </c>
    </row>
    <row r="21" spans="2:4">
      <c r="B21" s="83"/>
      <c r="C21" s="82"/>
      <c r="D21" s="81">
        <f t="shared" si="1"/>
        <v>0</v>
      </c>
    </row>
    <row r="22" spans="2:4">
      <c r="B22" s="83"/>
      <c r="C22" s="82"/>
      <c r="D22" s="81">
        <f t="shared" si="1"/>
        <v>0</v>
      </c>
    </row>
    <row r="23" spans="2:4">
      <c r="B23" s="83"/>
      <c r="C23" s="82"/>
      <c r="D23" s="81">
        <f t="shared" si="1"/>
        <v>0</v>
      </c>
    </row>
    <row r="24" spans="2:4">
      <c r="B24" s="84" t="s">
        <v>100</v>
      </c>
      <c r="C24" s="82"/>
      <c r="D24" s="81">
        <f>SUM(D7:D23)</f>
        <v>0</v>
      </c>
    </row>
    <row r="25" spans="2:4">
      <c r="B25" s="85"/>
      <c r="C25" s="86"/>
      <c r="D25" s="87"/>
    </row>
    <row r="26" spans="2:4">
      <c r="B26" s="85"/>
      <c r="C26" s="86"/>
      <c r="D26" s="87"/>
    </row>
    <row r="27" spans="2:4">
      <c r="B27" s="85"/>
      <c r="C27" s="86"/>
      <c r="D27" s="87"/>
    </row>
    <row r="28" spans="2:4">
      <c r="B28" s="85"/>
      <c r="C28" s="86"/>
      <c r="D28" s="87"/>
    </row>
    <row r="29" spans="2:4">
      <c r="B29" s="85"/>
      <c r="C29" s="86"/>
      <c r="D29" s="87"/>
    </row>
    <row r="30" spans="2:4">
      <c r="B30" s="85"/>
      <c r="C30" s="86"/>
      <c r="D30" s="87"/>
    </row>
    <row r="31" spans="2:4">
      <c r="B31" s="85"/>
      <c r="C31" s="86"/>
      <c r="D31" s="87"/>
    </row>
    <row r="32" spans="2:4">
      <c r="B32" s="85"/>
      <c r="C32" s="86"/>
      <c r="D32" s="87"/>
    </row>
    <row r="33" spans="2:4">
      <c r="B33" s="85"/>
      <c r="C33" s="86"/>
      <c r="D33" s="87"/>
    </row>
    <row r="34" spans="2:4">
      <c r="B34" s="85"/>
      <c r="C34" s="86"/>
      <c r="D34" s="87"/>
    </row>
    <row r="35" spans="2:4">
      <c r="B35" s="85"/>
      <c r="C35" s="86"/>
      <c r="D35" s="87"/>
    </row>
    <row r="36" spans="2:4">
      <c r="B36" s="85"/>
      <c r="C36" s="86"/>
      <c r="D36" s="87"/>
    </row>
    <row r="37" spans="2:4">
      <c r="B37" s="85"/>
      <c r="C37" s="86"/>
      <c r="D37" s="87"/>
    </row>
    <row r="38" spans="2:4">
      <c r="B38" s="85"/>
      <c r="C38" s="86"/>
      <c r="D38" s="87"/>
    </row>
    <row r="39" spans="2:4">
      <c r="B39" s="85"/>
      <c r="C39" s="86"/>
      <c r="D39" s="87"/>
    </row>
    <row r="40" spans="2:4">
      <c r="B40" s="85"/>
      <c r="C40" s="86"/>
      <c r="D40" s="87"/>
    </row>
    <row r="41" spans="2:4">
      <c r="B41" s="85"/>
      <c r="C41" s="86"/>
      <c r="D41" s="87"/>
    </row>
    <row r="42" spans="2:4">
      <c r="B42" s="85"/>
      <c r="C42" s="86"/>
      <c r="D42" s="87"/>
    </row>
    <row r="43" spans="2:4">
      <c r="B43" s="85"/>
      <c r="C43" s="86"/>
      <c r="D43" s="87"/>
    </row>
    <row r="44" spans="2:4" ht="15.75">
      <c r="B44" s="203" t="s">
        <v>100</v>
      </c>
      <c r="C44" s="203"/>
      <c r="D44" s="87">
        <f>SUM(D11:D42)</f>
        <v>0</v>
      </c>
    </row>
    <row r="45" spans="2:4">
      <c r="B45" s="85"/>
      <c r="C45" s="86"/>
      <c r="D45" s="87"/>
    </row>
    <row r="46" spans="2:4">
      <c r="B46" s="86"/>
      <c r="C46" s="86"/>
      <c r="D46" s="87"/>
    </row>
    <row r="47" spans="2:4">
      <c r="B47" s="86"/>
      <c r="C47" s="86"/>
      <c r="D47" s="87"/>
    </row>
    <row r="48" spans="2:4">
      <c r="B48" s="86"/>
      <c r="C48" s="86"/>
      <c r="D48" s="87"/>
    </row>
    <row r="49" spans="2:4">
      <c r="B49" s="86"/>
      <c r="C49" s="86"/>
      <c r="D49" s="87"/>
    </row>
    <row r="50" spans="2:4">
      <c r="B50" s="85"/>
      <c r="C50" s="86"/>
      <c r="D50" s="87"/>
    </row>
    <row r="51" spans="2:4">
      <c r="B51" s="85"/>
      <c r="C51" s="86"/>
      <c r="D51" s="87"/>
    </row>
    <row r="52" spans="2:4">
      <c r="B52" s="85"/>
      <c r="C52" s="86"/>
      <c r="D52" s="87"/>
    </row>
    <row r="53" spans="2:4">
      <c r="B53" s="85"/>
      <c r="C53" s="86"/>
      <c r="D53" s="87"/>
    </row>
    <row r="54" spans="2:4">
      <c r="B54" s="86"/>
      <c r="C54" s="86"/>
      <c r="D54" s="87"/>
    </row>
    <row r="55" spans="2:4">
      <c r="D55" s="87"/>
    </row>
    <row r="56" spans="2:4">
      <c r="D56" s="87"/>
    </row>
  </sheetData>
  <mergeCells count="4">
    <mergeCell ref="B2:C2"/>
    <mergeCell ref="B3:C3"/>
    <mergeCell ref="B44:C44"/>
    <mergeCell ref="D2:E3"/>
  </mergeCells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>
  <dimension ref="B2:AB86"/>
  <sheetViews>
    <sheetView workbookViewId="0">
      <selection activeCell="F4" sqref="F4"/>
    </sheetView>
  </sheetViews>
  <sheetFormatPr defaultColWidth="9.140625" defaultRowHeight="15"/>
  <cols>
    <col min="1" max="1" width="7" style="2" customWidth="1"/>
    <col min="2" max="2" width="13.42578125" style="2" customWidth="1"/>
    <col min="3" max="3" width="14" style="2" customWidth="1"/>
    <col min="4" max="4" width="14.140625" style="2" customWidth="1"/>
    <col min="5" max="5" width="18" style="2" customWidth="1"/>
    <col min="6" max="6" width="12.5703125" style="2" customWidth="1"/>
    <col min="7" max="8" width="12" style="2" customWidth="1"/>
    <col min="9" max="9" width="12.5703125" style="2" customWidth="1"/>
    <col min="10" max="10" width="12" style="2" customWidth="1"/>
    <col min="11" max="11" width="13.140625" style="2" customWidth="1"/>
    <col min="12" max="12" width="12.5703125" style="2" customWidth="1"/>
    <col min="13" max="13" width="12" style="2" customWidth="1"/>
    <col min="14" max="14" width="14" style="2" customWidth="1"/>
    <col min="15" max="15" width="14.5703125" style="2" customWidth="1"/>
    <col min="16" max="16" width="11.140625" style="2" customWidth="1"/>
    <col min="17" max="17" width="11.7109375" style="2" customWidth="1"/>
    <col min="18" max="18" width="11.85546875" style="2" customWidth="1"/>
    <col min="19" max="19" width="12.5703125" style="2" customWidth="1"/>
    <col min="20" max="20" width="12" style="2" customWidth="1"/>
    <col min="21" max="21" width="14" style="2" customWidth="1"/>
    <col min="22" max="22" width="14.5703125" style="2" customWidth="1"/>
    <col min="23" max="23" width="9.140625" style="2"/>
    <col min="24" max="24" width="12.28515625" style="2" customWidth="1"/>
    <col min="25" max="25" width="11.7109375" style="2" customWidth="1"/>
    <col min="26" max="16384" width="9.140625" style="2"/>
  </cols>
  <sheetData>
    <row r="2" spans="2:24" customFormat="1" ht="15" customHeight="1">
      <c r="B2" s="205" t="s">
        <v>101</v>
      </c>
      <c r="C2" s="205"/>
      <c r="D2" s="205"/>
      <c r="E2" s="205"/>
      <c r="F2" s="206">
        <v>1</v>
      </c>
      <c r="G2" s="207"/>
      <c r="H2" s="207"/>
    </row>
    <row r="3" spans="2:24" customFormat="1" ht="15" customHeight="1">
      <c r="B3" s="205"/>
      <c r="C3" s="205"/>
      <c r="D3" s="205"/>
      <c r="E3" s="205"/>
      <c r="F3" s="207"/>
      <c r="G3" s="207"/>
      <c r="H3" s="207"/>
    </row>
    <row r="8" spans="2:24">
      <c r="J8" s="32"/>
      <c r="K8" s="32"/>
      <c r="L8" s="32"/>
      <c r="U8" s="45"/>
    </row>
    <row r="9" spans="2:24" ht="15.75">
      <c r="J9" s="33"/>
      <c r="K9" s="33"/>
      <c r="L9" s="32"/>
      <c r="U9" s="45"/>
    </row>
    <row r="10" spans="2:24">
      <c r="U10" s="45"/>
    </row>
    <row r="11" spans="2:24">
      <c r="U11" s="45"/>
    </row>
    <row r="12" spans="2:24" ht="15.75" customHeight="1">
      <c r="B12" s="210" t="s">
        <v>93</v>
      </c>
      <c r="C12" s="221" t="s">
        <v>102</v>
      </c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  <c r="P12" s="222"/>
      <c r="Q12" s="222"/>
      <c r="R12" s="46"/>
      <c r="U12" s="45"/>
    </row>
    <row r="13" spans="2:24" ht="15" customHeight="1">
      <c r="B13" s="211"/>
      <c r="C13" s="3" t="s">
        <v>103</v>
      </c>
      <c r="D13" s="4" t="s">
        <v>104</v>
      </c>
      <c r="E13" s="4" t="s">
        <v>105</v>
      </c>
      <c r="F13" s="4" t="s">
        <v>106</v>
      </c>
      <c r="G13" s="4" t="s">
        <v>107</v>
      </c>
      <c r="H13" s="4" t="s">
        <v>108</v>
      </c>
      <c r="I13" s="4" t="s">
        <v>109</v>
      </c>
      <c r="J13" s="4" t="s">
        <v>110</v>
      </c>
      <c r="K13" s="4" t="s">
        <v>111</v>
      </c>
      <c r="L13" s="4" t="s">
        <v>112</v>
      </c>
      <c r="M13" s="4" t="s">
        <v>113</v>
      </c>
      <c r="N13" s="4" t="s">
        <v>114</v>
      </c>
      <c r="O13" s="4" t="s">
        <v>115</v>
      </c>
      <c r="P13" s="34" t="s">
        <v>116</v>
      </c>
      <c r="Q13" s="4" t="s">
        <v>117</v>
      </c>
      <c r="R13" s="47"/>
      <c r="U13" s="45"/>
    </row>
    <row r="14" spans="2:24" ht="15" customHeight="1">
      <c r="B14" s="211"/>
      <c r="C14" s="5"/>
      <c r="D14" s="6"/>
      <c r="E14" s="6"/>
      <c r="F14" s="6"/>
      <c r="G14" s="6"/>
      <c r="H14" s="6"/>
      <c r="I14" s="6"/>
      <c r="J14" s="6"/>
      <c r="K14" s="9"/>
      <c r="L14" s="9"/>
      <c r="M14" s="6"/>
      <c r="N14" s="6"/>
      <c r="O14" s="6"/>
      <c r="P14" s="6"/>
      <c r="Q14" s="6"/>
      <c r="R14" s="6"/>
      <c r="X14" s="48"/>
    </row>
    <row r="15" spans="2:24" ht="15" customHeight="1">
      <c r="B15" s="211"/>
      <c r="C15" s="7" t="s">
        <v>118</v>
      </c>
      <c r="D15" s="8" t="s">
        <v>119</v>
      </c>
      <c r="E15" s="8" t="s">
        <v>120</v>
      </c>
      <c r="F15" s="8" t="s">
        <v>121</v>
      </c>
      <c r="G15" s="8" t="s">
        <v>122</v>
      </c>
      <c r="H15" s="8" t="s">
        <v>123</v>
      </c>
      <c r="I15" s="8" t="s">
        <v>124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35" t="s">
        <v>131</v>
      </c>
      <c r="Q15" s="8" t="s">
        <v>132</v>
      </c>
      <c r="R15" s="49" t="s">
        <v>74</v>
      </c>
      <c r="X15" s="48"/>
    </row>
    <row r="16" spans="2:24" ht="15.75" customHeight="1">
      <c r="B16" s="211"/>
      <c r="C16" s="9"/>
      <c r="D16" s="9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50"/>
      <c r="X16" s="48"/>
    </row>
    <row r="17" spans="2:28" ht="15.75" customHeight="1">
      <c r="B17" s="211"/>
      <c r="C17" s="10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36"/>
      <c r="Q17" s="36"/>
      <c r="R17" s="51"/>
      <c r="X17" s="48"/>
    </row>
    <row r="18" spans="2:28" ht="15.75" customHeight="1">
      <c r="B18" s="211"/>
      <c r="C18" s="12" t="s">
        <v>103</v>
      </c>
      <c r="D18" s="12" t="s">
        <v>104</v>
      </c>
      <c r="E18" s="12" t="s">
        <v>105</v>
      </c>
      <c r="F18" s="12" t="s">
        <v>133</v>
      </c>
      <c r="G18" s="12" t="s">
        <v>107</v>
      </c>
      <c r="H18" s="12" t="s">
        <v>108</v>
      </c>
      <c r="I18" s="12" t="s">
        <v>109</v>
      </c>
      <c r="J18" s="12" t="s">
        <v>110</v>
      </c>
      <c r="K18" s="12" t="s">
        <v>111</v>
      </c>
      <c r="L18" s="12" t="s">
        <v>112</v>
      </c>
      <c r="M18" s="12" t="s">
        <v>113</v>
      </c>
      <c r="N18" s="12" t="s">
        <v>114</v>
      </c>
      <c r="O18" s="12" t="s">
        <v>115</v>
      </c>
      <c r="P18" s="37" t="s">
        <v>116</v>
      </c>
      <c r="Q18" s="12" t="s">
        <v>117</v>
      </c>
      <c r="R18" s="51"/>
    </row>
    <row r="19" spans="2:28" ht="15.75">
      <c r="B19" s="13"/>
      <c r="C19" s="5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51"/>
    </row>
    <row r="20" spans="2:28" ht="15.75">
      <c r="B20" s="13"/>
      <c r="C20" s="12" t="s">
        <v>118</v>
      </c>
      <c r="D20" s="8" t="s">
        <v>119</v>
      </c>
      <c r="E20" s="8" t="s">
        <v>120</v>
      </c>
      <c r="F20" s="8" t="s">
        <v>121</v>
      </c>
      <c r="G20" s="8" t="s">
        <v>122</v>
      </c>
      <c r="H20" s="8" t="s">
        <v>123</v>
      </c>
      <c r="I20" s="8" t="s">
        <v>124</v>
      </c>
      <c r="J20" s="8" t="s">
        <v>125</v>
      </c>
      <c r="K20" s="8" t="s">
        <v>126</v>
      </c>
      <c r="L20" s="8" t="s">
        <v>127</v>
      </c>
      <c r="M20" s="8" t="s">
        <v>128</v>
      </c>
      <c r="N20" s="8" t="s">
        <v>129</v>
      </c>
      <c r="O20" s="8" t="s">
        <v>130</v>
      </c>
      <c r="P20" s="35" t="s">
        <v>131</v>
      </c>
      <c r="Q20" s="8" t="s">
        <v>132</v>
      </c>
      <c r="R20" s="52" t="s">
        <v>74</v>
      </c>
    </row>
    <row r="21" spans="2:28" ht="15.75">
      <c r="B21" s="14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53"/>
      <c r="R21" s="54"/>
      <c r="S21" s="55"/>
    </row>
    <row r="22" spans="2:28">
      <c r="J22" s="32"/>
    </row>
    <row r="23" spans="2:28" s="1" customFormat="1" ht="15.75" customHeight="1">
      <c r="B23" s="2"/>
      <c r="C23" s="2"/>
      <c r="D23" s="2"/>
      <c r="E23" s="2"/>
      <c r="F23" s="2"/>
      <c r="G23" s="2"/>
      <c r="H23" s="2"/>
      <c r="I23" s="2"/>
      <c r="J23" s="32"/>
      <c r="K23" s="2"/>
      <c r="L23" s="2"/>
      <c r="M23" s="2"/>
      <c r="N23" s="2"/>
      <c r="O23" s="2"/>
      <c r="P23" s="2"/>
      <c r="Q23" s="2"/>
      <c r="R23" s="2"/>
      <c r="Z23" s="2"/>
      <c r="AA23" s="2"/>
    </row>
    <row r="24" spans="2:28" ht="15" customHeight="1">
      <c r="J24" s="32"/>
    </row>
    <row r="25" spans="2:28" ht="15" customHeight="1">
      <c r="B25" s="212" t="s">
        <v>84</v>
      </c>
      <c r="C25" s="223" t="s">
        <v>102</v>
      </c>
      <c r="D25" s="224"/>
      <c r="E25" s="224"/>
      <c r="F25" s="224"/>
      <c r="G25" s="224"/>
      <c r="H25" s="224"/>
      <c r="I25" s="224"/>
      <c r="J25" s="224"/>
      <c r="K25" s="224"/>
      <c r="L25" s="224"/>
      <c r="M25" s="224"/>
      <c r="N25" s="224"/>
      <c r="O25" s="224"/>
      <c r="P25" s="224"/>
      <c r="Q25" s="224"/>
      <c r="R25" s="208"/>
      <c r="S25" s="56"/>
      <c r="T25" s="57"/>
    </row>
    <row r="26" spans="2:28" ht="15" customHeight="1">
      <c r="B26" s="212"/>
      <c r="C26" s="16" t="s">
        <v>103</v>
      </c>
      <c r="D26" s="17" t="s">
        <v>134</v>
      </c>
      <c r="E26" s="17" t="s">
        <v>135</v>
      </c>
      <c r="F26" s="17" t="s">
        <v>136</v>
      </c>
      <c r="G26" s="17" t="s">
        <v>137</v>
      </c>
      <c r="H26" s="17" t="s">
        <v>138</v>
      </c>
      <c r="I26" s="17" t="s">
        <v>139</v>
      </c>
      <c r="J26" s="17" t="s">
        <v>140</v>
      </c>
      <c r="K26" s="17" t="s">
        <v>141</v>
      </c>
      <c r="L26" s="17" t="s">
        <v>142</v>
      </c>
      <c r="M26" s="17" t="s">
        <v>143</v>
      </c>
      <c r="N26" s="17" t="s">
        <v>144</v>
      </c>
      <c r="O26" s="17" t="s">
        <v>145</v>
      </c>
      <c r="P26" s="17" t="s">
        <v>146</v>
      </c>
      <c r="Q26" s="17" t="s">
        <v>147</v>
      </c>
      <c r="R26" s="17" t="s">
        <v>148</v>
      </c>
      <c r="S26" s="17" t="s">
        <v>149</v>
      </c>
      <c r="T26" s="58" t="s">
        <v>74</v>
      </c>
      <c r="Z26" s="1"/>
      <c r="AA26" s="1"/>
      <c r="AB26" s="1"/>
    </row>
    <row r="27" spans="2:28" ht="15.75" customHeight="1">
      <c r="B27" s="212"/>
      <c r="C27" s="5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40"/>
    </row>
    <row r="28" spans="2:28" ht="15" customHeight="1">
      <c r="B28" s="212"/>
      <c r="C28" s="18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59"/>
      <c r="T28" s="59"/>
    </row>
    <row r="29" spans="2:28" ht="15.75" customHeight="1">
      <c r="B29" s="213"/>
      <c r="C29" s="20" t="s">
        <v>103</v>
      </c>
      <c r="D29" s="21" t="s">
        <v>134</v>
      </c>
      <c r="E29" s="21" t="s">
        <v>135</v>
      </c>
      <c r="F29" s="21" t="s">
        <v>136</v>
      </c>
      <c r="G29" s="21" t="s">
        <v>137</v>
      </c>
      <c r="H29" s="21" t="s">
        <v>138</v>
      </c>
      <c r="I29" s="21" t="s">
        <v>139</v>
      </c>
      <c r="J29" s="21" t="s">
        <v>140</v>
      </c>
      <c r="K29" s="21" t="s">
        <v>141</v>
      </c>
      <c r="L29" s="21" t="s">
        <v>142</v>
      </c>
      <c r="M29" s="21" t="s">
        <v>143</v>
      </c>
      <c r="N29" s="21" t="s">
        <v>144</v>
      </c>
      <c r="O29" s="21" t="s">
        <v>145</v>
      </c>
      <c r="P29" s="21" t="s">
        <v>146</v>
      </c>
      <c r="Q29" s="21" t="s">
        <v>147</v>
      </c>
      <c r="R29" s="21" t="s">
        <v>148</v>
      </c>
      <c r="S29" s="21" t="s">
        <v>149</v>
      </c>
      <c r="T29" s="60" t="s">
        <v>74</v>
      </c>
    </row>
    <row r="30" spans="2:28">
      <c r="B30" s="22"/>
      <c r="C30" s="5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40"/>
    </row>
    <row r="31" spans="2:28">
      <c r="C31" s="23"/>
    </row>
    <row r="32" spans="2:28">
      <c r="C32" s="23"/>
    </row>
    <row r="33" spans="2:25" ht="15" customHeight="1">
      <c r="C33" s="23"/>
    </row>
    <row r="34" spans="2:25" ht="15.75" customHeight="1"/>
    <row r="35" spans="2:25" ht="15" customHeight="1"/>
    <row r="36" spans="2:25" ht="15.75" customHeight="1">
      <c r="B36" s="214" t="s">
        <v>37</v>
      </c>
      <c r="C36" s="225" t="s">
        <v>102</v>
      </c>
      <c r="D36" s="225"/>
      <c r="E36" s="225"/>
      <c r="F36" s="225"/>
      <c r="G36" s="225"/>
      <c r="H36" s="225"/>
      <c r="I36" s="225"/>
      <c r="J36" s="225"/>
      <c r="K36" s="225"/>
      <c r="L36" s="225"/>
      <c r="M36" s="225"/>
      <c r="N36" s="225"/>
      <c r="O36" s="226"/>
    </row>
    <row r="37" spans="2:25" ht="15.75" customHeight="1">
      <c r="B37" s="215"/>
      <c r="C37" s="24" t="s">
        <v>103</v>
      </c>
      <c r="D37" s="12" t="s">
        <v>134</v>
      </c>
      <c r="E37" s="12" t="s">
        <v>135</v>
      </c>
      <c r="F37" s="12" t="s">
        <v>150</v>
      </c>
      <c r="G37" s="12" t="s">
        <v>151</v>
      </c>
      <c r="H37" s="12" t="s">
        <v>152</v>
      </c>
      <c r="I37" s="12" t="s">
        <v>153</v>
      </c>
      <c r="J37" s="12" t="s">
        <v>154</v>
      </c>
      <c r="K37" s="12" t="s">
        <v>155</v>
      </c>
      <c r="L37" s="12" t="s">
        <v>156</v>
      </c>
      <c r="M37" s="12" t="s">
        <v>157</v>
      </c>
      <c r="N37" s="12" t="s">
        <v>158</v>
      </c>
      <c r="O37" s="38" t="s">
        <v>159</v>
      </c>
    </row>
    <row r="38" spans="2:25">
      <c r="B38" s="215"/>
      <c r="C38" s="5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W38" s="1"/>
      <c r="X38" s="1"/>
      <c r="Y38" s="1"/>
    </row>
    <row r="39" spans="2:25" ht="15.75">
      <c r="B39" s="215"/>
      <c r="C39" s="24" t="s">
        <v>160</v>
      </c>
      <c r="D39" s="12" t="s">
        <v>161</v>
      </c>
      <c r="E39" s="12" t="s">
        <v>162</v>
      </c>
      <c r="F39" s="12" t="s">
        <v>163</v>
      </c>
      <c r="G39" s="8" t="s">
        <v>164</v>
      </c>
      <c r="H39" s="8" t="s">
        <v>165</v>
      </c>
      <c r="I39" s="8" t="s">
        <v>166</v>
      </c>
      <c r="J39" s="8" t="s">
        <v>167</v>
      </c>
      <c r="K39" s="8" t="s">
        <v>168</v>
      </c>
      <c r="L39" s="8" t="s">
        <v>169</v>
      </c>
      <c r="M39" s="8" t="s">
        <v>170</v>
      </c>
      <c r="N39" s="8" t="s">
        <v>171</v>
      </c>
      <c r="O39" s="39" t="s">
        <v>74</v>
      </c>
      <c r="W39" s="1"/>
      <c r="X39" s="1"/>
      <c r="Y39" s="1"/>
    </row>
    <row r="40" spans="2:25">
      <c r="B40" s="215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40"/>
      <c r="W40" s="1"/>
      <c r="X40" s="1"/>
      <c r="Y40" s="1"/>
    </row>
    <row r="41" spans="2:25">
      <c r="B41" s="25"/>
      <c r="C41" s="26"/>
      <c r="D41" s="11"/>
      <c r="E41" s="11"/>
      <c r="F41" s="11"/>
      <c r="G41" s="11"/>
      <c r="H41" s="11"/>
      <c r="I41" s="11"/>
      <c r="J41" s="41"/>
      <c r="K41" s="11"/>
      <c r="L41" s="11"/>
      <c r="M41" s="11"/>
      <c r="N41" s="11"/>
      <c r="O41" s="42"/>
    </row>
    <row r="42" spans="2:25" ht="15.75" customHeight="1">
      <c r="B42" s="25"/>
      <c r="C42" s="24" t="s">
        <v>103</v>
      </c>
      <c r="D42" s="12" t="s">
        <v>134</v>
      </c>
      <c r="E42" s="12" t="s">
        <v>135</v>
      </c>
      <c r="F42" s="12" t="s">
        <v>150</v>
      </c>
      <c r="G42" s="12" t="s">
        <v>151</v>
      </c>
      <c r="H42" s="12" t="s">
        <v>152</v>
      </c>
      <c r="I42" s="12" t="s">
        <v>153</v>
      </c>
      <c r="J42" s="12" t="s">
        <v>154</v>
      </c>
      <c r="K42" s="12" t="s">
        <v>155</v>
      </c>
      <c r="L42" s="12" t="s">
        <v>156</v>
      </c>
      <c r="M42" s="12" t="s">
        <v>157</v>
      </c>
      <c r="N42" s="12" t="s">
        <v>158</v>
      </c>
      <c r="O42" s="38" t="s">
        <v>159</v>
      </c>
    </row>
    <row r="43" spans="2:25" ht="15" customHeight="1">
      <c r="B43" s="25"/>
      <c r="C43" s="5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</row>
    <row r="44" spans="2:25" ht="15" customHeight="1">
      <c r="B44" s="25"/>
      <c r="C44" s="24" t="s">
        <v>160</v>
      </c>
      <c r="D44" s="12" t="s">
        <v>161</v>
      </c>
      <c r="E44" s="12" t="s">
        <v>162</v>
      </c>
      <c r="F44" s="12" t="s">
        <v>163</v>
      </c>
      <c r="G44" s="8" t="s">
        <v>164</v>
      </c>
      <c r="H44" s="8" t="s">
        <v>165</v>
      </c>
      <c r="I44" s="8" t="s">
        <v>166</v>
      </c>
      <c r="J44" s="8" t="s">
        <v>167</v>
      </c>
      <c r="K44" s="8" t="s">
        <v>168</v>
      </c>
      <c r="L44" s="8" t="s">
        <v>169</v>
      </c>
      <c r="M44" s="8" t="s">
        <v>170</v>
      </c>
      <c r="N44" s="8" t="s">
        <v>171</v>
      </c>
      <c r="O44" s="39" t="s">
        <v>74</v>
      </c>
      <c r="R44" s="61"/>
    </row>
    <row r="45" spans="2:25" ht="15" customHeight="1">
      <c r="B45" s="2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43"/>
      <c r="R45" s="62"/>
    </row>
    <row r="46" spans="2:25" ht="15.75" customHeight="1">
      <c r="J46" s="44"/>
      <c r="R46" s="63"/>
      <c r="Y46" s="1"/>
    </row>
    <row r="47" spans="2:25" ht="15.75">
      <c r="J47" s="44"/>
      <c r="R47" s="62"/>
    </row>
    <row r="48" spans="2:25">
      <c r="B48" s="216" t="s">
        <v>62</v>
      </c>
      <c r="C48" s="28" t="s">
        <v>102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64"/>
      <c r="R48" s="63"/>
    </row>
    <row r="49" spans="2:20">
      <c r="B49" s="217"/>
      <c r="C49" s="24" t="s">
        <v>103</v>
      </c>
      <c r="D49" s="12" t="s">
        <v>125</v>
      </c>
      <c r="E49" s="12" t="s">
        <v>172</v>
      </c>
      <c r="F49" s="12" t="s">
        <v>173</v>
      </c>
      <c r="G49" s="12" t="s">
        <v>174</v>
      </c>
      <c r="H49" s="12" t="s">
        <v>175</v>
      </c>
      <c r="I49" s="12" t="s">
        <v>176</v>
      </c>
      <c r="J49" s="12" t="s">
        <v>110</v>
      </c>
      <c r="K49" s="12" t="s">
        <v>177</v>
      </c>
      <c r="L49" s="12" t="s">
        <v>178</v>
      </c>
      <c r="M49" s="12" t="s">
        <v>179</v>
      </c>
      <c r="N49" s="12" t="s">
        <v>180</v>
      </c>
      <c r="O49" s="12" t="s">
        <v>181</v>
      </c>
      <c r="P49" s="12" t="s">
        <v>182</v>
      </c>
      <c r="Q49" s="38" t="s">
        <v>183</v>
      </c>
    </row>
    <row r="50" spans="2:20">
      <c r="B50" s="217"/>
      <c r="C50" s="5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20" ht="15.75">
      <c r="B51" s="217"/>
      <c r="C51" s="24" t="s">
        <v>184</v>
      </c>
      <c r="D51" s="12" t="s">
        <v>185</v>
      </c>
      <c r="E51" s="12" t="s">
        <v>186</v>
      </c>
      <c r="F51" s="12" t="s">
        <v>187</v>
      </c>
      <c r="G51" s="12" t="s">
        <v>188</v>
      </c>
      <c r="H51" s="12" t="s">
        <v>189</v>
      </c>
      <c r="I51" s="8" t="s">
        <v>190</v>
      </c>
      <c r="J51" s="8" t="s">
        <v>191</v>
      </c>
      <c r="K51" s="8" t="s">
        <v>192</v>
      </c>
      <c r="L51" s="8" t="s">
        <v>135</v>
      </c>
      <c r="M51" s="8" t="s">
        <v>193</v>
      </c>
      <c r="N51" s="8" t="s">
        <v>131</v>
      </c>
      <c r="O51" s="8" t="s">
        <v>194</v>
      </c>
      <c r="P51" s="8" t="s">
        <v>195</v>
      </c>
      <c r="Q51" s="39" t="s">
        <v>74</v>
      </c>
    </row>
    <row r="52" spans="2:20" ht="15.75">
      <c r="B52" s="21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43"/>
    </row>
    <row r="53" spans="2:20">
      <c r="B53" s="25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42"/>
    </row>
    <row r="54" spans="2:20">
      <c r="B54" s="25"/>
      <c r="C54" s="24" t="s">
        <v>103</v>
      </c>
      <c r="D54" s="12" t="s">
        <v>125</v>
      </c>
      <c r="E54" s="12" t="s">
        <v>172</v>
      </c>
      <c r="F54" s="12" t="s">
        <v>173</v>
      </c>
      <c r="G54" s="12" t="s">
        <v>174</v>
      </c>
      <c r="H54" s="12" t="s">
        <v>175</v>
      </c>
      <c r="I54" s="12" t="s">
        <v>176</v>
      </c>
      <c r="J54" s="12" t="s">
        <v>110</v>
      </c>
      <c r="K54" s="12" t="s">
        <v>177</v>
      </c>
      <c r="L54" s="12" t="s">
        <v>178</v>
      </c>
      <c r="M54" s="12" t="s">
        <v>179</v>
      </c>
      <c r="N54" s="12" t="s">
        <v>180</v>
      </c>
      <c r="O54" s="12" t="s">
        <v>181</v>
      </c>
      <c r="P54" s="12" t="s">
        <v>182</v>
      </c>
      <c r="Q54" s="38" t="s">
        <v>183</v>
      </c>
    </row>
    <row r="55" spans="2:20">
      <c r="B55" s="25"/>
      <c r="C55" s="5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20" ht="15.75">
      <c r="B56" s="25"/>
      <c r="C56" s="24" t="s">
        <v>184</v>
      </c>
      <c r="D56" s="12" t="s">
        <v>185</v>
      </c>
      <c r="E56" s="12" t="s">
        <v>186</v>
      </c>
      <c r="F56" s="12" t="s">
        <v>187</v>
      </c>
      <c r="G56" s="12" t="s">
        <v>188</v>
      </c>
      <c r="H56" s="12" t="s">
        <v>189</v>
      </c>
      <c r="I56" s="8" t="s">
        <v>190</v>
      </c>
      <c r="J56" s="8" t="s">
        <v>191</v>
      </c>
      <c r="K56" s="8" t="s">
        <v>192</v>
      </c>
      <c r="L56" s="8" t="s">
        <v>135</v>
      </c>
      <c r="M56" s="8" t="s">
        <v>193</v>
      </c>
      <c r="N56" s="8" t="s">
        <v>131</v>
      </c>
      <c r="O56" s="8" t="s">
        <v>194</v>
      </c>
      <c r="P56" s="8" t="s">
        <v>195</v>
      </c>
      <c r="Q56" s="39" t="s">
        <v>74</v>
      </c>
    </row>
    <row r="57" spans="2:20" ht="15.75">
      <c r="B57" s="14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43"/>
    </row>
    <row r="61" spans="2:20">
      <c r="B61" s="212" t="s">
        <v>196</v>
      </c>
      <c r="C61" s="223" t="s">
        <v>102</v>
      </c>
      <c r="D61" s="224"/>
      <c r="E61" s="224"/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/>
      <c r="R61" s="208"/>
      <c r="S61" s="65"/>
      <c r="T61" s="66"/>
    </row>
    <row r="62" spans="2:20" ht="15.75">
      <c r="B62" s="212"/>
      <c r="C62" s="30" t="s">
        <v>103</v>
      </c>
      <c r="D62" s="30" t="s">
        <v>197</v>
      </c>
      <c r="E62" s="30" t="s">
        <v>198</v>
      </c>
      <c r="F62" s="30" t="s">
        <v>199</v>
      </c>
      <c r="G62" s="30" t="s">
        <v>200</v>
      </c>
      <c r="H62" s="30" t="s">
        <v>201</v>
      </c>
      <c r="I62" s="30" t="s">
        <v>202</v>
      </c>
      <c r="J62" s="30" t="s">
        <v>203</v>
      </c>
      <c r="K62" s="30" t="s">
        <v>204</v>
      </c>
      <c r="L62" s="30" t="s">
        <v>205</v>
      </c>
      <c r="M62" s="30" t="s">
        <v>206</v>
      </c>
      <c r="N62" s="30" t="s">
        <v>207</v>
      </c>
      <c r="O62" s="30" t="s">
        <v>208</v>
      </c>
      <c r="P62" s="30" t="s">
        <v>209</v>
      </c>
      <c r="Q62" s="30" t="s">
        <v>210</v>
      </c>
      <c r="R62" s="30" t="s">
        <v>211</v>
      </c>
      <c r="S62" s="67" t="s">
        <v>212</v>
      </c>
      <c r="T62" s="58" t="s">
        <v>74</v>
      </c>
    </row>
    <row r="63" spans="2:20" ht="15.75">
      <c r="B63" s="218"/>
      <c r="C63" s="5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43"/>
    </row>
    <row r="64" spans="2:20">
      <c r="B64" s="218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68"/>
      <c r="T64" s="68"/>
    </row>
    <row r="65" spans="2:20" ht="15.75">
      <c r="B65" s="213"/>
      <c r="C65" s="69" t="s">
        <v>103</v>
      </c>
      <c r="D65" s="69" t="s">
        <v>197</v>
      </c>
      <c r="E65" s="69" t="s">
        <v>198</v>
      </c>
      <c r="F65" s="69" t="s">
        <v>199</v>
      </c>
      <c r="G65" s="69" t="s">
        <v>200</v>
      </c>
      <c r="H65" s="69" t="s">
        <v>201</v>
      </c>
      <c r="I65" s="69" t="s">
        <v>202</v>
      </c>
      <c r="J65" s="69" t="s">
        <v>203</v>
      </c>
      <c r="K65" s="69" t="s">
        <v>204</v>
      </c>
      <c r="L65" s="69" t="s">
        <v>205</v>
      </c>
      <c r="M65" s="69" t="s">
        <v>206</v>
      </c>
      <c r="N65" s="69" t="s">
        <v>207</v>
      </c>
      <c r="O65" s="69" t="s">
        <v>208</v>
      </c>
      <c r="P65" s="69" t="s">
        <v>209</v>
      </c>
      <c r="Q65" s="69" t="s">
        <v>210</v>
      </c>
      <c r="R65" s="69" t="s">
        <v>211</v>
      </c>
      <c r="S65" s="75" t="s">
        <v>212</v>
      </c>
      <c r="T65" s="60" t="s">
        <v>74</v>
      </c>
    </row>
    <row r="66" spans="2:20" ht="15.75">
      <c r="B66" s="22"/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43"/>
    </row>
    <row r="69" spans="2:20">
      <c r="B69" s="212" t="s">
        <v>213</v>
      </c>
      <c r="C69" s="223" t="s">
        <v>102</v>
      </c>
      <c r="D69" s="224"/>
      <c r="E69" s="224"/>
      <c r="F69" s="224"/>
      <c r="G69" s="224"/>
      <c r="H69" s="224"/>
      <c r="I69" s="224"/>
      <c r="J69" s="224"/>
      <c r="K69" s="224"/>
      <c r="L69" s="224"/>
      <c r="M69" s="224"/>
      <c r="N69" s="224"/>
      <c r="O69" s="224"/>
      <c r="P69" s="224"/>
      <c r="Q69" s="224"/>
      <c r="R69" s="208"/>
      <c r="S69" s="65"/>
      <c r="T69" s="66"/>
    </row>
    <row r="70" spans="2:20" ht="15.75">
      <c r="B70" s="212"/>
      <c r="C70" s="69" t="s">
        <v>103</v>
      </c>
      <c r="D70" s="69" t="s">
        <v>197</v>
      </c>
      <c r="E70" s="69" t="s">
        <v>198</v>
      </c>
      <c r="F70" s="69" t="s">
        <v>199</v>
      </c>
      <c r="G70" s="69" t="s">
        <v>200</v>
      </c>
      <c r="H70" s="69" t="s">
        <v>201</v>
      </c>
      <c r="I70" s="69" t="s">
        <v>202</v>
      </c>
      <c r="J70" s="69" t="s">
        <v>203</v>
      </c>
      <c r="K70" s="69" t="s">
        <v>204</v>
      </c>
      <c r="L70" s="69" t="s">
        <v>205</v>
      </c>
      <c r="M70" s="69" t="s">
        <v>206</v>
      </c>
      <c r="N70" s="69" t="s">
        <v>207</v>
      </c>
      <c r="O70" s="69" t="s">
        <v>208</v>
      </c>
      <c r="P70" s="69" t="s">
        <v>209</v>
      </c>
      <c r="Q70" s="69" t="s">
        <v>210</v>
      </c>
      <c r="R70" s="69" t="s">
        <v>211</v>
      </c>
      <c r="S70" s="75" t="s">
        <v>212</v>
      </c>
      <c r="T70" s="60" t="s">
        <v>74</v>
      </c>
    </row>
    <row r="71" spans="2:20" ht="15.75">
      <c r="B71" s="212"/>
      <c r="C71" s="5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43"/>
    </row>
    <row r="72" spans="2:20">
      <c r="B72" s="218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68"/>
      <c r="T72" s="68"/>
    </row>
    <row r="73" spans="2:20" ht="15.75">
      <c r="B73" s="213"/>
      <c r="C73" s="69" t="s">
        <v>103</v>
      </c>
      <c r="D73" s="69" t="s">
        <v>197</v>
      </c>
      <c r="E73" s="69" t="s">
        <v>198</v>
      </c>
      <c r="F73" s="69" t="s">
        <v>199</v>
      </c>
      <c r="G73" s="69" t="s">
        <v>200</v>
      </c>
      <c r="H73" s="69" t="s">
        <v>201</v>
      </c>
      <c r="I73" s="69" t="s">
        <v>202</v>
      </c>
      <c r="J73" s="69" t="s">
        <v>203</v>
      </c>
      <c r="K73" s="69" t="s">
        <v>204</v>
      </c>
      <c r="L73" s="69" t="s">
        <v>205</v>
      </c>
      <c r="M73" s="69" t="s">
        <v>206</v>
      </c>
      <c r="N73" s="69" t="s">
        <v>207</v>
      </c>
      <c r="O73" s="69" t="s">
        <v>208</v>
      </c>
      <c r="P73" s="69" t="s">
        <v>209</v>
      </c>
      <c r="Q73" s="69" t="s">
        <v>210</v>
      </c>
      <c r="R73" s="69" t="s">
        <v>211</v>
      </c>
      <c r="S73" s="75" t="s">
        <v>212</v>
      </c>
      <c r="T73" s="60" t="s">
        <v>74</v>
      </c>
    </row>
    <row r="74" spans="2:20" ht="15.75">
      <c r="B74" s="22"/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43"/>
    </row>
    <row r="77" spans="2:20">
      <c r="B77" s="219" t="s">
        <v>91</v>
      </c>
      <c r="C77" s="208" t="s">
        <v>102</v>
      </c>
      <c r="D77" s="209"/>
      <c r="E77" s="209"/>
      <c r="F77" s="209"/>
      <c r="G77" s="209"/>
      <c r="H77" s="209"/>
      <c r="I77" s="209"/>
      <c r="J77" s="209"/>
      <c r="K77" s="209"/>
      <c r="L77" s="209"/>
      <c r="M77" s="209"/>
      <c r="N77" s="209"/>
      <c r="O77" s="209"/>
      <c r="P77" s="209"/>
      <c r="Q77" s="209"/>
      <c r="R77" s="70"/>
      <c r="S77" s="70"/>
      <c r="T77" s="15"/>
    </row>
    <row r="78" spans="2:20">
      <c r="B78" s="220"/>
      <c r="C78" s="17" t="s">
        <v>103</v>
      </c>
      <c r="D78" s="17" t="s">
        <v>214</v>
      </c>
      <c r="E78" s="17" t="s">
        <v>215</v>
      </c>
      <c r="F78" s="17" t="s">
        <v>216</v>
      </c>
      <c r="G78" s="17" t="s">
        <v>217</v>
      </c>
      <c r="H78" s="71" t="s">
        <v>218</v>
      </c>
      <c r="I78" s="71" t="s">
        <v>219</v>
      </c>
      <c r="J78" s="71" t="s">
        <v>220</v>
      </c>
      <c r="K78" s="71" t="s">
        <v>221</v>
      </c>
      <c r="L78" s="71" t="s">
        <v>134</v>
      </c>
      <c r="M78" s="17" t="s">
        <v>222</v>
      </c>
      <c r="N78" s="71" t="s">
        <v>223</v>
      </c>
      <c r="O78" s="71" t="s">
        <v>215</v>
      </c>
      <c r="P78" s="71" t="s">
        <v>224</v>
      </c>
      <c r="Q78" s="71" t="s">
        <v>225</v>
      </c>
      <c r="R78" s="71" t="s">
        <v>215</v>
      </c>
      <c r="S78" s="71" t="s">
        <v>226</v>
      </c>
      <c r="T78" s="69" t="s">
        <v>215</v>
      </c>
    </row>
    <row r="79" spans="2:20">
      <c r="B79" s="220"/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2:20" ht="15.75">
      <c r="B80" s="220"/>
      <c r="C80" s="69" t="s">
        <v>227</v>
      </c>
      <c r="D80" s="69" t="s">
        <v>228</v>
      </c>
      <c r="E80" s="69" t="s">
        <v>229</v>
      </c>
      <c r="F80" s="69" t="s">
        <v>215</v>
      </c>
      <c r="G80" s="69" t="s">
        <v>224</v>
      </c>
      <c r="H80" s="69" t="s">
        <v>230</v>
      </c>
      <c r="I80" s="69" t="s">
        <v>215</v>
      </c>
      <c r="J80" s="69" t="s">
        <v>231</v>
      </c>
      <c r="K80" s="69" t="s">
        <v>232</v>
      </c>
      <c r="L80" s="69" t="s">
        <v>233</v>
      </c>
      <c r="M80" s="69" t="s">
        <v>215</v>
      </c>
      <c r="N80" s="69" t="s">
        <v>234</v>
      </c>
      <c r="O80" s="75" t="s">
        <v>215</v>
      </c>
      <c r="P80" s="75" t="s">
        <v>235</v>
      </c>
      <c r="Q80" s="75" t="s">
        <v>215</v>
      </c>
      <c r="R80" s="75" t="s">
        <v>236</v>
      </c>
      <c r="S80" s="75" t="s">
        <v>215</v>
      </c>
      <c r="T80" s="60" t="s">
        <v>74</v>
      </c>
    </row>
    <row r="81" spans="2:20" ht="15.75">
      <c r="B81" s="220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43" t="s">
        <v>237</v>
      </c>
    </row>
    <row r="82" spans="2:20">
      <c r="B82" s="220"/>
      <c r="C82" s="72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31"/>
      <c r="Q82" s="31"/>
      <c r="R82" s="76"/>
      <c r="S82" s="68"/>
      <c r="T82" s="77"/>
    </row>
    <row r="83" spans="2:20">
      <c r="B83" s="220"/>
      <c r="C83" s="21" t="s">
        <v>103</v>
      </c>
      <c r="D83" s="21" t="s">
        <v>214</v>
      </c>
      <c r="E83" s="21" t="s">
        <v>215</v>
      </c>
      <c r="F83" s="21" t="s">
        <v>216</v>
      </c>
      <c r="G83" s="21" t="s">
        <v>217</v>
      </c>
      <c r="H83" s="69" t="s">
        <v>218</v>
      </c>
      <c r="I83" s="69" t="s">
        <v>219</v>
      </c>
      <c r="J83" s="69" t="s">
        <v>220</v>
      </c>
      <c r="K83" s="69" t="s">
        <v>221</v>
      </c>
      <c r="L83" s="69" t="s">
        <v>134</v>
      </c>
      <c r="M83" s="21" t="s">
        <v>222</v>
      </c>
      <c r="N83" s="69" t="s">
        <v>223</v>
      </c>
      <c r="O83" s="69" t="s">
        <v>215</v>
      </c>
      <c r="P83" s="69" t="s">
        <v>224</v>
      </c>
      <c r="Q83" s="69" t="s">
        <v>225</v>
      </c>
      <c r="R83" s="69" t="s">
        <v>215</v>
      </c>
      <c r="S83" s="69" t="s">
        <v>226</v>
      </c>
      <c r="T83" s="69" t="s">
        <v>215</v>
      </c>
    </row>
    <row r="84" spans="2:20">
      <c r="B84" s="73"/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</row>
    <row r="85" spans="2:20" ht="15.75">
      <c r="B85" s="73"/>
      <c r="C85" s="69" t="s">
        <v>227</v>
      </c>
      <c r="D85" s="69" t="s">
        <v>228</v>
      </c>
      <c r="E85" s="69" t="s">
        <v>229</v>
      </c>
      <c r="F85" s="69" t="s">
        <v>215</v>
      </c>
      <c r="G85" s="69" t="s">
        <v>224</v>
      </c>
      <c r="H85" s="69" t="s">
        <v>230</v>
      </c>
      <c r="I85" s="69" t="s">
        <v>215</v>
      </c>
      <c r="J85" s="69" t="s">
        <v>231</v>
      </c>
      <c r="K85" s="69" t="s">
        <v>232</v>
      </c>
      <c r="L85" s="69" t="s">
        <v>233</v>
      </c>
      <c r="M85" s="69" t="s">
        <v>215</v>
      </c>
      <c r="N85" s="69" t="s">
        <v>234</v>
      </c>
      <c r="O85" s="75" t="s">
        <v>215</v>
      </c>
      <c r="P85" s="75" t="s">
        <v>235</v>
      </c>
      <c r="Q85" s="75" t="s">
        <v>215</v>
      </c>
      <c r="R85" s="75" t="s">
        <v>236</v>
      </c>
      <c r="S85" s="75" t="s">
        <v>215</v>
      </c>
      <c r="T85" s="58" t="s">
        <v>74</v>
      </c>
    </row>
    <row r="86" spans="2:20" ht="15.75">
      <c r="B86" s="74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43"/>
    </row>
  </sheetData>
  <mergeCells count="15">
    <mergeCell ref="B2:E3"/>
    <mergeCell ref="F2:H3"/>
    <mergeCell ref="C77:Q77"/>
    <mergeCell ref="B12:B18"/>
    <mergeCell ref="B25:B29"/>
    <mergeCell ref="B36:B40"/>
    <mergeCell ref="B48:B52"/>
    <mergeCell ref="B61:B65"/>
    <mergeCell ref="B69:B73"/>
    <mergeCell ref="B77:B83"/>
    <mergeCell ref="C12:Q12"/>
    <mergeCell ref="C25:R25"/>
    <mergeCell ref="C36:O36"/>
    <mergeCell ref="C61:R61"/>
    <mergeCell ref="C69:R69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34</vt:i4>
      </vt:variant>
    </vt:vector>
  </HeadingPairs>
  <TitlesOfParts>
    <vt:vector size="34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MONTHLY 30</vt:lpstr>
      <vt:lpstr>CALIBRATION REPORT</vt:lpstr>
      <vt:lpstr>POWER OFF</vt:lpstr>
      <vt:lpstr>MUX SIGNALS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2018-05-18T12:00:00Z</cp:lastPrinted>
  <dcterms:created xsi:type="dcterms:W3CDTF">2013-08-23T16:44:00Z</dcterms:created>
  <dcterms:modified xsi:type="dcterms:W3CDTF">2024-12-03T14:50:32Z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29B6B2F9E06F44349954069453EA1FDF</vt:lpwstr>
  </property>
  <property fmtid="{D5CDD505-2E9C-101B-9397-08002B2CF9AE}" pid="3" name="KSOProductBuildVer">
    <vt:lpwstr>1033-11.2.0.11219</vt:lpwstr>
  </property>
</Properties>
</file>