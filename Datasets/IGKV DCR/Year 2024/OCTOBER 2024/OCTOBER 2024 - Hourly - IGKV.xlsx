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9815" windowHeight="7815" tabRatio="913" activeTab="28"/>
  </bookViews>
  <sheets>
    <sheet name="01" sheetId="2" r:id="rId1"/>
    <sheet name="02" sheetId="3" r:id="rId2"/>
    <sheet name="03" sheetId="8" r:id="rId3"/>
    <sheet name="04" sheetId="9" r:id="rId4"/>
    <sheet name="05" sheetId="10" r:id="rId5"/>
    <sheet name="06" sheetId="11" r:id="rId6"/>
    <sheet name="07" sheetId="12" r:id="rId7"/>
    <sheet name="08" sheetId="13" r:id="rId8"/>
    <sheet name="09" sheetId="14" r:id="rId9"/>
    <sheet name="10" sheetId="15" r:id="rId10"/>
    <sheet name="11" sheetId="16" r:id="rId11"/>
    <sheet name="12" sheetId="17" r:id="rId12"/>
    <sheet name="13" sheetId="18" r:id="rId13"/>
    <sheet name="14" sheetId="19" r:id="rId14"/>
    <sheet name="15" sheetId="20" r:id="rId15"/>
    <sheet name="16" sheetId="21" r:id="rId16"/>
    <sheet name="17" sheetId="22" r:id="rId17"/>
    <sheet name="18" sheetId="23" r:id="rId18"/>
    <sheet name="19" sheetId="24" r:id="rId19"/>
    <sheet name="20" sheetId="25" r:id="rId20"/>
    <sheet name="21" sheetId="26" r:id="rId21"/>
    <sheet name="22" sheetId="27" r:id="rId22"/>
    <sheet name="23" sheetId="28" r:id="rId23"/>
    <sheet name="24" sheetId="29" r:id="rId24"/>
    <sheet name="25" sheetId="30" r:id="rId25"/>
    <sheet name="26" sheetId="31" r:id="rId26"/>
    <sheet name="27" sheetId="32" r:id="rId27"/>
    <sheet name="28" sheetId="33" r:id="rId28"/>
    <sheet name="29" sheetId="43" r:id="rId29"/>
    <sheet name="30" sheetId="40" r:id="rId30"/>
    <sheet name="31" sheetId="41" r:id="rId31"/>
    <sheet name="MONTHLY 31" sheetId="39" r:id="rId32"/>
  </sheets>
  <calcPr calcId="124519"/>
</workbook>
</file>

<file path=xl/calcChain.xml><?xml version="1.0" encoding="utf-8"?>
<calcChain xmlns="http://schemas.openxmlformats.org/spreadsheetml/2006/main">
  <c r="E39" i="39"/>
  <c r="G39"/>
  <c r="M39"/>
  <c r="O39"/>
  <c r="O38"/>
  <c r="L38"/>
  <c r="G38"/>
  <c r="D38"/>
  <c r="Q37"/>
  <c r="P37"/>
  <c r="O37"/>
  <c r="Q36"/>
  <c r="O36"/>
  <c r="G36"/>
  <c r="Q34"/>
  <c r="P34"/>
  <c r="O34"/>
  <c r="H34"/>
  <c r="G34"/>
  <c r="P33"/>
  <c r="O33"/>
  <c r="L33"/>
  <c r="H33"/>
  <c r="G33"/>
  <c r="O32"/>
  <c r="N32"/>
  <c r="G32"/>
  <c r="F32"/>
  <c r="P31"/>
  <c r="L31"/>
  <c r="H31"/>
  <c r="D31"/>
  <c r="I29"/>
  <c r="G29"/>
  <c r="F29"/>
  <c r="E29"/>
  <c r="C29"/>
  <c r="B29"/>
  <c r="N28"/>
  <c r="L28"/>
  <c r="K28"/>
  <c r="J28"/>
  <c r="B28"/>
  <c r="K27"/>
  <c r="J27"/>
  <c r="D27"/>
  <c r="C27"/>
  <c r="B27"/>
  <c r="N26"/>
  <c r="K26"/>
  <c r="J26"/>
  <c r="D26"/>
  <c r="C26"/>
  <c r="B26"/>
  <c r="M24"/>
  <c r="C24"/>
  <c r="B24"/>
  <c r="P23"/>
  <c r="N23"/>
  <c r="K23"/>
  <c r="J23"/>
  <c r="D23"/>
  <c r="O22"/>
  <c r="D22"/>
  <c r="L21"/>
  <c r="K21"/>
  <c r="E21"/>
  <c r="M20"/>
  <c r="M18"/>
  <c r="L18"/>
  <c r="K18"/>
  <c r="J18"/>
  <c r="M17"/>
  <c r="K17"/>
  <c r="C17"/>
  <c r="M16"/>
  <c r="O15"/>
  <c r="K15"/>
  <c r="E15"/>
  <c r="D15"/>
  <c r="C15"/>
  <c r="M13"/>
  <c r="L13"/>
  <c r="K13"/>
  <c r="M10"/>
  <c r="L10"/>
  <c r="Q38" i="41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39" i="39" s="1"/>
  <c r="P36" i="41"/>
  <c r="P39" i="39" s="1"/>
  <c r="O36" i="41"/>
  <c r="N36"/>
  <c r="N39" i="39" s="1"/>
  <c r="M36" i="41"/>
  <c r="L36"/>
  <c r="L39" i="39" s="1"/>
  <c r="K36" i="41"/>
  <c r="K39" i="39" s="1"/>
  <c r="J36" i="41"/>
  <c r="J39" i="39" s="1"/>
  <c r="I36" i="41"/>
  <c r="I39" i="39" s="1"/>
  <c r="H36" i="41"/>
  <c r="H39" i="39" s="1"/>
  <c r="G36" i="41"/>
  <c r="F36"/>
  <c r="F39" i="39" s="1"/>
  <c r="E36" i="41"/>
  <c r="D36"/>
  <c r="D39" i="39" s="1"/>
  <c r="C36" i="41"/>
  <c r="C39" i="39" s="1"/>
  <c r="B36" i="41"/>
  <c r="B39" i="39" s="1"/>
  <c r="Q35" i="41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39" i="39" s="1"/>
  <c r="Q38" i="40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38" i="39" s="1"/>
  <c r="P36" i="40"/>
  <c r="P38" i="39" s="1"/>
  <c r="O36" i="40"/>
  <c r="N36"/>
  <c r="N38" i="39" s="1"/>
  <c r="M36" i="40"/>
  <c r="M38" i="39" s="1"/>
  <c r="L36" i="40"/>
  <c r="K36"/>
  <c r="K38" i="39" s="1"/>
  <c r="J36" i="40"/>
  <c r="J38" i="39" s="1"/>
  <c r="I36" i="40"/>
  <c r="I38" i="39" s="1"/>
  <c r="H36" i="40"/>
  <c r="H38" i="39" s="1"/>
  <c r="G36" i="40"/>
  <c r="F36"/>
  <c r="F38" i="39" s="1"/>
  <c r="E36" i="40"/>
  <c r="E38" i="39" s="1"/>
  <c r="D36" i="40"/>
  <c r="C36"/>
  <c r="C38" i="39" s="1"/>
  <c r="B36" i="40"/>
  <c r="B38" i="39" s="1"/>
  <c r="Q35" i="40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38" i="39" s="1"/>
  <c r="Q38" i="43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40"/>
  <c r="G40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P36"/>
  <c r="O36"/>
  <c r="N36"/>
  <c r="N37" i="39" s="1"/>
  <c r="M36" i="43"/>
  <c r="M37" i="39" s="1"/>
  <c r="L36" i="43"/>
  <c r="L37" i="39" s="1"/>
  <c r="K36" i="43"/>
  <c r="K37" i="39" s="1"/>
  <c r="J36" i="43"/>
  <c r="J37" i="39" s="1"/>
  <c r="I36" i="43"/>
  <c r="I37" i="39" s="1"/>
  <c r="H36" i="43"/>
  <c r="H37" i="39" s="1"/>
  <c r="G36" i="43"/>
  <c r="G37" i="39" s="1"/>
  <c r="F36" i="43"/>
  <c r="F37" i="39" s="1"/>
  <c r="E36" i="43"/>
  <c r="E37" i="39" s="1"/>
  <c r="D36" i="43"/>
  <c r="D37" i="39" s="1"/>
  <c r="C36" i="43"/>
  <c r="C37" i="39" s="1"/>
  <c r="B36" i="43"/>
  <c r="B37" i="39" s="1"/>
  <c r="Q35" i="43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37" i="39" s="1"/>
  <c r="Q38" i="33"/>
  <c r="Q40" s="1"/>
  <c r="P38"/>
  <c r="P39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P36"/>
  <c r="P36" i="39" s="1"/>
  <c r="O36" i="33"/>
  <c r="N36"/>
  <c r="N36" i="39" s="1"/>
  <c r="M36" i="33"/>
  <c r="M36" i="39" s="1"/>
  <c r="L36" i="33"/>
  <c r="L36" i="39" s="1"/>
  <c r="K36" i="33"/>
  <c r="K36" i="39" s="1"/>
  <c r="J36" i="33"/>
  <c r="J36" i="39" s="1"/>
  <c r="I36" i="33"/>
  <c r="I36" i="39" s="1"/>
  <c r="H36" i="33"/>
  <c r="H36" i="39" s="1"/>
  <c r="G36" i="33"/>
  <c r="F36"/>
  <c r="F36" i="39" s="1"/>
  <c r="E36" i="33"/>
  <c r="E36" i="39" s="1"/>
  <c r="D36" i="33"/>
  <c r="D36" i="39" s="1"/>
  <c r="C36" i="33"/>
  <c r="C36" i="39" s="1"/>
  <c r="B36" i="33"/>
  <c r="B36" i="39" s="1"/>
  <c r="Q35" i="33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36" i="39" s="1"/>
  <c r="Q38" i="32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35" i="39" s="1"/>
  <c r="P36" i="32"/>
  <c r="P35" i="39" s="1"/>
  <c r="O36" i="32"/>
  <c r="O35" i="39" s="1"/>
  <c r="N36" i="32"/>
  <c r="N35" i="39" s="1"/>
  <c r="M36" i="32"/>
  <c r="M35" i="39" s="1"/>
  <c r="L36" i="32"/>
  <c r="L35" i="39" s="1"/>
  <c r="K36" i="32"/>
  <c r="K35" i="39" s="1"/>
  <c r="J36" i="32"/>
  <c r="J35" i="39" s="1"/>
  <c r="I36" i="32"/>
  <c r="I35" i="39" s="1"/>
  <c r="H36" i="32"/>
  <c r="H35" i="39" s="1"/>
  <c r="G36" i="32"/>
  <c r="G35" i="39" s="1"/>
  <c r="F36" i="32"/>
  <c r="F35" i="39" s="1"/>
  <c r="E36" i="32"/>
  <c r="E35" i="39" s="1"/>
  <c r="D36" i="32"/>
  <c r="D35" i="39" s="1"/>
  <c r="C36" i="32"/>
  <c r="C35" i="39" s="1"/>
  <c r="B36" i="32"/>
  <c r="B35" i="39" s="1"/>
  <c r="Q35" i="32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35" i="39" s="1"/>
  <c r="Q38" i="31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P36"/>
  <c r="O36"/>
  <c r="N36"/>
  <c r="N34" i="39" s="1"/>
  <c r="M36" i="31"/>
  <c r="M34" i="39" s="1"/>
  <c r="L36" i="31"/>
  <c r="L34" i="39" s="1"/>
  <c r="K36" i="31"/>
  <c r="K34" i="39" s="1"/>
  <c r="J36" i="31"/>
  <c r="J34" i="39" s="1"/>
  <c r="I36" i="31"/>
  <c r="I34" i="39" s="1"/>
  <c r="H36" i="31"/>
  <c r="G36"/>
  <c r="F36"/>
  <c r="F34" i="39" s="1"/>
  <c r="E36" i="31"/>
  <c r="E34" i="39" s="1"/>
  <c r="D36" i="31"/>
  <c r="D34" i="39" s="1"/>
  <c r="C36" i="31"/>
  <c r="C34" i="39" s="1"/>
  <c r="B36" i="31"/>
  <c r="B34" i="39" s="1"/>
  <c r="Q35" i="31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34" i="39" s="1"/>
  <c r="Q40" i="30"/>
  <c r="P40"/>
  <c r="O40"/>
  <c r="N40"/>
  <c r="M40"/>
  <c r="L40"/>
  <c r="K40"/>
  <c r="J40"/>
  <c r="I40"/>
  <c r="H40"/>
  <c r="G40"/>
  <c r="F40"/>
  <c r="E40"/>
  <c r="D40"/>
  <c r="C40"/>
  <c r="B40"/>
  <c r="Q37"/>
  <c r="P37"/>
  <c r="O37"/>
  <c r="N37"/>
  <c r="M37"/>
  <c r="L37"/>
  <c r="K37"/>
  <c r="J37"/>
  <c r="I37"/>
  <c r="H37"/>
  <c r="G37"/>
  <c r="F37"/>
  <c r="E37"/>
  <c r="D37"/>
  <c r="C37"/>
  <c r="B37"/>
  <c r="Q36"/>
  <c r="Q33" i="39" s="1"/>
  <c r="P36" i="30"/>
  <c r="O36"/>
  <c r="N36"/>
  <c r="N33" i="39" s="1"/>
  <c r="M36" i="30"/>
  <c r="M33" i="39" s="1"/>
  <c r="L36" i="30"/>
  <c r="K36"/>
  <c r="K33" i="39" s="1"/>
  <c r="J36" i="30"/>
  <c r="J33" i="39" s="1"/>
  <c r="I36" i="30"/>
  <c r="I33" i="39" s="1"/>
  <c r="H36" i="30"/>
  <c r="G36"/>
  <c r="F36"/>
  <c r="F33" i="39" s="1"/>
  <c r="E36" i="30"/>
  <c r="E33" i="39" s="1"/>
  <c r="D36" i="30"/>
  <c r="D33" i="39" s="1"/>
  <c r="C36" i="30"/>
  <c r="C33" i="39" s="1"/>
  <c r="B36" i="30"/>
  <c r="B33" i="39" s="1"/>
  <c r="Q35" i="30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33" i="39" s="1"/>
  <c r="Q40" i="29"/>
  <c r="P40"/>
  <c r="O40"/>
  <c r="N40"/>
  <c r="M40"/>
  <c r="L40"/>
  <c r="K40"/>
  <c r="J40"/>
  <c r="I40"/>
  <c r="H40"/>
  <c r="G40"/>
  <c r="F40"/>
  <c r="E40"/>
  <c r="D40"/>
  <c r="C39"/>
  <c r="B40"/>
  <c r="Q37"/>
  <c r="P37"/>
  <c r="O37"/>
  <c r="N37"/>
  <c r="M37"/>
  <c r="L37"/>
  <c r="K37"/>
  <c r="J37"/>
  <c r="I37"/>
  <c r="H37"/>
  <c r="G37"/>
  <c r="F37"/>
  <c r="E37"/>
  <c r="D37"/>
  <c r="C37"/>
  <c r="B37"/>
  <c r="Q36"/>
  <c r="Q32" i="39" s="1"/>
  <c r="P36" i="29"/>
  <c r="P32" i="39" s="1"/>
  <c r="O36" i="29"/>
  <c r="N36"/>
  <c r="M36"/>
  <c r="M32" i="39" s="1"/>
  <c r="L36" i="29"/>
  <c r="L32" i="39" s="1"/>
  <c r="K36" i="29"/>
  <c r="K32" i="39" s="1"/>
  <c r="J36" i="29"/>
  <c r="J32" i="39" s="1"/>
  <c r="I36" i="29"/>
  <c r="I32" i="39" s="1"/>
  <c r="H36" i="29"/>
  <c r="H32" i="39" s="1"/>
  <c r="G36" i="29"/>
  <c r="F36"/>
  <c r="E36"/>
  <c r="E32" i="39" s="1"/>
  <c r="D36" i="29"/>
  <c r="D32" i="39" s="1"/>
  <c r="C36" i="29"/>
  <c r="C32" i="39" s="1"/>
  <c r="B36" i="29"/>
  <c r="B32" i="39" s="1"/>
  <c r="Q35" i="29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32" i="39" s="1"/>
  <c r="Q38" i="28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31" i="39" s="1"/>
  <c r="P36" i="28"/>
  <c r="O36"/>
  <c r="O31" i="39" s="1"/>
  <c r="N36" i="28"/>
  <c r="N31" i="39" s="1"/>
  <c r="M36" i="28"/>
  <c r="M31" i="39" s="1"/>
  <c r="L36" i="28"/>
  <c r="K36"/>
  <c r="K31" i="39" s="1"/>
  <c r="J36" i="28"/>
  <c r="J31" i="39" s="1"/>
  <c r="I36" i="28"/>
  <c r="I31" i="39" s="1"/>
  <c r="H36" i="28"/>
  <c r="G36"/>
  <c r="G31" i="39" s="1"/>
  <c r="F36" i="28"/>
  <c r="F31" i="39" s="1"/>
  <c r="E36" i="28"/>
  <c r="E31" i="39" s="1"/>
  <c r="D36" i="28"/>
  <c r="C36"/>
  <c r="C31" i="39" s="1"/>
  <c r="B36" i="28"/>
  <c r="B31" i="39" s="1"/>
  <c r="Q35" i="28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31" i="39" s="1"/>
  <c r="Q38" i="27"/>
  <c r="Q39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30" i="39" s="1"/>
  <c r="P36" i="27"/>
  <c r="P30" i="39" s="1"/>
  <c r="O36" i="27"/>
  <c r="O30" i="39" s="1"/>
  <c r="N36" i="27"/>
  <c r="N30" i="39" s="1"/>
  <c r="M36" i="27"/>
  <c r="M30" i="39" s="1"/>
  <c r="L36" i="27"/>
  <c r="L30" i="39" s="1"/>
  <c r="K36" i="27"/>
  <c r="K30" i="39" s="1"/>
  <c r="J36" i="27"/>
  <c r="J30" i="39" s="1"/>
  <c r="I36" i="27"/>
  <c r="I30" i="39" s="1"/>
  <c r="H36" i="27"/>
  <c r="H30" i="39" s="1"/>
  <c r="G36" i="27"/>
  <c r="G30" i="39" s="1"/>
  <c r="F36" i="27"/>
  <c r="F30" i="39" s="1"/>
  <c r="E36" i="27"/>
  <c r="E30" i="39" s="1"/>
  <c r="D36" i="27"/>
  <c r="D30" i="39" s="1"/>
  <c r="C36" i="27"/>
  <c r="C30" i="39" s="1"/>
  <c r="B36" i="27"/>
  <c r="B30" i="39" s="1"/>
  <c r="Q35" i="27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30" i="39" s="1"/>
  <c r="Q38" i="26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29" i="39" s="1"/>
  <c r="P36" i="26"/>
  <c r="P29" i="39" s="1"/>
  <c r="O36" i="26"/>
  <c r="O29" i="39" s="1"/>
  <c r="N36" i="26"/>
  <c r="N29" i="39" s="1"/>
  <c r="M36" i="26"/>
  <c r="M29" i="39" s="1"/>
  <c r="L36" i="26"/>
  <c r="L29" i="39" s="1"/>
  <c r="K36" i="26"/>
  <c r="K29" i="39" s="1"/>
  <c r="J36" i="26"/>
  <c r="J29" i="39" s="1"/>
  <c r="I36" i="26"/>
  <c r="H36"/>
  <c r="H29" i="39" s="1"/>
  <c r="G36" i="26"/>
  <c r="F36"/>
  <c r="E36"/>
  <c r="D36"/>
  <c r="D29" i="39" s="1"/>
  <c r="C36" i="26"/>
  <c r="B36"/>
  <c r="Q35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9" i="39" s="1"/>
  <c r="Q38" i="25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28" i="39" s="1"/>
  <c r="P36" i="25"/>
  <c r="P28" i="39" s="1"/>
  <c r="O36" i="25"/>
  <c r="O28" i="39" s="1"/>
  <c r="N36" i="25"/>
  <c r="M36"/>
  <c r="M28" i="39" s="1"/>
  <c r="L36" i="25"/>
  <c r="K36"/>
  <c r="J36"/>
  <c r="I36"/>
  <c r="I28" i="39" s="1"/>
  <c r="H36" i="25"/>
  <c r="H28" i="39" s="1"/>
  <c r="G36" i="25"/>
  <c r="G28" i="39" s="1"/>
  <c r="F36" i="25"/>
  <c r="F28" i="39" s="1"/>
  <c r="E36" i="25"/>
  <c r="E28" i="39" s="1"/>
  <c r="D36" i="25"/>
  <c r="D28" i="39" s="1"/>
  <c r="C36" i="25"/>
  <c r="C28" i="39" s="1"/>
  <c r="B36" i="25"/>
  <c r="Q35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8" i="39" s="1"/>
  <c r="Q38" i="24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27" i="39" s="1"/>
  <c r="P36" i="24"/>
  <c r="P27" i="39" s="1"/>
  <c r="O36" i="24"/>
  <c r="O27" i="39" s="1"/>
  <c r="N36" i="24"/>
  <c r="N27" i="39" s="1"/>
  <c r="M36" i="24"/>
  <c r="M27" i="39" s="1"/>
  <c r="L36" i="24"/>
  <c r="L27" i="39" s="1"/>
  <c r="K36" i="24"/>
  <c r="J36"/>
  <c r="I36"/>
  <c r="I27" i="39" s="1"/>
  <c r="H36" i="24"/>
  <c r="H27" i="39" s="1"/>
  <c r="G36" i="24"/>
  <c r="G27" i="39" s="1"/>
  <c r="F36" i="24"/>
  <c r="F27" i="39" s="1"/>
  <c r="E36" i="24"/>
  <c r="E27" i="39" s="1"/>
  <c r="D36" i="24"/>
  <c r="C36"/>
  <c r="B36"/>
  <c r="Q35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7" i="39" s="1"/>
  <c r="Q38" i="23"/>
  <c r="Q40" s="1"/>
  <c r="P38"/>
  <c r="P39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26" i="39" s="1"/>
  <c r="P36" i="23"/>
  <c r="P26" i="39" s="1"/>
  <c r="O36" i="23"/>
  <c r="O26" i="39" s="1"/>
  <c r="N36" i="23"/>
  <c r="M36"/>
  <c r="M26" i="39" s="1"/>
  <c r="L36" i="23"/>
  <c r="L26" i="39" s="1"/>
  <c r="K36" i="23"/>
  <c r="J36"/>
  <c r="I36"/>
  <c r="I26" i="39" s="1"/>
  <c r="H36" i="23"/>
  <c r="H26" i="39" s="1"/>
  <c r="G36" i="23"/>
  <c r="G26" i="39" s="1"/>
  <c r="F36" i="23"/>
  <c r="F26" i="39" s="1"/>
  <c r="E36" i="23"/>
  <c r="E26" i="39" s="1"/>
  <c r="D36" i="23"/>
  <c r="C36"/>
  <c r="B36"/>
  <c r="Q35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6" i="39" s="1"/>
  <c r="Q38" i="22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25" i="39" s="1"/>
  <c r="P36" i="22"/>
  <c r="P25" i="39" s="1"/>
  <c r="O36" i="22"/>
  <c r="O25" i="39" s="1"/>
  <c r="N36" i="22"/>
  <c r="N25" i="39" s="1"/>
  <c r="M36" i="22"/>
  <c r="M25" i="39" s="1"/>
  <c r="L36" i="22"/>
  <c r="L25" i="39" s="1"/>
  <c r="K36" i="22"/>
  <c r="K25" i="39" s="1"/>
  <c r="J36" i="22"/>
  <c r="J25" i="39" s="1"/>
  <c r="I36" i="22"/>
  <c r="I25" i="39" s="1"/>
  <c r="H36" i="22"/>
  <c r="H25" i="39" s="1"/>
  <c r="G36" i="22"/>
  <c r="G25" i="39" s="1"/>
  <c r="F36" i="22"/>
  <c r="F25" i="39" s="1"/>
  <c r="E36" i="22"/>
  <c r="E25" i="39" s="1"/>
  <c r="D36" i="22"/>
  <c r="D25" i="39" s="1"/>
  <c r="C36" i="22"/>
  <c r="C25" i="39" s="1"/>
  <c r="B36" i="22"/>
  <c r="B25" i="39" s="1"/>
  <c r="Q35" i="22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5" i="39" s="1"/>
  <c r="Q38" i="21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24" i="39" s="1"/>
  <c r="P36" i="21"/>
  <c r="P24" i="39" s="1"/>
  <c r="O36" i="21"/>
  <c r="O24" i="39" s="1"/>
  <c r="N36" i="21"/>
  <c r="N24" i="39" s="1"/>
  <c r="M36" i="21"/>
  <c r="L36"/>
  <c r="L24" i="39" s="1"/>
  <c r="K36" i="21"/>
  <c r="K24" i="39" s="1"/>
  <c r="J36" i="21"/>
  <c r="J24" i="39" s="1"/>
  <c r="I36" i="21"/>
  <c r="I24" i="39" s="1"/>
  <c r="H36" i="21"/>
  <c r="H24" i="39" s="1"/>
  <c r="G36" i="21"/>
  <c r="G24" i="39" s="1"/>
  <c r="F36" i="21"/>
  <c r="F24" i="39" s="1"/>
  <c r="E36" i="21"/>
  <c r="E24" i="39" s="1"/>
  <c r="D36" i="21"/>
  <c r="D24" i="39" s="1"/>
  <c r="C36" i="21"/>
  <c r="B36"/>
  <c r="Q35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4" i="39" s="1"/>
  <c r="L40" i="20"/>
  <c r="L39"/>
  <c r="Q38"/>
  <c r="Q40" s="1"/>
  <c r="P38"/>
  <c r="P40" s="1"/>
  <c r="O38"/>
  <c r="O40" s="1"/>
  <c r="N38"/>
  <c r="N40" s="1"/>
  <c r="M38"/>
  <c r="M40" s="1"/>
  <c r="L38"/>
  <c r="K38"/>
  <c r="K40" s="1"/>
  <c r="J38"/>
  <c r="J40" s="1"/>
  <c r="I38"/>
  <c r="I40" s="1"/>
  <c r="H38"/>
  <c r="H40" s="1"/>
  <c r="G38"/>
  <c r="G40" s="1"/>
  <c r="F38"/>
  <c r="F40" s="1"/>
  <c r="E40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23" i="39" s="1"/>
  <c r="P36" i="20"/>
  <c r="O36"/>
  <c r="O23" i="39" s="1"/>
  <c r="N36" i="20"/>
  <c r="M36"/>
  <c r="M23" i="39" s="1"/>
  <c r="L36" i="20"/>
  <c r="L23" i="39" s="1"/>
  <c r="K36" i="20"/>
  <c r="J36"/>
  <c r="I36"/>
  <c r="I23" i="39" s="1"/>
  <c r="H36" i="20"/>
  <c r="H23" i="39" s="1"/>
  <c r="G36" i="20"/>
  <c r="G23" i="39" s="1"/>
  <c r="F36" i="20"/>
  <c r="F23" i="39" s="1"/>
  <c r="E36" i="20"/>
  <c r="E23" i="39" s="1"/>
  <c r="D36" i="20"/>
  <c r="C36"/>
  <c r="C23" i="39" s="1"/>
  <c r="B36" i="20"/>
  <c r="B23" i="39" s="1"/>
  <c r="Q35" i="20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3" i="39" s="1"/>
  <c r="Q38" i="19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40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22" i="39" s="1"/>
  <c r="P36" i="19"/>
  <c r="P22" i="39" s="1"/>
  <c r="O36" i="19"/>
  <c r="N36"/>
  <c r="N22" i="39" s="1"/>
  <c r="M36" i="19"/>
  <c r="M22" i="39" s="1"/>
  <c r="L36" i="19"/>
  <c r="L22" i="39" s="1"/>
  <c r="K36" i="19"/>
  <c r="K22" i="39" s="1"/>
  <c r="J36" i="19"/>
  <c r="J22" i="39" s="1"/>
  <c r="I36" i="19"/>
  <c r="I22" i="39" s="1"/>
  <c r="H36" i="19"/>
  <c r="H22" i="39" s="1"/>
  <c r="G36" i="19"/>
  <c r="G22" i="39" s="1"/>
  <c r="F36" i="19"/>
  <c r="F22" i="39" s="1"/>
  <c r="E36" i="19"/>
  <c r="E22" i="39" s="1"/>
  <c r="D36" i="19"/>
  <c r="C36"/>
  <c r="C22" i="39" s="1"/>
  <c r="B36" i="19"/>
  <c r="B22" i="39" s="1"/>
  <c r="Q35" i="19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2" i="39" s="1"/>
  <c r="Q38" i="18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21" i="39" s="1"/>
  <c r="P36" i="18"/>
  <c r="P21" i="39" s="1"/>
  <c r="O36" i="18"/>
  <c r="O21" i="39" s="1"/>
  <c r="N36" i="18"/>
  <c r="N21" i="39" s="1"/>
  <c r="M36" i="18"/>
  <c r="M21" i="39" s="1"/>
  <c r="L36" i="18"/>
  <c r="K36"/>
  <c r="J36"/>
  <c r="J21" i="39" s="1"/>
  <c r="I36" i="18"/>
  <c r="I21" i="39" s="1"/>
  <c r="H36" i="18"/>
  <c r="H21" i="39" s="1"/>
  <c r="G36" i="18"/>
  <c r="G21" i="39" s="1"/>
  <c r="F36" i="18"/>
  <c r="F21" i="39" s="1"/>
  <c r="E36" i="18"/>
  <c r="D36"/>
  <c r="D21" i="39" s="1"/>
  <c r="C36" i="18"/>
  <c r="C21" i="39" s="1"/>
  <c r="B36" i="18"/>
  <c r="B21" i="39" s="1"/>
  <c r="Q35" i="18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1" i="39" s="1"/>
  <c r="Q38" i="17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39" s="1"/>
  <c r="Q37"/>
  <c r="P37"/>
  <c r="O37"/>
  <c r="N37"/>
  <c r="M37"/>
  <c r="L37"/>
  <c r="K37"/>
  <c r="J37"/>
  <c r="I37"/>
  <c r="H37"/>
  <c r="G37"/>
  <c r="F37"/>
  <c r="E37"/>
  <c r="D37"/>
  <c r="C37"/>
  <c r="B37"/>
  <c r="Q36"/>
  <c r="Q20" i="39" s="1"/>
  <c r="P36" i="17"/>
  <c r="P20" i="39" s="1"/>
  <c r="O36" i="17"/>
  <c r="O20" i="39" s="1"/>
  <c r="N36" i="17"/>
  <c r="N20" i="39" s="1"/>
  <c r="M36" i="17"/>
  <c r="L36"/>
  <c r="L20" i="39" s="1"/>
  <c r="K36" i="17"/>
  <c r="K20" i="39" s="1"/>
  <c r="J36" i="17"/>
  <c r="J20" i="39" s="1"/>
  <c r="I36" i="17"/>
  <c r="I20" i="39" s="1"/>
  <c r="H36" i="17"/>
  <c r="H20" i="39" s="1"/>
  <c r="G36" i="17"/>
  <c r="G20" i="39" s="1"/>
  <c r="F36" i="17"/>
  <c r="F20" i="39" s="1"/>
  <c r="E36" i="17"/>
  <c r="E20" i="39" s="1"/>
  <c r="D36" i="17"/>
  <c r="D20" i="39" s="1"/>
  <c r="C36" i="17"/>
  <c r="C20" i="39" s="1"/>
  <c r="B36" i="17"/>
  <c r="B20" i="39" s="1"/>
  <c r="Q35" i="17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0" i="39" s="1"/>
  <c r="Q38" i="16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9" i="39" s="1"/>
  <c r="P36" i="16"/>
  <c r="P19" i="39" s="1"/>
  <c r="O36" i="16"/>
  <c r="O19" i="39" s="1"/>
  <c r="N36" i="16"/>
  <c r="N19" i="39" s="1"/>
  <c r="M36" i="16"/>
  <c r="M19" i="39" s="1"/>
  <c r="L36" i="16"/>
  <c r="L19" i="39" s="1"/>
  <c r="K36" i="16"/>
  <c r="K19" i="39" s="1"/>
  <c r="J36" i="16"/>
  <c r="J19" i="39" s="1"/>
  <c r="I36" i="16"/>
  <c r="I19" i="39" s="1"/>
  <c r="H36" i="16"/>
  <c r="H19" i="39" s="1"/>
  <c r="G36" i="16"/>
  <c r="G19" i="39" s="1"/>
  <c r="F36" i="16"/>
  <c r="F19" i="39" s="1"/>
  <c r="E36" i="16"/>
  <c r="E19" i="39" s="1"/>
  <c r="D36" i="16"/>
  <c r="D19" i="39" s="1"/>
  <c r="C36" i="16"/>
  <c r="C19" i="39" s="1"/>
  <c r="B36" i="16"/>
  <c r="B19" i="39" s="1"/>
  <c r="Q35" i="16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9" i="39" s="1"/>
  <c r="N39" i="15"/>
  <c r="Q38"/>
  <c r="Q40" s="1"/>
  <c r="P38"/>
  <c r="P40" s="1"/>
  <c r="O38"/>
  <c r="O39" s="1"/>
  <c r="N38"/>
  <c r="N40" s="1"/>
  <c r="M38"/>
  <c r="M39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8" i="39" s="1"/>
  <c r="P36" i="15"/>
  <c r="P18" i="39" s="1"/>
  <c r="O36" i="15"/>
  <c r="O18" i="39" s="1"/>
  <c r="N36" i="15"/>
  <c r="N18" i="39" s="1"/>
  <c r="M36" i="15"/>
  <c r="L36"/>
  <c r="K36"/>
  <c r="J36"/>
  <c r="I36"/>
  <c r="I18" i="39" s="1"/>
  <c r="H36" i="15"/>
  <c r="H18" i="39" s="1"/>
  <c r="G36" i="15"/>
  <c r="G18" i="39" s="1"/>
  <c r="F36" i="15"/>
  <c r="F18" i="39" s="1"/>
  <c r="E36" i="15"/>
  <c r="E18" i="39" s="1"/>
  <c r="D36" i="15"/>
  <c r="D18" i="39" s="1"/>
  <c r="C36" i="15"/>
  <c r="C18" i="39" s="1"/>
  <c r="B36" i="15"/>
  <c r="B18" i="39" s="1"/>
  <c r="Q35" i="15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8" i="39" s="1"/>
  <c r="Q38" i="14"/>
  <c r="Q40" s="1"/>
  <c r="P38"/>
  <c r="P40" s="1"/>
  <c r="O38"/>
  <c r="O40" s="1"/>
  <c r="N38"/>
  <c r="N40" s="1"/>
  <c r="M38"/>
  <c r="M40" s="1"/>
  <c r="L38"/>
  <c r="L39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7" i="39" s="1"/>
  <c r="P36" i="14"/>
  <c r="P17" i="39" s="1"/>
  <c r="O36" i="14"/>
  <c r="O17" i="39" s="1"/>
  <c r="N36" i="14"/>
  <c r="N17" i="39" s="1"/>
  <c r="M36" i="14"/>
  <c r="L36"/>
  <c r="L17" i="39" s="1"/>
  <c r="K36" i="14"/>
  <c r="J36"/>
  <c r="J17" i="39" s="1"/>
  <c r="I36" i="14"/>
  <c r="I17" i="39" s="1"/>
  <c r="H36" i="14"/>
  <c r="H17" i="39" s="1"/>
  <c r="G36" i="14"/>
  <c r="G17" i="39" s="1"/>
  <c r="F36" i="14"/>
  <c r="F17" i="39" s="1"/>
  <c r="E36" i="14"/>
  <c r="E17" i="39" s="1"/>
  <c r="D36" i="14"/>
  <c r="D17" i="39" s="1"/>
  <c r="C36" i="14"/>
  <c r="B36"/>
  <c r="B17" i="39" s="1"/>
  <c r="Q35" i="14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7" i="39" s="1"/>
  <c r="Q38" i="13"/>
  <c r="Q40" s="1"/>
  <c r="P38"/>
  <c r="P40" s="1"/>
  <c r="O38"/>
  <c r="O40" s="1"/>
  <c r="N38"/>
  <c r="N39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6" i="39" s="1"/>
  <c r="P36" i="13"/>
  <c r="P16" i="39" s="1"/>
  <c r="O36" i="13"/>
  <c r="O16" i="39" s="1"/>
  <c r="N36" i="13"/>
  <c r="N16" i="39" s="1"/>
  <c r="M36" i="13"/>
  <c r="L36"/>
  <c r="L16" i="39" s="1"/>
  <c r="K36" i="13"/>
  <c r="K16" i="39" s="1"/>
  <c r="J36" i="13"/>
  <c r="J16" i="39" s="1"/>
  <c r="I36" i="13"/>
  <c r="I16" i="39" s="1"/>
  <c r="H36" i="13"/>
  <c r="H16" i="39" s="1"/>
  <c r="G36" i="13"/>
  <c r="G16" i="39" s="1"/>
  <c r="F36" i="13"/>
  <c r="F16" i="39" s="1"/>
  <c r="E36" i="13"/>
  <c r="E16" i="39" s="1"/>
  <c r="D36" i="13"/>
  <c r="D16" i="39" s="1"/>
  <c r="C36" i="13"/>
  <c r="C16" i="39" s="1"/>
  <c r="B36" i="13"/>
  <c r="B16" i="39" s="1"/>
  <c r="Q35" i="13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6" i="39" s="1"/>
  <c r="L40" i="12"/>
  <c r="Q38"/>
  <c r="Q40" s="1"/>
  <c r="P38"/>
  <c r="P40" s="1"/>
  <c r="O38"/>
  <c r="O40" s="1"/>
  <c r="N38"/>
  <c r="N40" s="1"/>
  <c r="M38"/>
  <c r="M40" s="1"/>
  <c r="L38"/>
  <c r="L39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5" i="39" s="1"/>
  <c r="P36" i="12"/>
  <c r="P15" i="39" s="1"/>
  <c r="O36" i="12"/>
  <c r="N36"/>
  <c r="N15" i="39" s="1"/>
  <c r="M36" i="12"/>
  <c r="M15" i="39" s="1"/>
  <c r="L36" i="12"/>
  <c r="L15" i="39" s="1"/>
  <c r="K36" i="12"/>
  <c r="J36"/>
  <c r="J15" i="39" s="1"/>
  <c r="I36" i="12"/>
  <c r="I15" i="39" s="1"/>
  <c r="H36" i="12"/>
  <c r="H15" i="39" s="1"/>
  <c r="G36" i="12"/>
  <c r="G15" i="39" s="1"/>
  <c r="F36" i="12"/>
  <c r="F15" i="39" s="1"/>
  <c r="E36" i="12"/>
  <c r="D36"/>
  <c r="C36"/>
  <c r="B36"/>
  <c r="B15" i="39" s="1"/>
  <c r="Q35" i="12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5" i="39" s="1"/>
  <c r="Q38" i="11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4" i="39" s="1"/>
  <c r="P36" i="11"/>
  <c r="P14" i="39" s="1"/>
  <c r="O36" i="11"/>
  <c r="O14" i="39" s="1"/>
  <c r="N36" i="11"/>
  <c r="N14" i="39" s="1"/>
  <c r="M36" i="11"/>
  <c r="M14" i="39" s="1"/>
  <c r="L36" i="11"/>
  <c r="L14" i="39" s="1"/>
  <c r="K36" i="11"/>
  <c r="K14" i="39" s="1"/>
  <c r="J36" i="11"/>
  <c r="J14" i="39" s="1"/>
  <c r="I36" i="11"/>
  <c r="I14" i="39" s="1"/>
  <c r="H36" i="11"/>
  <c r="H14" i="39" s="1"/>
  <c r="G36" i="11"/>
  <c r="G14" i="39" s="1"/>
  <c r="F36" i="11"/>
  <c r="F14" i="39" s="1"/>
  <c r="E36" i="11"/>
  <c r="E14" i="39" s="1"/>
  <c r="D36" i="11"/>
  <c r="D14" i="39" s="1"/>
  <c r="C36" i="11"/>
  <c r="C14" i="39" s="1"/>
  <c r="B36" i="11"/>
  <c r="B14" i="39" s="1"/>
  <c r="Q35" i="11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4" i="39" s="1"/>
  <c r="Q38" i="10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39" s="1"/>
  <c r="H38"/>
  <c r="H39" s="1"/>
  <c r="G38"/>
  <c r="G39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3" i="39" s="1"/>
  <c r="P36" i="10"/>
  <c r="P13" i="39" s="1"/>
  <c r="O36" i="10"/>
  <c r="O13" i="39" s="1"/>
  <c r="N36" i="10"/>
  <c r="N13" i="39" s="1"/>
  <c r="M36" i="10"/>
  <c r="L36"/>
  <c r="K36"/>
  <c r="J36"/>
  <c r="J13" i="39" s="1"/>
  <c r="I36" i="10"/>
  <c r="I13" i="39" s="1"/>
  <c r="H36" i="10"/>
  <c r="H13" i="39" s="1"/>
  <c r="G36" i="10"/>
  <c r="G13" i="39" s="1"/>
  <c r="F36" i="10"/>
  <c r="F13" i="39" s="1"/>
  <c r="E36" i="10"/>
  <c r="E13" i="39" s="1"/>
  <c r="D36" i="10"/>
  <c r="D13" i="39" s="1"/>
  <c r="C36" i="10"/>
  <c r="C13" i="39" s="1"/>
  <c r="B36" i="10"/>
  <c r="B13" i="39" s="1"/>
  <c r="Q35" i="10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3" i="39" s="1"/>
  <c r="Q38" i="9"/>
  <c r="Q40" s="1"/>
  <c r="P38"/>
  <c r="P40" s="1"/>
  <c r="O38"/>
  <c r="O40" s="1"/>
  <c r="N38"/>
  <c r="N40" s="1"/>
  <c r="M38"/>
  <c r="M40" s="1"/>
  <c r="L38"/>
  <c r="L39" s="1"/>
  <c r="K38"/>
  <c r="K40" s="1"/>
  <c r="J38"/>
  <c r="J40" s="1"/>
  <c r="I38"/>
  <c r="I40" s="1"/>
  <c r="H38"/>
  <c r="H39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2" i="39" s="1"/>
  <c r="P36" i="9"/>
  <c r="P12" i="39" s="1"/>
  <c r="O36" i="9"/>
  <c r="O12" i="39" s="1"/>
  <c r="N36" i="9"/>
  <c r="N12" i="39" s="1"/>
  <c r="M36" i="9"/>
  <c r="M12" i="39" s="1"/>
  <c r="L36" i="9"/>
  <c r="L12" i="39" s="1"/>
  <c r="K36" i="9"/>
  <c r="K12" i="39" s="1"/>
  <c r="J36" i="9"/>
  <c r="J12" i="39" s="1"/>
  <c r="I36" i="9"/>
  <c r="I12" i="39" s="1"/>
  <c r="H36" i="9"/>
  <c r="H12" i="39" s="1"/>
  <c r="G36" i="9"/>
  <c r="G12" i="39" s="1"/>
  <c r="F36" i="9"/>
  <c r="F12" i="39" s="1"/>
  <c r="E36" i="9"/>
  <c r="E12" i="39" s="1"/>
  <c r="D36" i="9"/>
  <c r="D12" i="39" s="1"/>
  <c r="C36" i="9"/>
  <c r="C12" i="39" s="1"/>
  <c r="B36" i="9"/>
  <c r="B12" i="39" s="1"/>
  <c r="Q35" i="9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2" i="39" s="1"/>
  <c r="Q38" i="8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39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1" i="39" s="1"/>
  <c r="P36" i="8"/>
  <c r="P11" i="39" s="1"/>
  <c r="O36" i="8"/>
  <c r="O11" i="39" s="1"/>
  <c r="N36" i="8"/>
  <c r="N11" i="39" s="1"/>
  <c r="M36" i="8"/>
  <c r="M11" i="39" s="1"/>
  <c r="L36" i="8"/>
  <c r="L11" i="39" s="1"/>
  <c r="K36" i="8"/>
  <c r="K11" i="39" s="1"/>
  <c r="J36" i="8"/>
  <c r="J11" i="39" s="1"/>
  <c r="I36" i="8"/>
  <c r="I11" i="39" s="1"/>
  <c r="H36" i="8"/>
  <c r="H11" i="39" s="1"/>
  <c r="G36" i="8"/>
  <c r="G11" i="39" s="1"/>
  <c r="F36" i="8"/>
  <c r="F11" i="39" s="1"/>
  <c r="E36" i="8"/>
  <c r="E11" i="39" s="1"/>
  <c r="D36" i="8"/>
  <c r="D11" i="39" s="1"/>
  <c r="C36" i="8"/>
  <c r="C11" i="39" s="1"/>
  <c r="B36" i="8"/>
  <c r="B11" i="39" s="1"/>
  <c r="Q35" i="8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1" i="39" s="1"/>
  <c r="Q38" i="3"/>
  <c r="Q40" s="1"/>
  <c r="P38"/>
  <c r="P40" s="1"/>
  <c r="O38"/>
  <c r="O40" s="1"/>
  <c r="N38"/>
  <c r="N40" s="1"/>
  <c r="M38"/>
  <c r="M40" s="1"/>
  <c r="L38"/>
  <c r="L40" s="1"/>
  <c r="K38"/>
  <c r="K40" s="1"/>
  <c r="J38"/>
  <c r="J39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0" i="39" s="1"/>
  <c r="P36" i="3"/>
  <c r="P10" i="39" s="1"/>
  <c r="O36" i="3"/>
  <c r="O10" i="39" s="1"/>
  <c r="N36" i="3"/>
  <c r="N10" i="39" s="1"/>
  <c r="M36" i="3"/>
  <c r="L36"/>
  <c r="K36"/>
  <c r="K10" i="39" s="1"/>
  <c r="J36" i="3"/>
  <c r="J10" i="39" s="1"/>
  <c r="I36" i="3"/>
  <c r="I10" i="39" s="1"/>
  <c r="H36" i="3"/>
  <c r="H10" i="39" s="1"/>
  <c r="G36" i="3"/>
  <c r="G10" i="39" s="1"/>
  <c r="F36" i="3"/>
  <c r="F10" i="39" s="1"/>
  <c r="E36" i="3"/>
  <c r="E10" i="39" s="1"/>
  <c r="D36" i="3"/>
  <c r="D10" i="39" s="1"/>
  <c r="C36" i="3"/>
  <c r="C10" i="39" s="1"/>
  <c r="B36" i="3"/>
  <c r="B10" i="39" s="1"/>
  <c r="Q35" i="3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0" i="39" s="1"/>
  <c r="Q38" i="2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9" i="39" s="1"/>
  <c r="P36" i="2"/>
  <c r="P9" i="39" s="1"/>
  <c r="O36" i="2"/>
  <c r="O9" i="39" s="1"/>
  <c r="N36" i="2"/>
  <c r="N9" i="39" s="1"/>
  <c r="M36" i="2"/>
  <c r="M9" i="39" s="1"/>
  <c r="L36" i="2"/>
  <c r="L9" i="39" s="1"/>
  <c r="K36" i="2"/>
  <c r="K9" i="39" s="1"/>
  <c r="J36" i="2"/>
  <c r="J9" i="39" s="1"/>
  <c r="I36" i="2"/>
  <c r="I9" i="39" s="1"/>
  <c r="H36" i="2"/>
  <c r="H9" i="39" s="1"/>
  <c r="G36" i="2"/>
  <c r="G9" i="39" s="1"/>
  <c r="F36" i="2"/>
  <c r="F9" i="39" s="1"/>
  <c r="E36" i="2"/>
  <c r="E9" i="39" s="1"/>
  <c r="D36" i="2"/>
  <c r="D9" i="39" s="1"/>
  <c r="C36" i="2"/>
  <c r="C9" i="39" s="1"/>
  <c r="B36" i="2"/>
  <c r="B9" i="39" s="1"/>
  <c r="Q35" i="2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9" i="39" s="1"/>
  <c r="B2" s="1"/>
  <c r="E39" i="41" l="1"/>
  <c r="D39"/>
  <c r="C39"/>
  <c r="B39"/>
  <c r="Q39"/>
  <c r="P39"/>
  <c r="O39"/>
  <c r="N39"/>
  <c r="M39"/>
  <c r="L39"/>
  <c r="K39"/>
  <c r="J39"/>
  <c r="I39"/>
  <c r="H39"/>
  <c r="G39"/>
  <c r="F39"/>
  <c r="B39" i="40"/>
  <c r="Q39"/>
  <c r="P39"/>
  <c r="O39"/>
  <c r="N39"/>
  <c r="M39"/>
  <c r="L39"/>
  <c r="K39"/>
  <c r="J39"/>
  <c r="I39"/>
  <c r="H39"/>
  <c r="G39"/>
  <c r="F39"/>
  <c r="E39"/>
  <c r="D39"/>
  <c r="C39"/>
  <c r="N39" i="43"/>
  <c r="M39"/>
  <c r="L39"/>
  <c r="K39"/>
  <c r="J39"/>
  <c r="I39"/>
  <c r="H39"/>
  <c r="G39"/>
  <c r="F39"/>
  <c r="E39"/>
  <c r="D39"/>
  <c r="C39"/>
  <c r="B39"/>
  <c r="Q39"/>
  <c r="P39"/>
  <c r="O39"/>
  <c r="C39" i="25"/>
  <c r="B39"/>
  <c r="Q39"/>
  <c r="P39"/>
  <c r="O39"/>
  <c r="N39"/>
  <c r="M39"/>
  <c r="L39"/>
  <c r="K39"/>
  <c r="J39"/>
  <c r="I39"/>
  <c r="H39"/>
  <c r="G39"/>
  <c r="F39"/>
  <c r="E39"/>
  <c r="D39"/>
  <c r="O39" i="24"/>
  <c r="N39"/>
  <c r="M39"/>
  <c r="L39"/>
  <c r="K39"/>
  <c r="J39"/>
  <c r="I39"/>
  <c r="H39"/>
  <c r="G39"/>
  <c r="F39"/>
  <c r="E39"/>
  <c r="D39"/>
  <c r="C39"/>
  <c r="B39"/>
  <c r="Q39"/>
  <c r="P39"/>
  <c r="J39" i="23"/>
  <c r="I39"/>
  <c r="H39"/>
  <c r="G39"/>
  <c r="F39"/>
  <c r="E39"/>
  <c r="D39"/>
  <c r="C39"/>
  <c r="B39"/>
  <c r="Q39"/>
  <c r="P40"/>
  <c r="O39"/>
  <c r="N39"/>
  <c r="M39"/>
  <c r="L39"/>
  <c r="K39"/>
  <c r="L39" i="22"/>
  <c r="K39"/>
  <c r="J39"/>
  <c r="I39"/>
  <c r="H39"/>
  <c r="G39"/>
  <c r="F39"/>
  <c r="E39"/>
  <c r="D39"/>
  <c r="C39"/>
  <c r="B39"/>
  <c r="Q39"/>
  <c r="P39"/>
  <c r="O39"/>
  <c r="N39"/>
  <c r="M39"/>
  <c r="J39" i="21"/>
  <c r="I39"/>
  <c r="H39"/>
  <c r="G39"/>
  <c r="F39"/>
  <c r="E39"/>
  <c r="D39"/>
  <c r="C39"/>
  <c r="B39"/>
  <c r="Q39"/>
  <c r="P39"/>
  <c r="O39"/>
  <c r="N39"/>
  <c r="M39"/>
  <c r="L39"/>
  <c r="K39"/>
  <c r="E39" i="20"/>
  <c r="D39"/>
  <c r="C39"/>
  <c r="B39"/>
  <c r="Q39"/>
  <c r="P39"/>
  <c r="O39"/>
  <c r="N39"/>
  <c r="M39"/>
  <c r="K39"/>
  <c r="J39"/>
  <c r="I39"/>
  <c r="H39"/>
  <c r="G39"/>
  <c r="F39"/>
  <c r="D39" i="19"/>
  <c r="C39"/>
  <c r="B39"/>
  <c r="Q39"/>
  <c r="P39"/>
  <c r="O39"/>
  <c r="N39"/>
  <c r="M39"/>
  <c r="L39"/>
  <c r="K39"/>
  <c r="J39"/>
  <c r="I39"/>
  <c r="H39"/>
  <c r="G39"/>
  <c r="F39"/>
  <c r="E39"/>
  <c r="B39" i="18"/>
  <c r="Q39"/>
  <c r="P39"/>
  <c r="O39"/>
  <c r="N39"/>
  <c r="M39"/>
  <c r="L39"/>
  <c r="K39"/>
  <c r="J39"/>
  <c r="I39"/>
  <c r="H39"/>
  <c r="G39"/>
  <c r="F39"/>
  <c r="E39"/>
  <c r="D39"/>
  <c r="C39"/>
  <c r="B40" i="17"/>
  <c r="Q39"/>
  <c r="P39"/>
  <c r="O39"/>
  <c r="N39"/>
  <c r="M39"/>
  <c r="L39"/>
  <c r="K39"/>
  <c r="J39"/>
  <c r="I39"/>
  <c r="H39"/>
  <c r="G39"/>
  <c r="F39"/>
  <c r="E39"/>
  <c r="D39"/>
  <c r="C39"/>
  <c r="C39" i="16"/>
  <c r="B39"/>
  <c r="Q39"/>
  <c r="P39"/>
  <c r="O39"/>
  <c r="N39"/>
  <c r="M39"/>
  <c r="L39"/>
  <c r="K39"/>
  <c r="J39"/>
  <c r="I39"/>
  <c r="H39"/>
  <c r="G39"/>
  <c r="F39"/>
  <c r="E39"/>
  <c r="D39"/>
  <c r="L39" i="15"/>
  <c r="P39"/>
  <c r="K39"/>
  <c r="J39"/>
  <c r="I39"/>
  <c r="H39"/>
  <c r="G39"/>
  <c r="O40"/>
  <c r="M40"/>
  <c r="F39"/>
  <c r="E39"/>
  <c r="D39"/>
  <c r="C39"/>
  <c r="B39"/>
  <c r="Q39"/>
  <c r="N39" i="14"/>
  <c r="M39"/>
  <c r="L40"/>
  <c r="K39"/>
  <c r="J39"/>
  <c r="I39"/>
  <c r="H39"/>
  <c r="G39"/>
  <c r="F39"/>
  <c r="E39"/>
  <c r="D39"/>
  <c r="C39"/>
  <c r="B39"/>
  <c r="Q39"/>
  <c r="P39"/>
  <c r="O39"/>
  <c r="M39" i="13"/>
  <c r="L39"/>
  <c r="N40"/>
  <c r="K39"/>
  <c r="J39"/>
  <c r="I39"/>
  <c r="H39"/>
  <c r="G39"/>
  <c r="F39"/>
  <c r="E39"/>
  <c r="D39"/>
  <c r="C39"/>
  <c r="B39"/>
  <c r="Q39"/>
  <c r="P39"/>
  <c r="O39"/>
  <c r="J39" i="12"/>
  <c r="I39"/>
  <c r="H39"/>
  <c r="G39"/>
  <c r="F39"/>
  <c r="E39"/>
  <c r="D39"/>
  <c r="C39"/>
  <c r="B39"/>
  <c r="Q39"/>
  <c r="P39"/>
  <c r="O39"/>
  <c r="N39"/>
  <c r="M39"/>
  <c r="K39"/>
  <c r="K39" i="11"/>
  <c r="J39"/>
  <c r="I39"/>
  <c r="H39"/>
  <c r="G39"/>
  <c r="F39"/>
  <c r="E39"/>
  <c r="D39"/>
  <c r="C39"/>
  <c r="B39"/>
  <c r="Q39"/>
  <c r="P39"/>
  <c r="O39"/>
  <c r="N39"/>
  <c r="M39"/>
  <c r="L39"/>
  <c r="F39" i="10"/>
  <c r="G40"/>
  <c r="E39"/>
  <c r="H40"/>
  <c r="D39"/>
  <c r="I40"/>
  <c r="C39"/>
  <c r="B39"/>
  <c r="Q39"/>
  <c r="P39"/>
  <c r="O39"/>
  <c r="N39"/>
  <c r="M39"/>
  <c r="L39"/>
  <c r="K39"/>
  <c r="J39"/>
  <c r="J39" i="9"/>
  <c r="I39"/>
  <c r="H40"/>
  <c r="G39"/>
  <c r="F39"/>
  <c r="E39"/>
  <c r="D39"/>
  <c r="C39"/>
  <c r="B39"/>
  <c r="Q39"/>
  <c r="P39"/>
  <c r="O39"/>
  <c r="N39"/>
  <c r="M39"/>
  <c r="L40"/>
  <c r="K39"/>
  <c r="M39" i="8"/>
  <c r="K39"/>
  <c r="J39"/>
  <c r="I40"/>
  <c r="H39"/>
  <c r="G39"/>
  <c r="F39"/>
  <c r="E39"/>
  <c r="D39"/>
  <c r="C39"/>
  <c r="B39"/>
  <c r="Q39"/>
  <c r="P39"/>
  <c r="O39"/>
  <c r="N39"/>
  <c r="L39"/>
  <c r="H39" i="3"/>
  <c r="G39"/>
  <c r="I39"/>
  <c r="F39"/>
  <c r="E39"/>
  <c r="D39"/>
  <c r="C39"/>
  <c r="J40"/>
  <c r="B39"/>
  <c r="Q39"/>
  <c r="P39"/>
  <c r="O39"/>
  <c r="N39"/>
  <c r="M39"/>
  <c r="L39"/>
  <c r="K39"/>
  <c r="K39" i="2"/>
  <c r="J39"/>
  <c r="I39"/>
  <c r="H39"/>
  <c r="G39"/>
  <c r="F39"/>
  <c r="L39"/>
  <c r="E39"/>
  <c r="D39"/>
  <c r="C39"/>
  <c r="B39"/>
  <c r="Q39"/>
  <c r="P39"/>
  <c r="O39"/>
  <c r="N39"/>
  <c r="M39"/>
  <c r="P40" i="33"/>
  <c r="O39"/>
  <c r="N39"/>
  <c r="M39"/>
  <c r="L39"/>
  <c r="K39"/>
  <c r="J39"/>
  <c r="I39"/>
  <c r="H39"/>
  <c r="G39"/>
  <c r="F39"/>
  <c r="E39"/>
  <c r="D39"/>
  <c r="C39"/>
  <c r="B39"/>
  <c r="Q39"/>
  <c r="Q39" i="32"/>
  <c r="P39"/>
  <c r="O39"/>
  <c r="N39"/>
  <c r="M39"/>
  <c r="L39"/>
  <c r="K39"/>
  <c r="J39"/>
  <c r="I39"/>
  <c r="H39"/>
  <c r="G39"/>
  <c r="F39"/>
  <c r="E39"/>
  <c r="D39"/>
  <c r="C39"/>
  <c r="B39"/>
  <c r="M39" i="31"/>
  <c r="L39"/>
  <c r="K39"/>
  <c r="J39"/>
  <c r="I39"/>
  <c r="H39"/>
  <c r="G39"/>
  <c r="F39"/>
  <c r="E39"/>
  <c r="D39"/>
  <c r="C39"/>
  <c r="B39"/>
  <c r="Q39"/>
  <c r="P39"/>
  <c r="O39"/>
  <c r="N39"/>
  <c r="G39" i="30"/>
  <c r="F39"/>
  <c r="E39"/>
  <c r="D39"/>
  <c r="C39"/>
  <c r="B39"/>
  <c r="Q39"/>
  <c r="P39"/>
  <c r="O39"/>
  <c r="N39"/>
  <c r="M39"/>
  <c r="L39"/>
  <c r="K39"/>
  <c r="J39"/>
  <c r="I39"/>
  <c r="H39"/>
  <c r="C40" i="29"/>
  <c r="B39"/>
  <c r="Q39"/>
  <c r="P39"/>
  <c r="O39"/>
  <c r="N39"/>
  <c r="M39"/>
  <c r="L39"/>
  <c r="K39"/>
  <c r="J39"/>
  <c r="I39"/>
  <c r="H39"/>
  <c r="G39"/>
  <c r="F39"/>
  <c r="E39"/>
  <c r="D39"/>
  <c r="P39" i="28"/>
  <c r="O39"/>
  <c r="N39"/>
  <c r="M39"/>
  <c r="L39"/>
  <c r="K39"/>
  <c r="J39"/>
  <c r="I39"/>
  <c r="H39"/>
  <c r="G39"/>
  <c r="F39"/>
  <c r="E39"/>
  <c r="D39"/>
  <c r="C39"/>
  <c r="B39"/>
  <c r="Q39"/>
  <c r="P39" i="27"/>
  <c r="G45" i="39"/>
  <c r="G46" s="1"/>
  <c r="O39" i="27"/>
  <c r="F45" i="39"/>
  <c r="F46" s="1"/>
  <c r="N39" i="27"/>
  <c r="M39"/>
  <c r="L39"/>
  <c r="C45" i="39"/>
  <c r="C46" s="1"/>
  <c r="K39" i="27"/>
  <c r="J39"/>
  <c r="I39"/>
  <c r="H39"/>
  <c r="G39"/>
  <c r="F39"/>
  <c r="Q40"/>
  <c r="E39"/>
  <c r="D39"/>
  <c r="C39"/>
  <c r="B39"/>
  <c r="I45" i="39"/>
  <c r="I46" s="1"/>
  <c r="M39" i="26"/>
  <c r="L39"/>
  <c r="B45" i="39"/>
  <c r="B46" s="1"/>
  <c r="K39" i="26"/>
  <c r="Q45" i="39"/>
  <c r="Q46" s="1"/>
  <c r="J39" i="26"/>
  <c r="P45" i="39"/>
  <c r="P46" s="1"/>
  <c r="I39" i="26"/>
  <c r="O45" i="39"/>
  <c r="O46" s="1"/>
  <c r="H39" i="26"/>
  <c r="N45" i="39"/>
  <c r="N46" s="1"/>
  <c r="G39" i="26"/>
  <c r="M45" i="39"/>
  <c r="M47" s="1"/>
  <c r="F39" i="26"/>
  <c r="L45" i="39"/>
  <c r="L46" s="1"/>
  <c r="E39" i="26"/>
  <c r="K45" i="39"/>
  <c r="K47" s="1"/>
  <c r="D39" i="26"/>
  <c r="J45" i="39"/>
  <c r="J47" s="1"/>
  <c r="C39" i="26"/>
  <c r="B39"/>
  <c r="H45" i="39"/>
  <c r="H46" s="1"/>
  <c r="Q39" i="26"/>
  <c r="P39"/>
  <c r="O39"/>
  <c r="E45" i="39"/>
  <c r="E46" s="1"/>
  <c r="N39" i="26"/>
  <c r="D45" i="39"/>
  <c r="D47" s="1"/>
  <c r="Q41"/>
  <c r="Q42"/>
  <c r="Q43"/>
  <c r="Q44"/>
  <c r="P41"/>
  <c r="P42"/>
  <c r="P43"/>
  <c r="P44"/>
  <c r="O41"/>
  <c r="O42"/>
  <c r="O43"/>
  <c r="O44"/>
  <c r="N41"/>
  <c r="N42"/>
  <c r="N43"/>
  <c r="N44"/>
  <c r="M41"/>
  <c r="M42"/>
  <c r="M43"/>
  <c r="M44"/>
  <c r="L41"/>
  <c r="L42"/>
  <c r="L43"/>
  <c r="L44"/>
  <c r="K41"/>
  <c r="K42"/>
  <c r="K43"/>
  <c r="K44"/>
  <c r="J41"/>
  <c r="J42"/>
  <c r="J43"/>
  <c r="J44"/>
  <c r="I41"/>
  <c r="I42"/>
  <c r="I43"/>
  <c r="I44"/>
  <c r="H41"/>
  <c r="H42"/>
  <c r="H43"/>
  <c r="H44"/>
  <c r="G41"/>
  <c r="G42"/>
  <c r="G43"/>
  <c r="G44"/>
  <c r="F41"/>
  <c r="F42"/>
  <c r="F43"/>
  <c r="F44"/>
  <c r="E41"/>
  <c r="E42"/>
  <c r="E43"/>
  <c r="E44"/>
  <c r="D41"/>
  <c r="D42"/>
  <c r="D43"/>
  <c r="D44"/>
  <c r="C41"/>
  <c r="C42"/>
  <c r="C43"/>
  <c r="C44"/>
  <c r="B41"/>
  <c r="B42"/>
  <c r="B43"/>
  <c r="B44"/>
  <c r="P47" l="1"/>
  <c r="H47"/>
  <c r="I47"/>
  <c r="E47"/>
  <c r="D46"/>
  <c r="Q47"/>
  <c r="L47"/>
  <c r="M46"/>
  <c r="G47"/>
  <c r="F47"/>
  <c r="C47"/>
  <c r="K46"/>
  <c r="B47"/>
  <c r="J46"/>
  <c r="O47"/>
  <c r="N47"/>
</calcChain>
</file>

<file path=xl/sharedStrings.xml><?xml version="1.0" encoding="utf-8"?>
<sst xmlns="http://schemas.openxmlformats.org/spreadsheetml/2006/main" count="2215" uniqueCount="60">
  <si>
    <t>Station:</t>
  </si>
  <si>
    <t>IGKV ,RAIPUR</t>
  </si>
  <si>
    <t>Date:</t>
  </si>
  <si>
    <t>Power Off</t>
  </si>
  <si>
    <t>Pw.Off</t>
  </si>
  <si>
    <t>Link Fail</t>
  </si>
  <si>
    <t>Link F</t>
  </si>
  <si>
    <t>Maintenance</t>
  </si>
  <si>
    <t>Maint.</t>
  </si>
  <si>
    <t>Report Type:</t>
  </si>
  <si>
    <t>Mean</t>
  </si>
  <si>
    <t>Calibration</t>
  </si>
  <si>
    <t>Calib.</t>
  </si>
  <si>
    <t>Data Fail</t>
  </si>
  <si>
    <t>Data F</t>
  </si>
  <si>
    <t>Invalid</t>
  </si>
  <si>
    <t>Time Base:</t>
  </si>
  <si>
    <t xml:space="preserve"> 01 Hour</t>
  </si>
  <si>
    <t>Zero Referrence</t>
  </si>
  <si>
    <t>Z.Ref</t>
  </si>
  <si>
    <t>Warm Up</t>
  </si>
  <si>
    <t>Wm. Up</t>
  </si>
  <si>
    <t>Date &amp; Time</t>
  </si>
  <si>
    <t>NO</t>
  </si>
  <si>
    <t>NO2</t>
  </si>
  <si>
    <t>NOX</t>
  </si>
  <si>
    <t>SO2</t>
  </si>
  <si>
    <t>O3</t>
  </si>
  <si>
    <t>PM 10</t>
  </si>
  <si>
    <t>PM 2.5</t>
  </si>
  <si>
    <t>BENZ</t>
  </si>
  <si>
    <t>WS</t>
  </si>
  <si>
    <t>WD</t>
  </si>
  <si>
    <t>TEMP</t>
  </si>
  <si>
    <t>HUM</t>
  </si>
  <si>
    <t>SR</t>
  </si>
  <si>
    <t>RG</t>
  </si>
  <si>
    <t>CO</t>
  </si>
  <si>
    <t>NH3</t>
  </si>
  <si>
    <t>ug/m3</t>
  </si>
  <si>
    <t>ppb</t>
  </si>
  <si>
    <t>mg/m3</t>
  </si>
  <si>
    <t>m/sec</t>
  </si>
  <si>
    <t>deg</t>
  </si>
  <si>
    <t>degreC</t>
  </si>
  <si>
    <t>%</t>
  </si>
  <si>
    <t>w/m2</t>
  </si>
  <si>
    <t>mm</t>
  </si>
  <si>
    <t>Min</t>
  </si>
  <si>
    <t>Max</t>
  </si>
  <si>
    <t>Avg</t>
  </si>
  <si>
    <t>Stdev</t>
  </si>
  <si>
    <t>Num</t>
  </si>
  <si>
    <t>DCR</t>
  </si>
  <si>
    <t>Status</t>
  </si>
  <si>
    <t>Done by</t>
  </si>
  <si>
    <t>AKASH</t>
  </si>
  <si>
    <t>Comment</t>
  </si>
  <si>
    <t>IGKV, RAIPUR</t>
  </si>
  <si>
    <t>24 HRS</t>
  </si>
</sst>
</file>

<file path=xl/styles.xml><?xml version="1.0" encoding="utf-8"?>
<styleSheet xmlns="http://schemas.openxmlformats.org/spreadsheetml/2006/main">
  <fonts count="15">
    <font>
      <sz val="11"/>
      <color theme="1"/>
      <name val="Calibri"/>
      <charset val="134"/>
      <scheme val="minor"/>
    </font>
    <font>
      <sz val="11"/>
      <name val="Calibri"/>
      <family val="2"/>
      <scheme val="minor"/>
    </font>
    <font>
      <b/>
      <sz val="10"/>
      <name val="Arial"/>
      <family val="2"/>
    </font>
    <font>
      <b/>
      <sz val="9"/>
      <name val="Arial"/>
      <family val="2"/>
    </font>
    <font>
      <b/>
      <i/>
      <sz val="10"/>
      <name val="Arial"/>
      <family val="2"/>
    </font>
    <font>
      <b/>
      <sz val="10"/>
      <color theme="0"/>
      <name val="Arial"/>
      <family val="2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0"/>
      <name val="Arial"/>
      <family val="2"/>
    </font>
    <font>
      <sz val="10"/>
      <color indexed="12"/>
      <name val="Arial"/>
      <family val="2"/>
    </font>
    <font>
      <b/>
      <sz val="11"/>
      <color theme="1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rgb="FF00B050"/>
      <name val="Arial"/>
      <family val="2"/>
    </font>
    <font>
      <b/>
      <sz val="10"/>
      <color rgb="FFFF0000"/>
      <name val="Arial"/>
      <family val="2"/>
    </font>
    <font>
      <b/>
      <sz val="10"/>
      <color theme="5" tint="-0.249977111117893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Fill="1"/>
    <xf numFmtId="0" fontId="2" fillId="0" borderId="0" xfId="0" applyFont="1" applyFill="1" applyAlignment="1">
      <alignment horizontal="center"/>
    </xf>
    <xf numFmtId="0" fontId="2" fillId="0" borderId="0" xfId="0" applyFont="1" applyAlignment="1">
      <alignment horizontal="center" wrapText="1"/>
    </xf>
    <xf numFmtId="17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4" fontId="3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5" fillId="2" borderId="0" xfId="0" applyFont="1" applyFill="1" applyAlignment="1">
      <alignment horizontal="center"/>
    </xf>
    <xf numFmtId="0" fontId="5" fillId="0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22" fontId="7" fillId="0" borderId="1" xfId="0" applyNumberFormat="1" applyFont="1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1" fillId="0" borderId="1" xfId="0" applyNumberFormat="1" applyFont="1" applyFill="1" applyBorder="1" applyAlignment="1">
      <alignment horizontal="center"/>
    </xf>
    <xf numFmtId="2" fontId="7" fillId="0" borderId="1" xfId="0" applyNumberFormat="1" applyFont="1" applyFill="1" applyBorder="1" applyAlignment="1">
      <alignment horizontal="center"/>
    </xf>
    <xf numFmtId="2" fontId="2" fillId="0" borderId="0" xfId="0" applyNumberFormat="1" applyFont="1" applyAlignment="1">
      <alignment horizontal="center"/>
    </xf>
    <xf numFmtId="0" fontId="8" fillId="3" borderId="0" xfId="0" applyFont="1" applyFill="1" applyAlignment="1">
      <alignment horizontal="center" vertical="center"/>
    </xf>
    <xf numFmtId="0" fontId="0" fillId="0" borderId="0" xfId="0" applyFill="1" applyAlignment="1">
      <alignment horizontal="center"/>
    </xf>
    <xf numFmtId="0" fontId="9" fillId="0" borderId="0" xfId="0" applyFont="1" applyFill="1" applyAlignment="1">
      <alignment horizontal="center"/>
    </xf>
    <xf numFmtId="0" fontId="10" fillId="0" borderId="0" xfId="0" applyFont="1" applyFill="1" applyAlignment="1">
      <alignment horizontal="center"/>
    </xf>
    <xf numFmtId="0" fontId="12" fillId="5" borderId="0" xfId="0" applyFont="1" applyFill="1" applyAlignment="1">
      <alignment horizontal="center"/>
    </xf>
    <xf numFmtId="0" fontId="2" fillId="0" borderId="0" xfId="0" applyFont="1" applyAlignment="1">
      <alignment horizontal="left" vertical="center"/>
    </xf>
    <xf numFmtId="0" fontId="5" fillId="6" borderId="0" xfId="0" applyFont="1" applyFill="1" applyAlignment="1">
      <alignment horizontal="center"/>
    </xf>
    <xf numFmtId="0" fontId="2" fillId="0" borderId="0" xfId="0" applyFont="1" applyAlignment="1">
      <alignment horizontal="right"/>
    </xf>
    <xf numFmtId="0" fontId="5" fillId="7" borderId="0" xfId="0" applyFont="1" applyFill="1" applyAlignment="1">
      <alignment horizontal="center"/>
    </xf>
    <xf numFmtId="0" fontId="5" fillId="8" borderId="0" xfId="0" applyFont="1" applyFill="1" applyAlignment="1">
      <alignment horizontal="center"/>
    </xf>
    <xf numFmtId="0" fontId="13" fillId="9" borderId="0" xfId="0" applyFont="1" applyFill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2" fontId="0" fillId="0" borderId="0" xfId="0" applyNumberFormat="1" applyFill="1" applyBorder="1" applyAlignment="1">
      <alignment horizontal="center"/>
    </xf>
    <xf numFmtId="2" fontId="1" fillId="0" borderId="0" xfId="0" applyNumberFormat="1" applyFont="1" applyFill="1" applyBorder="1" applyAlignment="1">
      <alignment horizontal="center"/>
    </xf>
    <xf numFmtId="2" fontId="1" fillId="0" borderId="0" xfId="0" applyNumberFormat="1" applyFont="1" applyFill="1"/>
    <xf numFmtId="2" fontId="7" fillId="0" borderId="0" xfId="0" applyNumberFormat="1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/>
    <xf numFmtId="2" fontId="2" fillId="0" borderId="0" xfId="0" applyNumberFormat="1" applyFont="1" applyBorder="1" applyAlignment="1">
      <alignment horizontal="center"/>
    </xf>
    <xf numFmtId="0" fontId="0" fillId="0" borderId="0" xfId="0" applyFill="1" applyBorder="1" applyAlignment="1">
      <alignment horizontal="center"/>
    </xf>
    <xf numFmtId="17" fontId="3" fillId="0" borderId="0" xfId="0" applyNumberFormat="1" applyFont="1" applyAlignment="1">
      <alignment horizontal="center"/>
    </xf>
    <xf numFmtId="0" fontId="6" fillId="0" borderId="1" xfId="0" applyFont="1" applyBorder="1" applyAlignment="1">
      <alignment horizontal="center" vertical="center"/>
    </xf>
    <xf numFmtId="1" fontId="2" fillId="0" borderId="0" xfId="0" applyNumberFormat="1" applyFont="1" applyFill="1" applyBorder="1" applyAlignment="1">
      <alignment horizontal="center"/>
    </xf>
    <xf numFmtId="1" fontId="2" fillId="0" borderId="0" xfId="0" applyNumberFormat="1" applyFont="1" applyBorder="1" applyAlignment="1">
      <alignment horizontal="center"/>
    </xf>
    <xf numFmtId="0" fontId="8" fillId="0" borderId="0" xfId="0" applyFont="1" applyFill="1" applyAlignment="1">
      <alignment vertical="center"/>
    </xf>
    <xf numFmtId="0" fontId="11" fillId="3" borderId="0" xfId="0" applyFont="1" applyFill="1" applyAlignment="1"/>
    <xf numFmtId="0" fontId="14" fillId="0" borderId="0" xfId="0" applyFont="1" applyAlignment="1">
      <alignment horizontal="center"/>
    </xf>
    <xf numFmtId="2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1" fillId="3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15" activePane="bottomRight" state="frozen"/>
      <selection pane="topRight"/>
      <selection pane="bottomLeft"/>
      <selection pane="bottomRight" activeCell="A9" sqref="A9:XFD32"/>
    </sheetView>
  </sheetViews>
  <sheetFormatPr defaultColWidth="8.85546875" defaultRowHeight="15"/>
  <cols>
    <col min="1" max="1" width="19.5703125" style="42" customWidth="1"/>
    <col min="2" max="2" width="14.42578125" style="39" customWidth="1"/>
    <col min="3" max="3" width="10.42578125" style="39" customWidth="1"/>
    <col min="4" max="4" width="10.140625" style="39" customWidth="1"/>
    <col min="5" max="5" width="10.28515625" style="39" customWidth="1"/>
    <col min="6" max="6" width="9.85546875" style="39" customWidth="1"/>
    <col min="7" max="7" width="11.28515625" style="39" customWidth="1"/>
    <col min="8" max="8" width="12" style="39" customWidth="1"/>
    <col min="9" max="9" width="11.5703125" style="39" customWidth="1"/>
    <col min="10" max="10" width="10.5703125" style="39" customWidth="1"/>
    <col min="11" max="11" width="10" style="39" customWidth="1"/>
    <col min="12" max="12" width="11.140625" style="39" customWidth="1"/>
    <col min="13" max="13" width="11.28515625" style="39" customWidth="1"/>
    <col min="14" max="14" width="9.7109375" style="39" customWidth="1"/>
    <col min="15" max="15" width="10" style="39" customWidth="1"/>
    <col min="16" max="16" width="9.7109375" style="39" customWidth="1"/>
    <col min="17" max="17" width="10.140625" style="39" customWidth="1"/>
    <col min="18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45566.041666666664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>
        <v>45566.041666666664</v>
      </c>
      <c r="B9" s="51">
        <v>9.2899999999999991</v>
      </c>
      <c r="C9" s="51">
        <v>4.25</v>
      </c>
      <c r="D9" s="51">
        <v>14.01</v>
      </c>
      <c r="E9" s="51">
        <v>10.4</v>
      </c>
      <c r="F9" s="51">
        <v>6.1</v>
      </c>
      <c r="G9" s="51">
        <v>39.6</v>
      </c>
      <c r="H9" s="51">
        <v>17.61</v>
      </c>
      <c r="I9" s="51">
        <v>5.3</v>
      </c>
      <c r="J9" s="51">
        <v>0.28000000000000003</v>
      </c>
      <c r="K9" s="51">
        <v>262</v>
      </c>
      <c r="L9" s="51">
        <v>26.6</v>
      </c>
      <c r="M9" s="51">
        <v>94.83</v>
      </c>
      <c r="N9" s="51">
        <v>2.1</v>
      </c>
      <c r="O9" s="51">
        <v>0</v>
      </c>
      <c r="P9" s="51">
        <v>0.41</v>
      </c>
      <c r="Q9" s="51">
        <v>4.68</v>
      </c>
    </row>
    <row r="10" spans="1:21" customFormat="1">
      <c r="A10" s="50">
        <v>45566.083333333336</v>
      </c>
      <c r="B10" s="51">
        <v>9.24</v>
      </c>
      <c r="C10" s="51">
        <v>4.12</v>
      </c>
      <c r="D10" s="51">
        <v>14</v>
      </c>
      <c r="E10" s="51">
        <v>10.59</v>
      </c>
      <c r="F10" s="51">
        <v>6.68</v>
      </c>
      <c r="G10" s="51">
        <v>35.65</v>
      </c>
      <c r="H10" s="51">
        <v>17.48</v>
      </c>
      <c r="I10" s="51">
        <v>5.25</v>
      </c>
      <c r="J10" s="51">
        <v>0.26</v>
      </c>
      <c r="K10" s="51">
        <v>257.89999999999998</v>
      </c>
      <c r="L10" s="51">
        <v>26.41</v>
      </c>
      <c r="M10" s="51">
        <v>92.72</v>
      </c>
      <c r="N10" s="51">
        <v>2.2000000000000002</v>
      </c>
      <c r="O10" s="51">
        <v>0</v>
      </c>
      <c r="P10" s="51">
        <v>0.4</v>
      </c>
      <c r="Q10" s="51">
        <v>4.68</v>
      </c>
    </row>
    <row r="11" spans="1:21" customFormat="1">
      <c r="A11" s="50">
        <v>45566.125</v>
      </c>
      <c r="B11" s="51">
        <v>9.26</v>
      </c>
      <c r="C11" s="51">
        <v>4.1100000000000003</v>
      </c>
      <c r="D11" s="51">
        <v>14</v>
      </c>
      <c r="E11" s="51">
        <v>11.44</v>
      </c>
      <c r="F11" s="51">
        <v>5.55</v>
      </c>
      <c r="G11" s="51">
        <v>28.69</v>
      </c>
      <c r="H11" s="51">
        <v>17.16</v>
      </c>
      <c r="I11" s="51">
        <v>4.78</v>
      </c>
      <c r="J11" s="51">
        <v>0.27</v>
      </c>
      <c r="K11" s="51">
        <v>257.2</v>
      </c>
      <c r="L11" s="51">
        <v>26.27</v>
      </c>
      <c r="M11" s="51">
        <v>93.1</v>
      </c>
      <c r="N11" s="51">
        <v>2.1</v>
      </c>
      <c r="O11" s="51">
        <v>0</v>
      </c>
      <c r="P11" s="51">
        <v>0.39</v>
      </c>
      <c r="Q11" s="51">
        <v>4.68</v>
      </c>
    </row>
    <row r="12" spans="1:21" customFormat="1">
      <c r="A12" s="50">
        <v>45566.166666666664</v>
      </c>
      <c r="B12" s="51">
        <v>9.31</v>
      </c>
      <c r="C12" s="51">
        <v>4.1100000000000003</v>
      </c>
      <c r="D12" s="51">
        <v>14</v>
      </c>
      <c r="E12" s="51">
        <v>12.68</v>
      </c>
      <c r="F12" s="51">
        <v>5.03</v>
      </c>
      <c r="G12" s="51">
        <v>26.05</v>
      </c>
      <c r="H12" s="51">
        <v>12.26</v>
      </c>
      <c r="I12" s="51">
        <v>4.59</v>
      </c>
      <c r="J12" s="51">
        <v>0.24</v>
      </c>
      <c r="K12" s="51">
        <v>261.27</v>
      </c>
      <c r="L12" s="51">
        <v>26.08</v>
      </c>
      <c r="M12" s="51">
        <v>93.92</v>
      </c>
      <c r="N12" s="51">
        <v>2.1</v>
      </c>
      <c r="O12" s="51">
        <v>0</v>
      </c>
      <c r="P12" s="51">
        <v>0.37</v>
      </c>
      <c r="Q12" s="51">
        <v>4.67</v>
      </c>
    </row>
    <row r="13" spans="1:21" customFormat="1">
      <c r="A13" s="50">
        <v>45566.208333333336</v>
      </c>
      <c r="B13" s="51">
        <v>9.33</v>
      </c>
      <c r="C13" s="51">
        <v>4.12</v>
      </c>
      <c r="D13" s="51">
        <v>14.07</v>
      </c>
      <c r="E13" s="51">
        <v>12.22</v>
      </c>
      <c r="F13" s="51">
        <v>5.12</v>
      </c>
      <c r="G13" s="51">
        <v>21.18</v>
      </c>
      <c r="H13" s="51">
        <v>15.22</v>
      </c>
      <c r="I13" s="51">
        <v>4.58</v>
      </c>
      <c r="J13" s="51">
        <v>0.31</v>
      </c>
      <c r="K13" s="51">
        <v>265.52999999999997</v>
      </c>
      <c r="L13" s="51">
        <v>25.74</v>
      </c>
      <c r="M13" s="51">
        <v>96.44</v>
      </c>
      <c r="N13" s="51">
        <v>2.1</v>
      </c>
      <c r="O13" s="51">
        <v>0</v>
      </c>
      <c r="P13" s="51">
        <v>0.38</v>
      </c>
      <c r="Q13" s="51">
        <v>4.66</v>
      </c>
    </row>
    <row r="14" spans="1:21" customFormat="1">
      <c r="A14" s="50">
        <v>45566.25</v>
      </c>
      <c r="B14" s="51">
        <v>9.31</v>
      </c>
      <c r="C14" s="51">
        <v>4.07</v>
      </c>
      <c r="D14" s="51">
        <v>14.05</v>
      </c>
      <c r="E14" s="51">
        <v>11.1</v>
      </c>
      <c r="F14" s="51">
        <v>5.37</v>
      </c>
      <c r="G14" s="51">
        <v>22.88</v>
      </c>
      <c r="H14" s="51">
        <v>12.79</v>
      </c>
      <c r="I14" s="51">
        <v>4.75</v>
      </c>
      <c r="J14" s="51">
        <v>0.18</v>
      </c>
      <c r="K14" s="51">
        <v>253.12</v>
      </c>
      <c r="L14" s="51">
        <v>25.84</v>
      </c>
      <c r="M14" s="51">
        <v>96.64</v>
      </c>
      <c r="N14" s="51">
        <v>7.9</v>
      </c>
      <c r="O14" s="51">
        <v>0</v>
      </c>
      <c r="P14" s="51">
        <v>0.36</v>
      </c>
      <c r="Q14" s="51">
        <v>4.67</v>
      </c>
    </row>
    <row r="15" spans="1:21" customFormat="1">
      <c r="A15" s="50">
        <v>45566.291666666664</v>
      </c>
      <c r="B15" s="51">
        <v>9.3000000000000007</v>
      </c>
      <c r="C15" s="51">
        <v>4.08</v>
      </c>
      <c r="D15" s="51">
        <v>14.04</v>
      </c>
      <c r="E15" s="51">
        <v>10.31</v>
      </c>
      <c r="F15" s="51">
        <v>4.8600000000000003</v>
      </c>
      <c r="G15" s="51">
        <v>31.67</v>
      </c>
      <c r="H15" s="51">
        <v>11.94</v>
      </c>
      <c r="I15" s="51">
        <v>4.8499999999999996</v>
      </c>
      <c r="J15" s="51">
        <v>0.37</v>
      </c>
      <c r="K15" s="51">
        <v>260.2</v>
      </c>
      <c r="L15" s="51">
        <v>26.68</v>
      </c>
      <c r="M15" s="51">
        <v>96.96</v>
      </c>
      <c r="N15" s="51">
        <v>43.5</v>
      </c>
      <c r="O15" s="51">
        <v>0</v>
      </c>
      <c r="P15" s="51">
        <v>0.37</v>
      </c>
      <c r="Q15" s="51">
        <v>4.66</v>
      </c>
    </row>
    <row r="16" spans="1:21" customFormat="1">
      <c r="A16" s="50">
        <v>45566.333333333336</v>
      </c>
      <c r="B16" s="51">
        <v>9.3000000000000007</v>
      </c>
      <c r="C16" s="51">
        <v>4.09</v>
      </c>
      <c r="D16" s="51">
        <v>14.03</v>
      </c>
      <c r="E16" s="51">
        <v>10.23</v>
      </c>
      <c r="F16" s="51">
        <v>5.59</v>
      </c>
      <c r="G16" s="51">
        <v>30.52</v>
      </c>
      <c r="H16" s="51">
        <v>15.98</v>
      </c>
      <c r="I16" s="51">
        <v>5.15</v>
      </c>
      <c r="J16" s="51">
        <v>0.47</v>
      </c>
      <c r="K16" s="51">
        <v>264.98</v>
      </c>
      <c r="L16" s="51">
        <v>28.44</v>
      </c>
      <c r="M16" s="51">
        <v>94.74</v>
      </c>
      <c r="N16" s="51">
        <v>164.9</v>
      </c>
      <c r="O16" s="51">
        <v>0</v>
      </c>
      <c r="P16" s="51">
        <v>0.42</v>
      </c>
      <c r="Q16" s="51">
        <v>4.66</v>
      </c>
    </row>
    <row r="17" spans="1:17" customFormat="1">
      <c r="A17" s="50">
        <v>45566.375</v>
      </c>
      <c r="B17" s="51">
        <v>9.39</v>
      </c>
      <c r="C17" s="51">
        <v>4.07</v>
      </c>
      <c r="D17" s="51">
        <v>14.08</v>
      </c>
      <c r="E17" s="51">
        <v>11.04</v>
      </c>
      <c r="F17" s="51">
        <v>7.62</v>
      </c>
      <c r="G17" s="51">
        <v>32.270000000000003</v>
      </c>
      <c r="H17" s="51">
        <v>14.48</v>
      </c>
      <c r="I17" s="51">
        <v>6.51</v>
      </c>
      <c r="J17" s="51">
        <v>0.86</v>
      </c>
      <c r="K17" s="51">
        <v>280.17</v>
      </c>
      <c r="L17" s="51">
        <v>30.32</v>
      </c>
      <c r="M17" s="51">
        <v>89.16</v>
      </c>
      <c r="N17" s="51">
        <v>286.8</v>
      </c>
      <c r="O17" s="51">
        <v>0</v>
      </c>
      <c r="P17" s="51">
        <v>0.55000000000000004</v>
      </c>
      <c r="Q17" s="51">
        <v>4.68</v>
      </c>
    </row>
    <row r="18" spans="1:17" customFormat="1">
      <c r="A18" s="50">
        <v>45566.416666666664</v>
      </c>
      <c r="B18" s="51">
        <v>9.2899999999999991</v>
      </c>
      <c r="C18" s="51">
        <v>4.0999999999999996</v>
      </c>
      <c r="D18" s="51">
        <v>14.12</v>
      </c>
      <c r="E18" s="51">
        <v>14.48</v>
      </c>
      <c r="F18" s="51">
        <v>8.5500000000000007</v>
      </c>
      <c r="G18" s="51">
        <v>47.55</v>
      </c>
      <c r="H18" s="51">
        <v>16.690000000000001</v>
      </c>
      <c r="I18" s="51">
        <v>7.22</v>
      </c>
      <c r="J18" s="51">
        <v>0.68</v>
      </c>
      <c r="K18" s="51">
        <v>268.33999999999997</v>
      </c>
      <c r="L18" s="51">
        <v>31.8</v>
      </c>
      <c r="M18" s="51">
        <v>78.7</v>
      </c>
      <c r="N18" s="51">
        <v>214.2</v>
      </c>
      <c r="O18" s="51">
        <v>0</v>
      </c>
      <c r="P18" s="51">
        <v>0.63</v>
      </c>
      <c r="Q18" s="51">
        <v>4.68</v>
      </c>
    </row>
    <row r="19" spans="1:17" customFormat="1">
      <c r="A19" s="50">
        <v>45566.458333333336</v>
      </c>
      <c r="B19" s="51">
        <v>9.2200000000000006</v>
      </c>
      <c r="C19" s="51">
        <v>4.1399999999999997</v>
      </c>
      <c r="D19" s="51">
        <v>14</v>
      </c>
      <c r="E19" s="51">
        <v>16.47</v>
      </c>
      <c r="F19" s="51">
        <v>9.31</v>
      </c>
      <c r="G19" s="51">
        <v>57.51</v>
      </c>
      <c r="H19" s="51">
        <v>24.02</v>
      </c>
      <c r="I19" s="51">
        <v>7.44</v>
      </c>
      <c r="J19" s="51">
        <v>0.72</v>
      </c>
      <c r="K19" s="51">
        <v>272.11</v>
      </c>
      <c r="L19" s="51">
        <v>32.54</v>
      </c>
      <c r="M19" s="51">
        <v>72.900000000000006</v>
      </c>
      <c r="N19" s="51">
        <v>615.70000000000005</v>
      </c>
      <c r="O19" s="51">
        <v>0</v>
      </c>
      <c r="P19" s="51">
        <v>0.67</v>
      </c>
      <c r="Q19" s="51">
        <v>4.6900000000000004</v>
      </c>
    </row>
    <row r="20" spans="1:17" customFormat="1">
      <c r="A20" s="50">
        <v>45566.5</v>
      </c>
      <c r="B20" s="51">
        <v>9.2100000000000009</v>
      </c>
      <c r="C20" s="51">
        <v>4.17</v>
      </c>
      <c r="D20" s="51">
        <v>14</v>
      </c>
      <c r="E20" s="51">
        <v>17.13</v>
      </c>
      <c r="F20" s="51">
        <v>22.57</v>
      </c>
      <c r="G20" s="51">
        <v>60.43</v>
      </c>
      <c r="H20" s="51">
        <v>20.62</v>
      </c>
      <c r="I20" s="51">
        <v>7.33</v>
      </c>
      <c r="J20" s="51">
        <v>0.66</v>
      </c>
      <c r="K20" s="51">
        <v>269.26</v>
      </c>
      <c r="L20" s="51">
        <v>33.049999999999997</v>
      </c>
      <c r="M20" s="51">
        <v>69.430000000000007</v>
      </c>
      <c r="N20" s="51">
        <v>578.4</v>
      </c>
      <c r="O20" s="51">
        <v>0</v>
      </c>
      <c r="P20" s="51">
        <v>0.64</v>
      </c>
      <c r="Q20" s="51">
        <v>4.6900000000000004</v>
      </c>
    </row>
    <row r="21" spans="1:17" customFormat="1">
      <c r="A21" s="50">
        <v>45566.541666666664</v>
      </c>
      <c r="B21" s="51">
        <v>9.27</v>
      </c>
      <c r="C21" s="51">
        <v>4.17</v>
      </c>
      <c r="D21" s="51">
        <v>14</v>
      </c>
      <c r="E21" s="51">
        <v>13.81</v>
      </c>
      <c r="F21" s="51">
        <v>43.34</v>
      </c>
      <c r="G21" s="51">
        <v>60.89</v>
      </c>
      <c r="H21" s="51">
        <v>21.1</v>
      </c>
      <c r="I21" s="51">
        <v>7</v>
      </c>
      <c r="J21" s="51">
        <v>0.65</v>
      </c>
      <c r="K21" s="51">
        <v>272.63</v>
      </c>
      <c r="L21" s="51">
        <v>33.33</v>
      </c>
      <c r="M21" s="51">
        <v>67.099999999999994</v>
      </c>
      <c r="N21" s="51">
        <v>694.2</v>
      </c>
      <c r="O21" s="51">
        <v>0</v>
      </c>
      <c r="P21" s="51">
        <v>0.61</v>
      </c>
      <c r="Q21" s="51">
        <v>4.68</v>
      </c>
    </row>
    <row r="22" spans="1:17" customFormat="1">
      <c r="A22" s="50">
        <v>45566.583333333336</v>
      </c>
      <c r="B22" s="51">
        <v>9.3699999999999992</v>
      </c>
      <c r="C22" s="51">
        <v>4.17</v>
      </c>
      <c r="D22" s="51">
        <v>14.09</v>
      </c>
      <c r="E22" s="51">
        <v>14.49</v>
      </c>
      <c r="F22" s="51">
        <v>33.729999999999997</v>
      </c>
      <c r="G22" s="51">
        <v>59.55</v>
      </c>
      <c r="H22" s="51">
        <v>26.31</v>
      </c>
      <c r="I22" s="51">
        <v>5.21</v>
      </c>
      <c r="J22" s="51">
        <v>0.52</v>
      </c>
      <c r="K22" s="51">
        <v>270</v>
      </c>
      <c r="L22" s="51">
        <v>33.130000000000003</v>
      </c>
      <c r="M22" s="51">
        <v>68.22</v>
      </c>
      <c r="N22" s="51">
        <v>312</v>
      </c>
      <c r="O22" s="51">
        <v>0</v>
      </c>
      <c r="P22" s="51">
        <v>0.49</v>
      </c>
      <c r="Q22" s="51">
        <v>4.67</v>
      </c>
    </row>
    <row r="23" spans="1:17" customFormat="1">
      <c r="A23" s="50">
        <v>45566.625</v>
      </c>
      <c r="B23" s="51">
        <v>9.39</v>
      </c>
      <c r="C23" s="51">
        <v>4.0999999999999996</v>
      </c>
      <c r="D23" s="51">
        <v>14.12</v>
      </c>
      <c r="E23" s="51">
        <v>12.15</v>
      </c>
      <c r="F23" s="51">
        <v>17.920000000000002</v>
      </c>
      <c r="G23" s="51">
        <v>56.15</v>
      </c>
      <c r="H23" s="51">
        <v>24.31</v>
      </c>
      <c r="I23" s="51">
        <v>5.15</v>
      </c>
      <c r="J23" s="51">
        <v>0.38</v>
      </c>
      <c r="K23" s="51">
        <v>253.47</v>
      </c>
      <c r="L23" s="51">
        <v>32.700000000000003</v>
      </c>
      <c r="M23" s="51">
        <v>76.97</v>
      </c>
      <c r="N23" s="51">
        <v>149.5</v>
      </c>
      <c r="O23" s="51">
        <v>0</v>
      </c>
      <c r="P23" s="51">
        <v>0.5</v>
      </c>
      <c r="Q23" s="51">
        <v>4.63</v>
      </c>
    </row>
    <row r="24" spans="1:17" customFormat="1">
      <c r="A24" s="50">
        <v>45566.666666666664</v>
      </c>
      <c r="B24" s="51">
        <v>9.3699999999999992</v>
      </c>
      <c r="C24" s="51">
        <v>4.08</v>
      </c>
      <c r="D24" s="51">
        <v>14.09</v>
      </c>
      <c r="E24" s="51">
        <v>9.83</v>
      </c>
      <c r="F24" s="51">
        <v>7.42</v>
      </c>
      <c r="G24" s="51">
        <v>49.29</v>
      </c>
      <c r="H24" s="51">
        <v>21.19</v>
      </c>
      <c r="I24" s="51">
        <v>5.03</v>
      </c>
      <c r="J24" s="51">
        <v>0.56000000000000005</v>
      </c>
      <c r="K24" s="51">
        <v>264.67</v>
      </c>
      <c r="L24" s="51">
        <v>32.549999999999997</v>
      </c>
      <c r="M24" s="51">
        <v>78.290000000000006</v>
      </c>
      <c r="N24" s="51">
        <v>123.9</v>
      </c>
      <c r="O24" s="51">
        <v>0</v>
      </c>
      <c r="P24" s="51">
        <v>0.48</v>
      </c>
      <c r="Q24" s="51">
        <v>4.63</v>
      </c>
    </row>
    <row r="25" spans="1:17" customFormat="1">
      <c r="A25" s="50">
        <v>45566.708333333336</v>
      </c>
      <c r="B25" s="51">
        <v>9.35</v>
      </c>
      <c r="C25" s="51">
        <v>4.08</v>
      </c>
      <c r="D25" s="51">
        <v>14.07</v>
      </c>
      <c r="E25" s="51">
        <v>9.56</v>
      </c>
      <c r="F25" s="51">
        <v>4.6500000000000004</v>
      </c>
      <c r="G25" s="51">
        <v>43.31</v>
      </c>
      <c r="H25" s="51">
        <v>18.010000000000002</v>
      </c>
      <c r="I25" s="51">
        <v>5.24</v>
      </c>
      <c r="J25" s="51">
        <v>0.22</v>
      </c>
      <c r="K25" s="51">
        <v>157.81</v>
      </c>
      <c r="L25" s="51">
        <v>31.27</v>
      </c>
      <c r="M25" s="51">
        <v>80.400000000000006</v>
      </c>
      <c r="N25" s="51">
        <v>57.5</v>
      </c>
      <c r="O25" s="51">
        <v>0</v>
      </c>
      <c r="P25" s="51">
        <v>0.48</v>
      </c>
      <c r="Q25" s="51">
        <v>4.6399999999999997</v>
      </c>
    </row>
    <row r="26" spans="1:17" customFormat="1">
      <c r="A26" s="50">
        <v>45566.75</v>
      </c>
      <c r="B26" s="51">
        <v>9.4499999999999993</v>
      </c>
      <c r="C26" s="51">
        <v>4.08</v>
      </c>
      <c r="D26" s="51">
        <v>14.16</v>
      </c>
      <c r="E26" s="51">
        <v>8.74</v>
      </c>
      <c r="F26" s="51">
        <v>16.02</v>
      </c>
      <c r="G26" s="51">
        <v>38.39</v>
      </c>
      <c r="H26" s="51">
        <v>13.74</v>
      </c>
      <c r="I26" s="51">
        <v>5.28</v>
      </c>
      <c r="J26" s="51">
        <v>0.18</v>
      </c>
      <c r="K26" s="51">
        <v>199.49</v>
      </c>
      <c r="L26" s="51">
        <v>30.8</v>
      </c>
      <c r="M26" s="51">
        <v>81.459999999999994</v>
      </c>
      <c r="N26" s="51">
        <v>23.2</v>
      </c>
      <c r="O26" s="51">
        <v>0</v>
      </c>
      <c r="P26" s="51">
        <v>0.47</v>
      </c>
      <c r="Q26" s="51">
        <v>4.6900000000000004</v>
      </c>
    </row>
    <row r="27" spans="1:17" customFormat="1">
      <c r="A27" s="50">
        <v>45566.791666666664</v>
      </c>
      <c r="B27" s="51">
        <v>9.51</v>
      </c>
      <c r="C27" s="51">
        <v>4.08</v>
      </c>
      <c r="D27" s="51">
        <v>14.19</v>
      </c>
      <c r="E27" s="51">
        <v>9.2200000000000006</v>
      </c>
      <c r="F27" s="51">
        <v>14.93</v>
      </c>
      <c r="G27" s="51">
        <v>36.71</v>
      </c>
      <c r="H27" s="51">
        <v>19.8</v>
      </c>
      <c r="I27" s="51">
        <v>4.32</v>
      </c>
      <c r="J27" s="51">
        <v>0.21</v>
      </c>
      <c r="K27" s="51">
        <v>250.21</v>
      </c>
      <c r="L27" s="51">
        <v>29.77</v>
      </c>
      <c r="M27" s="51">
        <v>85.62</v>
      </c>
      <c r="N27" s="51">
        <v>2.6</v>
      </c>
      <c r="O27" s="51">
        <v>0</v>
      </c>
      <c r="P27" s="51">
        <v>0.36</v>
      </c>
      <c r="Q27" s="51">
        <v>4.6900000000000004</v>
      </c>
    </row>
    <row r="28" spans="1:17" customFormat="1">
      <c r="A28" s="50">
        <v>45566.833333333336</v>
      </c>
      <c r="B28" s="51">
        <v>9.34</v>
      </c>
      <c r="C28" s="51">
        <v>4.08</v>
      </c>
      <c r="D28" s="51">
        <v>14.07</v>
      </c>
      <c r="E28" s="51">
        <v>10.34</v>
      </c>
      <c r="F28" s="51">
        <v>13.33</v>
      </c>
      <c r="G28" s="51">
        <v>41.57</v>
      </c>
      <c r="H28" s="51">
        <v>17.97</v>
      </c>
      <c r="I28" s="51">
        <v>4.4400000000000004</v>
      </c>
      <c r="J28" s="51">
        <v>0.34</v>
      </c>
      <c r="K28" s="51">
        <v>265.31</v>
      </c>
      <c r="L28" s="51">
        <v>29.51</v>
      </c>
      <c r="M28" s="51">
        <v>85.61</v>
      </c>
      <c r="N28" s="51">
        <v>2.4</v>
      </c>
      <c r="O28" s="51">
        <v>0</v>
      </c>
      <c r="P28" s="51">
        <v>0.38</v>
      </c>
      <c r="Q28" s="51">
        <v>4.67</v>
      </c>
    </row>
    <row r="29" spans="1:17" customFormat="1">
      <c r="A29" s="50">
        <v>45566.875</v>
      </c>
      <c r="B29" s="51">
        <v>9.33</v>
      </c>
      <c r="C29" s="51">
        <v>4.08</v>
      </c>
      <c r="D29" s="51">
        <v>14.06</v>
      </c>
      <c r="E29" s="51">
        <v>10.29</v>
      </c>
      <c r="F29" s="51">
        <v>13.79</v>
      </c>
      <c r="G29" s="51">
        <v>44.38</v>
      </c>
      <c r="H29" s="51">
        <v>13.18</v>
      </c>
      <c r="I29" s="51">
        <v>4.58</v>
      </c>
      <c r="J29" s="51">
        <v>0.15</v>
      </c>
      <c r="K29" s="51">
        <v>251.22</v>
      </c>
      <c r="L29" s="51">
        <v>28.91</v>
      </c>
      <c r="M29" s="51">
        <v>88.59</v>
      </c>
      <c r="N29" s="51">
        <v>2.2999999999999998</v>
      </c>
      <c r="O29" s="51">
        <v>0</v>
      </c>
      <c r="P29" s="51">
        <v>0.4</v>
      </c>
      <c r="Q29" s="51">
        <v>4.67</v>
      </c>
    </row>
    <row r="30" spans="1:17" customFormat="1">
      <c r="A30" s="50">
        <v>45566.916666666664</v>
      </c>
      <c r="B30" s="51">
        <v>9.35</v>
      </c>
      <c r="C30" s="51">
        <v>4.09</v>
      </c>
      <c r="D30" s="51">
        <v>14.08</v>
      </c>
      <c r="E30" s="51">
        <v>10.99</v>
      </c>
      <c r="F30" s="51">
        <v>9.86</v>
      </c>
      <c r="G30" s="51">
        <v>44.18</v>
      </c>
      <c r="H30" s="51">
        <v>14.53</v>
      </c>
      <c r="I30" s="51">
        <v>5.0599999999999996</v>
      </c>
      <c r="J30" s="51">
        <v>0.14000000000000001</v>
      </c>
      <c r="K30" s="51">
        <v>206.44</v>
      </c>
      <c r="L30" s="51">
        <v>28.45</v>
      </c>
      <c r="M30" s="51">
        <v>89.86</v>
      </c>
      <c r="N30" s="51">
        <v>2.2000000000000002</v>
      </c>
      <c r="O30" s="51">
        <v>0</v>
      </c>
      <c r="P30" s="51">
        <v>0.48</v>
      </c>
      <c r="Q30" s="51">
        <v>4.68</v>
      </c>
    </row>
    <row r="31" spans="1:17" customFormat="1">
      <c r="A31" s="50">
        <v>45566.958333333336</v>
      </c>
      <c r="B31" s="51">
        <v>9.34</v>
      </c>
      <c r="C31" s="51">
        <v>4.08</v>
      </c>
      <c r="D31" s="51">
        <v>14.08</v>
      </c>
      <c r="E31" s="51">
        <v>11.05</v>
      </c>
      <c r="F31" s="51">
        <v>8.8000000000000007</v>
      </c>
      <c r="G31" s="51">
        <v>48.42</v>
      </c>
      <c r="H31" s="51">
        <v>13.62</v>
      </c>
      <c r="I31" s="51">
        <v>5.84</v>
      </c>
      <c r="J31" s="51">
        <v>0.13</v>
      </c>
      <c r="K31" s="51">
        <v>204.98</v>
      </c>
      <c r="L31" s="51">
        <v>28.01</v>
      </c>
      <c r="M31" s="51">
        <v>93.49</v>
      </c>
      <c r="N31" s="51">
        <v>2.1</v>
      </c>
      <c r="O31" s="51">
        <v>0</v>
      </c>
      <c r="P31" s="51">
        <v>0.52</v>
      </c>
      <c r="Q31" s="51">
        <v>4.67</v>
      </c>
    </row>
    <row r="32" spans="1:17" customFormat="1">
      <c r="A32" s="50">
        <v>45567</v>
      </c>
      <c r="B32" s="51">
        <v>9.31</v>
      </c>
      <c r="C32" s="51">
        <v>4.0599999999999996</v>
      </c>
      <c r="D32" s="51">
        <v>14.04</v>
      </c>
      <c r="E32" s="51">
        <v>10.029999999999999</v>
      </c>
      <c r="F32" s="51">
        <v>8.4499999999999993</v>
      </c>
      <c r="G32" s="51">
        <v>63.3</v>
      </c>
      <c r="H32" s="51">
        <v>18.63</v>
      </c>
      <c r="I32" s="51">
        <v>6.42</v>
      </c>
      <c r="J32" s="51">
        <v>0.35</v>
      </c>
      <c r="K32" s="51">
        <v>260.75</v>
      </c>
      <c r="L32" s="51">
        <v>27.66</v>
      </c>
      <c r="M32" s="51">
        <v>95.06</v>
      </c>
      <c r="N32" s="51">
        <v>2.1</v>
      </c>
      <c r="O32" s="51">
        <v>0</v>
      </c>
      <c r="P32" s="51">
        <v>0.55000000000000004</v>
      </c>
      <c r="Q32" s="51">
        <v>4.67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9.2100000000000009</v>
      </c>
      <c r="C34" s="41">
        <f t="shared" si="0"/>
        <v>4.0599999999999996</v>
      </c>
      <c r="D34" s="41">
        <f t="shared" si="0"/>
        <v>14</v>
      </c>
      <c r="E34" s="41">
        <f t="shared" si="0"/>
        <v>8.74</v>
      </c>
      <c r="F34" s="41">
        <f t="shared" si="0"/>
        <v>4.6500000000000004</v>
      </c>
      <c r="G34" s="41">
        <f t="shared" si="0"/>
        <v>21.18</v>
      </c>
      <c r="H34" s="41">
        <f t="shared" si="0"/>
        <v>11.94</v>
      </c>
      <c r="I34" s="41">
        <f t="shared" si="0"/>
        <v>4.32</v>
      </c>
      <c r="J34" s="41">
        <f t="shared" si="0"/>
        <v>0.13</v>
      </c>
      <c r="K34" s="41">
        <f t="shared" si="0"/>
        <v>157.81</v>
      </c>
      <c r="L34" s="41">
        <f t="shared" si="0"/>
        <v>25.74</v>
      </c>
      <c r="M34" s="41">
        <f t="shared" si="0"/>
        <v>67.099999999999994</v>
      </c>
      <c r="N34" s="41">
        <f t="shared" si="0"/>
        <v>2.1</v>
      </c>
      <c r="O34" s="41">
        <f t="shared" si="0"/>
        <v>0</v>
      </c>
      <c r="P34" s="41">
        <f t="shared" si="0"/>
        <v>0.36</v>
      </c>
      <c r="Q34" s="41">
        <f t="shared" si="0"/>
        <v>4.63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9.51</v>
      </c>
      <c r="C35" s="33">
        <f t="shared" si="1"/>
        <v>4.25</v>
      </c>
      <c r="D35" s="33">
        <f t="shared" si="1"/>
        <v>14.19</v>
      </c>
      <c r="E35" s="33">
        <f t="shared" si="1"/>
        <v>17.13</v>
      </c>
      <c r="F35" s="33">
        <f t="shared" si="1"/>
        <v>43.34</v>
      </c>
      <c r="G35" s="33">
        <f t="shared" si="1"/>
        <v>63.3</v>
      </c>
      <c r="H35" s="33">
        <f t="shared" si="1"/>
        <v>26.31</v>
      </c>
      <c r="I35" s="33">
        <f t="shared" si="1"/>
        <v>7.44</v>
      </c>
      <c r="J35" s="33">
        <f t="shared" si="1"/>
        <v>0.86</v>
      </c>
      <c r="K35" s="33">
        <f t="shared" si="1"/>
        <v>280.17</v>
      </c>
      <c r="L35" s="33">
        <f t="shared" si="1"/>
        <v>33.33</v>
      </c>
      <c r="M35" s="33">
        <f t="shared" si="1"/>
        <v>96.96</v>
      </c>
      <c r="N35" s="33">
        <f t="shared" si="1"/>
        <v>694.2</v>
      </c>
      <c r="O35" s="33">
        <f t="shared" si="1"/>
        <v>0</v>
      </c>
      <c r="P35" s="33">
        <f t="shared" si="1"/>
        <v>0.67</v>
      </c>
      <c r="Q35" s="33">
        <f t="shared" si="1"/>
        <v>4.6900000000000004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9.3262499999999999</v>
      </c>
      <c r="C36" s="41">
        <f t="shared" si="2"/>
        <v>4.1075000000000008</v>
      </c>
      <c r="D36" s="41">
        <f t="shared" si="2"/>
        <v>14.060416666666667</v>
      </c>
      <c r="E36" s="41">
        <f t="shared" si="2"/>
        <v>11.607916666666666</v>
      </c>
      <c r="F36" s="41">
        <f t="shared" si="2"/>
        <v>11.857916666666668</v>
      </c>
      <c r="G36" s="41">
        <f t="shared" si="2"/>
        <v>42.505833333333335</v>
      </c>
      <c r="H36" s="41">
        <f t="shared" si="2"/>
        <v>17.443333333333335</v>
      </c>
      <c r="I36" s="41">
        <f t="shared" si="2"/>
        <v>5.4716666666666667</v>
      </c>
      <c r="J36" s="41">
        <f t="shared" si="2"/>
        <v>0.38041666666666668</v>
      </c>
      <c r="K36" s="41">
        <f t="shared" si="2"/>
        <v>251.21083333333331</v>
      </c>
      <c r="L36" s="41">
        <f t="shared" si="2"/>
        <v>29.410833333333329</v>
      </c>
      <c r="M36" s="41">
        <f t="shared" si="2"/>
        <v>85.842083333333321</v>
      </c>
      <c r="N36" s="41">
        <f t="shared" si="2"/>
        <v>137.33333333333331</v>
      </c>
      <c r="O36" s="41">
        <f t="shared" si="2"/>
        <v>0</v>
      </c>
      <c r="P36" s="41">
        <f t="shared" si="2"/>
        <v>0.47125000000000011</v>
      </c>
      <c r="Q36" s="41">
        <f t="shared" si="2"/>
        <v>4.6704166666666653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6.82586194588988E-2</v>
      </c>
      <c r="C37" s="41">
        <f t="shared" ref="C37:Q37" si="3">STDEV(C9:C32)</f>
        <v>4.4355284965241999E-2</v>
      </c>
      <c r="D37" s="41">
        <f t="shared" si="3"/>
        <v>5.2459439127988991E-2</v>
      </c>
      <c r="E37" s="41">
        <f t="shared" si="3"/>
        <v>2.2052525817410014</v>
      </c>
      <c r="F37" s="41">
        <f t="shared" si="3"/>
        <v>9.573042757918067</v>
      </c>
      <c r="G37" s="41">
        <f t="shared" si="3"/>
        <v>12.651152866066361</v>
      </c>
      <c r="H37" s="41">
        <f t="shared" si="3"/>
        <v>3.9805392541241331</v>
      </c>
      <c r="I37" s="41">
        <f t="shared" si="3"/>
        <v>0.97325391774490422</v>
      </c>
      <c r="J37" s="41">
        <f t="shared" si="3"/>
        <v>0.21043390301049833</v>
      </c>
      <c r="K37" s="41">
        <f t="shared" si="3"/>
        <v>29.11835218651607</v>
      </c>
      <c r="L37" s="41">
        <f t="shared" si="3"/>
        <v>2.6674591666598459</v>
      </c>
      <c r="M37" s="41">
        <f t="shared" si="3"/>
        <v>9.758409964550351</v>
      </c>
      <c r="N37" s="41">
        <f t="shared" si="3"/>
        <v>212.55408246141616</v>
      </c>
      <c r="O37" s="41">
        <f t="shared" si="3"/>
        <v>0</v>
      </c>
      <c r="P37" s="41">
        <f t="shared" si="3"/>
        <v>9.6382954473513804E-2</v>
      </c>
      <c r="Q37" s="41">
        <f t="shared" si="3"/>
        <v>1.7062332443303265E-2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30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3" width="11" style="39" customWidth="1"/>
    <col min="4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45567.041666666664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>
        <v>45567.041666666664</v>
      </c>
      <c r="B9" s="51">
        <v>9.16</v>
      </c>
      <c r="C9" s="51">
        <v>4.2699999999999996</v>
      </c>
      <c r="D9" s="51">
        <v>14</v>
      </c>
      <c r="E9" s="51">
        <v>11.59</v>
      </c>
      <c r="F9" s="51">
        <v>8.01</v>
      </c>
      <c r="G9" s="51">
        <v>58.17</v>
      </c>
      <c r="H9" s="51">
        <v>18.96</v>
      </c>
      <c r="I9" s="51">
        <v>8.42</v>
      </c>
      <c r="J9" s="51">
        <v>0.39</v>
      </c>
      <c r="K9" s="51">
        <v>261.75</v>
      </c>
      <c r="L9" s="51">
        <v>27.99</v>
      </c>
      <c r="M9" s="51">
        <v>89.12</v>
      </c>
      <c r="N9" s="51">
        <v>2.2000000000000002</v>
      </c>
      <c r="O9" s="51">
        <v>0</v>
      </c>
      <c r="P9" s="51">
        <v>0.59</v>
      </c>
      <c r="Q9" s="51">
        <v>4.67</v>
      </c>
    </row>
    <row r="10" spans="1:21" customFormat="1">
      <c r="A10" s="50">
        <v>45567.083333333336</v>
      </c>
      <c r="B10" s="51">
        <v>9.14</v>
      </c>
      <c r="C10" s="51">
        <v>4.2699999999999996</v>
      </c>
      <c r="D10" s="51">
        <v>14</v>
      </c>
      <c r="E10" s="51">
        <v>12.94</v>
      </c>
      <c r="F10" s="51">
        <v>8.77</v>
      </c>
      <c r="G10" s="51">
        <v>66.45</v>
      </c>
      <c r="H10" s="51">
        <v>22.8</v>
      </c>
      <c r="I10" s="51">
        <v>7.82</v>
      </c>
      <c r="J10" s="51">
        <v>0.41</v>
      </c>
      <c r="K10" s="51">
        <v>262.83999999999997</v>
      </c>
      <c r="L10" s="51">
        <v>27.88</v>
      </c>
      <c r="M10" s="51">
        <v>94.87</v>
      </c>
      <c r="N10" s="51">
        <v>2.5</v>
      </c>
      <c r="O10" s="51">
        <v>0</v>
      </c>
      <c r="P10" s="51">
        <v>0.56999999999999995</v>
      </c>
      <c r="Q10" s="51">
        <v>4.6500000000000004</v>
      </c>
    </row>
    <row r="11" spans="1:21" customFormat="1">
      <c r="A11" s="50">
        <v>45567.125</v>
      </c>
      <c r="B11" s="51">
        <v>9.14</v>
      </c>
      <c r="C11" s="51">
        <v>4.2699999999999996</v>
      </c>
      <c r="D11" s="51">
        <v>14</v>
      </c>
      <c r="E11" s="51">
        <v>10.85</v>
      </c>
      <c r="F11" s="51">
        <v>5.61</v>
      </c>
      <c r="G11" s="51">
        <v>58.6</v>
      </c>
      <c r="H11" s="51">
        <v>24.53</v>
      </c>
      <c r="I11" s="51">
        <v>7.89</v>
      </c>
      <c r="J11" s="51">
        <v>0.25</v>
      </c>
      <c r="K11" s="51">
        <v>256.39</v>
      </c>
      <c r="L11" s="51">
        <v>27.14</v>
      </c>
      <c r="M11" s="51">
        <v>95.57</v>
      </c>
      <c r="N11" s="51">
        <v>2.1</v>
      </c>
      <c r="O11" s="51">
        <v>0</v>
      </c>
      <c r="P11" s="51">
        <v>0.57999999999999996</v>
      </c>
      <c r="Q11" s="51">
        <v>4.66</v>
      </c>
    </row>
    <row r="12" spans="1:21" customFormat="1">
      <c r="A12" s="50">
        <v>45567.166666666664</v>
      </c>
      <c r="B12" s="51">
        <v>9.2799999999999994</v>
      </c>
      <c r="C12" s="51">
        <v>4.22</v>
      </c>
      <c r="D12" s="51">
        <v>14.03</v>
      </c>
      <c r="E12" s="51">
        <v>12.22</v>
      </c>
      <c r="F12" s="51">
        <v>6.19</v>
      </c>
      <c r="G12" s="51">
        <v>61.68</v>
      </c>
      <c r="H12" s="51">
        <v>24.23</v>
      </c>
      <c r="I12" s="51">
        <v>7.83</v>
      </c>
      <c r="J12" s="51">
        <v>0.33</v>
      </c>
      <c r="K12" s="51">
        <v>276.17</v>
      </c>
      <c r="L12" s="51">
        <v>27.27</v>
      </c>
      <c r="M12" s="51">
        <v>89.98</v>
      </c>
      <c r="N12" s="51">
        <v>2.1</v>
      </c>
      <c r="O12" s="51">
        <v>0</v>
      </c>
      <c r="P12" s="51">
        <v>0.55000000000000004</v>
      </c>
      <c r="Q12" s="51">
        <v>4.68</v>
      </c>
    </row>
    <row r="13" spans="1:21" customFormat="1">
      <c r="A13" s="50">
        <v>45567.208333333336</v>
      </c>
      <c r="B13" s="51">
        <v>9.3000000000000007</v>
      </c>
      <c r="C13" s="51">
        <v>4.0999999999999996</v>
      </c>
      <c r="D13" s="51">
        <v>14.04</v>
      </c>
      <c r="E13" s="51">
        <v>12.46</v>
      </c>
      <c r="F13" s="51">
        <v>6.25</v>
      </c>
      <c r="G13" s="51">
        <v>68.349999999999994</v>
      </c>
      <c r="H13" s="51">
        <v>26.79</v>
      </c>
      <c r="I13" s="51">
        <v>8.09</v>
      </c>
      <c r="J13" s="51">
        <v>0.15</v>
      </c>
      <c r="K13" s="51">
        <v>300.33999999999997</v>
      </c>
      <c r="L13" s="51">
        <v>27.16</v>
      </c>
      <c r="M13" s="51">
        <v>90.74</v>
      </c>
      <c r="N13" s="51">
        <v>2.2000000000000002</v>
      </c>
      <c r="O13" s="51">
        <v>0</v>
      </c>
      <c r="P13" s="51">
        <v>0.52</v>
      </c>
      <c r="Q13" s="51">
        <v>4.67</v>
      </c>
    </row>
    <row r="14" spans="1:21" customFormat="1">
      <c r="A14" s="50">
        <v>45567.25</v>
      </c>
      <c r="B14" s="51">
        <v>9.2899999999999991</v>
      </c>
      <c r="C14" s="51">
        <v>4.0999999999999996</v>
      </c>
      <c r="D14" s="51">
        <v>14.04</v>
      </c>
      <c r="E14" s="51">
        <v>12.5</v>
      </c>
      <c r="F14" s="51">
        <v>4.93</v>
      </c>
      <c r="G14" s="51">
        <v>67.23</v>
      </c>
      <c r="H14" s="51">
        <v>27.03</v>
      </c>
      <c r="I14" s="51">
        <v>7.38</v>
      </c>
      <c r="J14" s="51">
        <v>0.26</v>
      </c>
      <c r="K14" s="51">
        <v>249.71</v>
      </c>
      <c r="L14" s="51">
        <v>26.36</v>
      </c>
      <c r="M14" s="51">
        <v>95.15</v>
      </c>
      <c r="N14" s="51">
        <v>7.8</v>
      </c>
      <c r="O14" s="51">
        <v>0</v>
      </c>
      <c r="P14" s="51">
        <v>0.51</v>
      </c>
      <c r="Q14" s="51">
        <v>4.67</v>
      </c>
    </row>
    <row r="15" spans="1:21" customFormat="1">
      <c r="A15" s="50">
        <v>45567.291666666664</v>
      </c>
      <c r="B15" s="51">
        <v>9.2899999999999991</v>
      </c>
      <c r="C15" s="51">
        <v>4.0999999999999996</v>
      </c>
      <c r="D15" s="51">
        <v>14.04</v>
      </c>
      <c r="E15" s="51">
        <v>12.59</v>
      </c>
      <c r="F15" s="51">
        <v>6.42</v>
      </c>
      <c r="G15" s="51">
        <v>68.34</v>
      </c>
      <c r="H15" s="51">
        <v>28.8</v>
      </c>
      <c r="I15" s="51">
        <v>7</v>
      </c>
      <c r="J15" s="51">
        <v>0.25</v>
      </c>
      <c r="K15" s="51">
        <v>254.18</v>
      </c>
      <c r="L15" s="51">
        <v>27.44</v>
      </c>
      <c r="M15" s="51">
        <v>93.17</v>
      </c>
      <c r="N15" s="51">
        <v>42.5</v>
      </c>
      <c r="O15" s="51">
        <v>0</v>
      </c>
      <c r="P15" s="51">
        <v>0.49</v>
      </c>
      <c r="Q15" s="51">
        <v>4.67</v>
      </c>
    </row>
    <row r="16" spans="1:21" customFormat="1">
      <c r="A16" s="50">
        <v>45567.333333333336</v>
      </c>
      <c r="B16" s="51">
        <v>9.27</v>
      </c>
      <c r="C16" s="51">
        <v>4.09</v>
      </c>
      <c r="D16" s="51">
        <v>14.02</v>
      </c>
      <c r="E16" s="51">
        <v>12.82</v>
      </c>
      <c r="F16" s="51">
        <v>7.65</v>
      </c>
      <c r="G16" s="51">
        <v>72.11</v>
      </c>
      <c r="H16" s="51">
        <v>27.22</v>
      </c>
      <c r="I16" s="51">
        <v>7.09</v>
      </c>
      <c r="J16" s="51">
        <v>0.6</v>
      </c>
      <c r="K16" s="51">
        <v>267.07</v>
      </c>
      <c r="L16" s="51">
        <v>29.18</v>
      </c>
      <c r="M16" s="51">
        <v>88.06</v>
      </c>
      <c r="N16" s="51">
        <v>171.1</v>
      </c>
      <c r="O16" s="51">
        <v>0</v>
      </c>
      <c r="P16" s="51">
        <v>0.49</v>
      </c>
      <c r="Q16" s="51">
        <v>4.68</v>
      </c>
    </row>
    <row r="17" spans="1:17" customFormat="1">
      <c r="A17" s="50">
        <v>45567.375</v>
      </c>
      <c r="B17" s="51">
        <v>9.24</v>
      </c>
      <c r="C17" s="51">
        <v>4.32</v>
      </c>
      <c r="D17" s="51">
        <v>14</v>
      </c>
      <c r="E17" s="51">
        <v>12.68</v>
      </c>
      <c r="F17" s="51">
        <v>8</v>
      </c>
      <c r="G17" s="51">
        <v>70.650000000000006</v>
      </c>
      <c r="H17" s="51">
        <v>28.44</v>
      </c>
      <c r="I17" s="51">
        <v>6.99</v>
      </c>
      <c r="J17" s="51">
        <v>0.56999999999999995</v>
      </c>
      <c r="K17" s="51">
        <v>297.73</v>
      </c>
      <c r="L17" s="51">
        <v>30.93</v>
      </c>
      <c r="M17" s="51">
        <v>80.91</v>
      </c>
      <c r="N17" s="51">
        <v>331.6</v>
      </c>
      <c r="O17" s="51">
        <v>0</v>
      </c>
      <c r="P17" s="51">
        <v>0.54</v>
      </c>
      <c r="Q17" s="51">
        <v>4.67</v>
      </c>
    </row>
    <row r="18" spans="1:17" customFormat="1">
      <c r="A18" s="50">
        <v>45567.416666666664</v>
      </c>
      <c r="B18" s="51">
        <v>9.17</v>
      </c>
      <c r="C18" s="51">
        <v>4.29</v>
      </c>
      <c r="D18" s="51">
        <v>14</v>
      </c>
      <c r="E18" s="51">
        <v>12.49</v>
      </c>
      <c r="F18" s="51">
        <v>7.86</v>
      </c>
      <c r="G18" s="51">
        <v>74.66</v>
      </c>
      <c r="H18" s="51">
        <v>25.35</v>
      </c>
      <c r="I18" s="51">
        <v>7.25</v>
      </c>
      <c r="J18" s="51">
        <v>0.62</v>
      </c>
      <c r="K18" s="51">
        <v>321.49</v>
      </c>
      <c r="L18" s="51">
        <v>32.229999999999997</v>
      </c>
      <c r="M18" s="51">
        <v>72.67</v>
      </c>
      <c r="N18" s="51">
        <v>235.4</v>
      </c>
      <c r="O18" s="51">
        <v>0</v>
      </c>
      <c r="P18" s="51">
        <v>0.56999999999999995</v>
      </c>
      <c r="Q18" s="51">
        <v>4.6399999999999997</v>
      </c>
    </row>
    <row r="19" spans="1:17" customFormat="1">
      <c r="A19" s="50">
        <v>45567.458333333336</v>
      </c>
      <c r="B19" s="51">
        <v>9.15</v>
      </c>
      <c r="C19" s="51">
        <v>4.2699999999999996</v>
      </c>
      <c r="D19" s="51">
        <v>14</v>
      </c>
      <c r="E19" s="51">
        <v>12.55</v>
      </c>
      <c r="F19" s="51">
        <v>7.72</v>
      </c>
      <c r="G19" s="51">
        <v>64.41</v>
      </c>
      <c r="H19" s="51">
        <v>22.52</v>
      </c>
      <c r="I19" s="51">
        <v>7.22</v>
      </c>
      <c r="J19" s="51">
        <v>0.72</v>
      </c>
      <c r="K19" s="51">
        <v>323.83999999999997</v>
      </c>
      <c r="L19" s="51">
        <v>32.72</v>
      </c>
      <c r="M19" s="51">
        <v>67.92</v>
      </c>
      <c r="N19" s="51">
        <v>544.20000000000005</v>
      </c>
      <c r="O19" s="51">
        <v>0</v>
      </c>
      <c r="P19" s="51">
        <v>0.59</v>
      </c>
      <c r="Q19" s="51">
        <v>4.6399999999999997</v>
      </c>
    </row>
    <row r="20" spans="1:17" customFormat="1">
      <c r="A20" s="50">
        <v>45567.5</v>
      </c>
      <c r="B20" s="51">
        <v>9.23</v>
      </c>
      <c r="C20" s="51">
        <v>4.1900000000000004</v>
      </c>
      <c r="D20" s="51">
        <v>14</v>
      </c>
      <c r="E20" s="51">
        <v>11.94</v>
      </c>
      <c r="F20" s="51">
        <v>6.51</v>
      </c>
      <c r="G20" s="51">
        <v>62.04</v>
      </c>
      <c r="H20" s="51">
        <v>25.42</v>
      </c>
      <c r="I20" s="51">
        <v>7.18</v>
      </c>
      <c r="J20" s="51">
        <v>0.61</v>
      </c>
      <c r="K20" s="51">
        <v>335.46</v>
      </c>
      <c r="L20" s="51">
        <v>33.25</v>
      </c>
      <c r="M20" s="51">
        <v>67.069999999999993</v>
      </c>
      <c r="N20" s="51">
        <v>543.9</v>
      </c>
      <c r="O20" s="51">
        <v>0</v>
      </c>
      <c r="P20" s="51">
        <v>0.61</v>
      </c>
      <c r="Q20" s="51">
        <v>4.63</v>
      </c>
    </row>
    <row r="21" spans="1:17" customFormat="1">
      <c r="A21" s="50">
        <v>45567.541666666664</v>
      </c>
      <c r="B21" s="51">
        <v>9.26</v>
      </c>
      <c r="C21" s="51">
        <v>4.1500000000000004</v>
      </c>
      <c r="D21" s="51">
        <v>14.01</v>
      </c>
      <c r="E21" s="51">
        <v>12.37</v>
      </c>
      <c r="F21" s="51">
        <v>18.93</v>
      </c>
      <c r="G21" s="51">
        <v>67.63</v>
      </c>
      <c r="H21" s="51">
        <v>24.96</v>
      </c>
      <c r="I21" s="51">
        <v>7.21</v>
      </c>
      <c r="J21" s="51">
        <v>0.4</v>
      </c>
      <c r="K21" s="51">
        <v>344.48</v>
      </c>
      <c r="L21" s="51">
        <v>33.57</v>
      </c>
      <c r="M21" s="51">
        <v>63.55</v>
      </c>
      <c r="N21" s="51">
        <v>479.6</v>
      </c>
      <c r="O21" s="51">
        <v>0</v>
      </c>
      <c r="P21" s="51">
        <v>0.61</v>
      </c>
      <c r="Q21" s="51">
        <v>4.68</v>
      </c>
    </row>
    <row r="22" spans="1:17" customFormat="1">
      <c r="A22" s="50">
        <v>45567.583333333336</v>
      </c>
      <c r="B22" s="51">
        <v>9.41</v>
      </c>
      <c r="C22" s="51">
        <v>4.09</v>
      </c>
      <c r="D22" s="51">
        <v>14.1</v>
      </c>
      <c r="E22" s="51">
        <v>12.63</v>
      </c>
      <c r="F22" s="51">
        <v>20.010000000000002</v>
      </c>
      <c r="G22" s="51">
        <v>70.81</v>
      </c>
      <c r="H22" s="51">
        <v>26.76</v>
      </c>
      <c r="I22" s="51">
        <v>6.31</v>
      </c>
      <c r="J22" s="51">
        <v>0.42</v>
      </c>
      <c r="K22" s="51">
        <v>335.81</v>
      </c>
      <c r="L22" s="51">
        <v>34.15</v>
      </c>
      <c r="M22" s="51">
        <v>60.16</v>
      </c>
      <c r="N22" s="51">
        <v>488.4</v>
      </c>
      <c r="O22" s="51">
        <v>0</v>
      </c>
      <c r="P22" s="51">
        <v>0.46</v>
      </c>
      <c r="Q22" s="51">
        <v>4.68</v>
      </c>
    </row>
    <row r="23" spans="1:17" customFormat="1">
      <c r="A23" s="50">
        <v>45567.625</v>
      </c>
      <c r="B23" s="51">
        <v>9.23</v>
      </c>
      <c r="C23" s="51">
        <v>4.3099999999999996</v>
      </c>
      <c r="D23" s="51">
        <v>14</v>
      </c>
      <c r="E23" s="51">
        <v>13.92</v>
      </c>
      <c r="F23" s="51">
        <v>20.71</v>
      </c>
      <c r="G23" s="51">
        <v>72.62</v>
      </c>
      <c r="H23" s="51">
        <v>19.420000000000002</v>
      </c>
      <c r="I23" s="51">
        <v>5.47</v>
      </c>
      <c r="J23" s="51">
        <v>0.4</v>
      </c>
      <c r="K23" s="51">
        <v>345.15</v>
      </c>
      <c r="L23" s="51">
        <v>33.78</v>
      </c>
      <c r="M23" s="51">
        <v>60</v>
      </c>
      <c r="N23" s="51">
        <v>208.3</v>
      </c>
      <c r="O23" s="51">
        <v>0</v>
      </c>
      <c r="P23" s="51">
        <v>0.49</v>
      </c>
      <c r="Q23" s="51">
        <v>4.67</v>
      </c>
    </row>
    <row r="24" spans="1:17" customFormat="1">
      <c r="A24" s="50">
        <v>45567.666666666664</v>
      </c>
      <c r="B24" s="51">
        <v>9.08</v>
      </c>
      <c r="C24" s="51">
        <v>4.3499999999999996</v>
      </c>
      <c r="D24" s="51">
        <v>14</v>
      </c>
      <c r="E24" s="51">
        <v>12.88</v>
      </c>
      <c r="F24" s="51">
        <v>21.46</v>
      </c>
      <c r="G24" s="51">
        <v>80.44</v>
      </c>
      <c r="H24" s="51">
        <v>21.07</v>
      </c>
      <c r="I24" s="51">
        <v>5.16</v>
      </c>
      <c r="J24" s="51">
        <v>0.27</v>
      </c>
      <c r="K24" s="51">
        <v>285.18</v>
      </c>
      <c r="L24" s="51">
        <v>33.07</v>
      </c>
      <c r="M24" s="51">
        <v>68.38</v>
      </c>
      <c r="N24" s="51">
        <v>96.4</v>
      </c>
      <c r="O24" s="51">
        <v>0</v>
      </c>
      <c r="P24" s="51">
        <v>0.49</v>
      </c>
      <c r="Q24" s="51">
        <v>4.68</v>
      </c>
    </row>
    <row r="25" spans="1:17" customFormat="1">
      <c r="A25" s="50">
        <v>45567.708333333336</v>
      </c>
      <c r="B25" s="51">
        <v>9.09</v>
      </c>
      <c r="C25" s="51">
        <v>4.34</v>
      </c>
      <c r="D25" s="51">
        <v>14</v>
      </c>
      <c r="E25" s="51">
        <v>12.39</v>
      </c>
      <c r="F25" s="51">
        <v>20.63</v>
      </c>
      <c r="G25" s="51">
        <v>85.44</v>
      </c>
      <c r="H25" s="51">
        <v>26</v>
      </c>
      <c r="I25" s="51">
        <v>4.95</v>
      </c>
      <c r="J25" s="51">
        <v>0.3</v>
      </c>
      <c r="K25" s="51">
        <v>262.58</v>
      </c>
      <c r="L25" s="51">
        <v>32.04</v>
      </c>
      <c r="M25" s="51">
        <v>69.87</v>
      </c>
      <c r="N25" s="51">
        <v>56.4</v>
      </c>
      <c r="O25" s="51">
        <v>0</v>
      </c>
      <c r="P25" s="51">
        <v>0.48</v>
      </c>
      <c r="Q25" s="51">
        <v>4.67</v>
      </c>
    </row>
    <row r="26" spans="1:17" customFormat="1">
      <c r="A26" s="50">
        <v>45567.75</v>
      </c>
      <c r="B26" s="51">
        <v>9.26</v>
      </c>
      <c r="C26" s="51">
        <v>4.33</v>
      </c>
      <c r="D26" s="51">
        <v>14.01</v>
      </c>
      <c r="E26" s="51">
        <v>12.3</v>
      </c>
      <c r="F26" s="51">
        <v>18.86</v>
      </c>
      <c r="G26" s="51">
        <v>74.760000000000005</v>
      </c>
      <c r="H26" s="51">
        <v>22.39</v>
      </c>
      <c r="I26" s="51">
        <v>4.83</v>
      </c>
      <c r="J26" s="51">
        <v>0.18</v>
      </c>
      <c r="K26" s="51">
        <v>190.68</v>
      </c>
      <c r="L26" s="51">
        <v>31.05</v>
      </c>
      <c r="M26" s="51">
        <v>77.37</v>
      </c>
      <c r="N26" s="51">
        <v>16</v>
      </c>
      <c r="O26" s="51">
        <v>0</v>
      </c>
      <c r="P26" s="51">
        <v>0.51</v>
      </c>
      <c r="Q26" s="51">
        <v>4.6500000000000004</v>
      </c>
    </row>
    <row r="27" spans="1:17" customFormat="1">
      <c r="A27" s="50">
        <v>45567.791666666664</v>
      </c>
      <c r="B27" s="51">
        <v>9.23</v>
      </c>
      <c r="C27" s="51">
        <v>4.32</v>
      </c>
      <c r="D27" s="51">
        <v>14</v>
      </c>
      <c r="E27" s="51">
        <v>10.3</v>
      </c>
      <c r="F27" s="51">
        <v>19.5</v>
      </c>
      <c r="G27" s="51">
        <v>66.040000000000006</v>
      </c>
      <c r="H27" s="51">
        <v>23</v>
      </c>
      <c r="I27" s="51">
        <v>4.88</v>
      </c>
      <c r="J27" s="51">
        <v>0.13</v>
      </c>
      <c r="K27" s="51">
        <v>213.12</v>
      </c>
      <c r="L27" s="51">
        <v>29.59</v>
      </c>
      <c r="M27" s="51">
        <v>85.21</v>
      </c>
      <c r="N27" s="51">
        <v>2.1</v>
      </c>
      <c r="O27" s="51">
        <v>0</v>
      </c>
      <c r="P27" s="51">
        <v>0.53</v>
      </c>
      <c r="Q27" s="51">
        <v>4.66</v>
      </c>
    </row>
    <row r="28" spans="1:17" customFormat="1">
      <c r="A28" s="50">
        <v>45567.833333333336</v>
      </c>
      <c r="B28" s="51">
        <v>9.1</v>
      </c>
      <c r="C28" s="51">
        <v>4.3499999999999996</v>
      </c>
      <c r="D28" s="51">
        <v>14</v>
      </c>
      <c r="E28" s="51">
        <v>10.44</v>
      </c>
      <c r="F28" s="51">
        <v>12.84</v>
      </c>
      <c r="G28" s="51">
        <v>65.010000000000005</v>
      </c>
      <c r="H28" s="51">
        <v>23.63</v>
      </c>
      <c r="I28" s="51">
        <v>5.32</v>
      </c>
      <c r="J28" s="51">
        <v>0.19</v>
      </c>
      <c r="K28" s="51">
        <v>253.44</v>
      </c>
      <c r="L28" s="51">
        <v>28.99</v>
      </c>
      <c r="M28" s="51">
        <v>86.47</v>
      </c>
      <c r="N28" s="51">
        <v>2.1</v>
      </c>
      <c r="O28" s="51">
        <v>0</v>
      </c>
      <c r="P28" s="51">
        <v>0.55000000000000004</v>
      </c>
      <c r="Q28" s="51">
        <v>4.66</v>
      </c>
    </row>
    <row r="29" spans="1:17" customFormat="1">
      <c r="A29" s="50">
        <v>45567.875</v>
      </c>
      <c r="B29" s="51">
        <v>9.09</v>
      </c>
      <c r="C29" s="51">
        <v>4.37</v>
      </c>
      <c r="D29" s="51">
        <v>14</v>
      </c>
      <c r="E29" s="51">
        <v>9.93</v>
      </c>
      <c r="F29" s="51">
        <v>10.08</v>
      </c>
      <c r="G29" s="51">
        <v>59.48</v>
      </c>
      <c r="H29" s="51">
        <v>17.940000000000001</v>
      </c>
      <c r="I29" s="51">
        <v>5.39</v>
      </c>
      <c r="J29" s="51">
        <v>0.34</v>
      </c>
      <c r="K29" s="51">
        <v>267.58999999999997</v>
      </c>
      <c r="L29" s="51">
        <v>28.79</v>
      </c>
      <c r="M29" s="51">
        <v>86.49</v>
      </c>
      <c r="N29" s="51">
        <v>2.1</v>
      </c>
      <c r="O29" s="51">
        <v>0</v>
      </c>
      <c r="P29" s="51">
        <v>0.54</v>
      </c>
      <c r="Q29" s="51">
        <v>4.6500000000000004</v>
      </c>
    </row>
    <row r="30" spans="1:17" customFormat="1">
      <c r="A30" s="50">
        <v>45567.916666666664</v>
      </c>
      <c r="B30" s="51">
        <v>9.07</v>
      </c>
      <c r="C30" s="51">
        <v>4.37</v>
      </c>
      <c r="D30" s="51">
        <v>14</v>
      </c>
      <c r="E30" s="51">
        <v>10.19</v>
      </c>
      <c r="F30" s="51">
        <v>8.81</v>
      </c>
      <c r="G30" s="51">
        <v>56.57</v>
      </c>
      <c r="H30" s="51">
        <v>19.920000000000002</v>
      </c>
      <c r="I30" s="51">
        <v>5.42</v>
      </c>
      <c r="J30" s="51">
        <v>0.39</v>
      </c>
      <c r="K30" s="51">
        <v>264.94</v>
      </c>
      <c r="L30" s="51">
        <v>28.69</v>
      </c>
      <c r="M30" s="51">
        <v>86.16</v>
      </c>
      <c r="N30" s="51">
        <v>2.2999999999999998</v>
      </c>
      <c r="O30" s="51">
        <v>0</v>
      </c>
      <c r="P30" s="51">
        <v>0.54</v>
      </c>
      <c r="Q30" s="51">
        <v>4.66</v>
      </c>
    </row>
    <row r="31" spans="1:17" customFormat="1">
      <c r="A31" s="50">
        <v>45567.958333333336</v>
      </c>
      <c r="B31" s="51">
        <v>9.39</v>
      </c>
      <c r="C31" s="51">
        <v>4.2300000000000004</v>
      </c>
      <c r="D31" s="51">
        <v>14.12</v>
      </c>
      <c r="E31" s="51">
        <v>9.91</v>
      </c>
      <c r="F31" s="51">
        <v>11.47</v>
      </c>
      <c r="G31" s="51">
        <v>54.56</v>
      </c>
      <c r="H31" s="51">
        <v>16.84</v>
      </c>
      <c r="I31" s="51">
        <v>5.49</v>
      </c>
      <c r="J31" s="51">
        <v>0.15</v>
      </c>
      <c r="K31" s="51">
        <v>217.29</v>
      </c>
      <c r="L31" s="51">
        <v>28.15</v>
      </c>
      <c r="M31" s="51">
        <v>87.73</v>
      </c>
      <c r="N31" s="51">
        <v>2.1</v>
      </c>
      <c r="O31" s="51">
        <v>0</v>
      </c>
      <c r="P31" s="51">
        <v>0.5</v>
      </c>
      <c r="Q31" s="51">
        <v>4.68</v>
      </c>
    </row>
    <row r="32" spans="1:17" customFormat="1">
      <c r="A32" s="50">
        <v>45568</v>
      </c>
      <c r="B32" s="51">
        <v>9.25</v>
      </c>
      <c r="C32" s="51">
        <v>4.16</v>
      </c>
      <c r="D32" s="51">
        <v>14.01</v>
      </c>
      <c r="E32" s="51">
        <v>10.82</v>
      </c>
      <c r="F32" s="51">
        <v>8.5299999999999994</v>
      </c>
      <c r="G32" s="51">
        <v>57.44</v>
      </c>
      <c r="H32" s="51">
        <v>19.420000000000002</v>
      </c>
      <c r="I32" s="51">
        <v>5.84</v>
      </c>
      <c r="J32" s="51">
        <v>0.14000000000000001</v>
      </c>
      <c r="K32" s="51">
        <v>214.03</v>
      </c>
      <c r="L32" s="51">
        <v>27.82</v>
      </c>
      <c r="M32" s="51">
        <v>88.74</v>
      </c>
      <c r="N32" s="51">
        <v>2.1</v>
      </c>
      <c r="O32" s="51">
        <v>0</v>
      </c>
      <c r="P32" s="51">
        <v>0.5</v>
      </c>
      <c r="Q32" s="51">
        <v>4.67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9.07</v>
      </c>
      <c r="C34" s="41">
        <f t="shared" si="0"/>
        <v>4.09</v>
      </c>
      <c r="D34" s="41">
        <f t="shared" si="0"/>
        <v>14</v>
      </c>
      <c r="E34" s="41">
        <f t="shared" si="0"/>
        <v>9.91</v>
      </c>
      <c r="F34" s="41">
        <f t="shared" si="0"/>
        <v>4.93</v>
      </c>
      <c r="G34" s="41">
        <f t="shared" si="0"/>
        <v>54.56</v>
      </c>
      <c r="H34" s="41">
        <f t="shared" si="0"/>
        <v>16.84</v>
      </c>
      <c r="I34" s="41">
        <f t="shared" si="0"/>
        <v>4.83</v>
      </c>
      <c r="J34" s="41">
        <f t="shared" si="0"/>
        <v>0.13</v>
      </c>
      <c r="K34" s="41">
        <f t="shared" si="0"/>
        <v>190.68</v>
      </c>
      <c r="L34" s="41">
        <f t="shared" si="0"/>
        <v>26.36</v>
      </c>
      <c r="M34" s="41">
        <f t="shared" si="0"/>
        <v>60</v>
      </c>
      <c r="N34" s="41">
        <f t="shared" si="0"/>
        <v>2.1</v>
      </c>
      <c r="O34" s="41">
        <f t="shared" si="0"/>
        <v>0</v>
      </c>
      <c r="P34" s="41">
        <f t="shared" si="0"/>
        <v>0.46</v>
      </c>
      <c r="Q34" s="41">
        <f t="shared" si="0"/>
        <v>4.63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9.41</v>
      </c>
      <c r="C35" s="33">
        <f t="shared" si="1"/>
        <v>4.37</v>
      </c>
      <c r="D35" s="33">
        <f t="shared" si="1"/>
        <v>14.12</v>
      </c>
      <c r="E35" s="33">
        <f t="shared" si="1"/>
        <v>13.92</v>
      </c>
      <c r="F35" s="33">
        <f t="shared" si="1"/>
        <v>21.46</v>
      </c>
      <c r="G35" s="33">
        <f t="shared" si="1"/>
        <v>85.44</v>
      </c>
      <c r="H35" s="33">
        <f t="shared" si="1"/>
        <v>28.8</v>
      </c>
      <c r="I35" s="33">
        <f t="shared" si="1"/>
        <v>8.42</v>
      </c>
      <c r="J35" s="33">
        <f t="shared" si="1"/>
        <v>0.72</v>
      </c>
      <c r="K35" s="33">
        <f t="shared" si="1"/>
        <v>345.15</v>
      </c>
      <c r="L35" s="33">
        <f t="shared" si="1"/>
        <v>34.15</v>
      </c>
      <c r="M35" s="33">
        <f t="shared" si="1"/>
        <v>95.57</v>
      </c>
      <c r="N35" s="33">
        <f t="shared" si="1"/>
        <v>544.20000000000005</v>
      </c>
      <c r="O35" s="33">
        <f t="shared" si="1"/>
        <v>0</v>
      </c>
      <c r="P35" s="33">
        <f t="shared" si="1"/>
        <v>0.61</v>
      </c>
      <c r="Q35" s="33">
        <f t="shared" si="1"/>
        <v>4.68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9.2133333333333329</v>
      </c>
      <c r="C36" s="41">
        <f t="shared" si="2"/>
        <v>4.2441666666666666</v>
      </c>
      <c r="D36" s="41">
        <f t="shared" si="2"/>
        <v>14.017499999999998</v>
      </c>
      <c r="E36" s="41">
        <f t="shared" si="2"/>
        <v>11.904583333333335</v>
      </c>
      <c r="F36" s="41">
        <f t="shared" si="2"/>
        <v>11.489583333333334</v>
      </c>
      <c r="G36" s="41">
        <f t="shared" si="2"/>
        <v>66.81208333333332</v>
      </c>
      <c r="H36" s="41">
        <f t="shared" si="2"/>
        <v>23.476666666666663</v>
      </c>
      <c r="I36" s="41">
        <f t="shared" si="2"/>
        <v>6.5179166666666655</v>
      </c>
      <c r="J36" s="41">
        <f t="shared" si="2"/>
        <v>0.35291666666666671</v>
      </c>
      <c r="K36" s="41">
        <f t="shared" si="2"/>
        <v>275.05249999999995</v>
      </c>
      <c r="L36" s="41">
        <f t="shared" si="2"/>
        <v>29.968333333333337</v>
      </c>
      <c r="M36" s="41">
        <f t="shared" si="2"/>
        <v>81.056666666666672</v>
      </c>
      <c r="N36" s="41">
        <f t="shared" si="2"/>
        <v>135.22916666666666</v>
      </c>
      <c r="O36" s="41">
        <f t="shared" si="2"/>
        <v>0</v>
      </c>
      <c r="P36" s="41">
        <f t="shared" si="2"/>
        <v>0.53375000000000006</v>
      </c>
      <c r="Q36" s="41">
        <f t="shared" si="2"/>
        <v>4.6641666666666675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9.4439613403010811E-2</v>
      </c>
      <c r="C37" s="41">
        <f t="shared" ref="C37:Q37" si="3">STDEV(C9:C32)</f>
        <v>9.7975891740369164E-2</v>
      </c>
      <c r="D37" s="41">
        <f t="shared" si="3"/>
        <v>3.1930631334054285E-2</v>
      </c>
      <c r="E37" s="41">
        <f t="shared" si="3"/>
        <v>1.1146572066809373</v>
      </c>
      <c r="F37" s="41">
        <f t="shared" si="3"/>
        <v>5.8666711390381536</v>
      </c>
      <c r="G37" s="41">
        <f t="shared" si="3"/>
        <v>7.6701669270236508</v>
      </c>
      <c r="H37" s="41">
        <f t="shared" si="3"/>
        <v>3.4145477346032398</v>
      </c>
      <c r="I37" s="41">
        <f t="shared" si="3"/>
        <v>1.1659143796092941</v>
      </c>
      <c r="J37" s="41">
        <f t="shared" si="3"/>
        <v>0.17058669010382876</v>
      </c>
      <c r="K37" s="41">
        <f t="shared" si="3"/>
        <v>43.479037952838397</v>
      </c>
      <c r="L37" s="41">
        <f t="shared" si="3"/>
        <v>2.5364382193500044</v>
      </c>
      <c r="M37" s="41">
        <f t="shared" si="3"/>
        <v>11.729687221696944</v>
      </c>
      <c r="N37" s="41">
        <f t="shared" si="3"/>
        <v>194.97271041858906</v>
      </c>
      <c r="O37" s="41">
        <f t="shared" si="3"/>
        <v>0</v>
      </c>
      <c r="P37" s="41">
        <f t="shared" si="3"/>
        <v>4.321961108812216E-2</v>
      </c>
      <c r="Q37" s="41">
        <f t="shared" si="3"/>
        <v>1.4421200175184832E-2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27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45568.041666666664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>
        <v>45568.041666666664</v>
      </c>
      <c r="B9" s="51">
        <v>9.32</v>
      </c>
      <c r="C9" s="51">
        <v>4.1100000000000003</v>
      </c>
      <c r="D9" s="51">
        <v>14.06</v>
      </c>
      <c r="E9" s="51">
        <v>11.83</v>
      </c>
      <c r="F9" s="51">
        <v>7.93</v>
      </c>
      <c r="G9" s="51">
        <v>60.24</v>
      </c>
      <c r="H9" s="51">
        <v>17.649999999999999</v>
      </c>
      <c r="I9" s="51">
        <v>5.41</v>
      </c>
      <c r="J9" s="51">
        <v>0.33</v>
      </c>
      <c r="K9" s="51">
        <v>262.02</v>
      </c>
      <c r="L9" s="51">
        <v>27.8</v>
      </c>
      <c r="M9" s="51">
        <v>89.87</v>
      </c>
      <c r="N9" s="51">
        <v>2.1</v>
      </c>
      <c r="O9" s="51">
        <v>0</v>
      </c>
      <c r="P9" s="51">
        <v>0.48</v>
      </c>
      <c r="Q9" s="51">
        <v>4.67</v>
      </c>
    </row>
    <row r="10" spans="1:21" customFormat="1">
      <c r="A10" s="50">
        <v>45568.083333333336</v>
      </c>
      <c r="B10" s="51">
        <v>9.36</v>
      </c>
      <c r="C10" s="51">
        <v>4.09</v>
      </c>
      <c r="D10" s="51">
        <v>14.08</v>
      </c>
      <c r="E10" s="51">
        <v>11.84</v>
      </c>
      <c r="F10" s="51">
        <v>7.87</v>
      </c>
      <c r="G10" s="51">
        <v>62.26</v>
      </c>
      <c r="H10" s="51">
        <v>19.12</v>
      </c>
      <c r="I10" s="51">
        <v>5.42</v>
      </c>
      <c r="J10" s="51">
        <v>0.33</v>
      </c>
      <c r="K10" s="51">
        <v>258.63</v>
      </c>
      <c r="L10" s="51">
        <v>27.6</v>
      </c>
      <c r="M10" s="51">
        <v>88.58</v>
      </c>
      <c r="N10" s="51">
        <v>2.2000000000000002</v>
      </c>
      <c r="O10" s="51">
        <v>0</v>
      </c>
      <c r="P10" s="51">
        <v>0.51</v>
      </c>
      <c r="Q10" s="51">
        <v>4.68</v>
      </c>
    </row>
    <row r="11" spans="1:21" customFormat="1">
      <c r="A11" s="50">
        <v>45568.125</v>
      </c>
      <c r="B11" s="51">
        <v>9.34</v>
      </c>
      <c r="C11" s="51">
        <v>4.09</v>
      </c>
      <c r="D11" s="51">
        <v>14.06</v>
      </c>
      <c r="E11" s="51">
        <v>10.029999999999999</v>
      </c>
      <c r="F11" s="51">
        <v>8.08</v>
      </c>
      <c r="G11" s="51">
        <v>52.51</v>
      </c>
      <c r="H11" s="51">
        <v>20.04</v>
      </c>
      <c r="I11" s="51">
        <v>6.93</v>
      </c>
      <c r="J11" s="51">
        <v>0.21</v>
      </c>
      <c r="K11" s="51">
        <v>258.57</v>
      </c>
      <c r="L11" s="51">
        <v>27.44</v>
      </c>
      <c r="M11" s="51">
        <v>88.7</v>
      </c>
      <c r="N11" s="51">
        <v>2.1</v>
      </c>
      <c r="O11" s="51">
        <v>0</v>
      </c>
      <c r="P11" s="51">
        <v>0.59</v>
      </c>
      <c r="Q11" s="51">
        <v>4.68</v>
      </c>
    </row>
    <row r="12" spans="1:21" customFormat="1">
      <c r="A12" s="50">
        <v>45568.166666666664</v>
      </c>
      <c r="B12" s="51">
        <v>9.35</v>
      </c>
      <c r="C12" s="51">
        <v>4.1100000000000003</v>
      </c>
      <c r="D12" s="51">
        <v>14.09</v>
      </c>
      <c r="E12" s="51">
        <v>10.27</v>
      </c>
      <c r="F12" s="51">
        <v>6.87</v>
      </c>
      <c r="G12" s="51">
        <v>60.38</v>
      </c>
      <c r="H12" s="51">
        <v>23.01</v>
      </c>
      <c r="I12" s="51">
        <v>9.5299999999999994</v>
      </c>
      <c r="J12" s="51">
        <v>0.54</v>
      </c>
      <c r="K12" s="51">
        <v>294.35000000000002</v>
      </c>
      <c r="L12" s="51">
        <v>27.62</v>
      </c>
      <c r="M12" s="51">
        <v>87.95</v>
      </c>
      <c r="N12" s="51">
        <v>2.1</v>
      </c>
      <c r="O12" s="51">
        <v>0</v>
      </c>
      <c r="P12" s="51">
        <v>0.59</v>
      </c>
      <c r="Q12" s="51">
        <v>4.66</v>
      </c>
    </row>
    <row r="13" spans="1:21" customFormat="1">
      <c r="A13" s="50">
        <v>45568.208333333336</v>
      </c>
      <c r="B13" s="51">
        <v>9.36</v>
      </c>
      <c r="C13" s="51">
        <v>4.09</v>
      </c>
      <c r="D13" s="51">
        <v>14.09</v>
      </c>
      <c r="E13" s="51">
        <v>9.76</v>
      </c>
      <c r="F13" s="51">
        <v>5.45</v>
      </c>
      <c r="G13" s="51">
        <v>60.58</v>
      </c>
      <c r="H13" s="51">
        <v>17.63</v>
      </c>
      <c r="I13" s="51">
        <v>8.5500000000000007</v>
      </c>
      <c r="J13" s="51">
        <v>0.52</v>
      </c>
      <c r="K13" s="51">
        <v>290.64999999999998</v>
      </c>
      <c r="L13" s="51">
        <v>27.6</v>
      </c>
      <c r="M13" s="51">
        <v>86.47</v>
      </c>
      <c r="N13" s="51">
        <v>2.2000000000000002</v>
      </c>
      <c r="O13" s="51">
        <v>0</v>
      </c>
      <c r="P13" s="51">
        <v>0.56999999999999995</v>
      </c>
      <c r="Q13" s="51">
        <v>4.66</v>
      </c>
    </row>
    <row r="14" spans="1:21" customFormat="1">
      <c r="A14" s="50">
        <v>45568.25</v>
      </c>
      <c r="B14" s="51">
        <v>9.35</v>
      </c>
      <c r="C14" s="51">
        <v>4.09</v>
      </c>
      <c r="D14" s="51">
        <v>14.06</v>
      </c>
      <c r="E14" s="51">
        <v>9.02</v>
      </c>
      <c r="F14" s="51">
        <v>5.88</v>
      </c>
      <c r="G14" s="51">
        <v>79.78</v>
      </c>
      <c r="H14" s="51">
        <v>24.32</v>
      </c>
      <c r="I14" s="51">
        <v>8.52</v>
      </c>
      <c r="J14" s="51">
        <v>0.48</v>
      </c>
      <c r="K14" s="51">
        <v>268.20999999999998</v>
      </c>
      <c r="L14" s="51">
        <v>27.26</v>
      </c>
      <c r="M14" s="51">
        <v>91.55</v>
      </c>
      <c r="N14" s="51">
        <v>8.6999999999999993</v>
      </c>
      <c r="O14" s="51">
        <v>0</v>
      </c>
      <c r="P14" s="51">
        <v>0.57999999999999996</v>
      </c>
      <c r="Q14" s="51">
        <v>4.66</v>
      </c>
    </row>
    <row r="15" spans="1:21" customFormat="1">
      <c r="A15" s="50">
        <v>45568.291666666664</v>
      </c>
      <c r="B15" s="51">
        <v>9.3800000000000008</v>
      </c>
      <c r="C15" s="51">
        <v>4.0999999999999996</v>
      </c>
      <c r="D15" s="51">
        <v>14.11</v>
      </c>
      <c r="E15" s="51">
        <v>7.74</v>
      </c>
      <c r="F15" s="51">
        <v>5.0599999999999996</v>
      </c>
      <c r="G15" s="51">
        <v>72.7</v>
      </c>
      <c r="H15" s="51">
        <v>26.94</v>
      </c>
      <c r="I15" s="51">
        <v>9.6</v>
      </c>
      <c r="J15" s="51">
        <v>0.52</v>
      </c>
      <c r="K15" s="51">
        <v>268.98</v>
      </c>
      <c r="L15" s="51">
        <v>27.49</v>
      </c>
      <c r="M15" s="51">
        <v>93.29</v>
      </c>
      <c r="N15" s="51">
        <v>51.4</v>
      </c>
      <c r="O15" s="51">
        <v>0</v>
      </c>
      <c r="P15" s="51">
        <v>0.64</v>
      </c>
      <c r="Q15" s="51">
        <v>4.67</v>
      </c>
    </row>
    <row r="16" spans="1:21" customFormat="1">
      <c r="A16" s="50">
        <v>45568.333333333336</v>
      </c>
      <c r="B16" s="51">
        <v>9.5</v>
      </c>
      <c r="C16" s="51">
        <v>4.08</v>
      </c>
      <c r="D16" s="51">
        <v>14.19</v>
      </c>
      <c r="E16" s="51">
        <v>8.1199999999999992</v>
      </c>
      <c r="F16" s="51">
        <v>7.49</v>
      </c>
      <c r="G16" s="51">
        <v>75</v>
      </c>
      <c r="H16" s="51">
        <v>23.57</v>
      </c>
      <c r="I16" s="51">
        <v>11.55</v>
      </c>
      <c r="J16" s="51">
        <v>0.54</v>
      </c>
      <c r="K16" s="51">
        <v>277.77</v>
      </c>
      <c r="L16" s="51">
        <v>29.24</v>
      </c>
      <c r="M16" s="51">
        <v>85.86</v>
      </c>
      <c r="N16" s="51">
        <v>171.4</v>
      </c>
      <c r="O16" s="51">
        <v>0</v>
      </c>
      <c r="P16" s="51">
        <v>0.71</v>
      </c>
      <c r="Q16" s="51">
        <v>4.67</v>
      </c>
    </row>
    <row r="17" spans="1:17" customFormat="1">
      <c r="A17" s="50">
        <v>45568.375</v>
      </c>
      <c r="B17" s="51">
        <v>9.42</v>
      </c>
      <c r="C17" s="51">
        <v>4.12</v>
      </c>
      <c r="D17" s="51">
        <v>14.13</v>
      </c>
      <c r="E17" s="51">
        <v>9.31</v>
      </c>
      <c r="F17" s="51">
        <v>8.92</v>
      </c>
      <c r="G17" s="51">
        <v>80.72</v>
      </c>
      <c r="H17" s="51">
        <v>22.81</v>
      </c>
      <c r="I17" s="51">
        <v>11.89</v>
      </c>
      <c r="J17" s="51">
        <v>0.68</v>
      </c>
      <c r="K17" s="51">
        <v>308.72000000000003</v>
      </c>
      <c r="L17" s="51">
        <v>31.13</v>
      </c>
      <c r="M17" s="51">
        <v>77.52</v>
      </c>
      <c r="N17" s="51">
        <v>329.4</v>
      </c>
      <c r="O17" s="51">
        <v>0</v>
      </c>
      <c r="P17" s="51">
        <v>0.7</v>
      </c>
      <c r="Q17" s="51">
        <v>4.68</v>
      </c>
    </row>
    <row r="18" spans="1:17" customFormat="1">
      <c r="A18" s="50">
        <v>45568.416666666664</v>
      </c>
      <c r="B18" s="51">
        <v>9.27</v>
      </c>
      <c r="C18" s="51">
        <v>4.13</v>
      </c>
      <c r="D18" s="51">
        <v>14</v>
      </c>
      <c r="E18" s="51">
        <v>11.04</v>
      </c>
      <c r="F18" s="51">
        <v>12.16</v>
      </c>
      <c r="G18" s="51">
        <v>97.09</v>
      </c>
      <c r="H18" s="51">
        <v>27.18</v>
      </c>
      <c r="I18" s="51">
        <v>11.52</v>
      </c>
      <c r="J18" s="51">
        <v>0.69</v>
      </c>
      <c r="K18" s="51">
        <v>326.95</v>
      </c>
      <c r="L18" s="51">
        <v>32.619999999999997</v>
      </c>
      <c r="M18" s="51">
        <v>67.010000000000005</v>
      </c>
      <c r="N18" s="51">
        <v>194.2</v>
      </c>
      <c r="O18" s="51">
        <v>0</v>
      </c>
      <c r="P18" s="51">
        <v>0.69</v>
      </c>
      <c r="Q18" s="51">
        <v>4.67</v>
      </c>
    </row>
    <row r="19" spans="1:17" customFormat="1">
      <c r="A19" s="50">
        <v>45568.458333333336</v>
      </c>
      <c r="B19" s="51">
        <v>9.26</v>
      </c>
      <c r="C19" s="51">
        <v>4.12</v>
      </c>
      <c r="D19" s="51">
        <v>14</v>
      </c>
      <c r="E19" s="51">
        <v>14.51</v>
      </c>
      <c r="F19" s="51">
        <v>15.87</v>
      </c>
      <c r="G19" s="51">
        <v>101.56</v>
      </c>
      <c r="H19" s="51">
        <v>31.2</v>
      </c>
      <c r="I19" s="51">
        <v>10.37</v>
      </c>
      <c r="J19" s="51">
        <v>0.63</v>
      </c>
      <c r="K19" s="51">
        <v>353.9</v>
      </c>
      <c r="L19" s="51">
        <v>33.46</v>
      </c>
      <c r="M19" s="51">
        <v>60.35</v>
      </c>
      <c r="N19" s="51">
        <v>550.20000000000005</v>
      </c>
      <c r="O19" s="51">
        <v>0</v>
      </c>
      <c r="P19" s="51">
        <v>0.68</v>
      </c>
      <c r="Q19" s="51">
        <v>4.6900000000000004</v>
      </c>
    </row>
    <row r="20" spans="1:17" customFormat="1">
      <c r="A20" s="50">
        <v>45568.5</v>
      </c>
      <c r="B20" s="51">
        <v>9.2200000000000006</v>
      </c>
      <c r="C20" s="51">
        <v>4.1500000000000004</v>
      </c>
      <c r="D20" s="51">
        <v>14</v>
      </c>
      <c r="E20" s="51">
        <v>13.3</v>
      </c>
      <c r="F20" s="51">
        <v>17.2</v>
      </c>
      <c r="G20" s="51">
        <v>102.9</v>
      </c>
      <c r="H20" s="51">
        <v>29.83</v>
      </c>
      <c r="I20" s="51">
        <v>9.09</v>
      </c>
      <c r="J20" s="51">
        <v>0.73</v>
      </c>
      <c r="K20" s="51">
        <v>347.7</v>
      </c>
      <c r="L20" s="51">
        <v>34.15</v>
      </c>
      <c r="M20" s="51">
        <v>57.29</v>
      </c>
      <c r="N20" s="51">
        <v>804</v>
      </c>
      <c r="O20" s="51">
        <v>0</v>
      </c>
      <c r="P20" s="51">
        <v>0.62</v>
      </c>
      <c r="Q20" s="51">
        <v>4.6900000000000004</v>
      </c>
    </row>
    <row r="21" spans="1:17" customFormat="1">
      <c r="A21" s="50">
        <v>45568.541666666664</v>
      </c>
      <c r="B21" s="51">
        <v>9.3699999999999992</v>
      </c>
      <c r="C21" s="51">
        <v>4.17</v>
      </c>
      <c r="D21" s="51">
        <v>14.08</v>
      </c>
      <c r="E21" s="51">
        <v>12.91</v>
      </c>
      <c r="F21" s="51">
        <v>16.48</v>
      </c>
      <c r="G21" s="51">
        <v>100.79</v>
      </c>
      <c r="H21" s="51">
        <v>24.83</v>
      </c>
      <c r="I21" s="51">
        <v>7.67</v>
      </c>
      <c r="J21" s="51">
        <v>0.6</v>
      </c>
      <c r="K21" s="51">
        <v>343.59</v>
      </c>
      <c r="L21" s="51">
        <v>34.82</v>
      </c>
      <c r="M21" s="51">
        <v>52.11</v>
      </c>
      <c r="N21" s="51">
        <v>759.4</v>
      </c>
      <c r="O21" s="51">
        <v>0</v>
      </c>
      <c r="P21" s="51">
        <v>0.63</v>
      </c>
      <c r="Q21" s="51">
        <v>4.68</v>
      </c>
    </row>
    <row r="22" spans="1:17" customFormat="1">
      <c r="A22" s="50">
        <v>45568.583333333336</v>
      </c>
      <c r="B22" s="51">
        <v>9.31</v>
      </c>
      <c r="C22" s="51">
        <v>4.09</v>
      </c>
      <c r="D22" s="51">
        <v>14.05</v>
      </c>
      <c r="E22" s="51">
        <v>12.43</v>
      </c>
      <c r="F22" s="51">
        <v>14.52</v>
      </c>
      <c r="G22" s="51">
        <v>93.55</v>
      </c>
      <c r="H22" s="51">
        <v>25.81</v>
      </c>
      <c r="I22" s="51">
        <v>7.21</v>
      </c>
      <c r="J22" s="51">
        <v>0.61</v>
      </c>
      <c r="K22" s="51">
        <v>325.82</v>
      </c>
      <c r="L22" s="51">
        <v>34.69</v>
      </c>
      <c r="M22" s="51">
        <v>52.04</v>
      </c>
      <c r="N22" s="51">
        <v>603.70000000000005</v>
      </c>
      <c r="O22" s="51">
        <v>0</v>
      </c>
      <c r="P22" s="51">
        <v>0.64</v>
      </c>
      <c r="Q22" s="51">
        <v>4.6500000000000004</v>
      </c>
    </row>
    <row r="23" spans="1:17" customFormat="1">
      <c r="A23" s="50">
        <v>45568.625</v>
      </c>
      <c r="B23" s="51">
        <v>9.35</v>
      </c>
      <c r="C23" s="51">
        <v>4.09</v>
      </c>
      <c r="D23" s="51">
        <v>14.06</v>
      </c>
      <c r="E23" s="51">
        <v>11.79</v>
      </c>
      <c r="F23" s="51">
        <v>7.91</v>
      </c>
      <c r="G23" s="51">
        <v>99.34</v>
      </c>
      <c r="H23" s="51">
        <v>21.94</v>
      </c>
      <c r="I23" s="51">
        <v>7.21</v>
      </c>
      <c r="J23" s="51">
        <v>0.56000000000000005</v>
      </c>
      <c r="K23" s="51">
        <v>351.65</v>
      </c>
      <c r="L23" s="51">
        <v>34.44</v>
      </c>
      <c r="M23" s="51">
        <v>56.37</v>
      </c>
      <c r="N23" s="51">
        <v>226.6</v>
      </c>
      <c r="O23" s="51">
        <v>0</v>
      </c>
      <c r="P23" s="51">
        <v>0.5</v>
      </c>
      <c r="Q23" s="51">
        <v>4.6399999999999997</v>
      </c>
    </row>
    <row r="24" spans="1:17" customFormat="1">
      <c r="A24" s="50">
        <v>45568.666666666664</v>
      </c>
      <c r="B24" s="51">
        <v>9.4</v>
      </c>
      <c r="C24" s="51">
        <v>4.07</v>
      </c>
      <c r="D24" s="51">
        <v>14.11</v>
      </c>
      <c r="E24" s="51">
        <v>12.31</v>
      </c>
      <c r="F24" s="51">
        <v>7.98</v>
      </c>
      <c r="G24" s="51">
        <v>89.15</v>
      </c>
      <c r="H24" s="51">
        <v>21.69</v>
      </c>
      <c r="I24" s="51">
        <v>7.18</v>
      </c>
      <c r="J24" s="51">
        <v>0.51</v>
      </c>
      <c r="K24" s="51">
        <v>326.86</v>
      </c>
      <c r="L24" s="51">
        <v>33.56</v>
      </c>
      <c r="M24" s="51">
        <v>60.08</v>
      </c>
      <c r="N24" s="51">
        <v>140.69999999999999</v>
      </c>
      <c r="O24" s="51">
        <v>0</v>
      </c>
      <c r="P24" s="51">
        <v>0.51</v>
      </c>
      <c r="Q24" s="51">
        <v>4.6500000000000004</v>
      </c>
    </row>
    <row r="25" spans="1:17" customFormat="1">
      <c r="A25" s="50">
        <v>45568.708333333336</v>
      </c>
      <c r="B25" s="51">
        <v>9.4</v>
      </c>
      <c r="C25" s="51">
        <v>4.09</v>
      </c>
      <c r="D25" s="51">
        <v>14.12</v>
      </c>
      <c r="E25" s="51">
        <v>12.16</v>
      </c>
      <c r="F25" s="51">
        <v>7.6</v>
      </c>
      <c r="G25" s="51">
        <v>93.4</v>
      </c>
      <c r="H25" s="51">
        <v>21.68</v>
      </c>
      <c r="I25" s="51">
        <v>7.15</v>
      </c>
      <c r="J25" s="51">
        <v>0.47</v>
      </c>
      <c r="K25" s="51">
        <v>315.95</v>
      </c>
      <c r="L25" s="51">
        <v>33.14</v>
      </c>
      <c r="M25" s="51">
        <v>62.18</v>
      </c>
      <c r="N25" s="51">
        <v>45.5</v>
      </c>
      <c r="O25" s="51">
        <v>0</v>
      </c>
      <c r="P25" s="51">
        <v>0.51</v>
      </c>
      <c r="Q25" s="51">
        <v>4.6399999999999997</v>
      </c>
    </row>
    <row r="26" spans="1:17" customFormat="1">
      <c r="A26" s="50">
        <v>45568.75</v>
      </c>
      <c r="B26" s="51">
        <v>9.4700000000000006</v>
      </c>
      <c r="C26" s="51">
        <v>4.1100000000000003</v>
      </c>
      <c r="D26" s="51">
        <v>14.19</v>
      </c>
      <c r="E26" s="51">
        <v>13.02</v>
      </c>
      <c r="F26" s="51">
        <v>11.64</v>
      </c>
      <c r="G26" s="51">
        <v>97.06</v>
      </c>
      <c r="H26" s="51">
        <v>24.93</v>
      </c>
      <c r="I26" s="51">
        <v>6.99</v>
      </c>
      <c r="J26" s="51">
        <v>0.28000000000000003</v>
      </c>
      <c r="K26" s="51">
        <v>315.07</v>
      </c>
      <c r="L26" s="51">
        <v>32.31</v>
      </c>
      <c r="M26" s="51">
        <v>64.989999999999995</v>
      </c>
      <c r="N26" s="51">
        <v>11.5</v>
      </c>
      <c r="O26" s="51">
        <v>0</v>
      </c>
      <c r="P26" s="51">
        <v>0.48</v>
      </c>
      <c r="Q26" s="51">
        <v>4.7</v>
      </c>
    </row>
    <row r="27" spans="1:17" customFormat="1">
      <c r="A27" s="50">
        <v>45568.791666666664</v>
      </c>
      <c r="B27" s="51">
        <v>9.39</v>
      </c>
      <c r="C27" s="51">
        <v>4.0999999999999996</v>
      </c>
      <c r="D27" s="51">
        <v>14.12</v>
      </c>
      <c r="E27" s="51">
        <v>21.29</v>
      </c>
      <c r="F27" s="51">
        <v>6.01</v>
      </c>
      <c r="G27" s="51">
        <v>104.37</v>
      </c>
      <c r="H27" s="51">
        <v>24.49</v>
      </c>
      <c r="I27" s="51">
        <v>7.77</v>
      </c>
      <c r="J27" s="51">
        <v>0.22</v>
      </c>
      <c r="K27" s="51">
        <v>208.43</v>
      </c>
      <c r="L27" s="51">
        <v>31.11</v>
      </c>
      <c r="M27" s="51">
        <v>72.27</v>
      </c>
      <c r="N27" s="51">
        <v>2.5</v>
      </c>
      <c r="O27" s="51">
        <v>0</v>
      </c>
      <c r="P27" s="51">
        <v>0.56999999999999995</v>
      </c>
      <c r="Q27" s="51">
        <v>4.68</v>
      </c>
    </row>
    <row r="28" spans="1:17" customFormat="1">
      <c r="A28" s="50">
        <v>45568.833333333336</v>
      </c>
      <c r="B28" s="51">
        <v>9.39</v>
      </c>
      <c r="C28" s="51">
        <v>4.09</v>
      </c>
      <c r="D28" s="51">
        <v>14.1</v>
      </c>
      <c r="E28" s="51">
        <v>15.44</v>
      </c>
      <c r="F28" s="51">
        <v>5.0199999999999996</v>
      </c>
      <c r="G28" s="51">
        <v>133.58000000000001</v>
      </c>
      <c r="H28" s="51">
        <v>30.51</v>
      </c>
      <c r="I28" s="51">
        <v>7.99</v>
      </c>
      <c r="J28" s="51">
        <v>0.23</v>
      </c>
      <c r="K28" s="51">
        <v>213.42</v>
      </c>
      <c r="L28" s="51">
        <v>29.49</v>
      </c>
      <c r="M28" s="51">
        <v>79.430000000000007</v>
      </c>
      <c r="N28" s="51">
        <v>2.5</v>
      </c>
      <c r="O28" s="51">
        <v>0</v>
      </c>
      <c r="P28" s="51">
        <v>0.6</v>
      </c>
      <c r="Q28" s="51">
        <v>4.67</v>
      </c>
    </row>
    <row r="29" spans="1:17" customFormat="1">
      <c r="A29" s="50">
        <v>45568.875</v>
      </c>
      <c r="B29" s="51">
        <v>9.39</v>
      </c>
      <c r="C29" s="51">
        <v>4.09</v>
      </c>
      <c r="D29" s="51">
        <v>14.11</v>
      </c>
      <c r="E29" s="51">
        <v>12.76</v>
      </c>
      <c r="F29" s="51">
        <v>6.05</v>
      </c>
      <c r="G29" s="51">
        <v>141.93</v>
      </c>
      <c r="H29" s="51">
        <v>31.51</v>
      </c>
      <c r="I29" s="51">
        <v>8.1199999999999992</v>
      </c>
      <c r="J29" s="51">
        <v>0.4</v>
      </c>
      <c r="K29" s="51">
        <v>249.27</v>
      </c>
      <c r="L29" s="51">
        <v>29.64</v>
      </c>
      <c r="M29" s="51">
        <v>76.55</v>
      </c>
      <c r="N29" s="51">
        <v>2.5</v>
      </c>
      <c r="O29" s="51">
        <v>0</v>
      </c>
      <c r="P29" s="51">
        <v>0.64</v>
      </c>
      <c r="Q29" s="51">
        <v>4.68</v>
      </c>
    </row>
    <row r="30" spans="1:17" customFormat="1">
      <c r="A30" s="50">
        <v>45568.916666666664</v>
      </c>
      <c r="B30" s="51">
        <v>9.3800000000000008</v>
      </c>
      <c r="C30" s="51">
        <v>4.0999999999999996</v>
      </c>
      <c r="D30" s="51">
        <v>14.09</v>
      </c>
      <c r="E30" s="51">
        <v>13.75</v>
      </c>
      <c r="F30" s="51">
        <v>8.2799999999999994</v>
      </c>
      <c r="G30" s="51">
        <v>131.07</v>
      </c>
      <c r="H30" s="51">
        <v>32.35</v>
      </c>
      <c r="I30" s="51">
        <v>8.52</v>
      </c>
      <c r="J30" s="51">
        <v>0.39</v>
      </c>
      <c r="K30" s="51">
        <v>261.87</v>
      </c>
      <c r="L30" s="51">
        <v>29.32</v>
      </c>
      <c r="M30" s="51">
        <v>81.22</v>
      </c>
      <c r="N30" s="51">
        <v>2.5</v>
      </c>
      <c r="O30" s="51">
        <v>0</v>
      </c>
      <c r="P30" s="51">
        <v>0.61</v>
      </c>
      <c r="Q30" s="51">
        <v>4.6900000000000004</v>
      </c>
    </row>
    <row r="31" spans="1:17" customFormat="1">
      <c r="A31" s="50">
        <v>45568.958333333336</v>
      </c>
      <c r="B31" s="51">
        <v>9.3800000000000008</v>
      </c>
      <c r="C31" s="51">
        <v>4.09</v>
      </c>
      <c r="D31" s="51">
        <v>14.1</v>
      </c>
      <c r="E31" s="51">
        <v>13.2</v>
      </c>
      <c r="F31" s="51">
        <v>8.69</v>
      </c>
      <c r="G31" s="51">
        <v>122.92</v>
      </c>
      <c r="H31" s="51">
        <v>31.34</v>
      </c>
      <c r="I31" s="51">
        <v>9.06</v>
      </c>
      <c r="J31" s="51">
        <v>0.18</v>
      </c>
      <c r="K31" s="51">
        <v>231.98</v>
      </c>
      <c r="L31" s="51">
        <v>28.32</v>
      </c>
      <c r="M31" s="51">
        <v>87.23</v>
      </c>
      <c r="N31" s="51">
        <v>2.2999999999999998</v>
      </c>
      <c r="O31" s="51">
        <v>0</v>
      </c>
      <c r="P31" s="51">
        <v>0.64</v>
      </c>
      <c r="Q31" s="51">
        <v>4.67</v>
      </c>
    </row>
    <row r="32" spans="1:17" customFormat="1">
      <c r="A32" s="50">
        <v>45569</v>
      </c>
      <c r="B32" s="51">
        <v>9.42</v>
      </c>
      <c r="C32" s="51">
        <v>4.1100000000000003</v>
      </c>
      <c r="D32" s="51">
        <v>14.13</v>
      </c>
      <c r="E32" s="51">
        <v>11.02</v>
      </c>
      <c r="F32" s="51">
        <v>8.09</v>
      </c>
      <c r="G32" s="51">
        <v>113.63</v>
      </c>
      <c r="H32" s="51">
        <v>31.46</v>
      </c>
      <c r="I32" s="51">
        <v>9.2200000000000006</v>
      </c>
      <c r="J32" s="51">
        <v>0.31</v>
      </c>
      <c r="K32" s="51">
        <v>258.79000000000002</v>
      </c>
      <c r="L32" s="51">
        <v>28.31</v>
      </c>
      <c r="M32" s="51">
        <v>86.75</v>
      </c>
      <c r="N32" s="51">
        <v>2.2000000000000002</v>
      </c>
      <c r="O32" s="51">
        <v>0</v>
      </c>
      <c r="P32" s="51">
        <v>0.63</v>
      </c>
      <c r="Q32" s="51">
        <v>4.66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9.2200000000000006</v>
      </c>
      <c r="C34" s="41">
        <f t="shared" si="0"/>
        <v>4.07</v>
      </c>
      <c r="D34" s="41">
        <f t="shared" si="0"/>
        <v>14</v>
      </c>
      <c r="E34" s="41">
        <f t="shared" si="0"/>
        <v>7.74</v>
      </c>
      <c r="F34" s="41">
        <f t="shared" si="0"/>
        <v>5.0199999999999996</v>
      </c>
      <c r="G34" s="41">
        <f t="shared" si="0"/>
        <v>52.51</v>
      </c>
      <c r="H34" s="41">
        <f t="shared" si="0"/>
        <v>17.63</v>
      </c>
      <c r="I34" s="41">
        <f t="shared" si="0"/>
        <v>5.41</v>
      </c>
      <c r="J34" s="41">
        <f t="shared" si="0"/>
        <v>0.18</v>
      </c>
      <c r="K34" s="41">
        <f t="shared" si="0"/>
        <v>208.43</v>
      </c>
      <c r="L34" s="41">
        <f t="shared" si="0"/>
        <v>27.26</v>
      </c>
      <c r="M34" s="41">
        <f t="shared" si="0"/>
        <v>52.04</v>
      </c>
      <c r="N34" s="41">
        <f t="shared" si="0"/>
        <v>2.1</v>
      </c>
      <c r="O34" s="41">
        <f t="shared" si="0"/>
        <v>0</v>
      </c>
      <c r="P34" s="41">
        <f t="shared" si="0"/>
        <v>0.48</v>
      </c>
      <c r="Q34" s="41">
        <f t="shared" si="0"/>
        <v>4.6399999999999997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9.5</v>
      </c>
      <c r="C35" s="33">
        <f t="shared" si="1"/>
        <v>4.17</v>
      </c>
      <c r="D35" s="33">
        <f t="shared" si="1"/>
        <v>14.19</v>
      </c>
      <c r="E35" s="33">
        <f t="shared" si="1"/>
        <v>21.29</v>
      </c>
      <c r="F35" s="33">
        <f t="shared" si="1"/>
        <v>17.2</v>
      </c>
      <c r="G35" s="33">
        <f t="shared" si="1"/>
        <v>141.93</v>
      </c>
      <c r="H35" s="33">
        <f t="shared" si="1"/>
        <v>32.35</v>
      </c>
      <c r="I35" s="33">
        <f t="shared" si="1"/>
        <v>11.89</v>
      </c>
      <c r="J35" s="33">
        <f t="shared" si="1"/>
        <v>0.73</v>
      </c>
      <c r="K35" s="33">
        <f t="shared" si="1"/>
        <v>353.9</v>
      </c>
      <c r="L35" s="33">
        <f t="shared" si="1"/>
        <v>34.82</v>
      </c>
      <c r="M35" s="33">
        <f t="shared" si="1"/>
        <v>93.29</v>
      </c>
      <c r="N35" s="33">
        <f t="shared" si="1"/>
        <v>804</v>
      </c>
      <c r="O35" s="33">
        <f t="shared" si="1"/>
        <v>0</v>
      </c>
      <c r="P35" s="33">
        <f t="shared" si="1"/>
        <v>0.71</v>
      </c>
      <c r="Q35" s="33">
        <f t="shared" si="1"/>
        <v>4.7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9.365833333333331</v>
      </c>
      <c r="C36" s="41">
        <f t="shared" si="2"/>
        <v>4.1033333333333326</v>
      </c>
      <c r="D36" s="41">
        <f t="shared" si="2"/>
        <v>14.088750000000003</v>
      </c>
      <c r="E36" s="41">
        <f t="shared" si="2"/>
        <v>12.035416666666665</v>
      </c>
      <c r="F36" s="41">
        <f t="shared" si="2"/>
        <v>9.0437500000000011</v>
      </c>
      <c r="G36" s="41">
        <f t="shared" si="2"/>
        <v>92.771250000000009</v>
      </c>
      <c r="H36" s="41">
        <f t="shared" si="2"/>
        <v>25.243333333333336</v>
      </c>
      <c r="I36" s="41">
        <f t="shared" si="2"/>
        <v>8.4362500000000029</v>
      </c>
      <c r="J36" s="41">
        <f t="shared" si="2"/>
        <v>0.45666666666666672</v>
      </c>
      <c r="K36" s="41">
        <f t="shared" si="2"/>
        <v>288.29791666666665</v>
      </c>
      <c r="L36" s="41">
        <f t="shared" si="2"/>
        <v>30.52333333333333</v>
      </c>
      <c r="M36" s="41">
        <f t="shared" si="2"/>
        <v>75.235833333333318</v>
      </c>
      <c r="N36" s="41">
        <f t="shared" si="2"/>
        <v>163.41249999999999</v>
      </c>
      <c r="O36" s="41">
        <f t="shared" si="2"/>
        <v>0</v>
      </c>
      <c r="P36" s="41">
        <f t="shared" si="2"/>
        <v>0.59666666666666679</v>
      </c>
      <c r="Q36" s="41">
        <f t="shared" si="2"/>
        <v>4.6704166666666662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6.177917664283554E-2</v>
      </c>
      <c r="C37" s="41">
        <f t="shared" ref="C37:Q37" si="3">STDEV(C9:C32)</f>
        <v>2.2393063108077059E-2</v>
      </c>
      <c r="D37" s="41">
        <f t="shared" si="3"/>
        <v>4.9371044145328558E-2</v>
      </c>
      <c r="E37" s="41">
        <f t="shared" si="3"/>
        <v>2.7705233835578031</v>
      </c>
      <c r="F37" s="41">
        <f t="shared" si="3"/>
        <v>3.6405515737137319</v>
      </c>
      <c r="G37" s="41">
        <f t="shared" si="3"/>
        <v>24.754510754959139</v>
      </c>
      <c r="H37" s="41">
        <f t="shared" si="3"/>
        <v>4.6091814482821354</v>
      </c>
      <c r="I37" s="41">
        <f t="shared" si="3"/>
        <v>1.7328985832990851</v>
      </c>
      <c r="J37" s="41">
        <f t="shared" si="3"/>
        <v>0.16504720449054852</v>
      </c>
      <c r="K37" s="41">
        <f t="shared" si="3"/>
        <v>43.14994130472784</v>
      </c>
      <c r="L37" s="41">
        <f t="shared" si="3"/>
        <v>2.7528620153146934</v>
      </c>
      <c r="M37" s="41">
        <f t="shared" si="3"/>
        <v>13.920783310252972</v>
      </c>
      <c r="N37" s="41">
        <f t="shared" si="3"/>
        <v>255.47132964726026</v>
      </c>
      <c r="O37" s="41">
        <f t="shared" si="3"/>
        <v>0</v>
      </c>
      <c r="P37" s="41">
        <f t="shared" si="3"/>
        <v>6.9323856654468149E-2</v>
      </c>
      <c r="Q37" s="41">
        <f t="shared" si="3"/>
        <v>1.5736738147921023E-2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24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32"/>
    </sheetView>
  </sheetViews>
  <sheetFormatPr defaultColWidth="8.85546875" defaultRowHeight="15"/>
  <cols>
    <col min="1" max="1" width="16.42578125" style="42" customWidth="1"/>
    <col min="2" max="2" width="14.42578125" style="39" customWidth="1"/>
    <col min="3" max="3" width="10.140625" style="39" customWidth="1"/>
    <col min="4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45569.041666666664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>
        <v>45569.041666666664</v>
      </c>
      <c r="B9" s="51">
        <v>9.2899999999999991</v>
      </c>
      <c r="C9" s="51">
        <v>4.0599999999999996</v>
      </c>
      <c r="D9" s="51">
        <v>14.02</v>
      </c>
      <c r="E9" s="51">
        <v>11.42</v>
      </c>
      <c r="F9" s="51">
        <v>6.47</v>
      </c>
      <c r="G9" s="51">
        <v>107.62</v>
      </c>
      <c r="H9" s="51">
        <v>32.07</v>
      </c>
      <c r="I9" s="51">
        <v>9.52</v>
      </c>
      <c r="J9" s="51">
        <v>0.28000000000000003</v>
      </c>
      <c r="K9" s="51">
        <v>249.99</v>
      </c>
      <c r="L9" s="51">
        <v>27.81</v>
      </c>
      <c r="M9" s="51">
        <v>88.11</v>
      </c>
      <c r="N9" s="51">
        <v>2.1</v>
      </c>
      <c r="O9" s="51">
        <v>0</v>
      </c>
      <c r="P9" s="51">
        <v>0.63</v>
      </c>
      <c r="Q9" s="51">
        <v>4.67</v>
      </c>
    </row>
    <row r="10" spans="1:21" customFormat="1">
      <c r="A10" s="50">
        <v>45569.083333333336</v>
      </c>
      <c r="B10" s="51">
        <v>9.26</v>
      </c>
      <c r="C10" s="51">
        <v>4.1100000000000003</v>
      </c>
      <c r="D10" s="51">
        <v>14</v>
      </c>
      <c r="E10" s="51">
        <v>11.01</v>
      </c>
      <c r="F10" s="51">
        <v>4.41</v>
      </c>
      <c r="G10" s="51">
        <v>102.2</v>
      </c>
      <c r="H10" s="51">
        <v>28.4</v>
      </c>
      <c r="I10" s="51">
        <v>9.7100000000000009</v>
      </c>
      <c r="J10" s="51">
        <v>0.18</v>
      </c>
      <c r="K10" s="51">
        <v>215.32</v>
      </c>
      <c r="L10" s="51">
        <v>27.36</v>
      </c>
      <c r="M10" s="51">
        <v>94.76</v>
      </c>
      <c r="N10" s="51">
        <v>2.2999999999999998</v>
      </c>
      <c r="O10" s="51">
        <v>0</v>
      </c>
      <c r="P10" s="51">
        <v>0.63</v>
      </c>
      <c r="Q10" s="51">
        <v>4.66</v>
      </c>
    </row>
    <row r="11" spans="1:21" customFormat="1">
      <c r="A11" s="50">
        <v>45569.125</v>
      </c>
      <c r="B11" s="51">
        <v>9.41</v>
      </c>
      <c r="C11" s="51">
        <v>4.09</v>
      </c>
      <c r="D11" s="51">
        <v>14.13</v>
      </c>
      <c r="E11" s="51">
        <v>10.59</v>
      </c>
      <c r="F11" s="51">
        <v>4.1900000000000004</v>
      </c>
      <c r="G11" s="51">
        <v>93.7</v>
      </c>
      <c r="H11" s="51">
        <v>22</v>
      </c>
      <c r="I11" s="51">
        <v>9.85</v>
      </c>
      <c r="J11" s="51">
        <v>0.19</v>
      </c>
      <c r="K11" s="51">
        <v>246.4</v>
      </c>
      <c r="L11" s="51">
        <v>26.43</v>
      </c>
      <c r="M11" s="51">
        <v>95.31</v>
      </c>
      <c r="N11" s="51">
        <v>2.1</v>
      </c>
      <c r="O11" s="51">
        <v>0</v>
      </c>
      <c r="P11" s="51">
        <v>0.63</v>
      </c>
      <c r="Q11" s="51">
        <v>4.67</v>
      </c>
    </row>
    <row r="12" spans="1:21" customFormat="1">
      <c r="A12" s="50">
        <v>45569.166666666664</v>
      </c>
      <c r="B12" s="51">
        <v>9.36</v>
      </c>
      <c r="C12" s="51">
        <v>4.08</v>
      </c>
      <c r="D12" s="51">
        <v>14.07</v>
      </c>
      <c r="E12" s="51">
        <v>11.3</v>
      </c>
      <c r="F12" s="51">
        <v>4.3099999999999996</v>
      </c>
      <c r="G12" s="51">
        <v>78.42</v>
      </c>
      <c r="H12" s="51">
        <v>23.41</v>
      </c>
      <c r="I12" s="51">
        <v>9.5399999999999991</v>
      </c>
      <c r="J12" s="51">
        <v>0.16</v>
      </c>
      <c r="K12" s="51">
        <v>220.3</v>
      </c>
      <c r="L12" s="51">
        <v>26.28</v>
      </c>
      <c r="M12" s="51">
        <v>98.22</v>
      </c>
      <c r="N12" s="51">
        <v>2.1</v>
      </c>
      <c r="O12" s="51">
        <v>0</v>
      </c>
      <c r="P12" s="51">
        <v>0.54</v>
      </c>
      <c r="Q12" s="51">
        <v>4.67</v>
      </c>
    </row>
    <row r="13" spans="1:21" customFormat="1">
      <c r="A13" s="50">
        <v>45569.208333333336</v>
      </c>
      <c r="B13" s="51">
        <v>9.2899999999999991</v>
      </c>
      <c r="C13" s="51">
        <v>4.0999999999999996</v>
      </c>
      <c r="D13" s="51">
        <v>14.03</v>
      </c>
      <c r="E13" s="51">
        <v>11.97</v>
      </c>
      <c r="F13" s="51">
        <v>4.1100000000000003</v>
      </c>
      <c r="G13" s="51">
        <v>80.44</v>
      </c>
      <c r="H13" s="51">
        <v>24.5</v>
      </c>
      <c r="I13" s="51">
        <v>9.43</v>
      </c>
      <c r="J13" s="51">
        <v>0.16</v>
      </c>
      <c r="K13" s="51">
        <v>225.55</v>
      </c>
      <c r="L13" s="51">
        <v>25.66</v>
      </c>
      <c r="M13" s="51">
        <v>97.92</v>
      </c>
      <c r="N13" s="51">
        <v>2.1</v>
      </c>
      <c r="O13" s="51">
        <v>0</v>
      </c>
      <c r="P13" s="51">
        <v>0.53</v>
      </c>
      <c r="Q13" s="51">
        <v>4.68</v>
      </c>
    </row>
    <row r="14" spans="1:21" customFormat="1">
      <c r="A14" s="50">
        <v>45569.25</v>
      </c>
      <c r="B14" s="51">
        <v>9.3000000000000007</v>
      </c>
      <c r="C14" s="51">
        <v>4.1100000000000003</v>
      </c>
      <c r="D14" s="51">
        <v>14.03</v>
      </c>
      <c r="E14" s="51">
        <v>12.26</v>
      </c>
      <c r="F14" s="51">
        <v>3.9</v>
      </c>
      <c r="G14" s="51">
        <v>80.069999999999993</v>
      </c>
      <c r="H14" s="51">
        <v>20.93</v>
      </c>
      <c r="I14" s="51">
        <v>9.4</v>
      </c>
      <c r="J14" s="51">
        <v>0.16</v>
      </c>
      <c r="K14" s="51">
        <v>197.14</v>
      </c>
      <c r="L14" s="51">
        <v>25.41</v>
      </c>
      <c r="M14" s="51">
        <v>96.72</v>
      </c>
      <c r="N14" s="51">
        <v>7.6</v>
      </c>
      <c r="O14" s="51">
        <v>0</v>
      </c>
      <c r="P14" s="51">
        <v>0.51</v>
      </c>
      <c r="Q14" s="51">
        <v>4.68</v>
      </c>
    </row>
    <row r="15" spans="1:21" customFormat="1">
      <c r="A15" s="50">
        <v>45569.291666666664</v>
      </c>
      <c r="B15" s="51">
        <v>9.3000000000000007</v>
      </c>
      <c r="C15" s="51">
        <v>4.08</v>
      </c>
      <c r="D15" s="51">
        <v>14.03</v>
      </c>
      <c r="E15" s="51">
        <v>12.44</v>
      </c>
      <c r="F15" s="51">
        <v>3.84</v>
      </c>
      <c r="G15" s="51">
        <v>69.930000000000007</v>
      </c>
      <c r="H15" s="51">
        <v>24.89</v>
      </c>
      <c r="I15" s="51">
        <v>9.4600000000000009</v>
      </c>
      <c r="J15" s="51">
        <v>0.15</v>
      </c>
      <c r="K15" s="51">
        <v>232.3</v>
      </c>
      <c r="L15" s="51">
        <v>26.28</v>
      </c>
      <c r="M15" s="51">
        <v>94.32</v>
      </c>
      <c r="N15" s="51">
        <v>41.8</v>
      </c>
      <c r="O15" s="51">
        <v>0</v>
      </c>
      <c r="P15" s="51">
        <v>0.51</v>
      </c>
      <c r="Q15" s="51">
        <v>4.67</v>
      </c>
    </row>
    <row r="16" spans="1:21" customFormat="1">
      <c r="A16" s="50">
        <v>45569.333333333336</v>
      </c>
      <c r="B16" s="51">
        <v>9.2899999999999991</v>
      </c>
      <c r="C16" s="51">
        <v>4.0999999999999996</v>
      </c>
      <c r="D16" s="51">
        <v>14.05</v>
      </c>
      <c r="E16" s="51">
        <v>13.14</v>
      </c>
      <c r="F16" s="51">
        <v>4.38</v>
      </c>
      <c r="G16" s="51">
        <v>65.569999999999993</v>
      </c>
      <c r="H16" s="51">
        <v>20.43</v>
      </c>
      <c r="I16" s="51">
        <v>9.4700000000000006</v>
      </c>
      <c r="J16" s="51">
        <v>0.42</v>
      </c>
      <c r="K16" s="51">
        <v>270.8</v>
      </c>
      <c r="L16" s="51">
        <v>28.66</v>
      </c>
      <c r="M16" s="51">
        <v>88.2</v>
      </c>
      <c r="N16" s="51">
        <v>212.4</v>
      </c>
      <c r="O16" s="51">
        <v>0</v>
      </c>
      <c r="P16" s="51">
        <v>0.56000000000000005</v>
      </c>
      <c r="Q16" s="51">
        <v>4.66</v>
      </c>
    </row>
    <row r="17" spans="1:17" customFormat="1">
      <c r="A17" s="50">
        <v>45569.375</v>
      </c>
      <c r="B17" s="51">
        <v>9.31</v>
      </c>
      <c r="C17" s="51">
        <v>4.09</v>
      </c>
      <c r="D17" s="51">
        <v>14.05</v>
      </c>
      <c r="E17" s="51">
        <v>12.02</v>
      </c>
      <c r="F17" s="51">
        <v>5.0199999999999996</v>
      </c>
      <c r="G17" s="51">
        <v>71.52</v>
      </c>
      <c r="H17" s="51">
        <v>19.02</v>
      </c>
      <c r="I17" s="51">
        <v>10.38</v>
      </c>
      <c r="J17" s="51">
        <v>0.64</v>
      </c>
      <c r="K17" s="51">
        <v>274.39</v>
      </c>
      <c r="L17" s="51">
        <v>31.35</v>
      </c>
      <c r="M17" s="51">
        <v>76.510000000000005</v>
      </c>
      <c r="N17" s="51">
        <v>377.7</v>
      </c>
      <c r="O17" s="51">
        <v>0</v>
      </c>
      <c r="P17" s="51">
        <v>0.62</v>
      </c>
      <c r="Q17" s="51">
        <v>4.66</v>
      </c>
    </row>
    <row r="18" spans="1:17" customFormat="1">
      <c r="A18" s="50">
        <v>45569.416666666664</v>
      </c>
      <c r="B18" s="51">
        <v>9.25</v>
      </c>
      <c r="C18" s="51">
        <v>4.16</v>
      </c>
      <c r="D18" s="51">
        <v>14.01</v>
      </c>
      <c r="E18" s="51">
        <v>11.33</v>
      </c>
      <c r="F18" s="51">
        <v>5.72</v>
      </c>
      <c r="G18" s="51">
        <v>73.2</v>
      </c>
      <c r="H18" s="51">
        <v>20.65</v>
      </c>
      <c r="I18" s="51">
        <v>10.44</v>
      </c>
      <c r="J18" s="51">
        <v>0.5</v>
      </c>
      <c r="K18" s="51">
        <v>320.91000000000003</v>
      </c>
      <c r="L18" s="51">
        <v>32.86</v>
      </c>
      <c r="M18" s="51">
        <v>65.03</v>
      </c>
      <c r="N18" s="51">
        <v>149.1</v>
      </c>
      <c r="O18" s="51">
        <v>0</v>
      </c>
      <c r="P18" s="51">
        <v>0.63</v>
      </c>
      <c r="Q18" s="51">
        <v>4.6500000000000004</v>
      </c>
    </row>
    <row r="19" spans="1:17" customFormat="1">
      <c r="A19" s="50">
        <v>45569.458333333336</v>
      </c>
      <c r="B19" s="51">
        <v>9.34</v>
      </c>
      <c r="C19" s="51">
        <v>4.0999999999999996</v>
      </c>
      <c r="D19" s="51">
        <v>14.07</v>
      </c>
      <c r="E19" s="51">
        <v>11.67</v>
      </c>
      <c r="F19" s="51">
        <v>6.17</v>
      </c>
      <c r="G19" s="51">
        <v>78.959999999999994</v>
      </c>
      <c r="H19" s="51">
        <v>21.97</v>
      </c>
      <c r="I19" s="51">
        <v>10.32</v>
      </c>
      <c r="J19" s="51">
        <v>0.51</v>
      </c>
      <c r="K19" s="51">
        <v>317.8</v>
      </c>
      <c r="L19" s="51">
        <v>33.78</v>
      </c>
      <c r="M19" s="51">
        <v>60.83</v>
      </c>
      <c r="N19" s="51">
        <v>566.79999999999995</v>
      </c>
      <c r="O19" s="51">
        <v>0</v>
      </c>
      <c r="P19" s="51">
        <v>0.64</v>
      </c>
      <c r="Q19" s="51">
        <v>4.6399999999999997</v>
      </c>
    </row>
    <row r="20" spans="1:17" customFormat="1">
      <c r="A20" s="50">
        <v>45569.5</v>
      </c>
      <c r="B20" s="51">
        <v>9.39</v>
      </c>
      <c r="C20" s="51">
        <v>4.0999999999999996</v>
      </c>
      <c r="D20" s="51">
        <v>14.12</v>
      </c>
      <c r="E20" s="51">
        <v>12.05</v>
      </c>
      <c r="F20" s="51">
        <v>18.34</v>
      </c>
      <c r="G20" s="51">
        <v>79.39</v>
      </c>
      <c r="H20" s="51">
        <v>22.91</v>
      </c>
      <c r="I20" s="51">
        <v>10.08</v>
      </c>
      <c r="J20" s="51">
        <v>0.53</v>
      </c>
      <c r="K20" s="51">
        <v>324.2</v>
      </c>
      <c r="L20" s="51">
        <v>34.07</v>
      </c>
      <c r="M20" s="51">
        <v>61.27</v>
      </c>
      <c r="N20" s="51">
        <v>640.5</v>
      </c>
      <c r="O20" s="51">
        <v>0</v>
      </c>
      <c r="P20" s="51">
        <v>0.63</v>
      </c>
      <c r="Q20" s="51">
        <v>4.63</v>
      </c>
    </row>
    <row r="21" spans="1:17" customFormat="1">
      <c r="A21" s="50">
        <v>45569.541666666664</v>
      </c>
      <c r="B21" s="51">
        <v>9.51</v>
      </c>
      <c r="C21" s="51">
        <v>4.1100000000000003</v>
      </c>
      <c r="D21" s="51">
        <v>14.2</v>
      </c>
      <c r="E21" s="51">
        <v>11.41</v>
      </c>
      <c r="F21" s="51">
        <v>42.21</v>
      </c>
      <c r="G21" s="51">
        <v>0</v>
      </c>
      <c r="H21" s="51">
        <v>0</v>
      </c>
      <c r="I21" s="51">
        <v>9.3800000000000008</v>
      </c>
      <c r="J21" s="51">
        <v>0.41</v>
      </c>
      <c r="K21" s="51">
        <v>355.94</v>
      </c>
      <c r="L21" s="51">
        <v>34.380000000000003</v>
      </c>
      <c r="M21" s="51">
        <v>57.93</v>
      </c>
      <c r="N21" s="51">
        <v>529</v>
      </c>
      <c r="O21" s="51">
        <v>0</v>
      </c>
      <c r="P21" s="51">
        <v>0.42</v>
      </c>
      <c r="Q21" s="51">
        <v>4.6900000000000004</v>
      </c>
    </row>
    <row r="22" spans="1:17" customFormat="1">
      <c r="A22" s="50">
        <v>45569.583333333336</v>
      </c>
      <c r="B22" s="51">
        <v>9.32</v>
      </c>
      <c r="C22" s="51">
        <v>4.16</v>
      </c>
      <c r="D22" s="51">
        <v>14.06</v>
      </c>
      <c r="E22" s="51">
        <v>10.91</v>
      </c>
      <c r="F22" s="51">
        <v>31.25</v>
      </c>
      <c r="G22" s="51">
        <v>95.3</v>
      </c>
      <c r="H22" s="51">
        <v>11.39</v>
      </c>
      <c r="I22" s="51">
        <v>4.7</v>
      </c>
      <c r="J22" s="51">
        <v>0.39</v>
      </c>
      <c r="K22" s="51">
        <v>307.47000000000003</v>
      </c>
      <c r="L22" s="51">
        <v>34.01</v>
      </c>
      <c r="M22" s="51">
        <v>59.14</v>
      </c>
      <c r="N22" s="51">
        <v>357.6</v>
      </c>
      <c r="O22" s="51">
        <v>0</v>
      </c>
      <c r="P22" s="51">
        <v>0.34</v>
      </c>
      <c r="Q22" s="51">
        <v>4.7</v>
      </c>
    </row>
    <row r="23" spans="1:17" customFormat="1">
      <c r="A23" s="50">
        <v>45569.625</v>
      </c>
      <c r="B23" s="51">
        <v>9.2799999999999994</v>
      </c>
      <c r="C23" s="51">
        <v>4.09</v>
      </c>
      <c r="D23" s="51">
        <v>14.01</v>
      </c>
      <c r="E23" s="51">
        <v>10.63</v>
      </c>
      <c r="F23" s="51">
        <v>17.55</v>
      </c>
      <c r="G23" s="51">
        <v>96.29</v>
      </c>
      <c r="H23" s="51">
        <v>11.39</v>
      </c>
      <c r="I23" s="51">
        <v>4.72</v>
      </c>
      <c r="J23" s="51">
        <v>0.37</v>
      </c>
      <c r="K23" s="51">
        <v>343.63</v>
      </c>
      <c r="L23" s="51">
        <v>34.630000000000003</v>
      </c>
      <c r="M23" s="51">
        <v>61.79</v>
      </c>
      <c r="N23" s="51">
        <v>264.2</v>
      </c>
      <c r="O23" s="51">
        <v>0</v>
      </c>
      <c r="P23" s="51">
        <v>0.48</v>
      </c>
      <c r="Q23" s="51">
        <v>4.68</v>
      </c>
    </row>
    <row r="24" spans="1:17" customFormat="1">
      <c r="A24" s="50">
        <v>45569.666666666664</v>
      </c>
      <c r="B24" s="51">
        <v>9.2899999999999991</v>
      </c>
      <c r="C24" s="51">
        <v>4.08</v>
      </c>
      <c r="D24" s="51">
        <v>14.02</v>
      </c>
      <c r="E24" s="51">
        <v>9.6</v>
      </c>
      <c r="F24" s="51">
        <v>14.46</v>
      </c>
      <c r="G24" s="51">
        <v>96.29</v>
      </c>
      <c r="H24" s="51">
        <v>15.29</v>
      </c>
      <c r="I24" s="51">
        <v>4.79</v>
      </c>
      <c r="J24" s="51">
        <v>0.27</v>
      </c>
      <c r="K24" s="51">
        <v>177.81</v>
      </c>
      <c r="L24" s="51">
        <v>33.049999999999997</v>
      </c>
      <c r="M24" s="51">
        <v>71.88</v>
      </c>
      <c r="N24" s="51">
        <v>73.8</v>
      </c>
      <c r="O24" s="51">
        <v>0</v>
      </c>
      <c r="P24" s="51">
        <v>0.46</v>
      </c>
      <c r="Q24" s="51">
        <v>4.68</v>
      </c>
    </row>
    <row r="25" spans="1:17" customFormat="1">
      <c r="A25" s="50">
        <v>45569.708333333336</v>
      </c>
      <c r="B25" s="51">
        <v>9.33</v>
      </c>
      <c r="C25" s="51">
        <v>4.09</v>
      </c>
      <c r="D25" s="51">
        <v>14.06</v>
      </c>
      <c r="E25" s="51">
        <v>9.8000000000000007</v>
      </c>
      <c r="F25" s="51">
        <v>20.6</v>
      </c>
      <c r="G25" s="51">
        <v>80.069999999999993</v>
      </c>
      <c r="H25" s="51">
        <v>18.2</v>
      </c>
      <c r="I25" s="51">
        <v>4.49</v>
      </c>
      <c r="J25" s="51">
        <v>0.19</v>
      </c>
      <c r="K25" s="51">
        <v>183.43</v>
      </c>
      <c r="L25" s="51">
        <v>30.76</v>
      </c>
      <c r="M25" s="51">
        <v>75.05</v>
      </c>
      <c r="N25" s="51">
        <v>42.8</v>
      </c>
      <c r="O25" s="51">
        <v>0</v>
      </c>
      <c r="P25" s="51">
        <v>0.44</v>
      </c>
      <c r="Q25" s="51">
        <v>4.67</v>
      </c>
    </row>
    <row r="26" spans="1:17" customFormat="1">
      <c r="A26" s="50">
        <v>45569.75</v>
      </c>
      <c r="B26" s="51">
        <v>9.32</v>
      </c>
      <c r="C26" s="51">
        <v>4.08</v>
      </c>
      <c r="D26" s="51">
        <v>14.05</v>
      </c>
      <c r="E26" s="51">
        <v>9.58</v>
      </c>
      <c r="F26" s="51">
        <v>14.65</v>
      </c>
      <c r="G26" s="51">
        <v>71.61</v>
      </c>
      <c r="H26" s="51">
        <v>18.2</v>
      </c>
      <c r="I26" s="51">
        <v>4.4800000000000004</v>
      </c>
      <c r="J26" s="51">
        <v>0.18</v>
      </c>
      <c r="K26" s="51">
        <v>252.06</v>
      </c>
      <c r="L26" s="51">
        <v>29.73</v>
      </c>
      <c r="M26" s="51">
        <v>77.06</v>
      </c>
      <c r="N26" s="51">
        <v>16.899999999999999</v>
      </c>
      <c r="O26" s="51">
        <v>0</v>
      </c>
      <c r="P26" s="51">
        <v>0.5</v>
      </c>
      <c r="Q26" s="51">
        <v>4.66</v>
      </c>
    </row>
    <row r="27" spans="1:17" customFormat="1">
      <c r="A27" s="50">
        <v>45569.791666666664</v>
      </c>
      <c r="B27" s="51">
        <v>9.2899999999999991</v>
      </c>
      <c r="C27" s="51">
        <v>4.08</v>
      </c>
      <c r="D27" s="51">
        <v>14.03</v>
      </c>
      <c r="E27" s="51">
        <v>8.0299999999999994</v>
      </c>
      <c r="F27" s="51">
        <v>9.19</v>
      </c>
      <c r="G27" s="51">
        <v>67.25</v>
      </c>
      <c r="H27" s="51">
        <v>17.34</v>
      </c>
      <c r="I27" s="51">
        <v>5.05</v>
      </c>
      <c r="J27" s="51">
        <v>0.17</v>
      </c>
      <c r="K27" s="51">
        <v>215.63</v>
      </c>
      <c r="L27" s="51">
        <v>28.32</v>
      </c>
      <c r="M27" s="51">
        <v>81.86</v>
      </c>
      <c r="N27" s="51">
        <v>2.2000000000000002</v>
      </c>
      <c r="O27" s="51">
        <v>0</v>
      </c>
      <c r="P27" s="51">
        <v>0.52</v>
      </c>
      <c r="Q27" s="51">
        <v>4.6399999999999997</v>
      </c>
    </row>
    <row r="28" spans="1:17" customFormat="1">
      <c r="A28" s="50">
        <v>45569.833333333336</v>
      </c>
      <c r="B28" s="51">
        <v>9.27</v>
      </c>
      <c r="C28" s="51">
        <v>4.12</v>
      </c>
      <c r="D28" s="51">
        <v>14</v>
      </c>
      <c r="E28" s="51">
        <v>8.3800000000000008</v>
      </c>
      <c r="F28" s="51">
        <v>5.12</v>
      </c>
      <c r="G28" s="51">
        <v>63.64</v>
      </c>
      <c r="H28" s="51">
        <v>17.34</v>
      </c>
      <c r="I28" s="51">
        <v>5.45</v>
      </c>
      <c r="J28" s="51">
        <v>1.02</v>
      </c>
      <c r="K28" s="51">
        <v>220.54</v>
      </c>
      <c r="L28" s="51">
        <v>28.24</v>
      </c>
      <c r="M28" s="51">
        <v>80.489999999999995</v>
      </c>
      <c r="N28" s="51">
        <v>2.1</v>
      </c>
      <c r="O28" s="51">
        <v>0</v>
      </c>
      <c r="P28" s="51">
        <v>0.57999999999999996</v>
      </c>
      <c r="Q28" s="51">
        <v>4.66</v>
      </c>
    </row>
    <row r="29" spans="1:17" customFormat="1">
      <c r="A29" s="50">
        <v>45569.875</v>
      </c>
      <c r="B29" s="51">
        <v>9.23</v>
      </c>
      <c r="C29" s="51">
        <v>4.21</v>
      </c>
      <c r="D29" s="51">
        <v>14</v>
      </c>
      <c r="E29" s="51">
        <v>8.64</v>
      </c>
      <c r="F29" s="51">
        <v>5.84</v>
      </c>
      <c r="G29" s="51">
        <v>86.69</v>
      </c>
      <c r="H29" s="51">
        <v>15.97</v>
      </c>
      <c r="I29" s="51">
        <v>5.96</v>
      </c>
      <c r="J29" s="51">
        <v>0.97</v>
      </c>
      <c r="K29" s="51">
        <v>207.13</v>
      </c>
      <c r="L29" s="51">
        <v>28.07</v>
      </c>
      <c r="M29" s="51">
        <v>79.47</v>
      </c>
      <c r="N29" s="51">
        <v>2.5</v>
      </c>
      <c r="O29" s="51">
        <v>0</v>
      </c>
      <c r="P29" s="51">
        <v>0.56000000000000005</v>
      </c>
      <c r="Q29" s="51">
        <v>4.6500000000000004</v>
      </c>
    </row>
    <row r="30" spans="1:17" customFormat="1">
      <c r="A30" s="50">
        <v>45569.916666666664</v>
      </c>
      <c r="B30" s="51">
        <v>9.31</v>
      </c>
      <c r="C30" s="51">
        <v>4.22</v>
      </c>
      <c r="D30" s="51">
        <v>14.05</v>
      </c>
      <c r="E30" s="51">
        <v>8.9600000000000009</v>
      </c>
      <c r="F30" s="51">
        <v>4.87</v>
      </c>
      <c r="G30" s="51">
        <v>86.69</v>
      </c>
      <c r="H30" s="51">
        <v>17.649999999999999</v>
      </c>
      <c r="I30" s="51">
        <v>5.74</v>
      </c>
      <c r="J30" s="51">
        <v>0.2</v>
      </c>
      <c r="K30" s="51">
        <v>221.9</v>
      </c>
      <c r="L30" s="51">
        <v>26.41</v>
      </c>
      <c r="M30" s="51">
        <v>86.39</v>
      </c>
      <c r="N30" s="51">
        <v>2.4</v>
      </c>
      <c r="O30" s="51">
        <v>0</v>
      </c>
      <c r="P30" s="51">
        <v>0.55000000000000004</v>
      </c>
      <c r="Q30" s="51">
        <v>4.68</v>
      </c>
    </row>
    <row r="31" spans="1:17" customFormat="1">
      <c r="A31" s="50">
        <v>45569.958333333336</v>
      </c>
      <c r="B31" s="51">
        <v>9.33</v>
      </c>
      <c r="C31" s="51">
        <v>4.08</v>
      </c>
      <c r="D31" s="51">
        <v>14.06</v>
      </c>
      <c r="E31" s="51">
        <v>9.91</v>
      </c>
      <c r="F31" s="51">
        <v>5.43</v>
      </c>
      <c r="G31" s="51">
        <v>74.61</v>
      </c>
      <c r="H31" s="51">
        <v>17.649999999999999</v>
      </c>
      <c r="I31" s="51">
        <v>6.06</v>
      </c>
      <c r="J31" s="51">
        <v>0.16</v>
      </c>
      <c r="K31" s="51">
        <v>219.43</v>
      </c>
      <c r="L31" s="51">
        <v>26.05</v>
      </c>
      <c r="M31" s="51">
        <v>88.84</v>
      </c>
      <c r="N31" s="51">
        <v>2</v>
      </c>
      <c r="O31" s="51">
        <v>0</v>
      </c>
      <c r="P31" s="51">
        <v>0.5</v>
      </c>
      <c r="Q31" s="51">
        <v>4.68</v>
      </c>
    </row>
    <row r="32" spans="1:17" customFormat="1">
      <c r="A32" s="50">
        <v>45570</v>
      </c>
      <c r="B32" s="51">
        <v>9.35</v>
      </c>
      <c r="C32" s="51">
        <v>4.08</v>
      </c>
      <c r="D32" s="51">
        <v>14.07</v>
      </c>
      <c r="E32" s="51">
        <v>10.55</v>
      </c>
      <c r="F32" s="51">
        <v>4.2699999999999996</v>
      </c>
      <c r="G32" s="51">
        <v>67.78</v>
      </c>
      <c r="H32" s="51">
        <v>19.63</v>
      </c>
      <c r="I32" s="51">
        <v>6.35</v>
      </c>
      <c r="J32" s="51">
        <v>0.14000000000000001</v>
      </c>
      <c r="K32" s="51">
        <v>210.08</v>
      </c>
      <c r="L32" s="51">
        <v>25.97</v>
      </c>
      <c r="M32" s="51">
        <v>89.79</v>
      </c>
      <c r="N32" s="51">
        <v>2.1</v>
      </c>
      <c r="O32" s="51">
        <v>0</v>
      </c>
      <c r="P32" s="51">
        <v>0.51</v>
      </c>
      <c r="Q32" s="51">
        <v>4.68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9.23</v>
      </c>
      <c r="C34" s="41">
        <f t="shared" si="0"/>
        <v>4.0599999999999996</v>
      </c>
      <c r="D34" s="41">
        <f t="shared" si="0"/>
        <v>14</v>
      </c>
      <c r="E34" s="41">
        <f t="shared" si="0"/>
        <v>8.0299999999999994</v>
      </c>
      <c r="F34" s="41">
        <f t="shared" si="0"/>
        <v>3.84</v>
      </c>
      <c r="G34" s="41">
        <f t="shared" si="0"/>
        <v>0</v>
      </c>
      <c r="H34" s="41">
        <f t="shared" si="0"/>
        <v>0</v>
      </c>
      <c r="I34" s="41">
        <f t="shared" si="0"/>
        <v>4.4800000000000004</v>
      </c>
      <c r="J34" s="41">
        <f t="shared" si="0"/>
        <v>0.14000000000000001</v>
      </c>
      <c r="K34" s="41">
        <f t="shared" si="0"/>
        <v>177.81</v>
      </c>
      <c r="L34" s="41">
        <f t="shared" si="0"/>
        <v>25.41</v>
      </c>
      <c r="M34" s="41">
        <f t="shared" si="0"/>
        <v>57.93</v>
      </c>
      <c r="N34" s="41">
        <f t="shared" si="0"/>
        <v>2</v>
      </c>
      <c r="O34" s="41">
        <f t="shared" si="0"/>
        <v>0</v>
      </c>
      <c r="P34" s="41">
        <f t="shared" si="0"/>
        <v>0.34</v>
      </c>
      <c r="Q34" s="41">
        <f t="shared" si="0"/>
        <v>4.63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9.51</v>
      </c>
      <c r="C35" s="33">
        <f t="shared" si="1"/>
        <v>4.22</v>
      </c>
      <c r="D35" s="33">
        <f t="shared" si="1"/>
        <v>14.2</v>
      </c>
      <c r="E35" s="33">
        <f t="shared" si="1"/>
        <v>13.14</v>
      </c>
      <c r="F35" s="33">
        <f t="shared" si="1"/>
        <v>42.21</v>
      </c>
      <c r="G35" s="33">
        <f t="shared" si="1"/>
        <v>107.62</v>
      </c>
      <c r="H35" s="33">
        <f t="shared" si="1"/>
        <v>32.07</v>
      </c>
      <c r="I35" s="33">
        <f t="shared" si="1"/>
        <v>10.44</v>
      </c>
      <c r="J35" s="33">
        <f t="shared" si="1"/>
        <v>1.02</v>
      </c>
      <c r="K35" s="33">
        <f t="shared" si="1"/>
        <v>355.94</v>
      </c>
      <c r="L35" s="33">
        <f t="shared" si="1"/>
        <v>34.630000000000003</v>
      </c>
      <c r="M35" s="33">
        <f t="shared" si="1"/>
        <v>98.22</v>
      </c>
      <c r="N35" s="33">
        <f t="shared" si="1"/>
        <v>640.5</v>
      </c>
      <c r="O35" s="33">
        <f t="shared" si="1"/>
        <v>0</v>
      </c>
      <c r="P35" s="33">
        <f t="shared" si="1"/>
        <v>0.64</v>
      </c>
      <c r="Q35" s="33">
        <f t="shared" si="1"/>
        <v>4.7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9.3175000000000008</v>
      </c>
      <c r="C36" s="41">
        <f t="shared" si="2"/>
        <v>4.107499999999999</v>
      </c>
      <c r="D36" s="41">
        <f t="shared" si="2"/>
        <v>14.050833333333332</v>
      </c>
      <c r="E36" s="41">
        <f t="shared" si="2"/>
        <v>10.733333333333334</v>
      </c>
      <c r="F36" s="41">
        <f t="shared" si="2"/>
        <v>10.262500000000001</v>
      </c>
      <c r="G36" s="41">
        <f t="shared" si="2"/>
        <v>77.801666666666662</v>
      </c>
      <c r="H36" s="41">
        <f t="shared" si="2"/>
        <v>19.217916666666664</v>
      </c>
      <c r="I36" s="41">
        <f t="shared" si="2"/>
        <v>7.6987499999999995</v>
      </c>
      <c r="J36" s="41">
        <f t="shared" si="2"/>
        <v>0.34791666666666671</v>
      </c>
      <c r="K36" s="41">
        <f t="shared" si="2"/>
        <v>250.42291666666668</v>
      </c>
      <c r="L36" s="41">
        <f t="shared" si="2"/>
        <v>29.398750000000003</v>
      </c>
      <c r="M36" s="41">
        <f t="shared" si="2"/>
        <v>80.287083333333328</v>
      </c>
      <c r="N36" s="41">
        <f t="shared" si="2"/>
        <v>137.67499999999998</v>
      </c>
      <c r="O36" s="41">
        <f t="shared" si="2"/>
        <v>0</v>
      </c>
      <c r="P36" s="41">
        <f t="shared" si="2"/>
        <v>0.53833333333333333</v>
      </c>
      <c r="Q36" s="41">
        <f t="shared" si="2"/>
        <v>4.6670833333333341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5.8328157120240691E-2</v>
      </c>
      <c r="C37" s="41">
        <f t="shared" ref="C37:Q37" si="3">STDEV(C9:C32)</f>
        <v>4.0566638681471312E-2</v>
      </c>
      <c r="D37" s="41">
        <f t="shared" si="3"/>
        <v>4.6336826059575613E-2</v>
      </c>
      <c r="E37" s="41">
        <f t="shared" si="3"/>
        <v>1.3696545634532784</v>
      </c>
      <c r="F37" s="41">
        <f t="shared" si="3"/>
        <v>9.7772959051770201</v>
      </c>
      <c r="G37" s="41">
        <f t="shared" si="3"/>
        <v>20.528515833319254</v>
      </c>
      <c r="H37" s="41">
        <f t="shared" si="3"/>
        <v>6.23677521129565</v>
      </c>
      <c r="I37" s="41">
        <f t="shared" si="3"/>
        <v>2.3590939906077848</v>
      </c>
      <c r="J37" s="41">
        <f t="shared" si="3"/>
        <v>0.24777232127177909</v>
      </c>
      <c r="K37" s="41">
        <f t="shared" si="3"/>
        <v>51.962187295325485</v>
      </c>
      <c r="L37" s="41">
        <f t="shared" si="3"/>
        <v>3.2777037461958316</v>
      </c>
      <c r="M37" s="41">
        <f t="shared" si="3"/>
        <v>13.589154396434974</v>
      </c>
      <c r="N37" s="41">
        <f t="shared" si="3"/>
        <v>205.73732778345851</v>
      </c>
      <c r="O37" s="41">
        <f t="shared" si="3"/>
        <v>0</v>
      </c>
      <c r="P37" s="41">
        <f t="shared" si="3"/>
        <v>7.8056092799911964E-2</v>
      </c>
      <c r="Q37" s="41">
        <f t="shared" si="3"/>
        <v>1.6805580508625202E-2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27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45570.041666666664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>
        <v>45570.041666666664</v>
      </c>
      <c r="B9" s="51">
        <v>9.23</v>
      </c>
      <c r="C9" s="51">
        <v>4.1399999999999997</v>
      </c>
      <c r="D9" s="51">
        <v>14</v>
      </c>
      <c r="E9" s="51">
        <v>10.87</v>
      </c>
      <c r="F9" s="51">
        <v>4.05</v>
      </c>
      <c r="G9" s="51">
        <v>67.78</v>
      </c>
      <c r="H9" s="51">
        <v>19.63</v>
      </c>
      <c r="I9" s="51">
        <v>6.37</v>
      </c>
      <c r="J9" s="51">
        <v>0.14000000000000001</v>
      </c>
      <c r="K9" s="51">
        <v>243.03</v>
      </c>
      <c r="L9" s="51">
        <v>25.65</v>
      </c>
      <c r="M9" s="51">
        <v>92.33</v>
      </c>
      <c r="N9" s="51">
        <v>2.1</v>
      </c>
      <c r="O9" s="51">
        <v>0</v>
      </c>
      <c r="P9" s="51">
        <v>0.51</v>
      </c>
      <c r="Q9" s="51">
        <v>4.68</v>
      </c>
    </row>
    <row r="10" spans="1:21" customFormat="1">
      <c r="A10" s="50">
        <v>45570.083333333336</v>
      </c>
      <c r="B10" s="51">
        <v>9.2200000000000006</v>
      </c>
      <c r="C10" s="51">
        <v>4.17</v>
      </c>
      <c r="D10" s="51">
        <v>14</v>
      </c>
      <c r="E10" s="51">
        <v>11.3</v>
      </c>
      <c r="F10" s="51">
        <v>3.76</v>
      </c>
      <c r="G10" s="51">
        <v>62.97</v>
      </c>
      <c r="H10" s="51">
        <v>16.850000000000001</v>
      </c>
      <c r="I10" s="51">
        <v>6.7</v>
      </c>
      <c r="J10" s="51">
        <v>0.12</v>
      </c>
      <c r="K10" s="51">
        <v>230.87</v>
      </c>
      <c r="L10" s="51">
        <v>25.53</v>
      </c>
      <c r="M10" s="51">
        <v>92.74</v>
      </c>
      <c r="N10" s="51">
        <v>2.1</v>
      </c>
      <c r="O10" s="51">
        <v>0</v>
      </c>
      <c r="P10" s="51">
        <v>0.53</v>
      </c>
      <c r="Q10" s="51">
        <v>4.66</v>
      </c>
    </row>
    <row r="11" spans="1:21" customFormat="1">
      <c r="A11" s="50">
        <v>45570.125</v>
      </c>
      <c r="B11" s="51">
        <v>9.2100000000000009</v>
      </c>
      <c r="C11" s="51">
        <v>4.16</v>
      </c>
      <c r="D11" s="51">
        <v>14</v>
      </c>
      <c r="E11" s="51">
        <v>9.0500000000000007</v>
      </c>
      <c r="F11" s="51">
        <v>4.13</v>
      </c>
      <c r="G11" s="51">
        <v>60.74</v>
      </c>
      <c r="H11" s="51">
        <v>17.14</v>
      </c>
      <c r="I11" s="51">
        <v>6.97</v>
      </c>
      <c r="J11" s="51">
        <v>0.13</v>
      </c>
      <c r="K11" s="51">
        <v>233.85</v>
      </c>
      <c r="L11" s="51">
        <v>25.24</v>
      </c>
      <c r="M11" s="51">
        <v>97.47</v>
      </c>
      <c r="N11" s="51">
        <v>2</v>
      </c>
      <c r="O11" s="51">
        <v>0</v>
      </c>
      <c r="P11" s="51">
        <v>0.56999999999999995</v>
      </c>
      <c r="Q11" s="51">
        <v>4.66</v>
      </c>
    </row>
    <row r="12" spans="1:21" customFormat="1">
      <c r="A12" s="50">
        <v>45570.166666666664</v>
      </c>
      <c r="B12" s="51">
        <v>9.26</v>
      </c>
      <c r="C12" s="51">
        <v>4.17</v>
      </c>
      <c r="D12" s="51">
        <v>14</v>
      </c>
      <c r="E12" s="51">
        <v>8.48</v>
      </c>
      <c r="F12" s="51">
        <v>4.04</v>
      </c>
      <c r="G12" s="51">
        <v>64.260000000000005</v>
      </c>
      <c r="H12" s="51">
        <v>17.43</v>
      </c>
      <c r="I12" s="51">
        <v>6.98</v>
      </c>
      <c r="J12" s="51">
        <v>0.19</v>
      </c>
      <c r="K12" s="51">
        <v>230.49</v>
      </c>
      <c r="L12" s="51">
        <v>25.02</v>
      </c>
      <c r="M12" s="51">
        <v>96.75</v>
      </c>
      <c r="N12" s="51">
        <v>2.1</v>
      </c>
      <c r="O12" s="51">
        <v>0</v>
      </c>
      <c r="P12" s="51">
        <v>0.56999999999999995</v>
      </c>
      <c r="Q12" s="51">
        <v>4.67</v>
      </c>
    </row>
    <row r="13" spans="1:21" customFormat="1">
      <c r="A13" s="50">
        <v>45570.208333333336</v>
      </c>
      <c r="B13" s="51">
        <v>9.25</v>
      </c>
      <c r="C13" s="51">
        <v>4.09</v>
      </c>
      <c r="D13" s="51">
        <v>14</v>
      </c>
      <c r="E13" s="51">
        <v>7.54</v>
      </c>
      <c r="F13" s="51">
        <v>3.74</v>
      </c>
      <c r="G13" s="51">
        <v>65.28</v>
      </c>
      <c r="H13" s="51">
        <v>17.82</v>
      </c>
      <c r="I13" s="51">
        <v>7.24</v>
      </c>
      <c r="J13" s="51">
        <v>0.16</v>
      </c>
      <c r="K13" s="51">
        <v>220</v>
      </c>
      <c r="L13" s="51">
        <v>24.57</v>
      </c>
      <c r="M13" s="51">
        <v>96.28</v>
      </c>
      <c r="N13" s="51">
        <v>2.1</v>
      </c>
      <c r="O13" s="51">
        <v>0</v>
      </c>
      <c r="P13" s="51">
        <v>0.57999999999999996</v>
      </c>
      <c r="Q13" s="51">
        <v>4.67</v>
      </c>
    </row>
    <row r="14" spans="1:21" customFormat="1">
      <c r="A14" s="50">
        <v>45570.25</v>
      </c>
      <c r="B14" s="51">
        <v>9.26</v>
      </c>
      <c r="C14" s="51">
        <v>4.09</v>
      </c>
      <c r="D14" s="51">
        <v>14</v>
      </c>
      <c r="E14" s="51">
        <v>7.19</v>
      </c>
      <c r="F14" s="51">
        <v>3.68</v>
      </c>
      <c r="G14" s="51">
        <v>73.44</v>
      </c>
      <c r="H14" s="51">
        <v>22.03</v>
      </c>
      <c r="I14" s="51">
        <v>7.52</v>
      </c>
      <c r="J14" s="51">
        <v>0.14000000000000001</v>
      </c>
      <c r="K14" s="51">
        <v>222.37</v>
      </c>
      <c r="L14" s="51">
        <v>24.49</v>
      </c>
      <c r="M14" s="51">
        <v>96.1</v>
      </c>
      <c r="N14" s="51">
        <v>6.9</v>
      </c>
      <c r="O14" s="51">
        <v>0</v>
      </c>
      <c r="P14" s="51">
        <v>0.57999999999999996</v>
      </c>
      <c r="Q14" s="51">
        <v>4.67</v>
      </c>
    </row>
    <row r="15" spans="1:21" customFormat="1">
      <c r="A15" s="50">
        <v>45570.291666666664</v>
      </c>
      <c r="B15" s="51">
        <v>9.2799999999999994</v>
      </c>
      <c r="C15" s="51">
        <v>4.08</v>
      </c>
      <c r="D15" s="51">
        <v>14.01</v>
      </c>
      <c r="E15" s="51">
        <v>7.02</v>
      </c>
      <c r="F15" s="51">
        <v>3.64</v>
      </c>
      <c r="G15" s="51">
        <v>73.44</v>
      </c>
      <c r="H15" s="51">
        <v>22.03</v>
      </c>
      <c r="I15" s="51">
        <v>7.7</v>
      </c>
      <c r="J15" s="51">
        <v>0.15</v>
      </c>
      <c r="K15" s="51">
        <v>219.84</v>
      </c>
      <c r="L15" s="51">
        <v>25.81</v>
      </c>
      <c r="M15" s="51">
        <v>95.14</v>
      </c>
      <c r="N15" s="51">
        <v>40</v>
      </c>
      <c r="O15" s="51">
        <v>0</v>
      </c>
      <c r="P15" s="51">
        <v>0.6</v>
      </c>
      <c r="Q15" s="51">
        <v>4.68</v>
      </c>
    </row>
    <row r="16" spans="1:21" customFormat="1">
      <c r="A16" s="50">
        <v>45570.333333333336</v>
      </c>
      <c r="B16" s="51">
        <v>9.2799999999999994</v>
      </c>
      <c r="C16" s="51">
        <v>4.1900000000000004</v>
      </c>
      <c r="D16" s="51">
        <v>14.02</v>
      </c>
      <c r="E16" s="51">
        <v>8.52</v>
      </c>
      <c r="F16" s="51">
        <v>4.99</v>
      </c>
      <c r="G16" s="51">
        <v>71.75</v>
      </c>
      <c r="H16" s="51">
        <v>21.65</v>
      </c>
      <c r="I16" s="51">
        <v>8.17</v>
      </c>
      <c r="J16" s="51">
        <v>0.24</v>
      </c>
      <c r="K16" s="51">
        <v>332.04</v>
      </c>
      <c r="L16" s="51">
        <v>28.79</v>
      </c>
      <c r="M16" s="51">
        <v>87.16</v>
      </c>
      <c r="N16" s="51">
        <v>221.8</v>
      </c>
      <c r="O16" s="51">
        <v>0</v>
      </c>
      <c r="P16" s="51">
        <v>0.61</v>
      </c>
      <c r="Q16" s="51">
        <v>4.68</v>
      </c>
    </row>
    <row r="17" spans="1:17" customFormat="1">
      <c r="A17" s="50">
        <v>45570.375</v>
      </c>
      <c r="B17" s="51">
        <v>9.1999999999999993</v>
      </c>
      <c r="C17" s="51">
        <v>4.16</v>
      </c>
      <c r="D17" s="51">
        <v>14</v>
      </c>
      <c r="E17" s="51">
        <v>16.440000000000001</v>
      </c>
      <c r="F17" s="51">
        <v>6.94</v>
      </c>
      <c r="G17" s="51">
        <v>113.6</v>
      </c>
      <c r="H17" s="51">
        <v>37.83</v>
      </c>
      <c r="I17" s="51">
        <v>8.15</v>
      </c>
      <c r="J17" s="51">
        <v>0.56000000000000005</v>
      </c>
      <c r="K17" s="51">
        <v>297.01</v>
      </c>
      <c r="L17" s="51">
        <v>31.01</v>
      </c>
      <c r="M17" s="51">
        <v>70.73</v>
      </c>
      <c r="N17" s="51">
        <v>358.2</v>
      </c>
      <c r="O17" s="51">
        <v>0</v>
      </c>
      <c r="P17" s="51">
        <v>0.66</v>
      </c>
      <c r="Q17" s="51">
        <v>4.6900000000000004</v>
      </c>
    </row>
    <row r="18" spans="1:17" customFormat="1">
      <c r="A18" s="50">
        <v>45570.416666666664</v>
      </c>
      <c r="B18" s="51">
        <v>9.24</v>
      </c>
      <c r="C18" s="51">
        <v>4.1399999999999997</v>
      </c>
      <c r="D18" s="51">
        <v>14</v>
      </c>
      <c r="E18" s="51">
        <v>21.51</v>
      </c>
      <c r="F18" s="51">
        <v>8.15</v>
      </c>
      <c r="G18" s="51">
        <v>159.38</v>
      </c>
      <c r="H18" s="51">
        <v>47.35</v>
      </c>
      <c r="I18" s="51">
        <v>8.23</v>
      </c>
      <c r="J18" s="51">
        <v>0.28999999999999998</v>
      </c>
      <c r="K18" s="51">
        <v>342.96</v>
      </c>
      <c r="L18" s="51">
        <v>32.01</v>
      </c>
      <c r="M18" s="51">
        <v>64.040000000000006</v>
      </c>
      <c r="N18" s="51">
        <v>166.4</v>
      </c>
      <c r="O18" s="51">
        <v>0</v>
      </c>
      <c r="P18" s="51">
        <v>0.8</v>
      </c>
      <c r="Q18" s="51">
        <v>4.6900000000000004</v>
      </c>
    </row>
    <row r="19" spans="1:17" customFormat="1">
      <c r="A19" s="50">
        <v>45570.458333333336</v>
      </c>
      <c r="B19" s="51">
        <v>9.24</v>
      </c>
      <c r="C19" s="51">
        <v>4.1500000000000004</v>
      </c>
      <c r="D19" s="51">
        <v>14</v>
      </c>
      <c r="E19" s="51">
        <v>21.55</v>
      </c>
      <c r="F19" s="51">
        <v>14.26</v>
      </c>
      <c r="G19" s="51">
        <v>165.5</v>
      </c>
      <c r="H19" s="51">
        <v>48.33</v>
      </c>
      <c r="I19" s="51">
        <v>8.08</v>
      </c>
      <c r="J19" s="51">
        <v>0.61</v>
      </c>
      <c r="K19" s="51">
        <v>306.83999999999997</v>
      </c>
      <c r="L19" s="51">
        <v>33.56</v>
      </c>
      <c r="M19" s="51">
        <v>58.4</v>
      </c>
      <c r="N19" s="51">
        <v>512.5</v>
      </c>
      <c r="O19" s="51">
        <v>0</v>
      </c>
      <c r="P19" s="51">
        <v>0.78</v>
      </c>
      <c r="Q19" s="51">
        <v>4.68</v>
      </c>
    </row>
    <row r="20" spans="1:17" customFormat="1">
      <c r="A20" s="50">
        <v>45570.5</v>
      </c>
      <c r="B20" s="51">
        <v>9.2100000000000009</v>
      </c>
      <c r="C20" s="51">
        <v>4.2</v>
      </c>
      <c r="D20" s="51">
        <v>14</v>
      </c>
      <c r="E20" s="51">
        <v>23.59</v>
      </c>
      <c r="F20" s="51">
        <v>18.010000000000002</v>
      </c>
      <c r="G20" s="51">
        <v>165.5</v>
      </c>
      <c r="H20" s="51">
        <v>48.33</v>
      </c>
      <c r="I20" s="51">
        <v>7.47</v>
      </c>
      <c r="J20" s="51">
        <v>0.74</v>
      </c>
      <c r="K20" s="51">
        <v>60.38</v>
      </c>
      <c r="L20" s="51">
        <v>33.69</v>
      </c>
      <c r="M20" s="51">
        <v>56.93</v>
      </c>
      <c r="N20" s="51">
        <v>682.3</v>
      </c>
      <c r="O20" s="51">
        <v>0</v>
      </c>
      <c r="P20" s="51">
        <v>0.76</v>
      </c>
      <c r="Q20" s="51">
        <v>4.6900000000000004</v>
      </c>
    </row>
    <row r="21" spans="1:17" customFormat="1">
      <c r="A21" s="50">
        <v>45570.541666666664</v>
      </c>
      <c r="B21" s="51">
        <v>9.2200000000000006</v>
      </c>
      <c r="C21" s="51">
        <v>4.2</v>
      </c>
      <c r="D21" s="51">
        <v>14</v>
      </c>
      <c r="E21" s="51">
        <v>21.49</v>
      </c>
      <c r="F21" s="51">
        <v>13.54</v>
      </c>
      <c r="G21" s="51">
        <v>158</v>
      </c>
      <c r="H21" s="51">
        <v>45.52</v>
      </c>
      <c r="I21" s="51">
        <v>7.34</v>
      </c>
      <c r="J21" s="51">
        <v>0.8</v>
      </c>
      <c r="K21" s="51">
        <v>60.44</v>
      </c>
      <c r="L21" s="51">
        <v>33.78</v>
      </c>
      <c r="M21" s="51">
        <v>55.73</v>
      </c>
      <c r="N21" s="51">
        <v>700.3</v>
      </c>
      <c r="O21" s="51">
        <v>0</v>
      </c>
      <c r="P21" s="51">
        <v>0.78</v>
      </c>
      <c r="Q21" s="51">
        <v>4.6500000000000004</v>
      </c>
    </row>
    <row r="22" spans="1:17" customFormat="1">
      <c r="A22" s="50">
        <v>45570.583333333336</v>
      </c>
      <c r="B22" s="51">
        <v>9.2200000000000006</v>
      </c>
      <c r="C22" s="51">
        <v>4.25</v>
      </c>
      <c r="D22" s="51">
        <v>14</v>
      </c>
      <c r="E22" s="51">
        <v>13.92</v>
      </c>
      <c r="F22" s="51">
        <v>6.79</v>
      </c>
      <c r="G22" s="51">
        <v>144.37</v>
      </c>
      <c r="H22" s="51">
        <v>40.130000000000003</v>
      </c>
      <c r="I22" s="51">
        <v>7.48</v>
      </c>
      <c r="J22" s="51">
        <v>0.65</v>
      </c>
      <c r="K22" s="51">
        <v>73.69</v>
      </c>
      <c r="L22" s="51">
        <v>34.08</v>
      </c>
      <c r="M22" s="51">
        <v>55.45</v>
      </c>
      <c r="N22" s="51">
        <v>484.4</v>
      </c>
      <c r="O22" s="51">
        <v>0</v>
      </c>
      <c r="P22" s="51">
        <v>0.79</v>
      </c>
      <c r="Q22" s="51">
        <v>4.6500000000000004</v>
      </c>
    </row>
    <row r="23" spans="1:17" customFormat="1">
      <c r="A23" s="50">
        <v>45570.625</v>
      </c>
      <c r="B23" s="51">
        <v>9.32</v>
      </c>
      <c r="C23" s="51">
        <v>4.12</v>
      </c>
      <c r="D23" s="51">
        <v>14.03</v>
      </c>
      <c r="E23" s="51">
        <v>13.09</v>
      </c>
      <c r="F23" s="51">
        <v>5.42</v>
      </c>
      <c r="G23" s="51">
        <v>121.92</v>
      </c>
      <c r="H23" s="51">
        <v>34.82</v>
      </c>
      <c r="I23" s="51">
        <v>7.54</v>
      </c>
      <c r="J23" s="51">
        <v>0.81</v>
      </c>
      <c r="K23" s="51">
        <v>58.67</v>
      </c>
      <c r="L23" s="51">
        <v>33.18</v>
      </c>
      <c r="M23" s="51">
        <v>57.94</v>
      </c>
      <c r="N23" s="51">
        <v>200.7</v>
      </c>
      <c r="O23" s="51">
        <v>0</v>
      </c>
      <c r="P23" s="51">
        <v>0.56999999999999995</v>
      </c>
      <c r="Q23" s="51">
        <v>4.6500000000000004</v>
      </c>
    </row>
    <row r="24" spans="1:17" customFormat="1">
      <c r="A24" s="50">
        <v>45570.666666666664</v>
      </c>
      <c r="B24" s="51">
        <v>9.2899999999999991</v>
      </c>
      <c r="C24" s="51">
        <v>4.12</v>
      </c>
      <c r="D24" s="51">
        <v>14.01</v>
      </c>
      <c r="E24" s="51">
        <v>12.23</v>
      </c>
      <c r="F24" s="51">
        <v>5</v>
      </c>
      <c r="G24" s="51">
        <v>119.87</v>
      </c>
      <c r="H24" s="51">
        <v>30.81</v>
      </c>
      <c r="I24" s="51">
        <v>7.66</v>
      </c>
      <c r="J24" s="51">
        <v>0.67</v>
      </c>
      <c r="K24" s="51">
        <v>74.69</v>
      </c>
      <c r="L24" s="51">
        <v>32.869999999999997</v>
      </c>
      <c r="M24" s="51">
        <v>56.72</v>
      </c>
      <c r="N24" s="51">
        <v>122</v>
      </c>
      <c r="O24" s="51">
        <v>0</v>
      </c>
      <c r="P24" s="51">
        <v>0.56000000000000005</v>
      </c>
      <c r="Q24" s="51">
        <v>4.6399999999999997</v>
      </c>
    </row>
    <row r="25" spans="1:17" customFormat="1">
      <c r="A25" s="50">
        <v>45570.708333333336</v>
      </c>
      <c r="B25" s="51">
        <v>9.2799999999999994</v>
      </c>
      <c r="C25" s="51">
        <v>4.13</v>
      </c>
      <c r="D25" s="51">
        <v>14.03</v>
      </c>
      <c r="E25" s="51">
        <v>11.89</v>
      </c>
      <c r="F25" s="51">
        <v>17.489999999999998</v>
      </c>
      <c r="G25" s="51">
        <v>104.25</v>
      </c>
      <c r="H25" s="51">
        <v>27.69</v>
      </c>
      <c r="I25" s="51">
        <v>7.64</v>
      </c>
      <c r="J25" s="51">
        <v>0.39</v>
      </c>
      <c r="K25" s="51">
        <v>183.71</v>
      </c>
      <c r="L25" s="51">
        <v>32.6</v>
      </c>
      <c r="M25" s="51">
        <v>62.42</v>
      </c>
      <c r="N25" s="51">
        <v>44.2</v>
      </c>
      <c r="O25" s="51">
        <v>0</v>
      </c>
      <c r="P25" s="51">
        <v>0.53</v>
      </c>
      <c r="Q25" s="51">
        <v>4.68</v>
      </c>
    </row>
    <row r="26" spans="1:17" customFormat="1">
      <c r="A26" s="50">
        <v>45570.75</v>
      </c>
      <c r="B26" s="51">
        <v>9.23</v>
      </c>
      <c r="C26" s="51">
        <v>4.2699999999999996</v>
      </c>
      <c r="D26" s="51">
        <v>14</v>
      </c>
      <c r="E26" s="51">
        <v>11.34</v>
      </c>
      <c r="F26" s="51">
        <v>9.8000000000000007</v>
      </c>
      <c r="G26" s="51">
        <v>98.23</v>
      </c>
      <c r="H26" s="51">
        <v>30.07</v>
      </c>
      <c r="I26" s="51">
        <v>6.52</v>
      </c>
      <c r="J26" s="51">
        <v>0.26</v>
      </c>
      <c r="K26" s="51">
        <v>216.91</v>
      </c>
      <c r="L26" s="51">
        <v>30.07</v>
      </c>
      <c r="M26" s="51">
        <v>80.92</v>
      </c>
      <c r="N26" s="51">
        <v>10.9</v>
      </c>
      <c r="O26" s="51">
        <v>0</v>
      </c>
      <c r="P26" s="51">
        <v>0.38</v>
      </c>
      <c r="Q26" s="51">
        <v>4.67</v>
      </c>
    </row>
    <row r="27" spans="1:17" customFormat="1">
      <c r="A27" s="50">
        <v>45570.791666666664</v>
      </c>
      <c r="B27" s="51">
        <v>9.1300000000000008</v>
      </c>
      <c r="C27" s="51">
        <v>4.32</v>
      </c>
      <c r="D27" s="51">
        <v>14</v>
      </c>
      <c r="E27" s="51">
        <v>11.53</v>
      </c>
      <c r="F27" s="51">
        <v>7.4</v>
      </c>
      <c r="G27" s="51">
        <v>101.08</v>
      </c>
      <c r="H27" s="51">
        <v>30.07</v>
      </c>
      <c r="I27" s="51">
        <v>6.78</v>
      </c>
      <c r="J27" s="51">
        <v>0.22</v>
      </c>
      <c r="K27" s="51">
        <v>222.28</v>
      </c>
      <c r="L27" s="51">
        <v>28.25</v>
      </c>
      <c r="M27" s="51">
        <v>85.46</v>
      </c>
      <c r="N27" s="51">
        <v>2.1</v>
      </c>
      <c r="O27" s="51">
        <v>0</v>
      </c>
      <c r="P27" s="51">
        <v>0.46</v>
      </c>
      <c r="Q27" s="51">
        <v>4.68</v>
      </c>
    </row>
    <row r="28" spans="1:17" customFormat="1">
      <c r="A28" s="50">
        <v>45570.833333333336</v>
      </c>
      <c r="B28" s="51">
        <v>9.15</v>
      </c>
      <c r="C28" s="51">
        <v>4.25</v>
      </c>
      <c r="D28" s="51">
        <v>14</v>
      </c>
      <c r="E28" s="51">
        <v>11.69</v>
      </c>
      <c r="F28" s="51">
        <v>6.83</v>
      </c>
      <c r="G28" s="51">
        <v>104.64</v>
      </c>
      <c r="H28" s="51">
        <v>29.94</v>
      </c>
      <c r="I28" s="51">
        <v>7.59</v>
      </c>
      <c r="J28" s="51">
        <v>0.21</v>
      </c>
      <c r="K28" s="51">
        <v>224.94</v>
      </c>
      <c r="L28" s="51">
        <v>27.48</v>
      </c>
      <c r="M28" s="51">
        <v>88.82</v>
      </c>
      <c r="N28" s="51">
        <v>2.2000000000000002</v>
      </c>
      <c r="O28" s="51">
        <v>0</v>
      </c>
      <c r="P28" s="51">
        <v>0.45</v>
      </c>
      <c r="Q28" s="51">
        <v>4.68</v>
      </c>
    </row>
    <row r="29" spans="1:17" customFormat="1">
      <c r="A29" s="50">
        <v>45570.875</v>
      </c>
      <c r="B29" s="51">
        <v>9.16</v>
      </c>
      <c r="C29" s="51">
        <v>4.25</v>
      </c>
      <c r="D29" s="51">
        <v>14</v>
      </c>
      <c r="E29" s="51">
        <v>11.88</v>
      </c>
      <c r="F29" s="51">
        <v>7.05</v>
      </c>
      <c r="G29" s="51">
        <v>107.41</v>
      </c>
      <c r="H29" s="51">
        <v>33.020000000000003</v>
      </c>
      <c r="I29" s="51">
        <v>7.76</v>
      </c>
      <c r="J29" s="51">
        <v>0.18</v>
      </c>
      <c r="K29" s="51">
        <v>242.36</v>
      </c>
      <c r="L29" s="51">
        <v>27.13</v>
      </c>
      <c r="M29" s="51">
        <v>90.91</v>
      </c>
      <c r="N29" s="51">
        <v>2.1</v>
      </c>
      <c r="O29" s="51">
        <v>0</v>
      </c>
      <c r="P29" s="51">
        <v>0.47</v>
      </c>
      <c r="Q29" s="51">
        <v>4.68</v>
      </c>
    </row>
    <row r="30" spans="1:17" customFormat="1">
      <c r="A30" s="50">
        <v>45570.916666666664</v>
      </c>
      <c r="B30" s="51">
        <v>9.1999999999999993</v>
      </c>
      <c r="C30" s="51">
        <v>4.24</v>
      </c>
      <c r="D30" s="51">
        <v>14</v>
      </c>
      <c r="E30" s="51">
        <v>12.5</v>
      </c>
      <c r="F30" s="51">
        <v>4.2</v>
      </c>
      <c r="G30" s="51">
        <v>110.27</v>
      </c>
      <c r="H30" s="51">
        <v>35.369999999999997</v>
      </c>
      <c r="I30" s="51">
        <v>8.07</v>
      </c>
      <c r="J30" s="51">
        <v>0.19</v>
      </c>
      <c r="K30" s="51">
        <v>236.11</v>
      </c>
      <c r="L30" s="51">
        <v>26.67</v>
      </c>
      <c r="M30" s="51">
        <v>92.51</v>
      </c>
      <c r="N30" s="51">
        <v>2.1</v>
      </c>
      <c r="O30" s="51">
        <v>0</v>
      </c>
      <c r="P30" s="51">
        <v>0.53</v>
      </c>
      <c r="Q30" s="51">
        <v>4.6500000000000004</v>
      </c>
    </row>
    <row r="31" spans="1:17" customFormat="1">
      <c r="A31" s="50">
        <v>45570.958333333336</v>
      </c>
      <c r="B31" s="51">
        <v>9.2100000000000009</v>
      </c>
      <c r="C31" s="51">
        <v>4.2300000000000004</v>
      </c>
      <c r="D31" s="51">
        <v>14</v>
      </c>
      <c r="E31" s="51">
        <v>11.09</v>
      </c>
      <c r="F31" s="51">
        <v>4.01</v>
      </c>
      <c r="G31" s="51">
        <v>110.27</v>
      </c>
      <c r="H31" s="51">
        <v>35.369999999999997</v>
      </c>
      <c r="I31" s="51">
        <v>8.64</v>
      </c>
      <c r="J31" s="51">
        <v>0.18</v>
      </c>
      <c r="K31" s="51">
        <v>227.71</v>
      </c>
      <c r="L31" s="51">
        <v>26.2</v>
      </c>
      <c r="M31" s="51">
        <v>92.06</v>
      </c>
      <c r="N31" s="51">
        <v>2.1</v>
      </c>
      <c r="O31" s="51">
        <v>0</v>
      </c>
      <c r="P31" s="51">
        <v>0.56999999999999995</v>
      </c>
      <c r="Q31" s="51">
        <v>4.6500000000000004</v>
      </c>
    </row>
    <row r="32" spans="1:17" customFormat="1">
      <c r="A32" s="50">
        <v>45571</v>
      </c>
      <c r="B32" s="51">
        <v>9.15</v>
      </c>
      <c r="C32" s="51">
        <v>4.25</v>
      </c>
      <c r="D32" s="51">
        <v>14</v>
      </c>
      <c r="E32" s="51">
        <v>10.48</v>
      </c>
      <c r="F32" s="51">
        <v>3.88</v>
      </c>
      <c r="G32" s="51">
        <v>109.78</v>
      </c>
      <c r="H32" s="51">
        <v>35.21</v>
      </c>
      <c r="I32" s="51">
        <v>8.99</v>
      </c>
      <c r="J32" s="51">
        <v>0.16</v>
      </c>
      <c r="K32" s="51">
        <v>215.69</v>
      </c>
      <c r="L32" s="51">
        <v>26.16</v>
      </c>
      <c r="M32" s="51">
        <v>95.5</v>
      </c>
      <c r="N32" s="51">
        <v>2.1</v>
      </c>
      <c r="O32" s="51">
        <v>0</v>
      </c>
      <c r="P32" s="51">
        <v>0.57999999999999996</v>
      </c>
      <c r="Q32" s="51">
        <v>4.6500000000000004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9.1300000000000008</v>
      </c>
      <c r="C34" s="41">
        <f t="shared" si="0"/>
        <v>4.08</v>
      </c>
      <c r="D34" s="41">
        <f t="shared" si="0"/>
        <v>14</v>
      </c>
      <c r="E34" s="41">
        <f t="shared" si="0"/>
        <v>7.02</v>
      </c>
      <c r="F34" s="41">
        <f t="shared" si="0"/>
        <v>3.64</v>
      </c>
      <c r="G34" s="41">
        <f t="shared" si="0"/>
        <v>60.74</v>
      </c>
      <c r="H34" s="41">
        <f t="shared" si="0"/>
        <v>16.850000000000001</v>
      </c>
      <c r="I34" s="41">
        <f t="shared" si="0"/>
        <v>6.37</v>
      </c>
      <c r="J34" s="41">
        <f t="shared" si="0"/>
        <v>0.12</v>
      </c>
      <c r="K34" s="41">
        <f t="shared" si="0"/>
        <v>58.67</v>
      </c>
      <c r="L34" s="41">
        <f t="shared" si="0"/>
        <v>24.49</v>
      </c>
      <c r="M34" s="41">
        <f t="shared" si="0"/>
        <v>55.45</v>
      </c>
      <c r="N34" s="41">
        <f t="shared" si="0"/>
        <v>2</v>
      </c>
      <c r="O34" s="41">
        <f t="shared" si="0"/>
        <v>0</v>
      </c>
      <c r="P34" s="41">
        <f t="shared" si="0"/>
        <v>0.38</v>
      </c>
      <c r="Q34" s="41">
        <f t="shared" si="0"/>
        <v>4.6399999999999997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9.32</v>
      </c>
      <c r="C35" s="33">
        <f t="shared" si="1"/>
        <v>4.32</v>
      </c>
      <c r="D35" s="33">
        <f t="shared" si="1"/>
        <v>14.03</v>
      </c>
      <c r="E35" s="33">
        <f t="shared" si="1"/>
        <v>23.59</v>
      </c>
      <c r="F35" s="33">
        <f t="shared" si="1"/>
        <v>18.010000000000002</v>
      </c>
      <c r="G35" s="33">
        <f t="shared" si="1"/>
        <v>165.5</v>
      </c>
      <c r="H35" s="33">
        <f t="shared" si="1"/>
        <v>48.33</v>
      </c>
      <c r="I35" s="33">
        <f t="shared" si="1"/>
        <v>8.99</v>
      </c>
      <c r="J35" s="33">
        <f t="shared" si="1"/>
        <v>0.81</v>
      </c>
      <c r="K35" s="33">
        <f t="shared" si="1"/>
        <v>342.96</v>
      </c>
      <c r="L35" s="33">
        <f t="shared" si="1"/>
        <v>34.08</v>
      </c>
      <c r="M35" s="33">
        <f t="shared" si="1"/>
        <v>97.47</v>
      </c>
      <c r="N35" s="33">
        <f t="shared" si="1"/>
        <v>700.3</v>
      </c>
      <c r="O35" s="33">
        <f t="shared" si="1"/>
        <v>0</v>
      </c>
      <c r="P35" s="33">
        <f t="shared" si="1"/>
        <v>0.8</v>
      </c>
      <c r="Q35" s="33">
        <f t="shared" si="1"/>
        <v>4.6900000000000004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9.2266666666666648</v>
      </c>
      <c r="C36" s="41">
        <f t="shared" si="2"/>
        <v>4.1820833333333338</v>
      </c>
      <c r="D36" s="41">
        <f t="shared" si="2"/>
        <v>14.004166666666668</v>
      </c>
      <c r="E36" s="41">
        <f t="shared" si="2"/>
        <v>12.757916666666667</v>
      </c>
      <c r="F36" s="41">
        <f t="shared" si="2"/>
        <v>7.1166666666666671</v>
      </c>
      <c r="G36" s="41">
        <f t="shared" si="2"/>
        <v>105.57208333333331</v>
      </c>
      <c r="H36" s="41">
        <f t="shared" si="2"/>
        <v>31.018333333333342</v>
      </c>
      <c r="I36" s="41">
        <f t="shared" si="2"/>
        <v>7.566250000000001</v>
      </c>
      <c r="J36" s="41">
        <f t="shared" si="2"/>
        <v>0.34125</v>
      </c>
      <c r="K36" s="41">
        <f t="shared" si="2"/>
        <v>207.37</v>
      </c>
      <c r="L36" s="41">
        <f t="shared" si="2"/>
        <v>28.91</v>
      </c>
      <c r="M36" s="41">
        <f t="shared" si="2"/>
        <v>79.937916666666666</v>
      </c>
      <c r="N36" s="41">
        <f t="shared" si="2"/>
        <v>148.90416666666661</v>
      </c>
      <c r="O36" s="41">
        <f t="shared" si="2"/>
        <v>0</v>
      </c>
      <c r="P36" s="41">
        <f t="shared" si="2"/>
        <v>0.59250000000000014</v>
      </c>
      <c r="Q36" s="41">
        <f t="shared" si="2"/>
        <v>4.668750000000002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4.7700758053101776E-2</v>
      </c>
      <c r="C37" s="41">
        <f t="shared" ref="C37:Q37" si="3">STDEV(C9:C32)</f>
        <v>6.4334666202307475E-2</v>
      </c>
      <c r="D37" s="41">
        <f t="shared" si="3"/>
        <v>9.2861124297505329E-3</v>
      </c>
      <c r="E37" s="41">
        <f t="shared" si="3"/>
        <v>4.7724353268824293</v>
      </c>
      <c r="F37" s="41">
        <f t="shared" si="3"/>
        <v>4.3837820346746508</v>
      </c>
      <c r="G37" s="41">
        <f t="shared" si="3"/>
        <v>34.13664115556864</v>
      </c>
      <c r="H37" s="41">
        <f t="shared" si="3"/>
        <v>10.268240045070431</v>
      </c>
      <c r="I37" s="41">
        <f t="shared" si="3"/>
        <v>0.6488907759634136</v>
      </c>
      <c r="J37" s="41">
        <f t="shared" si="3"/>
        <v>0.24146855948009324</v>
      </c>
      <c r="K37" s="41">
        <f t="shared" si="3"/>
        <v>83.393264611770064</v>
      </c>
      <c r="L37" s="41">
        <f t="shared" si="3"/>
        <v>3.5017722221258261</v>
      </c>
      <c r="M37" s="41">
        <f t="shared" si="3"/>
        <v>16.6070262707678</v>
      </c>
      <c r="N37" s="41">
        <f t="shared" si="3"/>
        <v>227.0068653992777</v>
      </c>
      <c r="O37" s="41">
        <f t="shared" si="3"/>
        <v>0</v>
      </c>
      <c r="P37" s="41">
        <f t="shared" si="3"/>
        <v>0.11524076875224533</v>
      </c>
      <c r="Q37" s="41">
        <f t="shared" si="3"/>
        <v>1.5411035007422346E-2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27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45571.041666666664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>
        <v>45571.041666666664</v>
      </c>
      <c r="B9" s="51">
        <v>9.2100000000000009</v>
      </c>
      <c r="C9" s="51">
        <v>4.2</v>
      </c>
      <c r="D9" s="51">
        <v>14</v>
      </c>
      <c r="E9" s="51">
        <v>9.89</v>
      </c>
      <c r="F9" s="51">
        <v>3.81</v>
      </c>
      <c r="G9" s="51">
        <v>108.03</v>
      </c>
      <c r="H9" s="51">
        <v>33.29</v>
      </c>
      <c r="I9" s="51">
        <v>9.08</v>
      </c>
      <c r="J9" s="51">
        <v>0.17</v>
      </c>
      <c r="K9" s="51">
        <v>200.85</v>
      </c>
      <c r="L9" s="51">
        <v>26.17</v>
      </c>
      <c r="M9" s="51">
        <v>94.76</v>
      </c>
      <c r="N9" s="51">
        <v>2.1</v>
      </c>
      <c r="O9" s="51">
        <v>0</v>
      </c>
      <c r="P9" s="51">
        <v>0.59</v>
      </c>
      <c r="Q9" s="51">
        <v>4.66</v>
      </c>
    </row>
    <row r="10" spans="1:21" customFormat="1">
      <c r="A10" s="50">
        <v>45571.083333333336</v>
      </c>
      <c r="B10" s="51">
        <v>9.2899999999999991</v>
      </c>
      <c r="C10" s="51">
        <v>4.13</v>
      </c>
      <c r="D10" s="51">
        <v>14.03</v>
      </c>
      <c r="E10" s="51">
        <v>10.029999999999999</v>
      </c>
      <c r="F10" s="51">
        <v>3.93</v>
      </c>
      <c r="G10" s="51">
        <v>104.65</v>
      </c>
      <c r="H10" s="51">
        <v>34.06</v>
      </c>
      <c r="I10" s="51">
        <v>9.11</v>
      </c>
      <c r="J10" s="51">
        <v>0.17</v>
      </c>
      <c r="K10" s="51">
        <v>215.22</v>
      </c>
      <c r="L10" s="51">
        <v>25.9</v>
      </c>
      <c r="M10" s="51">
        <v>97.29</v>
      </c>
      <c r="N10" s="51">
        <v>2.1</v>
      </c>
      <c r="O10" s="51">
        <v>0</v>
      </c>
      <c r="P10" s="51">
        <v>0.59</v>
      </c>
      <c r="Q10" s="51">
        <v>4.66</v>
      </c>
    </row>
    <row r="11" spans="1:21" customFormat="1">
      <c r="A11" s="50">
        <v>45571.125</v>
      </c>
      <c r="B11" s="51">
        <v>9.36</v>
      </c>
      <c r="C11" s="51">
        <v>4.0999999999999996</v>
      </c>
      <c r="D11" s="51">
        <v>14.09</v>
      </c>
      <c r="E11" s="51">
        <v>13.2</v>
      </c>
      <c r="F11" s="51">
        <v>3.67</v>
      </c>
      <c r="G11" s="51">
        <v>94.12</v>
      </c>
      <c r="H11" s="51">
        <v>34.06</v>
      </c>
      <c r="I11" s="51">
        <v>8.9700000000000006</v>
      </c>
      <c r="J11" s="51">
        <v>0.13</v>
      </c>
      <c r="K11" s="51">
        <v>217.94</v>
      </c>
      <c r="L11" s="51">
        <v>25.42</v>
      </c>
      <c r="M11" s="51">
        <v>98.82</v>
      </c>
      <c r="N11" s="51">
        <v>2.1</v>
      </c>
      <c r="O11" s="51">
        <v>0</v>
      </c>
      <c r="P11" s="51">
        <v>0.54</v>
      </c>
      <c r="Q11" s="51">
        <v>4.66</v>
      </c>
    </row>
    <row r="12" spans="1:21" customFormat="1">
      <c r="A12" s="50">
        <v>45571.166666666664</v>
      </c>
      <c r="B12" s="51">
        <v>9.33</v>
      </c>
      <c r="C12" s="51">
        <v>4.0999999999999996</v>
      </c>
      <c r="D12" s="51">
        <v>14.06</v>
      </c>
      <c r="E12" s="51">
        <v>13.69</v>
      </c>
      <c r="F12" s="51">
        <v>3.83</v>
      </c>
      <c r="G12" s="51">
        <v>86.09</v>
      </c>
      <c r="H12" s="51">
        <v>31.32</v>
      </c>
      <c r="I12" s="51">
        <v>8.58</v>
      </c>
      <c r="J12" s="51">
        <v>0.13</v>
      </c>
      <c r="K12" s="51">
        <v>226.7</v>
      </c>
      <c r="L12" s="51">
        <v>25.25</v>
      </c>
      <c r="M12" s="51">
        <v>97.54</v>
      </c>
      <c r="N12" s="51">
        <v>2.1</v>
      </c>
      <c r="O12" s="51">
        <v>0</v>
      </c>
      <c r="P12" s="51">
        <v>0.51</v>
      </c>
      <c r="Q12" s="51">
        <v>4.66</v>
      </c>
    </row>
    <row r="13" spans="1:21" customFormat="1">
      <c r="A13" s="50">
        <v>45571.208333333336</v>
      </c>
      <c r="B13" s="51">
        <v>9.33</v>
      </c>
      <c r="C13" s="51">
        <v>4.08</v>
      </c>
      <c r="D13" s="51">
        <v>14.07</v>
      </c>
      <c r="E13" s="51">
        <v>14.2</v>
      </c>
      <c r="F13" s="51">
        <v>3.81</v>
      </c>
      <c r="G13" s="51">
        <v>84.37</v>
      </c>
      <c r="H13" s="51">
        <v>29.7</v>
      </c>
      <c r="I13" s="51">
        <v>8.32</v>
      </c>
      <c r="J13" s="51">
        <v>0.18</v>
      </c>
      <c r="K13" s="51">
        <v>229.77</v>
      </c>
      <c r="L13" s="51">
        <v>24.93</v>
      </c>
      <c r="M13" s="51">
        <v>101.4</v>
      </c>
      <c r="N13" s="51">
        <v>2.1</v>
      </c>
      <c r="O13" s="51">
        <v>0</v>
      </c>
      <c r="P13" s="51">
        <v>0.5</v>
      </c>
      <c r="Q13" s="51">
        <v>4.66</v>
      </c>
    </row>
    <row r="14" spans="1:21" customFormat="1">
      <c r="A14" s="50">
        <v>45571.25</v>
      </c>
      <c r="B14" s="51">
        <v>9.35</v>
      </c>
      <c r="C14" s="51">
        <v>4.09</v>
      </c>
      <c r="D14" s="51">
        <v>14.06</v>
      </c>
      <c r="E14" s="51">
        <v>14.38</v>
      </c>
      <c r="F14" s="51">
        <v>3.67</v>
      </c>
      <c r="G14" s="51">
        <v>80.900000000000006</v>
      </c>
      <c r="H14" s="51">
        <v>31.13</v>
      </c>
      <c r="I14" s="51">
        <v>8.41</v>
      </c>
      <c r="J14" s="51">
        <v>0.18</v>
      </c>
      <c r="K14" s="51">
        <v>219.39</v>
      </c>
      <c r="L14" s="51">
        <v>24.95</v>
      </c>
      <c r="M14" s="51">
        <v>99.19</v>
      </c>
      <c r="N14" s="51">
        <v>6.3</v>
      </c>
      <c r="O14" s="51">
        <v>0</v>
      </c>
      <c r="P14" s="51">
        <v>0.48</v>
      </c>
      <c r="Q14" s="51">
        <v>4.68</v>
      </c>
    </row>
    <row r="15" spans="1:21" customFormat="1">
      <c r="A15" s="50">
        <v>45571.291666666664</v>
      </c>
      <c r="B15" s="51">
        <v>9.34</v>
      </c>
      <c r="C15" s="51">
        <v>4.09</v>
      </c>
      <c r="D15" s="51">
        <v>14.08</v>
      </c>
      <c r="E15" s="51">
        <v>14.76</v>
      </c>
      <c r="F15" s="51">
        <v>3.67</v>
      </c>
      <c r="G15" s="51">
        <v>81.400000000000006</v>
      </c>
      <c r="H15" s="51">
        <v>31.13</v>
      </c>
      <c r="I15" s="51">
        <v>8.4600000000000009</v>
      </c>
      <c r="J15" s="51">
        <v>0.18</v>
      </c>
      <c r="K15" s="51">
        <v>252.45</v>
      </c>
      <c r="L15" s="51">
        <v>25.97</v>
      </c>
      <c r="M15" s="51">
        <v>97.81</v>
      </c>
      <c r="N15" s="51">
        <v>40.799999999999997</v>
      </c>
      <c r="O15" s="51">
        <v>0</v>
      </c>
      <c r="P15" s="51">
        <v>0.5</v>
      </c>
      <c r="Q15" s="51">
        <v>4.68</v>
      </c>
    </row>
    <row r="16" spans="1:21" customFormat="1">
      <c r="A16" s="50">
        <v>45571.333333333336</v>
      </c>
      <c r="B16" s="51">
        <v>9.25</v>
      </c>
      <c r="C16" s="51">
        <v>4.17</v>
      </c>
      <c r="D16" s="51">
        <v>14</v>
      </c>
      <c r="E16" s="51">
        <v>15.04</v>
      </c>
      <c r="F16" s="51">
        <v>4.53</v>
      </c>
      <c r="G16" s="51">
        <v>108.83</v>
      </c>
      <c r="H16" s="51">
        <v>42.6</v>
      </c>
      <c r="I16" s="51">
        <v>9.44</v>
      </c>
      <c r="J16" s="51">
        <v>0.61</v>
      </c>
      <c r="K16" s="51">
        <v>59.22</v>
      </c>
      <c r="L16" s="51">
        <v>28.01</v>
      </c>
      <c r="M16" s="51">
        <v>90.37</v>
      </c>
      <c r="N16" s="51">
        <v>177.9</v>
      </c>
      <c r="O16" s="51">
        <v>0</v>
      </c>
      <c r="P16" s="51">
        <v>0.56999999999999995</v>
      </c>
      <c r="Q16" s="51">
        <v>4.67</v>
      </c>
    </row>
    <row r="17" spans="1:17" customFormat="1">
      <c r="A17" s="50">
        <v>45571.375</v>
      </c>
      <c r="B17" s="51">
        <v>9.1999999999999993</v>
      </c>
      <c r="C17" s="51">
        <v>4.21</v>
      </c>
      <c r="D17" s="51">
        <v>14</v>
      </c>
      <c r="E17" s="51">
        <v>23.28</v>
      </c>
      <c r="F17" s="51">
        <v>6.27</v>
      </c>
      <c r="G17" s="51">
        <v>164.83</v>
      </c>
      <c r="H17" s="51">
        <v>50.41</v>
      </c>
      <c r="I17" s="51">
        <v>9.82</v>
      </c>
      <c r="J17" s="51">
        <v>0.73</v>
      </c>
      <c r="K17" s="51">
        <v>58</v>
      </c>
      <c r="L17" s="51">
        <v>29.74</v>
      </c>
      <c r="M17" s="51">
        <v>84.58</v>
      </c>
      <c r="N17" s="51">
        <v>351.1</v>
      </c>
      <c r="O17" s="51">
        <v>0</v>
      </c>
      <c r="P17" s="51">
        <v>0.65</v>
      </c>
      <c r="Q17" s="51">
        <v>4.6500000000000004</v>
      </c>
    </row>
    <row r="18" spans="1:17" customFormat="1">
      <c r="A18" s="50">
        <v>45571.416666666664</v>
      </c>
      <c r="B18" s="51">
        <v>9.1999999999999993</v>
      </c>
      <c r="C18" s="51">
        <v>4.26</v>
      </c>
      <c r="D18" s="51">
        <v>14</v>
      </c>
      <c r="E18" s="51">
        <v>38.159999999999997</v>
      </c>
      <c r="F18" s="51">
        <v>7.47</v>
      </c>
      <c r="G18" s="51">
        <v>178.99</v>
      </c>
      <c r="H18" s="51">
        <v>58.48</v>
      </c>
      <c r="I18" s="51">
        <v>9.8800000000000008</v>
      </c>
      <c r="J18" s="51">
        <v>0.69</v>
      </c>
      <c r="K18" s="51">
        <v>57.77</v>
      </c>
      <c r="L18" s="51">
        <v>32.08</v>
      </c>
      <c r="M18" s="51">
        <v>73.349999999999994</v>
      </c>
      <c r="N18" s="51">
        <v>182.7</v>
      </c>
      <c r="O18" s="51">
        <v>0</v>
      </c>
      <c r="P18" s="51">
        <v>0.64</v>
      </c>
      <c r="Q18" s="51">
        <v>4.6500000000000004</v>
      </c>
    </row>
    <row r="19" spans="1:17" customFormat="1">
      <c r="A19" s="50">
        <v>45571.458333333336</v>
      </c>
      <c r="B19" s="51">
        <v>9.25</v>
      </c>
      <c r="C19" s="51">
        <v>4.2300000000000004</v>
      </c>
      <c r="D19" s="51">
        <v>14.01</v>
      </c>
      <c r="E19" s="51">
        <v>13.86</v>
      </c>
      <c r="F19" s="51">
        <v>8.57</v>
      </c>
      <c r="G19" s="51">
        <v>178.99</v>
      </c>
      <c r="H19" s="51">
        <v>58.48</v>
      </c>
      <c r="I19" s="51">
        <v>9.56</v>
      </c>
      <c r="J19" s="51">
        <v>0.75</v>
      </c>
      <c r="K19" s="51">
        <v>48.98</v>
      </c>
      <c r="L19" s="51">
        <v>32.950000000000003</v>
      </c>
      <c r="M19" s="51">
        <v>60.96</v>
      </c>
      <c r="N19" s="51">
        <v>540.9</v>
      </c>
      <c r="O19" s="51">
        <v>0</v>
      </c>
      <c r="P19" s="51">
        <v>0.64</v>
      </c>
      <c r="Q19" s="51">
        <v>4.6500000000000004</v>
      </c>
    </row>
    <row r="20" spans="1:17" customFormat="1">
      <c r="A20" s="50">
        <v>45571.5</v>
      </c>
      <c r="B20" s="51">
        <v>9.3800000000000008</v>
      </c>
      <c r="C20" s="51">
        <v>4.0999999999999996</v>
      </c>
      <c r="D20" s="51">
        <v>14.1</v>
      </c>
      <c r="E20" s="51">
        <v>13.28</v>
      </c>
      <c r="F20" s="51">
        <v>20.65</v>
      </c>
      <c r="G20" s="51">
        <v>148.6</v>
      </c>
      <c r="H20" s="51">
        <v>43.04</v>
      </c>
      <c r="I20" s="51">
        <v>9.09</v>
      </c>
      <c r="J20" s="51">
        <v>1.02</v>
      </c>
      <c r="K20" s="51">
        <v>56.03</v>
      </c>
      <c r="L20" s="51">
        <v>32.659999999999997</v>
      </c>
      <c r="M20" s="51">
        <v>62.5</v>
      </c>
      <c r="N20" s="51">
        <v>593.6</v>
      </c>
      <c r="O20" s="51">
        <v>0</v>
      </c>
      <c r="P20" s="51">
        <v>0.6</v>
      </c>
      <c r="Q20" s="51">
        <v>4.68</v>
      </c>
    </row>
    <row r="21" spans="1:17" customFormat="1">
      <c r="A21" s="50">
        <v>45571.541666666664</v>
      </c>
      <c r="B21" s="51">
        <v>9.43</v>
      </c>
      <c r="C21" s="51">
        <v>4.09</v>
      </c>
      <c r="D21" s="51">
        <v>14.13</v>
      </c>
      <c r="E21" s="51">
        <v>11.97</v>
      </c>
      <c r="F21" s="51">
        <v>16.25</v>
      </c>
      <c r="G21" s="51">
        <v>128.72</v>
      </c>
      <c r="H21" s="51">
        <v>41.14</v>
      </c>
      <c r="I21" s="51">
        <v>7.53</v>
      </c>
      <c r="J21" s="51">
        <v>0.91</v>
      </c>
      <c r="K21" s="51">
        <v>56.49</v>
      </c>
      <c r="L21" s="51">
        <v>33.32</v>
      </c>
      <c r="M21" s="51">
        <v>59.08</v>
      </c>
      <c r="N21" s="51">
        <v>555.9</v>
      </c>
      <c r="O21" s="51">
        <v>0</v>
      </c>
      <c r="P21" s="51">
        <v>0.42</v>
      </c>
      <c r="Q21" s="51">
        <v>4.6900000000000004</v>
      </c>
    </row>
    <row r="22" spans="1:17" customFormat="1">
      <c r="A22" s="50">
        <v>45571.583333333336</v>
      </c>
      <c r="B22" s="51">
        <v>9.36</v>
      </c>
      <c r="C22" s="51">
        <v>4.1100000000000003</v>
      </c>
      <c r="D22" s="51">
        <v>14.09</v>
      </c>
      <c r="E22" s="51">
        <v>12.23</v>
      </c>
      <c r="F22" s="51">
        <v>20.100000000000001</v>
      </c>
      <c r="G22" s="51">
        <v>104.08</v>
      </c>
      <c r="H22" s="51">
        <v>28.88</v>
      </c>
      <c r="I22" s="51">
        <v>6.83</v>
      </c>
      <c r="J22" s="51">
        <v>0.91</v>
      </c>
      <c r="K22" s="51">
        <v>47.77</v>
      </c>
      <c r="L22" s="51">
        <v>33.35</v>
      </c>
      <c r="M22" s="51">
        <v>53.78</v>
      </c>
      <c r="N22" s="51">
        <v>642</v>
      </c>
      <c r="O22" s="51">
        <v>0</v>
      </c>
      <c r="P22" s="51">
        <v>0.38</v>
      </c>
      <c r="Q22" s="51">
        <v>4.68</v>
      </c>
    </row>
    <row r="23" spans="1:17" customFormat="1">
      <c r="A23" s="50">
        <v>45571.625</v>
      </c>
      <c r="B23" s="51">
        <v>9.36</v>
      </c>
      <c r="C23" s="51">
        <v>4.08</v>
      </c>
      <c r="D23" s="51">
        <v>14.08</v>
      </c>
      <c r="E23" s="51">
        <v>12.26</v>
      </c>
      <c r="F23" s="51">
        <v>23.47</v>
      </c>
      <c r="G23" s="51">
        <v>89.13</v>
      </c>
      <c r="H23" s="51">
        <v>27.18</v>
      </c>
      <c r="I23" s="51">
        <v>6.15</v>
      </c>
      <c r="J23" s="51">
        <v>1.1100000000000001</v>
      </c>
      <c r="K23" s="51">
        <v>56.57</v>
      </c>
      <c r="L23" s="51">
        <v>32.64</v>
      </c>
      <c r="M23" s="51">
        <v>55.19</v>
      </c>
      <c r="N23" s="51">
        <v>195.1</v>
      </c>
      <c r="O23" s="51">
        <v>0</v>
      </c>
      <c r="P23" s="51">
        <v>0.51</v>
      </c>
      <c r="Q23" s="51">
        <v>4.67</v>
      </c>
    </row>
    <row r="24" spans="1:17" customFormat="1">
      <c r="A24" s="50">
        <v>45571.666666666664</v>
      </c>
      <c r="B24" s="51">
        <v>9.35</v>
      </c>
      <c r="C24" s="51">
        <v>4.0999999999999996</v>
      </c>
      <c r="D24" s="51">
        <v>14.09</v>
      </c>
      <c r="E24" s="51">
        <v>12.91</v>
      </c>
      <c r="F24" s="51">
        <v>21.03</v>
      </c>
      <c r="G24" s="51">
        <v>88.83</v>
      </c>
      <c r="H24" s="51">
        <v>27.18</v>
      </c>
      <c r="I24" s="51">
        <v>5.85</v>
      </c>
      <c r="J24" s="51">
        <v>0.87</v>
      </c>
      <c r="K24" s="51">
        <v>51.61</v>
      </c>
      <c r="L24" s="51">
        <v>32.36</v>
      </c>
      <c r="M24" s="51">
        <v>57.13</v>
      </c>
      <c r="N24" s="51">
        <v>136.4</v>
      </c>
      <c r="O24" s="51">
        <v>0</v>
      </c>
      <c r="P24" s="51">
        <v>0.51</v>
      </c>
      <c r="Q24" s="51">
        <v>4.68</v>
      </c>
    </row>
    <row r="25" spans="1:17" customFormat="1">
      <c r="A25" s="50">
        <v>45571.708333333336</v>
      </c>
      <c r="B25" s="51">
        <v>9.35</v>
      </c>
      <c r="C25" s="51">
        <v>4.18</v>
      </c>
      <c r="D25" s="51">
        <v>14.06</v>
      </c>
      <c r="E25" s="51">
        <v>13.34</v>
      </c>
      <c r="F25" s="51">
        <v>22.84</v>
      </c>
      <c r="G25" s="51">
        <v>85.61</v>
      </c>
      <c r="H25" s="51">
        <v>23.69</v>
      </c>
      <c r="I25" s="51">
        <v>5.56</v>
      </c>
      <c r="J25" s="51">
        <v>0.76</v>
      </c>
      <c r="K25" s="51">
        <v>55.06</v>
      </c>
      <c r="L25" s="51">
        <v>31.89</v>
      </c>
      <c r="M25" s="51">
        <v>60.02</v>
      </c>
      <c r="N25" s="51">
        <v>48.4</v>
      </c>
      <c r="O25" s="51">
        <v>0</v>
      </c>
      <c r="P25" s="51">
        <v>0.57999999999999996</v>
      </c>
      <c r="Q25" s="51">
        <v>4.66</v>
      </c>
    </row>
    <row r="26" spans="1:17" customFormat="1">
      <c r="A26" s="50">
        <v>45571.75</v>
      </c>
      <c r="B26" s="51">
        <v>9.2200000000000006</v>
      </c>
      <c r="C26" s="51">
        <v>4.22</v>
      </c>
      <c r="D26" s="51">
        <v>14</v>
      </c>
      <c r="E26" s="51">
        <v>11.81</v>
      </c>
      <c r="F26" s="51">
        <v>12.37</v>
      </c>
      <c r="G26" s="51">
        <v>93.24</v>
      </c>
      <c r="H26" s="51">
        <v>27.34</v>
      </c>
      <c r="I26" s="51">
        <v>6.03</v>
      </c>
      <c r="J26" s="51">
        <v>0.3</v>
      </c>
      <c r="K26" s="51">
        <v>140.08000000000001</v>
      </c>
      <c r="L26" s="51">
        <v>30.72</v>
      </c>
      <c r="M26" s="51">
        <v>70.510000000000005</v>
      </c>
      <c r="N26" s="51">
        <v>11.9</v>
      </c>
      <c r="O26" s="51">
        <v>0</v>
      </c>
      <c r="P26" s="51">
        <v>0.62</v>
      </c>
      <c r="Q26" s="51">
        <v>4.6500000000000004</v>
      </c>
    </row>
    <row r="27" spans="1:17" customFormat="1">
      <c r="A27" s="50">
        <v>45571.791666666664</v>
      </c>
      <c r="B27" s="51">
        <v>9.19</v>
      </c>
      <c r="C27" s="51">
        <v>4.24</v>
      </c>
      <c r="D27" s="51">
        <v>14</v>
      </c>
      <c r="E27" s="51">
        <v>11.71</v>
      </c>
      <c r="F27" s="51">
        <v>6</v>
      </c>
      <c r="G27" s="51">
        <v>109.12</v>
      </c>
      <c r="H27" s="51">
        <v>34.78</v>
      </c>
      <c r="I27" s="51">
        <v>6.56</v>
      </c>
      <c r="J27" s="51">
        <v>0.2</v>
      </c>
      <c r="K27" s="51">
        <v>201.7</v>
      </c>
      <c r="L27" s="51">
        <v>29.1</v>
      </c>
      <c r="M27" s="51">
        <v>83.42</v>
      </c>
      <c r="N27" s="51">
        <v>2.5</v>
      </c>
      <c r="O27" s="51">
        <v>0</v>
      </c>
      <c r="P27" s="51">
        <v>0.63</v>
      </c>
      <c r="Q27" s="51">
        <v>4.66</v>
      </c>
    </row>
    <row r="28" spans="1:17" customFormat="1">
      <c r="A28" s="50">
        <v>45571.833333333336</v>
      </c>
      <c r="B28" s="51">
        <v>9.19</v>
      </c>
      <c r="C28" s="51">
        <v>4.2</v>
      </c>
      <c r="D28" s="51">
        <v>14</v>
      </c>
      <c r="E28" s="51">
        <v>11.96</v>
      </c>
      <c r="F28" s="51">
        <v>4.0599999999999996</v>
      </c>
      <c r="G28" s="51">
        <v>109.12</v>
      </c>
      <c r="H28" s="51">
        <v>34.78</v>
      </c>
      <c r="I28" s="51">
        <v>6.95</v>
      </c>
      <c r="J28" s="51">
        <v>0.2</v>
      </c>
      <c r="K28" s="51">
        <v>218.5</v>
      </c>
      <c r="L28" s="51">
        <v>27.64</v>
      </c>
      <c r="M28" s="51">
        <v>90.95</v>
      </c>
      <c r="N28" s="51">
        <v>2.2999999999999998</v>
      </c>
      <c r="O28" s="51">
        <v>0</v>
      </c>
      <c r="P28" s="51">
        <v>0.65</v>
      </c>
      <c r="Q28" s="51">
        <v>4.6500000000000004</v>
      </c>
    </row>
    <row r="29" spans="1:17" customFormat="1">
      <c r="A29" s="50">
        <v>45571.875</v>
      </c>
      <c r="B29" s="51">
        <v>9.25</v>
      </c>
      <c r="C29" s="51">
        <v>4.18</v>
      </c>
      <c r="D29" s="51">
        <v>14</v>
      </c>
      <c r="E29" s="51">
        <v>11.82</v>
      </c>
      <c r="F29" s="51">
        <v>6.78</v>
      </c>
      <c r="G29" s="51">
        <v>113.24</v>
      </c>
      <c r="H29" s="51">
        <v>30.32</v>
      </c>
      <c r="I29" s="51">
        <v>7.19</v>
      </c>
      <c r="J29" s="51">
        <v>0.24</v>
      </c>
      <c r="K29" s="51">
        <v>232.82</v>
      </c>
      <c r="L29" s="51">
        <v>26.82</v>
      </c>
      <c r="M29" s="51">
        <v>93.06</v>
      </c>
      <c r="N29" s="51">
        <v>2.1</v>
      </c>
      <c r="O29" s="51">
        <v>0</v>
      </c>
      <c r="P29" s="51">
        <v>0.65</v>
      </c>
      <c r="Q29" s="51">
        <v>4.66</v>
      </c>
    </row>
    <row r="30" spans="1:17" customFormat="1">
      <c r="A30" s="50">
        <v>45571.916666666664</v>
      </c>
      <c r="B30" s="51">
        <v>9.2799999999999994</v>
      </c>
      <c r="C30" s="51">
        <v>4.0999999999999996</v>
      </c>
      <c r="D30" s="51">
        <v>14.03</v>
      </c>
      <c r="E30" s="51">
        <v>12.34</v>
      </c>
      <c r="F30" s="51">
        <v>4.4800000000000004</v>
      </c>
      <c r="G30" s="51">
        <v>128.51</v>
      </c>
      <c r="H30" s="51">
        <v>35.21</v>
      </c>
      <c r="I30" s="51">
        <v>7.01</v>
      </c>
      <c r="J30" s="51">
        <v>0.17</v>
      </c>
      <c r="K30" s="51">
        <v>229.15</v>
      </c>
      <c r="L30" s="51">
        <v>26.65</v>
      </c>
      <c r="M30" s="51">
        <v>95.4</v>
      </c>
      <c r="N30" s="51">
        <v>2.1</v>
      </c>
      <c r="O30" s="51">
        <v>0</v>
      </c>
      <c r="P30" s="51">
        <v>0.6</v>
      </c>
      <c r="Q30" s="51">
        <v>4.67</v>
      </c>
    </row>
    <row r="31" spans="1:17" customFormat="1">
      <c r="A31" s="50">
        <v>45571.958333333336</v>
      </c>
      <c r="B31" s="51">
        <v>9.2899999999999991</v>
      </c>
      <c r="C31" s="51">
        <v>4.12</v>
      </c>
      <c r="D31" s="51">
        <v>14.04</v>
      </c>
      <c r="E31" s="51">
        <v>12.37</v>
      </c>
      <c r="F31" s="51">
        <v>4.8899999999999997</v>
      </c>
      <c r="G31" s="51">
        <v>128.51</v>
      </c>
      <c r="H31" s="51">
        <v>35.21</v>
      </c>
      <c r="I31" s="51">
        <v>6.82</v>
      </c>
      <c r="J31" s="51">
        <v>0.18</v>
      </c>
      <c r="K31" s="51">
        <v>227.23</v>
      </c>
      <c r="L31" s="51">
        <v>26.3</v>
      </c>
      <c r="M31" s="51">
        <v>94.23</v>
      </c>
      <c r="N31" s="51">
        <v>2.1</v>
      </c>
      <c r="O31" s="51">
        <v>0</v>
      </c>
      <c r="P31" s="51">
        <v>0.6</v>
      </c>
      <c r="Q31" s="51">
        <v>4.66</v>
      </c>
    </row>
    <row r="32" spans="1:17" customFormat="1">
      <c r="A32" s="50">
        <v>45572</v>
      </c>
      <c r="B32" s="51">
        <v>9.23</v>
      </c>
      <c r="C32" s="51">
        <v>4.13</v>
      </c>
      <c r="D32" s="51">
        <v>14</v>
      </c>
      <c r="E32" s="51">
        <v>12.49</v>
      </c>
      <c r="F32" s="51">
        <v>5.22</v>
      </c>
      <c r="G32" s="51">
        <v>124.28</v>
      </c>
      <c r="H32" s="51">
        <v>32.21</v>
      </c>
      <c r="I32" s="51">
        <v>7.18</v>
      </c>
      <c r="J32" s="51">
        <v>0.14000000000000001</v>
      </c>
      <c r="K32" s="51">
        <v>215.8</v>
      </c>
      <c r="L32" s="51">
        <v>26.52</v>
      </c>
      <c r="M32" s="51">
        <v>90.74</v>
      </c>
      <c r="N32" s="51">
        <v>2.1</v>
      </c>
      <c r="O32" s="51">
        <v>0</v>
      </c>
      <c r="P32" s="51">
        <v>0.72</v>
      </c>
      <c r="Q32" s="51">
        <v>4.66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9.19</v>
      </c>
      <c r="C34" s="41">
        <f t="shared" si="0"/>
        <v>4.08</v>
      </c>
      <c r="D34" s="41">
        <f t="shared" si="0"/>
        <v>14</v>
      </c>
      <c r="E34" s="41">
        <f t="shared" si="0"/>
        <v>9.89</v>
      </c>
      <c r="F34" s="41">
        <f t="shared" si="0"/>
        <v>3.67</v>
      </c>
      <c r="G34" s="41">
        <f t="shared" si="0"/>
        <v>80.900000000000006</v>
      </c>
      <c r="H34" s="41">
        <f t="shared" si="0"/>
        <v>23.69</v>
      </c>
      <c r="I34" s="41">
        <f t="shared" si="0"/>
        <v>5.56</v>
      </c>
      <c r="J34" s="41">
        <f t="shared" si="0"/>
        <v>0.13</v>
      </c>
      <c r="K34" s="41">
        <f t="shared" si="0"/>
        <v>47.77</v>
      </c>
      <c r="L34" s="41">
        <f t="shared" si="0"/>
        <v>24.93</v>
      </c>
      <c r="M34" s="41">
        <f t="shared" si="0"/>
        <v>53.78</v>
      </c>
      <c r="N34" s="41">
        <f t="shared" si="0"/>
        <v>2.1</v>
      </c>
      <c r="O34" s="41">
        <f t="shared" si="0"/>
        <v>0</v>
      </c>
      <c r="P34" s="41">
        <f t="shared" si="0"/>
        <v>0.38</v>
      </c>
      <c r="Q34" s="41">
        <f t="shared" si="0"/>
        <v>4.6500000000000004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9.43</v>
      </c>
      <c r="C35" s="33">
        <f t="shared" si="1"/>
        <v>4.26</v>
      </c>
      <c r="D35" s="33">
        <f t="shared" si="1"/>
        <v>14.13</v>
      </c>
      <c r="E35" s="33">
        <f t="shared" si="1"/>
        <v>38.159999999999997</v>
      </c>
      <c r="F35" s="33">
        <f t="shared" si="1"/>
        <v>23.47</v>
      </c>
      <c r="G35" s="33">
        <f t="shared" si="1"/>
        <v>178.99</v>
      </c>
      <c r="H35" s="33">
        <f t="shared" si="1"/>
        <v>58.48</v>
      </c>
      <c r="I35" s="33">
        <f t="shared" si="1"/>
        <v>9.8800000000000008</v>
      </c>
      <c r="J35" s="33">
        <f t="shared" si="1"/>
        <v>1.1100000000000001</v>
      </c>
      <c r="K35" s="33">
        <f t="shared" si="1"/>
        <v>252.45</v>
      </c>
      <c r="L35" s="33">
        <f t="shared" si="1"/>
        <v>33.35</v>
      </c>
      <c r="M35" s="33">
        <f t="shared" si="1"/>
        <v>101.4</v>
      </c>
      <c r="N35" s="33">
        <f t="shared" si="1"/>
        <v>642</v>
      </c>
      <c r="O35" s="33">
        <f t="shared" si="1"/>
        <v>0</v>
      </c>
      <c r="P35" s="33">
        <f t="shared" si="1"/>
        <v>0.72</v>
      </c>
      <c r="Q35" s="33">
        <f t="shared" si="1"/>
        <v>4.6900000000000004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9.291249999999998</v>
      </c>
      <c r="C36" s="41">
        <f t="shared" si="2"/>
        <v>4.1462499999999993</v>
      </c>
      <c r="D36" s="41">
        <f t="shared" si="2"/>
        <v>14.042499999999999</v>
      </c>
      <c r="E36" s="41">
        <f t="shared" si="2"/>
        <v>14.207499999999996</v>
      </c>
      <c r="F36" s="41">
        <f t="shared" si="2"/>
        <v>9.223749999999999</v>
      </c>
      <c r="G36" s="41">
        <f t="shared" si="2"/>
        <v>113.42458333333333</v>
      </c>
      <c r="H36" s="41">
        <f t="shared" si="2"/>
        <v>35.650833333333338</v>
      </c>
      <c r="I36" s="41">
        <f t="shared" si="2"/>
        <v>7.8491666666666653</v>
      </c>
      <c r="J36" s="41">
        <f t="shared" si="2"/>
        <v>0.45541666666666664</v>
      </c>
      <c r="K36" s="41">
        <f t="shared" si="2"/>
        <v>148.96250000000001</v>
      </c>
      <c r="L36" s="41">
        <f t="shared" si="2"/>
        <v>28.805833333333329</v>
      </c>
      <c r="M36" s="41">
        <f t="shared" si="2"/>
        <v>81.753333333333345</v>
      </c>
      <c r="N36" s="41">
        <f t="shared" si="2"/>
        <v>146.11249999999998</v>
      </c>
      <c r="O36" s="41">
        <f t="shared" si="2"/>
        <v>0</v>
      </c>
      <c r="P36" s="41">
        <f t="shared" si="2"/>
        <v>0.56999999999999995</v>
      </c>
      <c r="Q36" s="41">
        <f t="shared" si="2"/>
        <v>4.664583333333332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7.0668392787231485E-2</v>
      </c>
      <c r="C37" s="41">
        <f t="shared" ref="C37:Q37" si="3">STDEV(C9:C32)</f>
        <v>5.8370071247098136E-2</v>
      </c>
      <c r="D37" s="41">
        <f t="shared" si="3"/>
        <v>4.1624616462523495E-2</v>
      </c>
      <c r="E37" s="41">
        <f t="shared" si="3"/>
        <v>5.6841245358569097</v>
      </c>
      <c r="F37" s="41">
        <f t="shared" si="3"/>
        <v>7.1588587944679043</v>
      </c>
      <c r="G37" s="41">
        <f t="shared" si="3"/>
        <v>29.458629499566857</v>
      </c>
      <c r="H37" s="41">
        <f t="shared" si="3"/>
        <v>9.190079678259238</v>
      </c>
      <c r="I37" s="41">
        <f t="shared" si="3"/>
        <v>1.3593538000179444</v>
      </c>
      <c r="J37" s="41">
        <f t="shared" si="3"/>
        <v>0.34429485804374471</v>
      </c>
      <c r="K37" s="41">
        <f t="shared" si="3"/>
        <v>83.596668502893181</v>
      </c>
      <c r="L37" s="41">
        <f t="shared" si="3"/>
        <v>3.12606839707458</v>
      </c>
      <c r="M37" s="41">
        <f t="shared" si="3"/>
        <v>17.067533803831317</v>
      </c>
      <c r="N37" s="41">
        <f t="shared" si="3"/>
        <v>218.98555503780926</v>
      </c>
      <c r="O37" s="41">
        <f t="shared" si="3"/>
        <v>0</v>
      </c>
      <c r="P37" s="41">
        <f t="shared" si="3"/>
        <v>8.0595608899698246E-2</v>
      </c>
      <c r="Q37" s="41">
        <f t="shared" si="3"/>
        <v>1.1787674722451198E-2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30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45572.041666666664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>
        <v>45572.041666666664</v>
      </c>
      <c r="B9" s="51">
        <v>9.32</v>
      </c>
      <c r="C9" s="51">
        <v>4.1100000000000003</v>
      </c>
      <c r="D9" s="51">
        <v>14.07</v>
      </c>
      <c r="E9" s="51">
        <v>13</v>
      </c>
      <c r="F9" s="51">
        <v>3.58</v>
      </c>
      <c r="G9" s="51">
        <v>132.37</v>
      </c>
      <c r="H9" s="51">
        <v>32.42</v>
      </c>
      <c r="I9" s="51">
        <v>7.76</v>
      </c>
      <c r="J9" s="51">
        <v>0.2</v>
      </c>
      <c r="K9" s="51">
        <v>194.08</v>
      </c>
      <c r="L9" s="51">
        <v>26.79</v>
      </c>
      <c r="M9" s="51">
        <v>89.74</v>
      </c>
      <c r="N9" s="51">
        <v>2.1</v>
      </c>
      <c r="O9" s="51">
        <v>0</v>
      </c>
      <c r="P9" s="51">
        <v>0.77</v>
      </c>
      <c r="Q9" s="51">
        <v>4.67</v>
      </c>
    </row>
    <row r="10" spans="1:21" customFormat="1">
      <c r="A10" s="50">
        <v>45572.083333333336</v>
      </c>
      <c r="B10" s="51">
        <v>9.33</v>
      </c>
      <c r="C10" s="51">
        <v>4.0999999999999996</v>
      </c>
      <c r="D10" s="51">
        <v>14.06</v>
      </c>
      <c r="E10" s="51">
        <v>13.55</v>
      </c>
      <c r="F10" s="51">
        <v>4.24</v>
      </c>
      <c r="G10" s="51">
        <v>132.37</v>
      </c>
      <c r="H10" s="51">
        <v>32.42</v>
      </c>
      <c r="I10" s="51">
        <v>7.8</v>
      </c>
      <c r="J10" s="51">
        <v>0.34</v>
      </c>
      <c r="K10" s="51">
        <v>176.11</v>
      </c>
      <c r="L10" s="51">
        <v>26.93</v>
      </c>
      <c r="M10" s="51">
        <v>91.54</v>
      </c>
      <c r="N10" s="51">
        <v>2.2000000000000002</v>
      </c>
      <c r="O10" s="51">
        <v>0</v>
      </c>
      <c r="P10" s="51">
        <v>0.78</v>
      </c>
      <c r="Q10" s="51">
        <v>4.67</v>
      </c>
    </row>
    <row r="11" spans="1:21" customFormat="1">
      <c r="A11" s="50">
        <v>45572.125</v>
      </c>
      <c r="B11" s="51">
        <v>9.35</v>
      </c>
      <c r="C11" s="51">
        <v>4.08</v>
      </c>
      <c r="D11" s="51">
        <v>14.08</v>
      </c>
      <c r="E11" s="51">
        <v>12.65</v>
      </c>
      <c r="F11" s="51">
        <v>4.25</v>
      </c>
      <c r="G11" s="51">
        <v>153.79</v>
      </c>
      <c r="H11" s="51">
        <v>34.74</v>
      </c>
      <c r="I11" s="51">
        <v>8.0399999999999991</v>
      </c>
      <c r="J11" s="51">
        <v>0.25</v>
      </c>
      <c r="K11" s="51">
        <v>128.06</v>
      </c>
      <c r="L11" s="51">
        <v>26.7</v>
      </c>
      <c r="M11" s="51">
        <v>90.95</v>
      </c>
      <c r="N11" s="51">
        <v>2.2999999999999998</v>
      </c>
      <c r="O11" s="51">
        <v>0</v>
      </c>
      <c r="P11" s="51">
        <v>0.79</v>
      </c>
      <c r="Q11" s="51">
        <v>4.66</v>
      </c>
    </row>
    <row r="12" spans="1:21" customFormat="1">
      <c r="A12" s="50">
        <v>45572.166666666664</v>
      </c>
      <c r="B12" s="51">
        <v>9.32</v>
      </c>
      <c r="C12" s="51">
        <v>4.08</v>
      </c>
      <c r="D12" s="51">
        <v>14.05</v>
      </c>
      <c r="E12" s="51">
        <v>11.9</v>
      </c>
      <c r="F12" s="51">
        <v>3.79</v>
      </c>
      <c r="G12" s="51">
        <v>173.08</v>
      </c>
      <c r="H12" s="51">
        <v>47.79</v>
      </c>
      <c r="I12" s="51">
        <v>8.2899999999999991</v>
      </c>
      <c r="J12" s="51">
        <v>0.1</v>
      </c>
      <c r="K12" s="51">
        <v>173.45</v>
      </c>
      <c r="L12" s="51">
        <v>26.13</v>
      </c>
      <c r="M12" s="51">
        <v>93.08</v>
      </c>
      <c r="N12" s="51">
        <v>2.1</v>
      </c>
      <c r="O12" s="51">
        <v>0</v>
      </c>
      <c r="P12" s="51">
        <v>0.8</v>
      </c>
      <c r="Q12" s="51">
        <v>4.6500000000000004</v>
      </c>
    </row>
    <row r="13" spans="1:21" customFormat="1">
      <c r="A13" s="50">
        <v>45572.208333333336</v>
      </c>
      <c r="B13" s="51">
        <v>9.31</v>
      </c>
      <c r="C13" s="51">
        <v>4.09</v>
      </c>
      <c r="D13" s="51">
        <v>14.04</v>
      </c>
      <c r="E13" s="51">
        <v>11.46</v>
      </c>
      <c r="F13" s="51">
        <v>4.29</v>
      </c>
      <c r="G13" s="51">
        <v>173.08</v>
      </c>
      <c r="H13" s="51">
        <v>47.79</v>
      </c>
      <c r="I13" s="51">
        <v>8.31</v>
      </c>
      <c r="J13" s="51">
        <v>0.26</v>
      </c>
      <c r="K13" s="51">
        <v>73.459999999999994</v>
      </c>
      <c r="L13" s="51">
        <v>26.16</v>
      </c>
      <c r="M13" s="51">
        <v>89.82</v>
      </c>
      <c r="N13" s="51">
        <v>2.1</v>
      </c>
      <c r="O13" s="51">
        <v>0</v>
      </c>
      <c r="P13" s="51">
        <v>0.79</v>
      </c>
      <c r="Q13" s="51">
        <v>4.66</v>
      </c>
    </row>
    <row r="14" spans="1:21" customFormat="1">
      <c r="A14" s="50">
        <v>45572.25</v>
      </c>
      <c r="B14" s="51">
        <v>9.34</v>
      </c>
      <c r="C14" s="51">
        <v>4.08</v>
      </c>
      <c r="D14" s="51">
        <v>14.07</v>
      </c>
      <c r="E14" s="51">
        <v>10.98</v>
      </c>
      <c r="F14" s="51">
        <v>4.03</v>
      </c>
      <c r="G14" s="51">
        <v>163.96</v>
      </c>
      <c r="H14" s="51">
        <v>44.69</v>
      </c>
      <c r="I14" s="51">
        <v>8.24</v>
      </c>
      <c r="J14" s="51">
        <v>0.32</v>
      </c>
      <c r="K14" s="51">
        <v>242.32</v>
      </c>
      <c r="L14" s="51">
        <v>25.94</v>
      </c>
      <c r="M14" s="51">
        <v>94.62</v>
      </c>
      <c r="N14" s="51">
        <v>5.4</v>
      </c>
      <c r="O14" s="51">
        <v>0</v>
      </c>
      <c r="P14" s="51">
        <v>0.78</v>
      </c>
      <c r="Q14" s="51">
        <v>4.67</v>
      </c>
    </row>
    <row r="15" spans="1:21" customFormat="1">
      <c r="A15" s="50">
        <v>45572.291666666664</v>
      </c>
      <c r="B15" s="51">
        <v>9.36</v>
      </c>
      <c r="C15" s="51">
        <v>4.09</v>
      </c>
      <c r="D15" s="51">
        <v>14.09</v>
      </c>
      <c r="E15" s="51">
        <v>10.93</v>
      </c>
      <c r="F15" s="51">
        <v>5.35</v>
      </c>
      <c r="G15" s="51">
        <v>158.80000000000001</v>
      </c>
      <c r="H15" s="51">
        <v>44.69</v>
      </c>
      <c r="I15" s="51">
        <v>8.3000000000000007</v>
      </c>
      <c r="J15" s="51">
        <v>0.49</v>
      </c>
      <c r="K15" s="51">
        <v>56.86</v>
      </c>
      <c r="L15" s="51">
        <v>26.23</v>
      </c>
      <c r="M15" s="51">
        <v>92.21</v>
      </c>
      <c r="N15" s="51">
        <v>43.3</v>
      </c>
      <c r="O15" s="51">
        <v>0</v>
      </c>
      <c r="P15" s="51">
        <v>0.77</v>
      </c>
      <c r="Q15" s="51">
        <v>4.67</v>
      </c>
    </row>
    <row r="16" spans="1:21" customFormat="1">
      <c r="A16" s="50">
        <v>45572.333333333336</v>
      </c>
      <c r="B16" s="51">
        <v>9.35</v>
      </c>
      <c r="C16" s="51">
        <v>4.0999999999999996</v>
      </c>
      <c r="D16" s="51">
        <v>14.07</v>
      </c>
      <c r="E16" s="51">
        <v>12.56</v>
      </c>
      <c r="F16" s="51">
        <v>7.1</v>
      </c>
      <c r="G16" s="51">
        <v>154.72999999999999</v>
      </c>
      <c r="H16" s="51">
        <v>42.18</v>
      </c>
      <c r="I16" s="51">
        <v>8.3699999999999992</v>
      </c>
      <c r="J16" s="51">
        <v>0.64</v>
      </c>
      <c r="K16" s="51">
        <v>49.5</v>
      </c>
      <c r="L16" s="51">
        <v>27.51</v>
      </c>
      <c r="M16" s="51">
        <v>88.9</v>
      </c>
      <c r="N16" s="51">
        <v>173</v>
      </c>
      <c r="O16" s="51">
        <v>0</v>
      </c>
      <c r="P16" s="51">
        <v>0.73</v>
      </c>
      <c r="Q16" s="51">
        <v>4.67</v>
      </c>
    </row>
    <row r="17" spans="1:17" customFormat="1">
      <c r="A17" s="50">
        <v>45572.375</v>
      </c>
      <c r="B17" s="51">
        <v>9.33</v>
      </c>
      <c r="C17" s="51">
        <v>4.1100000000000003</v>
      </c>
      <c r="D17" s="51">
        <v>14.07</v>
      </c>
      <c r="E17" s="51">
        <v>12.82</v>
      </c>
      <c r="F17" s="51">
        <v>6.98</v>
      </c>
      <c r="G17" s="51">
        <v>147.55000000000001</v>
      </c>
      <c r="H17" s="51">
        <v>41.37</v>
      </c>
      <c r="I17" s="51">
        <v>8.27</v>
      </c>
      <c r="J17" s="51">
        <v>0.82</v>
      </c>
      <c r="K17" s="51">
        <v>63.71</v>
      </c>
      <c r="L17" s="51">
        <v>29.78</v>
      </c>
      <c r="M17" s="51">
        <v>80.239999999999995</v>
      </c>
      <c r="N17" s="51">
        <v>301.89999999999998</v>
      </c>
      <c r="O17" s="51">
        <v>0</v>
      </c>
      <c r="P17" s="51">
        <v>0.71</v>
      </c>
      <c r="Q17" s="51">
        <v>4.67</v>
      </c>
    </row>
    <row r="18" spans="1:17" customFormat="1">
      <c r="A18" s="50">
        <v>45572.416666666664</v>
      </c>
      <c r="B18" s="51">
        <v>9.33</v>
      </c>
      <c r="C18" s="51">
        <v>4.08</v>
      </c>
      <c r="D18" s="51">
        <v>14.06</v>
      </c>
      <c r="E18" s="51">
        <v>13.16</v>
      </c>
      <c r="F18" s="51">
        <v>8.32</v>
      </c>
      <c r="G18" s="51">
        <v>142.29</v>
      </c>
      <c r="H18" s="51">
        <v>42.29</v>
      </c>
      <c r="I18" s="51">
        <v>8.1</v>
      </c>
      <c r="J18" s="51">
        <v>0.63</v>
      </c>
      <c r="K18" s="51">
        <v>64.47</v>
      </c>
      <c r="L18" s="51">
        <v>31.42</v>
      </c>
      <c r="M18" s="51">
        <v>71.63</v>
      </c>
      <c r="N18" s="51">
        <v>189.6</v>
      </c>
      <c r="O18" s="51">
        <v>0</v>
      </c>
      <c r="P18" s="51">
        <v>0.7</v>
      </c>
      <c r="Q18" s="51">
        <v>4.67</v>
      </c>
    </row>
    <row r="19" spans="1:17" customFormat="1">
      <c r="A19" s="50">
        <v>45572.458333333336</v>
      </c>
      <c r="B19" s="51">
        <v>9.34</v>
      </c>
      <c r="C19" s="51">
        <v>4.09</v>
      </c>
      <c r="D19" s="51">
        <v>14.05</v>
      </c>
      <c r="E19" s="51">
        <v>13.4</v>
      </c>
      <c r="F19" s="51">
        <v>15.38</v>
      </c>
      <c r="G19" s="51">
        <v>139.76</v>
      </c>
      <c r="H19" s="51">
        <v>42.29</v>
      </c>
      <c r="I19" s="51">
        <v>7.77</v>
      </c>
      <c r="J19" s="51">
        <v>0.41</v>
      </c>
      <c r="K19" s="51">
        <v>153.61000000000001</v>
      </c>
      <c r="L19" s="51">
        <v>32.58</v>
      </c>
      <c r="M19" s="51">
        <v>67.27</v>
      </c>
      <c r="N19" s="51">
        <v>480.7</v>
      </c>
      <c r="O19" s="51">
        <v>0</v>
      </c>
      <c r="P19" s="51">
        <v>0.68</v>
      </c>
      <c r="Q19" s="51">
        <v>4.66</v>
      </c>
    </row>
    <row r="20" spans="1:17" customFormat="1">
      <c r="A20" s="50">
        <v>45572.5</v>
      </c>
      <c r="B20" s="51">
        <v>9.32</v>
      </c>
      <c r="C20" s="51">
        <v>4.07</v>
      </c>
      <c r="D20" s="51">
        <v>14.05</v>
      </c>
      <c r="E20" s="51">
        <v>14.1</v>
      </c>
      <c r="F20" s="51">
        <v>9.2200000000000006</v>
      </c>
      <c r="G20" s="51">
        <v>139.76</v>
      </c>
      <c r="H20" s="51">
        <v>41.97</v>
      </c>
      <c r="I20" s="51">
        <v>7.39</v>
      </c>
      <c r="J20" s="51">
        <v>0.48</v>
      </c>
      <c r="K20" s="51">
        <v>85.68</v>
      </c>
      <c r="L20" s="51">
        <v>32.99</v>
      </c>
      <c r="M20" s="51">
        <v>62.03</v>
      </c>
      <c r="N20" s="51">
        <v>561.20000000000005</v>
      </c>
      <c r="O20" s="51">
        <v>0</v>
      </c>
      <c r="P20" s="51">
        <v>0.7</v>
      </c>
      <c r="Q20" s="51">
        <v>4.6500000000000004</v>
      </c>
    </row>
    <row r="21" spans="1:17" customFormat="1">
      <c r="A21" s="50">
        <v>45572.541666666664</v>
      </c>
      <c r="B21" s="51">
        <v>9.31</v>
      </c>
      <c r="C21" s="51">
        <v>4.09</v>
      </c>
      <c r="D21" s="51">
        <v>14.04</v>
      </c>
      <c r="E21" s="51">
        <v>12.68</v>
      </c>
      <c r="F21" s="51">
        <v>8.07</v>
      </c>
      <c r="G21" s="51">
        <v>132.21</v>
      </c>
      <c r="H21" s="51">
        <v>41.97</v>
      </c>
      <c r="I21" s="51">
        <v>7.4</v>
      </c>
      <c r="J21" s="51">
        <v>0.62</v>
      </c>
      <c r="K21" s="51">
        <v>87.43</v>
      </c>
      <c r="L21" s="51">
        <v>33.299999999999997</v>
      </c>
      <c r="M21" s="51">
        <v>64.31</v>
      </c>
      <c r="N21" s="51">
        <v>497.2</v>
      </c>
      <c r="O21" s="51">
        <v>0</v>
      </c>
      <c r="P21" s="51">
        <v>0.71</v>
      </c>
      <c r="Q21" s="51">
        <v>4.6399999999999997</v>
      </c>
    </row>
    <row r="22" spans="1:17" customFormat="1">
      <c r="A22" s="50">
        <v>45572.583333333336</v>
      </c>
      <c r="B22" s="51">
        <v>9.44</v>
      </c>
      <c r="C22" s="51">
        <v>4.12</v>
      </c>
      <c r="D22" s="51">
        <v>14.15</v>
      </c>
      <c r="E22" s="51">
        <v>11.76</v>
      </c>
      <c r="F22" s="51">
        <v>5.57</v>
      </c>
      <c r="G22" s="51">
        <v>130.79</v>
      </c>
      <c r="H22" s="51">
        <v>41.02</v>
      </c>
      <c r="I22" s="51">
        <v>7.5</v>
      </c>
      <c r="J22" s="51">
        <v>0.26</v>
      </c>
      <c r="K22" s="51">
        <v>162.82</v>
      </c>
      <c r="L22" s="51">
        <v>33.47</v>
      </c>
      <c r="M22" s="51">
        <v>62.1</v>
      </c>
      <c r="N22" s="51">
        <v>465</v>
      </c>
      <c r="O22" s="51">
        <v>0</v>
      </c>
      <c r="P22" s="51">
        <v>0.71</v>
      </c>
      <c r="Q22" s="51">
        <v>4.63</v>
      </c>
    </row>
    <row r="23" spans="1:17" customFormat="1">
      <c r="A23" s="50">
        <v>45572.625</v>
      </c>
      <c r="B23" s="51">
        <v>9.4</v>
      </c>
      <c r="C23" s="51">
        <v>4.1100000000000003</v>
      </c>
      <c r="D23" s="51">
        <v>14.11</v>
      </c>
      <c r="E23" s="51">
        <v>11.32</v>
      </c>
      <c r="F23" s="51">
        <v>4.6500000000000004</v>
      </c>
      <c r="G23" s="51">
        <v>127.15</v>
      </c>
      <c r="H23" s="51">
        <v>40.71</v>
      </c>
      <c r="I23" s="51">
        <v>7.55</v>
      </c>
      <c r="J23" s="51">
        <v>0.44</v>
      </c>
      <c r="K23" s="51">
        <v>89.75</v>
      </c>
      <c r="L23" s="51">
        <v>33.1</v>
      </c>
      <c r="M23" s="51">
        <v>62.82</v>
      </c>
      <c r="N23" s="51">
        <v>289.60000000000002</v>
      </c>
      <c r="O23" s="51">
        <v>0</v>
      </c>
      <c r="P23" s="51">
        <v>0.55000000000000004</v>
      </c>
      <c r="Q23" s="51">
        <v>4.62</v>
      </c>
    </row>
    <row r="24" spans="1:17" customFormat="1">
      <c r="A24" s="50">
        <v>45572.666666666664</v>
      </c>
      <c r="B24" s="51">
        <v>9.48</v>
      </c>
      <c r="C24" s="51">
        <v>4.08</v>
      </c>
      <c r="D24" s="51">
        <v>14.18</v>
      </c>
      <c r="E24" s="51">
        <v>14.04</v>
      </c>
      <c r="F24" s="51">
        <v>24.94</v>
      </c>
      <c r="G24" s="51">
        <v>121.14</v>
      </c>
      <c r="H24" s="51">
        <v>40.71</v>
      </c>
      <c r="I24" s="51">
        <v>7.6</v>
      </c>
      <c r="J24" s="51">
        <v>0.73</v>
      </c>
      <c r="K24" s="51">
        <v>68.05</v>
      </c>
      <c r="L24" s="51">
        <v>32.44</v>
      </c>
      <c r="M24" s="51">
        <v>62.74</v>
      </c>
      <c r="N24" s="51">
        <v>83</v>
      </c>
      <c r="O24" s="51">
        <v>0</v>
      </c>
      <c r="P24" s="51">
        <v>0.55000000000000004</v>
      </c>
      <c r="Q24" s="51">
        <v>4.68</v>
      </c>
    </row>
    <row r="25" spans="1:17" customFormat="1">
      <c r="A25" s="50">
        <v>45572.708333333336</v>
      </c>
      <c r="B25" s="51">
        <v>9.42</v>
      </c>
      <c r="C25" s="51">
        <v>4.0999999999999996</v>
      </c>
      <c r="D25" s="51">
        <v>14.14</v>
      </c>
      <c r="E25" s="51">
        <v>13.45</v>
      </c>
      <c r="F25" s="51">
        <v>16</v>
      </c>
      <c r="G25" s="51">
        <v>119.14</v>
      </c>
      <c r="H25" s="51">
        <v>43.07</v>
      </c>
      <c r="I25" s="51">
        <v>6.75</v>
      </c>
      <c r="J25" s="51">
        <v>0.57999999999999996</v>
      </c>
      <c r="K25" s="51">
        <v>104.55</v>
      </c>
      <c r="L25" s="51">
        <v>31.94</v>
      </c>
      <c r="M25" s="51">
        <v>68.599999999999994</v>
      </c>
      <c r="N25" s="51">
        <v>63.6</v>
      </c>
      <c r="O25" s="51">
        <v>0</v>
      </c>
      <c r="P25" s="51">
        <v>0.39</v>
      </c>
      <c r="Q25" s="51">
        <v>4.68</v>
      </c>
    </row>
    <row r="26" spans="1:17" customFormat="1">
      <c r="A26" s="50">
        <v>45572.75</v>
      </c>
      <c r="B26" s="51">
        <v>9.35</v>
      </c>
      <c r="C26" s="51">
        <v>4.09</v>
      </c>
      <c r="D26" s="51">
        <v>14.09</v>
      </c>
      <c r="E26" s="51">
        <v>11.73</v>
      </c>
      <c r="F26" s="51">
        <v>11.38</v>
      </c>
      <c r="G26" s="51">
        <v>119.14</v>
      </c>
      <c r="H26" s="51">
        <v>43.07</v>
      </c>
      <c r="I26" s="51">
        <v>6.05</v>
      </c>
      <c r="J26" s="51">
        <v>0.34</v>
      </c>
      <c r="K26" s="51">
        <v>208.87</v>
      </c>
      <c r="L26" s="51">
        <v>30.19</v>
      </c>
      <c r="M26" s="51">
        <v>70.86</v>
      </c>
      <c r="N26" s="51">
        <v>18.7</v>
      </c>
      <c r="O26" s="51">
        <v>0</v>
      </c>
      <c r="P26" s="51">
        <v>0.37</v>
      </c>
      <c r="Q26" s="51">
        <v>4.6900000000000004</v>
      </c>
    </row>
    <row r="27" spans="1:17" customFormat="1">
      <c r="A27" s="50">
        <v>45572.791666666664</v>
      </c>
      <c r="B27" s="51">
        <v>9.3000000000000007</v>
      </c>
      <c r="C27" s="51">
        <v>4.1100000000000003</v>
      </c>
      <c r="D27" s="51">
        <v>14.05</v>
      </c>
      <c r="E27" s="51">
        <v>12.27</v>
      </c>
      <c r="F27" s="51">
        <v>10.11</v>
      </c>
      <c r="G27" s="51">
        <v>101.48</v>
      </c>
      <c r="H27" s="51">
        <v>41.78</v>
      </c>
      <c r="I27" s="51">
        <v>5.69</v>
      </c>
      <c r="J27" s="51">
        <v>0.17</v>
      </c>
      <c r="K27" s="51">
        <v>192.5</v>
      </c>
      <c r="L27" s="51">
        <v>27.89</v>
      </c>
      <c r="M27" s="51">
        <v>74.33</v>
      </c>
      <c r="N27" s="51">
        <v>2.6</v>
      </c>
      <c r="O27" s="51">
        <v>0</v>
      </c>
      <c r="P27" s="51">
        <v>0.35</v>
      </c>
      <c r="Q27" s="51">
        <v>4.68</v>
      </c>
    </row>
    <row r="28" spans="1:17" customFormat="1">
      <c r="A28" s="50">
        <v>45572.833333333336</v>
      </c>
      <c r="B28" s="51">
        <v>9.2799999999999994</v>
      </c>
      <c r="C28" s="51">
        <v>4.08</v>
      </c>
      <c r="D28" s="51">
        <v>14.02</v>
      </c>
      <c r="E28" s="51">
        <v>12.52</v>
      </c>
      <c r="F28" s="51">
        <v>7.65</v>
      </c>
      <c r="G28" s="51">
        <v>79.680000000000007</v>
      </c>
      <c r="H28" s="51">
        <v>41.78</v>
      </c>
      <c r="I28" s="51">
        <v>5.48</v>
      </c>
      <c r="J28" s="51">
        <v>0.17</v>
      </c>
      <c r="K28" s="51">
        <v>224.59</v>
      </c>
      <c r="L28" s="51">
        <v>27.1</v>
      </c>
      <c r="M28" s="51">
        <v>79.510000000000005</v>
      </c>
      <c r="N28" s="51">
        <v>2.1</v>
      </c>
      <c r="O28" s="51">
        <v>0</v>
      </c>
      <c r="P28" s="51">
        <v>0.34</v>
      </c>
      <c r="Q28" s="51">
        <v>4.66</v>
      </c>
    </row>
    <row r="29" spans="1:17" customFormat="1">
      <c r="A29" s="50">
        <v>45572.875</v>
      </c>
      <c r="B29" s="51">
        <v>9.31</v>
      </c>
      <c r="C29" s="51">
        <v>4.1100000000000003</v>
      </c>
      <c r="D29" s="51">
        <v>14.06</v>
      </c>
      <c r="E29" s="51">
        <v>12.78</v>
      </c>
      <c r="F29" s="51">
        <v>7.9</v>
      </c>
      <c r="G29" s="51">
        <v>63.9</v>
      </c>
      <c r="H29" s="51">
        <v>37.11</v>
      </c>
      <c r="I29" s="51">
        <v>5.2</v>
      </c>
      <c r="J29" s="51">
        <v>0.17</v>
      </c>
      <c r="K29" s="51">
        <v>209.59</v>
      </c>
      <c r="L29" s="51">
        <v>26.88</v>
      </c>
      <c r="M29" s="51">
        <v>83.11</v>
      </c>
      <c r="N29" s="51">
        <v>2.1</v>
      </c>
      <c r="O29" s="51">
        <v>0</v>
      </c>
      <c r="P29" s="51">
        <v>0.34</v>
      </c>
      <c r="Q29" s="51">
        <v>4.67</v>
      </c>
    </row>
    <row r="30" spans="1:17" customFormat="1">
      <c r="A30" s="50">
        <v>45572.916666666664</v>
      </c>
      <c r="B30" s="51">
        <v>9.31</v>
      </c>
      <c r="C30" s="51">
        <v>4.0999999999999996</v>
      </c>
      <c r="D30" s="51">
        <v>14.05</v>
      </c>
      <c r="E30" s="51">
        <v>12.55</v>
      </c>
      <c r="F30" s="51">
        <v>5.78</v>
      </c>
      <c r="G30" s="51">
        <v>63.9</v>
      </c>
      <c r="H30" s="51">
        <v>38.36</v>
      </c>
      <c r="I30" s="51">
        <v>5.03</v>
      </c>
      <c r="J30" s="51">
        <v>0.23</v>
      </c>
      <c r="K30" s="51">
        <v>229.51</v>
      </c>
      <c r="L30" s="51">
        <v>26.66</v>
      </c>
      <c r="M30" s="51">
        <v>88.83</v>
      </c>
      <c r="N30" s="51">
        <v>2.1</v>
      </c>
      <c r="O30" s="51">
        <v>0</v>
      </c>
      <c r="P30" s="51">
        <v>0.35</v>
      </c>
      <c r="Q30" s="51">
        <v>4.6500000000000004</v>
      </c>
    </row>
    <row r="31" spans="1:17" customFormat="1">
      <c r="A31" s="50">
        <v>45572.958333333336</v>
      </c>
      <c r="B31" s="51">
        <v>9.2799999999999994</v>
      </c>
      <c r="C31" s="51">
        <v>4.09</v>
      </c>
      <c r="D31" s="51">
        <v>14.02</v>
      </c>
      <c r="E31" s="51">
        <v>11.7</v>
      </c>
      <c r="F31" s="51">
        <v>4.07</v>
      </c>
      <c r="G31" s="51">
        <v>64.17</v>
      </c>
      <c r="H31" s="51">
        <v>38.36</v>
      </c>
      <c r="I31" s="51">
        <v>5.2</v>
      </c>
      <c r="J31" s="51">
        <v>0.13</v>
      </c>
      <c r="K31" s="51">
        <v>228.13</v>
      </c>
      <c r="L31" s="51">
        <v>25.93</v>
      </c>
      <c r="M31" s="51">
        <v>92.31</v>
      </c>
      <c r="N31" s="51">
        <v>2.1</v>
      </c>
      <c r="O31" s="51">
        <v>0</v>
      </c>
      <c r="P31" s="51">
        <v>0.35</v>
      </c>
      <c r="Q31" s="51">
        <v>4.6500000000000004</v>
      </c>
    </row>
    <row r="32" spans="1:17" customFormat="1">
      <c r="A32" s="50">
        <v>45573</v>
      </c>
      <c r="B32" s="51">
        <v>9.24</v>
      </c>
      <c r="C32" s="51">
        <v>4.1399999999999997</v>
      </c>
      <c r="D32" s="51">
        <v>14</v>
      </c>
      <c r="E32" s="51">
        <v>11.46</v>
      </c>
      <c r="F32" s="51">
        <v>3.8</v>
      </c>
      <c r="G32" s="51">
        <v>64.17</v>
      </c>
      <c r="H32" s="51">
        <v>37.26</v>
      </c>
      <c r="I32" s="51">
        <v>5.29</v>
      </c>
      <c r="J32" s="51">
        <v>0.14000000000000001</v>
      </c>
      <c r="K32" s="51">
        <v>220.19</v>
      </c>
      <c r="L32" s="51">
        <v>25.65</v>
      </c>
      <c r="M32" s="51">
        <v>92.76</v>
      </c>
      <c r="N32" s="51">
        <v>2.1</v>
      </c>
      <c r="O32" s="51">
        <v>0</v>
      </c>
      <c r="P32" s="51">
        <v>0.36</v>
      </c>
      <c r="Q32" s="51">
        <v>4.6500000000000004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9.24</v>
      </c>
      <c r="C34" s="41">
        <f t="shared" si="0"/>
        <v>4.07</v>
      </c>
      <c r="D34" s="41">
        <f t="shared" si="0"/>
        <v>14</v>
      </c>
      <c r="E34" s="41">
        <f t="shared" si="0"/>
        <v>10.93</v>
      </c>
      <c r="F34" s="41">
        <f t="shared" si="0"/>
        <v>3.58</v>
      </c>
      <c r="G34" s="41">
        <f t="shared" si="0"/>
        <v>63.9</v>
      </c>
      <c r="H34" s="41">
        <f t="shared" si="0"/>
        <v>32.42</v>
      </c>
      <c r="I34" s="41">
        <f t="shared" si="0"/>
        <v>5.03</v>
      </c>
      <c r="J34" s="41">
        <f t="shared" si="0"/>
        <v>0.1</v>
      </c>
      <c r="K34" s="41">
        <f t="shared" si="0"/>
        <v>49.5</v>
      </c>
      <c r="L34" s="41">
        <f t="shared" si="0"/>
        <v>25.65</v>
      </c>
      <c r="M34" s="41">
        <f t="shared" si="0"/>
        <v>62.03</v>
      </c>
      <c r="N34" s="41">
        <f t="shared" si="0"/>
        <v>2.1</v>
      </c>
      <c r="O34" s="41">
        <f t="shared" si="0"/>
        <v>0</v>
      </c>
      <c r="P34" s="41">
        <f t="shared" si="0"/>
        <v>0.34</v>
      </c>
      <c r="Q34" s="41">
        <f t="shared" si="0"/>
        <v>4.62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9.48</v>
      </c>
      <c r="C35" s="33">
        <f t="shared" si="1"/>
        <v>4.1399999999999997</v>
      </c>
      <c r="D35" s="33">
        <f t="shared" si="1"/>
        <v>14.18</v>
      </c>
      <c r="E35" s="33">
        <f t="shared" si="1"/>
        <v>14.1</v>
      </c>
      <c r="F35" s="33">
        <f t="shared" si="1"/>
        <v>24.94</v>
      </c>
      <c r="G35" s="33">
        <f t="shared" si="1"/>
        <v>173.08</v>
      </c>
      <c r="H35" s="33">
        <f t="shared" si="1"/>
        <v>47.79</v>
      </c>
      <c r="I35" s="33">
        <f t="shared" si="1"/>
        <v>8.3699999999999992</v>
      </c>
      <c r="J35" s="33">
        <f t="shared" si="1"/>
        <v>0.82</v>
      </c>
      <c r="K35" s="33">
        <f t="shared" si="1"/>
        <v>242.32</v>
      </c>
      <c r="L35" s="33">
        <f t="shared" si="1"/>
        <v>33.47</v>
      </c>
      <c r="M35" s="33">
        <f t="shared" si="1"/>
        <v>94.62</v>
      </c>
      <c r="N35" s="33">
        <f t="shared" si="1"/>
        <v>561.20000000000005</v>
      </c>
      <c r="O35" s="33">
        <f t="shared" si="1"/>
        <v>0</v>
      </c>
      <c r="P35" s="33">
        <f t="shared" si="1"/>
        <v>0.8</v>
      </c>
      <c r="Q35" s="33">
        <f t="shared" si="1"/>
        <v>4.6900000000000004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9.3383333333333329</v>
      </c>
      <c r="C36" s="41">
        <f t="shared" si="2"/>
        <v>4.0958333333333323</v>
      </c>
      <c r="D36" s="41">
        <f t="shared" si="2"/>
        <v>14.069583333333332</v>
      </c>
      <c r="E36" s="41">
        <f t="shared" si="2"/>
        <v>12.448749999999997</v>
      </c>
      <c r="F36" s="41">
        <f t="shared" si="2"/>
        <v>7.7687500000000007</v>
      </c>
      <c r="G36" s="41">
        <f t="shared" si="2"/>
        <v>124.93374999999999</v>
      </c>
      <c r="H36" s="41">
        <f t="shared" si="2"/>
        <v>40.826666666666675</v>
      </c>
      <c r="I36" s="41">
        <f t="shared" si="2"/>
        <v>7.1408333333333323</v>
      </c>
      <c r="J36" s="41">
        <f t="shared" si="2"/>
        <v>0.37166666666666676</v>
      </c>
      <c r="K36" s="41">
        <f t="shared" si="2"/>
        <v>145.30375000000001</v>
      </c>
      <c r="L36" s="41">
        <f t="shared" si="2"/>
        <v>28.904583333333331</v>
      </c>
      <c r="M36" s="41">
        <f t="shared" si="2"/>
        <v>79.762916666666641</v>
      </c>
      <c r="N36" s="41">
        <f t="shared" si="2"/>
        <v>133.17083333333329</v>
      </c>
      <c r="O36" s="41">
        <f t="shared" si="2"/>
        <v>0</v>
      </c>
      <c r="P36" s="41">
        <f t="shared" si="2"/>
        <v>0.59875</v>
      </c>
      <c r="Q36" s="41">
        <f t="shared" si="2"/>
        <v>4.6612500000000017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5.2805357655274388E-2</v>
      </c>
      <c r="C37" s="41">
        <f t="shared" ref="C37:Q37" si="3">STDEV(C9:C32)</f>
        <v>1.6129008882638497E-2</v>
      </c>
      <c r="D37" s="41">
        <f t="shared" si="3"/>
        <v>4.1648546784676221E-2</v>
      </c>
      <c r="E37" s="41">
        <f t="shared" si="3"/>
        <v>0.91213229637319015</v>
      </c>
      <c r="F37" s="41">
        <f t="shared" si="3"/>
        <v>5.0249311589487391</v>
      </c>
      <c r="G37" s="41">
        <f t="shared" si="3"/>
        <v>34.888593976741433</v>
      </c>
      <c r="H37" s="41">
        <f t="shared" si="3"/>
        <v>3.9830790653185613</v>
      </c>
      <c r="I37" s="41">
        <f t="shared" si="3"/>
        <v>1.201896749767408</v>
      </c>
      <c r="J37" s="41">
        <f t="shared" si="3"/>
        <v>0.20923601541065406</v>
      </c>
      <c r="K37" s="41">
        <f t="shared" si="3"/>
        <v>67.057760424518875</v>
      </c>
      <c r="L37" s="41">
        <f t="shared" si="3"/>
        <v>2.9313492651837074</v>
      </c>
      <c r="M37" s="41">
        <f t="shared" si="3"/>
        <v>12.191885569176264</v>
      </c>
      <c r="N37" s="41">
        <f t="shared" si="3"/>
        <v>190.87353764518642</v>
      </c>
      <c r="O37" s="41">
        <f t="shared" si="3"/>
        <v>0</v>
      </c>
      <c r="P37" s="41">
        <f t="shared" si="3"/>
        <v>0.18611152570434772</v>
      </c>
      <c r="Q37" s="41">
        <f t="shared" si="3"/>
        <v>1.6500988112705554E-2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9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45573.041666666664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>
        <v>45573.041666666664</v>
      </c>
      <c r="B9" s="51">
        <v>9.35</v>
      </c>
      <c r="C9" s="51">
        <v>4.09</v>
      </c>
      <c r="D9" s="51">
        <v>14.07</v>
      </c>
      <c r="E9" s="51">
        <v>11.43</v>
      </c>
      <c r="F9" s="51">
        <v>3.84</v>
      </c>
      <c r="G9" s="51">
        <v>61.62</v>
      </c>
      <c r="H9" s="51">
        <v>35.36</v>
      </c>
      <c r="I9" s="51">
        <v>5.37</v>
      </c>
      <c r="J9" s="51">
        <v>0.15</v>
      </c>
      <c r="K9" s="51">
        <v>224.58</v>
      </c>
      <c r="L9" s="51">
        <v>25.53</v>
      </c>
      <c r="M9" s="51">
        <v>93.84</v>
      </c>
      <c r="N9" s="51">
        <v>2.1</v>
      </c>
      <c r="O9" s="51">
        <v>0</v>
      </c>
      <c r="P9" s="51">
        <v>0.36</v>
      </c>
      <c r="Q9" s="51">
        <v>4.6500000000000004</v>
      </c>
    </row>
    <row r="10" spans="1:21" customFormat="1">
      <c r="A10" s="50">
        <v>45573.083333333336</v>
      </c>
      <c r="B10" s="51">
        <v>9.48</v>
      </c>
      <c r="C10" s="51">
        <v>4.0999999999999996</v>
      </c>
      <c r="D10" s="51">
        <v>14.19</v>
      </c>
      <c r="E10" s="51">
        <v>11.36</v>
      </c>
      <c r="F10" s="51">
        <v>6.2</v>
      </c>
      <c r="G10" s="51">
        <v>60.55</v>
      </c>
      <c r="H10" s="51">
        <v>34.770000000000003</v>
      </c>
      <c r="I10" s="51">
        <v>5.38</v>
      </c>
      <c r="J10" s="51">
        <v>0.15</v>
      </c>
      <c r="K10" s="51">
        <v>206.68</v>
      </c>
      <c r="L10" s="51">
        <v>25.5</v>
      </c>
      <c r="M10" s="51">
        <v>93.06</v>
      </c>
      <c r="N10" s="51">
        <v>2.1</v>
      </c>
      <c r="O10" s="51">
        <v>0</v>
      </c>
      <c r="P10" s="51">
        <v>0.33</v>
      </c>
      <c r="Q10" s="51">
        <v>4.68</v>
      </c>
    </row>
    <row r="11" spans="1:21" customFormat="1">
      <c r="A11" s="50">
        <v>45573.125</v>
      </c>
      <c r="B11" s="51">
        <v>9.41</v>
      </c>
      <c r="C11" s="51">
        <v>4.07</v>
      </c>
      <c r="D11" s="51">
        <v>14.12</v>
      </c>
      <c r="E11" s="51">
        <v>10.75</v>
      </c>
      <c r="F11" s="51">
        <v>4.7</v>
      </c>
      <c r="G11" s="51">
        <v>60.83</v>
      </c>
      <c r="H11" s="51">
        <v>33.46</v>
      </c>
      <c r="I11" s="51">
        <v>4.93</v>
      </c>
      <c r="J11" s="51">
        <v>0.26</v>
      </c>
      <c r="K11" s="51">
        <v>217.95</v>
      </c>
      <c r="L11" s="51">
        <v>25.64</v>
      </c>
      <c r="M11" s="51">
        <v>92.48</v>
      </c>
      <c r="N11" s="51">
        <v>2.1</v>
      </c>
      <c r="O11" s="51">
        <v>0</v>
      </c>
      <c r="P11" s="51">
        <v>0.3</v>
      </c>
      <c r="Q11" s="51">
        <v>4.68</v>
      </c>
    </row>
    <row r="12" spans="1:21" customFormat="1">
      <c r="A12" s="50">
        <v>45573.166666666664</v>
      </c>
      <c r="B12" s="51">
        <v>9.3699999999999992</v>
      </c>
      <c r="C12" s="51">
        <v>4.08</v>
      </c>
      <c r="D12" s="51">
        <v>14.09</v>
      </c>
      <c r="E12" s="51">
        <v>10.95</v>
      </c>
      <c r="F12" s="51">
        <v>3.92</v>
      </c>
      <c r="G12" s="51">
        <v>70.23</v>
      </c>
      <c r="H12" s="51">
        <v>35.229999999999997</v>
      </c>
      <c r="I12" s="51">
        <v>4.95</v>
      </c>
      <c r="J12" s="51">
        <v>0.17</v>
      </c>
      <c r="K12" s="51">
        <v>223.63</v>
      </c>
      <c r="L12" s="51">
        <v>25.4</v>
      </c>
      <c r="M12" s="51">
        <v>95.59</v>
      </c>
      <c r="N12" s="51">
        <v>2.1</v>
      </c>
      <c r="O12" s="51">
        <v>0</v>
      </c>
      <c r="P12" s="51">
        <v>0.28999999999999998</v>
      </c>
      <c r="Q12" s="51">
        <v>4.67</v>
      </c>
    </row>
    <row r="13" spans="1:21" customFormat="1">
      <c r="A13" s="50">
        <v>45573.208333333336</v>
      </c>
      <c r="B13" s="51">
        <v>9.41</v>
      </c>
      <c r="C13" s="51">
        <v>4.09</v>
      </c>
      <c r="D13" s="51">
        <v>14.12</v>
      </c>
      <c r="E13" s="51">
        <v>11.17</v>
      </c>
      <c r="F13" s="51">
        <v>3.6</v>
      </c>
      <c r="G13" s="51">
        <v>81.77</v>
      </c>
      <c r="H13" s="51">
        <v>35.229999999999997</v>
      </c>
      <c r="I13" s="51">
        <v>5</v>
      </c>
      <c r="J13" s="51">
        <v>0.18</v>
      </c>
      <c r="K13" s="51">
        <v>203.04</v>
      </c>
      <c r="L13" s="51">
        <v>25.03</v>
      </c>
      <c r="M13" s="51">
        <v>98.26</v>
      </c>
      <c r="N13" s="51">
        <v>2.1</v>
      </c>
      <c r="O13" s="51">
        <v>0</v>
      </c>
      <c r="P13" s="51">
        <v>0.3</v>
      </c>
      <c r="Q13" s="51">
        <v>4.67</v>
      </c>
    </row>
    <row r="14" spans="1:21" customFormat="1">
      <c r="A14" s="50">
        <v>45573.25</v>
      </c>
      <c r="B14" s="51">
        <v>9.42</v>
      </c>
      <c r="C14" s="51">
        <v>4.09</v>
      </c>
      <c r="D14" s="51">
        <v>14.14</v>
      </c>
      <c r="E14" s="51">
        <v>12</v>
      </c>
      <c r="F14" s="51">
        <v>3.76</v>
      </c>
      <c r="G14" s="51">
        <v>81.77</v>
      </c>
      <c r="H14" s="51">
        <v>35.61</v>
      </c>
      <c r="I14" s="51">
        <v>4.7300000000000004</v>
      </c>
      <c r="J14" s="51">
        <v>0.22</v>
      </c>
      <c r="K14" s="51">
        <v>206.83</v>
      </c>
      <c r="L14" s="51">
        <v>25.15</v>
      </c>
      <c r="M14" s="51">
        <v>97.87</v>
      </c>
      <c r="N14" s="51">
        <v>6.2</v>
      </c>
      <c r="O14" s="51">
        <v>0</v>
      </c>
      <c r="P14" s="51">
        <v>0.3</v>
      </c>
      <c r="Q14" s="51">
        <v>4.68</v>
      </c>
    </row>
    <row r="15" spans="1:21" customFormat="1">
      <c r="A15" s="50">
        <v>45573.291666666664</v>
      </c>
      <c r="B15" s="51">
        <v>9.42</v>
      </c>
      <c r="C15" s="51">
        <v>4.1100000000000003</v>
      </c>
      <c r="D15" s="51">
        <v>14.13</v>
      </c>
      <c r="E15" s="51">
        <v>11.99</v>
      </c>
      <c r="F15" s="51">
        <v>3.95</v>
      </c>
      <c r="G15" s="51">
        <v>84.34</v>
      </c>
      <c r="H15" s="51">
        <v>37.39</v>
      </c>
      <c r="I15" s="51">
        <v>5.0199999999999996</v>
      </c>
      <c r="J15" s="51">
        <v>0.13</v>
      </c>
      <c r="K15" s="51">
        <v>178.47</v>
      </c>
      <c r="L15" s="51">
        <v>26.2</v>
      </c>
      <c r="M15" s="51">
        <v>96.94</v>
      </c>
      <c r="N15" s="51">
        <v>54.6</v>
      </c>
      <c r="O15" s="51">
        <v>0</v>
      </c>
      <c r="P15" s="51">
        <v>0.33</v>
      </c>
      <c r="Q15" s="51">
        <v>4.67</v>
      </c>
    </row>
    <row r="16" spans="1:21" customFormat="1">
      <c r="A16" s="50">
        <v>45573.333333333336</v>
      </c>
      <c r="B16" s="51">
        <v>9.39</v>
      </c>
      <c r="C16" s="51">
        <v>4.09</v>
      </c>
      <c r="D16" s="51">
        <v>14.11</v>
      </c>
      <c r="E16" s="51">
        <v>10.92</v>
      </c>
      <c r="F16" s="51">
        <v>4.78</v>
      </c>
      <c r="G16" s="51">
        <v>85.15</v>
      </c>
      <c r="H16" s="51">
        <v>37.39</v>
      </c>
      <c r="I16" s="51">
        <v>5.39</v>
      </c>
      <c r="J16" s="51">
        <v>0.21</v>
      </c>
      <c r="K16" s="51">
        <v>189.16</v>
      </c>
      <c r="L16" s="51">
        <v>28.3</v>
      </c>
      <c r="M16" s="51">
        <v>88.42</v>
      </c>
      <c r="N16" s="51">
        <v>176.9</v>
      </c>
      <c r="O16" s="51">
        <v>0</v>
      </c>
      <c r="P16" s="51">
        <v>0.34</v>
      </c>
      <c r="Q16" s="51">
        <v>4.67</v>
      </c>
    </row>
    <row r="17" spans="1:17" customFormat="1">
      <c r="A17" s="50">
        <v>45573.375</v>
      </c>
      <c r="B17" s="51">
        <v>9.39</v>
      </c>
      <c r="C17" s="51">
        <v>4.08</v>
      </c>
      <c r="D17" s="51">
        <v>14.11</v>
      </c>
      <c r="E17" s="51">
        <v>10.34</v>
      </c>
      <c r="F17" s="51">
        <v>4.45</v>
      </c>
      <c r="G17" s="51">
        <v>90.6</v>
      </c>
      <c r="H17" s="51">
        <v>38.1</v>
      </c>
      <c r="I17" s="51">
        <v>5.6</v>
      </c>
      <c r="J17" s="51">
        <v>0.24</v>
      </c>
      <c r="K17" s="51">
        <v>216.58</v>
      </c>
      <c r="L17" s="51">
        <v>30.32</v>
      </c>
      <c r="M17" s="51">
        <v>78.930000000000007</v>
      </c>
      <c r="N17" s="51">
        <v>300.39999999999998</v>
      </c>
      <c r="O17" s="51">
        <v>0</v>
      </c>
      <c r="P17" s="51">
        <v>0.36</v>
      </c>
      <c r="Q17" s="51">
        <v>4.6500000000000004</v>
      </c>
    </row>
    <row r="18" spans="1:17" customFormat="1">
      <c r="A18" s="50">
        <v>45573.416666666664</v>
      </c>
      <c r="B18" s="51">
        <v>9.3000000000000007</v>
      </c>
      <c r="C18" s="51">
        <v>4.0999999999999996</v>
      </c>
      <c r="D18" s="51">
        <v>14.02</v>
      </c>
      <c r="E18" s="51">
        <v>10.07</v>
      </c>
      <c r="F18" s="51">
        <v>4.7</v>
      </c>
      <c r="G18" s="51">
        <v>90.6</v>
      </c>
      <c r="H18" s="51">
        <v>38.1</v>
      </c>
      <c r="I18" s="51">
        <v>5.61</v>
      </c>
      <c r="J18" s="51">
        <v>0.3</v>
      </c>
      <c r="K18" s="51">
        <v>237.45</v>
      </c>
      <c r="L18" s="51">
        <v>31.85</v>
      </c>
      <c r="M18" s="51">
        <v>70.41</v>
      </c>
      <c r="N18" s="51">
        <v>199</v>
      </c>
      <c r="O18" s="51">
        <v>0</v>
      </c>
      <c r="P18" s="51">
        <v>0.36</v>
      </c>
      <c r="Q18" s="51">
        <v>4.6399999999999997</v>
      </c>
    </row>
    <row r="19" spans="1:17" customFormat="1">
      <c r="A19" s="50">
        <v>45573.458333333336</v>
      </c>
      <c r="B19" s="51">
        <v>9.39</v>
      </c>
      <c r="C19" s="51">
        <v>4.1100000000000003</v>
      </c>
      <c r="D19" s="51">
        <v>14.12</v>
      </c>
      <c r="E19" s="51">
        <v>11.97</v>
      </c>
      <c r="F19" s="51">
        <v>38.43</v>
      </c>
      <c r="G19" s="51">
        <v>87.32</v>
      </c>
      <c r="H19" s="51">
        <v>35.729999999999997</v>
      </c>
      <c r="I19" s="51">
        <v>5.64</v>
      </c>
      <c r="J19" s="51">
        <v>0.38</v>
      </c>
      <c r="K19" s="51">
        <v>182.57</v>
      </c>
      <c r="L19" s="51">
        <v>32.090000000000003</v>
      </c>
      <c r="M19" s="51">
        <v>69.5</v>
      </c>
      <c r="N19" s="51">
        <v>308.89999999999998</v>
      </c>
      <c r="O19" s="51">
        <v>0</v>
      </c>
      <c r="P19" s="51">
        <v>0.37</v>
      </c>
      <c r="Q19" s="51">
        <v>4.66</v>
      </c>
    </row>
    <row r="20" spans="1:17" customFormat="1">
      <c r="A20" s="50">
        <v>45573.5</v>
      </c>
      <c r="B20" s="51">
        <v>9.5</v>
      </c>
      <c r="C20" s="51">
        <v>4.0999999999999996</v>
      </c>
      <c r="D20" s="51">
        <v>14.19</v>
      </c>
      <c r="E20" s="51">
        <v>10.46</v>
      </c>
      <c r="F20" s="51">
        <v>32.43</v>
      </c>
      <c r="G20" s="51">
        <v>0</v>
      </c>
      <c r="H20" s="51">
        <v>0</v>
      </c>
      <c r="I20" s="51">
        <v>4.72</v>
      </c>
      <c r="J20" s="51">
        <v>0.52</v>
      </c>
      <c r="K20" s="51">
        <v>103.43</v>
      </c>
      <c r="L20" s="51">
        <v>32.450000000000003</v>
      </c>
      <c r="M20" s="51">
        <v>69.819999999999993</v>
      </c>
      <c r="N20" s="51">
        <v>546.70000000000005</v>
      </c>
      <c r="O20" s="51">
        <v>0</v>
      </c>
      <c r="P20" s="51">
        <v>0.3</v>
      </c>
      <c r="Q20" s="51">
        <v>4.68</v>
      </c>
    </row>
    <row r="21" spans="1:17" customFormat="1">
      <c r="A21" s="50">
        <v>45573.541666666664</v>
      </c>
      <c r="B21" s="51">
        <v>9.35</v>
      </c>
      <c r="C21" s="51">
        <v>4.09</v>
      </c>
      <c r="D21" s="51">
        <v>14.08</v>
      </c>
      <c r="E21" s="51">
        <v>10.99</v>
      </c>
      <c r="F21" s="51">
        <v>24.93</v>
      </c>
      <c r="G21" s="51">
        <v>80.14</v>
      </c>
      <c r="H21" s="51">
        <v>0</v>
      </c>
      <c r="I21" s="51">
        <v>4.1100000000000003</v>
      </c>
      <c r="J21" s="51">
        <v>0.69</v>
      </c>
      <c r="K21" s="51">
        <v>313.19</v>
      </c>
      <c r="L21" s="51">
        <v>31.5</v>
      </c>
      <c r="M21" s="51">
        <v>73.52</v>
      </c>
      <c r="N21" s="51">
        <v>221.6</v>
      </c>
      <c r="O21" s="51">
        <v>0</v>
      </c>
      <c r="P21" s="51">
        <v>0.36</v>
      </c>
      <c r="Q21" s="51">
        <v>4.67</v>
      </c>
    </row>
    <row r="22" spans="1:17" customFormat="1">
      <c r="A22" s="50">
        <v>45573.583333333336</v>
      </c>
      <c r="B22" s="51">
        <v>9.3699999999999992</v>
      </c>
      <c r="C22" s="51">
        <v>4.1100000000000003</v>
      </c>
      <c r="D22" s="51">
        <v>14.09</v>
      </c>
      <c r="E22" s="51">
        <v>9.25</v>
      </c>
      <c r="F22" s="51">
        <v>23.34</v>
      </c>
      <c r="G22" s="51">
        <v>94.91</v>
      </c>
      <c r="H22" s="51">
        <v>0</v>
      </c>
      <c r="I22" s="51">
        <v>4.21</v>
      </c>
      <c r="J22" s="51">
        <v>0.77</v>
      </c>
      <c r="K22" s="51">
        <v>325.45</v>
      </c>
      <c r="L22" s="51">
        <v>27.92</v>
      </c>
      <c r="M22" s="51">
        <v>82.46</v>
      </c>
      <c r="N22" s="51">
        <v>98.4</v>
      </c>
      <c r="O22" s="51">
        <v>1.6</v>
      </c>
      <c r="P22" s="51">
        <v>0.33</v>
      </c>
      <c r="Q22" s="51">
        <v>4.68</v>
      </c>
    </row>
    <row r="23" spans="1:17" customFormat="1">
      <c r="A23" s="50">
        <v>45573.625</v>
      </c>
      <c r="B23" s="51">
        <v>9.3000000000000007</v>
      </c>
      <c r="C23" s="51">
        <v>4.1100000000000003</v>
      </c>
      <c r="D23" s="51">
        <v>14.06</v>
      </c>
      <c r="E23" s="51">
        <v>8.44</v>
      </c>
      <c r="F23" s="51">
        <v>9.27</v>
      </c>
      <c r="G23" s="51">
        <v>58.1</v>
      </c>
      <c r="H23" s="51">
        <v>7.73</v>
      </c>
      <c r="I23" s="51">
        <v>4.59</v>
      </c>
      <c r="J23" s="51">
        <v>0.25</v>
      </c>
      <c r="K23" s="51">
        <v>202.73</v>
      </c>
      <c r="L23" s="51">
        <v>27.91</v>
      </c>
      <c r="M23" s="51">
        <v>91.77</v>
      </c>
      <c r="N23" s="51">
        <v>168.1</v>
      </c>
      <c r="O23" s="51">
        <v>0.2</v>
      </c>
      <c r="P23" s="51">
        <v>0.41</v>
      </c>
      <c r="Q23" s="51">
        <v>4.67</v>
      </c>
    </row>
    <row r="24" spans="1:17" customFormat="1">
      <c r="A24" s="50">
        <v>45573.666666666664</v>
      </c>
      <c r="B24" s="51">
        <v>9.34</v>
      </c>
      <c r="C24" s="51">
        <v>4.09</v>
      </c>
      <c r="D24" s="51">
        <v>14.06</v>
      </c>
      <c r="E24" s="51">
        <v>9.57</v>
      </c>
      <c r="F24" s="51">
        <v>6.78</v>
      </c>
      <c r="G24" s="51">
        <v>61.05</v>
      </c>
      <c r="H24" s="51">
        <v>13.36</v>
      </c>
      <c r="I24" s="51">
        <v>4.43</v>
      </c>
      <c r="J24" s="51">
        <v>0.21</v>
      </c>
      <c r="K24" s="51">
        <v>209.88</v>
      </c>
      <c r="L24" s="51">
        <v>27.85</v>
      </c>
      <c r="M24" s="51">
        <v>94.61</v>
      </c>
      <c r="N24" s="51">
        <v>44.5</v>
      </c>
      <c r="O24" s="51">
        <v>0</v>
      </c>
      <c r="P24" s="51">
        <v>0.44</v>
      </c>
      <c r="Q24" s="51">
        <v>4.67</v>
      </c>
    </row>
    <row r="25" spans="1:17" customFormat="1">
      <c r="A25" s="50">
        <v>45573.708333333336</v>
      </c>
      <c r="B25" s="51">
        <v>9.33</v>
      </c>
      <c r="C25" s="51">
        <v>4.09</v>
      </c>
      <c r="D25" s="51">
        <v>14.06</v>
      </c>
      <c r="E25" s="51">
        <v>9.39</v>
      </c>
      <c r="F25" s="51">
        <v>6.33</v>
      </c>
      <c r="G25" s="51">
        <v>61.43</v>
      </c>
      <c r="H25" s="51">
        <v>18.97</v>
      </c>
      <c r="I25" s="51">
        <v>4.8099999999999996</v>
      </c>
      <c r="J25" s="51">
        <v>0.2</v>
      </c>
      <c r="K25" s="51">
        <v>178.06</v>
      </c>
      <c r="L25" s="51">
        <v>28.44</v>
      </c>
      <c r="M25" s="51">
        <v>88.71</v>
      </c>
      <c r="N25" s="51">
        <v>33.200000000000003</v>
      </c>
      <c r="O25" s="51">
        <v>0</v>
      </c>
      <c r="P25" s="51">
        <v>0.54</v>
      </c>
      <c r="Q25" s="51">
        <v>4.6500000000000004</v>
      </c>
    </row>
    <row r="26" spans="1:17" customFormat="1">
      <c r="A26" s="50">
        <v>45573.75</v>
      </c>
      <c r="B26" s="51">
        <v>9.2899999999999991</v>
      </c>
      <c r="C26" s="51">
        <v>4.09</v>
      </c>
      <c r="D26" s="51">
        <v>14.02</v>
      </c>
      <c r="E26" s="51">
        <v>9.65</v>
      </c>
      <c r="F26" s="51">
        <v>5.0999999999999996</v>
      </c>
      <c r="G26" s="51">
        <v>69.19</v>
      </c>
      <c r="H26" s="51">
        <v>24.79</v>
      </c>
      <c r="I26" s="51">
        <v>5.81</v>
      </c>
      <c r="J26" s="51">
        <v>0.18</v>
      </c>
      <c r="K26" s="51">
        <v>189.45</v>
      </c>
      <c r="L26" s="51">
        <v>28.22</v>
      </c>
      <c r="M26" s="51">
        <v>94.66</v>
      </c>
      <c r="N26" s="51">
        <v>10.4</v>
      </c>
      <c r="O26" s="51">
        <v>0</v>
      </c>
      <c r="P26" s="51">
        <v>0.6</v>
      </c>
      <c r="Q26" s="51">
        <v>4.66</v>
      </c>
    </row>
    <row r="27" spans="1:17" customFormat="1">
      <c r="A27" s="50">
        <v>45573.791666666664</v>
      </c>
      <c r="B27" s="51">
        <v>9.25</v>
      </c>
      <c r="C27" s="51">
        <v>4.1399999999999997</v>
      </c>
      <c r="D27" s="51">
        <v>14.01</v>
      </c>
      <c r="E27" s="51">
        <v>8.4499999999999993</v>
      </c>
      <c r="F27" s="51">
        <v>4.05</v>
      </c>
      <c r="G27" s="51">
        <v>83.78</v>
      </c>
      <c r="H27" s="51">
        <v>25.71</v>
      </c>
      <c r="I27" s="51">
        <v>6.86</v>
      </c>
      <c r="J27" s="51">
        <v>0.13</v>
      </c>
      <c r="K27" s="51">
        <v>197.08</v>
      </c>
      <c r="L27" s="51">
        <v>27.46</v>
      </c>
      <c r="M27" s="51">
        <v>92.6</v>
      </c>
      <c r="N27" s="51">
        <v>2.2999999999999998</v>
      </c>
      <c r="O27" s="51">
        <v>0</v>
      </c>
      <c r="P27" s="51">
        <v>0.66</v>
      </c>
      <c r="Q27" s="51">
        <v>4.6399999999999997</v>
      </c>
    </row>
    <row r="28" spans="1:17" customFormat="1">
      <c r="A28" s="50">
        <v>45573.833333333336</v>
      </c>
      <c r="B28" s="51">
        <v>9.24</v>
      </c>
      <c r="C28" s="51">
        <v>4.1500000000000004</v>
      </c>
      <c r="D28" s="51">
        <v>14</v>
      </c>
      <c r="E28" s="51">
        <v>8.39</v>
      </c>
      <c r="F28" s="51">
        <v>3.96</v>
      </c>
      <c r="G28" s="51">
        <v>86.26</v>
      </c>
      <c r="H28" s="51">
        <v>25.71</v>
      </c>
      <c r="I28" s="51">
        <v>7.07</v>
      </c>
      <c r="J28" s="51">
        <v>0.21</v>
      </c>
      <c r="K28" s="51">
        <v>189.4</v>
      </c>
      <c r="L28" s="51">
        <v>26.87</v>
      </c>
      <c r="M28" s="51">
        <v>91.81</v>
      </c>
      <c r="N28" s="51">
        <v>2.4</v>
      </c>
      <c r="O28" s="51">
        <v>0</v>
      </c>
      <c r="P28" s="51">
        <v>0.67</v>
      </c>
      <c r="Q28" s="51">
        <v>4.6399999999999997</v>
      </c>
    </row>
    <row r="29" spans="1:17" customFormat="1">
      <c r="A29" s="50">
        <v>45573.875</v>
      </c>
      <c r="B29" s="51">
        <v>9.41</v>
      </c>
      <c r="C29" s="51">
        <v>4.13</v>
      </c>
      <c r="D29" s="51">
        <v>14.14</v>
      </c>
      <c r="E29" s="51">
        <v>8.77</v>
      </c>
      <c r="F29" s="51">
        <v>3.6</v>
      </c>
      <c r="G29" s="51">
        <v>86.31</v>
      </c>
      <c r="H29" s="51">
        <v>25.09</v>
      </c>
      <c r="I29" s="51">
        <v>7.05</v>
      </c>
      <c r="J29" s="51">
        <v>0.2</v>
      </c>
      <c r="K29" s="51">
        <v>201.25</v>
      </c>
      <c r="L29" s="51">
        <v>26.74</v>
      </c>
      <c r="M29" s="51">
        <v>93.36</v>
      </c>
      <c r="N29" s="51">
        <v>2.2000000000000002</v>
      </c>
      <c r="O29" s="51">
        <v>0</v>
      </c>
      <c r="P29" s="51">
        <v>0.64</v>
      </c>
      <c r="Q29" s="51">
        <v>4.67</v>
      </c>
    </row>
    <row r="30" spans="1:17" customFormat="1">
      <c r="A30" s="50">
        <v>45573.916666666664</v>
      </c>
      <c r="B30" s="51">
        <v>9.39</v>
      </c>
      <c r="C30" s="51">
        <v>4.08</v>
      </c>
      <c r="D30" s="51">
        <v>14.11</v>
      </c>
      <c r="E30" s="51">
        <v>10.41</v>
      </c>
      <c r="F30" s="51">
        <v>3.39</v>
      </c>
      <c r="G30" s="51">
        <v>78.739999999999995</v>
      </c>
      <c r="H30" s="51">
        <v>25.09</v>
      </c>
      <c r="I30" s="51">
        <v>6.76</v>
      </c>
      <c r="J30" s="51">
        <v>0.22</v>
      </c>
      <c r="K30" s="51">
        <v>223.88</v>
      </c>
      <c r="L30" s="51">
        <v>26.23</v>
      </c>
      <c r="M30" s="51">
        <v>95.02</v>
      </c>
      <c r="N30" s="51">
        <v>2.2000000000000002</v>
      </c>
      <c r="O30" s="51">
        <v>0</v>
      </c>
      <c r="P30" s="51">
        <v>0.63</v>
      </c>
      <c r="Q30" s="51">
        <v>4.67</v>
      </c>
    </row>
    <row r="31" spans="1:17" customFormat="1">
      <c r="A31" s="50">
        <v>45573.958333333336</v>
      </c>
      <c r="B31" s="51">
        <v>9.4</v>
      </c>
      <c r="C31" s="51">
        <v>4.09</v>
      </c>
      <c r="D31" s="51">
        <v>14.12</v>
      </c>
      <c r="E31" s="51">
        <v>11.08</v>
      </c>
      <c r="F31" s="51">
        <v>3.59</v>
      </c>
      <c r="G31" s="51">
        <v>79.760000000000005</v>
      </c>
      <c r="H31" s="51">
        <v>23.08</v>
      </c>
      <c r="I31" s="51">
        <v>6.82</v>
      </c>
      <c r="J31" s="51">
        <v>0.15</v>
      </c>
      <c r="K31" s="51">
        <v>223.11</v>
      </c>
      <c r="L31" s="51">
        <v>25.9</v>
      </c>
      <c r="M31" s="51">
        <v>95.94</v>
      </c>
      <c r="N31" s="51">
        <v>2.4</v>
      </c>
      <c r="O31" s="51">
        <v>0</v>
      </c>
      <c r="P31" s="51">
        <v>0.63</v>
      </c>
      <c r="Q31" s="51">
        <v>4.67</v>
      </c>
    </row>
    <row r="32" spans="1:17" customFormat="1">
      <c r="A32" s="50">
        <v>45574</v>
      </c>
      <c r="B32" s="51">
        <v>9.41</v>
      </c>
      <c r="C32" s="51">
        <v>4.09</v>
      </c>
      <c r="D32" s="51">
        <v>14.12</v>
      </c>
      <c r="E32" s="51">
        <v>11.17</v>
      </c>
      <c r="F32" s="51">
        <v>3.75</v>
      </c>
      <c r="G32" s="51">
        <v>69.569999999999993</v>
      </c>
      <c r="H32" s="51">
        <v>20.76</v>
      </c>
      <c r="I32" s="51">
        <v>6.59</v>
      </c>
      <c r="J32" s="51">
        <v>0.15</v>
      </c>
      <c r="K32" s="51">
        <v>221.19</v>
      </c>
      <c r="L32" s="51">
        <v>25.78</v>
      </c>
      <c r="M32" s="51">
        <v>95.65</v>
      </c>
      <c r="N32" s="51">
        <v>2.2000000000000002</v>
      </c>
      <c r="O32" s="51">
        <v>0</v>
      </c>
      <c r="P32" s="51">
        <v>0.62</v>
      </c>
      <c r="Q32" s="51">
        <v>4.68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9.24</v>
      </c>
      <c r="C34" s="41">
        <f t="shared" si="0"/>
        <v>4.07</v>
      </c>
      <c r="D34" s="41">
        <f t="shared" si="0"/>
        <v>14</v>
      </c>
      <c r="E34" s="41">
        <f t="shared" si="0"/>
        <v>8.39</v>
      </c>
      <c r="F34" s="41">
        <f t="shared" si="0"/>
        <v>3.39</v>
      </c>
      <c r="G34" s="41">
        <f t="shared" si="0"/>
        <v>0</v>
      </c>
      <c r="H34" s="41">
        <f t="shared" si="0"/>
        <v>0</v>
      </c>
      <c r="I34" s="41">
        <f t="shared" si="0"/>
        <v>4.1100000000000003</v>
      </c>
      <c r="J34" s="41">
        <f t="shared" si="0"/>
        <v>0.13</v>
      </c>
      <c r="K34" s="41">
        <f t="shared" si="0"/>
        <v>103.43</v>
      </c>
      <c r="L34" s="41">
        <f t="shared" si="0"/>
        <v>25.03</v>
      </c>
      <c r="M34" s="41">
        <f t="shared" si="0"/>
        <v>69.5</v>
      </c>
      <c r="N34" s="41">
        <f t="shared" si="0"/>
        <v>2.1</v>
      </c>
      <c r="O34" s="41">
        <f t="shared" si="0"/>
        <v>0</v>
      </c>
      <c r="P34" s="41">
        <f t="shared" si="0"/>
        <v>0.28999999999999998</v>
      </c>
      <c r="Q34" s="41">
        <f t="shared" si="0"/>
        <v>4.6399999999999997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9.5</v>
      </c>
      <c r="C35" s="33">
        <f t="shared" si="1"/>
        <v>4.1500000000000004</v>
      </c>
      <c r="D35" s="33">
        <f t="shared" si="1"/>
        <v>14.19</v>
      </c>
      <c r="E35" s="33">
        <f t="shared" si="1"/>
        <v>12</v>
      </c>
      <c r="F35" s="33">
        <f t="shared" si="1"/>
        <v>38.43</v>
      </c>
      <c r="G35" s="33">
        <f t="shared" si="1"/>
        <v>94.91</v>
      </c>
      <c r="H35" s="33">
        <f t="shared" si="1"/>
        <v>38.1</v>
      </c>
      <c r="I35" s="33">
        <f t="shared" si="1"/>
        <v>7.07</v>
      </c>
      <c r="J35" s="33">
        <f t="shared" si="1"/>
        <v>0.77</v>
      </c>
      <c r="K35" s="33">
        <f t="shared" si="1"/>
        <v>325.45</v>
      </c>
      <c r="L35" s="33">
        <f t="shared" si="1"/>
        <v>32.450000000000003</v>
      </c>
      <c r="M35" s="33">
        <f t="shared" si="1"/>
        <v>98.26</v>
      </c>
      <c r="N35" s="33">
        <f t="shared" si="1"/>
        <v>546.70000000000005</v>
      </c>
      <c r="O35" s="33">
        <f t="shared" si="1"/>
        <v>1.6</v>
      </c>
      <c r="P35" s="33">
        <f t="shared" si="1"/>
        <v>0.67</v>
      </c>
      <c r="Q35" s="33">
        <f t="shared" si="1"/>
        <v>4.68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9.3712500000000016</v>
      </c>
      <c r="C36" s="41">
        <f t="shared" si="2"/>
        <v>4.0987500000000008</v>
      </c>
      <c r="D36" s="41">
        <f t="shared" si="2"/>
        <v>14.095000000000001</v>
      </c>
      <c r="E36" s="41">
        <f t="shared" si="2"/>
        <v>10.373750000000001</v>
      </c>
      <c r="F36" s="41">
        <f t="shared" si="2"/>
        <v>8.8687500000000004</v>
      </c>
      <c r="G36" s="41">
        <f t="shared" si="2"/>
        <v>73.500833333333318</v>
      </c>
      <c r="H36" s="41">
        <f t="shared" si="2"/>
        <v>25.277500000000007</v>
      </c>
      <c r="I36" s="41">
        <f t="shared" si="2"/>
        <v>5.4770833333333337</v>
      </c>
      <c r="J36" s="41">
        <f t="shared" si="2"/>
        <v>0.26125000000000004</v>
      </c>
      <c r="K36" s="41">
        <f t="shared" si="2"/>
        <v>211.04333333333329</v>
      </c>
      <c r="L36" s="41">
        <f t="shared" si="2"/>
        <v>27.678333333333338</v>
      </c>
      <c r="M36" s="41">
        <f t="shared" si="2"/>
        <v>88.967916666666653</v>
      </c>
      <c r="N36" s="41">
        <f t="shared" si="2"/>
        <v>91.379166666666663</v>
      </c>
      <c r="O36" s="41">
        <f t="shared" si="2"/>
        <v>7.4999999999999997E-2</v>
      </c>
      <c r="P36" s="41">
        <f t="shared" si="2"/>
        <v>0.43625000000000003</v>
      </c>
      <c r="Q36" s="41">
        <f t="shared" si="2"/>
        <v>4.6654166666666681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6.3814438873155174E-2</v>
      </c>
      <c r="C37" s="41">
        <f t="shared" ref="C37:Q37" si="3">STDEV(C9:C32)</f>
        <v>1.9181626172165303E-2</v>
      </c>
      <c r="D37" s="41">
        <f t="shared" si="3"/>
        <v>5.0733746594138408E-2</v>
      </c>
      <c r="E37" s="41">
        <f t="shared" si="3"/>
        <v>1.1470560143253639</v>
      </c>
      <c r="F37" s="41">
        <f t="shared" si="3"/>
        <v>9.9709727895308813</v>
      </c>
      <c r="G37" s="41">
        <f t="shared" si="3"/>
        <v>19.361232424990263</v>
      </c>
      <c r="H37" s="41">
        <f t="shared" si="3"/>
        <v>12.730649168870727</v>
      </c>
      <c r="I37" s="41">
        <f t="shared" si="3"/>
        <v>0.92684823187376253</v>
      </c>
      <c r="J37" s="41">
        <f t="shared" si="3"/>
        <v>0.16811777703896072</v>
      </c>
      <c r="K37" s="41">
        <f t="shared" si="3"/>
        <v>42.462035387807084</v>
      </c>
      <c r="L37" s="41">
        <f t="shared" si="3"/>
        <v>2.3531896330885336</v>
      </c>
      <c r="M37" s="41">
        <f t="shared" si="3"/>
        <v>9.4189951366407669</v>
      </c>
      <c r="N37" s="41">
        <f t="shared" si="3"/>
        <v>139.61773582105215</v>
      </c>
      <c r="O37" s="41">
        <f t="shared" si="3"/>
        <v>0.32737427058869228</v>
      </c>
      <c r="P37" s="41">
        <f t="shared" si="3"/>
        <v>0.14138484329320269</v>
      </c>
      <c r="Q37" s="41">
        <f t="shared" si="3"/>
        <v>1.3506573815438249E-2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27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45574.041666666664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>
        <v>45574.041666666664</v>
      </c>
      <c r="B9" s="51">
        <v>9.25</v>
      </c>
      <c r="C9" s="51">
        <v>4.0999999999999996</v>
      </c>
      <c r="D9" s="51">
        <v>14.01</v>
      </c>
      <c r="E9" s="51">
        <v>11.51</v>
      </c>
      <c r="F9" s="51">
        <v>3.35</v>
      </c>
      <c r="G9" s="51">
        <v>62.82</v>
      </c>
      <c r="H9" s="51">
        <v>20.76</v>
      </c>
      <c r="I9" s="51">
        <v>6.65</v>
      </c>
      <c r="J9" s="51">
        <v>0.37</v>
      </c>
      <c r="K9" s="51">
        <v>175.21</v>
      </c>
      <c r="L9" s="51">
        <v>25.69</v>
      </c>
      <c r="M9" s="51">
        <v>95.78</v>
      </c>
      <c r="N9" s="51">
        <v>2.2000000000000002</v>
      </c>
      <c r="O9" s="51">
        <v>0</v>
      </c>
      <c r="P9" s="51">
        <v>0.66</v>
      </c>
      <c r="Q9" s="51">
        <v>4.67</v>
      </c>
    </row>
    <row r="10" spans="1:21" customFormat="1">
      <c r="A10" s="50">
        <v>45574.083333333336</v>
      </c>
      <c r="B10" s="51">
        <v>9.25</v>
      </c>
      <c r="C10" s="51">
        <v>4.1100000000000003</v>
      </c>
      <c r="D10" s="51">
        <v>14</v>
      </c>
      <c r="E10" s="51">
        <v>11.78</v>
      </c>
      <c r="F10" s="51">
        <v>3.91</v>
      </c>
      <c r="G10" s="51">
        <v>63.9</v>
      </c>
      <c r="H10" s="51">
        <v>19.23</v>
      </c>
      <c r="I10" s="51">
        <v>7.03</v>
      </c>
      <c r="J10" s="51">
        <v>0.15</v>
      </c>
      <c r="K10" s="51">
        <v>225.74</v>
      </c>
      <c r="L10" s="51">
        <v>25.47</v>
      </c>
      <c r="M10" s="51">
        <v>97.37</v>
      </c>
      <c r="N10" s="51">
        <v>2.2000000000000002</v>
      </c>
      <c r="O10" s="51">
        <v>0</v>
      </c>
      <c r="P10" s="51">
        <v>0.69</v>
      </c>
      <c r="Q10" s="51">
        <v>4.66</v>
      </c>
    </row>
    <row r="11" spans="1:21" customFormat="1">
      <c r="A11" s="50">
        <v>45574.125</v>
      </c>
      <c r="B11" s="51">
        <v>9.26</v>
      </c>
      <c r="C11" s="51">
        <v>4.1100000000000003</v>
      </c>
      <c r="D11" s="51">
        <v>14.01</v>
      </c>
      <c r="E11" s="51">
        <v>11.61</v>
      </c>
      <c r="F11" s="51">
        <v>3.89</v>
      </c>
      <c r="G11" s="51">
        <v>64.39</v>
      </c>
      <c r="H11" s="51">
        <v>21.59</v>
      </c>
      <c r="I11" s="51">
        <v>7.21</v>
      </c>
      <c r="J11" s="51">
        <v>0.15</v>
      </c>
      <c r="K11" s="51">
        <v>250.49</v>
      </c>
      <c r="L11" s="51">
        <v>24.97</v>
      </c>
      <c r="M11" s="51">
        <v>98.71</v>
      </c>
      <c r="N11" s="51">
        <v>2.1</v>
      </c>
      <c r="O11" s="51">
        <v>0</v>
      </c>
      <c r="P11" s="51">
        <v>0.69</v>
      </c>
      <c r="Q11" s="51">
        <v>4.66</v>
      </c>
    </row>
    <row r="12" spans="1:21" customFormat="1">
      <c r="A12" s="50">
        <v>45574.166666666664</v>
      </c>
      <c r="B12" s="51">
        <v>9.23</v>
      </c>
      <c r="C12" s="51">
        <v>4.1500000000000004</v>
      </c>
      <c r="D12" s="51">
        <v>14</v>
      </c>
      <c r="E12" s="51">
        <v>11.69</v>
      </c>
      <c r="F12" s="51">
        <v>3.69</v>
      </c>
      <c r="G12" s="51">
        <v>59.16</v>
      </c>
      <c r="H12" s="51">
        <v>21.59</v>
      </c>
      <c r="I12" s="51">
        <v>7.31</v>
      </c>
      <c r="J12" s="51">
        <v>0.11</v>
      </c>
      <c r="K12" s="51">
        <v>232.8</v>
      </c>
      <c r="L12" s="51">
        <v>24.75</v>
      </c>
      <c r="M12" s="51">
        <v>99.77</v>
      </c>
      <c r="N12" s="51">
        <v>2.1</v>
      </c>
      <c r="O12" s="51">
        <v>0</v>
      </c>
      <c r="P12" s="51">
        <v>0.68</v>
      </c>
      <c r="Q12" s="51">
        <v>4.67</v>
      </c>
    </row>
    <row r="13" spans="1:21" customFormat="1">
      <c r="A13" s="50">
        <v>45574.208333333336</v>
      </c>
      <c r="B13" s="51">
        <v>9.1999999999999993</v>
      </c>
      <c r="C13" s="51">
        <v>4.26</v>
      </c>
      <c r="D13" s="51">
        <v>14</v>
      </c>
      <c r="E13" s="51">
        <v>11.68</v>
      </c>
      <c r="F13" s="51">
        <v>3.63</v>
      </c>
      <c r="G13" s="51">
        <v>52.27</v>
      </c>
      <c r="H13" s="51">
        <v>16.559999999999999</v>
      </c>
      <c r="I13" s="51">
        <v>7.25</v>
      </c>
      <c r="J13" s="51">
        <v>0.09</v>
      </c>
      <c r="K13" s="51">
        <v>235.96</v>
      </c>
      <c r="L13" s="51">
        <v>24.61</v>
      </c>
      <c r="M13" s="51">
        <v>100.67</v>
      </c>
      <c r="N13" s="51">
        <v>2.1</v>
      </c>
      <c r="O13" s="51">
        <v>0</v>
      </c>
      <c r="P13" s="51">
        <v>0.67</v>
      </c>
      <c r="Q13" s="51">
        <v>4.67</v>
      </c>
    </row>
    <row r="14" spans="1:21" customFormat="1">
      <c r="A14" s="50">
        <v>45574.25</v>
      </c>
      <c r="B14" s="51">
        <v>9.2799999999999994</v>
      </c>
      <c r="C14" s="51">
        <v>4.16</v>
      </c>
      <c r="D14" s="51">
        <v>14.03</v>
      </c>
      <c r="E14" s="51">
        <v>11.47</v>
      </c>
      <c r="F14" s="51">
        <v>3.53</v>
      </c>
      <c r="G14" s="51">
        <v>47.06</v>
      </c>
      <c r="H14" s="51">
        <v>13.66</v>
      </c>
      <c r="I14" s="51">
        <v>6.96</v>
      </c>
      <c r="J14" s="51">
        <v>0.11</v>
      </c>
      <c r="K14" s="51">
        <v>217.61</v>
      </c>
      <c r="L14" s="51">
        <v>24.47</v>
      </c>
      <c r="M14" s="51">
        <v>101.53</v>
      </c>
      <c r="N14" s="51">
        <v>7</v>
      </c>
      <c r="O14" s="51">
        <v>0</v>
      </c>
      <c r="P14" s="51">
        <v>0.65</v>
      </c>
      <c r="Q14" s="51">
        <v>4.67</v>
      </c>
    </row>
    <row r="15" spans="1:21" customFormat="1">
      <c r="A15" s="50">
        <v>45574.291666666664</v>
      </c>
      <c r="B15" s="51">
        <v>9.25</v>
      </c>
      <c r="C15" s="51">
        <v>4.0999999999999996</v>
      </c>
      <c r="D15" s="51">
        <v>14.01</v>
      </c>
      <c r="E15" s="51">
        <v>12.52</v>
      </c>
      <c r="F15" s="51">
        <v>3.35</v>
      </c>
      <c r="G15" s="51">
        <v>44.96</v>
      </c>
      <c r="H15" s="51">
        <v>13.05</v>
      </c>
      <c r="I15" s="51">
        <v>6.83</v>
      </c>
      <c r="J15" s="51">
        <v>0.1</v>
      </c>
      <c r="K15" s="51">
        <v>313</v>
      </c>
      <c r="L15" s="51">
        <v>25.59</v>
      </c>
      <c r="M15" s="51">
        <v>102.12</v>
      </c>
      <c r="N15" s="51">
        <v>44.9</v>
      </c>
      <c r="O15" s="51">
        <v>0</v>
      </c>
      <c r="P15" s="51">
        <v>0.6</v>
      </c>
      <c r="Q15" s="51">
        <v>4.66</v>
      </c>
    </row>
    <row r="16" spans="1:21" customFormat="1">
      <c r="A16" s="50">
        <v>45574.333333333336</v>
      </c>
      <c r="B16" s="51">
        <v>9.2799999999999994</v>
      </c>
      <c r="C16" s="51">
        <v>4.08</v>
      </c>
      <c r="D16" s="51">
        <v>14.01</v>
      </c>
      <c r="E16" s="51">
        <v>12.7</v>
      </c>
      <c r="F16" s="51">
        <v>4.5199999999999996</v>
      </c>
      <c r="G16" s="51">
        <v>48.1</v>
      </c>
      <c r="H16" s="51">
        <v>17.91</v>
      </c>
      <c r="I16" s="51">
        <v>6.62</v>
      </c>
      <c r="J16" s="51">
        <v>0.52</v>
      </c>
      <c r="K16" s="51">
        <v>57.78</v>
      </c>
      <c r="L16" s="51">
        <v>27.38</v>
      </c>
      <c r="M16" s="51">
        <v>97.36</v>
      </c>
      <c r="N16" s="51">
        <v>196.3</v>
      </c>
      <c r="O16" s="51">
        <v>0</v>
      </c>
      <c r="P16" s="51">
        <v>0.61</v>
      </c>
      <c r="Q16" s="51">
        <v>4.68</v>
      </c>
    </row>
    <row r="17" spans="1:17" customFormat="1">
      <c r="A17" s="50">
        <v>45574.375</v>
      </c>
      <c r="B17" s="51">
        <v>9.2799999999999994</v>
      </c>
      <c r="C17" s="51">
        <v>4.1100000000000003</v>
      </c>
      <c r="D17" s="51">
        <v>14.02</v>
      </c>
      <c r="E17" s="51">
        <v>13.51</v>
      </c>
      <c r="F17" s="51">
        <v>5.01</v>
      </c>
      <c r="G17" s="51">
        <v>57.42</v>
      </c>
      <c r="H17" s="51">
        <v>20.12</v>
      </c>
      <c r="I17" s="51">
        <v>6.68</v>
      </c>
      <c r="J17" s="51">
        <v>0.51</v>
      </c>
      <c r="K17" s="51">
        <v>144.62</v>
      </c>
      <c r="L17" s="51">
        <v>29.7</v>
      </c>
      <c r="M17" s="51">
        <v>83.1</v>
      </c>
      <c r="N17" s="51">
        <v>288.3</v>
      </c>
      <c r="O17" s="51">
        <v>0</v>
      </c>
      <c r="P17" s="51">
        <v>0.61</v>
      </c>
      <c r="Q17" s="51">
        <v>4.67</v>
      </c>
    </row>
    <row r="18" spans="1:17" customFormat="1">
      <c r="A18" s="50">
        <v>45574.416666666664</v>
      </c>
      <c r="B18" s="51">
        <v>9.25</v>
      </c>
      <c r="C18" s="51">
        <v>4.12</v>
      </c>
      <c r="D18" s="51">
        <v>14</v>
      </c>
      <c r="E18" s="51">
        <v>13.27</v>
      </c>
      <c r="F18" s="51">
        <v>7.1</v>
      </c>
      <c r="G18" s="51">
        <v>60.73</v>
      </c>
      <c r="H18" s="51">
        <v>24.45</v>
      </c>
      <c r="I18" s="51">
        <v>6.72</v>
      </c>
      <c r="J18" s="51">
        <v>0.17</v>
      </c>
      <c r="K18" s="51">
        <v>295.67</v>
      </c>
      <c r="L18" s="51">
        <v>31.31</v>
      </c>
      <c r="M18" s="51">
        <v>72.510000000000005</v>
      </c>
      <c r="N18" s="51">
        <v>202.1</v>
      </c>
      <c r="O18" s="51">
        <v>0</v>
      </c>
      <c r="P18" s="51">
        <v>0.59</v>
      </c>
      <c r="Q18" s="51">
        <v>4.67</v>
      </c>
    </row>
    <row r="19" spans="1:17" customFormat="1">
      <c r="A19" s="50">
        <v>45574.458333333336</v>
      </c>
      <c r="B19" s="51">
        <v>9.2899999999999991</v>
      </c>
      <c r="C19" s="51">
        <v>4.18</v>
      </c>
      <c r="D19" s="51">
        <v>14.03</v>
      </c>
      <c r="E19" s="51">
        <v>11.78</v>
      </c>
      <c r="F19" s="51">
        <v>5.45</v>
      </c>
      <c r="G19" s="51">
        <v>63.64</v>
      </c>
      <c r="H19" s="51">
        <v>25.51</v>
      </c>
      <c r="I19" s="51">
        <v>6.58</v>
      </c>
      <c r="J19" s="51">
        <v>0.24</v>
      </c>
      <c r="K19" s="51">
        <v>292.58999999999997</v>
      </c>
      <c r="L19" s="51">
        <v>31.77</v>
      </c>
      <c r="M19" s="51">
        <v>70.09</v>
      </c>
      <c r="N19" s="51">
        <v>440.4</v>
      </c>
      <c r="O19" s="51">
        <v>0</v>
      </c>
      <c r="P19" s="51">
        <v>0.63</v>
      </c>
      <c r="Q19" s="51">
        <v>4.66</v>
      </c>
    </row>
    <row r="20" spans="1:17" customFormat="1">
      <c r="A20" s="50">
        <v>45574.5</v>
      </c>
      <c r="B20" s="51">
        <v>9.2899999999999991</v>
      </c>
      <c r="C20" s="51">
        <v>4.16</v>
      </c>
      <c r="D20" s="51">
        <v>14.03</v>
      </c>
      <c r="E20" s="51">
        <v>11.33</v>
      </c>
      <c r="F20" s="51">
        <v>5.2</v>
      </c>
      <c r="G20" s="51">
        <v>64.11</v>
      </c>
      <c r="H20" s="51">
        <v>25.51</v>
      </c>
      <c r="I20" s="51">
        <v>6.86</v>
      </c>
      <c r="J20" s="51">
        <v>0.27</v>
      </c>
      <c r="K20" s="51">
        <v>245.3</v>
      </c>
      <c r="L20" s="51">
        <v>32.619999999999997</v>
      </c>
      <c r="M20" s="51">
        <v>71.010000000000005</v>
      </c>
      <c r="N20" s="51">
        <v>574.70000000000005</v>
      </c>
      <c r="O20" s="51">
        <v>0</v>
      </c>
      <c r="P20" s="51">
        <v>0.65</v>
      </c>
      <c r="Q20" s="51">
        <v>4.6399999999999997</v>
      </c>
    </row>
    <row r="21" spans="1:17" customFormat="1">
      <c r="A21" s="50">
        <v>45574.541666666664</v>
      </c>
      <c r="B21" s="51">
        <v>9.23</v>
      </c>
      <c r="C21" s="51">
        <v>4.18</v>
      </c>
      <c r="D21" s="51">
        <v>14</v>
      </c>
      <c r="E21" s="51">
        <v>11.06</v>
      </c>
      <c r="F21" s="51">
        <v>4.47</v>
      </c>
      <c r="G21" s="51">
        <v>61.73</v>
      </c>
      <c r="H21" s="51">
        <v>24.32</v>
      </c>
      <c r="I21" s="51">
        <v>6.91</v>
      </c>
      <c r="J21" s="51">
        <v>0.24</v>
      </c>
      <c r="K21" s="51">
        <v>195.64</v>
      </c>
      <c r="L21" s="51">
        <v>32.869999999999997</v>
      </c>
      <c r="M21" s="51">
        <v>70.97</v>
      </c>
      <c r="N21" s="51">
        <v>521.6</v>
      </c>
      <c r="O21" s="51">
        <v>0</v>
      </c>
      <c r="P21" s="51">
        <v>0.65</v>
      </c>
      <c r="Q21" s="51">
        <v>4.6399999999999997</v>
      </c>
    </row>
    <row r="22" spans="1:17" customFormat="1">
      <c r="A22" s="50">
        <v>45574.583333333336</v>
      </c>
      <c r="B22" s="51">
        <v>9.2200000000000006</v>
      </c>
      <c r="C22" s="51">
        <v>4.2300000000000004</v>
      </c>
      <c r="D22" s="51">
        <v>14</v>
      </c>
      <c r="E22" s="51">
        <v>12.06</v>
      </c>
      <c r="F22" s="51">
        <v>5.43</v>
      </c>
      <c r="G22" s="51">
        <v>49.42</v>
      </c>
      <c r="H22" s="51">
        <v>19.760000000000002</v>
      </c>
      <c r="I22" s="51">
        <v>6.9</v>
      </c>
      <c r="J22" s="51">
        <v>0.95</v>
      </c>
      <c r="K22" s="51">
        <v>195.9</v>
      </c>
      <c r="L22" s="51">
        <v>33.43</v>
      </c>
      <c r="M22" s="51">
        <v>71.02</v>
      </c>
      <c r="N22" s="51">
        <v>422.2</v>
      </c>
      <c r="O22" s="51">
        <v>0</v>
      </c>
      <c r="P22" s="51">
        <v>0.65</v>
      </c>
      <c r="Q22" s="51">
        <v>4.63</v>
      </c>
    </row>
    <row r="23" spans="1:17" customFormat="1">
      <c r="A23" s="50">
        <v>45574.625</v>
      </c>
      <c r="B23" s="51">
        <v>9.19</v>
      </c>
      <c r="C23" s="51">
        <v>4.21</v>
      </c>
      <c r="D23" s="51">
        <v>14</v>
      </c>
      <c r="E23" s="51">
        <v>11.01</v>
      </c>
      <c r="F23" s="51">
        <v>6.86</v>
      </c>
      <c r="G23" s="51">
        <v>50.14</v>
      </c>
      <c r="H23" s="51">
        <v>20.29</v>
      </c>
      <c r="I23" s="51">
        <v>7.01</v>
      </c>
      <c r="J23" s="51">
        <v>0.61</v>
      </c>
      <c r="K23" s="51">
        <v>317</v>
      </c>
      <c r="L23" s="51">
        <v>30.97</v>
      </c>
      <c r="M23" s="51">
        <v>67.290000000000006</v>
      </c>
      <c r="N23" s="51">
        <v>273</v>
      </c>
      <c r="O23" s="51">
        <v>0</v>
      </c>
      <c r="P23" s="51">
        <v>0.54</v>
      </c>
      <c r="Q23" s="51">
        <v>4.6399999999999997</v>
      </c>
    </row>
    <row r="24" spans="1:17" customFormat="1">
      <c r="A24" s="50">
        <v>45574.666666666664</v>
      </c>
      <c r="B24" s="51">
        <v>9.34</v>
      </c>
      <c r="C24" s="51">
        <v>4.09</v>
      </c>
      <c r="D24" s="51">
        <v>14.07</v>
      </c>
      <c r="E24" s="51">
        <v>11.99</v>
      </c>
      <c r="F24" s="51">
        <v>25.34</v>
      </c>
      <c r="G24" s="51">
        <v>51.42</v>
      </c>
      <c r="H24" s="51">
        <v>21.61</v>
      </c>
      <c r="I24" s="51">
        <v>6.96</v>
      </c>
      <c r="J24" s="51">
        <v>0.48</v>
      </c>
      <c r="K24" s="51">
        <v>53.84</v>
      </c>
      <c r="L24" s="51">
        <v>31.51</v>
      </c>
      <c r="M24" s="51">
        <v>63.32</v>
      </c>
      <c r="N24" s="51">
        <v>107.3</v>
      </c>
      <c r="O24" s="51">
        <v>0</v>
      </c>
      <c r="P24" s="51">
        <v>0.46</v>
      </c>
      <c r="Q24" s="51">
        <v>4.68</v>
      </c>
    </row>
    <row r="25" spans="1:17" customFormat="1">
      <c r="A25" s="50">
        <v>45574.708333333336</v>
      </c>
      <c r="B25" s="51">
        <v>9.25</v>
      </c>
      <c r="C25" s="51">
        <v>4.2</v>
      </c>
      <c r="D25" s="51">
        <v>14.01</v>
      </c>
      <c r="E25" s="51">
        <v>12.43</v>
      </c>
      <c r="F25" s="51">
        <v>22.61</v>
      </c>
      <c r="G25" s="51">
        <v>67.709999999999994</v>
      </c>
      <c r="H25" s="51">
        <v>26.2</v>
      </c>
      <c r="I25" s="51">
        <v>6.45</v>
      </c>
      <c r="J25" s="51">
        <v>0.89</v>
      </c>
      <c r="K25" s="51">
        <v>61.96</v>
      </c>
      <c r="L25" s="51">
        <v>31.31</v>
      </c>
      <c r="M25" s="51">
        <v>64.5</v>
      </c>
      <c r="N25" s="51">
        <v>42.4</v>
      </c>
      <c r="O25" s="51">
        <v>0</v>
      </c>
      <c r="P25" s="51">
        <v>0.44</v>
      </c>
      <c r="Q25" s="51">
        <v>4.68</v>
      </c>
    </row>
    <row r="26" spans="1:17" customFormat="1">
      <c r="A26" s="50">
        <v>45574.75</v>
      </c>
      <c r="B26" s="51">
        <v>9.2100000000000009</v>
      </c>
      <c r="C26" s="51">
        <v>4.2</v>
      </c>
      <c r="D26" s="51">
        <v>14</v>
      </c>
      <c r="E26" s="51">
        <v>12.46</v>
      </c>
      <c r="F26" s="51">
        <v>9.65</v>
      </c>
      <c r="G26" s="51">
        <v>70.430000000000007</v>
      </c>
      <c r="H26" s="51">
        <v>26.2</v>
      </c>
      <c r="I26" s="51">
        <v>7.71</v>
      </c>
      <c r="J26" s="51">
        <v>0.66</v>
      </c>
      <c r="K26" s="51">
        <v>192.77</v>
      </c>
      <c r="L26" s="51">
        <v>29.85</v>
      </c>
      <c r="M26" s="51">
        <v>70.959999999999994</v>
      </c>
      <c r="N26" s="51">
        <v>8.9</v>
      </c>
      <c r="O26" s="51">
        <v>0</v>
      </c>
      <c r="P26" s="51">
        <v>0.5</v>
      </c>
      <c r="Q26" s="51">
        <v>4.66</v>
      </c>
    </row>
    <row r="27" spans="1:17" customFormat="1">
      <c r="A27" s="50">
        <v>45574.791666666664</v>
      </c>
      <c r="B27" s="51">
        <v>9.18</v>
      </c>
      <c r="C27" s="51">
        <v>4.2</v>
      </c>
      <c r="D27" s="51">
        <v>14</v>
      </c>
      <c r="E27" s="51">
        <v>12.55</v>
      </c>
      <c r="F27" s="51">
        <v>7.59</v>
      </c>
      <c r="G27" s="51">
        <v>78.2</v>
      </c>
      <c r="H27" s="51">
        <v>25.9</v>
      </c>
      <c r="I27" s="51">
        <v>6.86</v>
      </c>
      <c r="J27" s="51">
        <v>0.2</v>
      </c>
      <c r="K27" s="51">
        <v>214.31</v>
      </c>
      <c r="L27" s="51">
        <v>28.48</v>
      </c>
      <c r="M27" s="51">
        <v>85.16</v>
      </c>
      <c r="N27" s="51">
        <v>2.6</v>
      </c>
      <c r="O27" s="51">
        <v>0</v>
      </c>
      <c r="P27" s="51">
        <v>0.47</v>
      </c>
      <c r="Q27" s="51">
        <v>4.67</v>
      </c>
    </row>
    <row r="28" spans="1:17" customFormat="1">
      <c r="A28" s="50">
        <v>45574.833333333336</v>
      </c>
      <c r="B28" s="51">
        <v>9.2100000000000009</v>
      </c>
      <c r="C28" s="51">
        <v>4.18</v>
      </c>
      <c r="D28" s="51">
        <v>14</v>
      </c>
      <c r="E28" s="51">
        <v>12.58</v>
      </c>
      <c r="F28" s="51">
        <v>6.24</v>
      </c>
      <c r="G28" s="51">
        <v>81.83</v>
      </c>
      <c r="H28" s="51">
        <v>25.9</v>
      </c>
      <c r="I28" s="51">
        <v>6.66</v>
      </c>
      <c r="J28" s="51">
        <v>0.19</v>
      </c>
      <c r="K28" s="51">
        <v>193.85</v>
      </c>
      <c r="L28" s="51">
        <v>27.42</v>
      </c>
      <c r="M28" s="51">
        <v>85.83</v>
      </c>
      <c r="N28" s="51">
        <v>2.1</v>
      </c>
      <c r="O28" s="51">
        <v>0</v>
      </c>
      <c r="P28" s="51">
        <v>0.54</v>
      </c>
      <c r="Q28" s="51">
        <v>4.67</v>
      </c>
    </row>
    <row r="29" spans="1:17" customFormat="1">
      <c r="A29" s="50">
        <v>45574.875</v>
      </c>
      <c r="B29" s="51">
        <v>9.2100000000000009</v>
      </c>
      <c r="C29" s="51">
        <v>4.1900000000000004</v>
      </c>
      <c r="D29" s="51">
        <v>14</v>
      </c>
      <c r="E29" s="51">
        <v>12.18</v>
      </c>
      <c r="F29" s="51">
        <v>5.92</v>
      </c>
      <c r="G29" s="51">
        <v>89.09</v>
      </c>
      <c r="H29" s="51">
        <v>31.21</v>
      </c>
      <c r="I29" s="51">
        <v>7.13</v>
      </c>
      <c r="J29" s="51">
        <v>0.17</v>
      </c>
      <c r="K29" s="51">
        <v>211.03</v>
      </c>
      <c r="L29" s="51">
        <v>27.22</v>
      </c>
      <c r="M29" s="51">
        <v>90.82</v>
      </c>
      <c r="N29" s="51">
        <v>2.1</v>
      </c>
      <c r="O29" s="51">
        <v>0</v>
      </c>
      <c r="P29" s="51">
        <v>0.54</v>
      </c>
      <c r="Q29" s="51">
        <v>4.6500000000000004</v>
      </c>
    </row>
    <row r="30" spans="1:17" customFormat="1">
      <c r="A30" s="50">
        <v>45574.916666666664</v>
      </c>
      <c r="B30" s="51">
        <v>9.24</v>
      </c>
      <c r="C30" s="51">
        <v>4.21</v>
      </c>
      <c r="D30" s="51">
        <v>14</v>
      </c>
      <c r="E30" s="51">
        <v>11.38</v>
      </c>
      <c r="F30" s="51">
        <v>4.46</v>
      </c>
      <c r="G30" s="51">
        <v>90.25</v>
      </c>
      <c r="H30" s="51">
        <v>31.21</v>
      </c>
      <c r="I30" s="51">
        <v>7.2</v>
      </c>
      <c r="J30" s="51">
        <v>0.18</v>
      </c>
      <c r="K30" s="51">
        <v>230.53</v>
      </c>
      <c r="L30" s="51">
        <v>26.72</v>
      </c>
      <c r="M30" s="51">
        <v>93.81</v>
      </c>
      <c r="N30" s="51">
        <v>2.1</v>
      </c>
      <c r="O30" s="51">
        <v>0</v>
      </c>
      <c r="P30" s="51">
        <v>0.53</v>
      </c>
      <c r="Q30" s="51">
        <v>4.68</v>
      </c>
    </row>
    <row r="31" spans="1:17" customFormat="1">
      <c r="A31" s="50">
        <v>45574.958333333336</v>
      </c>
      <c r="B31" s="51">
        <v>9.16</v>
      </c>
      <c r="C31" s="51">
        <v>4.2300000000000004</v>
      </c>
      <c r="D31" s="51">
        <v>14</v>
      </c>
      <c r="E31" s="51">
        <v>10.77</v>
      </c>
      <c r="F31" s="51">
        <v>3.79</v>
      </c>
      <c r="G31" s="51">
        <v>73.209999999999994</v>
      </c>
      <c r="H31" s="51">
        <v>27.02</v>
      </c>
      <c r="I31" s="51">
        <v>7.2</v>
      </c>
      <c r="J31" s="51">
        <v>0.18</v>
      </c>
      <c r="K31" s="51">
        <v>215.86</v>
      </c>
      <c r="L31" s="51">
        <v>26.66</v>
      </c>
      <c r="M31" s="51">
        <v>93.92</v>
      </c>
      <c r="N31" s="51">
        <v>2.1</v>
      </c>
      <c r="O31" s="51">
        <v>0</v>
      </c>
      <c r="P31" s="51">
        <v>0.54</v>
      </c>
      <c r="Q31" s="51">
        <v>4.66</v>
      </c>
    </row>
    <row r="32" spans="1:17" customFormat="1">
      <c r="A32" s="50">
        <v>45575</v>
      </c>
      <c r="B32" s="51">
        <v>9.16</v>
      </c>
      <c r="C32" s="51">
        <v>4.2699999999999996</v>
      </c>
      <c r="D32" s="51">
        <v>14</v>
      </c>
      <c r="E32" s="51">
        <v>11</v>
      </c>
      <c r="F32" s="51">
        <v>3.68</v>
      </c>
      <c r="G32" s="51">
        <v>73.23</v>
      </c>
      <c r="H32" s="51">
        <v>26.62</v>
      </c>
      <c r="I32" s="51">
        <v>7.16</v>
      </c>
      <c r="J32" s="51">
        <v>0.17</v>
      </c>
      <c r="K32" s="51">
        <v>203.63</v>
      </c>
      <c r="L32" s="51">
        <v>26.33</v>
      </c>
      <c r="M32" s="51">
        <v>96.04</v>
      </c>
      <c r="N32" s="51">
        <v>2.1</v>
      </c>
      <c r="O32" s="51">
        <v>0</v>
      </c>
      <c r="P32" s="51">
        <v>0.54</v>
      </c>
      <c r="Q32" s="51">
        <v>4.6399999999999997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9.16</v>
      </c>
      <c r="C34" s="41">
        <f t="shared" si="0"/>
        <v>4.08</v>
      </c>
      <c r="D34" s="41">
        <f t="shared" si="0"/>
        <v>14</v>
      </c>
      <c r="E34" s="41">
        <f t="shared" si="0"/>
        <v>10.77</v>
      </c>
      <c r="F34" s="41">
        <f t="shared" si="0"/>
        <v>3.35</v>
      </c>
      <c r="G34" s="41">
        <f t="shared" si="0"/>
        <v>44.96</v>
      </c>
      <c r="H34" s="41">
        <f t="shared" si="0"/>
        <v>13.05</v>
      </c>
      <c r="I34" s="41">
        <f t="shared" si="0"/>
        <v>6.45</v>
      </c>
      <c r="J34" s="41">
        <f t="shared" si="0"/>
        <v>0.09</v>
      </c>
      <c r="K34" s="41">
        <f t="shared" si="0"/>
        <v>53.84</v>
      </c>
      <c r="L34" s="41">
        <f t="shared" si="0"/>
        <v>24.47</v>
      </c>
      <c r="M34" s="41">
        <f t="shared" si="0"/>
        <v>63.32</v>
      </c>
      <c r="N34" s="41">
        <f t="shared" si="0"/>
        <v>2.1</v>
      </c>
      <c r="O34" s="41">
        <f t="shared" si="0"/>
        <v>0</v>
      </c>
      <c r="P34" s="41">
        <f t="shared" si="0"/>
        <v>0.44</v>
      </c>
      <c r="Q34" s="41">
        <f t="shared" si="0"/>
        <v>4.63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9.34</v>
      </c>
      <c r="C35" s="33">
        <f t="shared" si="1"/>
        <v>4.2699999999999996</v>
      </c>
      <c r="D35" s="33">
        <f t="shared" si="1"/>
        <v>14.07</v>
      </c>
      <c r="E35" s="33">
        <f t="shared" si="1"/>
        <v>13.51</v>
      </c>
      <c r="F35" s="33">
        <f t="shared" si="1"/>
        <v>25.34</v>
      </c>
      <c r="G35" s="33">
        <f t="shared" si="1"/>
        <v>90.25</v>
      </c>
      <c r="H35" s="33">
        <f t="shared" si="1"/>
        <v>31.21</v>
      </c>
      <c r="I35" s="33">
        <f t="shared" si="1"/>
        <v>7.71</v>
      </c>
      <c r="J35" s="33">
        <f t="shared" si="1"/>
        <v>0.95</v>
      </c>
      <c r="K35" s="33">
        <f t="shared" si="1"/>
        <v>317</v>
      </c>
      <c r="L35" s="33">
        <f t="shared" si="1"/>
        <v>33.43</v>
      </c>
      <c r="M35" s="33">
        <f t="shared" si="1"/>
        <v>102.12</v>
      </c>
      <c r="N35" s="33">
        <f t="shared" si="1"/>
        <v>574.70000000000005</v>
      </c>
      <c r="O35" s="33">
        <f t="shared" si="1"/>
        <v>0</v>
      </c>
      <c r="P35" s="33">
        <f t="shared" si="1"/>
        <v>0.69</v>
      </c>
      <c r="Q35" s="33">
        <f t="shared" si="1"/>
        <v>4.68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9.2379166666666688</v>
      </c>
      <c r="C36" s="41">
        <f t="shared" si="2"/>
        <v>4.1679166666666658</v>
      </c>
      <c r="D36" s="41">
        <f t="shared" si="2"/>
        <v>14.009583333333333</v>
      </c>
      <c r="E36" s="41">
        <f t="shared" si="2"/>
        <v>11.930000000000001</v>
      </c>
      <c r="F36" s="41">
        <f t="shared" si="2"/>
        <v>6.611250000000001</v>
      </c>
      <c r="G36" s="41">
        <f t="shared" si="2"/>
        <v>63.550833333333337</v>
      </c>
      <c r="H36" s="41">
        <f t="shared" si="2"/>
        <v>22.757499999999997</v>
      </c>
      <c r="I36" s="41">
        <f t="shared" si="2"/>
        <v>6.9520833333333316</v>
      </c>
      <c r="J36" s="41">
        <f t="shared" si="2"/>
        <v>0.32124999999999998</v>
      </c>
      <c r="K36" s="41">
        <f t="shared" si="2"/>
        <v>207.21208333333334</v>
      </c>
      <c r="L36" s="41">
        <f t="shared" si="2"/>
        <v>28.379166666666663</v>
      </c>
      <c r="M36" s="41">
        <f t="shared" si="2"/>
        <v>85.152500000000003</v>
      </c>
      <c r="N36" s="41">
        <f t="shared" si="2"/>
        <v>131.37083333333331</v>
      </c>
      <c r="O36" s="41">
        <f t="shared" si="2"/>
        <v>0</v>
      </c>
      <c r="P36" s="41">
        <f t="shared" si="2"/>
        <v>0.58875</v>
      </c>
      <c r="Q36" s="41">
        <f t="shared" si="2"/>
        <v>4.6616666666666671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4.3934651736281985E-2</v>
      </c>
      <c r="C37" s="41">
        <f t="shared" ref="C37:Q37" si="3">STDEV(C9:C32)</f>
        <v>5.5166086515623658E-2</v>
      </c>
      <c r="D37" s="41">
        <f t="shared" si="3"/>
        <v>1.6544844636864037E-2</v>
      </c>
      <c r="E37" s="41">
        <f t="shared" si="3"/>
        <v>0.715833354422868</v>
      </c>
      <c r="F37" s="41">
        <f t="shared" si="3"/>
        <v>5.5878784279981373</v>
      </c>
      <c r="G37" s="41">
        <f t="shared" si="3"/>
        <v>12.761163881997129</v>
      </c>
      <c r="H37" s="41">
        <f t="shared" si="3"/>
        <v>4.760806700001873</v>
      </c>
      <c r="I37" s="41">
        <f t="shared" si="3"/>
        <v>0.28793083660261776</v>
      </c>
      <c r="J37" s="41">
        <f t="shared" si="3"/>
        <v>0.24902090884798866</v>
      </c>
      <c r="K37" s="41">
        <f t="shared" si="3"/>
        <v>71.278151538710432</v>
      </c>
      <c r="L37" s="41">
        <f t="shared" si="3"/>
        <v>2.9759790740654548</v>
      </c>
      <c r="M37" s="41">
        <f t="shared" si="3"/>
        <v>13.711383163666182</v>
      </c>
      <c r="N37" s="41">
        <f t="shared" si="3"/>
        <v>187.99670783233702</v>
      </c>
      <c r="O37" s="41">
        <f t="shared" si="3"/>
        <v>0</v>
      </c>
      <c r="P37" s="41">
        <f t="shared" si="3"/>
        <v>7.640353394968169E-2</v>
      </c>
      <c r="Q37" s="41">
        <f t="shared" si="3"/>
        <v>1.4645571126562064E-2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27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45575.041666666664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>
        <v>45575.041666666664</v>
      </c>
      <c r="B9" s="51">
        <v>9.4</v>
      </c>
      <c r="C9" s="51">
        <v>4.1100000000000003</v>
      </c>
      <c r="D9" s="51">
        <v>14.14</v>
      </c>
      <c r="E9" s="51">
        <v>10.58</v>
      </c>
      <c r="F9" s="51">
        <v>3.7</v>
      </c>
      <c r="G9" s="51">
        <v>60.32</v>
      </c>
      <c r="H9" s="51">
        <v>26.15</v>
      </c>
      <c r="I9" s="51">
        <v>6.82</v>
      </c>
      <c r="J9" s="51">
        <v>0.13</v>
      </c>
      <c r="K9" s="51">
        <v>211.17</v>
      </c>
      <c r="L9" s="51">
        <v>25.9</v>
      </c>
      <c r="M9" s="51">
        <v>97.71</v>
      </c>
      <c r="N9" s="51">
        <v>2.1</v>
      </c>
      <c r="O9" s="51">
        <v>0</v>
      </c>
      <c r="P9" s="51">
        <v>0.52</v>
      </c>
      <c r="Q9" s="51">
        <v>4.6900000000000004</v>
      </c>
    </row>
    <row r="10" spans="1:21" customFormat="1">
      <c r="A10" s="50">
        <v>45575.083333333336</v>
      </c>
      <c r="B10" s="51">
        <v>9.3699999999999992</v>
      </c>
      <c r="C10" s="51">
        <v>4.09</v>
      </c>
      <c r="D10" s="51">
        <v>14.1</v>
      </c>
      <c r="E10" s="51">
        <v>11.33</v>
      </c>
      <c r="F10" s="51">
        <v>3.53</v>
      </c>
      <c r="G10" s="51">
        <v>53.12</v>
      </c>
      <c r="H10" s="51">
        <v>19.61</v>
      </c>
      <c r="I10" s="51">
        <v>6.59</v>
      </c>
      <c r="J10" s="51">
        <v>0.16</v>
      </c>
      <c r="K10" s="51">
        <v>235.57</v>
      </c>
      <c r="L10" s="51">
        <v>25.69</v>
      </c>
      <c r="M10" s="51">
        <v>97.92</v>
      </c>
      <c r="N10" s="51">
        <v>2.1</v>
      </c>
      <c r="O10" s="51">
        <v>0</v>
      </c>
      <c r="P10" s="51">
        <v>0.45</v>
      </c>
      <c r="Q10" s="51">
        <v>4.6900000000000004</v>
      </c>
    </row>
    <row r="11" spans="1:21" customFormat="1">
      <c r="A11" s="50">
        <v>45575.125</v>
      </c>
      <c r="B11" s="51">
        <v>9.32</v>
      </c>
      <c r="C11" s="51">
        <v>4.07</v>
      </c>
      <c r="D11" s="51">
        <v>14.05</v>
      </c>
      <c r="E11" s="51">
        <v>11.86</v>
      </c>
      <c r="F11" s="51">
        <v>3.74</v>
      </c>
      <c r="G11" s="51">
        <v>48.92</v>
      </c>
      <c r="H11" s="51">
        <v>18.89</v>
      </c>
      <c r="I11" s="51">
        <v>6.47</v>
      </c>
      <c r="J11" s="51">
        <v>0.15</v>
      </c>
      <c r="K11" s="51">
        <v>224.1</v>
      </c>
      <c r="L11" s="51">
        <v>25.53</v>
      </c>
      <c r="M11" s="51">
        <v>97.91</v>
      </c>
      <c r="N11" s="51">
        <v>2.1</v>
      </c>
      <c r="O11" s="51">
        <v>0</v>
      </c>
      <c r="P11" s="51">
        <v>0.45</v>
      </c>
      <c r="Q11" s="51">
        <v>4.67</v>
      </c>
    </row>
    <row r="12" spans="1:21" customFormat="1">
      <c r="A12" s="50">
        <v>45575.166666666664</v>
      </c>
      <c r="B12" s="51">
        <v>9.34</v>
      </c>
      <c r="C12" s="51">
        <v>4.08</v>
      </c>
      <c r="D12" s="51">
        <v>14.06</v>
      </c>
      <c r="E12" s="51">
        <v>12.26</v>
      </c>
      <c r="F12" s="51">
        <v>3.57</v>
      </c>
      <c r="G12" s="51">
        <v>48.18</v>
      </c>
      <c r="H12" s="51">
        <v>17.96</v>
      </c>
      <c r="I12" s="51">
        <v>6.28</v>
      </c>
      <c r="J12" s="51">
        <v>0.28999999999999998</v>
      </c>
      <c r="K12" s="51">
        <v>185.1</v>
      </c>
      <c r="L12" s="51">
        <v>25.45</v>
      </c>
      <c r="M12" s="51">
        <v>96.45</v>
      </c>
      <c r="N12" s="51">
        <v>2.1</v>
      </c>
      <c r="O12" s="51">
        <v>0</v>
      </c>
      <c r="P12" s="51">
        <v>0.45</v>
      </c>
      <c r="Q12" s="51">
        <v>4.67</v>
      </c>
    </row>
    <row r="13" spans="1:21" customFormat="1">
      <c r="A13" s="50">
        <v>45575.208333333336</v>
      </c>
      <c r="B13" s="51">
        <v>9.36</v>
      </c>
      <c r="C13" s="51">
        <v>4.09</v>
      </c>
      <c r="D13" s="51">
        <v>14.08</v>
      </c>
      <c r="E13" s="51">
        <v>12.38</v>
      </c>
      <c r="F13" s="51">
        <v>3.53</v>
      </c>
      <c r="G13" s="51">
        <v>61.15</v>
      </c>
      <c r="H13" s="51">
        <v>22.59</v>
      </c>
      <c r="I13" s="51">
        <v>6.54</v>
      </c>
      <c r="J13" s="51">
        <v>0.61</v>
      </c>
      <c r="K13" s="51">
        <v>68.97</v>
      </c>
      <c r="L13" s="51">
        <v>25.18</v>
      </c>
      <c r="M13" s="51">
        <v>96.75</v>
      </c>
      <c r="N13" s="51">
        <v>2.1</v>
      </c>
      <c r="O13" s="51">
        <v>0</v>
      </c>
      <c r="P13" s="51">
        <v>0.48</v>
      </c>
      <c r="Q13" s="51">
        <v>4.67</v>
      </c>
    </row>
    <row r="14" spans="1:21" customFormat="1">
      <c r="A14" s="50">
        <v>45575.25</v>
      </c>
      <c r="B14" s="51">
        <v>9.36</v>
      </c>
      <c r="C14" s="51">
        <v>4.1100000000000003</v>
      </c>
      <c r="D14" s="51">
        <v>14.09</v>
      </c>
      <c r="E14" s="51">
        <v>13.58</v>
      </c>
      <c r="F14" s="51">
        <v>3.91</v>
      </c>
      <c r="G14" s="51">
        <v>71.45</v>
      </c>
      <c r="H14" s="51">
        <v>23.72</v>
      </c>
      <c r="I14" s="51">
        <v>6.94</v>
      </c>
      <c r="J14" s="51">
        <v>0.46</v>
      </c>
      <c r="K14" s="51">
        <v>78.44</v>
      </c>
      <c r="L14" s="51">
        <v>24.92</v>
      </c>
      <c r="M14" s="51">
        <v>97.34</v>
      </c>
      <c r="N14" s="51">
        <v>6.8</v>
      </c>
      <c r="O14" s="51">
        <v>0</v>
      </c>
      <c r="P14" s="51">
        <v>0.51</v>
      </c>
      <c r="Q14" s="51">
        <v>4.66</v>
      </c>
    </row>
    <row r="15" spans="1:21" customFormat="1">
      <c r="A15" s="50">
        <v>45575.291666666664</v>
      </c>
      <c r="B15" s="51">
        <v>9.32</v>
      </c>
      <c r="C15" s="51">
        <v>4.0999999999999996</v>
      </c>
      <c r="D15" s="51">
        <v>14.05</v>
      </c>
      <c r="E15" s="51">
        <v>12.31</v>
      </c>
      <c r="F15" s="51">
        <v>3.87</v>
      </c>
      <c r="G15" s="51">
        <v>77.03</v>
      </c>
      <c r="H15" s="51">
        <v>23.72</v>
      </c>
      <c r="I15" s="51">
        <v>6.93</v>
      </c>
      <c r="J15" s="51">
        <v>0.31</v>
      </c>
      <c r="K15" s="51">
        <v>193.64</v>
      </c>
      <c r="L15" s="51">
        <v>25.72</v>
      </c>
      <c r="M15" s="51">
        <v>96.07</v>
      </c>
      <c r="N15" s="51">
        <v>42</v>
      </c>
      <c r="O15" s="51">
        <v>0</v>
      </c>
      <c r="P15" s="51">
        <v>0.5</v>
      </c>
      <c r="Q15" s="51">
        <v>4.66</v>
      </c>
    </row>
    <row r="16" spans="1:21" customFormat="1">
      <c r="A16" s="50">
        <v>45575.333333333336</v>
      </c>
      <c r="B16" s="51">
        <v>9.34</v>
      </c>
      <c r="C16" s="51">
        <v>4.07</v>
      </c>
      <c r="D16" s="51">
        <v>14.06</v>
      </c>
      <c r="E16" s="51">
        <v>11.55</v>
      </c>
      <c r="F16" s="51">
        <v>3.84</v>
      </c>
      <c r="G16" s="51">
        <v>96.61</v>
      </c>
      <c r="H16" s="51">
        <v>28.71</v>
      </c>
      <c r="I16" s="51">
        <v>7.07</v>
      </c>
      <c r="J16" s="51">
        <v>0.2</v>
      </c>
      <c r="K16" s="51">
        <v>245.19</v>
      </c>
      <c r="L16" s="51">
        <v>28.01</v>
      </c>
      <c r="M16" s="51">
        <v>89.43</v>
      </c>
      <c r="N16" s="51">
        <v>213.1</v>
      </c>
      <c r="O16" s="51">
        <v>0</v>
      </c>
      <c r="P16" s="51">
        <v>0.55000000000000004</v>
      </c>
      <c r="Q16" s="51">
        <v>4.66</v>
      </c>
    </row>
    <row r="17" spans="1:17" customFormat="1">
      <c r="A17" s="50">
        <v>45575.375</v>
      </c>
      <c r="B17" s="51">
        <v>9.33</v>
      </c>
      <c r="C17" s="51">
        <v>4.08</v>
      </c>
      <c r="D17" s="51">
        <v>14.06</v>
      </c>
      <c r="E17" s="51">
        <v>11.56</v>
      </c>
      <c r="F17" s="51">
        <v>4.13</v>
      </c>
      <c r="G17" s="51">
        <v>100.09</v>
      </c>
      <c r="H17" s="51">
        <v>30.42</v>
      </c>
      <c r="I17" s="51">
        <v>7.24</v>
      </c>
      <c r="J17" s="51">
        <v>0.28000000000000003</v>
      </c>
      <c r="K17" s="51">
        <v>136.08000000000001</v>
      </c>
      <c r="L17" s="51">
        <v>30.25</v>
      </c>
      <c r="M17" s="51">
        <v>74.3</v>
      </c>
      <c r="N17" s="51">
        <v>303.39999999999998</v>
      </c>
      <c r="O17" s="51">
        <v>0</v>
      </c>
      <c r="P17" s="51">
        <v>0.56000000000000005</v>
      </c>
      <c r="Q17" s="51">
        <v>4.6500000000000004</v>
      </c>
    </row>
    <row r="18" spans="1:17" customFormat="1">
      <c r="A18" s="50">
        <v>45575.416666666664</v>
      </c>
      <c r="B18" s="51">
        <v>9.39</v>
      </c>
      <c r="C18" s="51">
        <v>4.0999999999999996</v>
      </c>
      <c r="D18" s="51">
        <v>14.11</v>
      </c>
      <c r="E18" s="51">
        <v>11.55</v>
      </c>
      <c r="F18" s="51">
        <v>5.63</v>
      </c>
      <c r="G18" s="51">
        <v>97.26</v>
      </c>
      <c r="H18" s="51">
        <v>30.42</v>
      </c>
      <c r="I18" s="51">
        <v>7.22</v>
      </c>
      <c r="J18" s="51">
        <v>0.26</v>
      </c>
      <c r="K18" s="51">
        <v>246.59</v>
      </c>
      <c r="L18" s="51">
        <v>32.79</v>
      </c>
      <c r="M18" s="51">
        <v>73.099999999999994</v>
      </c>
      <c r="N18" s="51">
        <v>209.5</v>
      </c>
      <c r="O18" s="51">
        <v>0</v>
      </c>
      <c r="P18" s="51">
        <v>0.56000000000000005</v>
      </c>
      <c r="Q18" s="51">
        <v>4.6399999999999997</v>
      </c>
    </row>
    <row r="19" spans="1:17" customFormat="1">
      <c r="A19" s="50">
        <v>45575.458333333336</v>
      </c>
      <c r="B19" s="51">
        <v>9.42</v>
      </c>
      <c r="C19" s="51">
        <v>4.08</v>
      </c>
      <c r="D19" s="51">
        <v>14.13</v>
      </c>
      <c r="E19" s="51">
        <v>11.61</v>
      </c>
      <c r="F19" s="51">
        <v>8.17</v>
      </c>
      <c r="G19" s="51">
        <v>84.28</v>
      </c>
      <c r="H19" s="51">
        <v>28.34</v>
      </c>
      <c r="I19" s="51">
        <v>7.1</v>
      </c>
      <c r="J19" s="51">
        <v>0.34</v>
      </c>
      <c r="K19" s="51">
        <v>173.96</v>
      </c>
      <c r="L19" s="51">
        <v>33.79</v>
      </c>
      <c r="M19" s="51">
        <v>60.5</v>
      </c>
      <c r="N19" s="51">
        <v>657.3</v>
      </c>
      <c r="O19" s="51">
        <v>0</v>
      </c>
      <c r="P19" s="51">
        <v>0.48</v>
      </c>
      <c r="Q19" s="51">
        <v>4.6900000000000004</v>
      </c>
    </row>
    <row r="20" spans="1:17" customFormat="1">
      <c r="A20" s="50">
        <v>45575.5</v>
      </c>
      <c r="B20" s="51">
        <v>9.23</v>
      </c>
      <c r="C20" s="51">
        <v>4.22</v>
      </c>
      <c r="D20" s="51">
        <v>14</v>
      </c>
      <c r="E20" s="51">
        <v>12.52</v>
      </c>
      <c r="F20" s="51">
        <v>9.52</v>
      </c>
      <c r="G20" s="51">
        <v>58.16</v>
      </c>
      <c r="H20" s="51">
        <v>22.96</v>
      </c>
      <c r="I20" s="51">
        <v>6.34</v>
      </c>
      <c r="J20" s="51">
        <v>0.22</v>
      </c>
      <c r="K20" s="51">
        <v>339.24</v>
      </c>
      <c r="L20" s="51">
        <v>32.86</v>
      </c>
      <c r="M20" s="51">
        <v>66.569999999999993</v>
      </c>
      <c r="N20" s="51">
        <v>636</v>
      </c>
      <c r="O20" s="51">
        <v>0</v>
      </c>
      <c r="P20" s="51">
        <v>0.42</v>
      </c>
      <c r="Q20" s="51">
        <v>4.68</v>
      </c>
    </row>
    <row r="21" spans="1:17" customFormat="1">
      <c r="A21" s="50">
        <v>45575.541666666664</v>
      </c>
      <c r="B21" s="51">
        <v>9.15</v>
      </c>
      <c r="C21" s="51">
        <v>4.26</v>
      </c>
      <c r="D21" s="51">
        <v>14</v>
      </c>
      <c r="E21" s="51">
        <v>12.56</v>
      </c>
      <c r="F21" s="51">
        <v>12.07</v>
      </c>
      <c r="G21" s="51">
        <v>56.8</v>
      </c>
      <c r="H21" s="51">
        <v>22.96</v>
      </c>
      <c r="I21" s="51">
        <v>5.85</v>
      </c>
      <c r="J21" s="51">
        <v>0.32</v>
      </c>
      <c r="K21" s="51">
        <v>352.54</v>
      </c>
      <c r="L21" s="51">
        <v>32.39</v>
      </c>
      <c r="M21" s="51">
        <v>66.05</v>
      </c>
      <c r="N21" s="51">
        <v>561.4</v>
      </c>
      <c r="O21" s="51">
        <v>0</v>
      </c>
      <c r="P21" s="51">
        <v>0.4</v>
      </c>
      <c r="Q21" s="51">
        <v>4.67</v>
      </c>
    </row>
    <row r="22" spans="1:17" customFormat="1">
      <c r="A22" s="50">
        <v>45575.583333333336</v>
      </c>
      <c r="B22" s="51">
        <v>9.14</v>
      </c>
      <c r="C22" s="51">
        <v>4.2699999999999996</v>
      </c>
      <c r="D22" s="51">
        <v>14</v>
      </c>
      <c r="E22" s="51">
        <v>14.2</v>
      </c>
      <c r="F22" s="51">
        <v>8.31</v>
      </c>
      <c r="G22" s="51">
        <v>51.82</v>
      </c>
      <c r="H22" s="51">
        <v>20.190000000000001</v>
      </c>
      <c r="I22" s="51">
        <v>5.56</v>
      </c>
      <c r="J22" s="51">
        <v>0.7</v>
      </c>
      <c r="K22" s="51">
        <v>318.23</v>
      </c>
      <c r="L22" s="51">
        <v>31.87</v>
      </c>
      <c r="M22" s="51">
        <v>70.05</v>
      </c>
      <c r="N22" s="51">
        <v>223.8</v>
      </c>
      <c r="O22" s="51">
        <v>0</v>
      </c>
      <c r="P22" s="51">
        <v>0.41</v>
      </c>
      <c r="Q22" s="51">
        <v>4.68</v>
      </c>
    </row>
    <row r="23" spans="1:17" customFormat="1">
      <c r="A23" s="50">
        <v>45575.625</v>
      </c>
      <c r="B23" s="51">
        <v>9.16</v>
      </c>
      <c r="C23" s="51">
        <v>4.2699999999999996</v>
      </c>
      <c r="D23" s="51">
        <v>14</v>
      </c>
      <c r="E23" s="51">
        <v>14.5</v>
      </c>
      <c r="F23" s="51">
        <v>15.88</v>
      </c>
      <c r="G23" s="51">
        <v>52.93</v>
      </c>
      <c r="H23" s="51">
        <v>20.23</v>
      </c>
      <c r="I23" s="51">
        <v>5.54</v>
      </c>
      <c r="J23" s="51">
        <v>0.34</v>
      </c>
      <c r="K23" s="51">
        <v>163.16999999999999</v>
      </c>
      <c r="L23" s="51">
        <v>32.03</v>
      </c>
      <c r="M23" s="51">
        <v>66.42</v>
      </c>
      <c r="N23" s="51">
        <v>259.39999999999998</v>
      </c>
      <c r="O23" s="51">
        <v>0</v>
      </c>
      <c r="P23" s="51">
        <v>0.49</v>
      </c>
      <c r="Q23" s="51">
        <v>4.67</v>
      </c>
    </row>
    <row r="24" spans="1:17" customFormat="1">
      <c r="A24" s="50">
        <v>45575.666666666664</v>
      </c>
      <c r="B24" s="51">
        <v>9.32</v>
      </c>
      <c r="C24" s="51">
        <v>4.0999999999999996</v>
      </c>
      <c r="D24" s="51">
        <v>14.05</v>
      </c>
      <c r="E24" s="51">
        <v>13.76</v>
      </c>
      <c r="F24" s="51">
        <v>11.42</v>
      </c>
      <c r="G24" s="51">
        <v>53.23</v>
      </c>
      <c r="H24" s="51">
        <v>20.23</v>
      </c>
      <c r="I24" s="51">
        <v>5.38</v>
      </c>
      <c r="J24" s="51">
        <v>0.27</v>
      </c>
      <c r="K24" s="51">
        <v>183.68</v>
      </c>
      <c r="L24" s="51">
        <v>31.43</v>
      </c>
      <c r="M24" s="51">
        <v>67.8</v>
      </c>
      <c r="N24" s="51">
        <v>84.8</v>
      </c>
      <c r="O24" s="51">
        <v>0</v>
      </c>
      <c r="P24" s="51">
        <v>0.51</v>
      </c>
      <c r="Q24" s="51">
        <v>4.6500000000000004</v>
      </c>
    </row>
    <row r="25" spans="1:17" customFormat="1">
      <c r="A25" s="50">
        <v>45575.708333333336</v>
      </c>
      <c r="B25" s="51">
        <v>9.4</v>
      </c>
      <c r="C25" s="51">
        <v>4.09</v>
      </c>
      <c r="D25" s="51">
        <v>14.12</v>
      </c>
      <c r="E25" s="51">
        <v>12.97</v>
      </c>
      <c r="F25" s="51">
        <v>9.1199999999999992</v>
      </c>
      <c r="G25" s="51">
        <v>48.83</v>
      </c>
      <c r="H25" s="51">
        <v>17.239999999999998</v>
      </c>
      <c r="I25" s="51">
        <v>5.41</v>
      </c>
      <c r="J25" s="51">
        <v>0.21</v>
      </c>
      <c r="K25" s="51">
        <v>189.07</v>
      </c>
      <c r="L25" s="51">
        <v>31.1</v>
      </c>
      <c r="M25" s="51">
        <v>75.23</v>
      </c>
      <c r="N25" s="51">
        <v>35.700000000000003</v>
      </c>
      <c r="O25" s="51">
        <v>0</v>
      </c>
      <c r="P25" s="51">
        <v>0.51</v>
      </c>
      <c r="Q25" s="51">
        <v>4.66</v>
      </c>
    </row>
    <row r="26" spans="1:17" customFormat="1">
      <c r="A26" s="50">
        <v>45575.75</v>
      </c>
      <c r="B26" s="51">
        <v>9.39</v>
      </c>
      <c r="C26" s="51">
        <v>4.07</v>
      </c>
      <c r="D26" s="51">
        <v>14.1</v>
      </c>
      <c r="E26" s="51">
        <v>12.82</v>
      </c>
      <c r="F26" s="51">
        <v>5.32</v>
      </c>
      <c r="G26" s="51">
        <v>37.6</v>
      </c>
      <c r="H26" s="51">
        <v>16.54</v>
      </c>
      <c r="I26" s="51">
        <v>5.53</v>
      </c>
      <c r="J26" s="51">
        <v>0.2</v>
      </c>
      <c r="K26" s="51">
        <v>191.64</v>
      </c>
      <c r="L26" s="51">
        <v>29.3</v>
      </c>
      <c r="M26" s="51">
        <v>86.34</v>
      </c>
      <c r="N26" s="51">
        <v>7.2</v>
      </c>
      <c r="O26" s="51">
        <v>0</v>
      </c>
      <c r="P26" s="51">
        <v>0.51</v>
      </c>
      <c r="Q26" s="51">
        <v>4.6399999999999997</v>
      </c>
    </row>
    <row r="27" spans="1:17" customFormat="1">
      <c r="A27" s="50">
        <v>45575.791666666664</v>
      </c>
      <c r="B27" s="51">
        <v>9.3000000000000007</v>
      </c>
      <c r="C27" s="51">
        <v>4.0999999999999996</v>
      </c>
      <c r="D27" s="51">
        <v>14.04</v>
      </c>
      <c r="E27" s="51">
        <v>12.37</v>
      </c>
      <c r="F27" s="51">
        <v>4.34</v>
      </c>
      <c r="G27" s="51">
        <v>54.01</v>
      </c>
      <c r="H27" s="51">
        <v>20.36</v>
      </c>
      <c r="I27" s="51">
        <v>5.94</v>
      </c>
      <c r="J27" s="51">
        <v>0.19</v>
      </c>
      <c r="K27" s="51">
        <v>185.97</v>
      </c>
      <c r="L27" s="51">
        <v>28.43</v>
      </c>
      <c r="M27" s="51">
        <v>90.57</v>
      </c>
      <c r="N27" s="51">
        <v>2.2000000000000002</v>
      </c>
      <c r="O27" s="51">
        <v>0</v>
      </c>
      <c r="P27" s="51">
        <v>0.55000000000000004</v>
      </c>
      <c r="Q27" s="51">
        <v>4.6500000000000004</v>
      </c>
    </row>
    <row r="28" spans="1:17" customFormat="1">
      <c r="A28" s="50">
        <v>45575.833333333336</v>
      </c>
      <c r="B28" s="51">
        <v>9.43</v>
      </c>
      <c r="C28" s="51">
        <v>4.1100000000000003</v>
      </c>
      <c r="D28" s="51">
        <v>14.16</v>
      </c>
      <c r="E28" s="51">
        <v>12.02</v>
      </c>
      <c r="F28" s="51">
        <v>3.56</v>
      </c>
      <c r="G28" s="51">
        <v>69.83</v>
      </c>
      <c r="H28" s="51">
        <v>24.61</v>
      </c>
      <c r="I28" s="51">
        <v>6.92</v>
      </c>
      <c r="J28" s="51">
        <v>0.21</v>
      </c>
      <c r="K28" s="51">
        <v>208.3</v>
      </c>
      <c r="L28" s="51">
        <v>27.95</v>
      </c>
      <c r="M28" s="51">
        <v>89.61</v>
      </c>
      <c r="N28" s="51">
        <v>2.1</v>
      </c>
      <c r="O28" s="51">
        <v>0</v>
      </c>
      <c r="P28" s="51">
        <v>0.62</v>
      </c>
      <c r="Q28" s="51">
        <v>4.67</v>
      </c>
    </row>
    <row r="29" spans="1:17" customFormat="1">
      <c r="A29" s="50">
        <v>45575.875</v>
      </c>
      <c r="B29" s="51">
        <v>9.43</v>
      </c>
      <c r="C29" s="51">
        <v>4.09</v>
      </c>
      <c r="D29" s="51">
        <v>14.14</v>
      </c>
      <c r="E29" s="51">
        <v>11.88</v>
      </c>
      <c r="F29" s="51">
        <v>3.32</v>
      </c>
      <c r="G29" s="51">
        <v>77.34</v>
      </c>
      <c r="H29" s="51">
        <v>27.79</v>
      </c>
      <c r="I29" s="51">
        <v>7.24</v>
      </c>
      <c r="J29" s="51">
        <v>0.19</v>
      </c>
      <c r="K29" s="51">
        <v>211.08</v>
      </c>
      <c r="L29" s="51">
        <v>27.82</v>
      </c>
      <c r="M29" s="51">
        <v>94.36</v>
      </c>
      <c r="N29" s="51">
        <v>2.1</v>
      </c>
      <c r="O29" s="51">
        <v>0</v>
      </c>
      <c r="P29" s="51">
        <v>0.66</v>
      </c>
      <c r="Q29" s="51">
        <v>4.67</v>
      </c>
    </row>
    <row r="30" spans="1:17" customFormat="1">
      <c r="A30" s="50">
        <v>45575.916666666664</v>
      </c>
      <c r="B30" s="51">
        <v>9.3000000000000007</v>
      </c>
      <c r="C30" s="51">
        <v>4.0999999999999996</v>
      </c>
      <c r="D30" s="51">
        <v>14.04</v>
      </c>
      <c r="E30" s="51">
        <v>13.01</v>
      </c>
      <c r="F30" s="51">
        <v>3.62</v>
      </c>
      <c r="G30" s="51">
        <v>92.24</v>
      </c>
      <c r="H30" s="51">
        <v>30.84</v>
      </c>
      <c r="I30" s="51">
        <v>7.97</v>
      </c>
      <c r="J30" s="51">
        <v>0.19</v>
      </c>
      <c r="K30" s="51">
        <v>213.87</v>
      </c>
      <c r="L30" s="51">
        <v>26.97</v>
      </c>
      <c r="M30" s="51">
        <v>94.8</v>
      </c>
      <c r="N30" s="51">
        <v>2.1</v>
      </c>
      <c r="O30" s="51">
        <v>0</v>
      </c>
      <c r="P30" s="51">
        <v>0.75</v>
      </c>
      <c r="Q30" s="51">
        <v>4.67</v>
      </c>
    </row>
    <row r="31" spans="1:17" customFormat="1">
      <c r="A31" s="50">
        <v>45575.958333333336</v>
      </c>
      <c r="B31" s="51">
        <v>9.32</v>
      </c>
      <c r="C31" s="51">
        <v>4.09</v>
      </c>
      <c r="D31" s="51">
        <v>14.05</v>
      </c>
      <c r="E31" s="51">
        <v>12.98</v>
      </c>
      <c r="F31" s="51">
        <v>3.5</v>
      </c>
      <c r="G31" s="51">
        <v>109.19</v>
      </c>
      <c r="H31" s="51">
        <v>35.21</v>
      </c>
      <c r="I31" s="51">
        <v>9.19</v>
      </c>
      <c r="J31" s="51">
        <v>0.24</v>
      </c>
      <c r="K31" s="51">
        <v>186.99</v>
      </c>
      <c r="L31" s="51">
        <v>27.1</v>
      </c>
      <c r="M31" s="51">
        <v>91.76</v>
      </c>
      <c r="N31" s="51">
        <v>2.1</v>
      </c>
      <c r="O31" s="51">
        <v>0</v>
      </c>
      <c r="P31" s="51">
        <v>0.77</v>
      </c>
      <c r="Q31" s="51">
        <v>4.67</v>
      </c>
    </row>
    <row r="32" spans="1:17" customFormat="1">
      <c r="A32" s="50">
        <v>45576</v>
      </c>
      <c r="B32" s="51">
        <v>9.3000000000000007</v>
      </c>
      <c r="C32" s="51">
        <v>4.0999999999999996</v>
      </c>
      <c r="D32" s="51">
        <v>14.04</v>
      </c>
      <c r="E32" s="51">
        <v>13.42</v>
      </c>
      <c r="F32" s="51">
        <v>3.6</v>
      </c>
      <c r="G32" s="51">
        <v>111.65</v>
      </c>
      <c r="H32" s="51">
        <v>35.21</v>
      </c>
      <c r="I32" s="51">
        <v>9.57</v>
      </c>
      <c r="J32" s="51">
        <v>0.16</v>
      </c>
      <c r="K32" s="51">
        <v>232.68</v>
      </c>
      <c r="L32" s="51">
        <v>26.59</v>
      </c>
      <c r="M32" s="51">
        <v>97.13</v>
      </c>
      <c r="N32" s="51">
        <v>2.1</v>
      </c>
      <c r="O32" s="51">
        <v>0</v>
      </c>
      <c r="P32" s="51">
        <v>0.75</v>
      </c>
      <c r="Q32" s="51">
        <v>4.68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9.14</v>
      </c>
      <c r="C34" s="41">
        <f t="shared" si="0"/>
        <v>4.07</v>
      </c>
      <c r="D34" s="41">
        <f t="shared" si="0"/>
        <v>14</v>
      </c>
      <c r="E34" s="41">
        <f t="shared" si="0"/>
        <v>10.58</v>
      </c>
      <c r="F34" s="41">
        <f t="shared" si="0"/>
        <v>3.32</v>
      </c>
      <c r="G34" s="41">
        <f t="shared" si="0"/>
        <v>37.6</v>
      </c>
      <c r="H34" s="41">
        <f t="shared" si="0"/>
        <v>16.54</v>
      </c>
      <c r="I34" s="41">
        <f t="shared" si="0"/>
        <v>5.38</v>
      </c>
      <c r="J34" s="41">
        <f t="shared" si="0"/>
        <v>0.13</v>
      </c>
      <c r="K34" s="41">
        <f t="shared" si="0"/>
        <v>68.97</v>
      </c>
      <c r="L34" s="41">
        <f t="shared" si="0"/>
        <v>24.92</v>
      </c>
      <c r="M34" s="41">
        <f t="shared" si="0"/>
        <v>60.5</v>
      </c>
      <c r="N34" s="41">
        <f t="shared" si="0"/>
        <v>2.1</v>
      </c>
      <c r="O34" s="41">
        <f t="shared" si="0"/>
        <v>0</v>
      </c>
      <c r="P34" s="41">
        <f t="shared" si="0"/>
        <v>0.4</v>
      </c>
      <c r="Q34" s="41">
        <f t="shared" si="0"/>
        <v>4.6399999999999997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9.43</v>
      </c>
      <c r="C35" s="33">
        <f t="shared" si="1"/>
        <v>4.2699999999999996</v>
      </c>
      <c r="D35" s="33">
        <f t="shared" si="1"/>
        <v>14.16</v>
      </c>
      <c r="E35" s="33">
        <f t="shared" si="1"/>
        <v>14.5</v>
      </c>
      <c r="F35" s="33">
        <f t="shared" si="1"/>
        <v>15.88</v>
      </c>
      <c r="G35" s="33">
        <f t="shared" si="1"/>
        <v>111.65</v>
      </c>
      <c r="H35" s="33">
        <f t="shared" si="1"/>
        <v>35.21</v>
      </c>
      <c r="I35" s="33">
        <f t="shared" si="1"/>
        <v>9.57</v>
      </c>
      <c r="J35" s="33">
        <f t="shared" si="1"/>
        <v>0.7</v>
      </c>
      <c r="K35" s="33">
        <f t="shared" si="1"/>
        <v>352.54</v>
      </c>
      <c r="L35" s="33">
        <f t="shared" si="1"/>
        <v>33.79</v>
      </c>
      <c r="M35" s="33">
        <f t="shared" si="1"/>
        <v>97.92</v>
      </c>
      <c r="N35" s="33">
        <f t="shared" si="1"/>
        <v>657.3</v>
      </c>
      <c r="O35" s="33">
        <f t="shared" si="1"/>
        <v>0</v>
      </c>
      <c r="P35" s="33">
        <f t="shared" si="1"/>
        <v>0.77</v>
      </c>
      <c r="Q35" s="33">
        <f t="shared" si="1"/>
        <v>4.6900000000000004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9.3258333333333354</v>
      </c>
      <c r="C36" s="41">
        <f t="shared" si="2"/>
        <v>4.1187499999999995</v>
      </c>
      <c r="D36" s="41">
        <f t="shared" si="2"/>
        <v>14.069583333333336</v>
      </c>
      <c r="E36" s="41">
        <f t="shared" si="2"/>
        <v>12.482500000000002</v>
      </c>
      <c r="F36" s="41">
        <f t="shared" si="2"/>
        <v>5.8833333333333337</v>
      </c>
      <c r="G36" s="41">
        <f t="shared" si="2"/>
        <v>69.668333333333322</v>
      </c>
      <c r="H36" s="41">
        <f t="shared" si="2"/>
        <v>24.370833333333341</v>
      </c>
      <c r="I36" s="41">
        <f t="shared" si="2"/>
        <v>6.7349999999999994</v>
      </c>
      <c r="J36" s="41">
        <f t="shared" si="2"/>
        <v>0.27625000000000005</v>
      </c>
      <c r="K36" s="41">
        <f t="shared" si="2"/>
        <v>207.30291666666665</v>
      </c>
      <c r="L36" s="41">
        <f t="shared" si="2"/>
        <v>28.711250000000007</v>
      </c>
      <c r="M36" s="41">
        <f t="shared" si="2"/>
        <v>84.757083333333313</v>
      </c>
      <c r="N36" s="41">
        <f t="shared" si="2"/>
        <v>135.98333333333332</v>
      </c>
      <c r="O36" s="41">
        <f t="shared" si="2"/>
        <v>0</v>
      </c>
      <c r="P36" s="41">
        <f t="shared" si="2"/>
        <v>0.53583333333333327</v>
      </c>
      <c r="Q36" s="41">
        <f t="shared" si="2"/>
        <v>4.6670833333333341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8.3088044798308794E-2</v>
      </c>
      <c r="C37" s="41">
        <f t="shared" ref="C37:Q37" si="3">STDEV(C9:C32)</f>
        <v>6.3950558348176006E-2</v>
      </c>
      <c r="D37" s="41">
        <f t="shared" si="3"/>
        <v>4.759239678650428E-2</v>
      </c>
      <c r="E37" s="41">
        <f t="shared" si="3"/>
        <v>0.9552202113511894</v>
      </c>
      <c r="F37" s="41">
        <f t="shared" si="3"/>
        <v>3.4604343364816859</v>
      </c>
      <c r="G37" s="41">
        <f t="shared" si="3"/>
        <v>21.646480920276314</v>
      </c>
      <c r="H37" s="41">
        <f t="shared" si="3"/>
        <v>5.4427422089993129</v>
      </c>
      <c r="I37" s="41">
        <f t="shared" si="3"/>
        <v>1.0726156570860277</v>
      </c>
      <c r="J37" s="41">
        <f t="shared" si="3"/>
        <v>0.13955869888610503</v>
      </c>
      <c r="K37" s="41">
        <f t="shared" si="3"/>
        <v>66.639984242336496</v>
      </c>
      <c r="L37" s="41">
        <f t="shared" si="3"/>
        <v>2.9164426104415884</v>
      </c>
      <c r="M37" s="41">
        <f t="shared" si="3"/>
        <v>13.192584702141996</v>
      </c>
      <c r="N37" s="41">
        <f t="shared" si="3"/>
        <v>210.2812623020946</v>
      </c>
      <c r="O37" s="41">
        <f t="shared" si="3"/>
        <v>0</v>
      </c>
      <c r="P37" s="41">
        <f t="shared" si="3"/>
        <v>0.10487743018552131</v>
      </c>
      <c r="Q37" s="41">
        <f t="shared" si="3"/>
        <v>1.4288690166235232E-2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27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 ht="25.5" customHeigh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45576.041666666664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>
        <v>45576.041666666664</v>
      </c>
      <c r="B9" s="51">
        <v>9.23</v>
      </c>
      <c r="C9" s="51">
        <v>4.16</v>
      </c>
      <c r="D9" s="51">
        <v>14</v>
      </c>
      <c r="E9" s="51">
        <v>13.62</v>
      </c>
      <c r="F9" s="51">
        <v>3.89</v>
      </c>
      <c r="G9" s="51">
        <v>111.47</v>
      </c>
      <c r="H9" s="51">
        <v>29.71</v>
      </c>
      <c r="I9" s="51">
        <v>9.16</v>
      </c>
      <c r="J9" s="51">
        <v>0.16</v>
      </c>
      <c r="K9" s="51">
        <v>220.84</v>
      </c>
      <c r="L9" s="51">
        <v>26.06</v>
      </c>
      <c r="M9" s="51">
        <v>101.18</v>
      </c>
      <c r="N9" s="51">
        <v>2.1</v>
      </c>
      <c r="O9" s="51">
        <v>0</v>
      </c>
      <c r="P9" s="51">
        <v>0.77</v>
      </c>
      <c r="Q9" s="51">
        <v>4.66</v>
      </c>
    </row>
    <row r="10" spans="1:21" customFormat="1">
      <c r="A10" s="50">
        <v>45576.083333333336</v>
      </c>
      <c r="B10" s="51">
        <v>9.26</v>
      </c>
      <c r="C10" s="51">
        <v>4.17</v>
      </c>
      <c r="D10" s="51">
        <v>14.02</v>
      </c>
      <c r="E10" s="51">
        <v>12.93</v>
      </c>
      <c r="F10" s="51">
        <v>3.94</v>
      </c>
      <c r="G10" s="51">
        <v>103.11</v>
      </c>
      <c r="H10" s="51">
        <v>22.3</v>
      </c>
      <c r="I10" s="51">
        <v>9.2799999999999994</v>
      </c>
      <c r="J10" s="51">
        <v>0.15</v>
      </c>
      <c r="K10" s="51">
        <v>244.67</v>
      </c>
      <c r="L10" s="51">
        <v>25.66</v>
      </c>
      <c r="M10" s="51">
        <v>101.22</v>
      </c>
      <c r="N10" s="51">
        <v>2.1</v>
      </c>
      <c r="O10" s="51">
        <v>0</v>
      </c>
      <c r="P10" s="51">
        <v>0.77</v>
      </c>
      <c r="Q10" s="51">
        <v>4.6500000000000004</v>
      </c>
    </row>
    <row r="11" spans="1:21" customFormat="1">
      <c r="A11" s="50">
        <v>45576.125</v>
      </c>
      <c r="B11" s="51">
        <v>9.2899999999999991</v>
      </c>
      <c r="C11" s="51">
        <v>4.0999999999999996</v>
      </c>
      <c r="D11" s="51">
        <v>14.03</v>
      </c>
      <c r="E11" s="51">
        <v>12.08</v>
      </c>
      <c r="F11" s="51">
        <v>3.78</v>
      </c>
      <c r="G11" s="51">
        <v>82.21</v>
      </c>
      <c r="H11" s="51">
        <v>21.46</v>
      </c>
      <c r="I11" s="51">
        <v>9.2799999999999994</v>
      </c>
      <c r="J11" s="51">
        <v>0.16</v>
      </c>
      <c r="K11" s="51">
        <v>225.28</v>
      </c>
      <c r="L11" s="51">
        <v>25.34</v>
      </c>
      <c r="M11" s="51">
        <v>98.57</v>
      </c>
      <c r="N11" s="51">
        <v>2.1</v>
      </c>
      <c r="O11" s="51">
        <v>0</v>
      </c>
      <c r="P11" s="51">
        <v>0.76</v>
      </c>
      <c r="Q11" s="51">
        <v>4.66</v>
      </c>
    </row>
    <row r="12" spans="1:21" customFormat="1">
      <c r="A12" s="50">
        <v>45576.166666666664</v>
      </c>
      <c r="B12" s="51">
        <v>9.3000000000000007</v>
      </c>
      <c r="C12" s="51">
        <v>4.08</v>
      </c>
      <c r="D12" s="51">
        <v>14.04</v>
      </c>
      <c r="E12" s="51">
        <v>12.53</v>
      </c>
      <c r="F12" s="51">
        <v>3.65</v>
      </c>
      <c r="G12" s="51">
        <v>76.62</v>
      </c>
      <c r="H12" s="51">
        <v>19.38</v>
      </c>
      <c r="I12" s="51">
        <v>9.31</v>
      </c>
      <c r="J12" s="51">
        <v>0.15</v>
      </c>
      <c r="K12" s="51">
        <v>218.28</v>
      </c>
      <c r="L12" s="51">
        <v>25.22</v>
      </c>
      <c r="M12" s="51">
        <v>99.84</v>
      </c>
      <c r="N12" s="51">
        <v>2.1</v>
      </c>
      <c r="O12" s="51">
        <v>0</v>
      </c>
      <c r="P12" s="51">
        <v>0.74</v>
      </c>
      <c r="Q12" s="51">
        <v>4.66</v>
      </c>
    </row>
    <row r="13" spans="1:21" customFormat="1">
      <c r="A13" s="50">
        <v>45576.208333333336</v>
      </c>
      <c r="B13" s="51">
        <v>9.31</v>
      </c>
      <c r="C13" s="51">
        <v>4.09</v>
      </c>
      <c r="D13" s="51">
        <v>14.03</v>
      </c>
      <c r="E13" s="51">
        <v>12.13</v>
      </c>
      <c r="F13" s="51">
        <v>3.61</v>
      </c>
      <c r="G13" s="51">
        <v>70.45</v>
      </c>
      <c r="H13" s="51">
        <v>17.66</v>
      </c>
      <c r="I13" s="51">
        <v>9.3800000000000008</v>
      </c>
      <c r="J13" s="51">
        <v>0.09</v>
      </c>
      <c r="K13" s="51">
        <v>254.55</v>
      </c>
      <c r="L13" s="51">
        <v>25.16</v>
      </c>
      <c r="M13" s="51">
        <v>100.87</v>
      </c>
      <c r="N13" s="51">
        <v>2.1</v>
      </c>
      <c r="O13" s="51">
        <v>0</v>
      </c>
      <c r="P13" s="51">
        <v>0.72</v>
      </c>
      <c r="Q13" s="51">
        <v>4.66</v>
      </c>
    </row>
    <row r="14" spans="1:21" customFormat="1">
      <c r="A14" s="50">
        <v>45576.25</v>
      </c>
      <c r="B14" s="51">
        <v>9.35</v>
      </c>
      <c r="C14" s="51">
        <v>4.07</v>
      </c>
      <c r="D14" s="51">
        <v>14.06</v>
      </c>
      <c r="E14" s="51">
        <v>11.68</v>
      </c>
      <c r="F14" s="51">
        <v>3.31</v>
      </c>
      <c r="G14" s="51">
        <v>55.87</v>
      </c>
      <c r="H14" s="51">
        <v>16.72</v>
      </c>
      <c r="I14" s="51">
        <v>9.24</v>
      </c>
      <c r="J14" s="51">
        <v>0.14000000000000001</v>
      </c>
      <c r="K14" s="51">
        <v>247.47</v>
      </c>
      <c r="L14" s="51">
        <v>24.95</v>
      </c>
      <c r="M14" s="51">
        <v>99.17</v>
      </c>
      <c r="N14" s="51">
        <v>8.6</v>
      </c>
      <c r="O14" s="51">
        <v>0</v>
      </c>
      <c r="P14" s="51">
        <v>0.65</v>
      </c>
      <c r="Q14" s="51">
        <v>4.67</v>
      </c>
    </row>
    <row r="15" spans="1:21" customFormat="1">
      <c r="A15" s="50">
        <v>45576.291666666664</v>
      </c>
      <c r="B15" s="51">
        <v>9.2899999999999991</v>
      </c>
      <c r="C15" s="51">
        <v>4.09</v>
      </c>
      <c r="D15" s="51">
        <v>14.03</v>
      </c>
      <c r="E15" s="51">
        <v>12.51</v>
      </c>
      <c r="F15" s="51">
        <v>3.45</v>
      </c>
      <c r="G15" s="51">
        <v>48.19</v>
      </c>
      <c r="H15" s="51">
        <v>12.83</v>
      </c>
      <c r="I15" s="51">
        <v>8.48</v>
      </c>
      <c r="J15" s="51">
        <v>0.23</v>
      </c>
      <c r="K15" s="51">
        <v>266.24</v>
      </c>
      <c r="L15" s="51">
        <v>26.09</v>
      </c>
      <c r="M15" s="51">
        <v>97.67</v>
      </c>
      <c r="N15" s="51">
        <v>40.4</v>
      </c>
      <c r="O15" s="51">
        <v>0</v>
      </c>
      <c r="P15" s="51">
        <v>0.6</v>
      </c>
      <c r="Q15" s="51">
        <v>4.66</v>
      </c>
    </row>
    <row r="16" spans="1:21" customFormat="1">
      <c r="A16" s="50">
        <v>45576.333333333336</v>
      </c>
      <c r="B16" s="51">
        <v>9.2899999999999991</v>
      </c>
      <c r="C16" s="51">
        <v>4.09</v>
      </c>
      <c r="D16" s="51">
        <v>14.02</v>
      </c>
      <c r="E16" s="51">
        <v>12.64</v>
      </c>
      <c r="F16" s="51">
        <v>4</v>
      </c>
      <c r="G16" s="51">
        <v>41.84</v>
      </c>
      <c r="H16" s="51">
        <v>12.83</v>
      </c>
      <c r="I16" s="51">
        <v>8.07</v>
      </c>
      <c r="J16" s="51">
        <v>0.41</v>
      </c>
      <c r="K16" s="51">
        <v>265.83</v>
      </c>
      <c r="L16" s="51">
        <v>28.39</v>
      </c>
      <c r="M16" s="51">
        <v>89.46</v>
      </c>
      <c r="N16" s="51">
        <v>261.39999999999998</v>
      </c>
      <c r="O16" s="51">
        <v>0</v>
      </c>
      <c r="P16" s="51">
        <v>0.56999999999999995</v>
      </c>
      <c r="Q16" s="51">
        <v>4.67</v>
      </c>
    </row>
    <row r="17" spans="1:17" customFormat="1">
      <c r="A17" s="50">
        <v>45576.375</v>
      </c>
      <c r="B17" s="51">
        <v>9.27</v>
      </c>
      <c r="C17" s="51">
        <v>4.13</v>
      </c>
      <c r="D17" s="51">
        <v>14.01</v>
      </c>
      <c r="E17" s="51">
        <v>12.76</v>
      </c>
      <c r="F17" s="51">
        <v>4.57</v>
      </c>
      <c r="G17" s="51">
        <v>36.11</v>
      </c>
      <c r="H17" s="51">
        <v>11.25</v>
      </c>
      <c r="I17" s="51">
        <v>7.61</v>
      </c>
      <c r="J17" s="51">
        <v>0.27</v>
      </c>
      <c r="K17" s="51">
        <v>258.47000000000003</v>
      </c>
      <c r="L17" s="51">
        <v>31.3</v>
      </c>
      <c r="M17" s="51">
        <v>70.73</v>
      </c>
      <c r="N17" s="51">
        <v>395.5</v>
      </c>
      <c r="O17" s="51">
        <v>0</v>
      </c>
      <c r="P17" s="51">
        <v>0.52</v>
      </c>
      <c r="Q17" s="51">
        <v>4.66</v>
      </c>
    </row>
    <row r="18" spans="1:17" customFormat="1">
      <c r="A18" s="50">
        <v>45576.416666666664</v>
      </c>
      <c r="B18" s="51">
        <v>9.16</v>
      </c>
      <c r="C18" s="51">
        <v>4.25</v>
      </c>
      <c r="D18" s="51">
        <v>14</v>
      </c>
      <c r="E18" s="51">
        <v>13.25</v>
      </c>
      <c r="F18" s="51">
        <v>5.93</v>
      </c>
      <c r="G18" s="51">
        <v>29.49</v>
      </c>
      <c r="H18" s="51">
        <v>9.92</v>
      </c>
      <c r="I18" s="51">
        <v>6.83</v>
      </c>
      <c r="J18" s="51">
        <v>0.4</v>
      </c>
      <c r="K18" s="51">
        <v>265.77</v>
      </c>
      <c r="L18" s="51">
        <v>32.6</v>
      </c>
      <c r="M18" s="51">
        <v>64.39</v>
      </c>
      <c r="N18" s="51">
        <v>118.4</v>
      </c>
      <c r="O18" s="51">
        <v>0</v>
      </c>
      <c r="P18" s="51">
        <v>0.47</v>
      </c>
      <c r="Q18" s="51">
        <v>4.67</v>
      </c>
    </row>
    <row r="19" spans="1:17" customFormat="1">
      <c r="A19" s="50">
        <v>45576.458333333336</v>
      </c>
      <c r="B19" s="51">
        <v>9.3000000000000007</v>
      </c>
      <c r="C19" s="51">
        <v>4.0999999999999996</v>
      </c>
      <c r="D19" s="51">
        <v>14.03</v>
      </c>
      <c r="E19" s="51">
        <v>10.77</v>
      </c>
      <c r="F19" s="51">
        <v>5.08</v>
      </c>
      <c r="G19" s="51">
        <v>29.69</v>
      </c>
      <c r="H19" s="51">
        <v>8.68</v>
      </c>
      <c r="I19" s="51">
        <v>6.46</v>
      </c>
      <c r="J19" s="51">
        <v>0.44</v>
      </c>
      <c r="K19" s="51">
        <v>252.09</v>
      </c>
      <c r="L19" s="51">
        <v>33.46</v>
      </c>
      <c r="M19" s="51">
        <v>57.94</v>
      </c>
      <c r="N19" s="51">
        <v>676.2</v>
      </c>
      <c r="O19" s="51">
        <v>0</v>
      </c>
      <c r="P19" s="51">
        <v>0.5</v>
      </c>
      <c r="Q19" s="51">
        <v>4.6399999999999997</v>
      </c>
    </row>
    <row r="20" spans="1:17" customFormat="1">
      <c r="A20" s="50">
        <v>45576.5</v>
      </c>
      <c r="B20" s="51">
        <v>9.2200000000000006</v>
      </c>
      <c r="C20" s="51">
        <v>4.17</v>
      </c>
      <c r="D20" s="51">
        <v>14</v>
      </c>
      <c r="E20" s="51">
        <v>11.03</v>
      </c>
      <c r="F20" s="51">
        <v>4.46</v>
      </c>
      <c r="G20" s="51">
        <v>23.95</v>
      </c>
      <c r="H20" s="51">
        <v>9.82</v>
      </c>
      <c r="I20" s="51">
        <v>6.47</v>
      </c>
      <c r="J20" s="51">
        <v>0.25</v>
      </c>
      <c r="K20" s="51">
        <v>218.88</v>
      </c>
      <c r="L20" s="51">
        <v>33.96</v>
      </c>
      <c r="M20" s="51">
        <v>59.63</v>
      </c>
      <c r="N20" s="51">
        <v>840.7</v>
      </c>
      <c r="O20" s="51">
        <v>0</v>
      </c>
      <c r="P20" s="51">
        <v>0.52</v>
      </c>
      <c r="Q20" s="51">
        <v>4.63</v>
      </c>
    </row>
    <row r="21" spans="1:17" customFormat="1">
      <c r="A21" s="50">
        <v>45576.541666666664</v>
      </c>
      <c r="B21" s="51">
        <v>9.33</v>
      </c>
      <c r="C21" s="51">
        <v>4.0999999999999996</v>
      </c>
      <c r="D21" s="51">
        <v>14.06</v>
      </c>
      <c r="E21" s="51">
        <v>11.58</v>
      </c>
      <c r="F21" s="51">
        <v>4.28</v>
      </c>
      <c r="G21" s="51">
        <v>20.53</v>
      </c>
      <c r="H21" s="51">
        <v>9.82</v>
      </c>
      <c r="I21" s="51">
        <v>6.55</v>
      </c>
      <c r="J21" s="51">
        <v>0.36</v>
      </c>
      <c r="K21" s="51">
        <v>235.91</v>
      </c>
      <c r="L21" s="51">
        <v>33.979999999999997</v>
      </c>
      <c r="M21" s="51">
        <v>61.05</v>
      </c>
      <c r="N21" s="51">
        <v>747.2</v>
      </c>
      <c r="O21" s="51">
        <v>0</v>
      </c>
      <c r="P21" s="51">
        <v>0.52</v>
      </c>
      <c r="Q21" s="51">
        <v>4.6399999999999997</v>
      </c>
    </row>
    <row r="22" spans="1:17" customFormat="1">
      <c r="A22" s="50">
        <v>45576.583333333336</v>
      </c>
      <c r="B22" s="51">
        <v>9.36</v>
      </c>
      <c r="C22" s="51">
        <v>4.0999999999999996</v>
      </c>
      <c r="D22" s="51">
        <v>14.09</v>
      </c>
      <c r="E22" s="51">
        <v>11.89</v>
      </c>
      <c r="F22" s="51">
        <v>4.03</v>
      </c>
      <c r="G22" s="51">
        <v>15.51</v>
      </c>
      <c r="H22" s="51">
        <v>7.35</v>
      </c>
      <c r="I22" s="51">
        <v>6.73</v>
      </c>
      <c r="J22" s="51">
        <v>0.24</v>
      </c>
      <c r="K22" s="51">
        <v>211.38</v>
      </c>
      <c r="L22" s="51">
        <v>33.94</v>
      </c>
      <c r="M22" s="51">
        <v>63.34</v>
      </c>
      <c r="N22" s="51">
        <v>397.3</v>
      </c>
      <c r="O22" s="51">
        <v>0</v>
      </c>
      <c r="P22" s="51">
        <v>0.52</v>
      </c>
      <c r="Q22" s="51">
        <v>4.62</v>
      </c>
    </row>
    <row r="23" spans="1:17" customFormat="1">
      <c r="A23" s="50">
        <v>45576.625</v>
      </c>
      <c r="B23" s="51">
        <v>9.49</v>
      </c>
      <c r="C23" s="51">
        <v>4.0999999999999996</v>
      </c>
      <c r="D23" s="51">
        <v>14.18</v>
      </c>
      <c r="E23" s="51">
        <v>11.88</v>
      </c>
      <c r="F23" s="51">
        <v>13.27</v>
      </c>
      <c r="G23" s="51">
        <v>15.58</v>
      </c>
      <c r="H23" s="51">
        <v>10.17</v>
      </c>
      <c r="I23" s="51">
        <v>6.76</v>
      </c>
      <c r="J23" s="51">
        <v>0.31</v>
      </c>
      <c r="K23" s="51">
        <v>248.52</v>
      </c>
      <c r="L23" s="51">
        <v>33.770000000000003</v>
      </c>
      <c r="M23" s="51">
        <v>61.59</v>
      </c>
      <c r="N23" s="51">
        <v>168.7</v>
      </c>
      <c r="O23" s="51">
        <v>0</v>
      </c>
      <c r="P23" s="51">
        <v>0.39</v>
      </c>
      <c r="Q23" s="51">
        <v>4.6900000000000004</v>
      </c>
    </row>
    <row r="24" spans="1:17" customFormat="1">
      <c r="A24" s="50">
        <v>45576.666666666664</v>
      </c>
      <c r="B24" s="51">
        <v>9.41</v>
      </c>
      <c r="C24" s="51">
        <v>4.08</v>
      </c>
      <c r="D24" s="51">
        <v>14.12</v>
      </c>
      <c r="E24" s="51">
        <v>10.38</v>
      </c>
      <c r="F24" s="51">
        <v>18.18</v>
      </c>
      <c r="G24" s="51">
        <v>13.29</v>
      </c>
      <c r="H24" s="51">
        <v>10.17</v>
      </c>
      <c r="I24" s="51">
        <v>4.95</v>
      </c>
      <c r="J24" s="51">
        <v>0.35</v>
      </c>
      <c r="K24" s="51">
        <v>188.89</v>
      </c>
      <c r="L24" s="51">
        <v>32.9</v>
      </c>
      <c r="M24" s="51">
        <v>60.52</v>
      </c>
      <c r="N24" s="51">
        <v>63.5</v>
      </c>
      <c r="O24" s="51">
        <v>0</v>
      </c>
      <c r="P24" s="51">
        <v>0.22</v>
      </c>
      <c r="Q24" s="51">
        <v>4.68</v>
      </c>
    </row>
    <row r="25" spans="1:17" customFormat="1">
      <c r="A25" s="50">
        <v>45576.708333333336</v>
      </c>
      <c r="B25" s="51">
        <v>9.24</v>
      </c>
      <c r="C25" s="51">
        <v>4.1399999999999997</v>
      </c>
      <c r="D25" s="51">
        <v>14</v>
      </c>
      <c r="E25" s="51">
        <v>10.51</v>
      </c>
      <c r="F25" s="51">
        <v>16.02</v>
      </c>
      <c r="G25" s="51">
        <v>12.93</v>
      </c>
      <c r="H25" s="51">
        <v>7.12</v>
      </c>
      <c r="I25" s="51">
        <v>4.24</v>
      </c>
      <c r="J25" s="51">
        <v>0.23</v>
      </c>
      <c r="K25" s="51">
        <v>185.52</v>
      </c>
      <c r="L25" s="51">
        <v>32.380000000000003</v>
      </c>
      <c r="M25" s="51">
        <v>64.36</v>
      </c>
      <c r="N25" s="51">
        <v>30.9</v>
      </c>
      <c r="O25" s="51">
        <v>0</v>
      </c>
      <c r="P25" s="51">
        <v>0.21</v>
      </c>
      <c r="Q25" s="51">
        <v>4.66</v>
      </c>
    </row>
    <row r="26" spans="1:17" customFormat="1">
      <c r="A26" s="50">
        <v>45576.75</v>
      </c>
      <c r="B26" s="51">
        <v>9.23</v>
      </c>
      <c r="C26" s="51">
        <v>4.1399999999999997</v>
      </c>
      <c r="D26" s="51">
        <v>14</v>
      </c>
      <c r="E26" s="51">
        <v>11.28</v>
      </c>
      <c r="F26" s="51">
        <v>10.45</v>
      </c>
      <c r="G26" s="51">
        <v>18.510000000000002</v>
      </c>
      <c r="H26" s="51">
        <v>5.42</v>
      </c>
      <c r="I26" s="51">
        <v>4.1100000000000003</v>
      </c>
      <c r="J26" s="51">
        <v>0.18</v>
      </c>
      <c r="K26" s="51">
        <v>180.11</v>
      </c>
      <c r="L26" s="51">
        <v>30.61</v>
      </c>
      <c r="M26" s="51">
        <v>66.86</v>
      </c>
      <c r="N26" s="51">
        <v>9</v>
      </c>
      <c r="O26" s="51">
        <v>0</v>
      </c>
      <c r="P26" s="51">
        <v>0.24</v>
      </c>
      <c r="Q26" s="51">
        <v>4.68</v>
      </c>
    </row>
    <row r="27" spans="1:17" customFormat="1">
      <c r="A27" s="50">
        <v>45576.791666666664</v>
      </c>
      <c r="B27" s="51">
        <v>9.24</v>
      </c>
      <c r="C27" s="51">
        <v>4.13</v>
      </c>
      <c r="D27" s="51">
        <v>14</v>
      </c>
      <c r="E27" s="51">
        <v>12.26</v>
      </c>
      <c r="F27" s="51">
        <v>7.82</v>
      </c>
      <c r="G27" s="51">
        <v>22.29</v>
      </c>
      <c r="H27" s="51">
        <v>5.42</v>
      </c>
      <c r="I27" s="51">
        <v>4.5599999999999996</v>
      </c>
      <c r="J27" s="51">
        <v>0.28999999999999998</v>
      </c>
      <c r="K27" s="51">
        <v>190.32</v>
      </c>
      <c r="L27" s="51">
        <v>29.6</v>
      </c>
      <c r="M27" s="51">
        <v>75.5</v>
      </c>
      <c r="N27" s="51">
        <v>2.2000000000000002</v>
      </c>
      <c r="O27" s="51">
        <v>0</v>
      </c>
      <c r="P27" s="51">
        <v>0.26</v>
      </c>
      <c r="Q27" s="51">
        <v>4.66</v>
      </c>
    </row>
    <row r="28" spans="1:17" customFormat="1">
      <c r="A28" s="50">
        <v>45576.833333333336</v>
      </c>
      <c r="B28" s="51">
        <v>9.2799999999999994</v>
      </c>
      <c r="C28" s="51">
        <v>4.13</v>
      </c>
      <c r="D28" s="51">
        <v>14.02</v>
      </c>
      <c r="E28" s="51">
        <v>12.45</v>
      </c>
      <c r="F28" s="51">
        <v>6.33</v>
      </c>
      <c r="G28" s="51">
        <v>37.46</v>
      </c>
      <c r="H28" s="51">
        <v>7.84</v>
      </c>
      <c r="I28" s="51">
        <v>4.78</v>
      </c>
      <c r="J28" s="51">
        <v>0.17</v>
      </c>
      <c r="K28" s="51">
        <v>214.69</v>
      </c>
      <c r="L28" s="51">
        <v>28.2</v>
      </c>
      <c r="M28" s="51">
        <v>83.77</v>
      </c>
      <c r="N28" s="51">
        <v>2.2000000000000002</v>
      </c>
      <c r="O28" s="51">
        <v>0</v>
      </c>
      <c r="P28" s="51">
        <v>0.31</v>
      </c>
      <c r="Q28" s="51">
        <v>4.6500000000000004</v>
      </c>
    </row>
    <row r="29" spans="1:17" customFormat="1">
      <c r="A29" s="50">
        <v>45576.875</v>
      </c>
      <c r="B29" s="51">
        <v>9.26</v>
      </c>
      <c r="C29" s="51">
        <v>4.12</v>
      </c>
      <c r="D29" s="51">
        <v>14.02</v>
      </c>
      <c r="E29" s="51">
        <v>11.66</v>
      </c>
      <c r="F29" s="51">
        <v>4.9000000000000004</v>
      </c>
      <c r="G29" s="51">
        <v>48.04</v>
      </c>
      <c r="H29" s="51">
        <v>11.3</v>
      </c>
      <c r="I29" s="51">
        <v>5</v>
      </c>
      <c r="J29" s="51">
        <v>0.17</v>
      </c>
      <c r="K29" s="51">
        <v>220.76</v>
      </c>
      <c r="L29" s="51">
        <v>27.3</v>
      </c>
      <c r="M29" s="51">
        <v>88.24</v>
      </c>
      <c r="N29" s="51">
        <v>2.2000000000000002</v>
      </c>
      <c r="O29" s="51">
        <v>0</v>
      </c>
      <c r="P29" s="51">
        <v>0.34</v>
      </c>
      <c r="Q29" s="51">
        <v>4.66</v>
      </c>
    </row>
    <row r="30" spans="1:17" customFormat="1">
      <c r="A30" s="50">
        <v>45576.916666666664</v>
      </c>
      <c r="B30" s="51">
        <v>9.25</v>
      </c>
      <c r="C30" s="51">
        <v>4.12</v>
      </c>
      <c r="D30" s="51">
        <v>14</v>
      </c>
      <c r="E30" s="51">
        <v>11.41</v>
      </c>
      <c r="F30" s="51">
        <v>3.74</v>
      </c>
      <c r="G30" s="51">
        <v>60.76</v>
      </c>
      <c r="H30" s="51">
        <v>11.3</v>
      </c>
      <c r="I30" s="51">
        <v>5.32</v>
      </c>
      <c r="J30" s="51">
        <v>0.16</v>
      </c>
      <c r="K30" s="51">
        <v>220.27</v>
      </c>
      <c r="L30" s="51">
        <v>27.07</v>
      </c>
      <c r="M30" s="51">
        <v>87.38</v>
      </c>
      <c r="N30" s="51">
        <v>2.1</v>
      </c>
      <c r="O30" s="51">
        <v>0</v>
      </c>
      <c r="P30" s="51">
        <v>0.38</v>
      </c>
      <c r="Q30" s="51">
        <v>4.66</v>
      </c>
    </row>
    <row r="31" spans="1:17" customFormat="1">
      <c r="A31" s="50">
        <v>45576.958333333336</v>
      </c>
      <c r="B31" s="51">
        <v>9.2799999999999994</v>
      </c>
      <c r="C31" s="51">
        <v>4.1100000000000003</v>
      </c>
      <c r="D31" s="51">
        <v>14.02</v>
      </c>
      <c r="E31" s="51">
        <v>11.56</v>
      </c>
      <c r="F31" s="51">
        <v>3.62</v>
      </c>
      <c r="G31" s="51">
        <v>62.68</v>
      </c>
      <c r="H31" s="51">
        <v>15.93</v>
      </c>
      <c r="I31" s="51">
        <v>5.64</v>
      </c>
      <c r="J31" s="51">
        <v>0.18</v>
      </c>
      <c r="K31" s="51">
        <v>212.84</v>
      </c>
      <c r="L31" s="51">
        <v>27.11</v>
      </c>
      <c r="M31" s="51">
        <v>91.77</v>
      </c>
      <c r="N31" s="51">
        <v>2.1</v>
      </c>
      <c r="O31" s="51">
        <v>0</v>
      </c>
      <c r="P31" s="51">
        <v>0.41</v>
      </c>
      <c r="Q31" s="51">
        <v>4.6500000000000004</v>
      </c>
    </row>
    <row r="32" spans="1:17" customFormat="1">
      <c r="A32" s="50">
        <v>45577</v>
      </c>
      <c r="B32" s="51">
        <v>9.31</v>
      </c>
      <c r="C32" s="51">
        <v>4.09</v>
      </c>
      <c r="D32" s="51">
        <v>14.03</v>
      </c>
      <c r="E32" s="51">
        <v>11.7</v>
      </c>
      <c r="F32" s="51">
        <v>3.6</v>
      </c>
      <c r="G32" s="51">
        <v>59.78</v>
      </c>
      <c r="H32" s="51">
        <v>15.93</v>
      </c>
      <c r="I32" s="51">
        <v>5.99</v>
      </c>
      <c r="J32" s="51">
        <v>0.15</v>
      </c>
      <c r="K32" s="51">
        <v>206.49</v>
      </c>
      <c r="L32" s="51">
        <v>26.54</v>
      </c>
      <c r="M32" s="51">
        <v>92.57</v>
      </c>
      <c r="N32" s="51">
        <v>2.1</v>
      </c>
      <c r="O32" s="51">
        <v>0</v>
      </c>
      <c r="P32" s="51">
        <v>0.42</v>
      </c>
      <c r="Q32" s="51">
        <v>4.6500000000000004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9.16</v>
      </c>
      <c r="C34" s="41">
        <f t="shared" si="0"/>
        <v>4.07</v>
      </c>
      <c r="D34" s="41">
        <f t="shared" si="0"/>
        <v>14</v>
      </c>
      <c r="E34" s="41">
        <f t="shared" si="0"/>
        <v>10.38</v>
      </c>
      <c r="F34" s="41">
        <f t="shared" si="0"/>
        <v>3.31</v>
      </c>
      <c r="G34" s="41">
        <f t="shared" si="0"/>
        <v>12.93</v>
      </c>
      <c r="H34" s="41">
        <f t="shared" si="0"/>
        <v>5.42</v>
      </c>
      <c r="I34" s="41">
        <f t="shared" si="0"/>
        <v>4.1100000000000003</v>
      </c>
      <c r="J34" s="41">
        <f t="shared" si="0"/>
        <v>0.09</v>
      </c>
      <c r="K34" s="41">
        <f t="shared" si="0"/>
        <v>180.11</v>
      </c>
      <c r="L34" s="41">
        <f t="shared" si="0"/>
        <v>24.95</v>
      </c>
      <c r="M34" s="41">
        <f t="shared" si="0"/>
        <v>57.94</v>
      </c>
      <c r="N34" s="41">
        <f t="shared" si="0"/>
        <v>2.1</v>
      </c>
      <c r="O34" s="41">
        <f t="shared" si="0"/>
        <v>0</v>
      </c>
      <c r="P34" s="41">
        <f t="shared" si="0"/>
        <v>0.21</v>
      </c>
      <c r="Q34" s="41">
        <f t="shared" si="0"/>
        <v>4.62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9.49</v>
      </c>
      <c r="C35" s="33">
        <f t="shared" si="1"/>
        <v>4.25</v>
      </c>
      <c r="D35" s="33">
        <f t="shared" si="1"/>
        <v>14.18</v>
      </c>
      <c r="E35" s="33">
        <f t="shared" si="1"/>
        <v>13.62</v>
      </c>
      <c r="F35" s="33">
        <f t="shared" si="1"/>
        <v>18.18</v>
      </c>
      <c r="G35" s="33">
        <f t="shared" si="1"/>
        <v>111.47</v>
      </c>
      <c r="H35" s="33">
        <f t="shared" si="1"/>
        <v>29.71</v>
      </c>
      <c r="I35" s="33">
        <f t="shared" si="1"/>
        <v>9.3800000000000008</v>
      </c>
      <c r="J35" s="33">
        <f t="shared" si="1"/>
        <v>0.44</v>
      </c>
      <c r="K35" s="33">
        <f t="shared" si="1"/>
        <v>266.24</v>
      </c>
      <c r="L35" s="33">
        <f t="shared" si="1"/>
        <v>33.979999999999997</v>
      </c>
      <c r="M35" s="33">
        <f t="shared" si="1"/>
        <v>101.22</v>
      </c>
      <c r="N35" s="33">
        <f t="shared" si="1"/>
        <v>840.7</v>
      </c>
      <c r="O35" s="33">
        <f t="shared" si="1"/>
        <v>0</v>
      </c>
      <c r="P35" s="33">
        <f t="shared" si="1"/>
        <v>0.77</v>
      </c>
      <c r="Q35" s="33">
        <f t="shared" si="1"/>
        <v>4.6900000000000004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9.2895833333333329</v>
      </c>
      <c r="C36" s="41">
        <f t="shared" si="2"/>
        <v>4.1191666666666675</v>
      </c>
      <c r="D36" s="41">
        <f t="shared" si="2"/>
        <v>14.033749999999998</v>
      </c>
      <c r="E36" s="41">
        <f t="shared" si="2"/>
        <v>11.937083333333334</v>
      </c>
      <c r="F36" s="41">
        <f t="shared" si="2"/>
        <v>6.0795833333333347</v>
      </c>
      <c r="G36" s="41">
        <f t="shared" si="2"/>
        <v>45.681666666666665</v>
      </c>
      <c r="H36" s="41">
        <f t="shared" si="2"/>
        <v>12.930416666666666</v>
      </c>
      <c r="I36" s="41">
        <f t="shared" si="2"/>
        <v>6.8416666666666677</v>
      </c>
      <c r="J36" s="41">
        <f t="shared" si="2"/>
        <v>0.23500000000000001</v>
      </c>
      <c r="K36" s="41">
        <f t="shared" si="2"/>
        <v>227.25291666666666</v>
      </c>
      <c r="L36" s="41">
        <f t="shared" si="2"/>
        <v>29.232916666666668</v>
      </c>
      <c r="M36" s="41">
        <f t="shared" si="2"/>
        <v>80.734166666666653</v>
      </c>
      <c r="N36" s="41">
        <f t="shared" si="2"/>
        <v>157.54999999999995</v>
      </c>
      <c r="O36" s="41">
        <f t="shared" si="2"/>
        <v>0</v>
      </c>
      <c r="P36" s="41">
        <f t="shared" si="2"/>
        <v>0.49208333333333343</v>
      </c>
      <c r="Q36" s="41">
        <f t="shared" si="2"/>
        <v>4.6579166666666678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6.7080689028808468E-2</v>
      </c>
      <c r="C37" s="41">
        <f t="shared" ref="C37:Q37" si="3">STDEV(C9:C32)</f>
        <v>3.9553669281410408E-2</v>
      </c>
      <c r="D37" s="41">
        <f t="shared" si="3"/>
        <v>4.3219611088123999E-2</v>
      </c>
      <c r="E37" s="41">
        <f t="shared" si="3"/>
        <v>0.82482398210118313</v>
      </c>
      <c r="F37" s="41">
        <f t="shared" si="3"/>
        <v>4.1552685040295163</v>
      </c>
      <c r="G37" s="41">
        <f t="shared" si="3"/>
        <v>28.270705019840619</v>
      </c>
      <c r="H37" s="41">
        <f t="shared" si="3"/>
        <v>5.9414706707922136</v>
      </c>
      <c r="I37" s="41">
        <f t="shared" si="3"/>
        <v>1.8161944606348146</v>
      </c>
      <c r="J37" s="41">
        <f t="shared" si="3"/>
        <v>9.8245477824902797E-2</v>
      </c>
      <c r="K37" s="41">
        <f t="shared" si="3"/>
        <v>26.541677231358712</v>
      </c>
      <c r="L37" s="41">
        <f t="shared" si="3"/>
        <v>3.4092884367456051</v>
      </c>
      <c r="M37" s="41">
        <f t="shared" si="3"/>
        <v>16.531992151363859</v>
      </c>
      <c r="N37" s="41">
        <f t="shared" si="3"/>
        <v>260.30938448733258</v>
      </c>
      <c r="O37" s="41">
        <f t="shared" si="3"/>
        <v>0</v>
      </c>
      <c r="P37" s="41">
        <f t="shared" si="3"/>
        <v>0.18036145270868803</v>
      </c>
      <c r="Q37" s="41">
        <f t="shared" si="3"/>
        <v>1.5597983890531342E-2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landscape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27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45577.041666666664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>
        <v>45577.041666666664</v>
      </c>
      <c r="B9" s="51">
        <v>9.2200000000000006</v>
      </c>
      <c r="C9" s="51">
        <v>4.25</v>
      </c>
      <c r="D9" s="51">
        <v>14</v>
      </c>
      <c r="E9" s="51">
        <v>11.24</v>
      </c>
      <c r="F9" s="51">
        <v>3</v>
      </c>
      <c r="G9" s="51">
        <v>59.95</v>
      </c>
      <c r="H9" s="51">
        <v>14.08</v>
      </c>
      <c r="I9" s="51">
        <v>6.09</v>
      </c>
      <c r="J9" s="51">
        <v>0.19</v>
      </c>
      <c r="K9" s="51">
        <v>207.83</v>
      </c>
      <c r="L9" s="51">
        <v>26.69</v>
      </c>
      <c r="M9" s="51">
        <v>90.85</v>
      </c>
      <c r="N9" s="51">
        <v>2.1</v>
      </c>
      <c r="O9" s="51">
        <v>0</v>
      </c>
      <c r="P9" s="51">
        <v>0.38</v>
      </c>
      <c r="Q9" s="51">
        <v>4.67</v>
      </c>
    </row>
    <row r="10" spans="1:21" customFormat="1">
      <c r="A10" s="50">
        <v>45577.083333333336</v>
      </c>
      <c r="B10" s="51">
        <v>9.15</v>
      </c>
      <c r="C10" s="51">
        <v>4.26</v>
      </c>
      <c r="D10" s="51">
        <v>14</v>
      </c>
      <c r="E10" s="51">
        <v>12.16</v>
      </c>
      <c r="F10" s="51">
        <v>3.35</v>
      </c>
      <c r="G10" s="51">
        <v>59.84</v>
      </c>
      <c r="H10" s="51">
        <v>12.08</v>
      </c>
      <c r="I10" s="51">
        <v>6.22</v>
      </c>
      <c r="J10" s="51">
        <v>0.2</v>
      </c>
      <c r="K10" s="51">
        <v>217.32</v>
      </c>
      <c r="L10" s="51">
        <v>26.2</v>
      </c>
      <c r="M10" s="51">
        <v>94.2</v>
      </c>
      <c r="N10" s="51">
        <v>2.1</v>
      </c>
      <c r="O10" s="51">
        <v>0</v>
      </c>
      <c r="P10" s="51">
        <v>0.38</v>
      </c>
      <c r="Q10" s="51">
        <v>4.68</v>
      </c>
    </row>
    <row r="11" spans="1:21" customFormat="1">
      <c r="A11" s="50">
        <v>45577.125</v>
      </c>
      <c r="B11" s="51">
        <v>9.17</v>
      </c>
      <c r="C11" s="51">
        <v>4.2300000000000004</v>
      </c>
      <c r="D11" s="51">
        <v>14</v>
      </c>
      <c r="E11" s="51">
        <v>11.85</v>
      </c>
      <c r="F11" s="51">
        <v>3.49</v>
      </c>
      <c r="G11" s="51">
        <v>58.9</v>
      </c>
      <c r="H11" s="51">
        <v>14.31</v>
      </c>
      <c r="I11" s="51">
        <v>6.45</v>
      </c>
      <c r="J11" s="51">
        <v>0.21</v>
      </c>
      <c r="K11" s="51">
        <v>192.05</v>
      </c>
      <c r="L11" s="51">
        <v>26.09</v>
      </c>
      <c r="M11" s="51">
        <v>94.12</v>
      </c>
      <c r="N11" s="51">
        <v>2.1</v>
      </c>
      <c r="O11" s="51">
        <v>0</v>
      </c>
      <c r="P11" s="51">
        <v>0.4</v>
      </c>
      <c r="Q11" s="51">
        <v>4.66</v>
      </c>
    </row>
    <row r="12" spans="1:21" customFormat="1">
      <c r="A12" s="50">
        <v>45577.166666666664</v>
      </c>
      <c r="B12" s="51">
        <v>9.17</v>
      </c>
      <c r="C12" s="51">
        <v>4.24</v>
      </c>
      <c r="D12" s="51">
        <v>14</v>
      </c>
      <c r="E12" s="51">
        <v>12.34</v>
      </c>
      <c r="F12" s="51">
        <v>3.39</v>
      </c>
      <c r="G12" s="51">
        <v>58.92</v>
      </c>
      <c r="H12" s="51">
        <v>14.31</v>
      </c>
      <c r="I12" s="51">
        <v>6.51</v>
      </c>
      <c r="J12" s="51">
        <v>0.16</v>
      </c>
      <c r="K12" s="51">
        <v>224.58</v>
      </c>
      <c r="L12" s="51">
        <v>25.82</v>
      </c>
      <c r="M12" s="51">
        <v>96.38</v>
      </c>
      <c r="N12" s="51">
        <v>2.1</v>
      </c>
      <c r="O12" s="51">
        <v>0</v>
      </c>
      <c r="P12" s="51">
        <v>0.4</v>
      </c>
      <c r="Q12" s="51">
        <v>4.66</v>
      </c>
    </row>
    <row r="13" spans="1:21" customFormat="1">
      <c r="A13" s="50">
        <v>45577.208333333336</v>
      </c>
      <c r="B13" s="51">
        <v>9.19</v>
      </c>
      <c r="C13" s="51">
        <v>4.22</v>
      </c>
      <c r="D13" s="51">
        <v>14</v>
      </c>
      <c r="E13" s="51">
        <v>13.01</v>
      </c>
      <c r="F13" s="51">
        <v>3.58</v>
      </c>
      <c r="G13" s="51">
        <v>54.99</v>
      </c>
      <c r="H13" s="51">
        <v>14.72</v>
      </c>
      <c r="I13" s="51">
        <v>6.49</v>
      </c>
      <c r="J13" s="51">
        <v>0.11</v>
      </c>
      <c r="K13" s="51">
        <v>218.38</v>
      </c>
      <c r="L13" s="51">
        <v>25.42</v>
      </c>
      <c r="M13" s="51">
        <v>99.22</v>
      </c>
      <c r="N13" s="51">
        <v>2.1</v>
      </c>
      <c r="O13" s="51">
        <v>0</v>
      </c>
      <c r="P13" s="51">
        <v>0.41</v>
      </c>
      <c r="Q13" s="51">
        <v>4.66</v>
      </c>
    </row>
    <row r="14" spans="1:21" customFormat="1">
      <c r="A14" s="50">
        <v>45577.25</v>
      </c>
      <c r="B14" s="51">
        <v>9.16</v>
      </c>
      <c r="C14" s="51">
        <v>4.2300000000000004</v>
      </c>
      <c r="D14" s="51">
        <v>14</v>
      </c>
      <c r="E14" s="51">
        <v>12.44</v>
      </c>
      <c r="F14" s="51">
        <v>3.84</v>
      </c>
      <c r="G14" s="51">
        <v>55.07</v>
      </c>
      <c r="H14" s="51">
        <v>14.72</v>
      </c>
      <c r="I14" s="51">
        <v>6.5</v>
      </c>
      <c r="J14" s="51">
        <v>0.11</v>
      </c>
      <c r="K14" s="51">
        <v>225.57</v>
      </c>
      <c r="L14" s="51">
        <v>25.34</v>
      </c>
      <c r="M14" s="51">
        <v>98.41</v>
      </c>
      <c r="N14" s="51">
        <v>8.3000000000000007</v>
      </c>
      <c r="O14" s="51">
        <v>0</v>
      </c>
      <c r="P14" s="51">
        <v>0.41</v>
      </c>
      <c r="Q14" s="51">
        <v>4.66</v>
      </c>
    </row>
    <row r="15" spans="1:21" customFormat="1">
      <c r="A15" s="50">
        <v>45577.291666666664</v>
      </c>
      <c r="B15" s="51">
        <v>9.16</v>
      </c>
      <c r="C15" s="51">
        <v>4.26</v>
      </c>
      <c r="D15" s="51">
        <v>14</v>
      </c>
      <c r="E15" s="51">
        <v>12.15</v>
      </c>
      <c r="F15" s="51">
        <v>3.82</v>
      </c>
      <c r="G15" s="51">
        <v>52.04</v>
      </c>
      <c r="H15" s="51">
        <v>10.77</v>
      </c>
      <c r="I15" s="51">
        <v>6.32</v>
      </c>
      <c r="J15" s="51">
        <v>0.24</v>
      </c>
      <c r="K15" s="51">
        <v>265.33</v>
      </c>
      <c r="L15" s="51">
        <v>26.53</v>
      </c>
      <c r="M15" s="51">
        <v>98.26</v>
      </c>
      <c r="N15" s="51">
        <v>40.1</v>
      </c>
      <c r="O15" s="51">
        <v>0</v>
      </c>
      <c r="P15" s="51">
        <v>0.41</v>
      </c>
      <c r="Q15" s="51">
        <v>4.6500000000000004</v>
      </c>
    </row>
    <row r="16" spans="1:21" customFormat="1">
      <c r="A16" s="50">
        <v>45577.333333333336</v>
      </c>
      <c r="B16" s="51">
        <v>9.18</v>
      </c>
      <c r="C16" s="51">
        <v>4.24</v>
      </c>
      <c r="D16" s="51">
        <v>14</v>
      </c>
      <c r="E16" s="51">
        <v>11.18</v>
      </c>
      <c r="F16" s="51">
        <v>3.63</v>
      </c>
      <c r="G16" s="51">
        <v>42.48</v>
      </c>
      <c r="H16" s="51">
        <v>8.0500000000000007</v>
      </c>
      <c r="I16" s="51">
        <v>6.34</v>
      </c>
      <c r="J16" s="51">
        <v>0.34</v>
      </c>
      <c r="K16" s="51">
        <v>283.5</v>
      </c>
      <c r="L16" s="51">
        <v>28.71</v>
      </c>
      <c r="M16" s="51">
        <v>86.79</v>
      </c>
      <c r="N16" s="51">
        <v>241.3</v>
      </c>
      <c r="O16" s="51">
        <v>0</v>
      </c>
      <c r="P16" s="51">
        <v>0.4</v>
      </c>
      <c r="Q16" s="51">
        <v>4.66</v>
      </c>
    </row>
    <row r="17" spans="1:17" customFormat="1">
      <c r="A17" s="50">
        <v>45577.375</v>
      </c>
      <c r="B17" s="51">
        <v>9.2200000000000006</v>
      </c>
      <c r="C17" s="51">
        <v>4.16</v>
      </c>
      <c r="D17" s="51">
        <v>14</v>
      </c>
      <c r="E17" s="51">
        <v>11.23</v>
      </c>
      <c r="F17" s="51">
        <v>4.04</v>
      </c>
      <c r="G17" s="51">
        <v>38.799999999999997</v>
      </c>
      <c r="H17" s="51">
        <v>8.5399999999999991</v>
      </c>
      <c r="I17" s="51">
        <v>6.27</v>
      </c>
      <c r="J17" s="51">
        <v>0.18</v>
      </c>
      <c r="K17" s="51">
        <v>236.89</v>
      </c>
      <c r="L17" s="51">
        <v>31.22</v>
      </c>
      <c r="M17" s="51">
        <v>73.05</v>
      </c>
      <c r="N17" s="51">
        <v>423</v>
      </c>
      <c r="O17" s="51">
        <v>0</v>
      </c>
      <c r="P17" s="51">
        <v>0.39</v>
      </c>
      <c r="Q17" s="51">
        <v>4.6500000000000004</v>
      </c>
    </row>
    <row r="18" spans="1:17" customFormat="1">
      <c r="A18" s="50">
        <v>45577.416666666664</v>
      </c>
      <c r="B18" s="51">
        <v>9.27</v>
      </c>
      <c r="C18" s="51">
        <v>4.1900000000000004</v>
      </c>
      <c r="D18" s="51">
        <v>14.02</v>
      </c>
      <c r="E18" s="51">
        <v>10.36</v>
      </c>
      <c r="F18" s="51">
        <v>6.01</v>
      </c>
      <c r="G18" s="51">
        <v>30.64</v>
      </c>
      <c r="H18" s="51">
        <v>8.5399999999999991</v>
      </c>
      <c r="I18" s="51">
        <v>6.12</v>
      </c>
      <c r="J18" s="51">
        <v>0.13</v>
      </c>
      <c r="K18" s="51">
        <v>212.03</v>
      </c>
      <c r="L18" s="51">
        <v>33.17</v>
      </c>
      <c r="M18" s="51">
        <v>63.52</v>
      </c>
      <c r="N18" s="51">
        <v>113.4</v>
      </c>
      <c r="O18" s="51">
        <v>0</v>
      </c>
      <c r="P18" s="51">
        <v>0.39</v>
      </c>
      <c r="Q18" s="51">
        <v>4.6900000000000004</v>
      </c>
    </row>
    <row r="19" spans="1:17" customFormat="1">
      <c r="A19" s="50">
        <v>45577.458333333336</v>
      </c>
      <c r="B19" s="51">
        <v>9.14</v>
      </c>
      <c r="C19" s="51">
        <v>4.4000000000000004</v>
      </c>
      <c r="D19" s="51">
        <v>14</v>
      </c>
      <c r="E19" s="51">
        <v>12.3</v>
      </c>
      <c r="F19" s="51">
        <v>7.83</v>
      </c>
      <c r="G19" s="51">
        <v>30.86</v>
      </c>
      <c r="H19" s="51">
        <v>6.47</v>
      </c>
      <c r="I19" s="51">
        <v>5.45</v>
      </c>
      <c r="J19" s="51">
        <v>0.61</v>
      </c>
      <c r="K19" s="51">
        <v>192.21</v>
      </c>
      <c r="L19" s="51">
        <v>33.520000000000003</v>
      </c>
      <c r="M19" s="51">
        <v>59</v>
      </c>
      <c r="N19" s="51">
        <v>705.5</v>
      </c>
      <c r="O19" s="51">
        <v>0</v>
      </c>
      <c r="P19" s="51">
        <v>0.28000000000000003</v>
      </c>
      <c r="Q19" s="51">
        <v>4.68</v>
      </c>
    </row>
    <row r="20" spans="1:17" customFormat="1">
      <c r="A20" s="50">
        <v>45577.5</v>
      </c>
      <c r="B20" s="51">
        <v>9.0399999999999991</v>
      </c>
      <c r="C20" s="51">
        <v>4.43</v>
      </c>
      <c r="D20" s="51">
        <v>14</v>
      </c>
      <c r="E20" s="51">
        <v>13.71</v>
      </c>
      <c r="F20" s="51">
        <v>8.56</v>
      </c>
      <c r="G20" s="51">
        <v>22.36</v>
      </c>
      <c r="H20" s="51">
        <v>6.06</v>
      </c>
      <c r="I20" s="51">
        <v>5.18</v>
      </c>
      <c r="J20" s="51">
        <v>0.63</v>
      </c>
      <c r="K20" s="51">
        <v>118.93</v>
      </c>
      <c r="L20" s="51">
        <v>33.799999999999997</v>
      </c>
      <c r="M20" s="51">
        <v>55.26</v>
      </c>
      <c r="N20" s="51">
        <v>838.7</v>
      </c>
      <c r="O20" s="51">
        <v>0</v>
      </c>
      <c r="P20" s="51">
        <v>0.27</v>
      </c>
      <c r="Q20" s="51">
        <v>4.68</v>
      </c>
    </row>
    <row r="21" spans="1:17" customFormat="1">
      <c r="A21" s="50">
        <v>45577.541666666664</v>
      </c>
      <c r="B21" s="51">
        <v>9.01</v>
      </c>
      <c r="C21" s="51">
        <v>4.45</v>
      </c>
      <c r="D21" s="51">
        <v>14</v>
      </c>
      <c r="E21" s="51">
        <v>13.41</v>
      </c>
      <c r="F21" s="51">
        <v>8.11</v>
      </c>
      <c r="G21" s="51">
        <v>22.27</v>
      </c>
      <c r="H21" s="51">
        <v>6.06</v>
      </c>
      <c r="I21" s="51">
        <v>4.79</v>
      </c>
      <c r="J21" s="51">
        <v>0.57999999999999996</v>
      </c>
      <c r="K21" s="51">
        <v>115.97</v>
      </c>
      <c r="L21" s="51">
        <v>34.729999999999997</v>
      </c>
      <c r="M21" s="51">
        <v>51.66</v>
      </c>
      <c r="N21" s="51">
        <v>846.8</v>
      </c>
      <c r="O21" s="51">
        <v>0</v>
      </c>
      <c r="P21" s="51">
        <v>0.26</v>
      </c>
      <c r="Q21" s="51">
        <v>4.67</v>
      </c>
    </row>
    <row r="22" spans="1:17" customFormat="1">
      <c r="A22" s="50">
        <v>45577.583333333336</v>
      </c>
      <c r="B22" s="51">
        <v>9.02</v>
      </c>
      <c r="C22" s="51">
        <v>4.45</v>
      </c>
      <c r="D22" s="51">
        <v>14</v>
      </c>
      <c r="E22" s="51">
        <v>12.68</v>
      </c>
      <c r="F22" s="51">
        <v>9.19</v>
      </c>
      <c r="G22" s="51">
        <v>19.41</v>
      </c>
      <c r="H22" s="51">
        <v>4.58</v>
      </c>
      <c r="I22" s="51">
        <v>4.57</v>
      </c>
      <c r="J22" s="51">
        <v>0.57999999999999996</v>
      </c>
      <c r="K22" s="51">
        <v>175.41</v>
      </c>
      <c r="L22" s="51">
        <v>34.729999999999997</v>
      </c>
      <c r="M22" s="51">
        <v>49.62</v>
      </c>
      <c r="N22" s="51">
        <v>489.8</v>
      </c>
      <c r="O22" s="51">
        <v>0</v>
      </c>
      <c r="P22" s="51">
        <v>0.24</v>
      </c>
      <c r="Q22" s="51">
        <v>4.67</v>
      </c>
    </row>
    <row r="23" spans="1:17" customFormat="1">
      <c r="A23" s="50">
        <v>45577.625</v>
      </c>
      <c r="B23" s="51">
        <v>9.17</v>
      </c>
      <c r="C23" s="51">
        <v>4.45</v>
      </c>
      <c r="D23" s="51">
        <v>14</v>
      </c>
      <c r="E23" s="51">
        <v>13.06</v>
      </c>
      <c r="F23" s="51">
        <v>7.53</v>
      </c>
      <c r="G23" s="51">
        <v>20.079999999999998</v>
      </c>
      <c r="H23" s="51">
        <v>5.34</v>
      </c>
      <c r="I23" s="51">
        <v>4.28</v>
      </c>
      <c r="J23" s="51">
        <v>0.22</v>
      </c>
      <c r="K23" s="51">
        <v>139.36000000000001</v>
      </c>
      <c r="L23" s="51">
        <v>34.159999999999997</v>
      </c>
      <c r="M23" s="51">
        <v>53.7</v>
      </c>
      <c r="N23" s="51">
        <v>151.30000000000001</v>
      </c>
      <c r="O23" s="51">
        <v>0</v>
      </c>
      <c r="P23" s="51">
        <v>0.44</v>
      </c>
      <c r="Q23" s="51">
        <v>4.6399999999999997</v>
      </c>
    </row>
    <row r="24" spans="1:17" customFormat="1">
      <c r="A24" s="50">
        <v>45577.666666666664</v>
      </c>
      <c r="B24" s="51">
        <v>9.1999999999999993</v>
      </c>
      <c r="C24" s="51">
        <v>4.21</v>
      </c>
      <c r="D24" s="51">
        <v>14</v>
      </c>
      <c r="E24" s="51">
        <v>12.33</v>
      </c>
      <c r="F24" s="51">
        <v>5.94</v>
      </c>
      <c r="G24" s="51">
        <v>15.96</v>
      </c>
      <c r="H24" s="51">
        <v>5.34</v>
      </c>
      <c r="I24" s="51">
        <v>4.54</v>
      </c>
      <c r="J24" s="51">
        <v>0.75</v>
      </c>
      <c r="K24" s="51">
        <v>97.77</v>
      </c>
      <c r="L24" s="51">
        <v>32.409999999999997</v>
      </c>
      <c r="M24" s="51">
        <v>56.29</v>
      </c>
      <c r="N24" s="51">
        <v>78.2</v>
      </c>
      <c r="O24" s="51">
        <v>0</v>
      </c>
      <c r="P24" s="51">
        <v>0.45</v>
      </c>
      <c r="Q24" s="51">
        <v>4.62</v>
      </c>
    </row>
    <row r="25" spans="1:17" customFormat="1">
      <c r="A25" s="50">
        <v>45577.708333333336</v>
      </c>
      <c r="B25" s="51">
        <v>9.18</v>
      </c>
      <c r="C25" s="51">
        <v>4.3099999999999996</v>
      </c>
      <c r="D25" s="51">
        <v>14</v>
      </c>
      <c r="E25" s="51">
        <v>12.19</v>
      </c>
      <c r="F25" s="51">
        <v>4.92</v>
      </c>
      <c r="G25" s="51">
        <v>15.91</v>
      </c>
      <c r="H25" s="51">
        <v>3.79</v>
      </c>
      <c r="I25" s="51">
        <v>4.6900000000000004</v>
      </c>
      <c r="J25" s="51">
        <v>0.35</v>
      </c>
      <c r="K25" s="51">
        <v>88.42</v>
      </c>
      <c r="L25" s="51">
        <v>32.15</v>
      </c>
      <c r="M25" s="51">
        <v>64.180000000000007</v>
      </c>
      <c r="N25" s="51">
        <v>22.7</v>
      </c>
      <c r="O25" s="51">
        <v>0</v>
      </c>
      <c r="P25" s="51">
        <v>0.46</v>
      </c>
      <c r="Q25" s="51">
        <v>4.63</v>
      </c>
    </row>
    <row r="26" spans="1:17" customFormat="1">
      <c r="A26" s="50">
        <v>45577.75</v>
      </c>
      <c r="B26" s="51">
        <v>9.09</v>
      </c>
      <c r="C26" s="51">
        <v>4.3600000000000003</v>
      </c>
      <c r="D26" s="51">
        <v>14</v>
      </c>
      <c r="E26" s="51">
        <v>12.2</v>
      </c>
      <c r="F26" s="51">
        <v>4.3499999999999996</v>
      </c>
      <c r="G26" s="51">
        <v>21.95</v>
      </c>
      <c r="H26" s="51">
        <v>5.34</v>
      </c>
      <c r="I26" s="51">
        <v>4.8099999999999996</v>
      </c>
      <c r="J26" s="51">
        <v>0.2</v>
      </c>
      <c r="K26" s="51">
        <v>179.56</v>
      </c>
      <c r="L26" s="51">
        <v>30.63</v>
      </c>
      <c r="M26" s="51">
        <v>72.41</v>
      </c>
      <c r="N26" s="51">
        <v>4.4000000000000004</v>
      </c>
      <c r="O26" s="51">
        <v>0</v>
      </c>
      <c r="P26" s="51">
        <v>0.48</v>
      </c>
      <c r="Q26" s="51">
        <v>4.6399999999999997</v>
      </c>
    </row>
    <row r="27" spans="1:17" customFormat="1">
      <c r="A27" s="50">
        <v>45577.791666666664</v>
      </c>
      <c r="B27" s="51">
        <v>9.14</v>
      </c>
      <c r="C27" s="51">
        <v>4.3600000000000003</v>
      </c>
      <c r="D27" s="51">
        <v>14</v>
      </c>
      <c r="E27" s="51">
        <v>12.02</v>
      </c>
      <c r="F27" s="51">
        <v>7.12</v>
      </c>
      <c r="G27" s="51">
        <v>23.93</v>
      </c>
      <c r="H27" s="51">
        <v>5.34</v>
      </c>
      <c r="I27" s="51">
        <v>4.76</v>
      </c>
      <c r="J27" s="51">
        <v>0.17</v>
      </c>
      <c r="K27" s="51">
        <v>161.09</v>
      </c>
      <c r="L27" s="51">
        <v>29.81</v>
      </c>
      <c r="M27" s="51">
        <v>73.150000000000006</v>
      </c>
      <c r="N27" s="51">
        <v>2.1</v>
      </c>
      <c r="O27" s="51">
        <v>0</v>
      </c>
      <c r="P27" s="51">
        <v>0.49</v>
      </c>
      <c r="Q27" s="51">
        <v>4.67</v>
      </c>
    </row>
    <row r="28" spans="1:17" customFormat="1">
      <c r="A28" s="50">
        <v>45577.833333333336</v>
      </c>
      <c r="B28" s="51">
        <v>9.3699999999999992</v>
      </c>
      <c r="C28" s="51">
        <v>4.2300000000000004</v>
      </c>
      <c r="D28" s="51">
        <v>14.08</v>
      </c>
      <c r="E28" s="51">
        <v>11.69</v>
      </c>
      <c r="F28" s="51">
        <v>7.76</v>
      </c>
      <c r="G28" s="51">
        <v>25</v>
      </c>
      <c r="H28" s="51">
        <v>5</v>
      </c>
      <c r="I28" s="51">
        <v>4.67</v>
      </c>
      <c r="J28" s="51">
        <v>0.3</v>
      </c>
      <c r="K28" s="51">
        <v>82</v>
      </c>
      <c r="L28" s="51">
        <v>29.65</v>
      </c>
      <c r="M28" s="51">
        <v>73.3</v>
      </c>
      <c r="N28" s="51">
        <v>2.1</v>
      </c>
      <c r="O28" s="51">
        <v>0</v>
      </c>
      <c r="P28" s="51">
        <v>0.45</v>
      </c>
      <c r="Q28" s="51">
        <v>4.6900000000000004</v>
      </c>
    </row>
    <row r="29" spans="1:17" customFormat="1">
      <c r="A29" s="50">
        <v>45577.875</v>
      </c>
      <c r="B29" s="51">
        <v>9.16</v>
      </c>
      <c r="C29" s="51">
        <v>4.26</v>
      </c>
      <c r="D29" s="51">
        <v>14</v>
      </c>
      <c r="E29" s="51">
        <v>12.23</v>
      </c>
      <c r="F29" s="51">
        <v>6.17</v>
      </c>
      <c r="G29" s="51">
        <v>31.97</v>
      </c>
      <c r="H29" s="51">
        <v>11.51</v>
      </c>
      <c r="I29" s="51">
        <v>7.14</v>
      </c>
      <c r="J29" s="51">
        <v>0.33</v>
      </c>
      <c r="K29" s="51">
        <v>96.07</v>
      </c>
      <c r="L29" s="51">
        <v>29.32</v>
      </c>
      <c r="M29" s="51">
        <v>75.11</v>
      </c>
      <c r="N29" s="51">
        <v>2.1</v>
      </c>
      <c r="O29" s="51">
        <v>0</v>
      </c>
      <c r="P29" s="51">
        <v>0.48</v>
      </c>
      <c r="Q29" s="51">
        <v>4.67</v>
      </c>
    </row>
    <row r="30" spans="1:17" customFormat="1">
      <c r="A30" s="50">
        <v>45577.916666666664</v>
      </c>
      <c r="B30" s="51">
        <v>9.16</v>
      </c>
      <c r="C30" s="51">
        <v>4.24</v>
      </c>
      <c r="D30" s="51">
        <v>14</v>
      </c>
      <c r="E30" s="51">
        <v>12.1</v>
      </c>
      <c r="F30" s="51">
        <v>5.74</v>
      </c>
      <c r="G30" s="51">
        <v>37.33</v>
      </c>
      <c r="H30" s="51">
        <v>11.51</v>
      </c>
      <c r="I30" s="51">
        <v>6.45</v>
      </c>
      <c r="J30" s="51">
        <v>0.44</v>
      </c>
      <c r="K30" s="51">
        <v>149.25</v>
      </c>
      <c r="L30" s="51">
        <v>28.75</v>
      </c>
      <c r="M30" s="51">
        <v>77.78</v>
      </c>
      <c r="N30" s="51">
        <v>2.1</v>
      </c>
      <c r="O30" s="51">
        <v>0</v>
      </c>
      <c r="P30" s="51">
        <v>0.49</v>
      </c>
      <c r="Q30" s="51">
        <v>4.67</v>
      </c>
    </row>
    <row r="31" spans="1:17" customFormat="1">
      <c r="A31" s="50">
        <v>45577.958333333336</v>
      </c>
      <c r="B31" s="51">
        <v>9.15</v>
      </c>
      <c r="C31" s="51">
        <v>4.29</v>
      </c>
      <c r="D31" s="51">
        <v>14</v>
      </c>
      <c r="E31" s="51">
        <v>12.57</v>
      </c>
      <c r="F31" s="51">
        <v>4.99</v>
      </c>
      <c r="G31" s="51">
        <v>41.43</v>
      </c>
      <c r="H31" s="51">
        <v>11.67</v>
      </c>
      <c r="I31" s="51">
        <v>6.13</v>
      </c>
      <c r="J31" s="51">
        <v>0.2</v>
      </c>
      <c r="K31" s="51">
        <v>220.41</v>
      </c>
      <c r="L31" s="51">
        <v>28.36</v>
      </c>
      <c r="M31" s="51">
        <v>88.22</v>
      </c>
      <c r="N31" s="51">
        <v>2.4</v>
      </c>
      <c r="O31" s="51">
        <v>0</v>
      </c>
      <c r="P31" s="51">
        <v>0.49</v>
      </c>
      <c r="Q31" s="51">
        <v>4.66</v>
      </c>
    </row>
    <row r="32" spans="1:17" customFormat="1">
      <c r="A32" s="50">
        <v>45578</v>
      </c>
      <c r="B32" s="51">
        <v>9.15</v>
      </c>
      <c r="C32" s="51">
        <v>4.2699999999999996</v>
      </c>
      <c r="D32" s="51">
        <v>14</v>
      </c>
      <c r="E32" s="51">
        <v>13.55</v>
      </c>
      <c r="F32" s="51">
        <v>6.46</v>
      </c>
      <c r="G32" s="51">
        <v>42</v>
      </c>
      <c r="H32" s="51">
        <v>12.18</v>
      </c>
      <c r="I32" s="51">
        <v>5.82</v>
      </c>
      <c r="J32" s="51">
        <v>0.17</v>
      </c>
      <c r="K32" s="51">
        <v>192.92</v>
      </c>
      <c r="L32" s="51">
        <v>27.73</v>
      </c>
      <c r="M32" s="51">
        <v>86.46</v>
      </c>
      <c r="N32" s="51">
        <v>2.2000000000000002</v>
      </c>
      <c r="O32" s="51">
        <v>0</v>
      </c>
      <c r="P32" s="51">
        <v>0.49</v>
      </c>
      <c r="Q32" s="51">
        <v>4.66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9.01</v>
      </c>
      <c r="C34" s="41">
        <f t="shared" si="0"/>
        <v>4.16</v>
      </c>
      <c r="D34" s="41">
        <f t="shared" si="0"/>
        <v>14</v>
      </c>
      <c r="E34" s="41">
        <f t="shared" si="0"/>
        <v>10.36</v>
      </c>
      <c r="F34" s="41">
        <f t="shared" si="0"/>
        <v>3</v>
      </c>
      <c r="G34" s="41">
        <f t="shared" si="0"/>
        <v>15.91</v>
      </c>
      <c r="H34" s="41">
        <f t="shared" si="0"/>
        <v>3.79</v>
      </c>
      <c r="I34" s="41">
        <f t="shared" si="0"/>
        <v>4.28</v>
      </c>
      <c r="J34" s="41">
        <f t="shared" si="0"/>
        <v>0.11</v>
      </c>
      <c r="K34" s="41">
        <f t="shared" si="0"/>
        <v>82</v>
      </c>
      <c r="L34" s="41">
        <f t="shared" si="0"/>
        <v>25.34</v>
      </c>
      <c r="M34" s="41">
        <f t="shared" si="0"/>
        <v>49.62</v>
      </c>
      <c r="N34" s="41">
        <f t="shared" si="0"/>
        <v>2.1</v>
      </c>
      <c r="O34" s="41">
        <f t="shared" si="0"/>
        <v>0</v>
      </c>
      <c r="P34" s="41">
        <f t="shared" si="0"/>
        <v>0.24</v>
      </c>
      <c r="Q34" s="41">
        <f t="shared" si="0"/>
        <v>4.62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9.3699999999999992</v>
      </c>
      <c r="C35" s="33">
        <f t="shared" si="1"/>
        <v>4.45</v>
      </c>
      <c r="D35" s="33">
        <f t="shared" si="1"/>
        <v>14.08</v>
      </c>
      <c r="E35" s="33">
        <f t="shared" si="1"/>
        <v>13.71</v>
      </c>
      <c r="F35" s="33">
        <f t="shared" si="1"/>
        <v>9.19</v>
      </c>
      <c r="G35" s="33">
        <f t="shared" si="1"/>
        <v>59.95</v>
      </c>
      <c r="H35" s="33">
        <f t="shared" si="1"/>
        <v>14.72</v>
      </c>
      <c r="I35" s="33">
        <f t="shared" si="1"/>
        <v>7.14</v>
      </c>
      <c r="J35" s="33">
        <f t="shared" si="1"/>
        <v>0.75</v>
      </c>
      <c r="K35" s="33">
        <f t="shared" si="1"/>
        <v>283.5</v>
      </c>
      <c r="L35" s="33">
        <f t="shared" si="1"/>
        <v>34.729999999999997</v>
      </c>
      <c r="M35" s="33">
        <f t="shared" si="1"/>
        <v>99.22</v>
      </c>
      <c r="N35" s="33">
        <f t="shared" si="1"/>
        <v>846.8</v>
      </c>
      <c r="O35" s="33">
        <f t="shared" si="1"/>
        <v>0</v>
      </c>
      <c r="P35" s="33">
        <f t="shared" si="1"/>
        <v>0.49</v>
      </c>
      <c r="Q35" s="33">
        <f t="shared" si="1"/>
        <v>4.6900000000000004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9.1612500000000008</v>
      </c>
      <c r="C36" s="41">
        <f t="shared" si="2"/>
        <v>4.2912500000000007</v>
      </c>
      <c r="D36" s="41">
        <f t="shared" si="2"/>
        <v>14.004166666666665</v>
      </c>
      <c r="E36" s="41">
        <f t="shared" si="2"/>
        <v>12.250000000000002</v>
      </c>
      <c r="F36" s="41">
        <f t="shared" si="2"/>
        <v>5.5341666666666667</v>
      </c>
      <c r="G36" s="41">
        <f t="shared" si="2"/>
        <v>36.753750000000004</v>
      </c>
      <c r="H36" s="41">
        <f t="shared" si="2"/>
        <v>9.1795833333333317</v>
      </c>
      <c r="I36" s="41">
        <f t="shared" si="2"/>
        <v>5.691250000000001</v>
      </c>
      <c r="J36" s="41">
        <f t="shared" si="2"/>
        <v>0.30833333333333329</v>
      </c>
      <c r="K36" s="41">
        <f t="shared" si="2"/>
        <v>178.86875000000001</v>
      </c>
      <c r="L36" s="41">
        <f t="shared" si="2"/>
        <v>29.78916666666667</v>
      </c>
      <c r="M36" s="41">
        <f t="shared" si="2"/>
        <v>76.289166666666659</v>
      </c>
      <c r="N36" s="41">
        <f t="shared" si="2"/>
        <v>166.125</v>
      </c>
      <c r="O36" s="41">
        <f t="shared" si="2"/>
        <v>0</v>
      </c>
      <c r="P36" s="41">
        <f t="shared" si="2"/>
        <v>0.40583333333333332</v>
      </c>
      <c r="Q36" s="41">
        <f t="shared" si="2"/>
        <v>4.6620833333333325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7.5025358031975325E-2</v>
      </c>
      <c r="C37" s="41">
        <f t="shared" ref="C37:Q37" si="3">STDEV(C9:C32)</f>
        <v>8.8431378456124185E-2</v>
      </c>
      <c r="D37" s="41">
        <f t="shared" si="3"/>
        <v>1.6659418713870479E-2</v>
      </c>
      <c r="E37" s="41">
        <f t="shared" si="3"/>
        <v>0.78275988877701275</v>
      </c>
      <c r="F37" s="41">
        <f t="shared" si="3"/>
        <v>1.9235834238227858</v>
      </c>
      <c r="G37" s="41">
        <f t="shared" si="3"/>
        <v>15.492809219118397</v>
      </c>
      <c r="H37" s="41">
        <f t="shared" si="3"/>
        <v>3.7912880444819637</v>
      </c>
      <c r="I37" s="41">
        <f t="shared" si="3"/>
        <v>0.84931334157299609</v>
      </c>
      <c r="J37" s="41">
        <f t="shared" si="3"/>
        <v>0.18839520594534367</v>
      </c>
      <c r="K37" s="41">
        <f t="shared" si="3"/>
        <v>56.961450909136026</v>
      </c>
      <c r="L37" s="41">
        <f t="shared" si="3"/>
        <v>3.194828588538821</v>
      </c>
      <c r="M37" s="41">
        <f t="shared" si="3"/>
        <v>16.726925421546351</v>
      </c>
      <c r="N37" s="41">
        <f t="shared" si="3"/>
        <v>277.96346843175041</v>
      </c>
      <c r="O37" s="41">
        <f t="shared" si="3"/>
        <v>0</v>
      </c>
      <c r="P37" s="41">
        <f t="shared" si="3"/>
        <v>7.5866969765829406E-2</v>
      </c>
      <c r="Q37" s="41">
        <f t="shared" si="3"/>
        <v>1.7440374613713637E-2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9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45578.041666666664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>
        <v>45578.041666666664</v>
      </c>
      <c r="B9" s="51">
        <v>9.34</v>
      </c>
      <c r="C9" s="51">
        <v>4.16</v>
      </c>
      <c r="D9" s="51">
        <v>14.07</v>
      </c>
      <c r="E9" s="51">
        <v>13.8</v>
      </c>
      <c r="F9" s="51">
        <v>4.3899999999999997</v>
      </c>
      <c r="G9" s="51">
        <v>39.11</v>
      </c>
      <c r="H9" s="51">
        <v>12.18</v>
      </c>
      <c r="I9" s="51">
        <v>5.87</v>
      </c>
      <c r="J9" s="51">
        <v>0.17</v>
      </c>
      <c r="K9" s="51">
        <v>192.25</v>
      </c>
      <c r="L9" s="51">
        <v>26.78</v>
      </c>
      <c r="M9" s="51">
        <v>90.47</v>
      </c>
      <c r="N9" s="51">
        <v>2.1</v>
      </c>
      <c r="O9" s="51">
        <v>0</v>
      </c>
      <c r="P9" s="51">
        <v>0.51</v>
      </c>
      <c r="Q9" s="51">
        <v>4.6500000000000004</v>
      </c>
    </row>
    <row r="10" spans="1:21" customFormat="1">
      <c r="A10" s="50">
        <v>45578.083333333336</v>
      </c>
      <c r="B10" s="51">
        <v>9.35</v>
      </c>
      <c r="C10" s="51">
        <v>4.09</v>
      </c>
      <c r="D10" s="51">
        <v>14.09</v>
      </c>
      <c r="E10" s="51">
        <v>12.78</v>
      </c>
      <c r="F10" s="51">
        <v>4.0199999999999996</v>
      </c>
      <c r="G10" s="51">
        <v>38.21</v>
      </c>
      <c r="H10" s="51">
        <v>13.94</v>
      </c>
      <c r="I10" s="51">
        <v>5.69</v>
      </c>
      <c r="J10" s="51">
        <v>0.09</v>
      </c>
      <c r="K10" s="51">
        <v>181.52</v>
      </c>
      <c r="L10" s="51">
        <v>26.51</v>
      </c>
      <c r="M10" s="51">
        <v>90.69</v>
      </c>
      <c r="N10" s="51">
        <v>2.1</v>
      </c>
      <c r="O10" s="51">
        <v>0</v>
      </c>
      <c r="P10" s="51">
        <v>0.51</v>
      </c>
      <c r="Q10" s="51">
        <v>4.6399999999999997</v>
      </c>
    </row>
    <row r="11" spans="1:21" customFormat="1">
      <c r="A11" s="50">
        <v>45578.125</v>
      </c>
      <c r="B11" s="51">
        <v>9.41</v>
      </c>
      <c r="C11" s="51">
        <v>4.09</v>
      </c>
      <c r="D11" s="51">
        <v>14.11</v>
      </c>
      <c r="E11" s="51">
        <v>12</v>
      </c>
      <c r="F11" s="51">
        <v>3.76</v>
      </c>
      <c r="G11" s="51">
        <v>38.409999999999997</v>
      </c>
      <c r="H11" s="51">
        <v>13.94</v>
      </c>
      <c r="I11" s="51">
        <v>5.66</v>
      </c>
      <c r="J11" s="51">
        <v>0.13</v>
      </c>
      <c r="K11" s="51">
        <v>230.13</v>
      </c>
      <c r="L11" s="51">
        <v>25.98</v>
      </c>
      <c r="M11" s="51">
        <v>92.87</v>
      </c>
      <c r="N11" s="51">
        <v>2.1</v>
      </c>
      <c r="O11" s="51">
        <v>0</v>
      </c>
      <c r="P11" s="51">
        <v>0.51</v>
      </c>
      <c r="Q11" s="51">
        <v>4.6500000000000004</v>
      </c>
    </row>
    <row r="12" spans="1:21" customFormat="1">
      <c r="A12" s="50">
        <v>45578.166666666664</v>
      </c>
      <c r="B12" s="51">
        <v>9.4</v>
      </c>
      <c r="C12" s="51">
        <v>4.09</v>
      </c>
      <c r="D12" s="51">
        <v>14.11</v>
      </c>
      <c r="E12" s="51">
        <v>12.01</v>
      </c>
      <c r="F12" s="51">
        <v>3.63</v>
      </c>
      <c r="G12" s="51">
        <v>34.74</v>
      </c>
      <c r="H12" s="51">
        <v>14.63</v>
      </c>
      <c r="I12" s="51">
        <v>5.61</v>
      </c>
      <c r="J12" s="51">
        <v>0.13</v>
      </c>
      <c r="K12" s="51">
        <v>220.5</v>
      </c>
      <c r="L12" s="51">
        <v>25.63</v>
      </c>
      <c r="M12" s="51">
        <v>95.52</v>
      </c>
      <c r="N12" s="51">
        <v>2</v>
      </c>
      <c r="O12" s="51">
        <v>0</v>
      </c>
      <c r="P12" s="51">
        <v>0.49</v>
      </c>
      <c r="Q12" s="51">
        <v>4.66</v>
      </c>
    </row>
    <row r="13" spans="1:21" customFormat="1">
      <c r="A13" s="50">
        <v>45578.208333333336</v>
      </c>
      <c r="B13" s="51">
        <v>9.42</v>
      </c>
      <c r="C13" s="51">
        <v>4.05</v>
      </c>
      <c r="D13" s="51">
        <v>14.11</v>
      </c>
      <c r="E13" s="51">
        <v>11.39</v>
      </c>
      <c r="F13" s="51">
        <v>3.41</v>
      </c>
      <c r="G13" s="51">
        <v>34.950000000000003</v>
      </c>
      <c r="H13" s="51">
        <v>14.63</v>
      </c>
      <c r="I13" s="51">
        <v>5.53</v>
      </c>
      <c r="J13" s="51">
        <v>0.17</v>
      </c>
      <c r="K13" s="51">
        <v>208.24</v>
      </c>
      <c r="L13" s="51">
        <v>25.63</v>
      </c>
      <c r="M13" s="51">
        <v>94.78</v>
      </c>
      <c r="N13" s="51">
        <v>2</v>
      </c>
      <c r="O13" s="51">
        <v>0</v>
      </c>
      <c r="P13" s="51">
        <v>0.47</v>
      </c>
      <c r="Q13" s="51">
        <v>4.67</v>
      </c>
    </row>
    <row r="14" spans="1:21" customFormat="1">
      <c r="A14" s="50">
        <v>45578.25</v>
      </c>
      <c r="B14" s="51">
        <v>9.3000000000000007</v>
      </c>
      <c r="C14" s="51">
        <v>4.0999999999999996</v>
      </c>
      <c r="D14" s="51">
        <v>14.04</v>
      </c>
      <c r="E14" s="51">
        <v>12.03</v>
      </c>
      <c r="F14" s="51">
        <v>3.55</v>
      </c>
      <c r="G14" s="51">
        <v>34.19</v>
      </c>
      <c r="H14" s="51">
        <v>10.58</v>
      </c>
      <c r="I14" s="51">
        <v>5.28</v>
      </c>
      <c r="J14" s="51">
        <v>0.35</v>
      </c>
      <c r="K14" s="51">
        <v>69.510000000000005</v>
      </c>
      <c r="L14" s="51">
        <v>25.65</v>
      </c>
      <c r="M14" s="51">
        <v>96.12</v>
      </c>
      <c r="N14" s="51">
        <v>5.9</v>
      </c>
      <c r="O14" s="51">
        <v>0</v>
      </c>
      <c r="P14" s="51">
        <v>0.41</v>
      </c>
      <c r="Q14" s="51">
        <v>4.67</v>
      </c>
    </row>
    <row r="15" spans="1:21" customFormat="1">
      <c r="A15" s="50">
        <v>45578.291666666664</v>
      </c>
      <c r="B15" s="51">
        <v>9.27</v>
      </c>
      <c r="C15" s="51">
        <v>4.07</v>
      </c>
      <c r="D15" s="51">
        <v>14</v>
      </c>
      <c r="E15" s="51">
        <v>12.43</v>
      </c>
      <c r="F15" s="51">
        <v>4.4400000000000004</v>
      </c>
      <c r="G15" s="51">
        <v>36.950000000000003</v>
      </c>
      <c r="H15" s="51">
        <v>9.5500000000000007</v>
      </c>
      <c r="I15" s="51">
        <v>5.0999999999999996</v>
      </c>
      <c r="J15" s="51">
        <v>0.55000000000000004</v>
      </c>
      <c r="K15" s="51">
        <v>70.37</v>
      </c>
      <c r="L15" s="51">
        <v>26.15</v>
      </c>
      <c r="M15" s="51">
        <v>96.95</v>
      </c>
      <c r="N15" s="51">
        <v>42.1</v>
      </c>
      <c r="O15" s="51">
        <v>0</v>
      </c>
      <c r="P15" s="51">
        <v>0.43</v>
      </c>
      <c r="Q15" s="51">
        <v>4.66</v>
      </c>
    </row>
    <row r="16" spans="1:21" customFormat="1">
      <c r="A16" s="50">
        <v>45578.333333333336</v>
      </c>
      <c r="B16" s="51">
        <v>9.25</v>
      </c>
      <c r="C16" s="51">
        <v>4.0999999999999996</v>
      </c>
      <c r="D16" s="51">
        <v>14</v>
      </c>
      <c r="E16" s="51">
        <v>13.09</v>
      </c>
      <c r="F16" s="51">
        <v>4.84</v>
      </c>
      <c r="G16" s="51">
        <v>40.31</v>
      </c>
      <c r="H16" s="51">
        <v>9.69</v>
      </c>
      <c r="I16" s="51">
        <v>5.36</v>
      </c>
      <c r="J16" s="51">
        <v>0.32</v>
      </c>
      <c r="K16" s="51">
        <v>139.85</v>
      </c>
      <c r="L16" s="51">
        <v>28.68</v>
      </c>
      <c r="M16" s="51">
        <v>90.87</v>
      </c>
      <c r="N16" s="51">
        <v>244.9</v>
      </c>
      <c r="O16" s="51">
        <v>0</v>
      </c>
      <c r="P16" s="51">
        <v>0.44</v>
      </c>
      <c r="Q16" s="51">
        <v>4.67</v>
      </c>
    </row>
    <row r="17" spans="1:17" customFormat="1">
      <c r="A17" s="50">
        <v>45578.375</v>
      </c>
      <c r="B17" s="51">
        <v>9.26</v>
      </c>
      <c r="C17" s="51">
        <v>4.09</v>
      </c>
      <c r="D17" s="51">
        <v>14</v>
      </c>
      <c r="E17" s="51">
        <v>13.34</v>
      </c>
      <c r="F17" s="51">
        <v>5.03</v>
      </c>
      <c r="G17" s="51">
        <v>40.83</v>
      </c>
      <c r="H17" s="51">
        <v>13.31</v>
      </c>
      <c r="I17" s="51">
        <v>5.04</v>
      </c>
      <c r="J17" s="51">
        <v>0.45</v>
      </c>
      <c r="K17" s="51">
        <v>142.83000000000001</v>
      </c>
      <c r="L17" s="51">
        <v>30.92</v>
      </c>
      <c r="M17" s="51">
        <v>78.709999999999994</v>
      </c>
      <c r="N17" s="51">
        <v>403.1</v>
      </c>
      <c r="O17" s="51">
        <v>0</v>
      </c>
      <c r="P17" s="51">
        <v>0.44</v>
      </c>
      <c r="Q17" s="51">
        <v>4.67</v>
      </c>
    </row>
    <row r="18" spans="1:17" customFormat="1">
      <c r="A18" s="50">
        <v>45578.416666666664</v>
      </c>
      <c r="B18" s="51">
        <v>9.36</v>
      </c>
      <c r="C18" s="51">
        <v>4.13</v>
      </c>
      <c r="D18" s="51">
        <v>14.08</v>
      </c>
      <c r="E18" s="51">
        <v>13.91</v>
      </c>
      <c r="F18" s="51">
        <v>5.16</v>
      </c>
      <c r="G18" s="51">
        <v>40.83</v>
      </c>
      <c r="H18" s="51">
        <v>13.31</v>
      </c>
      <c r="I18" s="51">
        <v>5.03</v>
      </c>
      <c r="J18" s="51">
        <v>0.54</v>
      </c>
      <c r="K18" s="51">
        <v>80.73</v>
      </c>
      <c r="L18" s="51">
        <v>31.63</v>
      </c>
      <c r="M18" s="51">
        <v>71.34</v>
      </c>
      <c r="N18" s="51">
        <v>136.30000000000001</v>
      </c>
      <c r="O18" s="51">
        <v>0</v>
      </c>
      <c r="P18" s="51">
        <v>0.5</v>
      </c>
      <c r="Q18" s="51">
        <v>4.6500000000000004</v>
      </c>
    </row>
    <row r="19" spans="1:17" customFormat="1">
      <c r="A19" s="50">
        <v>45578.458333333336</v>
      </c>
      <c r="B19" s="51">
        <v>9.3800000000000008</v>
      </c>
      <c r="C19" s="51">
        <v>4.13</v>
      </c>
      <c r="D19" s="51">
        <v>14.11</v>
      </c>
      <c r="E19" s="51">
        <v>11.94</v>
      </c>
      <c r="F19" s="51">
        <v>4.6500000000000004</v>
      </c>
      <c r="G19" s="51">
        <v>37.619999999999997</v>
      </c>
      <c r="H19" s="51">
        <v>13.27</v>
      </c>
      <c r="I19" s="51">
        <v>5.33</v>
      </c>
      <c r="J19" s="51">
        <v>0.63</v>
      </c>
      <c r="K19" s="51">
        <v>172.93</v>
      </c>
      <c r="L19" s="51">
        <v>32.53</v>
      </c>
      <c r="M19" s="51">
        <v>68.849999999999994</v>
      </c>
      <c r="N19" s="51">
        <v>700.6</v>
      </c>
      <c r="O19" s="51">
        <v>0</v>
      </c>
      <c r="P19" s="51">
        <v>0.54</v>
      </c>
      <c r="Q19" s="51">
        <v>4.63</v>
      </c>
    </row>
    <row r="20" spans="1:17" customFormat="1">
      <c r="A20" s="50">
        <v>45578.5</v>
      </c>
      <c r="B20" s="51">
        <v>9.33</v>
      </c>
      <c r="C20" s="51">
        <v>4.12</v>
      </c>
      <c r="D20" s="51">
        <v>14.08</v>
      </c>
      <c r="E20" s="51">
        <v>12.04</v>
      </c>
      <c r="F20" s="51">
        <v>4.3499999999999996</v>
      </c>
      <c r="G20" s="51">
        <v>34.79</v>
      </c>
      <c r="H20" s="51">
        <v>12.99</v>
      </c>
      <c r="I20" s="51">
        <v>5.91</v>
      </c>
      <c r="J20" s="51">
        <v>0.81</v>
      </c>
      <c r="K20" s="51">
        <v>91.96</v>
      </c>
      <c r="L20" s="51">
        <v>32.89</v>
      </c>
      <c r="M20" s="51">
        <v>65.430000000000007</v>
      </c>
      <c r="N20" s="51">
        <v>785.3</v>
      </c>
      <c r="O20" s="51">
        <v>0</v>
      </c>
      <c r="P20" s="51">
        <v>0.55000000000000004</v>
      </c>
      <c r="Q20" s="51">
        <v>4.62</v>
      </c>
    </row>
    <row r="21" spans="1:17" customFormat="1">
      <c r="A21" s="50">
        <v>45578.541666666664</v>
      </c>
      <c r="B21" s="51">
        <v>9.4499999999999993</v>
      </c>
      <c r="C21" s="51">
        <v>4.0999999999999996</v>
      </c>
      <c r="D21" s="51">
        <v>14.16</v>
      </c>
      <c r="E21" s="51">
        <v>12.28</v>
      </c>
      <c r="F21" s="51">
        <v>4.0999999999999996</v>
      </c>
      <c r="G21" s="51">
        <v>34.85</v>
      </c>
      <c r="H21" s="51">
        <v>12.99</v>
      </c>
      <c r="I21" s="51">
        <v>6.16</v>
      </c>
      <c r="J21" s="51">
        <v>0.38</v>
      </c>
      <c r="K21" s="51">
        <v>157.18</v>
      </c>
      <c r="L21" s="51">
        <v>33.92</v>
      </c>
      <c r="M21" s="51">
        <v>60.94</v>
      </c>
      <c r="N21" s="51">
        <v>793.9</v>
      </c>
      <c r="O21" s="51">
        <v>0</v>
      </c>
      <c r="P21" s="51">
        <v>0.55000000000000004</v>
      </c>
      <c r="Q21" s="51">
        <v>4.63</v>
      </c>
    </row>
    <row r="22" spans="1:17" customFormat="1">
      <c r="A22" s="50">
        <v>45578.583333333336</v>
      </c>
      <c r="B22" s="51">
        <v>9.4499999999999993</v>
      </c>
      <c r="C22" s="51">
        <v>4.0999999999999996</v>
      </c>
      <c r="D22" s="51">
        <v>14.16</v>
      </c>
      <c r="E22" s="51">
        <v>12.42</v>
      </c>
      <c r="F22" s="51">
        <v>5.58</v>
      </c>
      <c r="G22" s="51">
        <v>26.83</v>
      </c>
      <c r="H22" s="51">
        <v>11.11</v>
      </c>
      <c r="I22" s="51">
        <v>6.32</v>
      </c>
      <c r="J22" s="51">
        <v>0.39</v>
      </c>
      <c r="K22" s="51">
        <v>145.75</v>
      </c>
      <c r="L22" s="51">
        <v>34.130000000000003</v>
      </c>
      <c r="M22" s="51">
        <v>61.44</v>
      </c>
      <c r="N22" s="51">
        <v>307</v>
      </c>
      <c r="O22" s="51">
        <v>0</v>
      </c>
      <c r="P22" s="51">
        <v>0.55000000000000004</v>
      </c>
      <c r="Q22" s="51">
        <v>4.66</v>
      </c>
    </row>
    <row r="23" spans="1:17" customFormat="1">
      <c r="A23" s="50">
        <v>45578.625</v>
      </c>
      <c r="B23" s="51">
        <v>9.42</v>
      </c>
      <c r="C23" s="51">
        <v>4.07</v>
      </c>
      <c r="D23" s="51">
        <v>14.13</v>
      </c>
      <c r="E23" s="51">
        <v>11.59</v>
      </c>
      <c r="F23" s="51">
        <v>10.57</v>
      </c>
      <c r="G23" s="51">
        <v>27.11</v>
      </c>
      <c r="H23" s="51">
        <v>15.51</v>
      </c>
      <c r="I23" s="51">
        <v>5.94</v>
      </c>
      <c r="J23" s="51">
        <v>0.3</v>
      </c>
      <c r="K23" s="51">
        <v>135.59</v>
      </c>
      <c r="L23" s="51">
        <v>34.340000000000003</v>
      </c>
      <c r="M23" s="51">
        <v>59.88</v>
      </c>
      <c r="N23" s="51">
        <v>146.19999999999999</v>
      </c>
      <c r="O23" s="51">
        <v>0</v>
      </c>
      <c r="P23" s="51">
        <v>0.32</v>
      </c>
      <c r="Q23" s="51">
        <v>4.6900000000000004</v>
      </c>
    </row>
    <row r="24" spans="1:17" customFormat="1">
      <c r="A24" s="50">
        <v>45578.666666666664</v>
      </c>
      <c r="B24" s="51">
        <v>9.36</v>
      </c>
      <c r="C24" s="51">
        <v>4.12</v>
      </c>
      <c r="D24" s="51">
        <v>14.08</v>
      </c>
      <c r="E24" s="51">
        <v>12.81</v>
      </c>
      <c r="F24" s="51">
        <v>10.66</v>
      </c>
      <c r="G24" s="51">
        <v>26.08</v>
      </c>
      <c r="H24" s="51">
        <v>15.51</v>
      </c>
      <c r="I24" s="51">
        <v>4.7699999999999996</v>
      </c>
      <c r="J24" s="51">
        <v>0.49</v>
      </c>
      <c r="K24" s="51">
        <v>126.11</v>
      </c>
      <c r="L24" s="51">
        <v>32.58</v>
      </c>
      <c r="M24" s="51">
        <v>59.93</v>
      </c>
      <c r="N24" s="51">
        <v>57.6</v>
      </c>
      <c r="O24" s="51">
        <v>0</v>
      </c>
      <c r="P24" s="51">
        <v>0.32</v>
      </c>
      <c r="Q24" s="51">
        <v>4.67</v>
      </c>
    </row>
    <row r="25" spans="1:17" customFormat="1">
      <c r="A25" s="50">
        <v>45578.708333333336</v>
      </c>
      <c r="B25" s="51">
        <v>9.23</v>
      </c>
      <c r="C25" s="51">
        <v>4.1500000000000004</v>
      </c>
      <c r="D25" s="51">
        <v>14</v>
      </c>
      <c r="E25" s="51">
        <v>12.07</v>
      </c>
      <c r="F25" s="51">
        <v>12.38</v>
      </c>
      <c r="G25" s="51">
        <v>23.39</v>
      </c>
      <c r="H25" s="51">
        <v>13.48</v>
      </c>
      <c r="I25" s="51">
        <v>4.32</v>
      </c>
      <c r="J25" s="51">
        <v>0.28999999999999998</v>
      </c>
      <c r="K25" s="51">
        <v>137.85</v>
      </c>
      <c r="L25" s="51">
        <v>32.200000000000003</v>
      </c>
      <c r="M25" s="51">
        <v>64.930000000000007</v>
      </c>
      <c r="N25" s="51">
        <v>31.3</v>
      </c>
      <c r="O25" s="51">
        <v>0</v>
      </c>
      <c r="P25" s="51">
        <v>0.33</v>
      </c>
      <c r="Q25" s="51">
        <v>4.66</v>
      </c>
    </row>
    <row r="26" spans="1:17" customFormat="1">
      <c r="A26" s="50">
        <v>45578.75</v>
      </c>
      <c r="B26" s="51">
        <v>9.24</v>
      </c>
      <c r="C26" s="51">
        <v>4.1100000000000003</v>
      </c>
      <c r="D26" s="51">
        <v>14</v>
      </c>
      <c r="E26" s="51">
        <v>12.11</v>
      </c>
      <c r="F26" s="51">
        <v>12.38</v>
      </c>
      <c r="G26" s="51">
        <v>26.44</v>
      </c>
      <c r="H26" s="51">
        <v>13.48</v>
      </c>
      <c r="I26" s="51">
        <v>4.05</v>
      </c>
      <c r="J26" s="51">
        <v>0.25</v>
      </c>
      <c r="K26" s="51">
        <v>180.96</v>
      </c>
      <c r="L26" s="51">
        <v>30.93</v>
      </c>
      <c r="M26" s="51">
        <v>72.040000000000006</v>
      </c>
      <c r="N26" s="51">
        <v>5.9</v>
      </c>
      <c r="O26" s="51">
        <v>0</v>
      </c>
      <c r="P26" s="51">
        <v>0.34</v>
      </c>
      <c r="Q26" s="51">
        <v>4.66</v>
      </c>
    </row>
    <row r="27" spans="1:17" customFormat="1">
      <c r="A27" s="50">
        <v>45578.791666666664</v>
      </c>
      <c r="B27" s="51">
        <v>9.33</v>
      </c>
      <c r="C27" s="51">
        <v>4.12</v>
      </c>
      <c r="D27" s="51">
        <v>14.06</v>
      </c>
      <c r="E27" s="51">
        <v>11.84</v>
      </c>
      <c r="F27" s="51">
        <v>8.51</v>
      </c>
      <c r="G27" s="51">
        <v>28.26</v>
      </c>
      <c r="H27" s="51">
        <v>11.35</v>
      </c>
      <c r="I27" s="51">
        <v>4.09</v>
      </c>
      <c r="J27" s="51">
        <v>0.25</v>
      </c>
      <c r="K27" s="51">
        <v>171.74</v>
      </c>
      <c r="L27" s="51">
        <v>30.18</v>
      </c>
      <c r="M27" s="51">
        <v>75.42</v>
      </c>
      <c r="N27" s="51">
        <v>2.2000000000000002</v>
      </c>
      <c r="O27" s="51">
        <v>0</v>
      </c>
      <c r="P27" s="51">
        <v>0.37</v>
      </c>
      <c r="Q27" s="51">
        <v>4.66</v>
      </c>
    </row>
    <row r="28" spans="1:17" customFormat="1">
      <c r="A28" s="50">
        <v>45578.833333333336</v>
      </c>
      <c r="B28" s="51">
        <v>9.31</v>
      </c>
      <c r="C28" s="51">
        <v>4.0999999999999996</v>
      </c>
      <c r="D28" s="51">
        <v>14.05</v>
      </c>
      <c r="E28" s="51">
        <v>11.51</v>
      </c>
      <c r="F28" s="51">
        <v>6.73</v>
      </c>
      <c r="G28" s="51">
        <v>35.36</v>
      </c>
      <c r="H28" s="51">
        <v>12.8</v>
      </c>
      <c r="I28" s="51">
        <v>4.6500000000000004</v>
      </c>
      <c r="J28" s="51">
        <v>0.53</v>
      </c>
      <c r="K28" s="51">
        <v>72.760000000000005</v>
      </c>
      <c r="L28" s="51">
        <v>29.04</v>
      </c>
      <c r="M28" s="51">
        <v>77.91</v>
      </c>
      <c r="N28" s="51">
        <v>2.1</v>
      </c>
      <c r="O28" s="51">
        <v>0</v>
      </c>
      <c r="P28" s="51">
        <v>0.44</v>
      </c>
      <c r="Q28" s="51">
        <v>4.6500000000000004</v>
      </c>
    </row>
    <row r="29" spans="1:17" customFormat="1">
      <c r="A29" s="50">
        <v>45578.875</v>
      </c>
      <c r="B29" s="51">
        <v>9.2899999999999991</v>
      </c>
      <c r="C29" s="51">
        <v>4.09</v>
      </c>
      <c r="D29" s="51">
        <v>14.01</v>
      </c>
      <c r="E29" s="51">
        <v>10.85</v>
      </c>
      <c r="F29" s="51">
        <v>4.82</v>
      </c>
      <c r="G29" s="51">
        <v>44.3</v>
      </c>
      <c r="H29" s="51">
        <v>12.8</v>
      </c>
      <c r="I29" s="51">
        <v>4.99</v>
      </c>
      <c r="J29" s="51">
        <v>0.53</v>
      </c>
      <c r="K29" s="51">
        <v>67.08</v>
      </c>
      <c r="L29" s="51">
        <v>28.65</v>
      </c>
      <c r="M29" s="51">
        <v>81.52</v>
      </c>
      <c r="N29" s="51">
        <v>2.1</v>
      </c>
      <c r="O29" s="51">
        <v>0</v>
      </c>
      <c r="P29" s="51">
        <v>0.48</v>
      </c>
      <c r="Q29" s="51">
        <v>4.66</v>
      </c>
    </row>
    <row r="30" spans="1:17" customFormat="1">
      <c r="A30" s="50">
        <v>45578.916666666664</v>
      </c>
      <c r="B30" s="51">
        <v>9.2899999999999991</v>
      </c>
      <c r="C30" s="51">
        <v>4.08</v>
      </c>
      <c r="D30" s="51">
        <v>14.03</v>
      </c>
      <c r="E30" s="51">
        <v>11.24</v>
      </c>
      <c r="F30" s="51">
        <v>4.21</v>
      </c>
      <c r="G30" s="51">
        <v>47.01</v>
      </c>
      <c r="H30" s="51">
        <v>16.989999999999998</v>
      </c>
      <c r="I30" s="51">
        <v>5.29</v>
      </c>
      <c r="J30" s="51">
        <v>0.46</v>
      </c>
      <c r="K30" s="51">
        <v>102.99</v>
      </c>
      <c r="L30" s="51">
        <v>28.05</v>
      </c>
      <c r="M30" s="51">
        <v>87.26</v>
      </c>
      <c r="N30" s="51">
        <v>2.1</v>
      </c>
      <c r="O30" s="51">
        <v>0</v>
      </c>
      <c r="P30" s="51">
        <v>0.49</v>
      </c>
      <c r="Q30" s="51">
        <v>4.6500000000000004</v>
      </c>
    </row>
    <row r="31" spans="1:17" customFormat="1">
      <c r="A31" s="50">
        <v>45578.958333333336</v>
      </c>
      <c r="B31" s="51">
        <v>9.27</v>
      </c>
      <c r="C31" s="51">
        <v>4.0999999999999996</v>
      </c>
      <c r="D31" s="51">
        <v>14</v>
      </c>
      <c r="E31" s="51">
        <v>11.08</v>
      </c>
      <c r="F31" s="51">
        <v>3.75</v>
      </c>
      <c r="G31" s="51">
        <v>52.33</v>
      </c>
      <c r="H31" s="51">
        <v>16.989999999999998</v>
      </c>
      <c r="I31" s="51">
        <v>5.59</v>
      </c>
      <c r="J31" s="51">
        <v>0.56000000000000005</v>
      </c>
      <c r="K31" s="51">
        <v>151.13</v>
      </c>
      <c r="L31" s="51">
        <v>27.72</v>
      </c>
      <c r="M31" s="51">
        <v>88.46</v>
      </c>
      <c r="N31" s="51">
        <v>2.1</v>
      </c>
      <c r="O31" s="51">
        <v>0</v>
      </c>
      <c r="P31" s="51">
        <v>0.5</v>
      </c>
      <c r="Q31" s="51">
        <v>4.6500000000000004</v>
      </c>
    </row>
    <row r="32" spans="1:17" customFormat="1">
      <c r="A32" s="50">
        <v>45579</v>
      </c>
      <c r="B32" s="51">
        <v>9.44</v>
      </c>
      <c r="C32" s="51">
        <v>4.0599999999999996</v>
      </c>
      <c r="D32" s="51">
        <v>14.13</v>
      </c>
      <c r="E32" s="51">
        <v>10.29</v>
      </c>
      <c r="F32" s="51">
        <v>5.13</v>
      </c>
      <c r="G32" s="51">
        <v>53.19</v>
      </c>
      <c r="H32" s="51">
        <v>19.45</v>
      </c>
      <c r="I32" s="51">
        <v>5.68</v>
      </c>
      <c r="J32" s="51">
        <v>0.28000000000000003</v>
      </c>
      <c r="K32" s="51">
        <v>213.07</v>
      </c>
      <c r="L32" s="51">
        <v>27.44</v>
      </c>
      <c r="M32" s="51">
        <v>90.3</v>
      </c>
      <c r="N32" s="51">
        <v>2.2000000000000002</v>
      </c>
      <c r="O32" s="51">
        <v>0</v>
      </c>
      <c r="P32" s="51">
        <v>0.49</v>
      </c>
      <c r="Q32" s="51">
        <v>4.68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9.23</v>
      </c>
      <c r="C34" s="41">
        <f t="shared" si="0"/>
        <v>4.05</v>
      </c>
      <c r="D34" s="41">
        <f t="shared" si="0"/>
        <v>14</v>
      </c>
      <c r="E34" s="41">
        <f t="shared" si="0"/>
        <v>10.29</v>
      </c>
      <c r="F34" s="41">
        <f t="shared" si="0"/>
        <v>3.41</v>
      </c>
      <c r="G34" s="41">
        <f t="shared" si="0"/>
        <v>23.39</v>
      </c>
      <c r="H34" s="41">
        <f t="shared" si="0"/>
        <v>9.5500000000000007</v>
      </c>
      <c r="I34" s="41">
        <f t="shared" si="0"/>
        <v>4.05</v>
      </c>
      <c r="J34" s="41">
        <f t="shared" si="0"/>
        <v>0.09</v>
      </c>
      <c r="K34" s="41">
        <f t="shared" si="0"/>
        <v>67.08</v>
      </c>
      <c r="L34" s="41">
        <f t="shared" si="0"/>
        <v>25.63</v>
      </c>
      <c r="M34" s="41">
        <f t="shared" si="0"/>
        <v>59.88</v>
      </c>
      <c r="N34" s="41">
        <f t="shared" si="0"/>
        <v>2</v>
      </c>
      <c r="O34" s="41">
        <f t="shared" si="0"/>
        <v>0</v>
      </c>
      <c r="P34" s="41">
        <f t="shared" si="0"/>
        <v>0.32</v>
      </c>
      <c r="Q34" s="41">
        <f t="shared" si="0"/>
        <v>4.62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9.4499999999999993</v>
      </c>
      <c r="C35" s="33">
        <f t="shared" si="1"/>
        <v>4.16</v>
      </c>
      <c r="D35" s="33">
        <f t="shared" si="1"/>
        <v>14.16</v>
      </c>
      <c r="E35" s="33">
        <f t="shared" si="1"/>
        <v>13.91</v>
      </c>
      <c r="F35" s="33">
        <f t="shared" si="1"/>
        <v>12.38</v>
      </c>
      <c r="G35" s="33">
        <f t="shared" si="1"/>
        <v>53.19</v>
      </c>
      <c r="H35" s="33">
        <f t="shared" si="1"/>
        <v>19.45</v>
      </c>
      <c r="I35" s="33">
        <f t="shared" si="1"/>
        <v>6.32</v>
      </c>
      <c r="J35" s="33">
        <f t="shared" si="1"/>
        <v>0.81</v>
      </c>
      <c r="K35" s="33">
        <f t="shared" si="1"/>
        <v>230.13</v>
      </c>
      <c r="L35" s="33">
        <f t="shared" si="1"/>
        <v>34.340000000000003</v>
      </c>
      <c r="M35" s="33">
        <f t="shared" si="1"/>
        <v>96.95</v>
      </c>
      <c r="N35" s="33">
        <f t="shared" si="1"/>
        <v>793.9</v>
      </c>
      <c r="O35" s="33">
        <f t="shared" si="1"/>
        <v>0</v>
      </c>
      <c r="P35" s="33">
        <f t="shared" si="1"/>
        <v>0.55000000000000004</v>
      </c>
      <c r="Q35" s="33">
        <f t="shared" si="1"/>
        <v>4.6900000000000004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9.3395833333333336</v>
      </c>
      <c r="C36" s="41">
        <f t="shared" si="2"/>
        <v>4.100833333333334</v>
      </c>
      <c r="D36" s="41">
        <f t="shared" si="2"/>
        <v>14.067083333333334</v>
      </c>
      <c r="E36" s="41">
        <f t="shared" si="2"/>
        <v>12.118749999999999</v>
      </c>
      <c r="F36" s="41">
        <f t="shared" si="2"/>
        <v>5.8354166666666671</v>
      </c>
      <c r="G36" s="41">
        <f t="shared" si="2"/>
        <v>36.503750000000004</v>
      </c>
      <c r="H36" s="41">
        <f t="shared" si="2"/>
        <v>13.519999999999998</v>
      </c>
      <c r="I36" s="41">
        <f t="shared" si="2"/>
        <v>5.3024999999999993</v>
      </c>
      <c r="J36" s="41">
        <f t="shared" si="2"/>
        <v>0.37708333333333338</v>
      </c>
      <c r="K36" s="41">
        <f t="shared" si="2"/>
        <v>144.29291666666668</v>
      </c>
      <c r="L36" s="41">
        <f t="shared" si="2"/>
        <v>29.506666666666661</v>
      </c>
      <c r="M36" s="41">
        <f t="shared" si="2"/>
        <v>79.69291666666669</v>
      </c>
      <c r="N36" s="41">
        <f t="shared" si="2"/>
        <v>153.46666666666664</v>
      </c>
      <c r="O36" s="41">
        <f t="shared" si="2"/>
        <v>0</v>
      </c>
      <c r="P36" s="41">
        <f t="shared" si="2"/>
        <v>0.45750000000000002</v>
      </c>
      <c r="Q36" s="41">
        <f t="shared" si="2"/>
        <v>4.6566666666666672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6.9812118461324166E-2</v>
      </c>
      <c r="C37" s="41">
        <f t="shared" ref="C37:Q37" si="3">STDEV(C9:C32)</f>
        <v>2.6361478263403355E-2</v>
      </c>
      <c r="D37" s="41">
        <f t="shared" si="3"/>
        <v>5.3688243929485076E-2</v>
      </c>
      <c r="E37" s="41">
        <f t="shared" si="3"/>
        <v>0.87817158123399086</v>
      </c>
      <c r="F37" s="41">
        <f t="shared" si="3"/>
        <v>2.8301390028340156</v>
      </c>
      <c r="G37" s="41">
        <f t="shared" si="3"/>
        <v>7.8472176251535775</v>
      </c>
      <c r="H37" s="41">
        <f t="shared" si="3"/>
        <v>2.3136870631282451</v>
      </c>
      <c r="I37" s="41">
        <f t="shared" si="3"/>
        <v>0.60854959427778543</v>
      </c>
      <c r="J37" s="41">
        <f t="shared" si="3"/>
        <v>0.18210076442946926</v>
      </c>
      <c r="K37" s="41">
        <f t="shared" si="3"/>
        <v>51.034582774323447</v>
      </c>
      <c r="L37" s="41">
        <f t="shared" si="3"/>
        <v>2.9982352297233006</v>
      </c>
      <c r="M37" s="41">
        <f t="shared" si="3"/>
        <v>13.169525916384186</v>
      </c>
      <c r="N37" s="41">
        <f t="shared" si="3"/>
        <v>258.37451864310844</v>
      </c>
      <c r="O37" s="41">
        <f t="shared" si="3"/>
        <v>0</v>
      </c>
      <c r="P37" s="41">
        <f t="shared" si="3"/>
        <v>7.4498322128756705E-2</v>
      </c>
      <c r="Q37" s="41">
        <f t="shared" si="3"/>
        <v>1.6061476099435985E-2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21" activePane="bottomRight" state="frozen"/>
      <selection activeCell="A9" sqref="A9"/>
      <selection pane="topRight" activeCell="A9" sqref="A9"/>
      <selection pane="bottomLeft" activeCell="A9" sqref="A9"/>
      <selection pane="bottomRight" activeCell="E38" sqref="E38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45579.041666666664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>
        <v>45579.041666666664</v>
      </c>
      <c r="B9" s="51">
        <v>9.27</v>
      </c>
      <c r="C9" s="51">
        <v>4.18</v>
      </c>
      <c r="D9" s="51">
        <v>14.02</v>
      </c>
      <c r="E9" s="51">
        <v>10.93</v>
      </c>
      <c r="F9" s="51">
        <v>5.37</v>
      </c>
      <c r="G9" s="51">
        <v>47.65</v>
      </c>
      <c r="H9" s="51">
        <v>19.45</v>
      </c>
      <c r="I9" s="51">
        <v>5.52</v>
      </c>
      <c r="J9" s="51">
        <v>0.4</v>
      </c>
      <c r="K9" s="51">
        <v>72.28</v>
      </c>
      <c r="L9" s="51">
        <v>26.76</v>
      </c>
      <c r="M9" s="51">
        <v>90.99</v>
      </c>
      <c r="N9" s="51">
        <v>2.1</v>
      </c>
      <c r="O9" s="51">
        <v>0</v>
      </c>
      <c r="P9" s="51">
        <v>0.42</v>
      </c>
      <c r="Q9" s="51">
        <v>4.68</v>
      </c>
    </row>
    <row r="10" spans="1:21" customFormat="1">
      <c r="A10" s="50">
        <v>45579.083333333336</v>
      </c>
      <c r="B10" s="51">
        <v>9.19</v>
      </c>
      <c r="C10" s="51">
        <v>4.1900000000000004</v>
      </c>
      <c r="D10" s="51">
        <v>14</v>
      </c>
      <c r="E10" s="51">
        <v>11.65</v>
      </c>
      <c r="F10" s="51">
        <v>4.93</v>
      </c>
      <c r="G10" s="51">
        <v>47.92</v>
      </c>
      <c r="H10" s="51">
        <v>19.05</v>
      </c>
      <c r="I10" s="51">
        <v>5.34</v>
      </c>
      <c r="J10" s="51">
        <v>0.47</v>
      </c>
      <c r="K10" s="51">
        <v>63.2</v>
      </c>
      <c r="L10" s="51">
        <v>26.35</v>
      </c>
      <c r="M10" s="51">
        <v>94.13</v>
      </c>
      <c r="N10" s="51">
        <v>2.1</v>
      </c>
      <c r="O10" s="51">
        <v>0</v>
      </c>
      <c r="P10" s="51">
        <v>0.42</v>
      </c>
      <c r="Q10" s="51">
        <v>4.67</v>
      </c>
    </row>
    <row r="11" spans="1:21" customFormat="1">
      <c r="A11" s="50">
        <v>45579.125</v>
      </c>
      <c r="B11" s="51">
        <v>9.1999999999999993</v>
      </c>
      <c r="C11" s="51">
        <v>4.17</v>
      </c>
      <c r="D11" s="51">
        <v>14</v>
      </c>
      <c r="E11" s="51">
        <v>10.11</v>
      </c>
      <c r="F11" s="51">
        <v>4.5</v>
      </c>
      <c r="G11" s="51">
        <v>55.77</v>
      </c>
      <c r="H11" s="51">
        <v>20.65</v>
      </c>
      <c r="I11" s="51">
        <v>5.13</v>
      </c>
      <c r="J11" s="51">
        <v>0.28999999999999998</v>
      </c>
      <c r="K11" s="51">
        <v>62.16</v>
      </c>
      <c r="L11" s="51">
        <v>26.06</v>
      </c>
      <c r="M11" s="51">
        <v>95.72</v>
      </c>
      <c r="N11" s="51">
        <v>2.1</v>
      </c>
      <c r="O11" s="51">
        <v>0</v>
      </c>
      <c r="P11" s="51">
        <v>0.43</v>
      </c>
      <c r="Q11" s="51">
        <v>4.67</v>
      </c>
    </row>
    <row r="12" spans="1:21" customFormat="1">
      <c r="A12" s="50">
        <v>45579.166666666664</v>
      </c>
      <c r="B12" s="51">
        <v>9.2200000000000006</v>
      </c>
      <c r="C12" s="51">
        <v>4.1500000000000004</v>
      </c>
      <c r="D12" s="51">
        <v>14</v>
      </c>
      <c r="E12" s="51">
        <v>10.37</v>
      </c>
      <c r="F12" s="51">
        <v>4.57</v>
      </c>
      <c r="G12" s="51">
        <v>65.13</v>
      </c>
      <c r="H12" s="51">
        <v>22.18</v>
      </c>
      <c r="I12" s="51">
        <v>5.2</v>
      </c>
      <c r="J12" s="51">
        <v>0.56999999999999995</v>
      </c>
      <c r="K12" s="51">
        <v>61.24</v>
      </c>
      <c r="L12" s="51">
        <v>25.8</v>
      </c>
      <c r="M12" s="51">
        <v>96.9</v>
      </c>
      <c r="N12" s="51">
        <v>2.1</v>
      </c>
      <c r="O12" s="51">
        <v>0</v>
      </c>
      <c r="P12" s="51">
        <v>0.43</v>
      </c>
      <c r="Q12" s="51">
        <v>4.68</v>
      </c>
    </row>
    <row r="13" spans="1:21" customFormat="1">
      <c r="A13" s="50">
        <v>45579.208333333336</v>
      </c>
      <c r="B13" s="51">
        <v>9.26</v>
      </c>
      <c r="C13" s="51">
        <v>4.12</v>
      </c>
      <c r="D13" s="51">
        <v>14</v>
      </c>
      <c r="E13" s="51">
        <v>10.62</v>
      </c>
      <c r="F13" s="51">
        <v>4.0599999999999996</v>
      </c>
      <c r="G13" s="51">
        <v>68.819999999999993</v>
      </c>
      <c r="H13" s="51">
        <v>25.69</v>
      </c>
      <c r="I13" s="51">
        <v>6.09</v>
      </c>
      <c r="J13" s="51">
        <v>0.56000000000000005</v>
      </c>
      <c r="K13" s="51">
        <v>60.79</v>
      </c>
      <c r="L13" s="51">
        <v>25.48</v>
      </c>
      <c r="M13" s="51">
        <v>97.64</v>
      </c>
      <c r="N13" s="51">
        <v>2.1</v>
      </c>
      <c r="O13" s="51">
        <v>0</v>
      </c>
      <c r="P13" s="51">
        <v>0.47</v>
      </c>
      <c r="Q13" s="51">
        <v>4.67</v>
      </c>
    </row>
    <row r="14" spans="1:21" customFormat="1">
      <c r="A14" s="50">
        <v>45579.25</v>
      </c>
      <c r="B14" s="51">
        <v>9.26</v>
      </c>
      <c r="C14" s="51">
        <v>4.0999999999999996</v>
      </c>
      <c r="D14" s="51">
        <v>14</v>
      </c>
      <c r="E14" s="51">
        <v>10.06</v>
      </c>
      <c r="F14" s="51">
        <v>4.03</v>
      </c>
      <c r="G14" s="51">
        <v>74.22</v>
      </c>
      <c r="H14" s="51">
        <v>28.99</v>
      </c>
      <c r="I14" s="51">
        <v>6.27</v>
      </c>
      <c r="J14" s="51">
        <v>0.6</v>
      </c>
      <c r="K14" s="51">
        <v>62.14</v>
      </c>
      <c r="L14" s="51">
        <v>25.25</v>
      </c>
      <c r="M14" s="51">
        <v>98.9</v>
      </c>
      <c r="N14" s="51">
        <v>5.7</v>
      </c>
      <c r="O14" s="51">
        <v>0</v>
      </c>
      <c r="P14" s="51">
        <v>0.5</v>
      </c>
      <c r="Q14" s="51">
        <v>4.66</v>
      </c>
    </row>
    <row r="15" spans="1:21" customFormat="1">
      <c r="A15" s="50">
        <v>45579.291666666664</v>
      </c>
      <c r="B15" s="51">
        <v>9.25</v>
      </c>
      <c r="C15" s="51">
        <v>4.1100000000000003</v>
      </c>
      <c r="D15" s="51">
        <v>14</v>
      </c>
      <c r="E15" s="51">
        <v>9.25</v>
      </c>
      <c r="F15" s="51">
        <v>3.93</v>
      </c>
      <c r="G15" s="51">
        <v>75.900000000000006</v>
      </c>
      <c r="H15" s="51">
        <v>28.99</v>
      </c>
      <c r="I15" s="51">
        <v>6.6</v>
      </c>
      <c r="J15" s="51">
        <v>0.88</v>
      </c>
      <c r="K15" s="51">
        <v>60.57</v>
      </c>
      <c r="L15" s="51">
        <v>25.72</v>
      </c>
      <c r="M15" s="51">
        <v>101.08</v>
      </c>
      <c r="N15" s="51">
        <v>48.4</v>
      </c>
      <c r="O15" s="51">
        <v>0</v>
      </c>
      <c r="P15" s="51">
        <v>0.53</v>
      </c>
      <c r="Q15" s="51">
        <v>4.67</v>
      </c>
    </row>
    <row r="16" spans="1:21" customFormat="1">
      <c r="A16" s="50">
        <v>45579.333333333336</v>
      </c>
      <c r="B16" s="51">
        <v>9.27</v>
      </c>
      <c r="C16" s="51">
        <v>4.0999999999999996</v>
      </c>
      <c r="D16" s="51">
        <v>14.02</v>
      </c>
      <c r="E16" s="51">
        <v>8.7200000000000006</v>
      </c>
      <c r="F16" s="51">
        <v>3.9</v>
      </c>
      <c r="G16" s="51">
        <v>77.34</v>
      </c>
      <c r="H16" s="51">
        <v>32.28</v>
      </c>
      <c r="I16" s="51">
        <v>6.89</v>
      </c>
      <c r="J16" s="51">
        <v>0.52</v>
      </c>
      <c r="K16" s="51">
        <v>70.56</v>
      </c>
      <c r="L16" s="51">
        <v>27.99</v>
      </c>
      <c r="M16" s="51">
        <v>96.7</v>
      </c>
      <c r="N16" s="51">
        <v>189.1</v>
      </c>
      <c r="O16" s="51">
        <v>0</v>
      </c>
      <c r="P16" s="51">
        <v>0.54</v>
      </c>
      <c r="Q16" s="51">
        <v>4.66</v>
      </c>
    </row>
    <row r="17" spans="1:17" customFormat="1">
      <c r="A17" s="50">
        <v>45579.375</v>
      </c>
      <c r="B17" s="51">
        <v>9.27</v>
      </c>
      <c r="C17" s="51">
        <v>4.13</v>
      </c>
      <c r="D17" s="51">
        <v>14.01</v>
      </c>
      <c r="E17" s="51">
        <v>9.1</v>
      </c>
      <c r="F17" s="51">
        <v>5.58</v>
      </c>
      <c r="G17" s="51">
        <v>77.55</v>
      </c>
      <c r="H17" s="51">
        <v>32.28</v>
      </c>
      <c r="I17" s="51">
        <v>6.97</v>
      </c>
      <c r="J17" s="51">
        <v>0.57999999999999996</v>
      </c>
      <c r="K17" s="51">
        <v>116.44</v>
      </c>
      <c r="L17" s="51">
        <v>30.06</v>
      </c>
      <c r="M17" s="51">
        <v>83.75</v>
      </c>
      <c r="N17" s="51">
        <v>344.5</v>
      </c>
      <c r="O17" s="51">
        <v>0</v>
      </c>
      <c r="P17" s="51">
        <v>0.56000000000000005</v>
      </c>
      <c r="Q17" s="51">
        <v>4.67</v>
      </c>
    </row>
    <row r="18" spans="1:17" customFormat="1">
      <c r="A18" s="50">
        <v>45579.416666666664</v>
      </c>
      <c r="B18" s="51">
        <v>9.33</v>
      </c>
      <c r="C18" s="51">
        <v>4.13</v>
      </c>
      <c r="D18" s="51">
        <v>14.06</v>
      </c>
      <c r="E18" s="51">
        <v>8.8800000000000008</v>
      </c>
      <c r="F18" s="51">
        <v>5.8</v>
      </c>
      <c r="G18" s="51">
        <v>73.069999999999993</v>
      </c>
      <c r="H18" s="51">
        <v>31.62</v>
      </c>
      <c r="I18" s="51">
        <v>6.84</v>
      </c>
      <c r="J18" s="51">
        <v>0.28000000000000003</v>
      </c>
      <c r="K18" s="51">
        <v>161.41</v>
      </c>
      <c r="L18" s="51">
        <v>32.46</v>
      </c>
      <c r="M18" s="51">
        <v>73.55</v>
      </c>
      <c r="N18" s="51">
        <v>127.9</v>
      </c>
      <c r="O18" s="51">
        <v>0</v>
      </c>
      <c r="P18" s="51">
        <v>0.49</v>
      </c>
      <c r="Q18" s="51">
        <v>4.6900000000000004</v>
      </c>
    </row>
    <row r="19" spans="1:17" customFormat="1">
      <c r="A19" s="50">
        <v>45579.458333333336</v>
      </c>
      <c r="B19" s="51">
        <v>9.19</v>
      </c>
      <c r="C19" s="51">
        <v>4.24</v>
      </c>
      <c r="D19" s="51">
        <v>14</v>
      </c>
      <c r="E19" s="51">
        <v>11.53</v>
      </c>
      <c r="F19" s="51">
        <v>6.39</v>
      </c>
      <c r="G19" s="51">
        <v>66.27</v>
      </c>
      <c r="H19" s="51">
        <v>28.52</v>
      </c>
      <c r="I19" s="51">
        <v>6.07</v>
      </c>
      <c r="J19" s="51">
        <v>0.25</v>
      </c>
      <c r="K19" s="51">
        <v>147.83000000000001</v>
      </c>
      <c r="L19" s="51">
        <v>33.54</v>
      </c>
      <c r="M19" s="51">
        <v>61.44</v>
      </c>
      <c r="N19" s="51">
        <v>712.5</v>
      </c>
      <c r="O19" s="51">
        <v>0</v>
      </c>
      <c r="P19" s="51">
        <v>0.44</v>
      </c>
      <c r="Q19" s="51">
        <v>4.67</v>
      </c>
    </row>
    <row r="20" spans="1:17" customFormat="1">
      <c r="A20" s="50">
        <v>45579.5</v>
      </c>
      <c r="B20" s="51">
        <v>9.16</v>
      </c>
      <c r="C20" s="51">
        <v>4.25</v>
      </c>
      <c r="D20" s="51">
        <v>14</v>
      </c>
      <c r="E20" s="51">
        <v>12.32</v>
      </c>
      <c r="F20" s="51">
        <v>8.42</v>
      </c>
      <c r="G20" s="51">
        <v>49.63</v>
      </c>
      <c r="H20" s="51">
        <v>20.260000000000002</v>
      </c>
      <c r="I20" s="51">
        <v>5.63</v>
      </c>
      <c r="J20" s="51">
        <v>0.53</v>
      </c>
      <c r="K20" s="51">
        <v>157.47999999999999</v>
      </c>
      <c r="L20" s="51">
        <v>33.57</v>
      </c>
      <c r="M20" s="51">
        <v>56.67</v>
      </c>
      <c r="N20" s="51">
        <v>808.1</v>
      </c>
      <c r="O20" s="51">
        <v>0</v>
      </c>
      <c r="P20" s="51">
        <v>0.41</v>
      </c>
      <c r="Q20" s="51">
        <v>4.68</v>
      </c>
    </row>
    <row r="21" spans="1:17" customFormat="1">
      <c r="A21" s="50">
        <v>45579.541666666664</v>
      </c>
      <c r="B21" s="51">
        <v>9.16</v>
      </c>
      <c r="C21" s="51">
        <v>4.26</v>
      </c>
      <c r="D21" s="51">
        <v>14</v>
      </c>
      <c r="E21" s="51">
        <v>12.47</v>
      </c>
      <c r="F21" s="51">
        <v>8.89</v>
      </c>
      <c r="G21" s="51">
        <v>41.56</v>
      </c>
      <c r="H21" s="51">
        <v>17.71</v>
      </c>
      <c r="I21" s="51">
        <v>5.37</v>
      </c>
      <c r="J21" s="51">
        <v>0.9</v>
      </c>
      <c r="K21" s="51">
        <v>110.12</v>
      </c>
      <c r="L21" s="51">
        <v>32.950000000000003</v>
      </c>
      <c r="M21" s="51">
        <v>58.69</v>
      </c>
      <c r="N21" s="51">
        <v>683.3</v>
      </c>
      <c r="O21" s="51">
        <v>0</v>
      </c>
      <c r="P21" s="51">
        <v>0.41</v>
      </c>
      <c r="Q21" s="51">
        <v>4.67</v>
      </c>
    </row>
    <row r="22" spans="1:17" customFormat="1">
      <c r="A22" s="50">
        <v>45579.583333333336</v>
      </c>
      <c r="B22" s="51">
        <v>9.23</v>
      </c>
      <c r="C22" s="51">
        <v>4.28</v>
      </c>
      <c r="D22" s="51">
        <v>14</v>
      </c>
      <c r="E22" s="51">
        <v>12.81</v>
      </c>
      <c r="F22" s="51">
        <v>9.7899999999999991</v>
      </c>
      <c r="G22" s="51">
        <v>35.79</v>
      </c>
      <c r="H22" s="51">
        <v>13.42</v>
      </c>
      <c r="I22" s="51">
        <v>5.12</v>
      </c>
      <c r="J22" s="51">
        <v>0.33</v>
      </c>
      <c r="K22" s="51">
        <v>109.87</v>
      </c>
      <c r="L22" s="51">
        <v>33.04</v>
      </c>
      <c r="M22" s="51">
        <v>58.43</v>
      </c>
      <c r="N22" s="51">
        <v>279</v>
      </c>
      <c r="O22" s="51">
        <v>0</v>
      </c>
      <c r="P22" s="51">
        <v>0.43</v>
      </c>
      <c r="Q22" s="51">
        <v>4.68</v>
      </c>
    </row>
    <row r="23" spans="1:17" customFormat="1">
      <c r="A23" s="50">
        <v>45579.625</v>
      </c>
      <c r="B23" s="51">
        <v>9.32</v>
      </c>
      <c r="C23" s="51">
        <v>4.12</v>
      </c>
      <c r="D23" s="51">
        <v>14.05</v>
      </c>
      <c r="E23" s="51">
        <v>12.91</v>
      </c>
      <c r="F23" s="51">
        <v>6.69</v>
      </c>
      <c r="G23" s="51">
        <v>36.06</v>
      </c>
      <c r="H23" s="51">
        <v>10.15</v>
      </c>
      <c r="I23" s="51">
        <v>5.25</v>
      </c>
      <c r="J23" s="51">
        <v>0.86</v>
      </c>
      <c r="K23" s="51">
        <v>78.63</v>
      </c>
      <c r="L23" s="51">
        <v>32.57</v>
      </c>
      <c r="M23" s="51">
        <v>59.31</v>
      </c>
      <c r="N23" s="51">
        <v>120.8</v>
      </c>
      <c r="O23" s="51">
        <v>0</v>
      </c>
      <c r="P23" s="51">
        <v>0.46</v>
      </c>
      <c r="Q23" s="51">
        <v>4.6399999999999997</v>
      </c>
    </row>
    <row r="24" spans="1:17" customFormat="1">
      <c r="A24" s="50">
        <v>45579.666666666664</v>
      </c>
      <c r="B24" s="51">
        <v>9.24</v>
      </c>
      <c r="C24" s="51">
        <v>4.1900000000000004</v>
      </c>
      <c r="D24" s="51">
        <v>14</v>
      </c>
      <c r="E24" s="51">
        <v>12.33</v>
      </c>
      <c r="F24" s="51">
        <v>5.41</v>
      </c>
      <c r="G24" s="51">
        <v>34.700000000000003</v>
      </c>
      <c r="H24" s="51">
        <v>10.15</v>
      </c>
      <c r="I24" s="51">
        <v>5.47</v>
      </c>
      <c r="J24" s="51">
        <v>0.79</v>
      </c>
      <c r="K24" s="51">
        <v>73.5</v>
      </c>
      <c r="L24" s="51">
        <v>32.01</v>
      </c>
      <c r="M24" s="51">
        <v>60.74</v>
      </c>
      <c r="N24" s="51">
        <v>53.2</v>
      </c>
      <c r="O24" s="51">
        <v>0</v>
      </c>
      <c r="P24" s="51">
        <v>0.47</v>
      </c>
      <c r="Q24" s="51">
        <v>4.6399999999999997</v>
      </c>
    </row>
    <row r="25" spans="1:17" customFormat="1">
      <c r="A25" s="50">
        <v>45579.708333333336</v>
      </c>
      <c r="B25" s="51">
        <v>9.26</v>
      </c>
      <c r="C25" s="51">
        <v>4.1100000000000003</v>
      </c>
      <c r="D25" s="51">
        <v>14.01</v>
      </c>
      <c r="E25" s="51">
        <v>12.5</v>
      </c>
      <c r="F25" s="51">
        <v>5.01</v>
      </c>
      <c r="G25" s="51">
        <v>38.4</v>
      </c>
      <c r="H25" s="51">
        <v>15.37</v>
      </c>
      <c r="I25" s="51">
        <v>5.62</v>
      </c>
      <c r="J25" s="51">
        <v>0.73</v>
      </c>
      <c r="K25" s="51">
        <v>83.78</v>
      </c>
      <c r="L25" s="51">
        <v>31.53</v>
      </c>
      <c r="M25" s="51">
        <v>69.040000000000006</v>
      </c>
      <c r="N25" s="51">
        <v>35.4</v>
      </c>
      <c r="O25" s="51">
        <v>0</v>
      </c>
      <c r="P25" s="51">
        <v>0.48</v>
      </c>
      <c r="Q25" s="51">
        <v>4.6399999999999997</v>
      </c>
    </row>
    <row r="26" spans="1:17" customFormat="1">
      <c r="A26" s="50">
        <v>45579.75</v>
      </c>
      <c r="B26" s="51">
        <v>9.2799999999999994</v>
      </c>
      <c r="C26" s="51">
        <v>4.0999999999999996</v>
      </c>
      <c r="D26" s="51">
        <v>14.04</v>
      </c>
      <c r="E26" s="51">
        <v>12.28</v>
      </c>
      <c r="F26" s="51">
        <v>4.07</v>
      </c>
      <c r="G26" s="51">
        <v>39</v>
      </c>
      <c r="H26" s="51">
        <v>15.38</v>
      </c>
      <c r="I26" s="51">
        <v>5.59</v>
      </c>
      <c r="J26" s="51">
        <v>0.21</v>
      </c>
      <c r="K26" s="51">
        <v>170.76</v>
      </c>
      <c r="L26" s="51">
        <v>30.59</v>
      </c>
      <c r="M26" s="51">
        <v>72.040000000000006</v>
      </c>
      <c r="N26" s="51">
        <v>8.8000000000000007</v>
      </c>
      <c r="O26" s="51">
        <v>0</v>
      </c>
      <c r="P26" s="51">
        <v>0.49</v>
      </c>
      <c r="Q26" s="51">
        <v>4.6399999999999997</v>
      </c>
    </row>
    <row r="27" spans="1:17" customFormat="1">
      <c r="A27" s="50">
        <v>45579.791666666664</v>
      </c>
      <c r="B27" s="51">
        <v>9.34</v>
      </c>
      <c r="C27" s="51">
        <v>4.09</v>
      </c>
      <c r="D27" s="51">
        <v>14.06</v>
      </c>
      <c r="E27" s="51">
        <v>10.84</v>
      </c>
      <c r="F27" s="51">
        <v>5.99</v>
      </c>
      <c r="G27" s="51">
        <v>41.92</v>
      </c>
      <c r="H27" s="51">
        <v>17.61</v>
      </c>
      <c r="I27" s="51">
        <v>5.39</v>
      </c>
      <c r="J27" s="51">
        <v>0.37</v>
      </c>
      <c r="K27" s="51">
        <v>87.8</v>
      </c>
      <c r="L27" s="51">
        <v>29.98</v>
      </c>
      <c r="M27" s="51">
        <v>81.37</v>
      </c>
      <c r="N27" s="51">
        <v>2.2000000000000002</v>
      </c>
      <c r="O27" s="51">
        <v>0</v>
      </c>
      <c r="P27" s="51">
        <v>0.48</v>
      </c>
      <c r="Q27" s="51">
        <v>4.66</v>
      </c>
    </row>
    <row r="28" spans="1:17" customFormat="1">
      <c r="A28" s="50">
        <v>45579.833333333336</v>
      </c>
      <c r="B28" s="51">
        <v>9.27</v>
      </c>
      <c r="C28" s="51">
        <v>4.1100000000000003</v>
      </c>
      <c r="D28" s="51">
        <v>14.02</v>
      </c>
      <c r="E28" s="51">
        <v>12.46</v>
      </c>
      <c r="F28" s="51">
        <v>8.3800000000000008</v>
      </c>
      <c r="G28" s="51">
        <v>48.95</v>
      </c>
      <c r="H28" s="51">
        <v>17.61</v>
      </c>
      <c r="I28" s="51">
        <v>5.57</v>
      </c>
      <c r="J28" s="51">
        <v>0.37</v>
      </c>
      <c r="K28" s="51">
        <v>106.7</v>
      </c>
      <c r="L28" s="51">
        <v>29.03</v>
      </c>
      <c r="M28" s="51">
        <v>82.11</v>
      </c>
      <c r="N28" s="51">
        <v>2.1</v>
      </c>
      <c r="O28" s="51">
        <v>0</v>
      </c>
      <c r="P28" s="51">
        <v>0.43</v>
      </c>
      <c r="Q28" s="51">
        <v>4.67</v>
      </c>
    </row>
    <row r="29" spans="1:17" customFormat="1">
      <c r="A29" s="50">
        <v>45579.875</v>
      </c>
      <c r="B29" s="51">
        <v>9.26</v>
      </c>
      <c r="C29" s="51">
        <v>4.08</v>
      </c>
      <c r="D29" s="51">
        <v>14.01</v>
      </c>
      <c r="E29" s="51">
        <v>12.46</v>
      </c>
      <c r="F29" s="51">
        <v>7.22</v>
      </c>
      <c r="G29" s="51">
        <v>49.97</v>
      </c>
      <c r="H29" s="51">
        <v>22.03</v>
      </c>
      <c r="I29" s="51">
        <v>5.4</v>
      </c>
      <c r="J29" s="51">
        <v>0.54</v>
      </c>
      <c r="K29" s="51">
        <v>110.74</v>
      </c>
      <c r="L29" s="51">
        <v>28.49</v>
      </c>
      <c r="M29" s="51">
        <v>83.73</v>
      </c>
      <c r="N29" s="51">
        <v>2.1</v>
      </c>
      <c r="O29" s="51">
        <v>0</v>
      </c>
      <c r="P29" s="51">
        <v>0.46</v>
      </c>
      <c r="Q29" s="51">
        <v>4.67</v>
      </c>
    </row>
    <row r="30" spans="1:17" customFormat="1">
      <c r="A30" s="50">
        <v>45579.916666666664</v>
      </c>
      <c r="B30" s="51">
        <v>9.2799999999999994</v>
      </c>
      <c r="C30" s="51">
        <v>4.12</v>
      </c>
      <c r="D30" s="51">
        <v>14.02</v>
      </c>
      <c r="E30" s="30" t="s">
        <v>8</v>
      </c>
      <c r="F30" s="51">
        <v>7.75</v>
      </c>
      <c r="G30" s="51">
        <v>53.47</v>
      </c>
      <c r="H30" s="51">
        <v>22.03</v>
      </c>
      <c r="I30" s="51">
        <v>5.42</v>
      </c>
      <c r="J30" s="51">
        <v>0.45</v>
      </c>
      <c r="K30" s="51">
        <v>91.77</v>
      </c>
      <c r="L30" s="51">
        <v>28.24</v>
      </c>
      <c r="M30" s="51">
        <v>85.4</v>
      </c>
      <c r="N30" s="51">
        <v>2.1</v>
      </c>
      <c r="O30" s="51">
        <v>0</v>
      </c>
      <c r="P30" s="51">
        <v>0.46</v>
      </c>
      <c r="Q30" s="51">
        <v>4.67</v>
      </c>
    </row>
    <row r="31" spans="1:17" customFormat="1">
      <c r="A31" s="50">
        <v>45579.958333333336</v>
      </c>
      <c r="B31" s="51">
        <v>9.2899999999999991</v>
      </c>
      <c r="C31" s="51">
        <v>4.0999999999999996</v>
      </c>
      <c r="D31" s="51">
        <v>14.01</v>
      </c>
      <c r="E31" s="30" t="s">
        <v>8</v>
      </c>
      <c r="F31" s="51">
        <v>8.09</v>
      </c>
      <c r="G31" s="51">
        <v>57.12</v>
      </c>
      <c r="H31" s="51">
        <v>24.53</v>
      </c>
      <c r="I31" s="51">
        <v>5.37</v>
      </c>
      <c r="J31" s="51">
        <v>0.18</v>
      </c>
      <c r="K31" s="51">
        <v>199.52</v>
      </c>
      <c r="L31" s="51">
        <v>27.78</v>
      </c>
      <c r="M31" s="51">
        <v>89.5</v>
      </c>
      <c r="N31" s="51">
        <v>2.1</v>
      </c>
      <c r="O31" s="51">
        <v>0</v>
      </c>
      <c r="P31" s="51">
        <v>0.45</v>
      </c>
      <c r="Q31" s="51">
        <v>4.6500000000000004</v>
      </c>
    </row>
    <row r="32" spans="1:17" customFormat="1">
      <c r="A32" s="50">
        <v>45580</v>
      </c>
      <c r="B32" s="51">
        <v>9.25</v>
      </c>
      <c r="C32" s="51">
        <v>4.1900000000000004</v>
      </c>
      <c r="D32" s="51">
        <v>14.01</v>
      </c>
      <c r="E32" s="30" t="s">
        <v>8</v>
      </c>
      <c r="F32" s="51">
        <v>6.07</v>
      </c>
      <c r="G32" s="51">
        <v>57.61</v>
      </c>
      <c r="H32" s="51">
        <v>24.85</v>
      </c>
      <c r="I32" s="51">
        <v>5.33</v>
      </c>
      <c r="J32" s="51">
        <v>0.11</v>
      </c>
      <c r="K32" s="51">
        <v>190.86</v>
      </c>
      <c r="L32" s="51">
        <v>27.26</v>
      </c>
      <c r="M32" s="51">
        <v>90.41</v>
      </c>
      <c r="N32" s="51">
        <v>2.1</v>
      </c>
      <c r="O32" s="51">
        <v>0</v>
      </c>
      <c r="P32" s="51">
        <v>0.47</v>
      </c>
      <c r="Q32" s="51">
        <v>4.66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9.16</v>
      </c>
      <c r="C34" s="41">
        <f t="shared" si="0"/>
        <v>4.08</v>
      </c>
      <c r="D34" s="41">
        <f t="shared" si="0"/>
        <v>14</v>
      </c>
      <c r="E34" s="41">
        <f t="shared" si="0"/>
        <v>8.7200000000000006</v>
      </c>
      <c r="F34" s="41">
        <f t="shared" si="0"/>
        <v>3.9</v>
      </c>
      <c r="G34" s="41">
        <f t="shared" si="0"/>
        <v>34.700000000000003</v>
      </c>
      <c r="H34" s="41">
        <f t="shared" si="0"/>
        <v>10.15</v>
      </c>
      <c r="I34" s="41">
        <f t="shared" si="0"/>
        <v>5.12</v>
      </c>
      <c r="J34" s="41">
        <f t="shared" si="0"/>
        <v>0.11</v>
      </c>
      <c r="K34" s="41">
        <f t="shared" si="0"/>
        <v>60.57</v>
      </c>
      <c r="L34" s="41">
        <f t="shared" si="0"/>
        <v>25.25</v>
      </c>
      <c r="M34" s="41">
        <f t="shared" si="0"/>
        <v>56.67</v>
      </c>
      <c r="N34" s="41">
        <f t="shared" si="0"/>
        <v>2.1</v>
      </c>
      <c r="O34" s="41">
        <f t="shared" si="0"/>
        <v>0</v>
      </c>
      <c r="P34" s="41">
        <f t="shared" si="0"/>
        <v>0.41</v>
      </c>
      <c r="Q34" s="41">
        <f t="shared" si="0"/>
        <v>4.6399999999999997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9.34</v>
      </c>
      <c r="C35" s="33">
        <f t="shared" si="1"/>
        <v>4.28</v>
      </c>
      <c r="D35" s="33">
        <f t="shared" si="1"/>
        <v>14.06</v>
      </c>
      <c r="E35" s="33">
        <f t="shared" si="1"/>
        <v>12.91</v>
      </c>
      <c r="F35" s="33">
        <f t="shared" si="1"/>
        <v>9.7899999999999991</v>
      </c>
      <c r="G35" s="33">
        <f t="shared" si="1"/>
        <v>77.55</v>
      </c>
      <c r="H35" s="33">
        <f t="shared" si="1"/>
        <v>32.28</v>
      </c>
      <c r="I35" s="33">
        <f t="shared" si="1"/>
        <v>6.97</v>
      </c>
      <c r="J35" s="33">
        <f t="shared" si="1"/>
        <v>0.9</v>
      </c>
      <c r="K35" s="33">
        <f t="shared" si="1"/>
        <v>199.52</v>
      </c>
      <c r="L35" s="33">
        <f t="shared" si="1"/>
        <v>33.57</v>
      </c>
      <c r="M35" s="33">
        <f t="shared" si="1"/>
        <v>101.08</v>
      </c>
      <c r="N35" s="33">
        <f t="shared" si="1"/>
        <v>808.1</v>
      </c>
      <c r="O35" s="33">
        <f t="shared" si="1"/>
        <v>0</v>
      </c>
      <c r="P35" s="33">
        <f t="shared" si="1"/>
        <v>0.56000000000000005</v>
      </c>
      <c r="Q35" s="33">
        <f t="shared" si="1"/>
        <v>4.6900000000000004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9.2520833333333332</v>
      </c>
      <c r="C36" s="41">
        <f t="shared" si="2"/>
        <v>4.1508333333333338</v>
      </c>
      <c r="D36" s="41">
        <f t="shared" si="2"/>
        <v>14.014166666666663</v>
      </c>
      <c r="E36" s="41">
        <f t="shared" si="2"/>
        <v>11.171428571428573</v>
      </c>
      <c r="F36" s="41">
        <f t="shared" si="2"/>
        <v>6.0350000000000001</v>
      </c>
      <c r="G36" s="41">
        <f t="shared" si="2"/>
        <v>54.742499999999986</v>
      </c>
      <c r="H36" s="41">
        <f t="shared" si="2"/>
        <v>21.7</v>
      </c>
      <c r="I36" s="41">
        <f t="shared" si="2"/>
        <v>5.7270833333333337</v>
      </c>
      <c r="J36" s="41">
        <f t="shared" si="2"/>
        <v>0.49041666666666667</v>
      </c>
      <c r="K36" s="41">
        <f t="shared" si="2"/>
        <v>104.58958333333335</v>
      </c>
      <c r="L36" s="41">
        <f t="shared" si="2"/>
        <v>29.271249999999998</v>
      </c>
      <c r="M36" s="41">
        <f t="shared" si="2"/>
        <v>80.760000000000005</v>
      </c>
      <c r="N36" s="41">
        <f t="shared" si="2"/>
        <v>143.32916666666665</v>
      </c>
      <c r="O36" s="41">
        <f t="shared" si="2"/>
        <v>0</v>
      </c>
      <c r="P36" s="41">
        <f t="shared" si="2"/>
        <v>0.46375000000000011</v>
      </c>
      <c r="Q36" s="41">
        <f t="shared" si="2"/>
        <v>4.665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4.754669710712929E-2</v>
      </c>
      <c r="C37" s="41">
        <f t="shared" ref="C37:Q37" si="3">STDEV(C9:C32)</f>
        <v>5.897063872711629E-2</v>
      </c>
      <c r="D37" s="41">
        <f t="shared" si="3"/>
        <v>1.9318084941243662E-2</v>
      </c>
      <c r="E37" s="41">
        <f t="shared" si="3"/>
        <v>1.4044048052975568</v>
      </c>
      <c r="F37" s="41">
        <f t="shared" si="3"/>
        <v>1.7595132726188063</v>
      </c>
      <c r="G37" s="41">
        <f t="shared" si="3"/>
        <v>14.43365549227105</v>
      </c>
      <c r="H37" s="41">
        <f t="shared" si="3"/>
        <v>6.5587366227770358</v>
      </c>
      <c r="I37" s="41">
        <f t="shared" si="3"/>
        <v>0.57947111693535158</v>
      </c>
      <c r="J37" s="41">
        <f t="shared" si="3"/>
        <v>0.22518551128514827</v>
      </c>
      <c r="K37" s="41">
        <f t="shared" si="3"/>
        <v>44.105637466661541</v>
      </c>
      <c r="L37" s="41">
        <f t="shared" si="3"/>
        <v>2.8813799720755577</v>
      </c>
      <c r="M37" s="41">
        <f t="shared" si="3"/>
        <v>15.216230465040146</v>
      </c>
      <c r="N37" s="41">
        <f t="shared" si="3"/>
        <v>247.10134248956422</v>
      </c>
      <c r="O37" s="41">
        <f t="shared" si="3"/>
        <v>0</v>
      </c>
      <c r="P37" s="41">
        <f t="shared" si="3"/>
        <v>4.0519721446313252E-2</v>
      </c>
      <c r="Q37" s="41">
        <f t="shared" si="3"/>
        <v>1.4142135623730991E-2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27" activePane="bottomRight" state="frozen"/>
      <selection activeCell="A9" sqref="A9"/>
      <selection pane="topRight" activeCell="A9" sqref="A9"/>
      <selection pane="bottomLeft" activeCell="A9" sqref="A9"/>
      <selection pane="bottomRight" activeCell="E38" sqref="E38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45580.041666666664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>
        <v>45580.041666666664</v>
      </c>
      <c r="B9" s="51">
        <v>9.2200000000000006</v>
      </c>
      <c r="C9" s="51">
        <v>4.2699999999999996</v>
      </c>
      <c r="D9" s="51">
        <v>14</v>
      </c>
      <c r="E9" s="30" t="s">
        <v>8</v>
      </c>
      <c r="F9" s="51">
        <v>4.6100000000000003</v>
      </c>
      <c r="G9" s="51">
        <v>54.36</v>
      </c>
      <c r="H9" s="51">
        <v>24.85</v>
      </c>
      <c r="I9" s="51">
        <v>5.4</v>
      </c>
      <c r="J9" s="51">
        <v>0.14000000000000001</v>
      </c>
      <c r="K9" s="51">
        <v>214.99</v>
      </c>
      <c r="L9" s="51">
        <v>26.7</v>
      </c>
      <c r="M9" s="51">
        <v>94.62</v>
      </c>
      <c r="N9" s="51">
        <v>2.1</v>
      </c>
      <c r="O9" s="51">
        <v>0</v>
      </c>
      <c r="P9" s="51">
        <v>0.48</v>
      </c>
      <c r="Q9" s="51">
        <v>4.6500000000000004</v>
      </c>
    </row>
    <row r="10" spans="1:21" customFormat="1">
      <c r="A10" s="50">
        <v>45580.083333333336</v>
      </c>
      <c r="B10" s="51">
        <v>9.25</v>
      </c>
      <c r="C10" s="51">
        <v>4.1500000000000004</v>
      </c>
      <c r="D10" s="51">
        <v>14.01</v>
      </c>
      <c r="E10" s="30" t="s">
        <v>8</v>
      </c>
      <c r="F10" s="51">
        <v>3.85</v>
      </c>
      <c r="G10" s="51">
        <v>54.64</v>
      </c>
      <c r="H10" s="51">
        <v>19.22</v>
      </c>
      <c r="I10" s="51">
        <v>5.51</v>
      </c>
      <c r="J10" s="51">
        <v>0.14000000000000001</v>
      </c>
      <c r="K10" s="51">
        <v>219.09</v>
      </c>
      <c r="L10" s="51">
        <v>26.15</v>
      </c>
      <c r="M10" s="51">
        <v>95.63</v>
      </c>
      <c r="N10" s="51">
        <v>2.1</v>
      </c>
      <c r="O10" s="51">
        <v>0</v>
      </c>
      <c r="P10" s="51">
        <v>0.49</v>
      </c>
      <c r="Q10" s="51">
        <v>4.66</v>
      </c>
    </row>
    <row r="11" spans="1:21" customFormat="1">
      <c r="A11" s="50">
        <v>45580.125</v>
      </c>
      <c r="B11" s="51">
        <v>9.25</v>
      </c>
      <c r="C11" s="51">
        <v>4.1100000000000003</v>
      </c>
      <c r="D11" s="51">
        <v>14</v>
      </c>
      <c r="E11" s="30" t="s">
        <v>8</v>
      </c>
      <c r="F11" s="51">
        <v>3.71</v>
      </c>
      <c r="G11" s="51">
        <v>52.3</v>
      </c>
      <c r="H11" s="51">
        <v>19.68</v>
      </c>
      <c r="I11" s="51">
        <v>5.59</v>
      </c>
      <c r="J11" s="51">
        <v>0.46</v>
      </c>
      <c r="K11" s="51">
        <v>65.83</v>
      </c>
      <c r="L11" s="51">
        <v>25.97</v>
      </c>
      <c r="M11" s="51">
        <v>96.42</v>
      </c>
      <c r="N11" s="51">
        <v>2.1</v>
      </c>
      <c r="O11" s="51">
        <v>0</v>
      </c>
      <c r="P11" s="51">
        <v>0.49</v>
      </c>
      <c r="Q11" s="51">
        <v>4.6500000000000004</v>
      </c>
    </row>
    <row r="12" spans="1:21" customFormat="1">
      <c r="A12" s="50">
        <v>45580.166666666664</v>
      </c>
      <c r="B12" s="51">
        <v>9.2899999999999991</v>
      </c>
      <c r="C12" s="51">
        <v>4.09</v>
      </c>
      <c r="D12" s="51">
        <v>14.02</v>
      </c>
      <c r="E12" s="30" t="s">
        <v>8</v>
      </c>
      <c r="F12" s="51">
        <v>4.9000000000000004</v>
      </c>
      <c r="G12" s="51">
        <v>54.83</v>
      </c>
      <c r="H12" s="51">
        <v>20.62</v>
      </c>
      <c r="I12" s="51">
        <v>5.58</v>
      </c>
      <c r="J12" s="51">
        <v>0.76</v>
      </c>
      <c r="K12" s="51">
        <v>59.16</v>
      </c>
      <c r="L12" s="51">
        <v>25.7</v>
      </c>
      <c r="M12" s="51">
        <v>97.17</v>
      </c>
      <c r="N12" s="51">
        <v>2.1</v>
      </c>
      <c r="O12" s="51">
        <v>0</v>
      </c>
      <c r="P12" s="51">
        <v>0.48</v>
      </c>
      <c r="Q12" s="51">
        <v>4.67</v>
      </c>
    </row>
    <row r="13" spans="1:21" customFormat="1">
      <c r="A13" s="50">
        <v>45580.208333333336</v>
      </c>
      <c r="B13" s="51">
        <v>9.2799999999999994</v>
      </c>
      <c r="C13" s="51">
        <v>4.08</v>
      </c>
      <c r="D13" s="51">
        <v>14.02</v>
      </c>
      <c r="E13" s="30" t="s">
        <v>8</v>
      </c>
      <c r="F13" s="51">
        <v>4.37</v>
      </c>
      <c r="G13" s="51">
        <v>67.77</v>
      </c>
      <c r="H13" s="51">
        <v>26.84</v>
      </c>
      <c r="I13" s="51">
        <v>5.44</v>
      </c>
      <c r="J13" s="51">
        <v>0.74</v>
      </c>
      <c r="K13" s="51">
        <v>63.08</v>
      </c>
      <c r="L13" s="51">
        <v>25.37</v>
      </c>
      <c r="M13" s="51">
        <v>96.9</v>
      </c>
      <c r="N13" s="51">
        <v>2.1</v>
      </c>
      <c r="O13" s="51">
        <v>0</v>
      </c>
      <c r="P13" s="51">
        <v>0.44</v>
      </c>
      <c r="Q13" s="51">
        <v>4.68</v>
      </c>
    </row>
    <row r="14" spans="1:21" customFormat="1">
      <c r="A14" s="50">
        <v>45580.25</v>
      </c>
      <c r="B14" s="51">
        <v>9.23</v>
      </c>
      <c r="C14" s="51">
        <v>4.16</v>
      </c>
      <c r="D14" s="51">
        <v>14</v>
      </c>
      <c r="E14" s="30" t="s">
        <v>8</v>
      </c>
      <c r="F14" s="51">
        <v>3.93</v>
      </c>
      <c r="G14" s="51">
        <v>81.83</v>
      </c>
      <c r="H14" s="51">
        <v>30.72</v>
      </c>
      <c r="I14" s="51">
        <v>5.72</v>
      </c>
      <c r="J14" s="51">
        <v>0.52</v>
      </c>
      <c r="K14" s="51">
        <v>171.47</v>
      </c>
      <c r="L14" s="51">
        <v>24.86</v>
      </c>
      <c r="M14" s="51">
        <v>95.33</v>
      </c>
      <c r="N14" s="51">
        <v>5.6</v>
      </c>
      <c r="O14" s="51">
        <v>0</v>
      </c>
      <c r="P14" s="51">
        <v>0.46</v>
      </c>
      <c r="Q14" s="51">
        <v>4.67</v>
      </c>
    </row>
    <row r="15" spans="1:21" customFormat="1">
      <c r="A15" s="50">
        <v>45580.291666666664</v>
      </c>
      <c r="B15" s="51">
        <v>9.1999999999999993</v>
      </c>
      <c r="C15" s="51">
        <v>4.2</v>
      </c>
      <c r="D15" s="51">
        <v>14</v>
      </c>
      <c r="E15" s="30" t="s">
        <v>8</v>
      </c>
      <c r="F15" s="51">
        <v>4.0999999999999996</v>
      </c>
      <c r="G15" s="51">
        <v>92.57</v>
      </c>
      <c r="H15" s="51">
        <v>34.78</v>
      </c>
      <c r="I15" s="51">
        <v>6.5</v>
      </c>
      <c r="J15" s="51">
        <v>0.83</v>
      </c>
      <c r="K15" s="51">
        <v>70.94</v>
      </c>
      <c r="L15" s="51">
        <v>25.26</v>
      </c>
      <c r="M15" s="51">
        <v>94.31</v>
      </c>
      <c r="N15" s="51">
        <v>50.9</v>
      </c>
      <c r="O15" s="51">
        <v>0</v>
      </c>
      <c r="P15" s="51">
        <v>0.51</v>
      </c>
      <c r="Q15" s="51">
        <v>4.66</v>
      </c>
    </row>
    <row r="16" spans="1:21" customFormat="1">
      <c r="A16" s="50">
        <v>45580.333333333336</v>
      </c>
      <c r="B16" s="51">
        <v>9.1999999999999993</v>
      </c>
      <c r="C16" s="51">
        <v>4.17</v>
      </c>
      <c r="D16" s="51">
        <v>14</v>
      </c>
      <c r="E16" s="30" t="s">
        <v>8</v>
      </c>
      <c r="F16" s="51">
        <v>3.97</v>
      </c>
      <c r="G16" s="51">
        <v>94.15</v>
      </c>
      <c r="H16" s="51">
        <v>38.659999999999997</v>
      </c>
      <c r="I16" s="51">
        <v>7.56</v>
      </c>
      <c r="J16" s="51">
        <v>0.72</v>
      </c>
      <c r="K16" s="51">
        <v>90.32</v>
      </c>
      <c r="L16" s="51">
        <v>27.77</v>
      </c>
      <c r="M16" s="51">
        <v>91.99</v>
      </c>
      <c r="N16" s="51">
        <v>172.4</v>
      </c>
      <c r="O16" s="51">
        <v>0</v>
      </c>
      <c r="P16" s="51">
        <v>0.53</v>
      </c>
      <c r="Q16" s="51">
        <v>4.67</v>
      </c>
    </row>
    <row r="17" spans="1:17" customFormat="1">
      <c r="A17" s="50">
        <v>45580.375</v>
      </c>
      <c r="B17" s="51">
        <v>9.2100000000000009</v>
      </c>
      <c r="C17" s="51">
        <v>4.18</v>
      </c>
      <c r="D17" s="51">
        <v>14</v>
      </c>
      <c r="E17" s="30" t="s">
        <v>8</v>
      </c>
      <c r="F17" s="51">
        <v>4.6500000000000004</v>
      </c>
      <c r="G17" s="51">
        <v>91.54</v>
      </c>
      <c r="H17" s="51">
        <v>38.659999999999997</v>
      </c>
      <c r="I17" s="51">
        <v>7.53</v>
      </c>
      <c r="J17" s="51">
        <v>0.59</v>
      </c>
      <c r="K17" s="51">
        <v>84.07</v>
      </c>
      <c r="L17" s="51">
        <v>29.72</v>
      </c>
      <c r="M17" s="51">
        <v>82.09</v>
      </c>
      <c r="N17" s="51">
        <v>315</v>
      </c>
      <c r="O17" s="51">
        <v>0</v>
      </c>
      <c r="P17" s="51">
        <v>0.55000000000000004</v>
      </c>
      <c r="Q17" s="51">
        <v>4.67</v>
      </c>
    </row>
    <row r="18" spans="1:17" customFormat="1">
      <c r="A18" s="50">
        <v>45580.416666666664</v>
      </c>
      <c r="B18" s="51">
        <v>9.25</v>
      </c>
      <c r="C18" s="51">
        <v>4.17</v>
      </c>
      <c r="D18" s="51">
        <v>14</v>
      </c>
      <c r="E18" s="30" t="s">
        <v>8</v>
      </c>
      <c r="F18" s="51">
        <v>5.03</v>
      </c>
      <c r="G18" s="51">
        <v>91.61</v>
      </c>
      <c r="H18" s="51">
        <v>36.76</v>
      </c>
      <c r="I18" s="51">
        <v>7.41</v>
      </c>
      <c r="J18" s="51">
        <v>0.47</v>
      </c>
      <c r="K18" s="51">
        <v>81.849999999999994</v>
      </c>
      <c r="L18" s="51">
        <v>30.92</v>
      </c>
      <c r="M18" s="51">
        <v>71.39</v>
      </c>
      <c r="N18" s="51">
        <v>184.1</v>
      </c>
      <c r="O18" s="51">
        <v>0</v>
      </c>
      <c r="P18" s="51">
        <v>0.6</v>
      </c>
      <c r="Q18" s="51">
        <v>4.6500000000000004</v>
      </c>
    </row>
    <row r="19" spans="1:17" customFormat="1">
      <c r="A19" s="50">
        <v>45580.458333333336</v>
      </c>
      <c r="B19" s="51">
        <v>9.26</v>
      </c>
      <c r="C19" s="51">
        <v>4.24</v>
      </c>
      <c r="D19" s="51">
        <v>14.01</v>
      </c>
      <c r="E19" s="51">
        <v>10.79</v>
      </c>
      <c r="F19" s="51">
        <v>10.36</v>
      </c>
      <c r="G19" s="51">
        <v>78.069999999999993</v>
      </c>
      <c r="H19" s="51">
        <v>34.46</v>
      </c>
      <c r="I19" s="51">
        <v>7.41</v>
      </c>
      <c r="J19" s="51">
        <v>0.2</v>
      </c>
      <c r="K19" s="51">
        <v>181.38</v>
      </c>
      <c r="L19" s="51">
        <v>32.69</v>
      </c>
      <c r="M19" s="51">
        <v>64.39</v>
      </c>
      <c r="N19" s="51">
        <v>530.6</v>
      </c>
      <c r="O19" s="51">
        <v>0</v>
      </c>
      <c r="P19" s="51">
        <v>0.61</v>
      </c>
      <c r="Q19" s="51">
        <v>4.6500000000000004</v>
      </c>
    </row>
    <row r="20" spans="1:17" customFormat="1">
      <c r="A20" s="50">
        <v>45580.5</v>
      </c>
      <c r="B20" s="51">
        <v>9.3000000000000007</v>
      </c>
      <c r="C20" s="51">
        <v>4.09</v>
      </c>
      <c r="D20" s="51">
        <v>14.04</v>
      </c>
      <c r="E20" s="51">
        <v>9.56</v>
      </c>
      <c r="F20" s="51">
        <v>8.0299999999999994</v>
      </c>
      <c r="G20" s="51">
        <v>56.7</v>
      </c>
      <c r="H20" s="51">
        <v>24.21</v>
      </c>
      <c r="I20" s="51">
        <v>6.66</v>
      </c>
      <c r="J20" s="51">
        <v>0.22</v>
      </c>
      <c r="K20" s="51">
        <v>222.21</v>
      </c>
      <c r="L20" s="51">
        <v>33.200000000000003</v>
      </c>
      <c r="M20" s="51">
        <v>64.91</v>
      </c>
      <c r="N20" s="51">
        <v>594.6</v>
      </c>
      <c r="O20" s="51">
        <v>0</v>
      </c>
      <c r="P20" s="51">
        <v>0.51</v>
      </c>
      <c r="Q20" s="51">
        <v>4.63</v>
      </c>
    </row>
    <row r="21" spans="1:17" customFormat="1">
      <c r="A21" s="50">
        <v>45580.541666666664</v>
      </c>
      <c r="B21" s="51">
        <v>9.35</v>
      </c>
      <c r="C21" s="51">
        <v>4.08</v>
      </c>
      <c r="D21" s="51">
        <v>14.07</v>
      </c>
      <c r="E21" s="51">
        <v>9.6300000000000008</v>
      </c>
      <c r="F21" s="51">
        <v>8.31</v>
      </c>
      <c r="G21" s="51">
        <v>41.09</v>
      </c>
      <c r="H21" s="51">
        <v>24.21</v>
      </c>
      <c r="I21" s="51">
        <v>5.58</v>
      </c>
      <c r="J21" s="51">
        <v>0.44</v>
      </c>
      <c r="K21" s="51">
        <v>141.13999999999999</v>
      </c>
      <c r="L21" s="51">
        <v>33.43</v>
      </c>
      <c r="M21" s="51">
        <v>64.2</v>
      </c>
      <c r="N21" s="51">
        <v>676</v>
      </c>
      <c r="O21" s="51">
        <v>0</v>
      </c>
      <c r="P21" s="51">
        <v>0.5</v>
      </c>
      <c r="Q21" s="51">
        <v>4.66</v>
      </c>
    </row>
    <row r="22" spans="1:17" customFormat="1">
      <c r="A22" s="50">
        <v>45580.583333333336</v>
      </c>
      <c r="B22" s="51">
        <v>9.43</v>
      </c>
      <c r="C22" s="51">
        <v>4.09</v>
      </c>
      <c r="D22" s="51">
        <v>14.13</v>
      </c>
      <c r="E22" s="51">
        <v>7.53</v>
      </c>
      <c r="F22" s="51">
        <v>33.89</v>
      </c>
      <c r="G22" s="51">
        <v>36.83</v>
      </c>
      <c r="H22" s="51">
        <v>16.89</v>
      </c>
      <c r="I22" s="51">
        <v>4.84</v>
      </c>
      <c r="J22" s="51">
        <v>0.39</v>
      </c>
      <c r="K22" s="51">
        <v>80.09</v>
      </c>
      <c r="L22" s="51">
        <v>33.97</v>
      </c>
      <c r="M22" s="51">
        <v>54.87</v>
      </c>
      <c r="N22" s="51">
        <v>291.3</v>
      </c>
      <c r="O22" s="51">
        <v>0</v>
      </c>
      <c r="P22" s="51">
        <v>0.33</v>
      </c>
      <c r="Q22" s="51">
        <v>4.6900000000000004</v>
      </c>
    </row>
    <row r="23" spans="1:17" customFormat="1">
      <c r="A23" s="50">
        <v>45580.625</v>
      </c>
      <c r="B23" s="51">
        <v>9.11</v>
      </c>
      <c r="C23" s="51">
        <v>4.47</v>
      </c>
      <c r="D23" s="51">
        <v>14</v>
      </c>
      <c r="E23" s="51">
        <v>9.5299999999999994</v>
      </c>
      <c r="F23" s="51">
        <v>15.23</v>
      </c>
      <c r="G23" s="51">
        <v>38.93</v>
      </c>
      <c r="H23" s="51">
        <v>18.940000000000001</v>
      </c>
      <c r="I23" s="51">
        <v>3.47</v>
      </c>
      <c r="J23" s="51">
        <v>0.48</v>
      </c>
      <c r="K23" s="51">
        <v>156.30000000000001</v>
      </c>
      <c r="L23" s="51">
        <v>32.89</v>
      </c>
      <c r="M23" s="51">
        <v>63.97</v>
      </c>
      <c r="N23" s="51">
        <v>121.6</v>
      </c>
      <c r="O23" s="51">
        <v>0</v>
      </c>
      <c r="P23" s="51">
        <v>0.46</v>
      </c>
      <c r="Q23" s="51">
        <v>4.6900000000000004</v>
      </c>
    </row>
    <row r="24" spans="1:17" customFormat="1">
      <c r="A24" s="50">
        <v>45580.666666666664</v>
      </c>
      <c r="B24" s="51">
        <v>9.17</v>
      </c>
      <c r="C24" s="51">
        <v>4.24</v>
      </c>
      <c r="D24" s="51">
        <v>14</v>
      </c>
      <c r="E24" s="51">
        <v>9.26</v>
      </c>
      <c r="F24" s="51">
        <v>15.28</v>
      </c>
      <c r="G24" s="51">
        <v>40.85</v>
      </c>
      <c r="H24" s="51">
        <v>18.940000000000001</v>
      </c>
      <c r="I24" s="51">
        <v>3.49</v>
      </c>
      <c r="J24" s="51">
        <v>0.52</v>
      </c>
      <c r="K24" s="51">
        <v>81.709999999999994</v>
      </c>
      <c r="L24" s="51">
        <v>32.04</v>
      </c>
      <c r="M24" s="51">
        <v>62.06</v>
      </c>
      <c r="N24" s="51">
        <v>69.599999999999994</v>
      </c>
      <c r="O24" s="51">
        <v>0</v>
      </c>
      <c r="P24" s="51">
        <v>0.49</v>
      </c>
      <c r="Q24" s="51">
        <v>4.68</v>
      </c>
    </row>
    <row r="25" spans="1:17" customFormat="1">
      <c r="A25" s="50">
        <v>45580.708333333336</v>
      </c>
      <c r="B25" s="51">
        <v>9.15</v>
      </c>
      <c r="C25" s="51">
        <v>4.34</v>
      </c>
      <c r="D25" s="51">
        <v>14</v>
      </c>
      <c r="E25" s="51">
        <v>8.57</v>
      </c>
      <c r="F25" s="51">
        <v>16.91</v>
      </c>
      <c r="G25" s="51">
        <v>40.93</v>
      </c>
      <c r="H25" s="51">
        <v>17.21</v>
      </c>
      <c r="I25" s="51">
        <v>3.57</v>
      </c>
      <c r="J25" s="51">
        <v>0.41</v>
      </c>
      <c r="K25" s="51">
        <v>122.26</v>
      </c>
      <c r="L25" s="51">
        <v>31.58</v>
      </c>
      <c r="M25" s="51">
        <v>63.88</v>
      </c>
      <c r="N25" s="51">
        <v>38.700000000000003</v>
      </c>
      <c r="O25" s="51">
        <v>0</v>
      </c>
      <c r="P25" s="51">
        <v>0.5</v>
      </c>
      <c r="Q25" s="51">
        <v>4.66</v>
      </c>
    </row>
    <row r="26" spans="1:17" customFormat="1">
      <c r="A26" s="50">
        <v>45580.75</v>
      </c>
      <c r="B26" s="51">
        <v>9.2200000000000006</v>
      </c>
      <c r="C26" s="51">
        <v>4.3099999999999996</v>
      </c>
      <c r="D26" s="51">
        <v>14</v>
      </c>
      <c r="E26" s="51">
        <v>8.66</v>
      </c>
      <c r="F26" s="51">
        <v>10.54</v>
      </c>
      <c r="G26" s="51">
        <v>48.01</v>
      </c>
      <c r="H26" s="51">
        <v>18.899999999999999</v>
      </c>
      <c r="I26" s="51">
        <v>3.62</v>
      </c>
      <c r="J26" s="51">
        <v>0.18</v>
      </c>
      <c r="K26" s="51">
        <v>180.64</v>
      </c>
      <c r="L26" s="51">
        <v>30.53</v>
      </c>
      <c r="M26" s="51">
        <v>73.849999999999994</v>
      </c>
      <c r="N26" s="51">
        <v>6.6</v>
      </c>
      <c r="O26" s="51">
        <v>0</v>
      </c>
      <c r="P26" s="51">
        <v>0.55000000000000004</v>
      </c>
      <c r="Q26" s="51">
        <v>4.6500000000000004</v>
      </c>
    </row>
    <row r="27" spans="1:17" customFormat="1">
      <c r="A27" s="50">
        <v>45580.791666666664</v>
      </c>
      <c r="B27" s="51">
        <v>9.2799999999999994</v>
      </c>
      <c r="C27" s="51">
        <v>4.1399999999999997</v>
      </c>
      <c r="D27" s="51">
        <v>14.03</v>
      </c>
      <c r="E27" s="51">
        <v>7.96</v>
      </c>
      <c r="F27" s="51">
        <v>7.18</v>
      </c>
      <c r="G27" s="51">
        <v>53.92</v>
      </c>
      <c r="H27" s="51">
        <v>20.32</v>
      </c>
      <c r="I27" s="51">
        <v>4.33</v>
      </c>
      <c r="J27" s="51">
        <v>0.12</v>
      </c>
      <c r="K27" s="51">
        <v>165.38</v>
      </c>
      <c r="L27" s="51">
        <v>29.25</v>
      </c>
      <c r="M27" s="51">
        <v>77.28</v>
      </c>
      <c r="N27" s="51">
        <v>2.1</v>
      </c>
      <c r="O27" s="51">
        <v>0</v>
      </c>
      <c r="P27" s="51">
        <v>0.6</v>
      </c>
      <c r="Q27" s="51">
        <v>4.6399999999999997</v>
      </c>
    </row>
    <row r="28" spans="1:17" customFormat="1">
      <c r="A28" s="50">
        <v>45580.833333333336</v>
      </c>
      <c r="B28" s="51">
        <v>9.31</v>
      </c>
      <c r="C28" s="51">
        <v>4.1500000000000004</v>
      </c>
      <c r="D28" s="51">
        <v>14.06</v>
      </c>
      <c r="E28" s="51">
        <v>7.98</v>
      </c>
      <c r="F28" s="51">
        <v>6.59</v>
      </c>
      <c r="G28" s="51">
        <v>60.25</v>
      </c>
      <c r="H28" s="51">
        <v>21.14</v>
      </c>
      <c r="I28" s="51">
        <v>4.96</v>
      </c>
      <c r="J28" s="51">
        <v>0.34</v>
      </c>
      <c r="K28" s="51">
        <v>92.62</v>
      </c>
      <c r="L28" s="51">
        <v>29</v>
      </c>
      <c r="M28" s="51">
        <v>79.319999999999993</v>
      </c>
      <c r="N28" s="51">
        <v>2.1</v>
      </c>
      <c r="O28" s="51">
        <v>0</v>
      </c>
      <c r="P28" s="51">
        <v>0.63</v>
      </c>
      <c r="Q28" s="51">
        <v>4.67</v>
      </c>
    </row>
    <row r="29" spans="1:17" customFormat="1">
      <c r="A29" s="50">
        <v>45580.875</v>
      </c>
      <c r="B29" s="51">
        <v>9.18</v>
      </c>
      <c r="C29" s="51">
        <v>4.21</v>
      </c>
      <c r="D29" s="51">
        <v>14</v>
      </c>
      <c r="E29" s="51">
        <v>9.58</v>
      </c>
      <c r="F29" s="51">
        <v>5.94</v>
      </c>
      <c r="G29" s="51">
        <v>63.47</v>
      </c>
      <c r="H29" s="51">
        <v>24.87</v>
      </c>
      <c r="I29" s="51">
        <v>5.14</v>
      </c>
      <c r="J29" s="51">
        <v>0.21</v>
      </c>
      <c r="K29" s="51">
        <v>179.42</v>
      </c>
      <c r="L29" s="51">
        <v>28.79</v>
      </c>
      <c r="M29" s="51">
        <v>84.19</v>
      </c>
      <c r="N29" s="51">
        <v>2.2000000000000002</v>
      </c>
      <c r="O29" s="51">
        <v>0</v>
      </c>
      <c r="P29" s="51">
        <v>0.61</v>
      </c>
      <c r="Q29" s="51">
        <v>4.66</v>
      </c>
    </row>
    <row r="30" spans="1:17" customFormat="1">
      <c r="A30" s="50">
        <v>45580.916666666664</v>
      </c>
      <c r="B30" s="51">
        <v>9.17</v>
      </c>
      <c r="C30" s="51">
        <v>4.25</v>
      </c>
      <c r="D30" s="51">
        <v>14</v>
      </c>
      <c r="E30" s="51">
        <v>10.1</v>
      </c>
      <c r="F30" s="51">
        <v>7.08</v>
      </c>
      <c r="G30" s="51">
        <v>63.85</v>
      </c>
      <c r="H30" s="51">
        <v>24.87</v>
      </c>
      <c r="I30" s="51">
        <v>5.14</v>
      </c>
      <c r="J30" s="51">
        <v>0.2</v>
      </c>
      <c r="K30" s="51">
        <v>226.34</v>
      </c>
      <c r="L30" s="51">
        <v>27.85</v>
      </c>
      <c r="M30" s="51">
        <v>91.63</v>
      </c>
      <c r="N30" s="51">
        <v>2.2000000000000002</v>
      </c>
      <c r="O30" s="51">
        <v>0</v>
      </c>
      <c r="P30" s="51">
        <v>0.61</v>
      </c>
      <c r="Q30" s="51">
        <v>4.66</v>
      </c>
    </row>
    <row r="31" spans="1:17" customFormat="1">
      <c r="A31" s="50">
        <v>45580.958333333336</v>
      </c>
      <c r="B31" s="51">
        <v>9.15</v>
      </c>
      <c r="C31" s="51">
        <v>4.25</v>
      </c>
      <c r="D31" s="51">
        <v>14</v>
      </c>
      <c r="E31" s="51">
        <v>10.77</v>
      </c>
      <c r="F31" s="51">
        <v>5.18</v>
      </c>
      <c r="G31" s="51">
        <v>66.540000000000006</v>
      </c>
      <c r="H31" s="51">
        <v>31.12</v>
      </c>
      <c r="I31" s="51">
        <v>5.18</v>
      </c>
      <c r="J31" s="51">
        <v>0.2</v>
      </c>
      <c r="K31" s="51">
        <v>221.77</v>
      </c>
      <c r="L31" s="51">
        <v>26.99</v>
      </c>
      <c r="M31" s="51">
        <v>93.68</v>
      </c>
      <c r="N31" s="51">
        <v>2.1</v>
      </c>
      <c r="O31" s="51">
        <v>0</v>
      </c>
      <c r="P31" s="51">
        <v>0.6</v>
      </c>
      <c r="Q31" s="51">
        <v>4.6500000000000004</v>
      </c>
    </row>
    <row r="32" spans="1:17" customFormat="1">
      <c r="A32" s="50">
        <v>45581</v>
      </c>
      <c r="B32" s="51">
        <v>9.16</v>
      </c>
      <c r="C32" s="51">
        <v>4.25</v>
      </c>
      <c r="D32" s="51">
        <v>14</v>
      </c>
      <c r="E32" s="51">
        <v>10.84</v>
      </c>
      <c r="F32" s="51">
        <v>4.3600000000000003</v>
      </c>
      <c r="G32" s="51">
        <v>68.3</v>
      </c>
      <c r="H32" s="51">
        <v>31.12</v>
      </c>
      <c r="I32" s="51">
        <v>5.17</v>
      </c>
      <c r="J32" s="51">
        <v>0.13</v>
      </c>
      <c r="K32" s="51">
        <v>185.04</v>
      </c>
      <c r="L32" s="51">
        <v>26.47</v>
      </c>
      <c r="M32" s="51">
        <v>95.36</v>
      </c>
      <c r="N32" s="51">
        <v>2.1</v>
      </c>
      <c r="O32" s="51">
        <v>0</v>
      </c>
      <c r="P32" s="51">
        <v>0.6</v>
      </c>
      <c r="Q32" s="51">
        <v>4.66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9.11</v>
      </c>
      <c r="C34" s="41">
        <f t="shared" si="0"/>
        <v>4.08</v>
      </c>
      <c r="D34" s="41">
        <f t="shared" si="0"/>
        <v>14</v>
      </c>
      <c r="E34" s="41">
        <f t="shared" si="0"/>
        <v>7.53</v>
      </c>
      <c r="F34" s="41">
        <f t="shared" si="0"/>
        <v>3.71</v>
      </c>
      <c r="G34" s="41">
        <f t="shared" si="0"/>
        <v>36.83</v>
      </c>
      <c r="H34" s="41">
        <f t="shared" si="0"/>
        <v>16.89</v>
      </c>
      <c r="I34" s="41">
        <f t="shared" si="0"/>
        <v>3.47</v>
      </c>
      <c r="J34" s="41">
        <f t="shared" si="0"/>
        <v>0.12</v>
      </c>
      <c r="K34" s="41">
        <f t="shared" si="0"/>
        <v>59.16</v>
      </c>
      <c r="L34" s="41">
        <f t="shared" si="0"/>
        <v>24.86</v>
      </c>
      <c r="M34" s="41">
        <f t="shared" si="0"/>
        <v>54.87</v>
      </c>
      <c r="N34" s="41">
        <f t="shared" si="0"/>
        <v>2.1</v>
      </c>
      <c r="O34" s="41">
        <f t="shared" si="0"/>
        <v>0</v>
      </c>
      <c r="P34" s="41">
        <f t="shared" si="0"/>
        <v>0.33</v>
      </c>
      <c r="Q34" s="41">
        <f t="shared" si="0"/>
        <v>4.63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9.43</v>
      </c>
      <c r="C35" s="33">
        <f t="shared" si="1"/>
        <v>4.47</v>
      </c>
      <c r="D35" s="33">
        <f t="shared" si="1"/>
        <v>14.13</v>
      </c>
      <c r="E35" s="33">
        <f t="shared" si="1"/>
        <v>10.84</v>
      </c>
      <c r="F35" s="33">
        <f t="shared" si="1"/>
        <v>33.89</v>
      </c>
      <c r="G35" s="33">
        <f t="shared" si="1"/>
        <v>94.15</v>
      </c>
      <c r="H35" s="33">
        <f t="shared" si="1"/>
        <v>38.659999999999997</v>
      </c>
      <c r="I35" s="33">
        <f t="shared" si="1"/>
        <v>7.56</v>
      </c>
      <c r="J35" s="33">
        <f t="shared" si="1"/>
        <v>0.83</v>
      </c>
      <c r="K35" s="33">
        <f t="shared" si="1"/>
        <v>226.34</v>
      </c>
      <c r="L35" s="33">
        <f t="shared" si="1"/>
        <v>33.97</v>
      </c>
      <c r="M35" s="33">
        <f t="shared" si="1"/>
        <v>97.17</v>
      </c>
      <c r="N35" s="33">
        <f t="shared" si="1"/>
        <v>676</v>
      </c>
      <c r="O35" s="33">
        <f t="shared" si="1"/>
        <v>0</v>
      </c>
      <c r="P35" s="33">
        <f t="shared" si="1"/>
        <v>0.63</v>
      </c>
      <c r="Q35" s="33">
        <f t="shared" si="1"/>
        <v>4.6900000000000004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9.2341666666666651</v>
      </c>
      <c r="C36" s="41">
        <f t="shared" si="2"/>
        <v>4.1954166666666675</v>
      </c>
      <c r="D36" s="41">
        <f t="shared" si="2"/>
        <v>14.016249999999999</v>
      </c>
      <c r="E36" s="41">
        <f t="shared" si="2"/>
        <v>9.34</v>
      </c>
      <c r="F36" s="41">
        <f t="shared" si="2"/>
        <v>8.2500000000000018</v>
      </c>
      <c r="G36" s="41">
        <f t="shared" si="2"/>
        <v>62.222499999999997</v>
      </c>
      <c r="H36" s="41">
        <f t="shared" si="2"/>
        <v>25.74958333333333</v>
      </c>
      <c r="I36" s="41">
        <f t="shared" si="2"/>
        <v>5.4499999999999993</v>
      </c>
      <c r="J36" s="41">
        <f t="shared" si="2"/>
        <v>0.39208333333333328</v>
      </c>
      <c r="K36" s="41">
        <f t="shared" si="2"/>
        <v>139.87916666666666</v>
      </c>
      <c r="L36" s="41">
        <f t="shared" si="2"/>
        <v>29.045833333333334</v>
      </c>
      <c r="M36" s="41">
        <f t="shared" si="2"/>
        <v>81.226666666666674</v>
      </c>
      <c r="N36" s="41">
        <f t="shared" si="2"/>
        <v>128.34583333333327</v>
      </c>
      <c r="O36" s="41">
        <f t="shared" si="2"/>
        <v>0</v>
      </c>
      <c r="P36" s="41">
        <f t="shared" si="2"/>
        <v>0.52625</v>
      </c>
      <c r="Q36" s="41">
        <f t="shared" si="2"/>
        <v>4.6616666666666662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7.2286667642384589E-2</v>
      </c>
      <c r="C37" s="41">
        <f t="shared" ref="C37:Q37" si="3">STDEV(C9:C32)</f>
        <v>9.4500019170295824E-2</v>
      </c>
      <c r="D37" s="41">
        <f t="shared" si="3"/>
        <v>3.1320572486300012E-2</v>
      </c>
      <c r="E37" s="41">
        <f t="shared" si="3"/>
        <v>1.0846126568432655</v>
      </c>
      <c r="F37" s="41">
        <f t="shared" si="3"/>
        <v>6.700055158760617</v>
      </c>
      <c r="G37" s="41">
        <f t="shared" si="3"/>
        <v>18.07162206092865</v>
      </c>
      <c r="H37" s="41">
        <f t="shared" si="3"/>
        <v>7.0719030580402524</v>
      </c>
      <c r="I37" s="41">
        <f t="shared" si="3"/>
        <v>1.2513679471404249</v>
      </c>
      <c r="J37" s="41">
        <f t="shared" si="3"/>
        <v>0.22259300287191489</v>
      </c>
      <c r="K37" s="41">
        <f t="shared" si="3"/>
        <v>60.026152193035401</v>
      </c>
      <c r="L37" s="41">
        <f t="shared" si="3"/>
        <v>2.9802085084139822</v>
      </c>
      <c r="M37" s="41">
        <f t="shared" si="3"/>
        <v>14.36598206109524</v>
      </c>
      <c r="N37" s="41">
        <f t="shared" si="3"/>
        <v>205.17824907852085</v>
      </c>
      <c r="O37" s="41">
        <f t="shared" si="3"/>
        <v>0</v>
      </c>
      <c r="P37" s="41">
        <f t="shared" si="3"/>
        <v>7.2099719591809344E-2</v>
      </c>
      <c r="Q37" s="41">
        <f t="shared" si="3"/>
        <v>1.4645571126562043E-2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27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45581.041666666664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>
        <v>45581.041666666664</v>
      </c>
      <c r="B9" s="51">
        <v>9.44</v>
      </c>
      <c r="C9" s="51">
        <v>4.0999999999999996</v>
      </c>
      <c r="D9" s="51">
        <v>14.15</v>
      </c>
      <c r="E9" s="51">
        <v>11.18</v>
      </c>
      <c r="F9" s="51">
        <v>3.91</v>
      </c>
      <c r="G9" s="51">
        <v>68.5</v>
      </c>
      <c r="H9" s="51">
        <v>23.22</v>
      </c>
      <c r="I9" s="51">
        <v>5.29</v>
      </c>
      <c r="J9" s="51">
        <v>0.13</v>
      </c>
      <c r="K9" s="51">
        <v>204.24</v>
      </c>
      <c r="L9" s="51">
        <v>26.33</v>
      </c>
      <c r="M9" s="51">
        <v>94.92</v>
      </c>
      <c r="N9" s="51">
        <v>2.1</v>
      </c>
      <c r="O9" s="51">
        <v>0</v>
      </c>
      <c r="P9" s="51">
        <v>0.62</v>
      </c>
      <c r="Q9" s="51">
        <v>4.66</v>
      </c>
    </row>
    <row r="10" spans="1:21" customFormat="1">
      <c r="A10" s="50">
        <v>45581.083333333336</v>
      </c>
      <c r="B10" s="51">
        <v>9.49</v>
      </c>
      <c r="C10" s="51">
        <v>4.07</v>
      </c>
      <c r="D10" s="51">
        <v>14.19</v>
      </c>
      <c r="E10" s="51">
        <v>9.82</v>
      </c>
      <c r="F10" s="51">
        <v>3.94</v>
      </c>
      <c r="G10" s="51">
        <v>64.62</v>
      </c>
      <c r="H10" s="51">
        <v>20.14</v>
      </c>
      <c r="I10" s="51">
        <v>5.46</v>
      </c>
      <c r="J10" s="51">
        <v>0.13</v>
      </c>
      <c r="K10" s="51">
        <v>232.27</v>
      </c>
      <c r="L10" s="51">
        <v>26.06</v>
      </c>
      <c r="M10" s="51">
        <v>96.37</v>
      </c>
      <c r="N10" s="51">
        <v>2.1</v>
      </c>
      <c r="O10" s="51">
        <v>0</v>
      </c>
      <c r="P10" s="51">
        <v>0.62</v>
      </c>
      <c r="Q10" s="51">
        <v>4.6500000000000004</v>
      </c>
    </row>
    <row r="11" spans="1:21" customFormat="1">
      <c r="A11" s="50">
        <v>45581.125</v>
      </c>
      <c r="B11" s="51">
        <v>9.48</v>
      </c>
      <c r="C11" s="51">
        <v>4.07</v>
      </c>
      <c r="D11" s="51">
        <v>14.18</v>
      </c>
      <c r="E11" s="51">
        <v>12.93</v>
      </c>
      <c r="F11" s="51">
        <v>3.77</v>
      </c>
      <c r="G11" s="51">
        <v>62.73</v>
      </c>
      <c r="H11" s="51">
        <v>21.09</v>
      </c>
      <c r="I11" s="51">
        <v>5.42</v>
      </c>
      <c r="J11" s="51">
        <v>0.15</v>
      </c>
      <c r="K11" s="51">
        <v>182.85</v>
      </c>
      <c r="L11" s="51">
        <v>25.83</v>
      </c>
      <c r="M11" s="51">
        <v>95.84</v>
      </c>
      <c r="N11" s="51">
        <v>2.1</v>
      </c>
      <c r="O11" s="51">
        <v>0</v>
      </c>
      <c r="P11" s="51">
        <v>0.59</v>
      </c>
      <c r="Q11" s="51">
        <v>4.67</v>
      </c>
    </row>
    <row r="12" spans="1:21" customFormat="1">
      <c r="A12" s="50">
        <v>45581.166666666664</v>
      </c>
      <c r="B12" s="51">
        <v>9.31</v>
      </c>
      <c r="C12" s="51">
        <v>4.09</v>
      </c>
      <c r="D12" s="51">
        <v>14.05</v>
      </c>
      <c r="E12" s="51">
        <v>14.05</v>
      </c>
      <c r="F12" s="51">
        <v>3.17</v>
      </c>
      <c r="G12" s="51">
        <v>63.53</v>
      </c>
      <c r="H12" s="51">
        <v>21.09</v>
      </c>
      <c r="I12" s="51">
        <v>5.24</v>
      </c>
      <c r="J12" s="51">
        <v>0.24</v>
      </c>
      <c r="K12" s="51">
        <v>134.69999999999999</v>
      </c>
      <c r="L12" s="51">
        <v>25.77</v>
      </c>
      <c r="M12" s="51">
        <v>97.46</v>
      </c>
      <c r="N12" s="51">
        <v>2.1</v>
      </c>
      <c r="O12" s="51">
        <v>0</v>
      </c>
      <c r="P12" s="51">
        <v>0.57999999999999996</v>
      </c>
      <c r="Q12" s="51">
        <v>4.67</v>
      </c>
    </row>
    <row r="13" spans="1:21" customFormat="1">
      <c r="A13" s="50">
        <v>45581.208333333336</v>
      </c>
      <c r="B13" s="51">
        <v>9.31</v>
      </c>
      <c r="C13" s="51">
        <v>4.09</v>
      </c>
      <c r="D13" s="51">
        <v>14.05</v>
      </c>
      <c r="E13" s="51">
        <v>14.25</v>
      </c>
      <c r="F13" s="51">
        <v>3.49</v>
      </c>
      <c r="G13" s="51">
        <v>72.05</v>
      </c>
      <c r="H13" s="51">
        <v>22.12</v>
      </c>
      <c r="I13" s="51">
        <v>5.35</v>
      </c>
      <c r="J13" s="51">
        <v>0.53</v>
      </c>
      <c r="K13" s="51">
        <v>78.95</v>
      </c>
      <c r="L13" s="51">
        <v>25.71</v>
      </c>
      <c r="M13" s="51">
        <v>96.79</v>
      </c>
      <c r="N13" s="51">
        <v>2.1</v>
      </c>
      <c r="O13" s="51">
        <v>0</v>
      </c>
      <c r="P13" s="51">
        <v>0.59</v>
      </c>
      <c r="Q13" s="51">
        <v>4.66</v>
      </c>
    </row>
    <row r="14" spans="1:21" customFormat="1">
      <c r="A14" s="50">
        <v>45581.25</v>
      </c>
      <c r="B14" s="51">
        <v>9.31</v>
      </c>
      <c r="C14" s="51">
        <v>4.09</v>
      </c>
      <c r="D14" s="51">
        <v>14.05</v>
      </c>
      <c r="E14" s="51">
        <v>14.6</v>
      </c>
      <c r="F14" s="51">
        <v>3.42</v>
      </c>
      <c r="G14" s="51">
        <v>74.3</v>
      </c>
      <c r="H14" s="51">
        <v>23.72</v>
      </c>
      <c r="I14" s="51">
        <v>5.72</v>
      </c>
      <c r="J14" s="51">
        <v>0.83</v>
      </c>
      <c r="K14" s="51">
        <v>62.32</v>
      </c>
      <c r="L14" s="51">
        <v>25.15</v>
      </c>
      <c r="M14" s="51">
        <v>99.33</v>
      </c>
      <c r="N14" s="51">
        <v>5.8</v>
      </c>
      <c r="O14" s="51">
        <v>0</v>
      </c>
      <c r="P14" s="51">
        <v>0.6</v>
      </c>
      <c r="Q14" s="51">
        <v>4.68</v>
      </c>
    </row>
    <row r="15" spans="1:21" customFormat="1">
      <c r="A15" s="50">
        <v>45581.291666666664</v>
      </c>
      <c r="B15" s="51">
        <v>9.3699999999999992</v>
      </c>
      <c r="C15" s="51">
        <v>4.09</v>
      </c>
      <c r="D15" s="51">
        <v>14.11</v>
      </c>
      <c r="E15" s="51">
        <v>14.5</v>
      </c>
      <c r="F15" s="51">
        <v>3.87</v>
      </c>
      <c r="G15" s="51">
        <v>74.34</v>
      </c>
      <c r="H15" s="51">
        <v>23.72</v>
      </c>
      <c r="I15" s="51">
        <v>5.81</v>
      </c>
      <c r="J15" s="51">
        <v>0.63</v>
      </c>
      <c r="K15" s="51">
        <v>61.38</v>
      </c>
      <c r="L15" s="51">
        <v>25.75</v>
      </c>
      <c r="M15" s="51">
        <v>99.99</v>
      </c>
      <c r="N15" s="51">
        <v>47.1</v>
      </c>
      <c r="O15" s="51">
        <v>0</v>
      </c>
      <c r="P15" s="51">
        <v>0.63</v>
      </c>
      <c r="Q15" s="51">
        <v>4.66</v>
      </c>
    </row>
    <row r="16" spans="1:21" customFormat="1">
      <c r="A16" s="50">
        <v>45581.333333333336</v>
      </c>
      <c r="B16" s="51">
        <v>9.39</v>
      </c>
      <c r="C16" s="51">
        <v>4.12</v>
      </c>
      <c r="D16" s="51">
        <v>14.13</v>
      </c>
      <c r="E16" s="51">
        <v>13.96</v>
      </c>
      <c r="F16" s="51">
        <v>4.08</v>
      </c>
      <c r="G16" s="51">
        <v>72.62</v>
      </c>
      <c r="H16" s="51">
        <v>22.15</v>
      </c>
      <c r="I16" s="51">
        <v>6.19</v>
      </c>
      <c r="J16" s="51">
        <v>0.77</v>
      </c>
      <c r="K16" s="51">
        <v>82.42</v>
      </c>
      <c r="L16" s="51">
        <v>27.74</v>
      </c>
      <c r="M16" s="51">
        <v>98.52</v>
      </c>
      <c r="N16" s="51">
        <v>159.6</v>
      </c>
      <c r="O16" s="51">
        <v>0</v>
      </c>
      <c r="P16" s="51">
        <v>0.65</v>
      </c>
      <c r="Q16" s="51">
        <v>4.67</v>
      </c>
    </row>
    <row r="17" spans="1:17" customFormat="1">
      <c r="A17" s="50">
        <v>45581.375</v>
      </c>
      <c r="B17" s="51">
        <v>9.4600000000000009</v>
      </c>
      <c r="C17" s="51">
        <v>4.13</v>
      </c>
      <c r="D17" s="51">
        <v>14.17</v>
      </c>
      <c r="E17" s="51">
        <v>13.55</v>
      </c>
      <c r="F17" s="51">
        <v>4.7699999999999996</v>
      </c>
      <c r="G17" s="51">
        <v>73.2</v>
      </c>
      <c r="H17" s="51">
        <v>26.54</v>
      </c>
      <c r="I17" s="51">
        <v>6.26</v>
      </c>
      <c r="J17" s="51">
        <v>0.26</v>
      </c>
      <c r="K17" s="51">
        <v>150.75</v>
      </c>
      <c r="L17" s="51">
        <v>30.24</v>
      </c>
      <c r="M17" s="51">
        <v>86.2</v>
      </c>
      <c r="N17" s="51">
        <v>232.5</v>
      </c>
      <c r="O17" s="51">
        <v>0</v>
      </c>
      <c r="P17" s="51">
        <v>0.66</v>
      </c>
      <c r="Q17" s="51">
        <v>4.66</v>
      </c>
    </row>
    <row r="18" spans="1:17" customFormat="1">
      <c r="A18" s="50">
        <v>45581.416666666664</v>
      </c>
      <c r="B18" s="51">
        <v>9.4499999999999993</v>
      </c>
      <c r="C18" s="51">
        <v>4.09</v>
      </c>
      <c r="D18" s="51">
        <v>14.16</v>
      </c>
      <c r="E18" s="51">
        <v>13.09</v>
      </c>
      <c r="F18" s="51">
        <v>6.67</v>
      </c>
      <c r="G18" s="51">
        <v>67.83</v>
      </c>
      <c r="H18" s="51">
        <v>26.54</v>
      </c>
      <c r="I18" s="51">
        <v>5.97</v>
      </c>
      <c r="J18" s="51">
        <v>0.3</v>
      </c>
      <c r="K18" s="51">
        <v>169.72</v>
      </c>
      <c r="L18" s="51">
        <v>31.58</v>
      </c>
      <c r="M18" s="51">
        <v>79.69</v>
      </c>
      <c r="N18" s="51">
        <v>218.8</v>
      </c>
      <c r="O18" s="51">
        <v>0</v>
      </c>
      <c r="P18" s="51">
        <v>0.6</v>
      </c>
      <c r="Q18" s="51">
        <v>4.67</v>
      </c>
    </row>
    <row r="19" spans="1:17" customFormat="1">
      <c r="A19" s="50">
        <v>45581.458333333336</v>
      </c>
      <c r="B19" s="51">
        <v>9.36</v>
      </c>
      <c r="C19" s="51">
        <v>4.1100000000000003</v>
      </c>
      <c r="D19" s="51">
        <v>14.1</v>
      </c>
      <c r="E19" s="51">
        <v>11.11</v>
      </c>
      <c r="F19" s="51">
        <v>7.95</v>
      </c>
      <c r="G19" s="51">
        <v>55.35</v>
      </c>
      <c r="H19" s="51">
        <v>25.3</v>
      </c>
      <c r="I19" s="51">
        <v>5.58</v>
      </c>
      <c r="J19" s="51">
        <v>0.31</v>
      </c>
      <c r="K19" s="51">
        <v>175.82</v>
      </c>
      <c r="L19" s="51">
        <v>32.92</v>
      </c>
      <c r="M19" s="51">
        <v>66.89</v>
      </c>
      <c r="N19" s="51">
        <v>500.2</v>
      </c>
      <c r="O19" s="51">
        <v>0</v>
      </c>
      <c r="P19" s="51">
        <v>0.56999999999999995</v>
      </c>
      <c r="Q19" s="51">
        <v>4.67</v>
      </c>
    </row>
    <row r="20" spans="1:17" customFormat="1">
      <c r="A20" s="50">
        <v>45581.5</v>
      </c>
      <c r="B20" s="51">
        <v>9.35</v>
      </c>
      <c r="C20" s="51">
        <v>4.08</v>
      </c>
      <c r="D20" s="51">
        <v>14.08</v>
      </c>
      <c r="E20" s="51">
        <v>11</v>
      </c>
      <c r="F20" s="51">
        <v>8.86</v>
      </c>
      <c r="G20" s="51">
        <v>53.93</v>
      </c>
      <c r="H20" s="51">
        <v>20.66</v>
      </c>
      <c r="I20" s="51">
        <v>5.16</v>
      </c>
      <c r="J20" s="51">
        <v>0.23</v>
      </c>
      <c r="K20" s="51">
        <v>161.59</v>
      </c>
      <c r="L20" s="51">
        <v>33.36</v>
      </c>
      <c r="M20" s="51">
        <v>58.81</v>
      </c>
      <c r="N20" s="51">
        <v>556.6</v>
      </c>
      <c r="O20" s="51">
        <v>0</v>
      </c>
      <c r="P20" s="51">
        <v>0.55000000000000004</v>
      </c>
      <c r="Q20" s="51">
        <v>4.68</v>
      </c>
    </row>
    <row r="21" spans="1:17" customFormat="1">
      <c r="A21" s="50">
        <v>45581.541666666664</v>
      </c>
      <c r="B21" s="51">
        <v>9.35</v>
      </c>
      <c r="C21" s="51">
        <v>4.07</v>
      </c>
      <c r="D21" s="51">
        <v>14.07</v>
      </c>
      <c r="E21" s="51">
        <v>11.7</v>
      </c>
      <c r="F21" s="51">
        <v>8.19</v>
      </c>
      <c r="G21" s="51">
        <v>44.88</v>
      </c>
      <c r="H21" s="51">
        <v>22.98</v>
      </c>
      <c r="I21" s="51">
        <v>4.92</v>
      </c>
      <c r="J21" s="51">
        <v>0.77</v>
      </c>
      <c r="K21" s="51">
        <v>121.3</v>
      </c>
      <c r="L21" s="51">
        <v>33.68</v>
      </c>
      <c r="M21" s="51">
        <v>62.03</v>
      </c>
      <c r="N21" s="51">
        <v>552.20000000000005</v>
      </c>
      <c r="O21" s="51">
        <v>0</v>
      </c>
      <c r="P21" s="51">
        <v>0.54</v>
      </c>
      <c r="Q21" s="51">
        <v>4.67</v>
      </c>
    </row>
    <row r="22" spans="1:17" customFormat="1">
      <c r="A22" s="50">
        <v>45581.583333333336</v>
      </c>
      <c r="B22" s="51">
        <v>9.4600000000000009</v>
      </c>
      <c r="C22" s="51">
        <v>4.12</v>
      </c>
      <c r="D22" s="51">
        <v>14.15</v>
      </c>
      <c r="E22" s="51">
        <v>11.76</v>
      </c>
      <c r="F22" s="51">
        <v>7.03</v>
      </c>
      <c r="G22" s="51">
        <v>45.07</v>
      </c>
      <c r="H22" s="51">
        <v>22.98</v>
      </c>
      <c r="I22" s="51">
        <v>4.95</v>
      </c>
      <c r="J22" s="51">
        <v>0.62</v>
      </c>
      <c r="K22" s="51">
        <v>175.6</v>
      </c>
      <c r="L22" s="51">
        <v>32.68</v>
      </c>
      <c r="M22" s="51">
        <v>61.84</v>
      </c>
      <c r="N22" s="51">
        <v>256.7</v>
      </c>
      <c r="O22" s="51">
        <v>0</v>
      </c>
      <c r="P22" s="51">
        <v>0.6</v>
      </c>
      <c r="Q22" s="51">
        <v>4.6399999999999997</v>
      </c>
    </row>
    <row r="23" spans="1:17" customFormat="1">
      <c r="A23" s="50">
        <v>45581.625</v>
      </c>
      <c r="B23" s="51">
        <v>9.49</v>
      </c>
      <c r="C23" s="51">
        <v>4.08</v>
      </c>
      <c r="D23" s="51">
        <v>14.18</v>
      </c>
      <c r="E23" s="51">
        <v>11.18</v>
      </c>
      <c r="F23" s="51">
        <v>5.29</v>
      </c>
      <c r="G23" s="51">
        <v>47.2</v>
      </c>
      <c r="H23" s="51">
        <v>20.47</v>
      </c>
      <c r="I23" s="51">
        <v>5.25</v>
      </c>
      <c r="J23" s="51">
        <v>0.8</v>
      </c>
      <c r="K23" s="51">
        <v>181.4</v>
      </c>
      <c r="L23" s="51">
        <v>32.26</v>
      </c>
      <c r="M23" s="51">
        <v>66.08</v>
      </c>
      <c r="N23" s="51">
        <v>137</v>
      </c>
      <c r="O23" s="51">
        <v>0</v>
      </c>
      <c r="P23" s="51">
        <v>0.43</v>
      </c>
      <c r="Q23" s="51">
        <v>4.6500000000000004</v>
      </c>
    </row>
    <row r="24" spans="1:17" customFormat="1">
      <c r="A24" s="50">
        <v>45581.666666666664</v>
      </c>
      <c r="B24" s="51">
        <v>9.49</v>
      </c>
      <c r="C24" s="51">
        <v>4.07</v>
      </c>
      <c r="D24" s="51">
        <v>14.18</v>
      </c>
      <c r="E24" s="51">
        <v>11.9</v>
      </c>
      <c r="F24" s="51">
        <v>11.12</v>
      </c>
      <c r="G24" s="51">
        <v>49.74</v>
      </c>
      <c r="H24" s="51">
        <v>20.96</v>
      </c>
      <c r="I24" s="51">
        <v>5.28</v>
      </c>
      <c r="J24" s="51">
        <v>0.48</v>
      </c>
      <c r="K24" s="51">
        <v>130.12</v>
      </c>
      <c r="L24" s="51">
        <v>32.39</v>
      </c>
      <c r="M24" s="51">
        <v>69.27</v>
      </c>
      <c r="N24" s="51">
        <v>75.7</v>
      </c>
      <c r="O24" s="51">
        <v>0</v>
      </c>
      <c r="P24" s="51">
        <v>0.4</v>
      </c>
      <c r="Q24" s="51">
        <v>4.6900000000000004</v>
      </c>
    </row>
    <row r="25" spans="1:17" customFormat="1">
      <c r="A25" s="50">
        <v>45581.708333333336</v>
      </c>
      <c r="B25" s="51">
        <v>9.32</v>
      </c>
      <c r="C25" s="51">
        <v>4.0599999999999996</v>
      </c>
      <c r="D25" s="51">
        <v>14.04</v>
      </c>
      <c r="E25" s="51">
        <v>11.48</v>
      </c>
      <c r="F25" s="51">
        <v>11.89</v>
      </c>
      <c r="G25" s="51">
        <v>50.59</v>
      </c>
      <c r="H25" s="51">
        <v>21.93</v>
      </c>
      <c r="I25" s="51">
        <v>4.5599999999999996</v>
      </c>
      <c r="J25" s="51">
        <v>0.5</v>
      </c>
      <c r="K25" s="51">
        <v>151.94</v>
      </c>
      <c r="L25" s="51">
        <v>31.69</v>
      </c>
      <c r="M25" s="51">
        <v>68.98</v>
      </c>
      <c r="N25" s="51">
        <v>41.6</v>
      </c>
      <c r="O25" s="51">
        <v>0</v>
      </c>
      <c r="P25" s="51">
        <v>0.33</v>
      </c>
      <c r="Q25" s="51">
        <v>4.68</v>
      </c>
    </row>
    <row r="26" spans="1:17" customFormat="1">
      <c r="A26" s="50">
        <v>45581.75</v>
      </c>
      <c r="B26" s="51">
        <v>9.31</v>
      </c>
      <c r="C26" s="51">
        <v>4.0999999999999996</v>
      </c>
      <c r="D26" s="51">
        <v>14.06</v>
      </c>
      <c r="E26" s="51">
        <v>10.97</v>
      </c>
      <c r="F26" s="51">
        <v>8.33</v>
      </c>
      <c r="G26" s="51">
        <v>50.69</v>
      </c>
      <c r="H26" s="51">
        <v>22.77</v>
      </c>
      <c r="I26" s="51">
        <v>4.68</v>
      </c>
      <c r="J26" s="51">
        <v>0.34</v>
      </c>
      <c r="K26" s="51">
        <v>187.12</v>
      </c>
      <c r="L26" s="51">
        <v>30.64</v>
      </c>
      <c r="M26" s="51">
        <v>76.64</v>
      </c>
      <c r="N26" s="51">
        <v>7.3</v>
      </c>
      <c r="O26" s="51">
        <v>0</v>
      </c>
      <c r="P26" s="51">
        <v>0.37</v>
      </c>
      <c r="Q26" s="51">
        <v>4.68</v>
      </c>
    </row>
    <row r="27" spans="1:17" customFormat="1">
      <c r="A27" s="50">
        <v>45581.791666666664</v>
      </c>
      <c r="B27" s="51">
        <v>9.33</v>
      </c>
      <c r="C27" s="51">
        <v>4.07</v>
      </c>
      <c r="D27" s="51">
        <v>14.04</v>
      </c>
      <c r="E27" s="51">
        <v>9.99</v>
      </c>
      <c r="F27" s="51">
        <v>6.82</v>
      </c>
      <c r="G27" s="51">
        <v>55.05</v>
      </c>
      <c r="H27" s="51">
        <v>22.77</v>
      </c>
      <c r="I27" s="51">
        <v>5.2</v>
      </c>
      <c r="J27" s="51">
        <v>0.5</v>
      </c>
      <c r="K27" s="51">
        <v>170.59</v>
      </c>
      <c r="L27" s="51">
        <v>29.65</v>
      </c>
      <c r="M27" s="51">
        <v>75.989999999999995</v>
      </c>
      <c r="N27" s="51">
        <v>2.1</v>
      </c>
      <c r="O27" s="51">
        <v>0</v>
      </c>
      <c r="P27" s="51">
        <v>0.43</v>
      </c>
      <c r="Q27" s="51">
        <v>4.67</v>
      </c>
    </row>
    <row r="28" spans="1:17" customFormat="1">
      <c r="A28" s="50">
        <v>45581.833333333336</v>
      </c>
      <c r="B28" s="51">
        <v>9.3000000000000007</v>
      </c>
      <c r="C28" s="51">
        <v>4.12</v>
      </c>
      <c r="D28" s="51">
        <v>14.06</v>
      </c>
      <c r="E28" s="51">
        <v>10.48</v>
      </c>
      <c r="F28" s="51">
        <v>5.43</v>
      </c>
      <c r="G28" s="51">
        <v>59.65</v>
      </c>
      <c r="H28" s="51">
        <v>22.96</v>
      </c>
      <c r="I28" s="51">
        <v>5.36</v>
      </c>
      <c r="J28" s="51">
        <v>0.56999999999999995</v>
      </c>
      <c r="K28" s="51">
        <v>80.569999999999993</v>
      </c>
      <c r="L28" s="51">
        <v>29.12</v>
      </c>
      <c r="M28" s="51">
        <v>80.709999999999994</v>
      </c>
      <c r="N28" s="51">
        <v>2.1</v>
      </c>
      <c r="O28" s="51">
        <v>0</v>
      </c>
      <c r="P28" s="51">
        <v>0.5</v>
      </c>
      <c r="Q28" s="51">
        <v>4.6500000000000004</v>
      </c>
    </row>
    <row r="29" spans="1:17" customFormat="1">
      <c r="A29" s="50">
        <v>45581.875</v>
      </c>
      <c r="B29" s="51">
        <v>9.4499999999999993</v>
      </c>
      <c r="C29" s="51">
        <v>4.09</v>
      </c>
      <c r="D29" s="51">
        <v>14.14</v>
      </c>
      <c r="E29" s="51">
        <v>10.25</v>
      </c>
      <c r="F29" s="51">
        <v>4.8499999999999996</v>
      </c>
      <c r="G29" s="51">
        <v>74.67</v>
      </c>
      <c r="H29" s="51">
        <v>25.6</v>
      </c>
      <c r="I29" s="51">
        <v>5.82</v>
      </c>
      <c r="J29" s="51">
        <v>0.54</v>
      </c>
      <c r="K29" s="51">
        <v>65.209999999999994</v>
      </c>
      <c r="L29" s="51">
        <v>28.49</v>
      </c>
      <c r="M29" s="51">
        <v>88.57</v>
      </c>
      <c r="N29" s="51">
        <v>2.1</v>
      </c>
      <c r="O29" s="51">
        <v>0</v>
      </c>
      <c r="P29" s="51">
        <v>0.53</v>
      </c>
      <c r="Q29" s="51">
        <v>4.6500000000000004</v>
      </c>
    </row>
    <row r="30" spans="1:17" customFormat="1">
      <c r="A30" s="50">
        <v>45581.916666666664</v>
      </c>
      <c r="B30" s="51">
        <v>9.4700000000000006</v>
      </c>
      <c r="C30" s="51">
        <v>4.07</v>
      </c>
      <c r="D30" s="51">
        <v>14.16</v>
      </c>
      <c r="E30" s="51">
        <v>9.75</v>
      </c>
      <c r="F30" s="51">
        <v>5.89</v>
      </c>
      <c r="G30" s="51">
        <v>89.88</v>
      </c>
      <c r="H30" s="51">
        <v>30.85</v>
      </c>
      <c r="I30" s="51">
        <v>6.14</v>
      </c>
      <c r="J30" s="51">
        <v>0.63</v>
      </c>
      <c r="K30" s="51">
        <v>74.7</v>
      </c>
      <c r="L30" s="51">
        <v>28.08</v>
      </c>
      <c r="M30" s="51">
        <v>85.52</v>
      </c>
      <c r="N30" s="51">
        <v>2.1</v>
      </c>
      <c r="O30" s="51">
        <v>0</v>
      </c>
      <c r="P30" s="51">
        <v>0.53</v>
      </c>
      <c r="Q30" s="51">
        <v>4.67</v>
      </c>
    </row>
    <row r="31" spans="1:17" customFormat="1">
      <c r="A31" s="50">
        <v>45581.958333333336</v>
      </c>
      <c r="B31" s="51">
        <v>9.4600000000000009</v>
      </c>
      <c r="C31" s="51">
        <v>4.0999999999999996</v>
      </c>
      <c r="D31" s="51">
        <v>14.17</v>
      </c>
      <c r="E31" s="51">
        <v>9.7799999999999994</v>
      </c>
      <c r="F31" s="51">
        <v>4.79</v>
      </c>
      <c r="G31" s="51">
        <v>92.04</v>
      </c>
      <c r="H31" s="51">
        <v>31.97</v>
      </c>
      <c r="I31" s="51">
        <v>6.19</v>
      </c>
      <c r="J31" s="51">
        <v>0.35</v>
      </c>
      <c r="K31" s="51">
        <v>98.23</v>
      </c>
      <c r="L31" s="51">
        <v>28.02</v>
      </c>
      <c r="M31" s="51">
        <v>90.04</v>
      </c>
      <c r="N31" s="51">
        <v>2.1</v>
      </c>
      <c r="O31" s="51">
        <v>0</v>
      </c>
      <c r="P31" s="51">
        <v>0.48</v>
      </c>
      <c r="Q31" s="51">
        <v>4.68</v>
      </c>
    </row>
    <row r="32" spans="1:17" customFormat="1">
      <c r="A32" s="50">
        <v>45582</v>
      </c>
      <c r="B32" s="51">
        <v>9.3000000000000007</v>
      </c>
      <c r="C32" s="51">
        <v>4.08</v>
      </c>
      <c r="D32" s="51">
        <v>14.04</v>
      </c>
      <c r="E32" s="51">
        <v>10.1</v>
      </c>
      <c r="F32" s="51">
        <v>5.21</v>
      </c>
      <c r="G32" s="51">
        <v>87.14</v>
      </c>
      <c r="H32" s="51">
        <v>33.1</v>
      </c>
      <c r="I32" s="51">
        <v>5.87</v>
      </c>
      <c r="J32" s="51">
        <v>0.57999999999999996</v>
      </c>
      <c r="K32" s="51">
        <v>67.650000000000006</v>
      </c>
      <c r="L32" s="51">
        <v>27.2</v>
      </c>
      <c r="M32" s="51">
        <v>92.28</v>
      </c>
      <c r="N32" s="51">
        <v>2.1</v>
      </c>
      <c r="O32" s="51">
        <v>0</v>
      </c>
      <c r="P32" s="51">
        <v>0.48</v>
      </c>
      <c r="Q32" s="51">
        <v>4.67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9.3000000000000007</v>
      </c>
      <c r="C34" s="41">
        <f t="shared" si="0"/>
        <v>4.0599999999999996</v>
      </c>
      <c r="D34" s="41">
        <f t="shared" si="0"/>
        <v>14.04</v>
      </c>
      <c r="E34" s="41">
        <f t="shared" si="0"/>
        <v>9.75</v>
      </c>
      <c r="F34" s="41">
        <f t="shared" si="0"/>
        <v>3.17</v>
      </c>
      <c r="G34" s="41">
        <f t="shared" si="0"/>
        <v>44.88</v>
      </c>
      <c r="H34" s="41">
        <f t="shared" si="0"/>
        <v>20.14</v>
      </c>
      <c r="I34" s="41">
        <f t="shared" si="0"/>
        <v>4.5599999999999996</v>
      </c>
      <c r="J34" s="41">
        <f t="shared" si="0"/>
        <v>0.13</v>
      </c>
      <c r="K34" s="41">
        <f t="shared" si="0"/>
        <v>61.38</v>
      </c>
      <c r="L34" s="41">
        <f t="shared" si="0"/>
        <v>25.15</v>
      </c>
      <c r="M34" s="41">
        <f t="shared" si="0"/>
        <v>58.81</v>
      </c>
      <c r="N34" s="41">
        <f t="shared" si="0"/>
        <v>2.1</v>
      </c>
      <c r="O34" s="41">
        <f t="shared" si="0"/>
        <v>0</v>
      </c>
      <c r="P34" s="41">
        <f t="shared" si="0"/>
        <v>0.33</v>
      </c>
      <c r="Q34" s="41">
        <f t="shared" si="0"/>
        <v>4.6399999999999997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9.49</v>
      </c>
      <c r="C35" s="33">
        <f t="shared" si="1"/>
        <v>4.13</v>
      </c>
      <c r="D35" s="33">
        <f t="shared" si="1"/>
        <v>14.19</v>
      </c>
      <c r="E35" s="33">
        <f t="shared" si="1"/>
        <v>14.6</v>
      </c>
      <c r="F35" s="33">
        <f t="shared" si="1"/>
        <v>11.89</v>
      </c>
      <c r="G35" s="33">
        <f t="shared" si="1"/>
        <v>92.04</v>
      </c>
      <c r="H35" s="33">
        <f t="shared" si="1"/>
        <v>33.1</v>
      </c>
      <c r="I35" s="33">
        <f t="shared" si="1"/>
        <v>6.26</v>
      </c>
      <c r="J35" s="33">
        <f t="shared" si="1"/>
        <v>0.83</v>
      </c>
      <c r="K35" s="33">
        <f t="shared" si="1"/>
        <v>232.27</v>
      </c>
      <c r="L35" s="33">
        <f t="shared" si="1"/>
        <v>33.68</v>
      </c>
      <c r="M35" s="33">
        <f t="shared" si="1"/>
        <v>99.99</v>
      </c>
      <c r="N35" s="33">
        <f t="shared" si="1"/>
        <v>556.6</v>
      </c>
      <c r="O35" s="33">
        <f t="shared" si="1"/>
        <v>0</v>
      </c>
      <c r="P35" s="33">
        <f t="shared" si="1"/>
        <v>0.66</v>
      </c>
      <c r="Q35" s="33">
        <f t="shared" si="1"/>
        <v>4.6900000000000004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9.3937500000000025</v>
      </c>
      <c r="C36" s="41">
        <f t="shared" si="2"/>
        <v>4.089999999999999</v>
      </c>
      <c r="D36" s="41">
        <f t="shared" si="2"/>
        <v>14.112916666666669</v>
      </c>
      <c r="E36" s="41">
        <f t="shared" si="2"/>
        <v>11.807499999999997</v>
      </c>
      <c r="F36" s="41">
        <f t="shared" si="2"/>
        <v>5.9475000000000007</v>
      </c>
      <c r="G36" s="41">
        <f t="shared" si="2"/>
        <v>64.566666666666691</v>
      </c>
      <c r="H36" s="41">
        <f t="shared" si="2"/>
        <v>23.984583333333333</v>
      </c>
      <c r="I36" s="41">
        <f t="shared" si="2"/>
        <v>5.4862499999999992</v>
      </c>
      <c r="J36" s="41">
        <f t="shared" si="2"/>
        <v>0.46625</v>
      </c>
      <c r="K36" s="41">
        <f t="shared" si="2"/>
        <v>133.39333333333335</v>
      </c>
      <c r="L36" s="41">
        <f t="shared" si="2"/>
        <v>29.180833333333339</v>
      </c>
      <c r="M36" s="41">
        <f t="shared" si="2"/>
        <v>82.864999999999995</v>
      </c>
      <c r="N36" s="41">
        <f t="shared" si="2"/>
        <v>117.25833333333331</v>
      </c>
      <c r="O36" s="41">
        <f t="shared" si="2"/>
        <v>0</v>
      </c>
      <c r="P36" s="41">
        <f t="shared" si="2"/>
        <v>0.53666666666666663</v>
      </c>
      <c r="Q36" s="41">
        <f t="shared" si="2"/>
        <v>4.6666666666666687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7.3236513820100255E-2</v>
      </c>
      <c r="C37" s="41">
        <f t="shared" ref="C37:Q37" si="3">STDEV(C9:C32)</f>
        <v>1.9336831267771325E-2</v>
      </c>
      <c r="D37" s="41">
        <f t="shared" si="3"/>
        <v>5.5441247136567624E-2</v>
      </c>
      <c r="E37" s="41">
        <f t="shared" si="3"/>
        <v>1.6428349039812762</v>
      </c>
      <c r="F37" s="41">
        <f t="shared" si="3"/>
        <v>2.4116352922049997</v>
      </c>
      <c r="G37" s="41">
        <f t="shared" si="3"/>
        <v>13.852092815250536</v>
      </c>
      <c r="H37" s="41">
        <f t="shared" si="3"/>
        <v>3.5709577075730565</v>
      </c>
      <c r="I37" s="41">
        <f t="shared" si="3"/>
        <v>0.47636132157812083</v>
      </c>
      <c r="J37" s="41">
        <f t="shared" si="3"/>
        <v>0.21852892555528625</v>
      </c>
      <c r="K37" s="41">
        <f t="shared" si="3"/>
        <v>52.153253236863456</v>
      </c>
      <c r="L37" s="41">
        <f t="shared" si="3"/>
        <v>2.8671314503564131</v>
      </c>
      <c r="M37" s="41">
        <f t="shared" si="3"/>
        <v>13.789325108812267</v>
      </c>
      <c r="N37" s="41">
        <f t="shared" si="3"/>
        <v>181.39803439965371</v>
      </c>
      <c r="O37" s="41">
        <f t="shared" si="3"/>
        <v>0</v>
      </c>
      <c r="P37" s="41">
        <f t="shared" si="3"/>
        <v>9.1207678293607888E-2</v>
      </c>
      <c r="Q37" s="41">
        <f t="shared" si="3"/>
        <v>1.2394482175782675E-2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31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45582.041666666664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>
        <v>45582.041666666664</v>
      </c>
      <c r="B9" s="51">
        <v>9.18</v>
      </c>
      <c r="C9" s="51">
        <v>4.21</v>
      </c>
      <c r="D9" s="51">
        <v>14</v>
      </c>
      <c r="E9" s="51">
        <v>10.88</v>
      </c>
      <c r="F9" s="51">
        <v>5.14</v>
      </c>
      <c r="G9" s="51">
        <v>76.39</v>
      </c>
      <c r="H9" s="51">
        <v>33.1</v>
      </c>
      <c r="I9" s="51">
        <v>5.78</v>
      </c>
      <c r="J9" s="51">
        <v>0.21</v>
      </c>
      <c r="K9" s="51">
        <v>211.7</v>
      </c>
      <c r="L9" s="51">
        <v>26.85</v>
      </c>
      <c r="M9" s="51">
        <v>94.92</v>
      </c>
      <c r="N9" s="51">
        <v>2.1</v>
      </c>
      <c r="O9" s="51">
        <v>0</v>
      </c>
      <c r="P9" s="51">
        <v>0.47</v>
      </c>
      <c r="Q9" s="51">
        <v>4.67</v>
      </c>
    </row>
    <row r="10" spans="1:21" customFormat="1">
      <c r="A10" s="50">
        <v>45582.083333333336</v>
      </c>
      <c r="B10" s="51">
        <v>9.18</v>
      </c>
      <c r="C10" s="51">
        <v>4.2300000000000004</v>
      </c>
      <c r="D10" s="51">
        <v>14</v>
      </c>
      <c r="E10" s="51">
        <v>10.96</v>
      </c>
      <c r="F10" s="51">
        <v>4.43</v>
      </c>
      <c r="G10" s="51">
        <v>70.53</v>
      </c>
      <c r="H10" s="51">
        <v>27.7</v>
      </c>
      <c r="I10" s="51">
        <v>5.68</v>
      </c>
      <c r="J10" s="51">
        <v>0.18</v>
      </c>
      <c r="K10" s="51">
        <v>214.68</v>
      </c>
      <c r="L10" s="51">
        <v>26.75</v>
      </c>
      <c r="M10" s="51">
        <v>95.29</v>
      </c>
      <c r="N10" s="51">
        <v>2.1</v>
      </c>
      <c r="O10" s="51">
        <v>0</v>
      </c>
      <c r="P10" s="51">
        <v>0.46</v>
      </c>
      <c r="Q10" s="51">
        <v>4.68</v>
      </c>
    </row>
    <row r="11" spans="1:21" customFormat="1">
      <c r="A11" s="50">
        <v>45582.125</v>
      </c>
      <c r="B11" s="51">
        <v>9.3000000000000007</v>
      </c>
      <c r="C11" s="51">
        <v>4.22</v>
      </c>
      <c r="D11" s="51">
        <v>14.04</v>
      </c>
      <c r="E11" s="51">
        <v>11.06</v>
      </c>
      <c r="F11" s="51">
        <v>3.82</v>
      </c>
      <c r="G11" s="51">
        <v>59.16</v>
      </c>
      <c r="H11" s="51">
        <v>24.85</v>
      </c>
      <c r="I11" s="51">
        <v>5.68</v>
      </c>
      <c r="J11" s="51">
        <v>0.31</v>
      </c>
      <c r="K11" s="51">
        <v>130.83000000000001</v>
      </c>
      <c r="L11" s="51">
        <v>26</v>
      </c>
      <c r="M11" s="51">
        <v>94.42</v>
      </c>
      <c r="N11" s="51">
        <v>2.1</v>
      </c>
      <c r="O11" s="51">
        <v>0</v>
      </c>
      <c r="P11" s="51">
        <v>0.47</v>
      </c>
      <c r="Q11" s="51">
        <v>4.67</v>
      </c>
    </row>
    <row r="12" spans="1:21" customFormat="1">
      <c r="A12" s="50">
        <v>45582.166666666664</v>
      </c>
      <c r="B12" s="51">
        <v>9.34</v>
      </c>
      <c r="C12" s="51">
        <v>4.09</v>
      </c>
      <c r="D12" s="51">
        <v>14.07</v>
      </c>
      <c r="E12" s="51">
        <v>10</v>
      </c>
      <c r="F12" s="51">
        <v>4</v>
      </c>
      <c r="G12" s="51">
        <v>59.31</v>
      </c>
      <c r="H12" s="51">
        <v>23.57</v>
      </c>
      <c r="I12" s="51">
        <v>5.71</v>
      </c>
      <c r="J12" s="51">
        <v>0.19</v>
      </c>
      <c r="K12" s="51">
        <v>179.36</v>
      </c>
      <c r="L12" s="51">
        <v>25.72</v>
      </c>
      <c r="M12" s="51">
        <v>95.47</v>
      </c>
      <c r="N12" s="51">
        <v>2.1</v>
      </c>
      <c r="O12" s="51">
        <v>0</v>
      </c>
      <c r="P12" s="51">
        <v>0.47</v>
      </c>
      <c r="Q12" s="51">
        <v>4.6500000000000004</v>
      </c>
    </row>
    <row r="13" spans="1:21" customFormat="1">
      <c r="A13" s="50">
        <v>45582.208333333336</v>
      </c>
      <c r="B13" s="51">
        <v>9.33</v>
      </c>
      <c r="C13" s="51">
        <v>4.12</v>
      </c>
      <c r="D13" s="51">
        <v>14.07</v>
      </c>
      <c r="E13" s="51">
        <v>9.1300000000000008</v>
      </c>
      <c r="F13" s="51">
        <v>3.86</v>
      </c>
      <c r="G13" s="51">
        <v>49.99</v>
      </c>
      <c r="H13" s="51">
        <v>23.74</v>
      </c>
      <c r="I13" s="51">
        <v>5.51</v>
      </c>
      <c r="J13" s="51">
        <v>0.13</v>
      </c>
      <c r="K13" s="51">
        <v>220.4</v>
      </c>
      <c r="L13" s="51">
        <v>25.32</v>
      </c>
      <c r="M13" s="51">
        <v>100.42</v>
      </c>
      <c r="N13" s="51">
        <v>2.1</v>
      </c>
      <c r="O13" s="51">
        <v>0</v>
      </c>
      <c r="P13" s="51">
        <v>0.46</v>
      </c>
      <c r="Q13" s="51">
        <v>4.66</v>
      </c>
    </row>
    <row r="14" spans="1:21" customFormat="1">
      <c r="A14" s="50">
        <v>45582.25</v>
      </c>
      <c r="B14" s="51">
        <v>9.1999999999999993</v>
      </c>
      <c r="C14" s="51">
        <v>4.2</v>
      </c>
      <c r="D14" s="51">
        <v>14</v>
      </c>
      <c r="E14" s="51">
        <v>9.41</v>
      </c>
      <c r="F14" s="51">
        <v>3.39</v>
      </c>
      <c r="G14" s="51">
        <v>54.67</v>
      </c>
      <c r="H14" s="51">
        <v>23.95</v>
      </c>
      <c r="I14" s="51">
        <v>5.22</v>
      </c>
      <c r="J14" s="51">
        <v>0.41</v>
      </c>
      <c r="K14" s="51">
        <v>198.06</v>
      </c>
      <c r="L14" s="51">
        <v>25.31</v>
      </c>
      <c r="M14" s="51">
        <v>102.04</v>
      </c>
      <c r="N14" s="51">
        <v>5.7</v>
      </c>
      <c r="O14" s="51">
        <v>0</v>
      </c>
      <c r="P14" s="51">
        <v>0.41</v>
      </c>
      <c r="Q14" s="51">
        <v>4.66</v>
      </c>
    </row>
    <row r="15" spans="1:21" customFormat="1">
      <c r="A15" s="50">
        <v>45582.291666666664</v>
      </c>
      <c r="B15" s="51">
        <v>9.17</v>
      </c>
      <c r="C15" s="51">
        <v>4.2300000000000004</v>
      </c>
      <c r="D15" s="51">
        <v>14</v>
      </c>
      <c r="E15" s="51">
        <v>9.91</v>
      </c>
      <c r="F15" s="51">
        <v>3.6</v>
      </c>
      <c r="G15" s="51">
        <v>65.94</v>
      </c>
      <c r="H15" s="51">
        <v>21.62</v>
      </c>
      <c r="I15" s="51">
        <v>5.41</v>
      </c>
      <c r="J15" s="51">
        <v>0.71</v>
      </c>
      <c r="K15" s="51">
        <v>72.73</v>
      </c>
      <c r="L15" s="51">
        <v>25.86</v>
      </c>
      <c r="M15" s="51">
        <v>96.78</v>
      </c>
      <c r="N15" s="51">
        <v>47.7</v>
      </c>
      <c r="O15" s="51">
        <v>0</v>
      </c>
      <c r="P15" s="51">
        <v>0.43</v>
      </c>
      <c r="Q15" s="51">
        <v>4.67</v>
      </c>
    </row>
    <row r="16" spans="1:21" customFormat="1">
      <c r="A16" s="50">
        <v>45582.333333333336</v>
      </c>
      <c r="B16" s="51">
        <v>9.19</v>
      </c>
      <c r="C16" s="51">
        <v>4.2</v>
      </c>
      <c r="D16" s="51">
        <v>14</v>
      </c>
      <c r="E16" s="51">
        <v>10.14</v>
      </c>
      <c r="F16" s="51">
        <v>3.9</v>
      </c>
      <c r="G16" s="51">
        <v>70.56</v>
      </c>
      <c r="H16" s="51">
        <v>20.95</v>
      </c>
      <c r="I16" s="51">
        <v>5.71</v>
      </c>
      <c r="J16" s="51">
        <v>0.81</v>
      </c>
      <c r="K16" s="51">
        <v>82.72</v>
      </c>
      <c r="L16" s="51">
        <v>28.39</v>
      </c>
      <c r="M16" s="51">
        <v>91.45</v>
      </c>
      <c r="N16" s="51">
        <v>184.1</v>
      </c>
      <c r="O16" s="51">
        <v>0</v>
      </c>
      <c r="P16" s="51">
        <v>0.44</v>
      </c>
      <c r="Q16" s="51">
        <v>4.66</v>
      </c>
    </row>
    <row r="17" spans="1:17" customFormat="1">
      <c r="A17" s="50">
        <v>45582.375</v>
      </c>
      <c r="B17" s="51">
        <v>9.1999999999999993</v>
      </c>
      <c r="C17" s="51">
        <v>4.21</v>
      </c>
      <c r="D17" s="51">
        <v>14</v>
      </c>
      <c r="E17" s="51">
        <v>10.78</v>
      </c>
      <c r="F17" s="51">
        <v>4.46</v>
      </c>
      <c r="G17" s="51">
        <v>71.06</v>
      </c>
      <c r="H17" s="51">
        <v>20.95</v>
      </c>
      <c r="I17" s="51">
        <v>5.88</v>
      </c>
      <c r="J17" s="51">
        <v>0.62</v>
      </c>
      <c r="K17" s="51">
        <v>83.74</v>
      </c>
      <c r="L17" s="51">
        <v>30.24</v>
      </c>
      <c r="M17" s="51">
        <v>78.11</v>
      </c>
      <c r="N17" s="51">
        <v>346.5</v>
      </c>
      <c r="O17" s="51">
        <v>0</v>
      </c>
      <c r="P17" s="51">
        <v>0.44</v>
      </c>
      <c r="Q17" s="51">
        <v>4.67</v>
      </c>
    </row>
    <row r="18" spans="1:17" customFormat="1">
      <c r="A18" s="50">
        <v>45582.416666666664</v>
      </c>
      <c r="B18" s="51">
        <v>9.33</v>
      </c>
      <c r="C18" s="51">
        <v>4.1399999999999997</v>
      </c>
      <c r="D18" s="51">
        <v>14.06</v>
      </c>
      <c r="E18" s="51">
        <v>9.9499999999999993</v>
      </c>
      <c r="F18" s="51">
        <v>4.3899999999999997</v>
      </c>
      <c r="G18" s="51">
        <v>56.13</v>
      </c>
      <c r="H18" s="51">
        <v>19.809999999999999</v>
      </c>
      <c r="I18" s="51">
        <v>5.6</v>
      </c>
      <c r="J18" s="51">
        <v>0.43</v>
      </c>
      <c r="K18" s="51">
        <v>118.45</v>
      </c>
      <c r="L18" s="51">
        <v>31.69</v>
      </c>
      <c r="M18" s="51">
        <v>69.22</v>
      </c>
      <c r="N18" s="51">
        <v>165.5</v>
      </c>
      <c r="O18" s="51">
        <v>0</v>
      </c>
      <c r="P18" s="51">
        <v>0.47</v>
      </c>
      <c r="Q18" s="51">
        <v>4.6500000000000004</v>
      </c>
    </row>
    <row r="19" spans="1:17" customFormat="1">
      <c r="A19" s="50">
        <v>45582.458333333336</v>
      </c>
      <c r="B19" s="51">
        <v>9.31</v>
      </c>
      <c r="C19" s="51">
        <v>4.0999999999999996</v>
      </c>
      <c r="D19" s="51">
        <v>14.05</v>
      </c>
      <c r="E19" s="51">
        <v>12</v>
      </c>
      <c r="F19" s="51">
        <v>5.61</v>
      </c>
      <c r="G19" s="51">
        <v>50.14</v>
      </c>
      <c r="H19" s="51">
        <v>19.809999999999999</v>
      </c>
      <c r="I19" s="51">
        <v>5.87</v>
      </c>
      <c r="J19" s="51">
        <v>0.23</v>
      </c>
      <c r="K19" s="51">
        <v>187.09</v>
      </c>
      <c r="L19" s="51">
        <v>34.31</v>
      </c>
      <c r="M19" s="51">
        <v>63.98</v>
      </c>
      <c r="N19" s="51">
        <v>600.1</v>
      </c>
      <c r="O19" s="51">
        <v>0</v>
      </c>
      <c r="P19" s="51">
        <v>0.48</v>
      </c>
      <c r="Q19" s="51">
        <v>4.6500000000000004</v>
      </c>
    </row>
    <row r="20" spans="1:17" customFormat="1">
      <c r="A20" s="50">
        <v>45582.5</v>
      </c>
      <c r="B20" s="51">
        <v>9.35</v>
      </c>
      <c r="C20" s="51">
        <v>4.16</v>
      </c>
      <c r="D20" s="51">
        <v>14.08</v>
      </c>
      <c r="E20" s="51">
        <v>10.65</v>
      </c>
      <c r="F20" s="51">
        <v>7.69</v>
      </c>
      <c r="G20" s="51">
        <v>46.84</v>
      </c>
      <c r="H20" s="51">
        <v>17.239999999999998</v>
      </c>
      <c r="I20" s="51">
        <v>5.53</v>
      </c>
      <c r="J20" s="51">
        <v>0.3</v>
      </c>
      <c r="K20" s="51">
        <v>197.83</v>
      </c>
      <c r="L20" s="51">
        <v>33.93</v>
      </c>
      <c r="M20" s="51">
        <v>57.96</v>
      </c>
      <c r="N20" s="51">
        <v>728.6</v>
      </c>
      <c r="O20" s="51">
        <v>0</v>
      </c>
      <c r="P20" s="51">
        <v>0.37</v>
      </c>
      <c r="Q20" s="51">
        <v>4.68</v>
      </c>
    </row>
    <row r="21" spans="1:17" customFormat="1">
      <c r="A21" s="50">
        <v>45582.541666666664</v>
      </c>
      <c r="B21" s="51">
        <v>9.15</v>
      </c>
      <c r="C21" s="51">
        <v>4.28</v>
      </c>
      <c r="D21" s="51">
        <v>14</v>
      </c>
      <c r="E21" s="51">
        <v>11.53</v>
      </c>
      <c r="F21" s="51">
        <v>8.52</v>
      </c>
      <c r="G21" s="51">
        <v>45.8</v>
      </c>
      <c r="H21" s="51">
        <v>13.61</v>
      </c>
      <c r="I21" s="51">
        <v>4.96</v>
      </c>
      <c r="J21" s="51">
        <v>0.39</v>
      </c>
      <c r="K21" s="51">
        <v>211.88</v>
      </c>
      <c r="L21" s="51">
        <v>35.15</v>
      </c>
      <c r="M21" s="51">
        <v>55.58</v>
      </c>
      <c r="N21" s="51">
        <v>725.4</v>
      </c>
      <c r="O21" s="51">
        <v>0</v>
      </c>
      <c r="P21" s="51">
        <v>0.34</v>
      </c>
      <c r="Q21" s="51">
        <v>4.67</v>
      </c>
    </row>
    <row r="22" spans="1:17" customFormat="1">
      <c r="A22" s="50">
        <v>45582.583333333336</v>
      </c>
      <c r="B22" s="51">
        <v>9.16</v>
      </c>
      <c r="C22" s="51">
        <v>4.28</v>
      </c>
      <c r="D22" s="51">
        <v>14</v>
      </c>
      <c r="E22" s="51">
        <v>11.16</v>
      </c>
      <c r="F22" s="51">
        <v>9.0299999999999994</v>
      </c>
      <c r="G22" s="51">
        <v>30.73</v>
      </c>
      <c r="H22" s="51">
        <v>11.47</v>
      </c>
      <c r="I22" s="51">
        <v>4.7300000000000004</v>
      </c>
      <c r="J22" s="51">
        <v>0.68</v>
      </c>
      <c r="K22" s="51">
        <v>192.17</v>
      </c>
      <c r="L22" s="51">
        <v>33.71</v>
      </c>
      <c r="M22" s="51">
        <v>59.54</v>
      </c>
      <c r="N22" s="51">
        <v>264.3</v>
      </c>
      <c r="O22" s="51">
        <v>0</v>
      </c>
      <c r="P22" s="51">
        <v>0.34</v>
      </c>
      <c r="Q22" s="51">
        <v>4.67</v>
      </c>
    </row>
    <row r="23" spans="1:17" customFormat="1">
      <c r="A23" s="50">
        <v>45582.625</v>
      </c>
      <c r="B23" s="51">
        <v>9.14</v>
      </c>
      <c r="C23" s="51">
        <v>4.28</v>
      </c>
      <c r="D23" s="51">
        <v>14</v>
      </c>
      <c r="E23" s="51">
        <v>13.11</v>
      </c>
      <c r="F23" s="51">
        <v>12.44</v>
      </c>
      <c r="G23" s="51">
        <v>30.23</v>
      </c>
      <c r="H23" s="51">
        <v>11.47</v>
      </c>
      <c r="I23" s="51">
        <v>4.47</v>
      </c>
      <c r="J23" s="51">
        <v>0.28999999999999998</v>
      </c>
      <c r="K23" s="51">
        <v>121.36</v>
      </c>
      <c r="L23" s="51">
        <v>34.03</v>
      </c>
      <c r="M23" s="51">
        <v>58.48</v>
      </c>
      <c r="N23" s="51">
        <v>127.8</v>
      </c>
      <c r="O23" s="51">
        <v>0</v>
      </c>
      <c r="P23" s="51">
        <v>0.41</v>
      </c>
      <c r="Q23" s="51">
        <v>4.68</v>
      </c>
    </row>
    <row r="24" spans="1:17" customFormat="1">
      <c r="A24" s="50">
        <v>45582.666666666664</v>
      </c>
      <c r="B24" s="51">
        <v>9.26</v>
      </c>
      <c r="C24" s="51">
        <v>4.26</v>
      </c>
      <c r="D24" s="51">
        <v>14.02</v>
      </c>
      <c r="E24" s="51">
        <v>12.39</v>
      </c>
      <c r="F24" s="51">
        <v>8.32</v>
      </c>
      <c r="G24" s="51">
        <v>30.28</v>
      </c>
      <c r="H24" s="51">
        <v>8.1199999999999992</v>
      </c>
      <c r="I24" s="51">
        <v>4.3</v>
      </c>
      <c r="J24" s="51">
        <v>0.35</v>
      </c>
      <c r="K24" s="51">
        <v>134.99</v>
      </c>
      <c r="L24" s="51">
        <v>32.659999999999997</v>
      </c>
      <c r="M24" s="51">
        <v>58.22</v>
      </c>
      <c r="N24" s="51">
        <v>53.5</v>
      </c>
      <c r="O24" s="51">
        <v>0</v>
      </c>
      <c r="P24" s="51">
        <v>0.44</v>
      </c>
      <c r="Q24" s="51">
        <v>4.6500000000000004</v>
      </c>
    </row>
    <row r="25" spans="1:17" customFormat="1">
      <c r="A25" s="50">
        <v>45582.708333333336</v>
      </c>
      <c r="B25" s="51">
        <v>9.2799999999999994</v>
      </c>
      <c r="C25" s="51">
        <v>4.09</v>
      </c>
      <c r="D25" s="51">
        <v>14.02</v>
      </c>
      <c r="E25" s="51">
        <v>11.33</v>
      </c>
      <c r="F25" s="51">
        <v>6.22</v>
      </c>
      <c r="G25" s="51">
        <v>24.57</v>
      </c>
      <c r="H25" s="51">
        <v>8.4600000000000009</v>
      </c>
      <c r="I25" s="51">
        <v>4.58</v>
      </c>
      <c r="J25" s="51">
        <v>0.28000000000000003</v>
      </c>
      <c r="K25" s="51">
        <v>108.95</v>
      </c>
      <c r="L25" s="51">
        <v>31.96</v>
      </c>
      <c r="M25" s="51">
        <v>64.77</v>
      </c>
      <c r="N25" s="51">
        <v>43.7</v>
      </c>
      <c r="O25" s="51">
        <v>0</v>
      </c>
      <c r="P25" s="51">
        <v>0.47</v>
      </c>
      <c r="Q25" s="51">
        <v>4.6500000000000004</v>
      </c>
    </row>
    <row r="26" spans="1:17" customFormat="1">
      <c r="A26" s="50">
        <v>45582.75</v>
      </c>
      <c r="B26" s="51">
        <v>9.34</v>
      </c>
      <c r="C26" s="51">
        <v>4.0999999999999996</v>
      </c>
      <c r="D26" s="51">
        <v>14.07</v>
      </c>
      <c r="E26" s="51">
        <v>10.5</v>
      </c>
      <c r="F26" s="51">
        <v>7.45</v>
      </c>
      <c r="G26" s="51">
        <v>31.41</v>
      </c>
      <c r="H26" s="51">
        <v>8.7100000000000009</v>
      </c>
      <c r="I26" s="51">
        <v>4.6900000000000004</v>
      </c>
      <c r="J26" s="51">
        <v>0.24</v>
      </c>
      <c r="K26" s="51">
        <v>172.44</v>
      </c>
      <c r="L26" s="51">
        <v>30.71</v>
      </c>
      <c r="M26" s="51">
        <v>69.319999999999993</v>
      </c>
      <c r="N26" s="51">
        <v>6.8</v>
      </c>
      <c r="O26" s="51">
        <v>0</v>
      </c>
      <c r="P26" s="51">
        <v>0.46</v>
      </c>
      <c r="Q26" s="51">
        <v>4.67</v>
      </c>
    </row>
    <row r="27" spans="1:17" customFormat="1">
      <c r="A27" s="50">
        <v>45582.791666666664</v>
      </c>
      <c r="B27" s="51">
        <v>9.2799999999999994</v>
      </c>
      <c r="C27" s="51">
        <v>4.2</v>
      </c>
      <c r="D27" s="51">
        <v>14.02</v>
      </c>
      <c r="E27" s="51">
        <v>11.64</v>
      </c>
      <c r="F27" s="51">
        <v>6.28</v>
      </c>
      <c r="G27" s="51">
        <v>39.71</v>
      </c>
      <c r="H27" s="51">
        <v>8.7100000000000009</v>
      </c>
      <c r="I27" s="51">
        <v>4.82</v>
      </c>
      <c r="J27" s="51">
        <v>0.46</v>
      </c>
      <c r="K27" s="51">
        <v>163.38999999999999</v>
      </c>
      <c r="L27" s="51">
        <v>30.28</v>
      </c>
      <c r="M27" s="51">
        <v>76.52</v>
      </c>
      <c r="N27" s="51">
        <v>2.2999999999999998</v>
      </c>
      <c r="O27" s="51">
        <v>0</v>
      </c>
      <c r="P27" s="51">
        <v>0.46</v>
      </c>
      <c r="Q27" s="51">
        <v>4.67</v>
      </c>
    </row>
    <row r="28" spans="1:17" customFormat="1">
      <c r="A28" s="50">
        <v>45582.833333333336</v>
      </c>
      <c r="B28" s="51">
        <v>9.1999999999999993</v>
      </c>
      <c r="C28" s="51">
        <v>4.18</v>
      </c>
      <c r="D28" s="51">
        <v>14</v>
      </c>
      <c r="E28" s="51">
        <v>11.65</v>
      </c>
      <c r="F28" s="51">
        <v>4.6399999999999997</v>
      </c>
      <c r="G28" s="51">
        <v>45.48</v>
      </c>
      <c r="H28" s="51">
        <v>12.41</v>
      </c>
      <c r="I28" s="51">
        <v>4.8099999999999996</v>
      </c>
      <c r="J28" s="51">
        <v>0.49</v>
      </c>
      <c r="K28" s="51">
        <v>75.319999999999993</v>
      </c>
      <c r="L28" s="51">
        <v>29.06</v>
      </c>
      <c r="M28" s="51">
        <v>81.98</v>
      </c>
      <c r="N28" s="51">
        <v>2.2000000000000002</v>
      </c>
      <c r="O28" s="51">
        <v>0</v>
      </c>
      <c r="P28" s="51">
        <v>0.51</v>
      </c>
      <c r="Q28" s="51">
        <v>4.67</v>
      </c>
    </row>
    <row r="29" spans="1:17" customFormat="1">
      <c r="A29" s="50">
        <v>45582.875</v>
      </c>
      <c r="B29" s="51">
        <v>9.2100000000000009</v>
      </c>
      <c r="C29" s="51">
        <v>4.18</v>
      </c>
      <c r="D29" s="51">
        <v>14</v>
      </c>
      <c r="E29" s="51">
        <v>11.96</v>
      </c>
      <c r="F29" s="51">
        <v>4.04</v>
      </c>
      <c r="G29" s="51">
        <v>64.36</v>
      </c>
      <c r="H29" s="51">
        <v>13.98</v>
      </c>
      <c r="I29" s="51">
        <v>5.17</v>
      </c>
      <c r="J29" s="51">
        <v>0.6</v>
      </c>
      <c r="K29" s="51">
        <v>64.06</v>
      </c>
      <c r="L29" s="51">
        <v>28.54</v>
      </c>
      <c r="M29" s="51">
        <v>85.88</v>
      </c>
      <c r="N29" s="51">
        <v>2.1</v>
      </c>
      <c r="O29" s="51">
        <v>0</v>
      </c>
      <c r="P29" s="51">
        <v>0.54</v>
      </c>
      <c r="Q29" s="51">
        <v>4.67</v>
      </c>
    </row>
    <row r="30" spans="1:17" customFormat="1">
      <c r="A30" s="50">
        <v>45582.916666666664</v>
      </c>
      <c r="B30" s="51">
        <v>9.2200000000000006</v>
      </c>
      <c r="C30" s="51">
        <v>4.1500000000000004</v>
      </c>
      <c r="D30" s="51">
        <v>14</v>
      </c>
      <c r="E30" s="51">
        <v>12.6</v>
      </c>
      <c r="F30" s="51">
        <v>4.3</v>
      </c>
      <c r="G30" s="51">
        <v>79.760000000000005</v>
      </c>
      <c r="H30" s="51">
        <v>16.2</v>
      </c>
      <c r="I30" s="51">
        <v>5.3</v>
      </c>
      <c r="J30" s="51">
        <v>0.48</v>
      </c>
      <c r="K30" s="51">
        <v>172.6</v>
      </c>
      <c r="L30" s="51">
        <v>28.1</v>
      </c>
      <c r="M30" s="51">
        <v>87.4</v>
      </c>
      <c r="N30" s="51">
        <v>2.1</v>
      </c>
      <c r="O30" s="51">
        <v>0</v>
      </c>
      <c r="P30" s="51">
        <v>0.55000000000000004</v>
      </c>
      <c r="Q30" s="51">
        <v>4.67</v>
      </c>
    </row>
    <row r="31" spans="1:17" customFormat="1">
      <c r="A31" s="50">
        <v>45582.958333333336</v>
      </c>
      <c r="B31" s="51">
        <v>9.25</v>
      </c>
      <c r="C31" s="51">
        <v>4.16</v>
      </c>
      <c r="D31" s="51">
        <v>14.01</v>
      </c>
      <c r="E31" s="51">
        <v>12.42</v>
      </c>
      <c r="F31" s="51">
        <v>4.2</v>
      </c>
      <c r="G31" s="51">
        <v>81.84</v>
      </c>
      <c r="H31" s="51">
        <v>16.2</v>
      </c>
      <c r="I31" s="51">
        <v>5.38</v>
      </c>
      <c r="J31" s="51">
        <v>0.28999999999999998</v>
      </c>
      <c r="K31" s="51">
        <v>173.09</v>
      </c>
      <c r="L31" s="51">
        <v>27.72</v>
      </c>
      <c r="M31" s="51">
        <v>90.03</v>
      </c>
      <c r="N31" s="51">
        <v>2.1</v>
      </c>
      <c r="O31" s="51">
        <v>0</v>
      </c>
      <c r="P31" s="51">
        <v>0.54</v>
      </c>
      <c r="Q31" s="51">
        <v>4.6500000000000004</v>
      </c>
    </row>
    <row r="32" spans="1:17" customFormat="1">
      <c r="A32" s="50">
        <v>45583</v>
      </c>
      <c r="B32" s="51">
        <v>9.3000000000000007</v>
      </c>
      <c r="C32" s="51">
        <v>4.09</v>
      </c>
      <c r="D32" s="51">
        <v>14.04</v>
      </c>
      <c r="E32" s="51">
        <v>11.82</v>
      </c>
      <c r="F32" s="51">
        <v>4.1500000000000004</v>
      </c>
      <c r="G32" s="51">
        <v>66.77</v>
      </c>
      <c r="H32" s="51">
        <v>11.88</v>
      </c>
      <c r="I32" s="51">
        <v>5.55</v>
      </c>
      <c r="J32" s="51">
        <v>0.14000000000000001</v>
      </c>
      <c r="K32" s="51">
        <v>185.92</v>
      </c>
      <c r="L32" s="51">
        <v>27.54</v>
      </c>
      <c r="M32" s="51">
        <v>92.87</v>
      </c>
      <c r="N32" s="51">
        <v>2.1</v>
      </c>
      <c r="O32" s="51">
        <v>0</v>
      </c>
      <c r="P32" s="51">
        <v>0.55000000000000004</v>
      </c>
      <c r="Q32" s="51">
        <v>4.66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9.14</v>
      </c>
      <c r="C34" s="41">
        <f t="shared" si="0"/>
        <v>4.09</v>
      </c>
      <c r="D34" s="41">
        <f t="shared" si="0"/>
        <v>14</v>
      </c>
      <c r="E34" s="41">
        <f t="shared" si="0"/>
        <v>9.1300000000000008</v>
      </c>
      <c r="F34" s="41">
        <f t="shared" si="0"/>
        <v>3.39</v>
      </c>
      <c r="G34" s="41">
        <f t="shared" si="0"/>
        <v>24.57</v>
      </c>
      <c r="H34" s="41">
        <f t="shared" si="0"/>
        <v>8.1199999999999992</v>
      </c>
      <c r="I34" s="41">
        <f t="shared" si="0"/>
        <v>4.3</v>
      </c>
      <c r="J34" s="41">
        <f t="shared" si="0"/>
        <v>0.13</v>
      </c>
      <c r="K34" s="41">
        <f t="shared" si="0"/>
        <v>64.06</v>
      </c>
      <c r="L34" s="41">
        <f t="shared" si="0"/>
        <v>25.31</v>
      </c>
      <c r="M34" s="41">
        <f t="shared" si="0"/>
        <v>55.58</v>
      </c>
      <c r="N34" s="41">
        <f t="shared" si="0"/>
        <v>2.1</v>
      </c>
      <c r="O34" s="41">
        <f t="shared" si="0"/>
        <v>0</v>
      </c>
      <c r="P34" s="41">
        <f t="shared" si="0"/>
        <v>0.34</v>
      </c>
      <c r="Q34" s="41">
        <f t="shared" si="0"/>
        <v>4.6500000000000004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9.35</v>
      </c>
      <c r="C35" s="33">
        <f t="shared" si="1"/>
        <v>4.28</v>
      </c>
      <c r="D35" s="33">
        <f t="shared" si="1"/>
        <v>14.08</v>
      </c>
      <c r="E35" s="33">
        <f t="shared" si="1"/>
        <v>13.11</v>
      </c>
      <c r="F35" s="33">
        <f t="shared" si="1"/>
        <v>12.44</v>
      </c>
      <c r="G35" s="33">
        <f t="shared" si="1"/>
        <v>81.84</v>
      </c>
      <c r="H35" s="33">
        <f t="shared" si="1"/>
        <v>33.1</v>
      </c>
      <c r="I35" s="33">
        <f t="shared" si="1"/>
        <v>5.88</v>
      </c>
      <c r="J35" s="33">
        <f t="shared" si="1"/>
        <v>0.81</v>
      </c>
      <c r="K35" s="33">
        <f t="shared" si="1"/>
        <v>220.4</v>
      </c>
      <c r="L35" s="33">
        <f t="shared" si="1"/>
        <v>35.15</v>
      </c>
      <c r="M35" s="33">
        <f t="shared" si="1"/>
        <v>102.04</v>
      </c>
      <c r="N35" s="33">
        <f t="shared" si="1"/>
        <v>728.6</v>
      </c>
      <c r="O35" s="33">
        <f t="shared" si="1"/>
        <v>0</v>
      </c>
      <c r="P35" s="33">
        <f t="shared" si="1"/>
        <v>0.55000000000000004</v>
      </c>
      <c r="Q35" s="33">
        <f t="shared" si="1"/>
        <v>4.68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9.2445833333333347</v>
      </c>
      <c r="C36" s="41">
        <f t="shared" si="2"/>
        <v>4.1816666666666675</v>
      </c>
      <c r="D36" s="41">
        <f t="shared" si="2"/>
        <v>14.022916666666669</v>
      </c>
      <c r="E36" s="41">
        <f t="shared" si="2"/>
        <v>11.124166666666667</v>
      </c>
      <c r="F36" s="41">
        <f t="shared" si="2"/>
        <v>5.5783333333333331</v>
      </c>
      <c r="G36" s="41">
        <f t="shared" si="2"/>
        <v>54.235833333333325</v>
      </c>
      <c r="H36" s="41">
        <f t="shared" si="2"/>
        <v>17.437916666666666</v>
      </c>
      <c r="I36" s="41">
        <f t="shared" si="2"/>
        <v>5.2641666666666662</v>
      </c>
      <c r="J36" s="41">
        <f t="shared" si="2"/>
        <v>0.38416666666666671</v>
      </c>
      <c r="K36" s="41">
        <f t="shared" si="2"/>
        <v>153.07333333333332</v>
      </c>
      <c r="L36" s="41">
        <f t="shared" si="2"/>
        <v>29.576249999999991</v>
      </c>
      <c r="M36" s="41">
        <f t="shared" si="2"/>
        <v>80.027083333333337</v>
      </c>
      <c r="N36" s="41">
        <f t="shared" si="2"/>
        <v>138.46250000000001</v>
      </c>
      <c r="O36" s="41">
        <f t="shared" si="2"/>
        <v>0</v>
      </c>
      <c r="P36" s="41">
        <f t="shared" si="2"/>
        <v>0.45750000000000002</v>
      </c>
      <c r="Q36" s="41">
        <f t="shared" si="2"/>
        <v>4.6645833333333346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6.8776839293387196E-2</v>
      </c>
      <c r="C37" s="41">
        <f t="shared" ref="C37:Q37" si="3">STDEV(C9:C32)</f>
        <v>6.2531151656884179E-2</v>
      </c>
      <c r="D37" s="41">
        <f t="shared" si="3"/>
        <v>2.8814121940264132E-2</v>
      </c>
      <c r="E37" s="41">
        <f t="shared" si="3"/>
        <v>1.0410651596642047</v>
      </c>
      <c r="F37" s="41">
        <f t="shared" si="3"/>
        <v>2.2562332339093629</v>
      </c>
      <c r="G37" s="41">
        <f t="shared" si="3"/>
        <v>17.09534539159629</v>
      </c>
      <c r="H37" s="41">
        <f t="shared" si="3"/>
        <v>6.774585486544014</v>
      </c>
      <c r="I37" s="41">
        <f t="shared" si="3"/>
        <v>0.47856594354262516</v>
      </c>
      <c r="J37" s="41">
        <f t="shared" si="3"/>
        <v>0.18962013896590543</v>
      </c>
      <c r="K37" s="41">
        <f t="shared" si="3"/>
        <v>51.127898252423257</v>
      </c>
      <c r="L37" s="41">
        <f t="shared" si="3"/>
        <v>3.2097755745738517</v>
      </c>
      <c r="M37" s="41">
        <f t="shared" si="3"/>
        <v>15.813129789256935</v>
      </c>
      <c r="N37" s="41">
        <f t="shared" si="3"/>
        <v>231.41970306650924</v>
      </c>
      <c r="O37" s="41">
        <f t="shared" si="3"/>
        <v>0</v>
      </c>
      <c r="P37" s="41">
        <f t="shared" si="3"/>
        <v>5.7577924513691398E-2</v>
      </c>
      <c r="Q37" s="41">
        <f t="shared" si="3"/>
        <v>1.0206207261596356E-2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24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45583.041666666664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>
        <v>45583.041666666664</v>
      </c>
      <c r="B9" s="51">
        <v>9.32</v>
      </c>
      <c r="C9" s="51">
        <v>4.09</v>
      </c>
      <c r="D9" s="51">
        <v>14.05</v>
      </c>
      <c r="E9" s="51">
        <v>12.14</v>
      </c>
      <c r="F9" s="51">
        <v>3.94</v>
      </c>
      <c r="G9" s="51">
        <v>55.74</v>
      </c>
      <c r="H9" s="51">
        <v>9.16</v>
      </c>
      <c r="I9" s="51">
        <v>5.26</v>
      </c>
      <c r="J9" s="51">
        <v>0.21</v>
      </c>
      <c r="K9" s="51">
        <v>189.25</v>
      </c>
      <c r="L9" s="51">
        <v>27.42</v>
      </c>
      <c r="M9" s="51">
        <v>91.19</v>
      </c>
      <c r="N9" s="51">
        <v>2.1</v>
      </c>
      <c r="O9" s="51">
        <v>0</v>
      </c>
      <c r="P9" s="51">
        <v>0.5</v>
      </c>
      <c r="Q9" s="51">
        <v>4.67</v>
      </c>
    </row>
    <row r="10" spans="1:21" customFormat="1">
      <c r="A10" s="50">
        <v>45583.083333333336</v>
      </c>
      <c r="B10" s="51">
        <v>9.25</v>
      </c>
      <c r="C10" s="51">
        <v>4.1100000000000003</v>
      </c>
      <c r="D10" s="51">
        <v>14</v>
      </c>
      <c r="E10" s="51">
        <v>12.86</v>
      </c>
      <c r="F10" s="51">
        <v>3.5</v>
      </c>
      <c r="G10" s="51">
        <v>45.35</v>
      </c>
      <c r="H10" s="51">
        <v>6.68</v>
      </c>
      <c r="I10" s="51">
        <v>5.16</v>
      </c>
      <c r="J10" s="51">
        <v>0.19</v>
      </c>
      <c r="K10" s="51">
        <v>215.94</v>
      </c>
      <c r="L10" s="51">
        <v>26.89</v>
      </c>
      <c r="M10" s="51">
        <v>94.06</v>
      </c>
      <c r="N10" s="51">
        <v>2.1</v>
      </c>
      <c r="O10" s="51">
        <v>0</v>
      </c>
      <c r="P10" s="51">
        <v>0.47</v>
      </c>
      <c r="Q10" s="51">
        <v>4.67</v>
      </c>
    </row>
    <row r="11" spans="1:21" customFormat="1">
      <c r="A11" s="50">
        <v>45583.125</v>
      </c>
      <c r="B11" s="51">
        <v>9.23</v>
      </c>
      <c r="C11" s="51">
        <v>4.12</v>
      </c>
      <c r="D11" s="51">
        <v>14</v>
      </c>
      <c r="E11" s="51">
        <v>10.92</v>
      </c>
      <c r="F11" s="51">
        <v>3.53</v>
      </c>
      <c r="G11" s="51">
        <v>42.22</v>
      </c>
      <c r="H11" s="51">
        <v>6.21</v>
      </c>
      <c r="I11" s="51">
        <v>4.8600000000000003</v>
      </c>
      <c r="J11" s="51">
        <v>0.12</v>
      </c>
      <c r="K11" s="51">
        <v>178.44</v>
      </c>
      <c r="L11" s="51">
        <v>26.02</v>
      </c>
      <c r="M11" s="51">
        <v>95.32</v>
      </c>
      <c r="N11" s="51">
        <v>2.1</v>
      </c>
      <c r="O11" s="51">
        <v>0</v>
      </c>
      <c r="P11" s="51">
        <v>0.47</v>
      </c>
      <c r="Q11" s="51">
        <v>4.66</v>
      </c>
    </row>
    <row r="12" spans="1:21" customFormat="1">
      <c r="A12" s="50">
        <v>45583.166666666664</v>
      </c>
      <c r="B12" s="51">
        <v>9.24</v>
      </c>
      <c r="C12" s="51">
        <v>4.1399999999999997</v>
      </c>
      <c r="D12" s="51">
        <v>14</v>
      </c>
      <c r="E12" s="51">
        <v>10.78</v>
      </c>
      <c r="F12" s="51">
        <v>3.49</v>
      </c>
      <c r="G12" s="51">
        <v>42.88</v>
      </c>
      <c r="H12" s="51">
        <v>8.02</v>
      </c>
      <c r="I12" s="51">
        <v>4.75</v>
      </c>
      <c r="J12" s="51">
        <v>0.17</v>
      </c>
      <c r="K12" s="51">
        <v>222.13</v>
      </c>
      <c r="L12" s="51">
        <v>25.82</v>
      </c>
      <c r="M12" s="51">
        <v>97.03</v>
      </c>
      <c r="N12" s="51">
        <v>2.1</v>
      </c>
      <c r="O12" s="51">
        <v>0</v>
      </c>
      <c r="P12" s="51">
        <v>0.45</v>
      </c>
      <c r="Q12" s="51">
        <v>4.67</v>
      </c>
    </row>
    <row r="13" spans="1:21" customFormat="1">
      <c r="A13" s="50">
        <v>45583.208333333336</v>
      </c>
      <c r="B13" s="51">
        <v>9.3000000000000007</v>
      </c>
      <c r="C13" s="51">
        <v>4.0999999999999996</v>
      </c>
      <c r="D13" s="51">
        <v>14.03</v>
      </c>
      <c r="E13" s="51">
        <v>12.05</v>
      </c>
      <c r="F13" s="51">
        <v>3.7</v>
      </c>
      <c r="G13" s="51">
        <v>43.22</v>
      </c>
      <c r="H13" s="51">
        <v>11.01</v>
      </c>
      <c r="I13" s="51">
        <v>4.8600000000000003</v>
      </c>
      <c r="J13" s="51">
        <v>0.12</v>
      </c>
      <c r="K13" s="51">
        <v>205.89</v>
      </c>
      <c r="L13" s="51">
        <v>25.48</v>
      </c>
      <c r="M13" s="51">
        <v>99.78</v>
      </c>
      <c r="N13" s="51">
        <v>2.1</v>
      </c>
      <c r="O13" s="51">
        <v>0</v>
      </c>
      <c r="P13" s="51">
        <v>0.47</v>
      </c>
      <c r="Q13" s="51">
        <v>4.67</v>
      </c>
    </row>
    <row r="14" spans="1:21" customFormat="1">
      <c r="A14" s="50">
        <v>45583.25</v>
      </c>
      <c r="B14" s="51">
        <v>9.32</v>
      </c>
      <c r="C14" s="51">
        <v>4.09</v>
      </c>
      <c r="D14" s="51">
        <v>14.06</v>
      </c>
      <c r="E14" s="51">
        <v>11.57</v>
      </c>
      <c r="F14" s="51">
        <v>3.91</v>
      </c>
      <c r="G14" s="51">
        <v>44.37</v>
      </c>
      <c r="H14" s="51">
        <v>11.01</v>
      </c>
      <c r="I14" s="51">
        <v>5.05</v>
      </c>
      <c r="J14" s="51">
        <v>0.14000000000000001</v>
      </c>
      <c r="K14" s="51">
        <v>254.11</v>
      </c>
      <c r="L14" s="51">
        <v>25.23</v>
      </c>
      <c r="M14" s="51">
        <v>101.1</v>
      </c>
      <c r="N14" s="51">
        <v>7.1</v>
      </c>
      <c r="O14" s="51">
        <v>0</v>
      </c>
      <c r="P14" s="51">
        <v>0.47</v>
      </c>
      <c r="Q14" s="51">
        <v>4.6500000000000004</v>
      </c>
    </row>
    <row r="15" spans="1:21" customFormat="1">
      <c r="A15" s="50">
        <v>45583.291666666664</v>
      </c>
      <c r="B15" s="51">
        <v>9.35</v>
      </c>
      <c r="C15" s="51">
        <v>4.08</v>
      </c>
      <c r="D15" s="51">
        <v>14.07</v>
      </c>
      <c r="E15" s="51">
        <v>10.49</v>
      </c>
      <c r="F15" s="51">
        <v>3.77</v>
      </c>
      <c r="G15" s="51">
        <v>39.76</v>
      </c>
      <c r="H15" s="51">
        <v>9.9</v>
      </c>
      <c r="I15" s="51">
        <v>5.15</v>
      </c>
      <c r="J15" s="51">
        <v>0.64</v>
      </c>
      <c r="K15" s="51">
        <v>263.66000000000003</v>
      </c>
      <c r="L15" s="51">
        <v>26.97</v>
      </c>
      <c r="M15" s="51">
        <v>102.39</v>
      </c>
      <c r="N15" s="51">
        <v>42.9</v>
      </c>
      <c r="O15" s="51">
        <v>0</v>
      </c>
      <c r="P15" s="51">
        <v>0.47</v>
      </c>
      <c r="Q15" s="51">
        <v>4.6900000000000004</v>
      </c>
    </row>
    <row r="16" spans="1:21" customFormat="1">
      <c r="A16" s="50">
        <v>45583.333333333336</v>
      </c>
      <c r="B16" s="51">
        <v>9.34</v>
      </c>
      <c r="C16" s="51">
        <v>4.09</v>
      </c>
      <c r="D16" s="51">
        <v>14.06</v>
      </c>
      <c r="E16" s="51">
        <v>10.01</v>
      </c>
      <c r="F16" s="51">
        <v>3.7</v>
      </c>
      <c r="G16" s="51">
        <v>34.590000000000003</v>
      </c>
      <c r="H16" s="51">
        <v>9.9</v>
      </c>
      <c r="I16" s="51">
        <v>5.21</v>
      </c>
      <c r="J16" s="51">
        <v>0.19</v>
      </c>
      <c r="K16" s="51">
        <v>208.51</v>
      </c>
      <c r="L16" s="51">
        <v>28.71</v>
      </c>
      <c r="M16" s="51">
        <v>87.99</v>
      </c>
      <c r="N16" s="51">
        <v>181</v>
      </c>
      <c r="O16" s="51">
        <v>0</v>
      </c>
      <c r="P16" s="51">
        <v>0.44</v>
      </c>
      <c r="Q16" s="51">
        <v>4.67</v>
      </c>
    </row>
    <row r="17" spans="1:17" customFormat="1">
      <c r="A17" s="50">
        <v>45583.375</v>
      </c>
      <c r="B17" s="51">
        <v>9.3000000000000007</v>
      </c>
      <c r="C17" s="51">
        <v>4.09</v>
      </c>
      <c r="D17" s="51">
        <v>14.04</v>
      </c>
      <c r="E17" s="51">
        <v>10.4</v>
      </c>
      <c r="F17" s="51">
        <v>3.98</v>
      </c>
      <c r="G17" s="51">
        <v>34.85</v>
      </c>
      <c r="H17" s="51">
        <v>10.46</v>
      </c>
      <c r="I17" s="51">
        <v>5.0999999999999996</v>
      </c>
      <c r="J17" s="51">
        <v>0.21</v>
      </c>
      <c r="K17" s="51">
        <v>190.26</v>
      </c>
      <c r="L17" s="51">
        <v>31.26</v>
      </c>
      <c r="M17" s="51">
        <v>77.260000000000005</v>
      </c>
      <c r="N17" s="51">
        <v>351.2</v>
      </c>
      <c r="O17" s="51">
        <v>0</v>
      </c>
      <c r="P17" s="51">
        <v>0.43</v>
      </c>
      <c r="Q17" s="51">
        <v>4.66</v>
      </c>
    </row>
    <row r="18" spans="1:17" customFormat="1">
      <c r="A18" s="50">
        <v>45583.416666666664</v>
      </c>
      <c r="B18" s="51">
        <v>9.2799999999999994</v>
      </c>
      <c r="C18" s="51">
        <v>4.0599999999999996</v>
      </c>
      <c r="D18" s="51">
        <v>14</v>
      </c>
      <c r="E18" s="51">
        <v>10.4</v>
      </c>
      <c r="F18" s="51">
        <v>4.83</v>
      </c>
      <c r="G18" s="51">
        <v>32.07</v>
      </c>
      <c r="H18" s="51">
        <v>10.46</v>
      </c>
      <c r="I18" s="51">
        <v>4.8499999999999996</v>
      </c>
      <c r="J18" s="51">
        <v>0.35</v>
      </c>
      <c r="K18" s="51">
        <v>264.12</v>
      </c>
      <c r="L18" s="51">
        <v>32.840000000000003</v>
      </c>
      <c r="M18" s="51">
        <v>64.41</v>
      </c>
      <c r="N18" s="51">
        <v>224.2</v>
      </c>
      <c r="O18" s="51">
        <v>0</v>
      </c>
      <c r="P18" s="51">
        <v>0.4</v>
      </c>
      <c r="Q18" s="51">
        <v>4.67</v>
      </c>
    </row>
    <row r="19" spans="1:17" customFormat="1">
      <c r="A19" s="50">
        <v>45583.458333333336</v>
      </c>
      <c r="B19" s="51">
        <v>9.2899999999999991</v>
      </c>
      <c r="C19" s="51">
        <v>4.09</v>
      </c>
      <c r="D19" s="51">
        <v>14.02</v>
      </c>
      <c r="E19" s="51">
        <v>12.21</v>
      </c>
      <c r="F19" s="51">
        <v>6.58</v>
      </c>
      <c r="G19" s="51">
        <v>32.5</v>
      </c>
      <c r="H19" s="51">
        <v>9.1199999999999992</v>
      </c>
      <c r="I19" s="51">
        <v>4.62</v>
      </c>
      <c r="J19" s="51">
        <v>0.26</v>
      </c>
      <c r="K19" s="51">
        <v>192.95</v>
      </c>
      <c r="L19" s="51">
        <v>33.78</v>
      </c>
      <c r="M19" s="51">
        <v>63.93</v>
      </c>
      <c r="N19" s="51">
        <v>595.5</v>
      </c>
      <c r="O19" s="51">
        <v>0</v>
      </c>
      <c r="P19" s="51">
        <v>0.39</v>
      </c>
      <c r="Q19" s="51">
        <v>4.67</v>
      </c>
    </row>
    <row r="20" spans="1:17" customFormat="1">
      <c r="A20" s="50">
        <v>45583.5</v>
      </c>
      <c r="B20" s="51">
        <v>9.32</v>
      </c>
      <c r="C20" s="51">
        <v>4.0999999999999996</v>
      </c>
      <c r="D20" s="51">
        <v>14.06</v>
      </c>
      <c r="E20" s="51">
        <v>12.35</v>
      </c>
      <c r="F20" s="51">
        <v>5.94</v>
      </c>
      <c r="G20" s="51">
        <v>30.97</v>
      </c>
      <c r="H20" s="51">
        <v>9.1199999999999992</v>
      </c>
      <c r="I20" s="51">
        <v>4.8899999999999997</v>
      </c>
      <c r="J20" s="51">
        <v>0.41</v>
      </c>
      <c r="K20" s="51">
        <v>217.73</v>
      </c>
      <c r="L20" s="51">
        <v>33.65</v>
      </c>
      <c r="M20" s="51">
        <v>60.56</v>
      </c>
      <c r="N20" s="51">
        <v>742.5</v>
      </c>
      <c r="O20" s="51">
        <v>0</v>
      </c>
      <c r="P20" s="51">
        <v>0.45</v>
      </c>
      <c r="Q20" s="51">
        <v>4.66</v>
      </c>
    </row>
    <row r="21" spans="1:17" customFormat="1">
      <c r="A21" s="50">
        <v>45583.541666666664</v>
      </c>
      <c r="B21" s="51">
        <v>9.32</v>
      </c>
      <c r="C21" s="51">
        <v>4.09</v>
      </c>
      <c r="D21" s="51">
        <v>14.05</v>
      </c>
      <c r="E21" s="51">
        <v>12.35</v>
      </c>
      <c r="F21" s="51">
        <v>4.88</v>
      </c>
      <c r="G21" s="51">
        <v>27.79</v>
      </c>
      <c r="H21" s="51">
        <v>6.72</v>
      </c>
      <c r="I21" s="51">
        <v>5.25</v>
      </c>
      <c r="J21" s="51">
        <v>0.27</v>
      </c>
      <c r="K21" s="51">
        <v>194.6</v>
      </c>
      <c r="L21" s="51">
        <v>34.32</v>
      </c>
      <c r="M21" s="51">
        <v>54.57</v>
      </c>
      <c r="N21" s="51">
        <v>739.2</v>
      </c>
      <c r="O21" s="51">
        <v>0</v>
      </c>
      <c r="P21" s="51">
        <v>0.49</v>
      </c>
      <c r="Q21" s="51">
        <v>4.63</v>
      </c>
    </row>
    <row r="22" spans="1:17" customFormat="1">
      <c r="A22" s="50">
        <v>45583.583333333336</v>
      </c>
      <c r="B22" s="51">
        <v>9.4</v>
      </c>
      <c r="C22" s="51">
        <v>4.0999999999999996</v>
      </c>
      <c r="D22" s="51">
        <v>14.12</v>
      </c>
      <c r="E22" s="51">
        <v>12.77</v>
      </c>
      <c r="F22" s="51">
        <v>11.05</v>
      </c>
      <c r="G22" s="51">
        <v>24.4</v>
      </c>
      <c r="H22" s="51">
        <v>5.23</v>
      </c>
      <c r="I22" s="51">
        <v>5.32</v>
      </c>
      <c r="J22" s="51">
        <v>0.36</v>
      </c>
      <c r="K22" s="51">
        <v>166.33</v>
      </c>
      <c r="L22" s="51">
        <v>34.86</v>
      </c>
      <c r="M22" s="51">
        <v>58.87</v>
      </c>
      <c r="N22" s="51">
        <v>284.7</v>
      </c>
      <c r="O22" s="51">
        <v>0</v>
      </c>
      <c r="P22" s="51">
        <v>0.44</v>
      </c>
      <c r="Q22" s="51">
        <v>4.6900000000000004</v>
      </c>
    </row>
    <row r="23" spans="1:17" customFormat="1">
      <c r="A23" s="50">
        <v>45583.625</v>
      </c>
      <c r="B23" s="51">
        <v>9.5</v>
      </c>
      <c r="C23" s="51">
        <v>4.07</v>
      </c>
      <c r="D23" s="51">
        <v>14.2</v>
      </c>
      <c r="E23" s="51">
        <v>12.26</v>
      </c>
      <c r="F23" s="51">
        <v>11.2</v>
      </c>
      <c r="G23" s="51">
        <v>25.96</v>
      </c>
      <c r="H23" s="51">
        <v>3.88</v>
      </c>
      <c r="I23" s="51">
        <v>4.42</v>
      </c>
      <c r="J23" s="51">
        <v>0.39</v>
      </c>
      <c r="K23" s="51">
        <v>108.77</v>
      </c>
      <c r="L23" s="51">
        <v>33.909999999999997</v>
      </c>
      <c r="M23" s="51">
        <v>61.63</v>
      </c>
      <c r="N23" s="51">
        <v>122.6</v>
      </c>
      <c r="O23" s="51">
        <v>0</v>
      </c>
      <c r="P23" s="51">
        <v>0.39</v>
      </c>
      <c r="Q23" s="51">
        <v>4.6900000000000004</v>
      </c>
    </row>
    <row r="24" spans="1:17" customFormat="1">
      <c r="A24" s="50">
        <v>45583.666666666664</v>
      </c>
      <c r="B24" s="51">
        <v>9.2799999999999994</v>
      </c>
      <c r="C24" s="51">
        <v>4.0999999999999996</v>
      </c>
      <c r="D24" s="51">
        <v>14.03</v>
      </c>
      <c r="E24" s="51">
        <v>11.17</v>
      </c>
      <c r="F24" s="51">
        <v>9.4700000000000006</v>
      </c>
      <c r="G24" s="51">
        <v>26.1</v>
      </c>
      <c r="H24" s="51">
        <v>6.31</v>
      </c>
      <c r="I24" s="51">
        <v>4.1399999999999997</v>
      </c>
      <c r="J24" s="51">
        <v>0.75</v>
      </c>
      <c r="K24" s="51">
        <v>75.72</v>
      </c>
      <c r="L24" s="51">
        <v>32.65</v>
      </c>
      <c r="M24" s="51">
        <v>61.66</v>
      </c>
      <c r="N24" s="51">
        <v>56.8</v>
      </c>
      <c r="O24" s="51">
        <v>0</v>
      </c>
      <c r="P24" s="51">
        <v>0.41</v>
      </c>
      <c r="Q24" s="51">
        <v>4.67</v>
      </c>
    </row>
    <row r="25" spans="1:17" customFormat="1">
      <c r="A25" s="50">
        <v>45583.708333333336</v>
      </c>
      <c r="B25" s="51">
        <v>9.27</v>
      </c>
      <c r="C25" s="51">
        <v>4.13</v>
      </c>
      <c r="D25" s="51">
        <v>14</v>
      </c>
      <c r="E25" s="51">
        <v>10.83</v>
      </c>
      <c r="F25" s="51">
        <v>9.39</v>
      </c>
      <c r="G25" s="51">
        <v>32.869999999999997</v>
      </c>
      <c r="H25" s="51">
        <v>6.31</v>
      </c>
      <c r="I25" s="51">
        <v>4.07</v>
      </c>
      <c r="J25" s="51">
        <v>0.96</v>
      </c>
      <c r="K25" s="51">
        <v>61.25</v>
      </c>
      <c r="L25" s="51">
        <v>31.9</v>
      </c>
      <c r="M25" s="51">
        <v>69.25</v>
      </c>
      <c r="N25" s="51">
        <v>34.5</v>
      </c>
      <c r="O25" s="51">
        <v>0</v>
      </c>
      <c r="P25" s="51">
        <v>0.45</v>
      </c>
      <c r="Q25" s="51">
        <v>4.67</v>
      </c>
    </row>
    <row r="26" spans="1:17" customFormat="1">
      <c r="A26" s="50">
        <v>45583.75</v>
      </c>
      <c r="B26" s="51">
        <v>9.24</v>
      </c>
      <c r="C26" s="51">
        <v>4.13</v>
      </c>
      <c r="D26" s="51">
        <v>14</v>
      </c>
      <c r="E26" s="51">
        <v>11.61</v>
      </c>
      <c r="F26" s="51">
        <v>11.08</v>
      </c>
      <c r="G26" s="51">
        <v>48.54</v>
      </c>
      <c r="H26" s="51">
        <v>6.88</v>
      </c>
      <c r="I26" s="51">
        <v>4.34</v>
      </c>
      <c r="J26" s="51">
        <v>0.5</v>
      </c>
      <c r="K26" s="51">
        <v>94.75</v>
      </c>
      <c r="L26" s="51">
        <v>30.89</v>
      </c>
      <c r="M26" s="51">
        <v>74.8</v>
      </c>
      <c r="N26" s="51">
        <v>6.1</v>
      </c>
      <c r="O26" s="51">
        <v>0</v>
      </c>
      <c r="P26" s="51">
        <v>0.55000000000000004</v>
      </c>
      <c r="Q26" s="51">
        <v>4.67</v>
      </c>
    </row>
    <row r="27" spans="1:17" customFormat="1">
      <c r="A27" s="50">
        <v>45583.791666666664</v>
      </c>
      <c r="B27" s="51">
        <v>9.2899999999999991</v>
      </c>
      <c r="C27" s="51">
        <v>4.1100000000000003</v>
      </c>
      <c r="D27" s="51">
        <v>14.05</v>
      </c>
      <c r="E27" s="51">
        <v>10.91</v>
      </c>
      <c r="F27" s="51">
        <v>5.44</v>
      </c>
      <c r="G27" s="51">
        <v>71.23</v>
      </c>
      <c r="H27" s="51">
        <v>11.68</v>
      </c>
      <c r="I27" s="51">
        <v>5.33</v>
      </c>
      <c r="J27" s="51">
        <v>0.39</v>
      </c>
      <c r="K27" s="51">
        <v>164.68</v>
      </c>
      <c r="L27" s="51">
        <v>30.12</v>
      </c>
      <c r="M27" s="51">
        <v>80.64</v>
      </c>
      <c r="N27" s="51">
        <v>2.5</v>
      </c>
      <c r="O27" s="51">
        <v>0</v>
      </c>
      <c r="P27" s="51">
        <v>0.57999999999999996</v>
      </c>
      <c r="Q27" s="51">
        <v>4.6399999999999997</v>
      </c>
    </row>
    <row r="28" spans="1:17" customFormat="1">
      <c r="A28" s="50">
        <v>45583.833333333336</v>
      </c>
      <c r="B28" s="51">
        <v>9.33</v>
      </c>
      <c r="C28" s="51">
        <v>4.1100000000000003</v>
      </c>
      <c r="D28" s="51">
        <v>14.07</v>
      </c>
      <c r="E28" s="51">
        <v>11.46</v>
      </c>
      <c r="F28" s="51">
        <v>5.8</v>
      </c>
      <c r="G28" s="51">
        <v>74.650000000000006</v>
      </c>
      <c r="H28" s="51">
        <v>11.68</v>
      </c>
      <c r="I28" s="51">
        <v>5.56</v>
      </c>
      <c r="J28" s="51">
        <v>0.51</v>
      </c>
      <c r="K28" s="51">
        <v>103.22</v>
      </c>
      <c r="L28" s="51">
        <v>29.33</v>
      </c>
      <c r="M28" s="51">
        <v>82.3</v>
      </c>
      <c r="N28" s="51">
        <v>2.1</v>
      </c>
      <c r="O28" s="51">
        <v>0</v>
      </c>
      <c r="P28" s="51">
        <v>0.63</v>
      </c>
      <c r="Q28" s="51">
        <v>4.67</v>
      </c>
    </row>
    <row r="29" spans="1:17" customFormat="1">
      <c r="A29" s="50">
        <v>45583.875</v>
      </c>
      <c r="B29" s="51">
        <v>9.3800000000000008</v>
      </c>
      <c r="C29" s="51">
        <v>4.0999999999999996</v>
      </c>
      <c r="D29" s="51">
        <v>14.11</v>
      </c>
      <c r="E29" s="51">
        <v>11</v>
      </c>
      <c r="F29" s="51">
        <v>4.21</v>
      </c>
      <c r="G29" s="51">
        <v>86.15</v>
      </c>
      <c r="H29" s="51">
        <v>12.35</v>
      </c>
      <c r="I29" s="51">
        <v>5.91</v>
      </c>
      <c r="J29" s="51">
        <v>0.39</v>
      </c>
      <c r="K29" s="51">
        <v>82.53</v>
      </c>
      <c r="L29" s="51">
        <v>28.98</v>
      </c>
      <c r="M29" s="51">
        <v>82.04</v>
      </c>
      <c r="N29" s="51">
        <v>2.1</v>
      </c>
      <c r="O29" s="51">
        <v>0</v>
      </c>
      <c r="P29" s="51">
        <v>0.6</v>
      </c>
      <c r="Q29" s="51">
        <v>4.67</v>
      </c>
    </row>
    <row r="30" spans="1:17" customFormat="1">
      <c r="A30" s="50">
        <v>45583.916666666664</v>
      </c>
      <c r="B30" s="51">
        <v>9.2899999999999991</v>
      </c>
      <c r="C30" s="51">
        <v>4.09</v>
      </c>
      <c r="D30" s="51">
        <v>14.03</v>
      </c>
      <c r="E30" s="51">
        <v>11.46</v>
      </c>
      <c r="F30" s="51">
        <v>3.93</v>
      </c>
      <c r="G30" s="51">
        <v>90.11</v>
      </c>
      <c r="H30" s="51">
        <v>17.18</v>
      </c>
      <c r="I30" s="51">
        <v>6.17</v>
      </c>
      <c r="J30" s="51">
        <v>0.22</v>
      </c>
      <c r="K30" s="51">
        <v>210.42</v>
      </c>
      <c r="L30" s="51">
        <v>28.42</v>
      </c>
      <c r="M30" s="51">
        <v>88.79</v>
      </c>
      <c r="N30" s="51">
        <v>2.2000000000000002</v>
      </c>
      <c r="O30" s="51">
        <v>0</v>
      </c>
      <c r="P30" s="51">
        <v>0.61</v>
      </c>
      <c r="Q30" s="51">
        <v>4.66</v>
      </c>
    </row>
    <row r="31" spans="1:17" customFormat="1">
      <c r="A31" s="50">
        <v>45583.958333333336</v>
      </c>
      <c r="B31" s="51">
        <v>9.31</v>
      </c>
      <c r="C31" s="51">
        <v>4.0999999999999996</v>
      </c>
      <c r="D31" s="51">
        <v>14.04</v>
      </c>
      <c r="E31" s="51">
        <v>11.59</v>
      </c>
      <c r="F31" s="51">
        <v>4.04</v>
      </c>
      <c r="G31" s="51">
        <v>90.36</v>
      </c>
      <c r="H31" s="51">
        <v>17.18</v>
      </c>
      <c r="I31" s="51">
        <v>6.06</v>
      </c>
      <c r="J31" s="51">
        <v>0.12</v>
      </c>
      <c r="K31" s="51">
        <v>219.7</v>
      </c>
      <c r="L31" s="51">
        <v>27.33</v>
      </c>
      <c r="M31" s="51">
        <v>92.17</v>
      </c>
      <c r="N31" s="51">
        <v>2.1</v>
      </c>
      <c r="O31" s="51">
        <v>0</v>
      </c>
      <c r="P31" s="51">
        <v>0.59</v>
      </c>
      <c r="Q31" s="51">
        <v>4.66</v>
      </c>
    </row>
    <row r="32" spans="1:17" customFormat="1">
      <c r="A32" s="50">
        <v>45584</v>
      </c>
      <c r="B32" s="51">
        <v>9.3000000000000007</v>
      </c>
      <c r="C32" s="51">
        <v>4.08</v>
      </c>
      <c r="D32" s="51">
        <v>14.04</v>
      </c>
      <c r="E32" s="51">
        <v>12.17</v>
      </c>
      <c r="F32" s="51">
        <v>4.1100000000000003</v>
      </c>
      <c r="G32" s="51">
        <v>76.25</v>
      </c>
      <c r="H32" s="51">
        <v>18</v>
      </c>
      <c r="I32" s="51">
        <v>6.16</v>
      </c>
      <c r="J32" s="51">
        <v>0.2</v>
      </c>
      <c r="K32" s="51">
        <v>116.43</v>
      </c>
      <c r="L32" s="51">
        <v>27.26</v>
      </c>
      <c r="M32" s="51">
        <v>92.87</v>
      </c>
      <c r="N32" s="51">
        <v>1.9</v>
      </c>
      <c r="O32" s="51">
        <v>0</v>
      </c>
      <c r="P32" s="51">
        <v>0.61</v>
      </c>
      <c r="Q32" s="51">
        <v>4.67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9.23</v>
      </c>
      <c r="C34" s="41">
        <f t="shared" si="0"/>
        <v>4.0599999999999996</v>
      </c>
      <c r="D34" s="41">
        <f t="shared" si="0"/>
        <v>14</v>
      </c>
      <c r="E34" s="41">
        <f t="shared" si="0"/>
        <v>10.01</v>
      </c>
      <c r="F34" s="41">
        <f t="shared" si="0"/>
        <v>3.49</v>
      </c>
      <c r="G34" s="41">
        <f t="shared" si="0"/>
        <v>24.4</v>
      </c>
      <c r="H34" s="41">
        <f t="shared" si="0"/>
        <v>3.88</v>
      </c>
      <c r="I34" s="41">
        <f t="shared" si="0"/>
        <v>4.07</v>
      </c>
      <c r="J34" s="41">
        <f t="shared" si="0"/>
        <v>0.12</v>
      </c>
      <c r="K34" s="41">
        <f t="shared" si="0"/>
        <v>61.25</v>
      </c>
      <c r="L34" s="41">
        <f t="shared" si="0"/>
        <v>25.23</v>
      </c>
      <c r="M34" s="41">
        <f t="shared" si="0"/>
        <v>54.57</v>
      </c>
      <c r="N34" s="41">
        <f t="shared" si="0"/>
        <v>1.9</v>
      </c>
      <c r="O34" s="41">
        <f t="shared" si="0"/>
        <v>0</v>
      </c>
      <c r="P34" s="41">
        <f t="shared" si="0"/>
        <v>0.39</v>
      </c>
      <c r="Q34" s="41">
        <f t="shared" si="0"/>
        <v>4.63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9.5</v>
      </c>
      <c r="C35" s="33">
        <f t="shared" si="1"/>
        <v>4.1399999999999997</v>
      </c>
      <c r="D35" s="33">
        <f t="shared" si="1"/>
        <v>14.2</v>
      </c>
      <c r="E35" s="33">
        <f t="shared" si="1"/>
        <v>12.86</v>
      </c>
      <c r="F35" s="33">
        <f t="shared" si="1"/>
        <v>11.2</v>
      </c>
      <c r="G35" s="33">
        <f t="shared" si="1"/>
        <v>90.36</v>
      </c>
      <c r="H35" s="33">
        <f t="shared" si="1"/>
        <v>18</v>
      </c>
      <c r="I35" s="33">
        <f t="shared" si="1"/>
        <v>6.17</v>
      </c>
      <c r="J35" s="33">
        <f t="shared" si="1"/>
        <v>0.96</v>
      </c>
      <c r="K35" s="33">
        <f t="shared" si="1"/>
        <v>264.12</v>
      </c>
      <c r="L35" s="33">
        <f t="shared" si="1"/>
        <v>34.86</v>
      </c>
      <c r="M35" s="33">
        <f t="shared" si="1"/>
        <v>102.39</v>
      </c>
      <c r="N35" s="33">
        <f t="shared" si="1"/>
        <v>742.5</v>
      </c>
      <c r="O35" s="33">
        <f t="shared" si="1"/>
        <v>0</v>
      </c>
      <c r="P35" s="33">
        <f t="shared" si="1"/>
        <v>0.63</v>
      </c>
      <c r="Q35" s="33">
        <f t="shared" si="1"/>
        <v>4.6900000000000004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9.3104166666666668</v>
      </c>
      <c r="C36" s="41">
        <f t="shared" si="2"/>
        <v>4.0987499999999999</v>
      </c>
      <c r="D36" s="41">
        <f t="shared" si="2"/>
        <v>14.047083333333335</v>
      </c>
      <c r="E36" s="41">
        <f t="shared" si="2"/>
        <v>11.490000000000002</v>
      </c>
      <c r="F36" s="41">
        <f t="shared" si="2"/>
        <v>5.6445833333333333</v>
      </c>
      <c r="G36" s="41">
        <f t="shared" si="2"/>
        <v>48.03875</v>
      </c>
      <c r="H36" s="41">
        <f t="shared" si="2"/>
        <v>9.7687500000000007</v>
      </c>
      <c r="I36" s="41">
        <f t="shared" si="2"/>
        <v>5.1037500000000007</v>
      </c>
      <c r="J36" s="41">
        <f t="shared" si="2"/>
        <v>0.33624999999999994</v>
      </c>
      <c r="K36" s="41">
        <f t="shared" si="2"/>
        <v>175.05791666666664</v>
      </c>
      <c r="L36" s="41">
        <f t="shared" si="2"/>
        <v>29.751666666666665</v>
      </c>
      <c r="M36" s="41">
        <f t="shared" si="2"/>
        <v>80.608750000000001</v>
      </c>
      <c r="N36" s="41">
        <f t="shared" si="2"/>
        <v>142.15416666666667</v>
      </c>
      <c r="O36" s="41">
        <f t="shared" si="2"/>
        <v>0</v>
      </c>
      <c r="P36" s="41">
        <f t="shared" si="2"/>
        <v>0.49</v>
      </c>
      <c r="Q36" s="41">
        <f t="shared" si="2"/>
        <v>4.666666666666667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5.789639672400345E-2</v>
      </c>
      <c r="C37" s="41">
        <f t="shared" ref="C37:Q37" si="3">STDEV(C9:C32)</f>
        <v>1.8722806367125356E-2</v>
      </c>
      <c r="D37" s="41">
        <f t="shared" si="3"/>
        <v>4.6295756840657301E-2</v>
      </c>
      <c r="E37" s="41">
        <f t="shared" si="3"/>
        <v>0.80344367514493775</v>
      </c>
      <c r="F37" s="41">
        <f t="shared" si="3"/>
        <v>2.6700089222561676</v>
      </c>
      <c r="G37" s="41">
        <f t="shared" si="3"/>
        <v>21.466022152816702</v>
      </c>
      <c r="H37" s="41">
        <f t="shared" si="3"/>
        <v>3.7239860744380726</v>
      </c>
      <c r="I37" s="41">
        <f t="shared" si="3"/>
        <v>0.58327271941810144</v>
      </c>
      <c r="J37" s="41">
        <f t="shared" si="3"/>
        <v>0.21343591849627339</v>
      </c>
      <c r="K37" s="41">
        <f t="shared" si="3"/>
        <v>60.865354461564571</v>
      </c>
      <c r="L37" s="41">
        <f t="shared" si="3"/>
        <v>3.1421740834992864</v>
      </c>
      <c r="M37" s="41">
        <f t="shared" si="3"/>
        <v>15.375731672233385</v>
      </c>
      <c r="N37" s="41">
        <f t="shared" si="3"/>
        <v>235.55699020419235</v>
      </c>
      <c r="O37" s="41">
        <f t="shared" si="3"/>
        <v>0</v>
      </c>
      <c r="P37" s="41">
        <f t="shared" si="3"/>
        <v>7.5814418727287544E-2</v>
      </c>
      <c r="Q37" s="41">
        <f t="shared" si="3"/>
        <v>1.372609912179901E-2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30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45584.041666666664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>
        <v>45584.041666666664</v>
      </c>
      <c r="B9" s="51">
        <v>9.2799999999999994</v>
      </c>
      <c r="C9" s="51">
        <v>4.08</v>
      </c>
      <c r="D9" s="51">
        <v>14</v>
      </c>
      <c r="E9" s="51">
        <v>12.07</v>
      </c>
      <c r="F9" s="51">
        <v>4.37</v>
      </c>
      <c r="G9" s="51">
        <v>71.55</v>
      </c>
      <c r="H9" s="51">
        <v>18</v>
      </c>
      <c r="I9" s="51">
        <v>6.33</v>
      </c>
      <c r="J9" s="51">
        <v>0.15</v>
      </c>
      <c r="K9" s="51">
        <v>95.31</v>
      </c>
      <c r="L9" s="51">
        <v>27.13</v>
      </c>
      <c r="M9" s="51">
        <v>93.38</v>
      </c>
      <c r="N9" s="51">
        <v>2.1</v>
      </c>
      <c r="O9" s="51">
        <v>0</v>
      </c>
      <c r="P9" s="51">
        <v>0.63</v>
      </c>
      <c r="Q9" s="51">
        <v>4.67</v>
      </c>
    </row>
    <row r="10" spans="1:21" customFormat="1">
      <c r="A10" s="50">
        <v>45584.083333333336</v>
      </c>
      <c r="B10" s="51">
        <v>9.2799999999999994</v>
      </c>
      <c r="C10" s="51">
        <v>4.09</v>
      </c>
      <c r="D10" s="51">
        <v>14.01</v>
      </c>
      <c r="E10" s="51">
        <v>11.52</v>
      </c>
      <c r="F10" s="51">
        <v>4.16</v>
      </c>
      <c r="G10" s="51">
        <v>80.92</v>
      </c>
      <c r="H10" s="51">
        <v>19.59</v>
      </c>
      <c r="I10" s="51">
        <v>6.57</v>
      </c>
      <c r="J10" s="51">
        <v>0.27</v>
      </c>
      <c r="K10" s="51">
        <v>100.77</v>
      </c>
      <c r="L10" s="51">
        <v>26.88</v>
      </c>
      <c r="M10" s="51">
        <v>93.69</v>
      </c>
      <c r="N10" s="51">
        <v>2.1</v>
      </c>
      <c r="O10" s="51">
        <v>0</v>
      </c>
      <c r="P10" s="51">
        <v>0.65</v>
      </c>
      <c r="Q10" s="51">
        <v>4.6500000000000004</v>
      </c>
    </row>
    <row r="11" spans="1:21" customFormat="1">
      <c r="A11" s="50">
        <v>45584.125</v>
      </c>
      <c r="B11" s="51">
        <v>9.33</v>
      </c>
      <c r="C11" s="51">
        <v>4.1100000000000003</v>
      </c>
      <c r="D11" s="51">
        <v>14.06</v>
      </c>
      <c r="E11" s="51">
        <v>11.78</v>
      </c>
      <c r="F11" s="51">
        <v>3.77</v>
      </c>
      <c r="G11" s="51">
        <v>83.02</v>
      </c>
      <c r="H11" s="51">
        <v>24.4</v>
      </c>
      <c r="I11" s="51">
        <v>6.49</v>
      </c>
      <c r="J11" s="51">
        <v>0.18</v>
      </c>
      <c r="K11" s="51">
        <v>50.1</v>
      </c>
      <c r="L11" s="51">
        <v>26.87</v>
      </c>
      <c r="M11" s="51">
        <v>92.93</v>
      </c>
      <c r="N11" s="51">
        <v>2.1</v>
      </c>
      <c r="O11" s="51">
        <v>0</v>
      </c>
      <c r="P11" s="51">
        <v>0.65</v>
      </c>
      <c r="Q11" s="51">
        <v>4.68</v>
      </c>
    </row>
    <row r="12" spans="1:21" customFormat="1">
      <c r="A12" s="50">
        <v>45584.166666666664</v>
      </c>
      <c r="B12" s="51">
        <v>9.27</v>
      </c>
      <c r="C12" s="51">
        <v>4.1100000000000003</v>
      </c>
      <c r="D12" s="51">
        <v>14</v>
      </c>
      <c r="E12" s="51">
        <v>13.09</v>
      </c>
      <c r="F12" s="51">
        <v>3.09</v>
      </c>
      <c r="G12" s="51">
        <v>110.02</v>
      </c>
      <c r="H12" s="51">
        <v>32.33</v>
      </c>
      <c r="I12" s="51">
        <v>7.48</v>
      </c>
      <c r="J12" s="51">
        <v>0.31</v>
      </c>
      <c r="K12" s="51">
        <v>52.58</v>
      </c>
      <c r="L12" s="51">
        <v>26.51</v>
      </c>
      <c r="M12" s="51">
        <v>91.57</v>
      </c>
      <c r="N12" s="51">
        <v>2.1</v>
      </c>
      <c r="O12" s="51">
        <v>0</v>
      </c>
      <c r="P12" s="51">
        <v>0.8</v>
      </c>
      <c r="Q12" s="51">
        <v>4.67</v>
      </c>
    </row>
    <row r="13" spans="1:21" customFormat="1">
      <c r="A13" s="50">
        <v>45584.208333333336</v>
      </c>
      <c r="B13" s="51">
        <v>9.26</v>
      </c>
      <c r="C13" s="51">
        <v>4.0999999999999996</v>
      </c>
      <c r="D13" s="51">
        <v>14.02</v>
      </c>
      <c r="E13" s="51">
        <v>13.3</v>
      </c>
      <c r="F13" s="51">
        <v>3.58</v>
      </c>
      <c r="G13" s="51">
        <v>141.47</v>
      </c>
      <c r="H13" s="51">
        <v>40.54</v>
      </c>
      <c r="I13" s="51">
        <v>9.27</v>
      </c>
      <c r="J13" s="51">
        <v>0.34</v>
      </c>
      <c r="K13" s="51">
        <v>58.16</v>
      </c>
      <c r="L13" s="51">
        <v>26.03</v>
      </c>
      <c r="M13" s="51">
        <v>92.15</v>
      </c>
      <c r="N13" s="51">
        <v>2.1</v>
      </c>
      <c r="O13" s="51">
        <v>0</v>
      </c>
      <c r="P13" s="51">
        <v>0.82</v>
      </c>
      <c r="Q13" s="51">
        <v>4.67</v>
      </c>
    </row>
    <row r="14" spans="1:21" customFormat="1">
      <c r="A14" s="50">
        <v>45584.25</v>
      </c>
      <c r="B14" s="51">
        <v>9.27</v>
      </c>
      <c r="C14" s="51">
        <v>4.1100000000000003</v>
      </c>
      <c r="D14" s="51">
        <v>14.02</v>
      </c>
      <c r="E14" s="51">
        <v>13.4</v>
      </c>
      <c r="F14" s="51">
        <v>3.62</v>
      </c>
      <c r="G14" s="51">
        <v>146.28</v>
      </c>
      <c r="H14" s="51">
        <v>40.54</v>
      </c>
      <c r="I14" s="51">
        <v>9.5</v>
      </c>
      <c r="J14" s="51">
        <v>0.49</v>
      </c>
      <c r="K14" s="51">
        <v>58.64</v>
      </c>
      <c r="L14" s="51">
        <v>25.68</v>
      </c>
      <c r="M14" s="51">
        <v>91.09</v>
      </c>
      <c r="N14" s="51">
        <v>6.2</v>
      </c>
      <c r="O14" s="51">
        <v>0</v>
      </c>
      <c r="P14" s="51">
        <v>0.81</v>
      </c>
      <c r="Q14" s="51">
        <v>4.66</v>
      </c>
    </row>
    <row r="15" spans="1:21" customFormat="1">
      <c r="A15" s="50">
        <v>45584.291666666664</v>
      </c>
      <c r="B15" s="51">
        <v>9.25</v>
      </c>
      <c r="C15" s="51">
        <v>4.0999999999999996</v>
      </c>
      <c r="D15" s="51">
        <v>14.01</v>
      </c>
      <c r="E15" s="51">
        <v>13.67</v>
      </c>
      <c r="F15" s="51">
        <v>3.55</v>
      </c>
      <c r="G15" s="51">
        <v>136.47</v>
      </c>
      <c r="H15" s="51">
        <v>39.31</v>
      </c>
      <c r="I15" s="51">
        <v>8.91</v>
      </c>
      <c r="J15" s="51">
        <v>0.64</v>
      </c>
      <c r="K15" s="51">
        <v>60.13</v>
      </c>
      <c r="L15" s="51">
        <v>26.04</v>
      </c>
      <c r="M15" s="51">
        <v>92.64</v>
      </c>
      <c r="N15" s="51">
        <v>39.299999999999997</v>
      </c>
      <c r="O15" s="51">
        <v>0</v>
      </c>
      <c r="P15" s="51">
        <v>0.8</v>
      </c>
      <c r="Q15" s="51">
        <v>4.6900000000000004</v>
      </c>
    </row>
    <row r="16" spans="1:21" customFormat="1">
      <c r="A16" s="50">
        <v>45584.333333333336</v>
      </c>
      <c r="B16" s="51">
        <v>9.26</v>
      </c>
      <c r="C16" s="51">
        <v>4.0999999999999996</v>
      </c>
      <c r="D16" s="51">
        <v>14.01</v>
      </c>
      <c r="E16" s="51">
        <v>13.48</v>
      </c>
      <c r="F16" s="51">
        <v>4.3</v>
      </c>
      <c r="G16" s="51">
        <v>125.72</v>
      </c>
      <c r="H16" s="51">
        <v>39.33</v>
      </c>
      <c r="I16" s="51">
        <v>8.91</v>
      </c>
      <c r="J16" s="51">
        <v>0.74</v>
      </c>
      <c r="K16" s="51">
        <v>61.07</v>
      </c>
      <c r="L16" s="51">
        <v>28.44</v>
      </c>
      <c r="M16" s="51">
        <v>91.16</v>
      </c>
      <c r="N16" s="51">
        <v>152.5</v>
      </c>
      <c r="O16" s="51">
        <v>0</v>
      </c>
      <c r="P16" s="51">
        <v>0.81</v>
      </c>
      <c r="Q16" s="51">
        <v>4.66</v>
      </c>
    </row>
    <row r="17" spans="1:17" customFormat="1">
      <c r="A17" s="50">
        <v>45584.375</v>
      </c>
      <c r="B17" s="51">
        <v>9.26</v>
      </c>
      <c r="C17" s="51">
        <v>4.0999999999999996</v>
      </c>
      <c r="D17" s="51">
        <v>14.01</v>
      </c>
      <c r="E17" s="51">
        <v>12.97</v>
      </c>
      <c r="F17" s="51">
        <v>7.45</v>
      </c>
      <c r="G17" s="51">
        <v>126.61</v>
      </c>
      <c r="H17" s="51">
        <v>39.33</v>
      </c>
      <c r="I17" s="51">
        <v>8.92</v>
      </c>
      <c r="J17" s="51">
        <v>0.93</v>
      </c>
      <c r="K17" s="51">
        <v>61.09</v>
      </c>
      <c r="L17" s="51">
        <v>30.24</v>
      </c>
      <c r="M17" s="51">
        <v>84.35</v>
      </c>
      <c r="N17" s="51">
        <v>255.4</v>
      </c>
      <c r="O17" s="51">
        <v>0</v>
      </c>
      <c r="P17" s="51">
        <v>0.81</v>
      </c>
      <c r="Q17" s="51">
        <v>4.67</v>
      </c>
    </row>
    <row r="18" spans="1:17" customFormat="1">
      <c r="A18" s="50">
        <v>45584.416666666664</v>
      </c>
      <c r="B18" s="51">
        <v>9.32</v>
      </c>
      <c r="C18" s="51">
        <v>4.07</v>
      </c>
      <c r="D18" s="51">
        <v>14.05</v>
      </c>
      <c r="E18" s="51">
        <v>14.33</v>
      </c>
      <c r="F18" s="51">
        <v>8.99</v>
      </c>
      <c r="G18" s="51">
        <v>121.07</v>
      </c>
      <c r="H18" s="51">
        <v>38.74</v>
      </c>
      <c r="I18" s="51">
        <v>8.6199999999999992</v>
      </c>
      <c r="J18" s="51">
        <v>1.28</v>
      </c>
      <c r="K18" s="51">
        <v>54.39</v>
      </c>
      <c r="L18" s="51">
        <v>30.5</v>
      </c>
      <c r="M18" s="51">
        <v>77.52</v>
      </c>
      <c r="N18" s="51">
        <v>176.2</v>
      </c>
      <c r="O18" s="51">
        <v>0</v>
      </c>
      <c r="P18" s="51">
        <v>0.75</v>
      </c>
      <c r="Q18" s="51">
        <v>4.68</v>
      </c>
    </row>
    <row r="19" spans="1:17" customFormat="1">
      <c r="A19" s="50">
        <v>45584.458333333336</v>
      </c>
      <c r="B19" s="51">
        <v>9.23</v>
      </c>
      <c r="C19" s="51">
        <v>4.17</v>
      </c>
      <c r="D19" s="51">
        <v>14</v>
      </c>
      <c r="E19" s="51">
        <v>14.8</v>
      </c>
      <c r="F19" s="51">
        <v>10.039999999999999</v>
      </c>
      <c r="G19" s="51">
        <v>121.89</v>
      </c>
      <c r="H19" s="51">
        <v>39.020000000000003</v>
      </c>
      <c r="I19" s="51">
        <v>8.31</v>
      </c>
      <c r="J19" s="51">
        <v>0.73</v>
      </c>
      <c r="K19" s="51">
        <v>72.45</v>
      </c>
      <c r="L19" s="51">
        <v>32.799999999999997</v>
      </c>
      <c r="M19" s="51">
        <v>71.36</v>
      </c>
      <c r="N19" s="51">
        <v>380.7</v>
      </c>
      <c r="O19" s="51">
        <v>0</v>
      </c>
      <c r="P19" s="51">
        <v>0.74</v>
      </c>
      <c r="Q19" s="51">
        <v>4.67</v>
      </c>
    </row>
    <row r="20" spans="1:17" customFormat="1">
      <c r="A20" s="50">
        <v>45584.5</v>
      </c>
      <c r="B20" s="51">
        <v>9.19</v>
      </c>
      <c r="C20" s="51">
        <v>4.21</v>
      </c>
      <c r="D20" s="51">
        <v>14</v>
      </c>
      <c r="E20" s="51">
        <v>15.86</v>
      </c>
      <c r="F20" s="51">
        <v>13.62</v>
      </c>
      <c r="G20" s="51">
        <v>116.94</v>
      </c>
      <c r="H20" s="51">
        <v>41.61</v>
      </c>
      <c r="I20" s="51">
        <v>8.19</v>
      </c>
      <c r="J20" s="51">
        <v>1.0900000000000001</v>
      </c>
      <c r="K20" s="51">
        <v>64.7</v>
      </c>
      <c r="L20" s="51">
        <v>32.56</v>
      </c>
      <c r="M20" s="51">
        <v>69.319999999999993</v>
      </c>
      <c r="N20" s="51">
        <v>375.4</v>
      </c>
      <c r="O20" s="51">
        <v>0</v>
      </c>
      <c r="P20" s="51">
        <v>0.74</v>
      </c>
      <c r="Q20" s="51">
        <v>4.67</v>
      </c>
    </row>
    <row r="21" spans="1:17" customFormat="1">
      <c r="A21" s="50">
        <v>45584.541666666664</v>
      </c>
      <c r="B21" s="51">
        <v>9.1999999999999993</v>
      </c>
      <c r="C21" s="51">
        <v>4.2</v>
      </c>
      <c r="D21" s="51">
        <v>14</v>
      </c>
      <c r="E21" s="51">
        <v>19.78</v>
      </c>
      <c r="F21" s="51">
        <v>15.26</v>
      </c>
      <c r="G21" s="51">
        <v>115.6</v>
      </c>
      <c r="H21" s="51">
        <v>46.42</v>
      </c>
      <c r="I21" s="51">
        <v>7.9</v>
      </c>
      <c r="J21" s="51">
        <v>0.68</v>
      </c>
      <c r="K21" s="51">
        <v>79.05</v>
      </c>
      <c r="L21" s="51">
        <v>33.090000000000003</v>
      </c>
      <c r="M21" s="51">
        <v>61.36</v>
      </c>
      <c r="N21" s="51">
        <v>395</v>
      </c>
      <c r="O21" s="51">
        <v>0</v>
      </c>
      <c r="P21" s="51">
        <v>0.71</v>
      </c>
      <c r="Q21" s="51">
        <v>4.68</v>
      </c>
    </row>
    <row r="22" spans="1:17" customFormat="1">
      <c r="A22" s="50">
        <v>45584.583333333336</v>
      </c>
      <c r="B22" s="51">
        <v>9.27</v>
      </c>
      <c r="C22" s="51">
        <v>4.18</v>
      </c>
      <c r="D22" s="51">
        <v>14.02</v>
      </c>
      <c r="E22" s="51">
        <v>28.11</v>
      </c>
      <c r="F22" s="51">
        <v>10.78</v>
      </c>
      <c r="G22" s="51">
        <v>111.66</v>
      </c>
      <c r="H22" s="51">
        <v>46.58</v>
      </c>
      <c r="I22" s="51">
        <v>7.57</v>
      </c>
      <c r="J22" s="51">
        <v>1.01</v>
      </c>
      <c r="K22" s="51">
        <v>59.61</v>
      </c>
      <c r="L22" s="51">
        <v>32.81</v>
      </c>
      <c r="M22" s="51">
        <v>63.01</v>
      </c>
      <c r="N22" s="51">
        <v>322.8</v>
      </c>
      <c r="O22" s="51">
        <v>0</v>
      </c>
      <c r="P22" s="51">
        <v>0.73</v>
      </c>
      <c r="Q22" s="51">
        <v>4.66</v>
      </c>
    </row>
    <row r="23" spans="1:17" customFormat="1">
      <c r="A23" s="50">
        <v>45584.625</v>
      </c>
      <c r="B23" s="51">
        <v>9.23</v>
      </c>
      <c r="C23" s="51">
        <v>4.1500000000000004</v>
      </c>
      <c r="D23" s="51">
        <v>14</v>
      </c>
      <c r="E23" s="51">
        <v>23.31</v>
      </c>
      <c r="F23" s="51">
        <v>7.21</v>
      </c>
      <c r="G23" s="51">
        <v>115.28</v>
      </c>
      <c r="H23" s="51">
        <v>51.18</v>
      </c>
      <c r="I23" s="51">
        <v>7.62</v>
      </c>
      <c r="J23" s="51">
        <v>1.02</v>
      </c>
      <c r="K23" s="51">
        <v>61.94</v>
      </c>
      <c r="L23" s="51">
        <v>32.26</v>
      </c>
      <c r="M23" s="51">
        <v>66.69</v>
      </c>
      <c r="N23" s="51">
        <v>114.4</v>
      </c>
      <c r="O23" s="51">
        <v>0</v>
      </c>
      <c r="P23" s="51">
        <v>0.62</v>
      </c>
      <c r="Q23" s="51">
        <v>4.6500000000000004</v>
      </c>
    </row>
    <row r="24" spans="1:17" customFormat="1">
      <c r="A24" s="50">
        <v>45584.666666666664</v>
      </c>
      <c r="B24" s="51">
        <v>9.3699999999999992</v>
      </c>
      <c r="C24" s="51">
        <v>4.12</v>
      </c>
      <c r="D24" s="51">
        <v>14.09</v>
      </c>
      <c r="E24" s="51">
        <v>28.45</v>
      </c>
      <c r="F24" s="51">
        <v>21.15</v>
      </c>
      <c r="G24" s="51">
        <v>115.92</v>
      </c>
      <c r="H24" s="51">
        <v>51.18</v>
      </c>
      <c r="I24" s="51">
        <v>7.68</v>
      </c>
      <c r="J24" s="51">
        <v>1.01</v>
      </c>
      <c r="K24" s="51">
        <v>65.069999999999993</v>
      </c>
      <c r="L24" s="51">
        <v>31.94</v>
      </c>
      <c r="M24" s="51">
        <v>66.22</v>
      </c>
      <c r="N24" s="51">
        <v>71.400000000000006</v>
      </c>
      <c r="O24" s="51">
        <v>0</v>
      </c>
      <c r="P24" s="51">
        <v>0.64</v>
      </c>
      <c r="Q24" s="51">
        <v>4.7</v>
      </c>
    </row>
    <row r="25" spans="1:17" customFormat="1">
      <c r="A25" s="50">
        <v>45584.708333333336</v>
      </c>
      <c r="B25" s="51">
        <v>9.36</v>
      </c>
      <c r="C25" s="51">
        <v>4.09</v>
      </c>
      <c r="D25" s="51">
        <v>14.09</v>
      </c>
      <c r="E25" s="51">
        <v>22.97</v>
      </c>
      <c r="F25" s="51">
        <v>20.27</v>
      </c>
      <c r="G25" s="51">
        <v>115.93</v>
      </c>
      <c r="H25" s="51">
        <v>53.01</v>
      </c>
      <c r="I25" s="51">
        <v>6.88</v>
      </c>
      <c r="J25" s="51">
        <v>0.95</v>
      </c>
      <c r="K25" s="51">
        <v>75.2</v>
      </c>
      <c r="L25" s="51">
        <v>31.36</v>
      </c>
      <c r="M25" s="51">
        <v>67.83</v>
      </c>
      <c r="N25" s="51">
        <v>40.1</v>
      </c>
      <c r="O25" s="51">
        <v>0</v>
      </c>
      <c r="P25" s="51">
        <v>0.53</v>
      </c>
      <c r="Q25" s="51">
        <v>4.68</v>
      </c>
    </row>
    <row r="26" spans="1:17" customFormat="1">
      <c r="A26" s="50">
        <v>45584.75</v>
      </c>
      <c r="B26" s="51">
        <v>9.2799999999999994</v>
      </c>
      <c r="C26" s="51">
        <v>4.0999999999999996</v>
      </c>
      <c r="D26" s="51">
        <v>14.03</v>
      </c>
      <c r="E26" s="51">
        <v>18.2</v>
      </c>
      <c r="F26" s="51">
        <v>14.64</v>
      </c>
      <c r="G26" s="51">
        <v>123.26</v>
      </c>
      <c r="H26" s="51">
        <v>55.98</v>
      </c>
      <c r="I26" s="51">
        <v>6.6</v>
      </c>
      <c r="J26" s="51">
        <v>0.28999999999999998</v>
      </c>
      <c r="K26" s="51">
        <v>101.07</v>
      </c>
      <c r="L26" s="51">
        <v>30.28</v>
      </c>
      <c r="M26" s="51">
        <v>76.83</v>
      </c>
      <c r="N26" s="51">
        <v>4.5999999999999996</v>
      </c>
      <c r="O26" s="51">
        <v>0</v>
      </c>
      <c r="P26" s="51">
        <v>0.56000000000000005</v>
      </c>
      <c r="Q26" s="51">
        <v>4.67</v>
      </c>
    </row>
    <row r="27" spans="1:17" customFormat="1">
      <c r="A27" s="50">
        <v>45584.791666666664</v>
      </c>
      <c r="B27" s="51">
        <v>9.27</v>
      </c>
      <c r="C27" s="51">
        <v>4.09</v>
      </c>
      <c r="D27" s="51">
        <v>14.02</v>
      </c>
      <c r="E27" s="51">
        <v>12.65</v>
      </c>
      <c r="F27" s="51">
        <v>13.43</v>
      </c>
      <c r="G27" s="51">
        <v>125.8</v>
      </c>
      <c r="H27" s="51">
        <v>57.77</v>
      </c>
      <c r="I27" s="51">
        <v>6.7</v>
      </c>
      <c r="J27" s="51">
        <v>0.13</v>
      </c>
      <c r="K27" s="51">
        <v>165.14</v>
      </c>
      <c r="L27" s="51">
        <v>29.18</v>
      </c>
      <c r="M27" s="51">
        <v>81.34</v>
      </c>
      <c r="N27" s="51">
        <v>2.1</v>
      </c>
      <c r="O27" s="51">
        <v>0</v>
      </c>
      <c r="P27" s="51">
        <v>0.56999999999999995</v>
      </c>
      <c r="Q27" s="51">
        <v>4.66</v>
      </c>
    </row>
    <row r="28" spans="1:17" customFormat="1">
      <c r="A28" s="50">
        <v>45584.833333333336</v>
      </c>
      <c r="B28" s="51">
        <v>9.27</v>
      </c>
      <c r="C28" s="51">
        <v>4.0999999999999996</v>
      </c>
      <c r="D28" s="51">
        <v>14.01</v>
      </c>
      <c r="E28" s="51">
        <v>11.96</v>
      </c>
      <c r="F28" s="51">
        <v>10.76</v>
      </c>
      <c r="G28" s="51">
        <v>126.04</v>
      </c>
      <c r="H28" s="51">
        <v>57.77</v>
      </c>
      <c r="I28" s="51">
        <v>6.71</v>
      </c>
      <c r="J28" s="51">
        <v>0.19</v>
      </c>
      <c r="K28" s="51">
        <v>201.91</v>
      </c>
      <c r="L28" s="51">
        <v>28.36</v>
      </c>
      <c r="M28" s="51">
        <v>88.93</v>
      </c>
      <c r="N28" s="51">
        <v>2.1</v>
      </c>
      <c r="O28" s="51">
        <v>0</v>
      </c>
      <c r="P28" s="51">
        <v>0.59</v>
      </c>
      <c r="Q28" s="51">
        <v>4.66</v>
      </c>
    </row>
    <row r="29" spans="1:17" customFormat="1">
      <c r="A29" s="50">
        <v>45584.875</v>
      </c>
      <c r="B29" s="51">
        <v>9.2799999999999994</v>
      </c>
      <c r="C29" s="51">
        <v>4.09</v>
      </c>
      <c r="D29" s="51">
        <v>14.02</v>
      </c>
      <c r="E29" s="51">
        <v>11.63</v>
      </c>
      <c r="F29" s="51">
        <v>4.37</v>
      </c>
      <c r="G29" s="51">
        <v>121.75</v>
      </c>
      <c r="H29" s="51">
        <v>57.05</v>
      </c>
      <c r="I29" s="51">
        <v>6.93</v>
      </c>
      <c r="J29" s="51">
        <v>0.19</v>
      </c>
      <c r="K29" s="51">
        <v>206.43</v>
      </c>
      <c r="L29" s="51">
        <v>26.86</v>
      </c>
      <c r="M29" s="51">
        <v>90.83</v>
      </c>
      <c r="N29" s="51">
        <v>2.2000000000000002</v>
      </c>
      <c r="O29" s="51">
        <v>0</v>
      </c>
      <c r="P29" s="51">
        <v>0.61</v>
      </c>
      <c r="Q29" s="51">
        <v>4.6399999999999997</v>
      </c>
    </row>
    <row r="30" spans="1:17" customFormat="1">
      <c r="A30" s="50">
        <v>45584.916666666664</v>
      </c>
      <c r="B30" s="51">
        <v>9.23</v>
      </c>
      <c r="C30" s="51">
        <v>4.1399999999999997</v>
      </c>
      <c r="D30" s="51">
        <v>14</v>
      </c>
      <c r="E30" s="51">
        <v>10.1</v>
      </c>
      <c r="F30" s="51">
        <v>4.7300000000000004</v>
      </c>
      <c r="G30" s="51">
        <v>127.42</v>
      </c>
      <c r="H30" s="51">
        <v>57.53</v>
      </c>
      <c r="I30" s="51">
        <v>7</v>
      </c>
      <c r="J30" s="51">
        <v>0.19</v>
      </c>
      <c r="K30" s="51">
        <v>264.8</v>
      </c>
      <c r="L30" s="51">
        <v>26.76</v>
      </c>
      <c r="M30" s="51">
        <v>89.32</v>
      </c>
      <c r="N30" s="51">
        <v>2.1</v>
      </c>
      <c r="O30" s="51">
        <v>0</v>
      </c>
      <c r="P30" s="51">
        <v>0.6</v>
      </c>
      <c r="Q30" s="51">
        <v>4.6500000000000004</v>
      </c>
    </row>
    <row r="31" spans="1:17" customFormat="1">
      <c r="A31" s="50">
        <v>45584.958333333336</v>
      </c>
      <c r="B31" s="51">
        <v>9.34</v>
      </c>
      <c r="C31" s="51">
        <v>4.09</v>
      </c>
      <c r="D31" s="51">
        <v>14.05</v>
      </c>
      <c r="E31" s="51">
        <v>9.73</v>
      </c>
      <c r="F31" s="51">
        <v>5.48</v>
      </c>
      <c r="G31" s="51">
        <v>128.5</v>
      </c>
      <c r="H31" s="51">
        <v>57.53</v>
      </c>
      <c r="I31" s="51">
        <v>6.74</v>
      </c>
      <c r="J31" s="51">
        <v>0.3</v>
      </c>
      <c r="K31" s="51">
        <v>282.41000000000003</v>
      </c>
      <c r="L31" s="51">
        <v>26.68</v>
      </c>
      <c r="M31" s="51">
        <v>85.51</v>
      </c>
      <c r="N31" s="51">
        <v>2.4</v>
      </c>
      <c r="O31" s="51">
        <v>0</v>
      </c>
      <c r="P31" s="51">
        <v>0.53</v>
      </c>
      <c r="Q31" s="51">
        <v>4.67</v>
      </c>
    </row>
    <row r="32" spans="1:17" customFormat="1">
      <c r="A32" s="50">
        <v>45585</v>
      </c>
      <c r="B32" s="51">
        <v>9.3000000000000007</v>
      </c>
      <c r="C32" s="51">
        <v>4.12</v>
      </c>
      <c r="D32" s="51">
        <v>14.03</v>
      </c>
      <c r="E32" s="51">
        <v>10.52</v>
      </c>
      <c r="F32" s="51">
        <v>3.73</v>
      </c>
      <c r="G32" s="51">
        <v>93.37</v>
      </c>
      <c r="H32" s="51">
        <v>41.29</v>
      </c>
      <c r="I32" s="51">
        <v>6.33</v>
      </c>
      <c r="J32" s="51">
        <v>0.28999999999999998</v>
      </c>
      <c r="K32" s="51">
        <v>254.11</v>
      </c>
      <c r="L32" s="51">
        <v>25.56</v>
      </c>
      <c r="M32" s="51">
        <v>85.57</v>
      </c>
      <c r="N32" s="51">
        <v>2.1</v>
      </c>
      <c r="O32" s="51">
        <v>0</v>
      </c>
      <c r="P32" s="51">
        <v>0.49</v>
      </c>
      <c r="Q32" s="51">
        <v>4.67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9.19</v>
      </c>
      <c r="C34" s="41">
        <f t="shared" si="0"/>
        <v>4.07</v>
      </c>
      <c r="D34" s="41">
        <f t="shared" si="0"/>
        <v>14</v>
      </c>
      <c r="E34" s="41">
        <f t="shared" si="0"/>
        <v>9.73</v>
      </c>
      <c r="F34" s="41">
        <f t="shared" si="0"/>
        <v>3.09</v>
      </c>
      <c r="G34" s="41">
        <f t="shared" si="0"/>
        <v>71.55</v>
      </c>
      <c r="H34" s="41">
        <f t="shared" si="0"/>
        <v>18</v>
      </c>
      <c r="I34" s="41">
        <f t="shared" si="0"/>
        <v>6.33</v>
      </c>
      <c r="J34" s="41">
        <f t="shared" si="0"/>
        <v>0.13</v>
      </c>
      <c r="K34" s="41">
        <f t="shared" si="0"/>
        <v>50.1</v>
      </c>
      <c r="L34" s="41">
        <f t="shared" si="0"/>
        <v>25.56</v>
      </c>
      <c r="M34" s="41">
        <f t="shared" si="0"/>
        <v>61.36</v>
      </c>
      <c r="N34" s="41">
        <f t="shared" si="0"/>
        <v>2.1</v>
      </c>
      <c r="O34" s="41">
        <f t="shared" si="0"/>
        <v>0</v>
      </c>
      <c r="P34" s="41">
        <f t="shared" si="0"/>
        <v>0.49</v>
      </c>
      <c r="Q34" s="41">
        <f t="shared" si="0"/>
        <v>4.6399999999999997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9.3699999999999992</v>
      </c>
      <c r="C35" s="33">
        <f t="shared" si="1"/>
        <v>4.21</v>
      </c>
      <c r="D35" s="33">
        <f t="shared" si="1"/>
        <v>14.09</v>
      </c>
      <c r="E35" s="33">
        <f t="shared" si="1"/>
        <v>28.45</v>
      </c>
      <c r="F35" s="33">
        <f t="shared" si="1"/>
        <v>21.15</v>
      </c>
      <c r="G35" s="33">
        <f t="shared" si="1"/>
        <v>146.28</v>
      </c>
      <c r="H35" s="33">
        <f t="shared" si="1"/>
        <v>57.77</v>
      </c>
      <c r="I35" s="33">
        <f t="shared" si="1"/>
        <v>9.5</v>
      </c>
      <c r="J35" s="33">
        <f t="shared" si="1"/>
        <v>1.28</v>
      </c>
      <c r="K35" s="33">
        <f t="shared" si="1"/>
        <v>282.41000000000003</v>
      </c>
      <c r="L35" s="33">
        <f t="shared" si="1"/>
        <v>33.090000000000003</v>
      </c>
      <c r="M35" s="33">
        <f t="shared" si="1"/>
        <v>93.69</v>
      </c>
      <c r="N35" s="33">
        <f t="shared" si="1"/>
        <v>395</v>
      </c>
      <c r="O35" s="33">
        <f t="shared" si="1"/>
        <v>0</v>
      </c>
      <c r="P35" s="33">
        <f t="shared" si="1"/>
        <v>0.82</v>
      </c>
      <c r="Q35" s="33">
        <f t="shared" si="1"/>
        <v>4.7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9.2750000000000004</v>
      </c>
      <c r="C36" s="41">
        <f t="shared" si="2"/>
        <v>4.1175000000000006</v>
      </c>
      <c r="D36" s="41">
        <f t="shared" si="2"/>
        <v>14.022916666666667</v>
      </c>
      <c r="E36" s="41">
        <f t="shared" si="2"/>
        <v>15.319999999999999</v>
      </c>
      <c r="F36" s="41">
        <f t="shared" si="2"/>
        <v>8.4312500000000004</v>
      </c>
      <c r="G36" s="41">
        <f t="shared" si="2"/>
        <v>116.77041666666669</v>
      </c>
      <c r="H36" s="41">
        <f t="shared" si="2"/>
        <v>43.58458333333332</v>
      </c>
      <c r="I36" s="41">
        <f t="shared" si="2"/>
        <v>7.5900000000000007</v>
      </c>
      <c r="J36" s="41">
        <f t="shared" si="2"/>
        <v>0.55833333333333324</v>
      </c>
      <c r="K36" s="41">
        <f t="shared" si="2"/>
        <v>108.58875</v>
      </c>
      <c r="L36" s="41">
        <f t="shared" si="2"/>
        <v>28.950833333333332</v>
      </c>
      <c r="M36" s="41">
        <f t="shared" si="2"/>
        <v>81.85833333333332</v>
      </c>
      <c r="N36" s="41">
        <f t="shared" si="2"/>
        <v>98.229166666666643</v>
      </c>
      <c r="O36" s="41">
        <f t="shared" si="2"/>
        <v>0</v>
      </c>
      <c r="P36" s="41">
        <f t="shared" si="2"/>
        <v>0.67458333333333342</v>
      </c>
      <c r="Q36" s="41">
        <f t="shared" si="2"/>
        <v>4.6679166666666676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4.5012075674442459E-2</v>
      </c>
      <c r="C37" s="41">
        <f t="shared" ref="C37:Q37" si="3">STDEV(C9:C32)</f>
        <v>3.7907209363643918E-2</v>
      </c>
      <c r="D37" s="41">
        <f t="shared" si="3"/>
        <v>2.6780779393578903E-2</v>
      </c>
      <c r="E37" s="41">
        <f t="shared" si="3"/>
        <v>5.3712082682455726</v>
      </c>
      <c r="F37" s="41">
        <f t="shared" si="3"/>
        <v>5.4727890612278891</v>
      </c>
      <c r="G37" s="41">
        <f t="shared" si="3"/>
        <v>18.260763705912655</v>
      </c>
      <c r="H37" s="41">
        <f t="shared" si="3"/>
        <v>11.793706493817805</v>
      </c>
      <c r="I37" s="41">
        <f t="shared" si="3"/>
        <v>1.01646446076584</v>
      </c>
      <c r="J37" s="41">
        <f t="shared" si="3"/>
        <v>0.36762062991109706</v>
      </c>
      <c r="K37" s="41">
        <f t="shared" si="3"/>
        <v>75.368736126633337</v>
      </c>
      <c r="L37" s="41">
        <f t="shared" si="3"/>
        <v>2.6659575597043936</v>
      </c>
      <c r="M37" s="41">
        <f t="shared" si="3"/>
        <v>11.154465148702702</v>
      </c>
      <c r="N37" s="41">
        <f t="shared" si="3"/>
        <v>140.72588056269157</v>
      </c>
      <c r="O37" s="41">
        <f t="shared" si="3"/>
        <v>0</v>
      </c>
      <c r="P37" s="41">
        <f t="shared" si="3"/>
        <v>0.10433971133906242</v>
      </c>
      <c r="Q37" s="41">
        <f t="shared" si="3"/>
        <v>1.3506573815438265E-2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29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45585.041666666664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>
        <v>45585.041666666664</v>
      </c>
      <c r="B9" s="51">
        <v>9.2200000000000006</v>
      </c>
      <c r="C9" s="51">
        <v>4.16</v>
      </c>
      <c r="D9" s="51">
        <v>14</v>
      </c>
      <c r="E9" s="51">
        <v>10.55</v>
      </c>
      <c r="F9" s="51">
        <v>3.64</v>
      </c>
      <c r="G9" s="51">
        <v>66.09</v>
      </c>
      <c r="H9" s="51">
        <v>27.24</v>
      </c>
      <c r="I9" s="51">
        <v>5.68</v>
      </c>
      <c r="J9" s="51">
        <v>0.14000000000000001</v>
      </c>
      <c r="K9" s="51">
        <v>230.84</v>
      </c>
      <c r="L9" s="51">
        <v>25.1</v>
      </c>
      <c r="M9" s="51">
        <v>86.37</v>
      </c>
      <c r="N9" s="51">
        <v>2.1</v>
      </c>
      <c r="O9" s="51">
        <v>0</v>
      </c>
      <c r="P9" s="51">
        <v>0.44</v>
      </c>
      <c r="Q9" s="51">
        <v>4.67</v>
      </c>
    </row>
    <row r="10" spans="1:21" customFormat="1">
      <c r="A10" s="50">
        <v>45585.083333333336</v>
      </c>
      <c r="B10" s="51">
        <v>9.2100000000000009</v>
      </c>
      <c r="C10" s="51">
        <v>4.17</v>
      </c>
      <c r="D10" s="51">
        <v>14</v>
      </c>
      <c r="E10" s="51">
        <v>10.82</v>
      </c>
      <c r="F10" s="51">
        <v>3.73</v>
      </c>
      <c r="G10" s="51">
        <v>40.18</v>
      </c>
      <c r="H10" s="51">
        <v>17.28</v>
      </c>
      <c r="I10" s="51">
        <v>5.32</v>
      </c>
      <c r="J10" s="51">
        <v>0.13</v>
      </c>
      <c r="K10" s="51">
        <v>225.83</v>
      </c>
      <c r="L10" s="51">
        <v>24.72</v>
      </c>
      <c r="M10" s="51">
        <v>87.93</v>
      </c>
      <c r="N10" s="51">
        <v>2.1</v>
      </c>
      <c r="O10" s="51">
        <v>0</v>
      </c>
      <c r="P10" s="51">
        <v>0.39</v>
      </c>
      <c r="Q10" s="51">
        <v>4.66</v>
      </c>
    </row>
    <row r="11" spans="1:21" customFormat="1">
      <c r="A11" s="50">
        <v>45585.125</v>
      </c>
      <c r="B11" s="51">
        <v>9.19</v>
      </c>
      <c r="C11" s="51">
        <v>4.1900000000000004</v>
      </c>
      <c r="D11" s="51">
        <v>14</v>
      </c>
      <c r="E11" s="51">
        <v>11.86</v>
      </c>
      <c r="F11" s="51">
        <v>3.76</v>
      </c>
      <c r="G11" s="51">
        <v>28.72</v>
      </c>
      <c r="H11" s="51">
        <v>11.16</v>
      </c>
      <c r="I11" s="51">
        <v>4.9000000000000004</v>
      </c>
      <c r="J11" s="51">
        <v>0.16</v>
      </c>
      <c r="K11" s="51">
        <v>204.89</v>
      </c>
      <c r="L11" s="51">
        <v>24.57</v>
      </c>
      <c r="M11" s="51">
        <v>87.89</v>
      </c>
      <c r="N11" s="51">
        <v>2.1</v>
      </c>
      <c r="O11" s="51">
        <v>0</v>
      </c>
      <c r="P11" s="51">
        <v>0.37</v>
      </c>
      <c r="Q11" s="51">
        <v>4.66</v>
      </c>
    </row>
    <row r="12" spans="1:21" customFormat="1">
      <c r="A12" s="50">
        <v>45585.166666666664</v>
      </c>
      <c r="B12" s="51">
        <v>9.25</v>
      </c>
      <c r="C12" s="51">
        <v>4.1900000000000004</v>
      </c>
      <c r="D12" s="51">
        <v>14</v>
      </c>
      <c r="E12" s="51">
        <v>10.96</v>
      </c>
      <c r="F12" s="51">
        <v>4.04</v>
      </c>
      <c r="G12" s="51">
        <v>24.63</v>
      </c>
      <c r="H12" s="51">
        <v>9.6</v>
      </c>
      <c r="I12" s="51">
        <v>5.13</v>
      </c>
      <c r="J12" s="51">
        <v>0.13</v>
      </c>
      <c r="K12" s="51">
        <v>213.07</v>
      </c>
      <c r="L12" s="51">
        <v>24.59</v>
      </c>
      <c r="M12" s="51">
        <v>88.86</v>
      </c>
      <c r="N12" s="51">
        <v>2.1</v>
      </c>
      <c r="O12" s="51">
        <v>0</v>
      </c>
      <c r="P12" s="51">
        <v>0.36</v>
      </c>
      <c r="Q12" s="51">
        <v>4.66</v>
      </c>
    </row>
    <row r="13" spans="1:21" customFormat="1">
      <c r="A13" s="50">
        <v>45585.208333333336</v>
      </c>
      <c r="B13" s="51">
        <v>9.19</v>
      </c>
      <c r="C13" s="51">
        <v>4.1900000000000004</v>
      </c>
      <c r="D13" s="51">
        <v>14</v>
      </c>
      <c r="E13" s="51">
        <v>10.36</v>
      </c>
      <c r="F13" s="51">
        <v>3.82</v>
      </c>
      <c r="G13" s="51">
        <v>31.77</v>
      </c>
      <c r="H13" s="51">
        <v>11.46</v>
      </c>
      <c r="I13" s="51">
        <v>5.2</v>
      </c>
      <c r="J13" s="51">
        <v>0.26</v>
      </c>
      <c r="K13" s="51">
        <v>210.43</v>
      </c>
      <c r="L13" s="51">
        <v>24.93</v>
      </c>
      <c r="M13" s="51">
        <v>88.69</v>
      </c>
      <c r="N13" s="51">
        <v>2.2000000000000002</v>
      </c>
      <c r="O13" s="51">
        <v>0</v>
      </c>
      <c r="P13" s="51">
        <v>0.35</v>
      </c>
      <c r="Q13" s="51">
        <v>4.67</v>
      </c>
    </row>
    <row r="14" spans="1:21" customFormat="1">
      <c r="A14" s="50">
        <v>45585.25</v>
      </c>
      <c r="B14" s="51">
        <v>9.23</v>
      </c>
      <c r="C14" s="51">
        <v>4.13</v>
      </c>
      <c r="D14" s="51">
        <v>14</v>
      </c>
      <c r="E14" s="51">
        <v>11.11</v>
      </c>
      <c r="F14" s="51">
        <v>3.32</v>
      </c>
      <c r="G14" s="51">
        <v>33.01</v>
      </c>
      <c r="H14" s="51">
        <v>11.46</v>
      </c>
      <c r="I14" s="51">
        <v>4.9400000000000004</v>
      </c>
      <c r="J14" s="51">
        <v>0.14000000000000001</v>
      </c>
      <c r="K14" s="51">
        <v>211.08</v>
      </c>
      <c r="L14" s="51">
        <v>24.56</v>
      </c>
      <c r="M14" s="51">
        <v>89.27</v>
      </c>
      <c r="N14" s="51">
        <v>3.5</v>
      </c>
      <c r="O14" s="51">
        <v>0</v>
      </c>
      <c r="P14" s="51">
        <v>0.33</v>
      </c>
      <c r="Q14" s="51">
        <v>4.66</v>
      </c>
    </row>
    <row r="15" spans="1:21" customFormat="1">
      <c r="A15" s="50">
        <v>45585.291666666664</v>
      </c>
      <c r="B15" s="51">
        <v>9.2200000000000006</v>
      </c>
      <c r="C15" s="51">
        <v>4.1399999999999997</v>
      </c>
      <c r="D15" s="51">
        <v>14</v>
      </c>
      <c r="E15" s="51">
        <v>11.03</v>
      </c>
      <c r="F15" s="51">
        <v>3.56</v>
      </c>
      <c r="G15" s="51">
        <v>30.82</v>
      </c>
      <c r="H15" s="51">
        <v>8.43</v>
      </c>
      <c r="I15" s="51">
        <v>4.79</v>
      </c>
      <c r="J15" s="51">
        <v>0.28000000000000003</v>
      </c>
      <c r="K15" s="51">
        <v>207.4</v>
      </c>
      <c r="L15" s="51">
        <v>25.38</v>
      </c>
      <c r="M15" s="51">
        <v>87.6</v>
      </c>
      <c r="N15" s="51">
        <v>37.1</v>
      </c>
      <c r="O15" s="51">
        <v>0</v>
      </c>
      <c r="P15" s="51">
        <v>0.34</v>
      </c>
      <c r="Q15" s="51">
        <v>4.6500000000000004</v>
      </c>
    </row>
    <row r="16" spans="1:21" customFormat="1">
      <c r="A16" s="50">
        <v>45585.333333333336</v>
      </c>
      <c r="B16" s="51">
        <v>9.24</v>
      </c>
      <c r="C16" s="51">
        <v>4.1100000000000003</v>
      </c>
      <c r="D16" s="51">
        <v>14</v>
      </c>
      <c r="E16" s="51">
        <v>11.86</v>
      </c>
      <c r="F16" s="51">
        <v>3.84</v>
      </c>
      <c r="G16" s="51">
        <v>40.6</v>
      </c>
      <c r="H16" s="51">
        <v>11.97</v>
      </c>
      <c r="I16" s="51">
        <v>5.15</v>
      </c>
      <c r="J16" s="51">
        <v>0.36</v>
      </c>
      <c r="K16" s="51">
        <v>157.53</v>
      </c>
      <c r="L16" s="51">
        <v>27.19</v>
      </c>
      <c r="M16" s="51">
        <v>80.260000000000005</v>
      </c>
      <c r="N16" s="51">
        <v>142.30000000000001</v>
      </c>
      <c r="O16" s="51">
        <v>0</v>
      </c>
      <c r="P16" s="51">
        <v>0.38</v>
      </c>
      <c r="Q16" s="51">
        <v>4.66</v>
      </c>
    </row>
    <row r="17" spans="1:17" customFormat="1">
      <c r="A17" s="50">
        <v>45585.375</v>
      </c>
      <c r="B17" s="51">
        <v>9.26</v>
      </c>
      <c r="C17" s="51">
        <v>4.1100000000000003</v>
      </c>
      <c r="D17" s="51">
        <v>14</v>
      </c>
      <c r="E17" s="51">
        <v>12.15</v>
      </c>
      <c r="F17" s="51">
        <v>4.13</v>
      </c>
      <c r="G17" s="51">
        <v>61.66</v>
      </c>
      <c r="H17" s="51">
        <v>15.05</v>
      </c>
      <c r="I17" s="51">
        <v>5.71</v>
      </c>
      <c r="J17" s="51">
        <v>0.39</v>
      </c>
      <c r="K17" s="51">
        <v>65.39</v>
      </c>
      <c r="L17" s="51">
        <v>28.08</v>
      </c>
      <c r="M17" s="51">
        <v>72.94</v>
      </c>
      <c r="N17" s="51">
        <v>146</v>
      </c>
      <c r="O17" s="51">
        <v>0</v>
      </c>
      <c r="P17" s="51">
        <v>0.43</v>
      </c>
      <c r="Q17" s="51">
        <v>4.67</v>
      </c>
    </row>
    <row r="18" spans="1:17" customFormat="1">
      <c r="A18" s="50">
        <v>45585.416666666664</v>
      </c>
      <c r="B18" s="51">
        <v>9.2200000000000006</v>
      </c>
      <c r="C18" s="51">
        <v>4.17</v>
      </c>
      <c r="D18" s="51">
        <v>14</v>
      </c>
      <c r="E18" s="51">
        <v>12.01</v>
      </c>
      <c r="F18" s="51">
        <v>4.2</v>
      </c>
      <c r="G18" s="51">
        <v>65.06</v>
      </c>
      <c r="H18" s="51">
        <v>15.05</v>
      </c>
      <c r="I18" s="51">
        <v>6.08</v>
      </c>
      <c r="J18" s="51">
        <v>0.43</v>
      </c>
      <c r="K18" s="51">
        <v>59.65</v>
      </c>
      <c r="L18" s="51">
        <v>28.91</v>
      </c>
      <c r="M18" s="51">
        <v>68.790000000000006</v>
      </c>
      <c r="N18" s="51">
        <v>181.7</v>
      </c>
      <c r="O18" s="51">
        <v>0</v>
      </c>
      <c r="P18" s="51">
        <v>0.48</v>
      </c>
      <c r="Q18" s="51">
        <v>4.6500000000000004</v>
      </c>
    </row>
    <row r="19" spans="1:17" customFormat="1">
      <c r="A19" s="50">
        <v>45585.458333333336</v>
      </c>
      <c r="B19" s="51">
        <v>9.18</v>
      </c>
      <c r="C19" s="51">
        <v>4.24</v>
      </c>
      <c r="D19" s="51">
        <v>14</v>
      </c>
      <c r="E19" s="51">
        <v>13.59</v>
      </c>
      <c r="F19" s="51">
        <v>4.24</v>
      </c>
      <c r="G19" s="51">
        <v>82.91</v>
      </c>
      <c r="H19" s="51">
        <v>24.49</v>
      </c>
      <c r="I19" s="51">
        <v>6.52</v>
      </c>
      <c r="J19" s="51">
        <v>0.56999999999999995</v>
      </c>
      <c r="K19" s="51">
        <v>97.45</v>
      </c>
      <c r="L19" s="51">
        <v>30.27</v>
      </c>
      <c r="M19" s="51">
        <v>64.900000000000006</v>
      </c>
      <c r="N19" s="51">
        <v>381.3</v>
      </c>
      <c r="O19" s="51">
        <v>0</v>
      </c>
      <c r="P19" s="51">
        <v>0.52</v>
      </c>
      <c r="Q19" s="51">
        <v>4.6399999999999997</v>
      </c>
    </row>
    <row r="20" spans="1:17" customFormat="1">
      <c r="A20" s="50">
        <v>45585.5</v>
      </c>
      <c r="B20" s="51">
        <v>9.2899999999999991</v>
      </c>
      <c r="C20" s="51">
        <v>4.21</v>
      </c>
      <c r="D20" s="51">
        <v>14.02</v>
      </c>
      <c r="E20" s="51">
        <v>16.010000000000002</v>
      </c>
      <c r="F20" s="51">
        <v>6.7</v>
      </c>
      <c r="G20" s="51">
        <v>88.93</v>
      </c>
      <c r="H20" s="51">
        <v>32.979999999999997</v>
      </c>
      <c r="I20" s="51">
        <v>6.62</v>
      </c>
      <c r="J20" s="51">
        <v>0.86</v>
      </c>
      <c r="K20" s="51">
        <v>60.82</v>
      </c>
      <c r="L20" s="51">
        <v>31.46</v>
      </c>
      <c r="M20" s="51">
        <v>63.54</v>
      </c>
      <c r="N20" s="51">
        <v>362</v>
      </c>
      <c r="O20" s="51">
        <v>0</v>
      </c>
      <c r="P20" s="51">
        <v>0.51</v>
      </c>
      <c r="Q20" s="51">
        <v>4.67</v>
      </c>
    </row>
    <row r="21" spans="1:17" customFormat="1">
      <c r="A21" s="50">
        <v>45585.541666666664</v>
      </c>
      <c r="B21" s="51">
        <v>9.27</v>
      </c>
      <c r="C21" s="51">
        <v>4.09</v>
      </c>
      <c r="D21" s="51">
        <v>14.01</v>
      </c>
      <c r="E21" s="51">
        <v>15.29</v>
      </c>
      <c r="F21" s="51">
        <v>7.62</v>
      </c>
      <c r="G21" s="51">
        <v>89.4</v>
      </c>
      <c r="H21" s="51">
        <v>33.380000000000003</v>
      </c>
      <c r="I21" s="51">
        <v>6.41</v>
      </c>
      <c r="J21" s="51">
        <v>0.56999999999999995</v>
      </c>
      <c r="K21" s="51">
        <v>154.56</v>
      </c>
      <c r="L21" s="51">
        <v>31.74</v>
      </c>
      <c r="M21" s="51">
        <v>63.63</v>
      </c>
      <c r="N21" s="51">
        <v>344.9</v>
      </c>
      <c r="O21" s="51">
        <v>0</v>
      </c>
      <c r="P21" s="51">
        <v>0.46</v>
      </c>
      <c r="Q21" s="51">
        <v>4.66</v>
      </c>
    </row>
    <row r="22" spans="1:17" customFormat="1">
      <c r="A22" s="50">
        <v>45585.583333333336</v>
      </c>
      <c r="B22" s="51">
        <v>9.24</v>
      </c>
      <c r="C22" s="51">
        <v>4.1100000000000003</v>
      </c>
      <c r="D22" s="51">
        <v>14</v>
      </c>
      <c r="E22" s="51">
        <v>15.1</v>
      </c>
      <c r="F22" s="51">
        <v>8.09</v>
      </c>
      <c r="G22" s="51">
        <v>84.31</v>
      </c>
      <c r="H22" s="51">
        <v>33.380000000000003</v>
      </c>
      <c r="I22" s="51">
        <v>6.1</v>
      </c>
      <c r="J22" s="51">
        <v>0.23</v>
      </c>
      <c r="K22" s="51">
        <v>186.25</v>
      </c>
      <c r="L22" s="51">
        <v>32</v>
      </c>
      <c r="M22" s="51">
        <v>66.06</v>
      </c>
      <c r="N22" s="51">
        <v>319.39999999999998</v>
      </c>
      <c r="O22" s="51">
        <v>0</v>
      </c>
      <c r="P22" s="51">
        <v>0.45</v>
      </c>
      <c r="Q22" s="51">
        <v>4.66</v>
      </c>
    </row>
    <row r="23" spans="1:17" customFormat="1">
      <c r="A23" s="50">
        <v>45585.625</v>
      </c>
      <c r="B23" s="51">
        <v>9.1999999999999993</v>
      </c>
      <c r="C23" s="51">
        <v>4.18</v>
      </c>
      <c r="D23" s="51">
        <v>14</v>
      </c>
      <c r="E23" s="51">
        <v>14.5</v>
      </c>
      <c r="F23" s="51">
        <v>10</v>
      </c>
      <c r="G23" s="51">
        <v>81.290000000000006</v>
      </c>
      <c r="H23" s="51">
        <v>31.87</v>
      </c>
      <c r="I23" s="51">
        <v>5.88</v>
      </c>
      <c r="J23" s="51">
        <v>0.28000000000000003</v>
      </c>
      <c r="K23" s="51">
        <v>186.9</v>
      </c>
      <c r="L23" s="51">
        <v>30.89</v>
      </c>
      <c r="M23" s="51">
        <v>65.98</v>
      </c>
      <c r="N23" s="51">
        <v>140.69999999999999</v>
      </c>
      <c r="O23" s="51">
        <v>0</v>
      </c>
      <c r="P23" s="51">
        <v>0.56000000000000005</v>
      </c>
      <c r="Q23" s="51">
        <v>4.67</v>
      </c>
    </row>
    <row r="24" spans="1:17" customFormat="1">
      <c r="A24" s="50">
        <v>45585.666666666664</v>
      </c>
      <c r="B24" s="51">
        <v>9.18</v>
      </c>
      <c r="C24" s="51">
        <v>4.2300000000000004</v>
      </c>
      <c r="D24" s="51">
        <v>14</v>
      </c>
      <c r="E24" s="51">
        <v>17.36</v>
      </c>
      <c r="F24" s="51">
        <v>10.98</v>
      </c>
      <c r="G24" s="51">
        <v>77.37</v>
      </c>
      <c r="H24" s="51">
        <v>33.96</v>
      </c>
      <c r="I24" s="51">
        <v>5.62</v>
      </c>
      <c r="J24" s="51">
        <v>0.69</v>
      </c>
      <c r="K24" s="51">
        <v>82.19</v>
      </c>
      <c r="L24" s="51">
        <v>30.57</v>
      </c>
      <c r="M24" s="51">
        <v>74.3</v>
      </c>
      <c r="N24" s="51">
        <v>70.2</v>
      </c>
      <c r="O24" s="51">
        <v>0</v>
      </c>
      <c r="P24" s="51">
        <v>0.61</v>
      </c>
      <c r="Q24" s="51">
        <v>4.66</v>
      </c>
    </row>
    <row r="25" spans="1:17" customFormat="1">
      <c r="A25" s="50">
        <v>45585.708333333336</v>
      </c>
      <c r="B25" s="51">
        <v>9.15</v>
      </c>
      <c r="C25" s="51">
        <v>4.29</v>
      </c>
      <c r="D25" s="51">
        <v>14</v>
      </c>
      <c r="E25" s="51">
        <v>14.97</v>
      </c>
      <c r="F25" s="51">
        <v>4.82</v>
      </c>
      <c r="G25" s="51">
        <v>86.01</v>
      </c>
      <c r="H25" s="51">
        <v>36.85</v>
      </c>
      <c r="I25" s="51">
        <v>5.82</v>
      </c>
      <c r="J25" s="51">
        <v>0.3</v>
      </c>
      <c r="K25" s="51">
        <v>229.56</v>
      </c>
      <c r="L25" s="51">
        <v>27.14</v>
      </c>
      <c r="M25" s="51">
        <v>80.83</v>
      </c>
      <c r="N25" s="51">
        <v>16.399999999999999</v>
      </c>
      <c r="O25" s="51">
        <v>0</v>
      </c>
      <c r="P25" s="51">
        <v>0.65</v>
      </c>
      <c r="Q25" s="51">
        <v>4.6399999999999997</v>
      </c>
    </row>
    <row r="26" spans="1:17" customFormat="1">
      <c r="A26" s="50">
        <v>45585.75</v>
      </c>
      <c r="B26" s="51">
        <v>9.17</v>
      </c>
      <c r="C26" s="51">
        <v>4.3099999999999996</v>
      </c>
      <c r="D26" s="51">
        <v>14</v>
      </c>
      <c r="E26" s="51">
        <v>13.66</v>
      </c>
      <c r="F26" s="51">
        <v>3.99</v>
      </c>
      <c r="G26" s="51">
        <v>95.14</v>
      </c>
      <c r="H26" s="51">
        <v>40.19</v>
      </c>
      <c r="I26" s="51">
        <v>6.26</v>
      </c>
      <c r="J26" s="51">
        <v>0.19</v>
      </c>
      <c r="K26" s="51">
        <v>206.33</v>
      </c>
      <c r="L26" s="51">
        <v>27.03</v>
      </c>
      <c r="M26" s="51">
        <v>88.8</v>
      </c>
      <c r="N26" s="51">
        <v>4.5</v>
      </c>
      <c r="O26" s="51">
        <v>0</v>
      </c>
      <c r="P26" s="51">
        <v>0.69</v>
      </c>
      <c r="Q26" s="51">
        <v>4.66</v>
      </c>
    </row>
    <row r="27" spans="1:17" customFormat="1">
      <c r="A27" s="50">
        <v>45585.791666666664</v>
      </c>
      <c r="B27" s="51">
        <v>9.1999999999999993</v>
      </c>
      <c r="C27" s="51">
        <v>4.2</v>
      </c>
      <c r="D27" s="51">
        <v>14</v>
      </c>
      <c r="E27" s="51">
        <v>10.28</v>
      </c>
      <c r="F27" s="51">
        <v>3.53</v>
      </c>
      <c r="G27" s="51">
        <v>107.07</v>
      </c>
      <c r="H27" s="51">
        <v>43.86</v>
      </c>
      <c r="I27" s="51">
        <v>6.59</v>
      </c>
      <c r="J27" s="51">
        <v>0.25</v>
      </c>
      <c r="K27" s="51">
        <v>210.26</v>
      </c>
      <c r="L27" s="51">
        <v>26.34</v>
      </c>
      <c r="M27" s="51">
        <v>89.98</v>
      </c>
      <c r="N27" s="51">
        <v>2.1</v>
      </c>
      <c r="O27" s="51">
        <v>0</v>
      </c>
      <c r="P27" s="51">
        <v>0.75</v>
      </c>
      <c r="Q27" s="51">
        <v>4.67</v>
      </c>
    </row>
    <row r="28" spans="1:17" customFormat="1">
      <c r="A28" s="50">
        <v>45585.833333333336</v>
      </c>
      <c r="B28" s="51">
        <v>9.17</v>
      </c>
      <c r="C28" s="51">
        <v>4.2300000000000004</v>
      </c>
      <c r="D28" s="51">
        <v>14</v>
      </c>
      <c r="E28" s="51">
        <v>10.67</v>
      </c>
      <c r="F28" s="51">
        <v>3.57</v>
      </c>
      <c r="G28" s="51">
        <v>112.19</v>
      </c>
      <c r="H28" s="51">
        <v>45.38</v>
      </c>
      <c r="I28" s="51">
        <v>7.02</v>
      </c>
      <c r="J28" s="51">
        <v>0.18</v>
      </c>
      <c r="K28" s="51">
        <v>206.13</v>
      </c>
      <c r="L28" s="51">
        <v>26.21</v>
      </c>
      <c r="M28" s="51">
        <v>91.77</v>
      </c>
      <c r="N28" s="51">
        <v>2.1</v>
      </c>
      <c r="O28" s="51">
        <v>0</v>
      </c>
      <c r="P28" s="51">
        <v>0.78</v>
      </c>
      <c r="Q28" s="51">
        <v>4.66</v>
      </c>
    </row>
    <row r="29" spans="1:17" customFormat="1">
      <c r="A29" s="50">
        <v>45585.875</v>
      </c>
      <c r="B29" s="51">
        <v>9.17</v>
      </c>
      <c r="C29" s="51">
        <v>4.25</v>
      </c>
      <c r="D29" s="51">
        <v>14</v>
      </c>
      <c r="E29" s="51">
        <v>10.5</v>
      </c>
      <c r="F29" s="51">
        <v>3.61</v>
      </c>
      <c r="G29" s="51">
        <v>112.75</v>
      </c>
      <c r="H29" s="51">
        <v>45.38</v>
      </c>
      <c r="I29" s="51">
        <v>7.37</v>
      </c>
      <c r="J29" s="51">
        <v>0.17</v>
      </c>
      <c r="K29" s="51">
        <v>221.18</v>
      </c>
      <c r="L29" s="51">
        <v>25.49</v>
      </c>
      <c r="M29" s="51">
        <v>90.4</v>
      </c>
      <c r="N29" s="51">
        <v>2.1</v>
      </c>
      <c r="O29" s="51">
        <v>0</v>
      </c>
      <c r="P29" s="51">
        <v>0.78</v>
      </c>
      <c r="Q29" s="51">
        <v>4.67</v>
      </c>
    </row>
    <row r="30" spans="1:17" customFormat="1">
      <c r="A30" s="50">
        <v>45585.916666666664</v>
      </c>
      <c r="B30" s="51">
        <v>9.14</v>
      </c>
      <c r="C30" s="51">
        <v>4.26</v>
      </c>
      <c r="D30" s="51">
        <v>14</v>
      </c>
      <c r="E30" s="51">
        <v>10.92</v>
      </c>
      <c r="F30" s="51">
        <v>3.4</v>
      </c>
      <c r="G30" s="51">
        <v>100.93</v>
      </c>
      <c r="H30" s="51">
        <v>45.2</v>
      </c>
      <c r="I30" s="51">
        <v>7.8</v>
      </c>
      <c r="J30" s="51">
        <v>0.16</v>
      </c>
      <c r="K30" s="51">
        <v>237.22</v>
      </c>
      <c r="L30" s="51">
        <v>25.53</v>
      </c>
      <c r="M30" s="51">
        <v>90.57</v>
      </c>
      <c r="N30" s="51">
        <v>2.1</v>
      </c>
      <c r="O30" s="51">
        <v>0</v>
      </c>
      <c r="P30" s="51">
        <v>0.77</v>
      </c>
      <c r="Q30" s="51">
        <v>4.6900000000000004</v>
      </c>
    </row>
    <row r="31" spans="1:17" customFormat="1">
      <c r="A31" s="50">
        <v>45585.958333333336</v>
      </c>
      <c r="B31" s="51">
        <v>9.1300000000000008</v>
      </c>
      <c r="C31" s="51">
        <v>4.3499999999999996</v>
      </c>
      <c r="D31" s="51">
        <v>14</v>
      </c>
      <c r="E31" s="51">
        <v>10.9</v>
      </c>
      <c r="F31" s="51">
        <v>4.0199999999999996</v>
      </c>
      <c r="G31" s="51">
        <v>98.22</v>
      </c>
      <c r="H31" s="51">
        <v>43.39</v>
      </c>
      <c r="I31" s="51">
        <v>7.63</v>
      </c>
      <c r="J31" s="51">
        <v>0.15</v>
      </c>
      <c r="K31" s="51">
        <v>191.4</v>
      </c>
      <c r="L31" s="51">
        <v>25.56</v>
      </c>
      <c r="M31" s="51">
        <v>91.25</v>
      </c>
      <c r="N31" s="51">
        <v>2.1</v>
      </c>
      <c r="O31" s="51">
        <v>0</v>
      </c>
      <c r="P31" s="51">
        <v>0.78</v>
      </c>
      <c r="Q31" s="51">
        <v>4.66</v>
      </c>
    </row>
    <row r="32" spans="1:17" customFormat="1">
      <c r="A32" s="50">
        <v>45586</v>
      </c>
      <c r="B32" s="51">
        <v>9.1</v>
      </c>
      <c r="C32" s="51">
        <v>4.3499999999999996</v>
      </c>
      <c r="D32" s="51">
        <v>14</v>
      </c>
      <c r="E32" s="51">
        <v>9.8699999999999992</v>
      </c>
      <c r="F32" s="51">
        <v>4.1100000000000003</v>
      </c>
      <c r="G32" s="51">
        <v>79.650000000000006</v>
      </c>
      <c r="H32" s="51">
        <v>35.97</v>
      </c>
      <c r="I32" s="51">
        <v>7.64</v>
      </c>
      <c r="J32" s="51">
        <v>0.1</v>
      </c>
      <c r="K32" s="51">
        <v>232.18</v>
      </c>
      <c r="L32" s="51">
        <v>25.5</v>
      </c>
      <c r="M32" s="51">
        <v>90.82</v>
      </c>
      <c r="N32" s="51">
        <v>2.1</v>
      </c>
      <c r="O32" s="51">
        <v>0</v>
      </c>
      <c r="P32" s="51">
        <v>0.76</v>
      </c>
      <c r="Q32" s="51">
        <v>4.6500000000000004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9.1</v>
      </c>
      <c r="C34" s="41">
        <f t="shared" si="0"/>
        <v>4.09</v>
      </c>
      <c r="D34" s="41">
        <f t="shared" si="0"/>
        <v>14</v>
      </c>
      <c r="E34" s="41">
        <f t="shared" si="0"/>
        <v>9.8699999999999992</v>
      </c>
      <c r="F34" s="41">
        <f t="shared" si="0"/>
        <v>3.32</v>
      </c>
      <c r="G34" s="41">
        <f t="shared" si="0"/>
        <v>24.63</v>
      </c>
      <c r="H34" s="41">
        <f t="shared" si="0"/>
        <v>8.43</v>
      </c>
      <c r="I34" s="41">
        <f t="shared" si="0"/>
        <v>4.79</v>
      </c>
      <c r="J34" s="41">
        <f t="shared" si="0"/>
        <v>0.1</v>
      </c>
      <c r="K34" s="41">
        <f t="shared" si="0"/>
        <v>59.65</v>
      </c>
      <c r="L34" s="41">
        <f t="shared" si="0"/>
        <v>24.56</v>
      </c>
      <c r="M34" s="41">
        <f t="shared" si="0"/>
        <v>63.54</v>
      </c>
      <c r="N34" s="41">
        <f t="shared" si="0"/>
        <v>2.1</v>
      </c>
      <c r="O34" s="41">
        <f t="shared" si="0"/>
        <v>0</v>
      </c>
      <c r="P34" s="41">
        <f t="shared" si="0"/>
        <v>0.33</v>
      </c>
      <c r="Q34" s="41">
        <f t="shared" si="0"/>
        <v>4.6399999999999997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9.2899999999999991</v>
      </c>
      <c r="C35" s="33">
        <f t="shared" si="1"/>
        <v>4.3499999999999996</v>
      </c>
      <c r="D35" s="33">
        <f t="shared" si="1"/>
        <v>14.02</v>
      </c>
      <c r="E35" s="33">
        <f t="shared" si="1"/>
        <v>17.36</v>
      </c>
      <c r="F35" s="33">
        <f t="shared" si="1"/>
        <v>10.98</v>
      </c>
      <c r="G35" s="33">
        <f t="shared" si="1"/>
        <v>112.75</v>
      </c>
      <c r="H35" s="33">
        <f t="shared" si="1"/>
        <v>45.38</v>
      </c>
      <c r="I35" s="33">
        <f t="shared" si="1"/>
        <v>7.8</v>
      </c>
      <c r="J35" s="33">
        <f t="shared" si="1"/>
        <v>0.86</v>
      </c>
      <c r="K35" s="33">
        <f t="shared" si="1"/>
        <v>237.22</v>
      </c>
      <c r="L35" s="33">
        <f t="shared" si="1"/>
        <v>32</v>
      </c>
      <c r="M35" s="33">
        <f t="shared" si="1"/>
        <v>91.77</v>
      </c>
      <c r="N35" s="33">
        <f t="shared" si="1"/>
        <v>381.3</v>
      </c>
      <c r="O35" s="33">
        <f t="shared" si="1"/>
        <v>0</v>
      </c>
      <c r="P35" s="33">
        <f t="shared" si="1"/>
        <v>0.78</v>
      </c>
      <c r="Q35" s="33">
        <f t="shared" si="1"/>
        <v>4.6900000000000004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9.2008333333333301</v>
      </c>
      <c r="C36" s="41">
        <f t="shared" si="2"/>
        <v>4.2025000000000006</v>
      </c>
      <c r="D36" s="41">
        <f t="shared" si="2"/>
        <v>14.001249999999999</v>
      </c>
      <c r="E36" s="41">
        <f t="shared" si="2"/>
        <v>12.347083333333332</v>
      </c>
      <c r="F36" s="41">
        <f t="shared" si="2"/>
        <v>4.8633333333333333</v>
      </c>
      <c r="G36" s="41">
        <f t="shared" si="2"/>
        <v>71.612916666666678</v>
      </c>
      <c r="H36" s="41">
        <f t="shared" si="2"/>
        <v>27.707500000000007</v>
      </c>
      <c r="I36" s="41">
        <f t="shared" si="2"/>
        <v>6.0908333333333333</v>
      </c>
      <c r="J36" s="41">
        <f t="shared" si="2"/>
        <v>0.29666666666666669</v>
      </c>
      <c r="K36" s="41">
        <f t="shared" si="2"/>
        <v>178.68916666666667</v>
      </c>
      <c r="L36" s="41">
        <f t="shared" si="2"/>
        <v>27.24</v>
      </c>
      <c r="M36" s="41">
        <f t="shared" si="2"/>
        <v>81.309583333333322</v>
      </c>
      <c r="N36" s="41">
        <f t="shared" si="2"/>
        <v>90.549999999999969</v>
      </c>
      <c r="O36" s="41">
        <f t="shared" si="2"/>
        <v>0</v>
      </c>
      <c r="P36" s="41">
        <f t="shared" si="2"/>
        <v>0.53916666666666668</v>
      </c>
      <c r="Q36" s="41">
        <f t="shared" si="2"/>
        <v>4.6612499999999999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4.6242899964226307E-2</v>
      </c>
      <c r="C37" s="41">
        <f t="shared" ref="C37:Q37" si="3">STDEV(C9:C32)</f>
        <v>7.3321804100275473E-2</v>
      </c>
      <c r="D37" s="41">
        <f t="shared" si="3"/>
        <v>4.4842720314643113E-3</v>
      </c>
      <c r="E37" s="41">
        <f t="shared" si="3"/>
        <v>2.1433283324259271</v>
      </c>
      <c r="F37" s="41">
        <f t="shared" si="3"/>
        <v>2.1533364741754815</v>
      </c>
      <c r="G37" s="41">
        <f t="shared" si="3"/>
        <v>28.690184274972559</v>
      </c>
      <c r="H37" s="41">
        <f t="shared" si="3"/>
        <v>13.322733186745772</v>
      </c>
      <c r="I37" s="41">
        <f t="shared" si="3"/>
        <v>0.91646730374878949</v>
      </c>
      <c r="J37" s="41">
        <f t="shared" si="3"/>
        <v>0.19822399860558843</v>
      </c>
      <c r="K37" s="41">
        <f t="shared" si="3"/>
        <v>59.349281810728527</v>
      </c>
      <c r="L37" s="41">
        <f t="shared" si="3"/>
        <v>2.5760299755209863</v>
      </c>
      <c r="M37" s="41">
        <f t="shared" si="3"/>
        <v>10.566378376376353</v>
      </c>
      <c r="N37" s="41">
        <f t="shared" si="3"/>
        <v>132.14851987195254</v>
      </c>
      <c r="O37" s="41">
        <f t="shared" si="3"/>
        <v>0</v>
      </c>
      <c r="P37" s="41">
        <f t="shared" si="3"/>
        <v>0.16539587994097474</v>
      </c>
      <c r="Q37" s="41">
        <f t="shared" si="3"/>
        <v>1.0759222535351613E-2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27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45586.041666666664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>
        <v>45586.041666666664</v>
      </c>
      <c r="B9" s="51">
        <v>9.49</v>
      </c>
      <c r="C9" s="51">
        <v>4.08</v>
      </c>
      <c r="D9" s="51">
        <v>14.19</v>
      </c>
      <c r="E9" s="51">
        <v>9.5299999999999994</v>
      </c>
      <c r="F9" s="51">
        <v>3.58</v>
      </c>
      <c r="G9" s="51">
        <v>78.459999999999994</v>
      </c>
      <c r="H9" s="51">
        <v>31.66</v>
      </c>
      <c r="I9" s="51">
        <v>7.62</v>
      </c>
      <c r="J9" s="51">
        <v>0.38</v>
      </c>
      <c r="K9" s="51">
        <v>183.84</v>
      </c>
      <c r="L9" s="51">
        <v>25.67</v>
      </c>
      <c r="M9" s="51">
        <v>89.02</v>
      </c>
      <c r="N9" s="51">
        <v>2.5</v>
      </c>
      <c r="O9" s="51">
        <v>0</v>
      </c>
      <c r="P9" s="51">
        <v>0.74</v>
      </c>
      <c r="Q9" s="51">
        <v>4.67</v>
      </c>
    </row>
    <row r="10" spans="1:21" customFormat="1">
      <c r="A10" s="50">
        <v>45586.083333333336</v>
      </c>
      <c r="B10" s="51">
        <v>9.4600000000000009</v>
      </c>
      <c r="C10" s="51">
        <v>4.1100000000000003</v>
      </c>
      <c r="D10" s="51">
        <v>14.18</v>
      </c>
      <c r="E10" s="51">
        <v>9.99</v>
      </c>
      <c r="F10" s="51">
        <v>3.43</v>
      </c>
      <c r="G10" s="51">
        <v>93.89</v>
      </c>
      <c r="H10" s="51">
        <v>32.479999999999997</v>
      </c>
      <c r="I10" s="51">
        <v>7.9</v>
      </c>
      <c r="J10" s="51">
        <v>0.43</v>
      </c>
      <c r="K10" s="51">
        <v>55.68</v>
      </c>
      <c r="L10" s="51">
        <v>25.01</v>
      </c>
      <c r="M10" s="51">
        <v>85.01</v>
      </c>
      <c r="N10" s="51">
        <v>2.5</v>
      </c>
      <c r="O10" s="51">
        <v>0</v>
      </c>
      <c r="P10" s="51">
        <v>0.75</v>
      </c>
      <c r="Q10" s="51">
        <v>4.66</v>
      </c>
    </row>
    <row r="11" spans="1:21" customFormat="1">
      <c r="A11" s="50">
        <v>45586.125</v>
      </c>
      <c r="B11" s="51">
        <v>9.4499999999999993</v>
      </c>
      <c r="C11" s="51">
        <v>4.09</v>
      </c>
      <c r="D11" s="51">
        <v>14.16</v>
      </c>
      <c r="E11" s="51">
        <v>11.32</v>
      </c>
      <c r="F11" s="51">
        <v>3.47</v>
      </c>
      <c r="G11" s="51">
        <v>100.14</v>
      </c>
      <c r="H11" s="51">
        <v>35.21</v>
      </c>
      <c r="I11" s="51">
        <v>7.98</v>
      </c>
      <c r="J11" s="51">
        <v>0.19</v>
      </c>
      <c r="K11" s="51">
        <v>208.9</v>
      </c>
      <c r="L11" s="51">
        <v>25.16</v>
      </c>
      <c r="M11" s="51">
        <v>86.78</v>
      </c>
      <c r="N11" s="51">
        <v>2.1</v>
      </c>
      <c r="O11" s="51">
        <v>0</v>
      </c>
      <c r="P11" s="51">
        <v>0.75</v>
      </c>
      <c r="Q11" s="51">
        <v>4.67</v>
      </c>
    </row>
    <row r="12" spans="1:21" customFormat="1">
      <c r="A12" s="50">
        <v>45586.166666666664</v>
      </c>
      <c r="B12" s="51">
        <v>9.44</v>
      </c>
      <c r="C12" s="51">
        <v>4.1100000000000003</v>
      </c>
      <c r="D12" s="51">
        <v>14.16</v>
      </c>
      <c r="E12" s="51">
        <v>11.59</v>
      </c>
      <c r="F12" s="51">
        <v>3.54</v>
      </c>
      <c r="G12" s="51">
        <v>100.78</v>
      </c>
      <c r="H12" s="51">
        <v>39.049999999999997</v>
      </c>
      <c r="I12" s="51">
        <v>8.07</v>
      </c>
      <c r="J12" s="51">
        <v>0.44</v>
      </c>
      <c r="K12" s="51">
        <v>212.25</v>
      </c>
      <c r="L12" s="51">
        <v>25.2</v>
      </c>
      <c r="M12" s="51">
        <v>84.77</v>
      </c>
      <c r="N12" s="51">
        <v>2.2999999999999998</v>
      </c>
      <c r="O12" s="51">
        <v>0</v>
      </c>
      <c r="P12" s="51">
        <v>0.75</v>
      </c>
      <c r="Q12" s="51">
        <v>4.67</v>
      </c>
    </row>
    <row r="13" spans="1:21" customFormat="1">
      <c r="A13" s="50">
        <v>45586.208333333336</v>
      </c>
      <c r="B13" s="51">
        <v>9.44</v>
      </c>
      <c r="C13" s="51">
        <v>4.09</v>
      </c>
      <c r="D13" s="51">
        <v>14.15</v>
      </c>
      <c r="E13" s="51">
        <v>11.67</v>
      </c>
      <c r="F13" s="51">
        <v>3.58</v>
      </c>
      <c r="G13" s="51">
        <v>97.58</v>
      </c>
      <c r="H13" s="51">
        <v>40.78</v>
      </c>
      <c r="I13" s="51">
        <v>8.1</v>
      </c>
      <c r="J13" s="51">
        <v>0.16</v>
      </c>
      <c r="K13" s="51">
        <v>195.75</v>
      </c>
      <c r="L13" s="51">
        <v>25.02</v>
      </c>
      <c r="M13" s="51">
        <v>86.15</v>
      </c>
      <c r="N13" s="51">
        <v>2.2999999999999998</v>
      </c>
      <c r="O13" s="51">
        <v>0</v>
      </c>
      <c r="P13" s="51">
        <v>0.75</v>
      </c>
      <c r="Q13" s="51">
        <v>4.66</v>
      </c>
    </row>
    <row r="14" spans="1:21" customFormat="1">
      <c r="A14" s="50">
        <v>45586.25</v>
      </c>
      <c r="B14" s="51">
        <v>9.44</v>
      </c>
      <c r="C14" s="51">
        <v>4.0999999999999996</v>
      </c>
      <c r="D14" s="51">
        <v>14.15</v>
      </c>
      <c r="E14" s="51">
        <v>11.54</v>
      </c>
      <c r="F14" s="51">
        <v>3.82</v>
      </c>
      <c r="G14" s="51">
        <v>98.53</v>
      </c>
      <c r="H14" s="51">
        <v>41.56</v>
      </c>
      <c r="I14" s="51">
        <v>8.4</v>
      </c>
      <c r="J14" s="51">
        <v>0.2</v>
      </c>
      <c r="K14" s="51">
        <v>191.19</v>
      </c>
      <c r="L14" s="51">
        <v>24.93</v>
      </c>
      <c r="M14" s="51">
        <v>92.13</v>
      </c>
      <c r="N14" s="51">
        <v>2.9</v>
      </c>
      <c r="O14" s="51">
        <v>0</v>
      </c>
      <c r="P14" s="51">
        <v>0.77</v>
      </c>
      <c r="Q14" s="51">
        <v>4.6500000000000004</v>
      </c>
    </row>
    <row r="15" spans="1:21" customFormat="1">
      <c r="A15" s="50">
        <v>45586.291666666664</v>
      </c>
      <c r="B15" s="51">
        <v>9.4499999999999993</v>
      </c>
      <c r="C15" s="51">
        <v>4.09</v>
      </c>
      <c r="D15" s="51">
        <v>14.14</v>
      </c>
      <c r="E15" s="51">
        <v>10.8</v>
      </c>
      <c r="F15" s="51">
        <v>3.84</v>
      </c>
      <c r="G15" s="51">
        <v>102.19</v>
      </c>
      <c r="H15" s="51">
        <v>43.22</v>
      </c>
      <c r="I15" s="51">
        <v>8.75</v>
      </c>
      <c r="J15" s="51">
        <v>0.15</v>
      </c>
      <c r="K15" s="51">
        <v>203.74</v>
      </c>
      <c r="L15" s="51">
        <v>25.07</v>
      </c>
      <c r="M15" s="51">
        <v>93.4</v>
      </c>
      <c r="N15" s="51">
        <v>29.9</v>
      </c>
      <c r="O15" s="51">
        <v>0</v>
      </c>
      <c r="P15" s="51">
        <v>0.78</v>
      </c>
      <c r="Q15" s="51">
        <v>4.66</v>
      </c>
    </row>
    <row r="16" spans="1:21" customFormat="1">
      <c r="A16" s="50">
        <v>45586.333333333336</v>
      </c>
      <c r="B16" s="51">
        <v>9.41</v>
      </c>
      <c r="C16" s="51">
        <v>4.0999999999999996</v>
      </c>
      <c r="D16" s="51">
        <v>14.13</v>
      </c>
      <c r="E16" s="51">
        <v>10.199999999999999</v>
      </c>
      <c r="F16" s="51">
        <v>3.47</v>
      </c>
      <c r="G16" s="51">
        <v>107.36</v>
      </c>
      <c r="H16" s="51">
        <v>43.22</v>
      </c>
      <c r="I16" s="51">
        <v>8.7100000000000009</v>
      </c>
      <c r="J16" s="51">
        <v>0.18</v>
      </c>
      <c r="K16" s="51">
        <v>264.89999999999998</v>
      </c>
      <c r="L16" s="51">
        <v>27.02</v>
      </c>
      <c r="M16" s="51">
        <v>90.84</v>
      </c>
      <c r="N16" s="51">
        <v>74.8</v>
      </c>
      <c r="O16" s="51">
        <v>0</v>
      </c>
      <c r="P16" s="51">
        <v>0.76</v>
      </c>
      <c r="Q16" s="51">
        <v>4.67</v>
      </c>
    </row>
    <row r="17" spans="1:17" customFormat="1">
      <c r="A17" s="50">
        <v>45586.375</v>
      </c>
      <c r="B17" s="51">
        <v>9.44</v>
      </c>
      <c r="C17" s="51">
        <v>4.07</v>
      </c>
      <c r="D17" s="51">
        <v>14.14</v>
      </c>
      <c r="E17" s="51">
        <v>11.06</v>
      </c>
      <c r="F17" s="51">
        <v>4.1500000000000004</v>
      </c>
      <c r="G17" s="51">
        <v>112.15</v>
      </c>
      <c r="H17" s="51">
        <v>46.18</v>
      </c>
      <c r="I17" s="51">
        <v>8.66</v>
      </c>
      <c r="J17" s="51">
        <v>0.38</v>
      </c>
      <c r="K17" s="51">
        <v>285.74</v>
      </c>
      <c r="L17" s="51">
        <v>28.55</v>
      </c>
      <c r="M17" s="51">
        <v>83.33</v>
      </c>
      <c r="N17" s="51">
        <v>199.2</v>
      </c>
      <c r="O17" s="51">
        <v>0</v>
      </c>
      <c r="P17" s="51">
        <v>0.77</v>
      </c>
      <c r="Q17" s="51">
        <v>4.67</v>
      </c>
    </row>
    <row r="18" spans="1:17" customFormat="1">
      <c r="A18" s="50">
        <v>45586.416666666664</v>
      </c>
      <c r="B18" s="51">
        <v>9.4499999999999993</v>
      </c>
      <c r="C18" s="51">
        <v>4.0999999999999996</v>
      </c>
      <c r="D18" s="51">
        <v>14.16</v>
      </c>
      <c r="E18" s="51">
        <v>11.82</v>
      </c>
      <c r="F18" s="51">
        <v>7.09</v>
      </c>
      <c r="G18" s="51">
        <v>117.76</v>
      </c>
      <c r="H18" s="51">
        <v>52.6</v>
      </c>
      <c r="I18" s="51">
        <v>9.02</v>
      </c>
      <c r="J18" s="51">
        <v>0.46</v>
      </c>
      <c r="K18" s="51">
        <v>64.44</v>
      </c>
      <c r="L18" s="51">
        <v>30.39</v>
      </c>
      <c r="M18" s="51">
        <v>72.62</v>
      </c>
      <c r="N18" s="51">
        <v>199.9</v>
      </c>
      <c r="O18" s="51">
        <v>0</v>
      </c>
      <c r="P18" s="51">
        <v>0.8</v>
      </c>
      <c r="Q18" s="51">
        <v>4.68</v>
      </c>
    </row>
    <row r="19" spans="1:17" customFormat="1">
      <c r="A19" s="50">
        <v>45586.458333333336</v>
      </c>
      <c r="B19" s="51">
        <v>9.48</v>
      </c>
      <c r="C19" s="51">
        <v>4.08</v>
      </c>
      <c r="D19" s="51">
        <v>14.17</v>
      </c>
      <c r="E19" s="51">
        <v>13.07</v>
      </c>
      <c r="F19" s="51">
        <v>11.63</v>
      </c>
      <c r="G19" s="51">
        <v>118.66</v>
      </c>
      <c r="H19" s="51">
        <v>52.6</v>
      </c>
      <c r="I19" s="51">
        <v>8.84</v>
      </c>
      <c r="J19" s="51">
        <v>0.49</v>
      </c>
      <c r="K19" s="51">
        <v>63.59</v>
      </c>
      <c r="L19" s="51">
        <v>30.71</v>
      </c>
      <c r="M19" s="51">
        <v>68.67</v>
      </c>
      <c r="N19" s="51">
        <v>313.10000000000002</v>
      </c>
      <c r="O19" s="51">
        <v>0</v>
      </c>
      <c r="P19" s="51">
        <v>0.79</v>
      </c>
      <c r="Q19" s="51">
        <v>4.66</v>
      </c>
    </row>
    <row r="20" spans="1:17" customFormat="1">
      <c r="A20" s="50">
        <v>45586.5</v>
      </c>
      <c r="B20" s="51">
        <v>9.49</v>
      </c>
      <c r="C20" s="51">
        <v>4.0999999999999996</v>
      </c>
      <c r="D20" s="51">
        <v>14.18</v>
      </c>
      <c r="E20" s="51">
        <v>12.48</v>
      </c>
      <c r="F20" s="51">
        <v>7.36</v>
      </c>
      <c r="G20" s="51">
        <v>117.02</v>
      </c>
      <c r="H20" s="51">
        <v>52.18</v>
      </c>
      <c r="I20" s="51">
        <v>8.58</v>
      </c>
      <c r="J20" s="51">
        <v>0.45</v>
      </c>
      <c r="K20" s="51">
        <v>141.5</v>
      </c>
      <c r="L20" s="51">
        <v>31.78</v>
      </c>
      <c r="M20" s="51">
        <v>65.27</v>
      </c>
      <c r="N20" s="51">
        <v>344.1</v>
      </c>
      <c r="O20" s="51">
        <v>0</v>
      </c>
      <c r="P20" s="51">
        <v>0.81</v>
      </c>
      <c r="Q20" s="51">
        <v>4.6500000000000004</v>
      </c>
    </row>
    <row r="21" spans="1:17" customFormat="1">
      <c r="A21" s="50">
        <v>45586.541666666664</v>
      </c>
      <c r="B21" s="51">
        <v>9.48</v>
      </c>
      <c r="C21" s="51">
        <v>4.09</v>
      </c>
      <c r="D21" s="51">
        <v>14.18</v>
      </c>
      <c r="E21" s="51">
        <v>11.71</v>
      </c>
      <c r="F21" s="51">
        <v>4.91</v>
      </c>
      <c r="G21" s="51">
        <v>110.5</v>
      </c>
      <c r="H21" s="51">
        <v>52.18</v>
      </c>
      <c r="I21" s="51">
        <v>8.5399999999999991</v>
      </c>
      <c r="J21" s="51">
        <v>0.23</v>
      </c>
      <c r="K21" s="51">
        <v>177.82</v>
      </c>
      <c r="L21" s="51">
        <v>31.58</v>
      </c>
      <c r="M21" s="51">
        <v>58.88</v>
      </c>
      <c r="N21" s="51">
        <v>251.7</v>
      </c>
      <c r="O21" s="51">
        <v>0</v>
      </c>
      <c r="P21" s="51">
        <v>0.8</v>
      </c>
      <c r="Q21" s="51">
        <v>4.6399999999999997</v>
      </c>
    </row>
    <row r="22" spans="1:17" customFormat="1">
      <c r="A22" s="50">
        <v>45586.583333333336</v>
      </c>
      <c r="B22" s="51">
        <v>9.5399999999999991</v>
      </c>
      <c r="C22" s="51">
        <v>4.1100000000000003</v>
      </c>
      <c r="D22" s="51">
        <v>14.23</v>
      </c>
      <c r="E22" s="51">
        <v>12.72</v>
      </c>
      <c r="F22" s="51">
        <v>10.78</v>
      </c>
      <c r="G22" s="51">
        <v>98.86</v>
      </c>
      <c r="H22" s="51">
        <v>47.71</v>
      </c>
      <c r="I22" s="51">
        <v>8.15</v>
      </c>
      <c r="J22" s="51">
        <v>0.44</v>
      </c>
      <c r="K22" s="51">
        <v>132.56</v>
      </c>
      <c r="L22" s="51">
        <v>32.39</v>
      </c>
      <c r="M22" s="51">
        <v>57.88</v>
      </c>
      <c r="N22" s="51">
        <v>193.5</v>
      </c>
      <c r="O22" s="51">
        <v>0</v>
      </c>
      <c r="P22" s="51">
        <v>0.78</v>
      </c>
      <c r="Q22" s="51">
        <v>4.68</v>
      </c>
    </row>
    <row r="23" spans="1:17" customFormat="1">
      <c r="A23" s="50">
        <v>45586.625</v>
      </c>
      <c r="B23" s="51">
        <v>9.52</v>
      </c>
      <c r="C23" s="51">
        <v>4.1100000000000003</v>
      </c>
      <c r="D23" s="51">
        <v>14.21</v>
      </c>
      <c r="E23" s="51">
        <v>12.28</v>
      </c>
      <c r="F23" s="51">
        <v>12.43</v>
      </c>
      <c r="G23" s="51">
        <v>92.06</v>
      </c>
      <c r="H23" s="51">
        <v>46.57</v>
      </c>
      <c r="I23" s="51">
        <v>7.59</v>
      </c>
      <c r="J23" s="51">
        <v>0.69</v>
      </c>
      <c r="K23" s="51">
        <v>73.16</v>
      </c>
      <c r="L23" s="51">
        <v>31.39</v>
      </c>
      <c r="M23" s="51">
        <v>58.15</v>
      </c>
      <c r="N23" s="51">
        <v>103.6</v>
      </c>
      <c r="O23" s="51">
        <v>0</v>
      </c>
      <c r="P23" s="51">
        <v>0.66</v>
      </c>
      <c r="Q23" s="51">
        <v>4.66</v>
      </c>
    </row>
    <row r="24" spans="1:17" customFormat="1">
      <c r="A24" s="50">
        <v>45586.666666666664</v>
      </c>
      <c r="B24" s="51">
        <v>9.4499999999999993</v>
      </c>
      <c r="C24" s="51">
        <v>4.09</v>
      </c>
      <c r="D24" s="51">
        <v>14.16</v>
      </c>
      <c r="E24" s="51">
        <v>11.77</v>
      </c>
      <c r="F24" s="51">
        <v>13.92</v>
      </c>
      <c r="G24" s="51">
        <v>92.48</v>
      </c>
      <c r="H24" s="51">
        <v>46.57</v>
      </c>
      <c r="I24" s="51">
        <v>7.14</v>
      </c>
      <c r="J24" s="51">
        <v>0.72</v>
      </c>
      <c r="K24" s="51">
        <v>88.52</v>
      </c>
      <c r="L24" s="51">
        <v>31.11</v>
      </c>
      <c r="M24" s="51">
        <v>59.48</v>
      </c>
      <c r="N24" s="51">
        <v>67</v>
      </c>
      <c r="O24" s="51">
        <v>0</v>
      </c>
      <c r="P24" s="51">
        <v>0.66</v>
      </c>
      <c r="Q24" s="51">
        <v>4.67</v>
      </c>
    </row>
    <row r="25" spans="1:17" customFormat="1">
      <c r="A25" s="50">
        <v>45586.708333333336</v>
      </c>
      <c r="B25" s="51">
        <v>9.44</v>
      </c>
      <c r="C25" s="51">
        <v>4.12</v>
      </c>
      <c r="D25" s="51">
        <v>14.16</v>
      </c>
      <c r="E25" s="51">
        <v>11.77</v>
      </c>
      <c r="F25" s="51">
        <v>11.89</v>
      </c>
      <c r="G25" s="51">
        <v>93.96</v>
      </c>
      <c r="H25" s="51">
        <v>47.21</v>
      </c>
      <c r="I25" s="51">
        <v>6.71</v>
      </c>
      <c r="J25" s="51">
        <v>0.3</v>
      </c>
      <c r="K25" s="51">
        <v>135</v>
      </c>
      <c r="L25" s="51">
        <v>30.55</v>
      </c>
      <c r="M25" s="51">
        <v>66.959999999999994</v>
      </c>
      <c r="N25" s="51">
        <v>28.3</v>
      </c>
      <c r="O25" s="51">
        <v>0</v>
      </c>
      <c r="P25" s="51">
        <v>0.65</v>
      </c>
      <c r="Q25" s="51">
        <v>4.68</v>
      </c>
    </row>
    <row r="26" spans="1:17" customFormat="1">
      <c r="A26" s="50">
        <v>45586.75</v>
      </c>
      <c r="B26" s="51">
        <v>9.44</v>
      </c>
      <c r="C26" s="51">
        <v>4.09</v>
      </c>
      <c r="D26" s="51">
        <v>14.14</v>
      </c>
      <c r="E26" s="51">
        <v>12.08</v>
      </c>
      <c r="F26" s="51">
        <v>9.09</v>
      </c>
      <c r="G26" s="51">
        <v>95.71</v>
      </c>
      <c r="H26" s="51">
        <v>47.21</v>
      </c>
      <c r="I26" s="51">
        <v>6.57</v>
      </c>
      <c r="J26" s="51">
        <v>0.48</v>
      </c>
      <c r="K26" s="51">
        <v>142.81</v>
      </c>
      <c r="L26" s="51">
        <v>29.58</v>
      </c>
      <c r="M26" s="51">
        <v>70.900000000000006</v>
      </c>
      <c r="N26" s="51">
        <v>6</v>
      </c>
      <c r="O26" s="51">
        <v>0</v>
      </c>
      <c r="P26" s="51">
        <v>0.69</v>
      </c>
      <c r="Q26" s="51">
        <v>4.66</v>
      </c>
    </row>
    <row r="27" spans="1:17" customFormat="1">
      <c r="A27" s="50">
        <v>45586.791666666664</v>
      </c>
      <c r="B27" s="51">
        <v>9.51</v>
      </c>
      <c r="C27" s="51">
        <v>4.09</v>
      </c>
      <c r="D27" s="51">
        <v>14.2</v>
      </c>
      <c r="E27" s="51">
        <v>9.6199999999999992</v>
      </c>
      <c r="F27" s="51">
        <v>5.62</v>
      </c>
      <c r="G27" s="51">
        <v>96.75</v>
      </c>
      <c r="H27" s="51">
        <v>46.31</v>
      </c>
      <c r="I27" s="51">
        <v>6.68</v>
      </c>
      <c r="J27" s="51">
        <v>0.52</v>
      </c>
      <c r="K27" s="51">
        <v>92.91</v>
      </c>
      <c r="L27" s="51">
        <v>28.42</v>
      </c>
      <c r="M27" s="51">
        <v>72.22</v>
      </c>
      <c r="N27" s="51">
        <v>2.4</v>
      </c>
      <c r="O27" s="51">
        <v>0</v>
      </c>
      <c r="P27" s="51">
        <v>0.72</v>
      </c>
      <c r="Q27" s="51">
        <v>4.6399999999999997</v>
      </c>
    </row>
    <row r="28" spans="1:17" customFormat="1">
      <c r="A28" s="50">
        <v>45586.833333333336</v>
      </c>
      <c r="B28" s="51">
        <v>9.5399999999999991</v>
      </c>
      <c r="C28" s="51">
        <v>4.08</v>
      </c>
      <c r="D28" s="51">
        <v>14.23</v>
      </c>
      <c r="E28" s="51">
        <v>8.6199999999999992</v>
      </c>
      <c r="F28" s="51">
        <v>6.56</v>
      </c>
      <c r="G28" s="51">
        <v>96.89</v>
      </c>
      <c r="H28" s="51">
        <v>43.15</v>
      </c>
      <c r="I28" s="51">
        <v>7.08</v>
      </c>
      <c r="J28" s="51">
        <v>0.28999999999999998</v>
      </c>
      <c r="K28" s="51">
        <v>173.53</v>
      </c>
      <c r="L28" s="51">
        <v>27.96</v>
      </c>
      <c r="M28" s="51">
        <v>67.88</v>
      </c>
      <c r="N28" s="51">
        <v>2.4</v>
      </c>
      <c r="O28" s="51">
        <v>0</v>
      </c>
      <c r="P28" s="51">
        <v>0.74</v>
      </c>
      <c r="Q28" s="51">
        <v>4.6500000000000004</v>
      </c>
    </row>
    <row r="29" spans="1:17" customFormat="1">
      <c r="A29" s="50">
        <v>45586.875</v>
      </c>
      <c r="B29" s="51">
        <v>9.5399999999999991</v>
      </c>
      <c r="C29" s="51">
        <v>4.09</v>
      </c>
      <c r="D29" s="51">
        <v>14.22</v>
      </c>
      <c r="E29" s="51">
        <v>8.65</v>
      </c>
      <c r="F29" s="51">
        <v>5.3</v>
      </c>
      <c r="G29" s="51">
        <v>94.85</v>
      </c>
      <c r="H29" s="51">
        <v>42.3</v>
      </c>
      <c r="I29" s="51">
        <v>7.04</v>
      </c>
      <c r="J29" s="51">
        <v>0.21</v>
      </c>
      <c r="K29" s="51">
        <v>223.62</v>
      </c>
      <c r="L29" s="51">
        <v>27.01</v>
      </c>
      <c r="M29" s="51">
        <v>78.319999999999993</v>
      </c>
      <c r="N29" s="51">
        <v>2.5</v>
      </c>
      <c r="O29" s="51">
        <v>0</v>
      </c>
      <c r="P29" s="51">
        <v>0.7</v>
      </c>
      <c r="Q29" s="51">
        <v>4.66</v>
      </c>
    </row>
    <row r="30" spans="1:17" customFormat="1">
      <c r="A30" s="50">
        <v>45586.916666666664</v>
      </c>
      <c r="B30" s="51">
        <v>9.51</v>
      </c>
      <c r="C30" s="51">
        <v>4.13</v>
      </c>
      <c r="D30" s="51">
        <v>14.19</v>
      </c>
      <c r="E30" s="51">
        <v>8.5399999999999991</v>
      </c>
      <c r="F30" s="51">
        <v>4.16</v>
      </c>
      <c r="G30" s="51">
        <v>94.95</v>
      </c>
      <c r="H30" s="51">
        <v>41.39</v>
      </c>
      <c r="I30" s="51">
        <v>7.21</v>
      </c>
      <c r="J30" s="51">
        <v>0.21</v>
      </c>
      <c r="K30" s="51">
        <v>210.91</v>
      </c>
      <c r="L30" s="51">
        <v>25.65</v>
      </c>
      <c r="M30" s="51">
        <v>85.58</v>
      </c>
      <c r="N30" s="51">
        <v>2.1</v>
      </c>
      <c r="O30" s="51">
        <v>0</v>
      </c>
      <c r="P30" s="51">
        <v>0.7</v>
      </c>
      <c r="Q30" s="51">
        <v>4.67</v>
      </c>
    </row>
    <row r="31" spans="1:17" customFormat="1">
      <c r="A31" s="50">
        <v>45586.958333333336</v>
      </c>
      <c r="B31" s="51">
        <v>9.51</v>
      </c>
      <c r="C31" s="51">
        <v>4.09</v>
      </c>
      <c r="D31" s="51">
        <v>14.21</v>
      </c>
      <c r="E31" s="51">
        <v>8.7100000000000009</v>
      </c>
      <c r="F31" s="51">
        <v>3.87</v>
      </c>
      <c r="G31" s="51">
        <v>102.11</v>
      </c>
      <c r="H31" s="51">
        <v>41.39</v>
      </c>
      <c r="I31" s="51">
        <v>7.33</v>
      </c>
      <c r="J31" s="51">
        <v>0.18</v>
      </c>
      <c r="K31" s="51">
        <v>224.82</v>
      </c>
      <c r="L31" s="51">
        <v>24.96</v>
      </c>
      <c r="M31" s="51">
        <v>84.67</v>
      </c>
      <c r="N31" s="51">
        <v>2.1</v>
      </c>
      <c r="O31" s="51">
        <v>0</v>
      </c>
      <c r="P31" s="51">
        <v>0.7</v>
      </c>
      <c r="Q31" s="51">
        <v>4.67</v>
      </c>
    </row>
    <row r="32" spans="1:17" customFormat="1">
      <c r="A32" s="50">
        <v>45587</v>
      </c>
      <c r="B32" s="51">
        <v>9.51</v>
      </c>
      <c r="C32" s="51">
        <v>4.08</v>
      </c>
      <c r="D32" s="51">
        <v>14.21</v>
      </c>
      <c r="E32" s="51">
        <v>9.08</v>
      </c>
      <c r="F32" s="51">
        <v>3.76</v>
      </c>
      <c r="G32" s="51">
        <v>105.59</v>
      </c>
      <c r="H32" s="51">
        <v>37.85</v>
      </c>
      <c r="I32" s="51">
        <v>7.29</v>
      </c>
      <c r="J32" s="51">
        <v>0.15</v>
      </c>
      <c r="K32" s="51">
        <v>229.97</v>
      </c>
      <c r="L32" s="51">
        <v>24.29</v>
      </c>
      <c r="M32" s="51">
        <v>88.76</v>
      </c>
      <c r="N32" s="51">
        <v>2.1</v>
      </c>
      <c r="O32" s="51">
        <v>0</v>
      </c>
      <c r="P32" s="51">
        <v>0.68</v>
      </c>
      <c r="Q32" s="51">
        <v>4.67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9.41</v>
      </c>
      <c r="C34" s="41">
        <f t="shared" si="0"/>
        <v>4.07</v>
      </c>
      <c r="D34" s="41">
        <f t="shared" si="0"/>
        <v>14.13</v>
      </c>
      <c r="E34" s="41">
        <f t="shared" si="0"/>
        <v>8.5399999999999991</v>
      </c>
      <c r="F34" s="41">
        <f t="shared" si="0"/>
        <v>3.43</v>
      </c>
      <c r="G34" s="41">
        <f t="shared" si="0"/>
        <v>78.459999999999994</v>
      </c>
      <c r="H34" s="41">
        <f t="shared" si="0"/>
        <v>31.66</v>
      </c>
      <c r="I34" s="41">
        <f t="shared" si="0"/>
        <v>6.57</v>
      </c>
      <c r="J34" s="41">
        <f t="shared" si="0"/>
        <v>0.15</v>
      </c>
      <c r="K34" s="41">
        <f t="shared" si="0"/>
        <v>55.68</v>
      </c>
      <c r="L34" s="41">
        <f t="shared" si="0"/>
        <v>24.29</v>
      </c>
      <c r="M34" s="41">
        <f t="shared" si="0"/>
        <v>57.88</v>
      </c>
      <c r="N34" s="41">
        <f t="shared" si="0"/>
        <v>2.1</v>
      </c>
      <c r="O34" s="41">
        <f t="shared" si="0"/>
        <v>0</v>
      </c>
      <c r="P34" s="41">
        <f t="shared" si="0"/>
        <v>0.65</v>
      </c>
      <c r="Q34" s="41">
        <f t="shared" si="0"/>
        <v>4.6399999999999997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9.5399999999999991</v>
      </c>
      <c r="C35" s="33">
        <f t="shared" si="1"/>
        <v>4.13</v>
      </c>
      <c r="D35" s="33">
        <f t="shared" si="1"/>
        <v>14.23</v>
      </c>
      <c r="E35" s="33">
        <f t="shared" si="1"/>
        <v>13.07</v>
      </c>
      <c r="F35" s="33">
        <f t="shared" si="1"/>
        <v>13.92</v>
      </c>
      <c r="G35" s="33">
        <f t="shared" si="1"/>
        <v>118.66</v>
      </c>
      <c r="H35" s="33">
        <f t="shared" si="1"/>
        <v>52.6</v>
      </c>
      <c r="I35" s="33">
        <f t="shared" si="1"/>
        <v>9.02</v>
      </c>
      <c r="J35" s="33">
        <f t="shared" si="1"/>
        <v>0.72</v>
      </c>
      <c r="K35" s="33">
        <f t="shared" si="1"/>
        <v>285.74</v>
      </c>
      <c r="L35" s="33">
        <f t="shared" si="1"/>
        <v>32.39</v>
      </c>
      <c r="M35" s="33">
        <f t="shared" si="1"/>
        <v>93.4</v>
      </c>
      <c r="N35" s="33">
        <f t="shared" si="1"/>
        <v>344.1</v>
      </c>
      <c r="O35" s="33">
        <f t="shared" si="1"/>
        <v>0</v>
      </c>
      <c r="P35" s="33">
        <f t="shared" si="1"/>
        <v>0.81</v>
      </c>
      <c r="Q35" s="33">
        <f t="shared" si="1"/>
        <v>4.68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9.4762499999999985</v>
      </c>
      <c r="C36" s="41">
        <f t="shared" si="2"/>
        <v>4.0954166666666669</v>
      </c>
      <c r="D36" s="41">
        <f t="shared" si="2"/>
        <v>14.177083333333334</v>
      </c>
      <c r="E36" s="41">
        <f t="shared" si="2"/>
        <v>10.859166666666669</v>
      </c>
      <c r="F36" s="41">
        <f t="shared" si="2"/>
        <v>6.3020833333333348</v>
      </c>
      <c r="G36" s="41">
        <f t="shared" si="2"/>
        <v>100.80125</v>
      </c>
      <c r="H36" s="41">
        <f t="shared" si="2"/>
        <v>43.774166666666673</v>
      </c>
      <c r="I36" s="41">
        <f t="shared" si="2"/>
        <v>7.831666666666667</v>
      </c>
      <c r="J36" s="41">
        <f t="shared" si="2"/>
        <v>0.34708333333333341</v>
      </c>
      <c r="K36" s="41">
        <f t="shared" si="2"/>
        <v>165.71458333333331</v>
      </c>
      <c r="L36" s="41">
        <f t="shared" si="2"/>
        <v>27.891666666666666</v>
      </c>
      <c r="M36" s="41">
        <f t="shared" si="2"/>
        <v>76.986250000000027</v>
      </c>
      <c r="N36" s="41">
        <f t="shared" si="2"/>
        <v>76.637499999999989</v>
      </c>
      <c r="O36" s="41">
        <f t="shared" si="2"/>
        <v>0</v>
      </c>
      <c r="P36" s="41">
        <f t="shared" si="2"/>
        <v>0.73749999999999993</v>
      </c>
      <c r="Q36" s="41">
        <f t="shared" si="2"/>
        <v>4.663333333333334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3.8652577393110947E-2</v>
      </c>
      <c r="C37" s="41">
        <f t="shared" ref="C37:Q37" si="3">STDEV(C9:C32)</f>
        <v>1.4135729219948672E-2</v>
      </c>
      <c r="D37" s="41">
        <f t="shared" si="3"/>
        <v>3.0141574158521027E-2</v>
      </c>
      <c r="E37" s="41">
        <f t="shared" si="3"/>
        <v>1.4333570102526831</v>
      </c>
      <c r="F37" s="41">
        <f t="shared" si="3"/>
        <v>3.4185694683807291</v>
      </c>
      <c r="G37" s="41">
        <f t="shared" si="3"/>
        <v>9.437233987036997</v>
      </c>
      <c r="H37" s="41">
        <f t="shared" si="3"/>
        <v>5.8886109063000829</v>
      </c>
      <c r="I37" s="41">
        <f t="shared" si="3"/>
        <v>0.75907647931501865</v>
      </c>
      <c r="J37" s="41">
        <f t="shared" si="3"/>
        <v>0.16757812368036523</v>
      </c>
      <c r="K37" s="41">
        <f t="shared" si="3"/>
        <v>66.135063973472995</v>
      </c>
      <c r="L37" s="41">
        <f t="shared" si="3"/>
        <v>2.7774600011468737</v>
      </c>
      <c r="M37" s="41">
        <f t="shared" si="3"/>
        <v>11.935950013190714</v>
      </c>
      <c r="N37" s="41">
        <f t="shared" si="3"/>
        <v>110.04498215650766</v>
      </c>
      <c r="O37" s="41">
        <f t="shared" si="3"/>
        <v>0</v>
      </c>
      <c r="P37" s="41">
        <f t="shared" si="3"/>
        <v>4.7753898088102341E-2</v>
      </c>
      <c r="Q37" s="41">
        <f t="shared" si="3"/>
        <v>1.1293194051465515E-2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27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45587.041666666664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>
        <v>45587.041666666664</v>
      </c>
      <c r="B9" s="51">
        <v>9.34</v>
      </c>
      <c r="C9" s="51">
        <v>4.1399999999999997</v>
      </c>
      <c r="D9" s="51">
        <v>14.08</v>
      </c>
      <c r="E9" s="51">
        <v>9.3000000000000007</v>
      </c>
      <c r="F9" s="51">
        <v>3.86</v>
      </c>
      <c r="G9" s="51">
        <v>105.99</v>
      </c>
      <c r="H9" s="51">
        <v>32.76</v>
      </c>
      <c r="I9" s="51">
        <v>7.19</v>
      </c>
      <c r="J9" s="51">
        <v>0.19</v>
      </c>
      <c r="K9" s="51">
        <v>233.39</v>
      </c>
      <c r="L9" s="51">
        <v>23.93</v>
      </c>
      <c r="M9" s="51">
        <v>90.02</v>
      </c>
      <c r="N9" s="51">
        <v>2</v>
      </c>
      <c r="O9" s="51">
        <v>0</v>
      </c>
      <c r="P9" s="51">
        <v>0.68</v>
      </c>
      <c r="Q9" s="51">
        <v>4.66</v>
      </c>
    </row>
    <row r="10" spans="1:21" customFormat="1">
      <c r="A10" s="50">
        <v>45587.083333333336</v>
      </c>
      <c r="B10" s="51">
        <v>9.34</v>
      </c>
      <c r="C10" s="51">
        <v>4.0999999999999996</v>
      </c>
      <c r="D10" s="51">
        <v>14.09</v>
      </c>
      <c r="E10" s="51">
        <v>8.56</v>
      </c>
      <c r="F10" s="51">
        <v>3.83</v>
      </c>
      <c r="G10" s="51">
        <v>102.96</v>
      </c>
      <c r="H10" s="51">
        <v>27.94</v>
      </c>
      <c r="I10" s="51">
        <v>7.29</v>
      </c>
      <c r="J10" s="51">
        <v>0.14000000000000001</v>
      </c>
      <c r="K10" s="51">
        <v>232.48</v>
      </c>
      <c r="L10" s="51">
        <v>23.48</v>
      </c>
      <c r="M10" s="51">
        <v>92.88</v>
      </c>
      <c r="N10" s="51">
        <v>2.1</v>
      </c>
      <c r="O10" s="51">
        <v>0</v>
      </c>
      <c r="P10" s="51">
        <v>0.67</v>
      </c>
      <c r="Q10" s="51">
        <v>4.6500000000000004</v>
      </c>
    </row>
    <row r="11" spans="1:21" customFormat="1">
      <c r="A11" s="50">
        <v>45587.125</v>
      </c>
      <c r="B11" s="51">
        <v>9.2799999999999994</v>
      </c>
      <c r="C11" s="51">
        <v>4.1100000000000003</v>
      </c>
      <c r="D11" s="51">
        <v>14</v>
      </c>
      <c r="E11" s="51">
        <v>10.83</v>
      </c>
      <c r="F11" s="51">
        <v>3.67</v>
      </c>
      <c r="G11" s="51">
        <v>102.53</v>
      </c>
      <c r="H11" s="51">
        <v>29.07</v>
      </c>
      <c r="I11" s="51">
        <v>7.04</v>
      </c>
      <c r="J11" s="51">
        <v>0.12</v>
      </c>
      <c r="K11" s="51">
        <v>192.08</v>
      </c>
      <c r="L11" s="51">
        <v>23.58</v>
      </c>
      <c r="M11" s="51">
        <v>91.78</v>
      </c>
      <c r="N11" s="51">
        <v>1.9</v>
      </c>
      <c r="O11" s="51">
        <v>0</v>
      </c>
      <c r="P11" s="51">
        <v>0.66</v>
      </c>
      <c r="Q11" s="51">
        <v>4.6500000000000004</v>
      </c>
    </row>
    <row r="12" spans="1:21" customFormat="1">
      <c r="A12" s="50">
        <v>45587.166666666664</v>
      </c>
      <c r="B12" s="51">
        <v>9.3000000000000007</v>
      </c>
      <c r="C12" s="51">
        <v>4.09</v>
      </c>
      <c r="D12" s="51">
        <v>14.02</v>
      </c>
      <c r="E12" s="51">
        <v>11.16</v>
      </c>
      <c r="F12" s="51">
        <v>3.33</v>
      </c>
      <c r="G12" s="51">
        <v>104.05</v>
      </c>
      <c r="H12" s="51">
        <v>32.26</v>
      </c>
      <c r="I12" s="51">
        <v>7.13</v>
      </c>
      <c r="J12" s="51">
        <v>0.39</v>
      </c>
      <c r="K12" s="51">
        <v>62.53</v>
      </c>
      <c r="L12" s="51">
        <v>23.57</v>
      </c>
      <c r="M12" s="51">
        <v>89.36</v>
      </c>
      <c r="N12" s="51">
        <v>2.1</v>
      </c>
      <c r="O12" s="51">
        <v>0</v>
      </c>
      <c r="P12" s="51">
        <v>0.64</v>
      </c>
      <c r="Q12" s="51">
        <v>4.66</v>
      </c>
    </row>
    <row r="13" spans="1:21" customFormat="1">
      <c r="A13" s="50">
        <v>45587.208333333336</v>
      </c>
      <c r="B13" s="51">
        <v>9.2799999999999994</v>
      </c>
      <c r="C13" s="51">
        <v>4.07</v>
      </c>
      <c r="D13" s="51">
        <v>14.01</v>
      </c>
      <c r="E13" s="51">
        <v>11.23</v>
      </c>
      <c r="F13" s="51">
        <v>3.48</v>
      </c>
      <c r="G13" s="51">
        <v>106.01</v>
      </c>
      <c r="H13" s="51">
        <v>32.6</v>
      </c>
      <c r="I13" s="51">
        <v>7.08</v>
      </c>
      <c r="J13" s="51">
        <v>0.28999999999999998</v>
      </c>
      <c r="K13" s="51">
        <v>55.35</v>
      </c>
      <c r="L13" s="51">
        <v>23.24</v>
      </c>
      <c r="M13" s="51">
        <v>88.84</v>
      </c>
      <c r="N13" s="51">
        <v>2.1</v>
      </c>
      <c r="O13" s="51">
        <v>0</v>
      </c>
      <c r="P13" s="51">
        <v>0.64</v>
      </c>
      <c r="Q13" s="51">
        <v>4.67</v>
      </c>
    </row>
    <row r="14" spans="1:21" customFormat="1">
      <c r="A14" s="50">
        <v>45587.25</v>
      </c>
      <c r="B14" s="51">
        <v>9.27</v>
      </c>
      <c r="C14" s="51">
        <v>4.0999999999999996</v>
      </c>
      <c r="D14" s="51">
        <v>14.02</v>
      </c>
      <c r="E14" s="51">
        <v>11.68</v>
      </c>
      <c r="F14" s="51">
        <v>3.39</v>
      </c>
      <c r="G14" s="51">
        <v>107.24</v>
      </c>
      <c r="H14" s="51">
        <v>32.82</v>
      </c>
      <c r="I14" s="51">
        <v>7.16</v>
      </c>
      <c r="J14" s="51">
        <v>0.23</v>
      </c>
      <c r="K14" s="51">
        <v>147.16</v>
      </c>
      <c r="L14" s="51">
        <v>23.08</v>
      </c>
      <c r="M14" s="51">
        <v>88.21</v>
      </c>
      <c r="N14" s="51">
        <v>4.5999999999999996</v>
      </c>
      <c r="O14" s="51">
        <v>0</v>
      </c>
      <c r="P14" s="51">
        <v>0.65</v>
      </c>
      <c r="Q14" s="51">
        <v>4.68</v>
      </c>
    </row>
    <row r="15" spans="1:21" customFormat="1">
      <c r="A15" s="50">
        <v>45587.291666666664</v>
      </c>
      <c r="B15" s="51">
        <v>9.27</v>
      </c>
      <c r="C15" s="51">
        <v>4.0999999999999996</v>
      </c>
      <c r="D15" s="51">
        <v>14.02</v>
      </c>
      <c r="E15" s="51">
        <v>12.28</v>
      </c>
      <c r="F15" s="51">
        <v>3.65</v>
      </c>
      <c r="G15" s="51">
        <v>120.47</v>
      </c>
      <c r="H15" s="51">
        <v>32.82</v>
      </c>
      <c r="I15" s="51">
        <v>7.3</v>
      </c>
      <c r="J15" s="51">
        <v>0.28000000000000003</v>
      </c>
      <c r="K15" s="51">
        <v>66.67</v>
      </c>
      <c r="L15" s="51">
        <v>23.82</v>
      </c>
      <c r="M15" s="51">
        <v>86.93</v>
      </c>
      <c r="N15" s="51">
        <v>41.9</v>
      </c>
      <c r="O15" s="51">
        <v>0</v>
      </c>
      <c r="P15" s="51">
        <v>0.68</v>
      </c>
      <c r="Q15" s="51">
        <v>4.66</v>
      </c>
    </row>
    <row r="16" spans="1:21" customFormat="1">
      <c r="A16" s="50">
        <v>45587.333333333336</v>
      </c>
      <c r="B16" s="51">
        <v>9.26</v>
      </c>
      <c r="C16" s="51">
        <v>4.09</v>
      </c>
      <c r="D16" s="51">
        <v>14.01</v>
      </c>
      <c r="E16" s="51">
        <v>12.46</v>
      </c>
      <c r="F16" s="51">
        <v>3.91</v>
      </c>
      <c r="G16" s="51">
        <v>128.04</v>
      </c>
      <c r="H16" s="51">
        <v>37.11</v>
      </c>
      <c r="I16" s="51">
        <v>7.93</v>
      </c>
      <c r="J16" s="51">
        <v>0.63</v>
      </c>
      <c r="K16" s="51">
        <v>62.44</v>
      </c>
      <c r="L16" s="51">
        <v>25.96</v>
      </c>
      <c r="M16" s="51">
        <v>81.42</v>
      </c>
      <c r="N16" s="51">
        <v>161.6</v>
      </c>
      <c r="O16" s="51">
        <v>0</v>
      </c>
      <c r="P16" s="51">
        <v>0.72</v>
      </c>
      <c r="Q16" s="51">
        <v>4.6500000000000004</v>
      </c>
    </row>
    <row r="17" spans="1:17" customFormat="1">
      <c r="A17" s="50">
        <v>45587.375</v>
      </c>
      <c r="B17" s="51">
        <v>9.27</v>
      </c>
      <c r="C17" s="51">
        <v>4.1100000000000003</v>
      </c>
      <c r="D17" s="51">
        <v>14</v>
      </c>
      <c r="E17" s="51">
        <v>11.7</v>
      </c>
      <c r="F17" s="51">
        <v>5.34</v>
      </c>
      <c r="G17" s="51">
        <v>129.07</v>
      </c>
      <c r="H17" s="51">
        <v>37.799999999999997</v>
      </c>
      <c r="I17" s="51">
        <v>8.16</v>
      </c>
      <c r="J17" s="51">
        <v>0.92</v>
      </c>
      <c r="K17" s="51">
        <v>66.28</v>
      </c>
      <c r="L17" s="51">
        <v>28.28</v>
      </c>
      <c r="M17" s="51">
        <v>74.13</v>
      </c>
      <c r="N17" s="51">
        <v>298.7</v>
      </c>
      <c r="O17" s="51">
        <v>0</v>
      </c>
      <c r="P17" s="51">
        <v>0.77</v>
      </c>
      <c r="Q17" s="51">
        <v>4.67</v>
      </c>
    </row>
    <row r="18" spans="1:17" customFormat="1">
      <c r="A18" s="50">
        <v>45587.416666666664</v>
      </c>
      <c r="B18" s="51">
        <v>9.33</v>
      </c>
      <c r="C18" s="51">
        <v>4.12</v>
      </c>
      <c r="D18" s="51">
        <v>14.06</v>
      </c>
      <c r="E18" s="51">
        <v>12</v>
      </c>
      <c r="F18" s="51">
        <v>5.67</v>
      </c>
      <c r="G18" s="51">
        <v>130.15</v>
      </c>
      <c r="H18" s="51">
        <v>48.47</v>
      </c>
      <c r="I18" s="51">
        <v>8.7899999999999991</v>
      </c>
      <c r="J18" s="51">
        <v>0.56999999999999995</v>
      </c>
      <c r="K18" s="51">
        <v>67.010000000000005</v>
      </c>
      <c r="L18" s="51">
        <v>30.74</v>
      </c>
      <c r="M18" s="51">
        <v>66.02</v>
      </c>
      <c r="N18" s="51">
        <v>173.5</v>
      </c>
      <c r="O18" s="51">
        <v>0</v>
      </c>
      <c r="P18" s="51">
        <v>0.77</v>
      </c>
      <c r="Q18" s="51">
        <v>4.67</v>
      </c>
    </row>
    <row r="19" spans="1:17" customFormat="1">
      <c r="A19" s="50">
        <v>45587.458333333336</v>
      </c>
      <c r="B19" s="51">
        <v>9.2899999999999991</v>
      </c>
      <c r="C19" s="51">
        <v>4.09</v>
      </c>
      <c r="D19" s="51">
        <v>14.03</v>
      </c>
      <c r="E19" s="51">
        <v>15.4</v>
      </c>
      <c r="F19" s="51">
        <v>9.16</v>
      </c>
      <c r="G19" s="51">
        <v>130.35</v>
      </c>
      <c r="H19" s="51">
        <v>48.47</v>
      </c>
      <c r="I19" s="51">
        <v>8.86</v>
      </c>
      <c r="J19" s="51">
        <v>0.62</v>
      </c>
      <c r="K19" s="51">
        <v>60.43</v>
      </c>
      <c r="L19" s="51">
        <v>31.21</v>
      </c>
      <c r="M19" s="51">
        <v>61</v>
      </c>
      <c r="N19" s="51">
        <v>526.70000000000005</v>
      </c>
      <c r="O19" s="51">
        <v>0</v>
      </c>
      <c r="P19" s="51">
        <v>0.77</v>
      </c>
      <c r="Q19" s="51">
        <v>4.68</v>
      </c>
    </row>
    <row r="20" spans="1:17" customFormat="1">
      <c r="A20" s="50">
        <v>45587.5</v>
      </c>
      <c r="B20" s="51">
        <v>9.2899999999999991</v>
      </c>
      <c r="C20" s="51">
        <v>4.0999999999999996</v>
      </c>
      <c r="D20" s="51">
        <v>14.03</v>
      </c>
      <c r="E20" s="51">
        <v>15.76</v>
      </c>
      <c r="F20" s="51">
        <v>9.35</v>
      </c>
      <c r="G20" s="51">
        <v>130.19</v>
      </c>
      <c r="H20" s="51">
        <v>44.4</v>
      </c>
      <c r="I20" s="51">
        <v>8.75</v>
      </c>
      <c r="J20" s="51">
        <v>0.59</v>
      </c>
      <c r="K20" s="51">
        <v>79.77</v>
      </c>
      <c r="L20" s="51">
        <v>32.51</v>
      </c>
      <c r="M20" s="51">
        <v>51.03</v>
      </c>
      <c r="N20" s="51">
        <v>635.5</v>
      </c>
      <c r="O20" s="51">
        <v>0</v>
      </c>
      <c r="P20" s="51">
        <v>0.75</v>
      </c>
      <c r="Q20" s="51">
        <v>4.68</v>
      </c>
    </row>
    <row r="21" spans="1:17" customFormat="1">
      <c r="A21" s="50">
        <v>45587.541666666664</v>
      </c>
      <c r="B21" s="51">
        <v>9.25</v>
      </c>
      <c r="C21" s="51">
        <v>4.0999999999999996</v>
      </c>
      <c r="D21" s="51">
        <v>14.01</v>
      </c>
      <c r="E21" s="51">
        <v>16.190000000000001</v>
      </c>
      <c r="F21" s="51">
        <v>10.92</v>
      </c>
      <c r="G21" s="51">
        <v>124.98</v>
      </c>
      <c r="H21" s="51">
        <v>43.74</v>
      </c>
      <c r="I21" s="51">
        <v>8.3800000000000008</v>
      </c>
      <c r="J21" s="51">
        <v>0.66</v>
      </c>
      <c r="K21" s="51">
        <v>88.36</v>
      </c>
      <c r="L21" s="51">
        <v>33.01</v>
      </c>
      <c r="M21" s="51">
        <v>43.43</v>
      </c>
      <c r="N21" s="51">
        <v>641</v>
      </c>
      <c r="O21" s="51">
        <v>0</v>
      </c>
      <c r="P21" s="51">
        <v>0.72</v>
      </c>
      <c r="Q21" s="51">
        <v>4.68</v>
      </c>
    </row>
    <row r="22" spans="1:17" customFormat="1">
      <c r="A22" s="50">
        <v>45587.583333333336</v>
      </c>
      <c r="B22" s="51">
        <v>9.27</v>
      </c>
      <c r="C22" s="51">
        <v>4.13</v>
      </c>
      <c r="D22" s="51">
        <v>14.01</v>
      </c>
      <c r="E22" s="51">
        <v>20.93</v>
      </c>
      <c r="F22" s="51">
        <v>10.09</v>
      </c>
      <c r="G22" s="51">
        <v>112.06</v>
      </c>
      <c r="H22" s="51">
        <v>43.67</v>
      </c>
      <c r="I22" s="51">
        <v>7.79</v>
      </c>
      <c r="J22" s="51">
        <v>0.95</v>
      </c>
      <c r="K22" s="51">
        <v>84.2</v>
      </c>
      <c r="L22" s="51">
        <v>33.21</v>
      </c>
      <c r="M22" s="51">
        <v>43.02</v>
      </c>
      <c r="N22" s="51">
        <v>395.3</v>
      </c>
      <c r="O22" s="51">
        <v>0</v>
      </c>
      <c r="P22" s="51">
        <v>0.71</v>
      </c>
      <c r="Q22" s="51">
        <v>4.66</v>
      </c>
    </row>
    <row r="23" spans="1:17" customFormat="1">
      <c r="A23" s="50">
        <v>45587.625</v>
      </c>
      <c r="B23" s="51">
        <v>9.3000000000000007</v>
      </c>
      <c r="C23" s="51">
        <v>4.0999999999999996</v>
      </c>
      <c r="D23" s="51">
        <v>14.02</v>
      </c>
      <c r="E23" s="51">
        <v>18.77</v>
      </c>
      <c r="F23" s="51">
        <v>8.19</v>
      </c>
      <c r="G23" s="51">
        <v>109.29</v>
      </c>
      <c r="H23" s="51">
        <v>41.29</v>
      </c>
      <c r="I23" s="51">
        <v>7.57</v>
      </c>
      <c r="J23" s="51">
        <v>0.89</v>
      </c>
      <c r="K23" s="51">
        <v>77.33</v>
      </c>
      <c r="L23" s="51">
        <v>32.19</v>
      </c>
      <c r="M23" s="51">
        <v>39.130000000000003</v>
      </c>
      <c r="N23" s="51">
        <v>147</v>
      </c>
      <c r="O23" s="51">
        <v>0</v>
      </c>
      <c r="P23" s="51">
        <v>0.61</v>
      </c>
      <c r="Q23" s="51">
        <v>4.6399999999999997</v>
      </c>
    </row>
    <row r="24" spans="1:17" customFormat="1">
      <c r="A24" s="50">
        <v>45587.666666666664</v>
      </c>
      <c r="B24" s="51">
        <v>9.32</v>
      </c>
      <c r="C24" s="51">
        <v>4.09</v>
      </c>
      <c r="D24" s="51">
        <v>14.06</v>
      </c>
      <c r="E24" s="51">
        <v>20.239999999999998</v>
      </c>
      <c r="F24" s="51">
        <v>14.96</v>
      </c>
      <c r="G24" s="51">
        <v>103.53</v>
      </c>
      <c r="H24" s="51">
        <v>37.880000000000003</v>
      </c>
      <c r="I24" s="51">
        <v>7.68</v>
      </c>
      <c r="J24" s="51">
        <v>0.74</v>
      </c>
      <c r="K24" s="51">
        <v>64.25</v>
      </c>
      <c r="L24" s="51">
        <v>31.64</v>
      </c>
      <c r="M24" s="51">
        <v>43.06</v>
      </c>
      <c r="N24" s="51">
        <v>61.6</v>
      </c>
      <c r="O24" s="51">
        <v>0</v>
      </c>
      <c r="P24" s="51">
        <v>0.61</v>
      </c>
      <c r="Q24" s="51">
        <v>4.67</v>
      </c>
    </row>
    <row r="25" spans="1:17" customFormat="1">
      <c r="A25" s="50">
        <v>45587.708333333336</v>
      </c>
      <c r="B25" s="51">
        <v>9.2899999999999991</v>
      </c>
      <c r="C25" s="51">
        <v>4.12</v>
      </c>
      <c r="D25" s="51">
        <v>14.02</v>
      </c>
      <c r="E25" s="51">
        <v>17.670000000000002</v>
      </c>
      <c r="F25" s="51">
        <v>15.07</v>
      </c>
      <c r="G25" s="51">
        <v>103.6</v>
      </c>
      <c r="H25" s="51">
        <v>39.47</v>
      </c>
      <c r="I25" s="51">
        <v>7.45</v>
      </c>
      <c r="J25" s="51">
        <v>0.36</v>
      </c>
      <c r="K25" s="51">
        <v>181.27</v>
      </c>
      <c r="L25" s="51">
        <v>31.03</v>
      </c>
      <c r="M25" s="51">
        <v>54.66</v>
      </c>
      <c r="N25" s="51">
        <v>34.5</v>
      </c>
      <c r="O25" s="51">
        <v>0</v>
      </c>
      <c r="P25" s="51">
        <v>0.51</v>
      </c>
      <c r="Q25" s="51">
        <v>4.67</v>
      </c>
    </row>
    <row r="26" spans="1:17" customFormat="1">
      <c r="A26" s="50">
        <v>45587.75</v>
      </c>
      <c r="B26" s="51">
        <v>9.26</v>
      </c>
      <c r="C26" s="51">
        <v>4.0999999999999996</v>
      </c>
      <c r="D26" s="51">
        <v>14.01</v>
      </c>
      <c r="E26" s="51">
        <v>15.19</v>
      </c>
      <c r="F26" s="51">
        <v>10.48</v>
      </c>
      <c r="G26" s="51">
        <v>105.51</v>
      </c>
      <c r="H26" s="51">
        <v>40.35</v>
      </c>
      <c r="I26" s="51">
        <v>7.04</v>
      </c>
      <c r="J26" s="51">
        <v>0.26</v>
      </c>
      <c r="K26" s="51">
        <v>191.17</v>
      </c>
      <c r="L26" s="51">
        <v>28.6</v>
      </c>
      <c r="M26" s="51">
        <v>70.849999999999994</v>
      </c>
      <c r="N26" s="51">
        <v>6</v>
      </c>
      <c r="O26" s="51">
        <v>0</v>
      </c>
      <c r="P26" s="51">
        <v>0.52</v>
      </c>
      <c r="Q26" s="51">
        <v>4.67</v>
      </c>
    </row>
    <row r="27" spans="1:17" customFormat="1">
      <c r="A27" s="50">
        <v>45587.791666666664</v>
      </c>
      <c r="B27" s="51">
        <v>9.25</v>
      </c>
      <c r="C27" s="51">
        <v>4.12</v>
      </c>
      <c r="D27" s="51">
        <v>14</v>
      </c>
      <c r="E27" s="51">
        <v>12.33</v>
      </c>
      <c r="F27" s="51">
        <v>7.29</v>
      </c>
      <c r="G27" s="51">
        <v>134.04</v>
      </c>
      <c r="H27" s="51">
        <v>44.9</v>
      </c>
      <c r="I27" s="51">
        <v>7.29</v>
      </c>
      <c r="J27" s="51">
        <v>0.24</v>
      </c>
      <c r="K27" s="51">
        <v>190.93</v>
      </c>
      <c r="L27" s="51">
        <v>26.82</v>
      </c>
      <c r="M27" s="51">
        <v>71.23</v>
      </c>
      <c r="N27" s="51">
        <v>2.1</v>
      </c>
      <c r="O27" s="51">
        <v>0</v>
      </c>
      <c r="P27" s="51">
        <v>0.53</v>
      </c>
      <c r="Q27" s="51">
        <v>4.66</v>
      </c>
    </row>
    <row r="28" spans="1:17" customFormat="1">
      <c r="A28" s="50">
        <v>45587.833333333336</v>
      </c>
      <c r="B28" s="51">
        <v>9.26</v>
      </c>
      <c r="C28" s="51">
        <v>4.09</v>
      </c>
      <c r="D28" s="51">
        <v>14.01</v>
      </c>
      <c r="E28" s="51">
        <v>12.2</v>
      </c>
      <c r="F28" s="51">
        <v>5.35</v>
      </c>
      <c r="G28" s="51">
        <v>138.66</v>
      </c>
      <c r="H28" s="51">
        <v>44.9</v>
      </c>
      <c r="I28" s="51">
        <v>7.35</v>
      </c>
      <c r="J28" s="51">
        <v>0.19</v>
      </c>
      <c r="K28" s="51">
        <v>225.02</v>
      </c>
      <c r="L28" s="51">
        <v>25.9</v>
      </c>
      <c r="M28" s="51">
        <v>77.569999999999993</v>
      </c>
      <c r="N28" s="51">
        <v>2.1</v>
      </c>
      <c r="O28" s="51">
        <v>0</v>
      </c>
      <c r="P28" s="51">
        <v>0.54</v>
      </c>
      <c r="Q28" s="51">
        <v>4.67</v>
      </c>
    </row>
    <row r="29" spans="1:17" customFormat="1">
      <c r="A29" s="50">
        <v>45587.875</v>
      </c>
      <c r="B29" s="51">
        <v>9.26</v>
      </c>
      <c r="C29" s="51">
        <v>4.2300000000000004</v>
      </c>
      <c r="D29" s="51">
        <v>14</v>
      </c>
      <c r="E29" s="51">
        <v>12.23</v>
      </c>
      <c r="F29" s="51">
        <v>4.09</v>
      </c>
      <c r="G29" s="51">
        <v>133.47</v>
      </c>
      <c r="H29" s="51">
        <v>43.13</v>
      </c>
      <c r="I29" s="51">
        <v>7.65</v>
      </c>
      <c r="J29" s="51">
        <v>0.17</v>
      </c>
      <c r="K29" s="51">
        <v>219.06</v>
      </c>
      <c r="L29" s="51">
        <v>25.2</v>
      </c>
      <c r="M29" s="51">
        <v>83.35</v>
      </c>
      <c r="N29" s="51">
        <v>2</v>
      </c>
      <c r="O29" s="51">
        <v>0</v>
      </c>
      <c r="P29" s="51">
        <v>0.57999999999999996</v>
      </c>
      <c r="Q29" s="51">
        <v>4.6399999999999997</v>
      </c>
    </row>
    <row r="30" spans="1:17" customFormat="1">
      <c r="A30" s="50">
        <v>45587.916666666664</v>
      </c>
      <c r="B30" s="51">
        <v>9.26</v>
      </c>
      <c r="C30" s="51">
        <v>4.18</v>
      </c>
      <c r="D30" s="51">
        <v>14</v>
      </c>
      <c r="E30" s="51">
        <v>11.35</v>
      </c>
      <c r="F30" s="51">
        <v>4.1399999999999997</v>
      </c>
      <c r="G30" s="51">
        <v>128.35</v>
      </c>
      <c r="H30" s="51">
        <v>44.21</v>
      </c>
      <c r="I30" s="51">
        <v>8</v>
      </c>
      <c r="J30" s="51">
        <v>0.18</v>
      </c>
      <c r="K30" s="51">
        <v>225.84</v>
      </c>
      <c r="L30" s="51">
        <v>24.46</v>
      </c>
      <c r="M30" s="51">
        <v>88.56</v>
      </c>
      <c r="N30" s="51">
        <v>2</v>
      </c>
      <c r="O30" s="51">
        <v>0</v>
      </c>
      <c r="P30" s="51">
        <v>0.59</v>
      </c>
      <c r="Q30" s="51">
        <v>4.6399999999999997</v>
      </c>
    </row>
    <row r="31" spans="1:17" customFormat="1">
      <c r="A31" s="50">
        <v>45587.958333333336</v>
      </c>
      <c r="B31" s="51">
        <v>9.27</v>
      </c>
      <c r="C31" s="51">
        <v>4.24</v>
      </c>
      <c r="D31" s="51">
        <v>14</v>
      </c>
      <c r="E31" s="51">
        <v>10.35</v>
      </c>
      <c r="F31" s="51">
        <v>3.57</v>
      </c>
      <c r="G31" s="51">
        <v>123.22</v>
      </c>
      <c r="H31" s="51">
        <v>44.21</v>
      </c>
      <c r="I31" s="51">
        <v>8.52</v>
      </c>
      <c r="J31" s="51">
        <v>0.15</v>
      </c>
      <c r="K31" s="51">
        <v>230.54</v>
      </c>
      <c r="L31" s="51">
        <v>24.07</v>
      </c>
      <c r="M31" s="51">
        <v>88.98</v>
      </c>
      <c r="N31" s="51">
        <v>1.8</v>
      </c>
      <c r="O31" s="51">
        <v>0</v>
      </c>
      <c r="P31" s="51">
        <v>0.64</v>
      </c>
      <c r="Q31" s="51">
        <v>4.67</v>
      </c>
    </row>
    <row r="32" spans="1:17" customFormat="1">
      <c r="A32" s="50">
        <v>45588</v>
      </c>
      <c r="B32" s="51">
        <v>9.16</v>
      </c>
      <c r="C32" s="51">
        <v>4.26</v>
      </c>
      <c r="D32" s="51">
        <v>14</v>
      </c>
      <c r="E32" s="51">
        <v>11.13</v>
      </c>
      <c r="F32" s="51">
        <v>3.42</v>
      </c>
      <c r="G32" s="51">
        <v>130.46</v>
      </c>
      <c r="H32" s="51">
        <v>49.79</v>
      </c>
      <c r="I32" s="51">
        <v>9.6199999999999992</v>
      </c>
      <c r="J32" s="51">
        <v>0.18</v>
      </c>
      <c r="K32" s="51">
        <v>229.76</v>
      </c>
      <c r="L32" s="51">
        <v>23.83</v>
      </c>
      <c r="M32" s="51">
        <v>91.53</v>
      </c>
      <c r="N32" s="51">
        <v>2</v>
      </c>
      <c r="O32" s="51">
        <v>0</v>
      </c>
      <c r="P32" s="51">
        <v>0.73</v>
      </c>
      <c r="Q32" s="51">
        <v>4.67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9.16</v>
      </c>
      <c r="C34" s="41">
        <f t="shared" si="0"/>
        <v>4.07</v>
      </c>
      <c r="D34" s="41">
        <f t="shared" si="0"/>
        <v>14</v>
      </c>
      <c r="E34" s="41">
        <f t="shared" si="0"/>
        <v>8.56</v>
      </c>
      <c r="F34" s="41">
        <f t="shared" si="0"/>
        <v>3.33</v>
      </c>
      <c r="G34" s="41">
        <f t="shared" si="0"/>
        <v>102.53</v>
      </c>
      <c r="H34" s="41">
        <f t="shared" si="0"/>
        <v>27.94</v>
      </c>
      <c r="I34" s="41">
        <f t="shared" si="0"/>
        <v>7.04</v>
      </c>
      <c r="J34" s="41">
        <f t="shared" si="0"/>
        <v>0.12</v>
      </c>
      <c r="K34" s="41">
        <f t="shared" si="0"/>
        <v>55.35</v>
      </c>
      <c r="L34" s="41">
        <f t="shared" si="0"/>
        <v>23.08</v>
      </c>
      <c r="M34" s="41">
        <f t="shared" si="0"/>
        <v>39.130000000000003</v>
      </c>
      <c r="N34" s="41">
        <f t="shared" si="0"/>
        <v>1.8</v>
      </c>
      <c r="O34" s="41">
        <f t="shared" si="0"/>
        <v>0</v>
      </c>
      <c r="P34" s="41">
        <f t="shared" si="0"/>
        <v>0.51</v>
      </c>
      <c r="Q34" s="41">
        <f t="shared" si="0"/>
        <v>4.6399999999999997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9.34</v>
      </c>
      <c r="C35" s="33">
        <f t="shared" si="1"/>
        <v>4.26</v>
      </c>
      <c r="D35" s="33">
        <f t="shared" si="1"/>
        <v>14.09</v>
      </c>
      <c r="E35" s="33">
        <f t="shared" si="1"/>
        <v>20.93</v>
      </c>
      <c r="F35" s="33">
        <f t="shared" si="1"/>
        <v>15.07</v>
      </c>
      <c r="G35" s="33">
        <f t="shared" si="1"/>
        <v>138.66</v>
      </c>
      <c r="H35" s="33">
        <f t="shared" si="1"/>
        <v>49.79</v>
      </c>
      <c r="I35" s="33">
        <f t="shared" si="1"/>
        <v>9.6199999999999992</v>
      </c>
      <c r="J35" s="33">
        <f t="shared" si="1"/>
        <v>0.95</v>
      </c>
      <c r="K35" s="33">
        <f t="shared" si="1"/>
        <v>233.39</v>
      </c>
      <c r="L35" s="33">
        <f t="shared" si="1"/>
        <v>33.21</v>
      </c>
      <c r="M35" s="33">
        <f t="shared" si="1"/>
        <v>92.88</v>
      </c>
      <c r="N35" s="33">
        <f t="shared" si="1"/>
        <v>641</v>
      </c>
      <c r="O35" s="33">
        <f t="shared" si="1"/>
        <v>0</v>
      </c>
      <c r="P35" s="33">
        <f t="shared" si="1"/>
        <v>0.77</v>
      </c>
      <c r="Q35" s="33">
        <f t="shared" si="1"/>
        <v>4.68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9.2779166666666644</v>
      </c>
      <c r="C36" s="41">
        <f t="shared" si="2"/>
        <v>4.1241666666666674</v>
      </c>
      <c r="D36" s="41">
        <f t="shared" si="2"/>
        <v>14.02125</v>
      </c>
      <c r="E36" s="41">
        <f t="shared" si="2"/>
        <v>13.372500000000002</v>
      </c>
      <c r="F36" s="41">
        <f t="shared" si="2"/>
        <v>6.5087499999999965</v>
      </c>
      <c r="G36" s="41">
        <f t="shared" si="2"/>
        <v>118.50916666666664</v>
      </c>
      <c r="H36" s="41">
        <f t="shared" si="2"/>
        <v>39.752499999999998</v>
      </c>
      <c r="I36" s="41">
        <f t="shared" si="2"/>
        <v>7.7924999999999995</v>
      </c>
      <c r="J36" s="41">
        <f t="shared" si="2"/>
        <v>0.41416666666666657</v>
      </c>
      <c r="K36" s="41">
        <f t="shared" si="2"/>
        <v>138.88833333333332</v>
      </c>
      <c r="L36" s="41">
        <f t="shared" si="2"/>
        <v>27.22333333333334</v>
      </c>
      <c r="M36" s="41">
        <f t="shared" si="2"/>
        <v>73.207916666666662</v>
      </c>
      <c r="N36" s="41">
        <f t="shared" si="2"/>
        <v>131.25416666666666</v>
      </c>
      <c r="O36" s="41">
        <f t="shared" si="2"/>
        <v>0</v>
      </c>
      <c r="P36" s="41">
        <f t="shared" si="2"/>
        <v>0.65374999999999983</v>
      </c>
      <c r="Q36" s="41">
        <f t="shared" si="2"/>
        <v>4.6633333333333331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3.6710283675507507E-2</v>
      </c>
      <c r="C37" s="41">
        <f t="shared" ref="C37:Q37" si="3">STDEV(C9:C32)</f>
        <v>5.0983088983689945E-2</v>
      </c>
      <c r="D37" s="41">
        <f t="shared" si="3"/>
        <v>2.5760181608865701E-2</v>
      </c>
      <c r="E37" s="41">
        <f t="shared" si="3"/>
        <v>3.363622852766365</v>
      </c>
      <c r="F37" s="41">
        <f t="shared" si="3"/>
        <v>3.6744905739790541</v>
      </c>
      <c r="G37" s="41">
        <f t="shared" si="3"/>
        <v>12.651755305839803</v>
      </c>
      <c r="H37" s="41">
        <f t="shared" si="3"/>
        <v>6.3683656015325196</v>
      </c>
      <c r="I37" s="41">
        <f t="shared" si="3"/>
        <v>0.70550167164626387</v>
      </c>
      <c r="J37" s="41">
        <f t="shared" si="3"/>
        <v>0.27237947740265778</v>
      </c>
      <c r="K37" s="41">
        <f t="shared" si="3"/>
        <v>73.647977017977766</v>
      </c>
      <c r="L37" s="41">
        <f t="shared" si="3"/>
        <v>3.7300561444272247</v>
      </c>
      <c r="M37" s="41">
        <f t="shared" si="3"/>
        <v>18.483580958143193</v>
      </c>
      <c r="N37" s="41">
        <f t="shared" si="3"/>
        <v>209.43427521315121</v>
      </c>
      <c r="O37" s="41">
        <f t="shared" si="3"/>
        <v>0</v>
      </c>
      <c r="P37" s="41">
        <f t="shared" si="3"/>
        <v>8.0747190017067733E-2</v>
      </c>
      <c r="Q37" s="41">
        <f t="shared" si="3"/>
        <v>1.2740441145412063E-2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27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45588.041666666664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>
        <v>45588.041666666664</v>
      </c>
      <c r="B9" s="51">
        <v>9.24</v>
      </c>
      <c r="C9" s="51">
        <v>4.12</v>
      </c>
      <c r="D9" s="51">
        <v>14</v>
      </c>
      <c r="E9" s="51">
        <v>11.16</v>
      </c>
      <c r="F9" s="51">
        <v>3.49</v>
      </c>
      <c r="G9" s="51">
        <v>131.88999999999999</v>
      </c>
      <c r="H9" s="51">
        <v>49.79</v>
      </c>
      <c r="I9" s="51">
        <v>10.25</v>
      </c>
      <c r="J9" s="51">
        <v>0.14000000000000001</v>
      </c>
      <c r="K9" s="51">
        <v>230.44</v>
      </c>
      <c r="L9" s="51">
        <v>23.52</v>
      </c>
      <c r="M9" s="51">
        <v>87.09</v>
      </c>
      <c r="N9" s="51">
        <v>1.7</v>
      </c>
      <c r="O9" s="51">
        <v>0</v>
      </c>
      <c r="P9" s="51">
        <v>0.75</v>
      </c>
      <c r="Q9" s="51">
        <v>4.66</v>
      </c>
    </row>
    <row r="10" spans="1:21" customFormat="1">
      <c r="A10" s="50">
        <v>45588.083333333336</v>
      </c>
      <c r="B10" s="51">
        <v>9.2200000000000006</v>
      </c>
      <c r="C10" s="51">
        <v>4.13</v>
      </c>
      <c r="D10" s="51">
        <v>14</v>
      </c>
      <c r="E10" s="51">
        <v>11.96</v>
      </c>
      <c r="F10" s="51">
        <v>3.48</v>
      </c>
      <c r="G10" s="51">
        <v>156.81</v>
      </c>
      <c r="H10" s="51">
        <v>55.93</v>
      </c>
      <c r="I10" s="51">
        <v>11.59</v>
      </c>
      <c r="J10" s="51">
        <v>0.11</v>
      </c>
      <c r="K10" s="51">
        <v>194.02</v>
      </c>
      <c r="L10" s="51">
        <v>23.8</v>
      </c>
      <c r="M10" s="51">
        <v>81.319999999999993</v>
      </c>
      <c r="N10" s="51">
        <v>2</v>
      </c>
      <c r="O10" s="51">
        <v>0</v>
      </c>
      <c r="P10" s="51">
        <v>0.84</v>
      </c>
      <c r="Q10" s="51">
        <v>4.66</v>
      </c>
    </row>
    <row r="11" spans="1:21" customFormat="1">
      <c r="A11" s="50">
        <v>45588.125</v>
      </c>
      <c r="B11" s="51">
        <v>9.24</v>
      </c>
      <c r="C11" s="51">
        <v>4.12</v>
      </c>
      <c r="D11" s="51">
        <v>14</v>
      </c>
      <c r="E11" s="51">
        <v>11.23</v>
      </c>
      <c r="F11" s="51">
        <v>3.6</v>
      </c>
      <c r="G11" s="51">
        <v>161.38999999999999</v>
      </c>
      <c r="H11" s="51">
        <v>60.24</v>
      </c>
      <c r="I11" s="51">
        <v>12.65</v>
      </c>
      <c r="J11" s="51">
        <v>0.1</v>
      </c>
      <c r="K11" s="51">
        <v>138.29</v>
      </c>
      <c r="L11" s="51">
        <v>23.45</v>
      </c>
      <c r="M11" s="51">
        <v>78.36</v>
      </c>
      <c r="N11" s="51">
        <v>2</v>
      </c>
      <c r="O11" s="51">
        <v>0</v>
      </c>
      <c r="P11" s="51">
        <v>0.86</v>
      </c>
      <c r="Q11" s="51">
        <v>4.6500000000000004</v>
      </c>
    </row>
    <row r="12" spans="1:21" customFormat="1">
      <c r="A12" s="50">
        <v>45588.166666666664</v>
      </c>
      <c r="B12" s="51">
        <v>9.25</v>
      </c>
      <c r="C12" s="51">
        <v>4.1900000000000004</v>
      </c>
      <c r="D12" s="51">
        <v>14</v>
      </c>
      <c r="E12" s="51">
        <v>10.99</v>
      </c>
      <c r="F12" s="51">
        <v>3.81</v>
      </c>
      <c r="G12" s="51">
        <v>147.12</v>
      </c>
      <c r="H12" s="51">
        <v>60.24</v>
      </c>
      <c r="I12" s="51">
        <v>12.88</v>
      </c>
      <c r="J12" s="51">
        <v>0.23</v>
      </c>
      <c r="K12" s="51">
        <v>96.63</v>
      </c>
      <c r="L12" s="51">
        <v>23.2</v>
      </c>
      <c r="M12" s="51">
        <v>76.31</v>
      </c>
      <c r="N12" s="51">
        <v>1.8</v>
      </c>
      <c r="O12" s="51">
        <v>0</v>
      </c>
      <c r="P12" s="51">
        <v>0.85</v>
      </c>
      <c r="Q12" s="51">
        <v>4.6399999999999997</v>
      </c>
    </row>
    <row r="13" spans="1:21" customFormat="1">
      <c r="A13" s="50">
        <v>45588.208333333336</v>
      </c>
      <c r="B13" s="51">
        <v>9.26</v>
      </c>
      <c r="C13" s="51">
        <v>4.09</v>
      </c>
      <c r="D13" s="51">
        <v>14.01</v>
      </c>
      <c r="E13" s="51">
        <v>9.7200000000000006</v>
      </c>
      <c r="F13" s="51">
        <v>3.76</v>
      </c>
      <c r="G13" s="51">
        <v>140.21</v>
      </c>
      <c r="H13" s="51">
        <v>52.05</v>
      </c>
      <c r="I13" s="51">
        <v>13.06</v>
      </c>
      <c r="J13" s="51">
        <v>0.22</v>
      </c>
      <c r="K13" s="51">
        <v>74.14</v>
      </c>
      <c r="L13" s="51">
        <v>22.98</v>
      </c>
      <c r="M13" s="51">
        <v>80.25</v>
      </c>
      <c r="N13" s="51">
        <v>1.9</v>
      </c>
      <c r="O13" s="51">
        <v>0</v>
      </c>
      <c r="P13" s="51">
        <v>0.84</v>
      </c>
      <c r="Q13" s="51">
        <v>4.66</v>
      </c>
    </row>
    <row r="14" spans="1:21" customFormat="1">
      <c r="A14" s="50">
        <v>45588.25</v>
      </c>
      <c r="B14" s="51">
        <v>9.23</v>
      </c>
      <c r="C14" s="51">
        <v>4.18</v>
      </c>
      <c r="D14" s="51">
        <v>14</v>
      </c>
      <c r="E14" s="51">
        <v>9.65</v>
      </c>
      <c r="F14" s="51">
        <v>3.37</v>
      </c>
      <c r="G14" s="51">
        <v>162.62</v>
      </c>
      <c r="H14" s="51">
        <v>62.03</v>
      </c>
      <c r="I14" s="51">
        <v>12.89</v>
      </c>
      <c r="J14" s="51">
        <v>0.37</v>
      </c>
      <c r="K14" s="51">
        <v>76.64</v>
      </c>
      <c r="L14" s="51">
        <v>22.54</v>
      </c>
      <c r="M14" s="51">
        <v>81.75</v>
      </c>
      <c r="N14" s="51">
        <v>3.3</v>
      </c>
      <c r="O14" s="51">
        <v>0</v>
      </c>
      <c r="P14" s="51">
        <v>0.82</v>
      </c>
      <c r="Q14" s="51">
        <v>4.67</v>
      </c>
    </row>
    <row r="15" spans="1:21" customFormat="1">
      <c r="A15" s="50">
        <v>45588.291666666664</v>
      </c>
      <c r="B15" s="51">
        <v>9.23</v>
      </c>
      <c r="C15" s="51">
        <v>4.1500000000000004</v>
      </c>
      <c r="D15" s="51">
        <v>14</v>
      </c>
      <c r="E15" s="51">
        <v>9.49</v>
      </c>
      <c r="F15" s="51">
        <v>3.35</v>
      </c>
      <c r="G15" s="51">
        <v>173.73</v>
      </c>
      <c r="H15" s="51">
        <v>62.03</v>
      </c>
      <c r="I15" s="51">
        <v>12.57</v>
      </c>
      <c r="J15" s="51">
        <v>0.23</v>
      </c>
      <c r="K15" s="51">
        <v>183.21</v>
      </c>
      <c r="L15" s="51">
        <v>23.1</v>
      </c>
      <c r="M15" s="51">
        <v>85.4</v>
      </c>
      <c r="N15" s="51">
        <v>42.5</v>
      </c>
      <c r="O15" s="51">
        <v>0</v>
      </c>
      <c r="P15" s="51">
        <v>0.82</v>
      </c>
      <c r="Q15" s="51">
        <v>4.66</v>
      </c>
    </row>
    <row r="16" spans="1:21" customFormat="1">
      <c r="A16" s="50">
        <v>45588.333333333336</v>
      </c>
      <c r="B16" s="51">
        <v>9.25</v>
      </c>
      <c r="C16" s="51">
        <v>4.13</v>
      </c>
      <c r="D16" s="51">
        <v>14</v>
      </c>
      <c r="E16" s="51">
        <v>10.06</v>
      </c>
      <c r="F16" s="51">
        <v>3.44</v>
      </c>
      <c r="G16" s="51">
        <v>174.95</v>
      </c>
      <c r="H16" s="51">
        <v>59.7</v>
      </c>
      <c r="I16" s="51">
        <v>12.44</v>
      </c>
      <c r="J16" s="51">
        <v>0.62</v>
      </c>
      <c r="K16" s="51">
        <v>62.11</v>
      </c>
      <c r="L16" s="51">
        <v>25.01</v>
      </c>
      <c r="M16" s="51">
        <v>77.489999999999995</v>
      </c>
      <c r="N16" s="51">
        <v>181.7</v>
      </c>
      <c r="O16" s="51">
        <v>0</v>
      </c>
      <c r="P16" s="51">
        <v>0.81</v>
      </c>
      <c r="Q16" s="51">
        <v>4.66</v>
      </c>
    </row>
    <row r="17" spans="1:17" customFormat="1">
      <c r="A17" s="50">
        <v>45588.375</v>
      </c>
      <c r="B17" s="51">
        <v>9.26</v>
      </c>
      <c r="C17" s="51">
        <v>4.0999999999999996</v>
      </c>
      <c r="D17" s="51">
        <v>14</v>
      </c>
      <c r="E17" s="51">
        <v>10.59</v>
      </c>
      <c r="F17" s="51">
        <v>4.4800000000000004</v>
      </c>
      <c r="G17" s="51">
        <v>156.78</v>
      </c>
      <c r="H17" s="51">
        <v>52.71</v>
      </c>
      <c r="I17" s="51">
        <v>11.88</v>
      </c>
      <c r="J17" s="51">
        <v>0.84</v>
      </c>
      <c r="K17" s="51">
        <v>60.15</v>
      </c>
      <c r="L17" s="51">
        <v>28.03</v>
      </c>
      <c r="M17" s="51">
        <v>67.900000000000006</v>
      </c>
      <c r="N17" s="51">
        <v>332</v>
      </c>
      <c r="O17" s="51">
        <v>0</v>
      </c>
      <c r="P17" s="51">
        <v>0.78</v>
      </c>
      <c r="Q17" s="51">
        <v>4.68</v>
      </c>
    </row>
    <row r="18" spans="1:17" customFormat="1">
      <c r="A18" s="50">
        <v>45588.416666666664</v>
      </c>
      <c r="B18" s="51">
        <v>9.31</v>
      </c>
      <c r="C18" s="51">
        <v>4.09</v>
      </c>
      <c r="D18" s="51">
        <v>14.05</v>
      </c>
      <c r="E18" s="51">
        <v>10.55</v>
      </c>
      <c r="F18" s="51">
        <v>5.52</v>
      </c>
      <c r="G18" s="51">
        <v>142.04</v>
      </c>
      <c r="H18" s="51">
        <v>47.8</v>
      </c>
      <c r="I18" s="51">
        <v>11.12</v>
      </c>
      <c r="J18" s="51">
        <v>0.96</v>
      </c>
      <c r="K18" s="51">
        <v>59.33</v>
      </c>
      <c r="L18" s="51">
        <v>29.44</v>
      </c>
      <c r="M18" s="51">
        <v>52.98</v>
      </c>
      <c r="N18" s="51">
        <v>159</v>
      </c>
      <c r="O18" s="51">
        <v>0</v>
      </c>
      <c r="P18" s="51">
        <v>0.76</v>
      </c>
      <c r="Q18" s="51">
        <v>4.68</v>
      </c>
    </row>
    <row r="19" spans="1:17" customFormat="1">
      <c r="A19" s="50">
        <v>45588.458333333336</v>
      </c>
      <c r="B19" s="51">
        <v>9.32</v>
      </c>
      <c r="C19" s="51">
        <v>4.07</v>
      </c>
      <c r="D19" s="51">
        <v>14.05</v>
      </c>
      <c r="E19" s="51">
        <v>13.14</v>
      </c>
      <c r="F19" s="51">
        <v>5.23</v>
      </c>
      <c r="G19" s="51">
        <v>135.91</v>
      </c>
      <c r="H19" s="51">
        <v>47.8</v>
      </c>
      <c r="I19" s="51">
        <v>10.67</v>
      </c>
      <c r="J19" s="51">
        <v>1.04</v>
      </c>
      <c r="K19" s="51">
        <v>57.1</v>
      </c>
      <c r="L19" s="51">
        <v>30.33</v>
      </c>
      <c r="M19" s="51">
        <v>53.19</v>
      </c>
      <c r="N19" s="51">
        <v>552.70000000000005</v>
      </c>
      <c r="O19" s="51">
        <v>0</v>
      </c>
      <c r="P19" s="51">
        <v>0.77</v>
      </c>
      <c r="Q19" s="51">
        <v>4.6500000000000004</v>
      </c>
    </row>
    <row r="20" spans="1:17" customFormat="1">
      <c r="A20" s="50">
        <v>45588.5</v>
      </c>
      <c r="B20" s="51">
        <v>9.35</v>
      </c>
      <c r="C20" s="51">
        <v>4.09</v>
      </c>
      <c r="D20" s="51">
        <v>14.08</v>
      </c>
      <c r="E20" s="51">
        <v>18.190000000000001</v>
      </c>
      <c r="F20" s="51">
        <v>12.93</v>
      </c>
      <c r="G20" s="51">
        <v>123.51</v>
      </c>
      <c r="H20" s="51">
        <v>42.07</v>
      </c>
      <c r="I20" s="51">
        <v>10.34</v>
      </c>
      <c r="J20" s="51">
        <v>0.86</v>
      </c>
      <c r="K20" s="51">
        <v>66.17</v>
      </c>
      <c r="L20" s="51">
        <v>31.73</v>
      </c>
      <c r="M20" s="51">
        <v>48.43</v>
      </c>
      <c r="N20" s="51">
        <v>610.20000000000005</v>
      </c>
      <c r="O20" s="51">
        <v>0</v>
      </c>
      <c r="P20" s="51">
        <v>0.74</v>
      </c>
      <c r="Q20" s="51">
        <v>4.68</v>
      </c>
    </row>
    <row r="21" spans="1:17" customFormat="1">
      <c r="A21" s="50">
        <v>45588.541666666664</v>
      </c>
      <c r="B21" s="51">
        <v>9.31</v>
      </c>
      <c r="C21" s="51">
        <v>4.08</v>
      </c>
      <c r="D21" s="51">
        <v>14.05</v>
      </c>
      <c r="E21" s="51">
        <v>17.37</v>
      </c>
      <c r="F21" s="51">
        <v>13.1</v>
      </c>
      <c r="G21" s="51">
        <v>117.42</v>
      </c>
      <c r="H21" s="51">
        <v>40.72</v>
      </c>
      <c r="I21" s="51">
        <v>9.26</v>
      </c>
      <c r="J21" s="51">
        <v>0.93</v>
      </c>
      <c r="K21" s="51">
        <v>53.96</v>
      </c>
      <c r="L21" s="51">
        <v>31.62</v>
      </c>
      <c r="M21" s="51">
        <v>45.48</v>
      </c>
      <c r="N21" s="51">
        <v>562</v>
      </c>
      <c r="O21" s="51">
        <v>0</v>
      </c>
      <c r="P21" s="51">
        <v>0.62</v>
      </c>
      <c r="Q21" s="51">
        <v>4.67</v>
      </c>
    </row>
    <row r="22" spans="1:17" customFormat="1">
      <c r="A22" s="50">
        <v>45588.583333333336</v>
      </c>
      <c r="B22" s="51">
        <v>9.31</v>
      </c>
      <c r="C22" s="51">
        <v>4.09</v>
      </c>
      <c r="D22" s="51">
        <v>14.04</v>
      </c>
      <c r="E22" s="51">
        <v>15.03</v>
      </c>
      <c r="F22" s="51">
        <v>16.5</v>
      </c>
      <c r="G22" s="51">
        <v>115.35</v>
      </c>
      <c r="H22" s="51">
        <v>36.380000000000003</v>
      </c>
      <c r="I22" s="51">
        <v>8.4600000000000009</v>
      </c>
      <c r="J22" s="51">
        <v>1</v>
      </c>
      <c r="K22" s="51">
        <v>46.36</v>
      </c>
      <c r="L22" s="51">
        <v>31.75</v>
      </c>
      <c r="M22" s="51">
        <v>41.59</v>
      </c>
      <c r="N22" s="51">
        <v>373.6</v>
      </c>
      <c r="O22" s="51">
        <v>0</v>
      </c>
      <c r="P22" s="51">
        <v>0.57999999999999996</v>
      </c>
      <c r="Q22" s="51">
        <v>4.66</v>
      </c>
    </row>
    <row r="23" spans="1:17" customFormat="1">
      <c r="A23" s="50">
        <v>45588.625</v>
      </c>
      <c r="B23" s="51">
        <v>9.32</v>
      </c>
      <c r="C23" s="51">
        <v>4.0999999999999996</v>
      </c>
      <c r="D23" s="51">
        <v>14.05</v>
      </c>
      <c r="E23" s="51">
        <v>13.86</v>
      </c>
      <c r="F23" s="51">
        <v>16.57</v>
      </c>
      <c r="G23" s="51">
        <v>102.78</v>
      </c>
      <c r="H23" s="51">
        <v>33.61</v>
      </c>
      <c r="I23" s="51">
        <v>7.73</v>
      </c>
      <c r="J23" s="51">
        <v>0.95</v>
      </c>
      <c r="K23" s="51">
        <v>48.26</v>
      </c>
      <c r="L23" s="51">
        <v>31.62</v>
      </c>
      <c r="M23" s="51">
        <v>42.66</v>
      </c>
      <c r="N23" s="51">
        <v>129.6</v>
      </c>
      <c r="O23" s="51">
        <v>0</v>
      </c>
      <c r="P23" s="51">
        <v>0.63</v>
      </c>
      <c r="Q23" s="51">
        <v>4.67</v>
      </c>
    </row>
    <row r="24" spans="1:17" customFormat="1">
      <c r="A24" s="50">
        <v>45588.666666666664</v>
      </c>
      <c r="B24" s="51">
        <v>9.33</v>
      </c>
      <c r="C24" s="51">
        <v>4.0999999999999996</v>
      </c>
      <c r="D24" s="51">
        <v>14.06</v>
      </c>
      <c r="E24" s="51">
        <v>14.44</v>
      </c>
      <c r="F24" s="51">
        <v>16.13</v>
      </c>
      <c r="G24" s="51">
        <v>97.02</v>
      </c>
      <c r="H24" s="51">
        <v>33.56</v>
      </c>
      <c r="I24" s="51">
        <v>7.07</v>
      </c>
      <c r="J24" s="51">
        <v>0.94</v>
      </c>
      <c r="K24" s="51">
        <v>52.17</v>
      </c>
      <c r="L24" s="51">
        <v>30.96</v>
      </c>
      <c r="M24" s="51">
        <v>44.85</v>
      </c>
      <c r="N24" s="51">
        <v>86.9</v>
      </c>
      <c r="O24" s="51">
        <v>0</v>
      </c>
      <c r="P24" s="51">
        <v>0.63</v>
      </c>
      <c r="Q24" s="51">
        <v>4.6500000000000004</v>
      </c>
    </row>
    <row r="25" spans="1:17" customFormat="1">
      <c r="A25" s="50">
        <v>45588.708333333336</v>
      </c>
      <c r="B25" s="51">
        <v>9.33</v>
      </c>
      <c r="C25" s="51">
        <v>4.0999999999999996</v>
      </c>
      <c r="D25" s="51">
        <v>14.07</v>
      </c>
      <c r="E25" s="51">
        <v>14.33</v>
      </c>
      <c r="F25" s="51">
        <v>9.02</v>
      </c>
      <c r="G25" s="51">
        <v>97.25</v>
      </c>
      <c r="H25" s="51">
        <v>34.450000000000003</v>
      </c>
      <c r="I25" s="51">
        <v>7.64</v>
      </c>
      <c r="J25" s="51">
        <v>0.57999999999999996</v>
      </c>
      <c r="K25" s="51">
        <v>51.22</v>
      </c>
      <c r="L25" s="51">
        <v>30.36</v>
      </c>
      <c r="M25" s="51">
        <v>52.36</v>
      </c>
      <c r="N25" s="51">
        <v>40.1</v>
      </c>
      <c r="O25" s="51">
        <v>0</v>
      </c>
      <c r="P25" s="51">
        <v>0.68</v>
      </c>
      <c r="Q25" s="51">
        <v>4.66</v>
      </c>
    </row>
    <row r="26" spans="1:17" customFormat="1">
      <c r="A26" s="50">
        <v>45588.75</v>
      </c>
      <c r="B26" s="51">
        <v>9.3699999999999992</v>
      </c>
      <c r="C26" s="51">
        <v>4.13</v>
      </c>
      <c r="D26" s="51">
        <v>14.1</v>
      </c>
      <c r="E26" s="51">
        <v>13.13</v>
      </c>
      <c r="F26" s="51">
        <v>5.39</v>
      </c>
      <c r="G26" s="51">
        <v>105.06</v>
      </c>
      <c r="H26" s="51">
        <v>35.979999999999997</v>
      </c>
      <c r="I26" s="51">
        <v>7.89</v>
      </c>
      <c r="J26" s="51">
        <v>0.25</v>
      </c>
      <c r="K26" s="51">
        <v>168.5</v>
      </c>
      <c r="L26" s="51">
        <v>29.25</v>
      </c>
      <c r="M26" s="51">
        <v>60.84</v>
      </c>
      <c r="N26" s="51">
        <v>7.1</v>
      </c>
      <c r="O26" s="51">
        <v>0</v>
      </c>
      <c r="P26" s="51">
        <v>0.73</v>
      </c>
      <c r="Q26" s="51">
        <v>4.66</v>
      </c>
    </row>
    <row r="27" spans="1:17" customFormat="1">
      <c r="A27" s="50">
        <v>45588.791666666664</v>
      </c>
      <c r="B27" s="51">
        <v>9.33</v>
      </c>
      <c r="C27" s="51">
        <v>4.0999999999999996</v>
      </c>
      <c r="D27" s="51">
        <v>14.07</v>
      </c>
      <c r="E27" s="51">
        <v>11.87</v>
      </c>
      <c r="F27" s="51">
        <v>4.41</v>
      </c>
      <c r="G27" s="51">
        <v>119.01</v>
      </c>
      <c r="H27" s="51">
        <v>36.07</v>
      </c>
      <c r="I27" s="51">
        <v>8.02</v>
      </c>
      <c r="J27" s="51">
        <v>0.27</v>
      </c>
      <c r="K27" s="51">
        <v>203.06</v>
      </c>
      <c r="L27" s="51">
        <v>27.38</v>
      </c>
      <c r="M27" s="51">
        <v>76.930000000000007</v>
      </c>
      <c r="N27" s="51">
        <v>2.4</v>
      </c>
      <c r="O27" s="51">
        <v>0</v>
      </c>
      <c r="P27" s="51">
        <v>0.73</v>
      </c>
      <c r="Q27" s="51">
        <v>4.68</v>
      </c>
    </row>
    <row r="28" spans="1:17" customFormat="1">
      <c r="A28" s="50">
        <v>45588.833333333336</v>
      </c>
      <c r="B28" s="51">
        <v>9.34</v>
      </c>
      <c r="C28" s="51">
        <v>4.0999999999999996</v>
      </c>
      <c r="D28" s="51">
        <v>14.08</v>
      </c>
      <c r="E28" s="51">
        <v>12.01</v>
      </c>
      <c r="F28" s="51">
        <v>3.48</v>
      </c>
      <c r="G28" s="51">
        <v>126.29</v>
      </c>
      <c r="H28" s="51">
        <v>37.82</v>
      </c>
      <c r="I28" s="51">
        <v>8.7200000000000006</v>
      </c>
      <c r="J28" s="51">
        <v>0.21</v>
      </c>
      <c r="K28" s="51">
        <v>205.31</v>
      </c>
      <c r="L28" s="51">
        <v>26</v>
      </c>
      <c r="M28" s="51">
        <v>80.48</v>
      </c>
      <c r="N28" s="51">
        <v>2</v>
      </c>
      <c r="O28" s="51">
        <v>0</v>
      </c>
      <c r="P28" s="51">
        <v>0.82</v>
      </c>
      <c r="Q28" s="51">
        <v>4.67</v>
      </c>
    </row>
    <row r="29" spans="1:17" customFormat="1">
      <c r="A29" s="50">
        <v>45588.875</v>
      </c>
      <c r="B29" s="51">
        <v>9.33</v>
      </c>
      <c r="C29" s="51">
        <v>4.0999999999999996</v>
      </c>
      <c r="D29" s="51">
        <v>14.06</v>
      </c>
      <c r="E29" s="51">
        <v>12.73</v>
      </c>
      <c r="F29" s="51">
        <v>3.35</v>
      </c>
      <c r="G29" s="51">
        <v>129.41999999999999</v>
      </c>
      <c r="H29" s="51">
        <v>44.02</v>
      </c>
      <c r="I29" s="51">
        <v>9.73</v>
      </c>
      <c r="J29" s="51">
        <v>0.23</v>
      </c>
      <c r="K29" s="51">
        <v>206.64</v>
      </c>
      <c r="L29" s="51">
        <v>25.51</v>
      </c>
      <c r="M29" s="51">
        <v>86.14</v>
      </c>
      <c r="N29" s="51">
        <v>2.1</v>
      </c>
      <c r="O29" s="51">
        <v>0</v>
      </c>
      <c r="P29" s="51">
        <v>0.89</v>
      </c>
      <c r="Q29" s="51">
        <v>4.67</v>
      </c>
    </row>
    <row r="30" spans="1:17" customFormat="1">
      <c r="A30" s="50">
        <v>45588.916666666664</v>
      </c>
      <c r="B30" s="51">
        <v>9.31</v>
      </c>
      <c r="C30" s="51">
        <v>4.09</v>
      </c>
      <c r="D30" s="51">
        <v>14.05</v>
      </c>
      <c r="E30" s="51">
        <v>12.9</v>
      </c>
      <c r="F30" s="51">
        <v>3.45</v>
      </c>
      <c r="G30" s="51">
        <v>131.31</v>
      </c>
      <c r="H30" s="51">
        <v>44.02</v>
      </c>
      <c r="I30" s="51">
        <v>10.65</v>
      </c>
      <c r="J30" s="51">
        <v>0.18</v>
      </c>
      <c r="K30" s="51">
        <v>213.88</v>
      </c>
      <c r="L30" s="51">
        <v>24.53</v>
      </c>
      <c r="M30" s="51">
        <v>86.79</v>
      </c>
      <c r="N30" s="51">
        <v>2.1</v>
      </c>
      <c r="O30" s="51">
        <v>0</v>
      </c>
      <c r="P30" s="51">
        <v>0.96</v>
      </c>
      <c r="Q30" s="51">
        <v>4.67</v>
      </c>
    </row>
    <row r="31" spans="1:17" customFormat="1">
      <c r="A31" s="50">
        <v>45588.958333333336</v>
      </c>
      <c r="B31" s="51">
        <v>9.31</v>
      </c>
      <c r="C31" s="51">
        <v>4.09</v>
      </c>
      <c r="D31" s="51">
        <v>14.04</v>
      </c>
      <c r="E31" s="51">
        <v>12.81</v>
      </c>
      <c r="F31" s="51">
        <v>3.52</v>
      </c>
      <c r="G31" s="51">
        <v>142.22999999999999</v>
      </c>
      <c r="H31" s="51">
        <v>42.55</v>
      </c>
      <c r="I31" s="51">
        <v>11.56</v>
      </c>
      <c r="J31" s="51">
        <v>0.25</v>
      </c>
      <c r="K31" s="51">
        <v>252.6</v>
      </c>
      <c r="L31" s="51">
        <v>24.77</v>
      </c>
      <c r="M31" s="51">
        <v>86.15</v>
      </c>
      <c r="N31" s="51">
        <v>2</v>
      </c>
      <c r="O31" s="51">
        <v>0</v>
      </c>
      <c r="P31" s="51">
        <v>1.02</v>
      </c>
      <c r="Q31" s="51">
        <v>4.6500000000000004</v>
      </c>
    </row>
    <row r="32" spans="1:17" customFormat="1">
      <c r="A32" s="50">
        <v>45589</v>
      </c>
      <c r="B32" s="51">
        <v>9.24</v>
      </c>
      <c r="C32" s="51">
        <v>4.17</v>
      </c>
      <c r="D32" s="51">
        <v>14</v>
      </c>
      <c r="E32" s="51">
        <v>12.26</v>
      </c>
      <c r="F32" s="51">
        <v>3.79</v>
      </c>
      <c r="G32" s="51">
        <v>144.02000000000001</v>
      </c>
      <c r="H32" s="51">
        <v>42.6</v>
      </c>
      <c r="I32" s="51">
        <v>11.68</v>
      </c>
      <c r="J32" s="51">
        <v>0.35</v>
      </c>
      <c r="K32" s="51">
        <v>64.599999999999994</v>
      </c>
      <c r="L32" s="51">
        <v>24.72</v>
      </c>
      <c r="M32" s="51">
        <v>77.14</v>
      </c>
      <c r="N32" s="51">
        <v>2</v>
      </c>
      <c r="O32" s="51">
        <v>0</v>
      </c>
      <c r="P32" s="51">
        <v>1.02</v>
      </c>
      <c r="Q32" s="51">
        <v>4.67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9.2200000000000006</v>
      </c>
      <c r="C34" s="41">
        <f t="shared" si="0"/>
        <v>4.07</v>
      </c>
      <c r="D34" s="41">
        <f t="shared" si="0"/>
        <v>14</v>
      </c>
      <c r="E34" s="41">
        <f t="shared" si="0"/>
        <v>9.49</v>
      </c>
      <c r="F34" s="41">
        <f t="shared" si="0"/>
        <v>3.35</v>
      </c>
      <c r="G34" s="41">
        <f t="shared" si="0"/>
        <v>97.02</v>
      </c>
      <c r="H34" s="41">
        <f t="shared" si="0"/>
        <v>33.56</v>
      </c>
      <c r="I34" s="41">
        <f t="shared" si="0"/>
        <v>7.07</v>
      </c>
      <c r="J34" s="41">
        <f t="shared" si="0"/>
        <v>0.1</v>
      </c>
      <c r="K34" s="41">
        <f t="shared" si="0"/>
        <v>46.36</v>
      </c>
      <c r="L34" s="41">
        <f t="shared" si="0"/>
        <v>22.54</v>
      </c>
      <c r="M34" s="41">
        <f t="shared" si="0"/>
        <v>41.59</v>
      </c>
      <c r="N34" s="41">
        <f t="shared" si="0"/>
        <v>1.7</v>
      </c>
      <c r="O34" s="41">
        <f t="shared" si="0"/>
        <v>0</v>
      </c>
      <c r="P34" s="41">
        <f t="shared" si="0"/>
        <v>0.57999999999999996</v>
      </c>
      <c r="Q34" s="41">
        <f t="shared" si="0"/>
        <v>4.6399999999999997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9.3699999999999992</v>
      </c>
      <c r="C35" s="33">
        <f t="shared" si="1"/>
        <v>4.1900000000000004</v>
      </c>
      <c r="D35" s="33">
        <f t="shared" si="1"/>
        <v>14.1</v>
      </c>
      <c r="E35" s="33">
        <f t="shared" si="1"/>
        <v>18.190000000000001</v>
      </c>
      <c r="F35" s="33">
        <f t="shared" si="1"/>
        <v>16.57</v>
      </c>
      <c r="G35" s="33">
        <f t="shared" si="1"/>
        <v>174.95</v>
      </c>
      <c r="H35" s="33">
        <f t="shared" si="1"/>
        <v>62.03</v>
      </c>
      <c r="I35" s="33">
        <f t="shared" si="1"/>
        <v>13.06</v>
      </c>
      <c r="J35" s="33">
        <f t="shared" si="1"/>
        <v>1.04</v>
      </c>
      <c r="K35" s="33">
        <f t="shared" si="1"/>
        <v>252.6</v>
      </c>
      <c r="L35" s="33">
        <f t="shared" si="1"/>
        <v>31.75</v>
      </c>
      <c r="M35" s="33">
        <f t="shared" si="1"/>
        <v>87.09</v>
      </c>
      <c r="N35" s="33">
        <f t="shared" si="1"/>
        <v>610.20000000000005</v>
      </c>
      <c r="O35" s="33">
        <f t="shared" si="1"/>
        <v>0</v>
      </c>
      <c r="P35" s="33">
        <f t="shared" si="1"/>
        <v>1.02</v>
      </c>
      <c r="Q35" s="33">
        <f t="shared" si="1"/>
        <v>4.68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9.2912500000000033</v>
      </c>
      <c r="C36" s="41">
        <f t="shared" si="2"/>
        <v>4.1129166666666661</v>
      </c>
      <c r="D36" s="41">
        <f t="shared" si="2"/>
        <v>14.035833333333336</v>
      </c>
      <c r="E36" s="41">
        <f t="shared" si="2"/>
        <v>12.477916666666665</v>
      </c>
      <c r="F36" s="41">
        <f t="shared" si="2"/>
        <v>6.4654166666666653</v>
      </c>
      <c r="G36" s="41">
        <f t="shared" si="2"/>
        <v>134.75500000000002</v>
      </c>
      <c r="H36" s="41">
        <f t="shared" si="2"/>
        <v>46.423749999999991</v>
      </c>
      <c r="I36" s="41">
        <f t="shared" si="2"/>
        <v>10.447916666666666</v>
      </c>
      <c r="J36" s="41">
        <f t="shared" si="2"/>
        <v>0.49416666666666664</v>
      </c>
      <c r="K36" s="41">
        <f t="shared" si="2"/>
        <v>119.36624999999999</v>
      </c>
      <c r="L36" s="41">
        <f t="shared" si="2"/>
        <v>26.900000000000002</v>
      </c>
      <c r="M36" s="41">
        <f t="shared" si="2"/>
        <v>68.828333333333333</v>
      </c>
      <c r="N36" s="41">
        <f t="shared" si="2"/>
        <v>129.27916666666667</v>
      </c>
      <c r="O36" s="41">
        <f t="shared" si="2"/>
        <v>0</v>
      </c>
      <c r="P36" s="41">
        <f t="shared" si="2"/>
        <v>0.78958333333333341</v>
      </c>
      <c r="Q36" s="41">
        <f t="shared" si="2"/>
        <v>4.6637500000000003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4.53309089292043E-2</v>
      </c>
      <c r="C37" s="41">
        <f t="shared" ref="C37:Q37" si="3">STDEV(C9:C32)</f>
        <v>3.1825497935469668E-2</v>
      </c>
      <c r="D37" s="41">
        <f t="shared" si="3"/>
        <v>3.2825847009392832E-2</v>
      </c>
      <c r="E37" s="41">
        <f t="shared" si="3"/>
        <v>2.2607212761430509</v>
      </c>
      <c r="F37" s="41">
        <f t="shared" si="3"/>
        <v>4.7209495905201013</v>
      </c>
      <c r="G37" s="41">
        <f t="shared" si="3"/>
        <v>22.724455319439866</v>
      </c>
      <c r="H37" s="41">
        <f t="shared" si="3"/>
        <v>9.7327103390309126</v>
      </c>
      <c r="I37" s="41">
        <f t="shared" si="3"/>
        <v>1.9416353017308758</v>
      </c>
      <c r="J37" s="41">
        <f t="shared" si="3"/>
        <v>0.34527766604092247</v>
      </c>
      <c r="K37" s="41">
        <f t="shared" si="3"/>
        <v>72.758433296497472</v>
      </c>
      <c r="L37" s="41">
        <f t="shared" si="3"/>
        <v>3.3736382115764023</v>
      </c>
      <c r="M37" s="41">
        <f t="shared" si="3"/>
        <v>16.511890752784314</v>
      </c>
      <c r="N37" s="41">
        <f t="shared" si="3"/>
        <v>200.92345066059937</v>
      </c>
      <c r="O37" s="41">
        <f t="shared" si="3"/>
        <v>0</v>
      </c>
      <c r="P37" s="41">
        <f t="shared" si="3"/>
        <v>0.11615129438971203</v>
      </c>
      <c r="Q37" s="41">
        <f t="shared" si="3"/>
        <v>1.0959411282188958E-2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30" activePane="bottomRight" state="frozen"/>
      <selection activeCell="A9" sqref="A9"/>
      <selection pane="topRight" activeCell="A9" sqref="A9"/>
      <selection pane="bottomLeft" activeCell="A9" sqref="A9"/>
      <selection pane="bottomRight" activeCell="Q24" sqref="Q24:Q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45589.041666666664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>
        <v>45589.041666666664</v>
      </c>
      <c r="B9" s="51">
        <v>9.26</v>
      </c>
      <c r="C9" s="51">
        <v>4.1399999999999997</v>
      </c>
      <c r="D9" s="51">
        <v>14</v>
      </c>
      <c r="E9" s="51">
        <v>11.9</v>
      </c>
      <c r="F9" s="51">
        <v>3.67</v>
      </c>
      <c r="G9" s="51">
        <v>142.74</v>
      </c>
      <c r="H9" s="51">
        <v>42.6</v>
      </c>
      <c r="I9" s="51">
        <v>11.7</v>
      </c>
      <c r="J9" s="51">
        <v>0.23</v>
      </c>
      <c r="K9" s="51">
        <v>250.61</v>
      </c>
      <c r="L9" s="51">
        <v>24.23</v>
      </c>
      <c r="M9" s="51">
        <v>81.94</v>
      </c>
      <c r="N9" s="51">
        <v>2.1</v>
      </c>
      <c r="O9" s="51">
        <v>0</v>
      </c>
      <c r="P9" s="51">
        <v>1.01</v>
      </c>
      <c r="Q9" s="51">
        <v>4.68</v>
      </c>
    </row>
    <row r="10" spans="1:21" customFormat="1">
      <c r="A10" s="50">
        <v>45589.083333333336</v>
      </c>
      <c r="B10" s="51">
        <v>9.33</v>
      </c>
      <c r="C10" s="51">
        <v>4.09</v>
      </c>
      <c r="D10" s="51">
        <v>14.06</v>
      </c>
      <c r="E10" s="51">
        <v>11.79</v>
      </c>
      <c r="F10" s="51">
        <v>3.48</v>
      </c>
      <c r="G10" s="51">
        <v>142.47999999999999</v>
      </c>
      <c r="H10" s="51">
        <v>40.619999999999997</v>
      </c>
      <c r="I10" s="51">
        <v>11.55</v>
      </c>
      <c r="J10" s="51">
        <v>0.17</v>
      </c>
      <c r="K10" s="51">
        <v>63.45</v>
      </c>
      <c r="L10" s="51">
        <v>23.69</v>
      </c>
      <c r="M10" s="51">
        <v>77.239999999999995</v>
      </c>
      <c r="N10" s="51">
        <v>2.1</v>
      </c>
      <c r="O10" s="51">
        <v>0</v>
      </c>
      <c r="P10" s="51">
        <v>0.96</v>
      </c>
      <c r="Q10" s="51">
        <v>4.67</v>
      </c>
    </row>
    <row r="11" spans="1:21" customFormat="1">
      <c r="A11" s="50">
        <v>45589.125</v>
      </c>
      <c r="B11" s="51">
        <v>9.35</v>
      </c>
      <c r="C11" s="51">
        <v>4.09</v>
      </c>
      <c r="D11" s="51">
        <v>14.08</v>
      </c>
      <c r="E11" s="51">
        <v>10.68</v>
      </c>
      <c r="F11" s="51">
        <v>3.39</v>
      </c>
      <c r="G11" s="51">
        <v>150.11000000000001</v>
      </c>
      <c r="H11" s="51">
        <v>41.68</v>
      </c>
      <c r="I11" s="51">
        <v>11.23</v>
      </c>
      <c r="J11" s="51">
        <v>0.15</v>
      </c>
      <c r="K11" s="51">
        <v>332.53</v>
      </c>
      <c r="L11" s="51">
        <v>23.08</v>
      </c>
      <c r="M11" s="51">
        <v>76.06</v>
      </c>
      <c r="N11" s="51">
        <v>2.1</v>
      </c>
      <c r="O11" s="51">
        <v>0</v>
      </c>
      <c r="P11" s="51">
        <v>0.95</v>
      </c>
      <c r="Q11" s="51">
        <v>4.6500000000000004</v>
      </c>
    </row>
    <row r="12" spans="1:21" customFormat="1">
      <c r="A12" s="50">
        <v>45589.166666666664</v>
      </c>
      <c r="B12" s="51">
        <v>9.34</v>
      </c>
      <c r="C12" s="51">
        <v>4.0999999999999996</v>
      </c>
      <c r="D12" s="51">
        <v>14.08</v>
      </c>
      <c r="E12" s="51">
        <v>10.85</v>
      </c>
      <c r="F12" s="51">
        <v>3.34</v>
      </c>
      <c r="G12" s="51">
        <v>151.37</v>
      </c>
      <c r="H12" s="51">
        <v>43.72</v>
      </c>
      <c r="I12" s="51">
        <v>11.08</v>
      </c>
      <c r="J12" s="51">
        <v>0.19</v>
      </c>
      <c r="K12" s="51">
        <v>314.36</v>
      </c>
      <c r="L12" s="51">
        <v>22.28</v>
      </c>
      <c r="M12" s="51">
        <v>76.959999999999994</v>
      </c>
      <c r="N12" s="51">
        <v>2.1</v>
      </c>
      <c r="O12" s="51">
        <v>0</v>
      </c>
      <c r="P12" s="51">
        <v>0.95</v>
      </c>
      <c r="Q12" s="51">
        <v>4.6500000000000004</v>
      </c>
    </row>
    <row r="13" spans="1:21" customFormat="1">
      <c r="A13" s="50">
        <v>45589.208333333336</v>
      </c>
      <c r="B13" s="51">
        <v>9.31</v>
      </c>
      <c r="C13" s="51">
        <v>4.09</v>
      </c>
      <c r="D13" s="51">
        <v>14.05</v>
      </c>
      <c r="E13" s="51">
        <v>10.61</v>
      </c>
      <c r="F13" s="51">
        <v>3.35</v>
      </c>
      <c r="G13" s="51">
        <v>149.96</v>
      </c>
      <c r="H13" s="51">
        <v>44.98</v>
      </c>
      <c r="I13" s="51">
        <v>10.64</v>
      </c>
      <c r="J13" s="51">
        <v>0.32</v>
      </c>
      <c r="K13" s="51">
        <v>65.69</v>
      </c>
      <c r="L13" s="51">
        <v>21.91</v>
      </c>
      <c r="M13" s="51">
        <v>75.41</v>
      </c>
      <c r="N13" s="51">
        <v>1.8</v>
      </c>
      <c r="O13" s="51">
        <v>0</v>
      </c>
      <c r="P13" s="51">
        <v>1.07</v>
      </c>
      <c r="Q13" s="51">
        <v>4.66</v>
      </c>
    </row>
    <row r="14" spans="1:21" customFormat="1">
      <c r="A14" s="50">
        <v>45589.25</v>
      </c>
      <c r="B14" s="51">
        <v>9.31</v>
      </c>
      <c r="C14" s="51">
        <v>4.12</v>
      </c>
      <c r="D14" s="51">
        <v>14.06</v>
      </c>
      <c r="E14" s="51">
        <v>10.79</v>
      </c>
      <c r="F14" s="51">
        <v>3.68</v>
      </c>
      <c r="G14" s="51">
        <v>164.01</v>
      </c>
      <c r="H14" s="51">
        <v>47.41</v>
      </c>
      <c r="I14" s="51">
        <v>10.83</v>
      </c>
      <c r="J14" s="51">
        <v>0.25</v>
      </c>
      <c r="K14" s="51">
        <v>61.42</v>
      </c>
      <c r="L14" s="51">
        <v>21.7</v>
      </c>
      <c r="M14" s="51">
        <v>80.069999999999993</v>
      </c>
      <c r="N14" s="51">
        <v>4.3</v>
      </c>
      <c r="O14" s="51">
        <v>0</v>
      </c>
      <c r="P14" s="51">
        <v>1.0900000000000001</v>
      </c>
      <c r="Q14" s="51">
        <v>4.66</v>
      </c>
    </row>
    <row r="15" spans="1:21" customFormat="1">
      <c r="A15" s="50">
        <v>45589.291666666664</v>
      </c>
      <c r="B15" s="51">
        <v>9.26</v>
      </c>
      <c r="C15" s="51">
        <v>4.1100000000000003</v>
      </c>
      <c r="D15" s="51">
        <v>14.01</v>
      </c>
      <c r="E15" s="51">
        <v>9.84</v>
      </c>
      <c r="F15" s="51">
        <v>3.76</v>
      </c>
      <c r="G15" s="51">
        <v>166.6</v>
      </c>
      <c r="H15" s="51">
        <v>47.41</v>
      </c>
      <c r="I15" s="51">
        <v>10.56</v>
      </c>
      <c r="J15" s="51">
        <v>0.48</v>
      </c>
      <c r="K15" s="51">
        <v>59.62</v>
      </c>
      <c r="L15" s="51">
        <v>21.98</v>
      </c>
      <c r="M15" s="51">
        <v>79.73</v>
      </c>
      <c r="N15" s="51">
        <v>37.799999999999997</v>
      </c>
      <c r="O15" s="51">
        <v>0</v>
      </c>
      <c r="P15" s="51">
        <v>1.07</v>
      </c>
      <c r="Q15" s="51">
        <v>4.66</v>
      </c>
    </row>
    <row r="16" spans="1:21" customFormat="1">
      <c r="A16" s="50">
        <v>45589.333333333336</v>
      </c>
      <c r="B16" s="51">
        <v>9.2899999999999991</v>
      </c>
      <c r="C16" s="51">
        <v>4.08</v>
      </c>
      <c r="D16" s="51">
        <v>14.02</v>
      </c>
      <c r="E16" s="51">
        <v>39.15</v>
      </c>
      <c r="F16" s="51">
        <v>8.01</v>
      </c>
      <c r="G16" s="51">
        <v>165.51</v>
      </c>
      <c r="H16" s="51">
        <v>50.48</v>
      </c>
      <c r="I16" s="51">
        <v>10.55</v>
      </c>
      <c r="J16" s="51">
        <v>0.67</v>
      </c>
      <c r="K16" s="51">
        <v>57.98</v>
      </c>
      <c r="L16" s="51">
        <v>24.75</v>
      </c>
      <c r="M16" s="51">
        <v>76.23</v>
      </c>
      <c r="N16" s="51">
        <v>154.4</v>
      </c>
      <c r="O16" s="51">
        <v>0</v>
      </c>
      <c r="P16" s="51">
        <v>1.04</v>
      </c>
      <c r="Q16" s="51">
        <v>4.68</v>
      </c>
    </row>
    <row r="17" spans="1:17" customFormat="1">
      <c r="A17" s="50">
        <v>45589.375</v>
      </c>
      <c r="B17" s="51">
        <v>9.35</v>
      </c>
      <c r="C17" s="51">
        <v>4.09</v>
      </c>
      <c r="D17" s="51">
        <v>14.08</v>
      </c>
      <c r="E17" s="51">
        <v>42.68</v>
      </c>
      <c r="F17" s="51">
        <v>9.52</v>
      </c>
      <c r="G17" s="51">
        <v>170</v>
      </c>
      <c r="H17" s="51">
        <v>54.27</v>
      </c>
      <c r="I17" s="51">
        <v>10.3</v>
      </c>
      <c r="J17" s="51">
        <v>0.6</v>
      </c>
      <c r="K17" s="51">
        <v>50.82</v>
      </c>
      <c r="L17" s="51">
        <v>27.41</v>
      </c>
      <c r="M17" s="51">
        <v>67.510000000000005</v>
      </c>
      <c r="N17" s="51">
        <v>290.5</v>
      </c>
      <c r="O17" s="51">
        <v>0</v>
      </c>
      <c r="P17" s="51">
        <v>1.37</v>
      </c>
      <c r="Q17" s="51">
        <v>4.66</v>
      </c>
    </row>
    <row r="18" spans="1:17" customFormat="1">
      <c r="A18" s="50">
        <v>45589.416666666664</v>
      </c>
      <c r="B18" s="51">
        <v>9.5299999999999994</v>
      </c>
      <c r="C18" s="51">
        <v>4.08</v>
      </c>
      <c r="D18" s="51">
        <v>14.2</v>
      </c>
      <c r="E18" s="51">
        <v>64.94</v>
      </c>
      <c r="F18" s="51">
        <v>25.47</v>
      </c>
      <c r="G18" s="51">
        <v>171.51</v>
      </c>
      <c r="H18" s="51">
        <v>54.27</v>
      </c>
      <c r="I18" s="51">
        <v>9.61</v>
      </c>
      <c r="J18" s="51">
        <v>1.07</v>
      </c>
      <c r="K18" s="51">
        <v>51.05</v>
      </c>
      <c r="L18" s="51">
        <v>28.94</v>
      </c>
      <c r="M18" s="51">
        <v>65.08</v>
      </c>
      <c r="N18" s="51">
        <v>180.2</v>
      </c>
      <c r="O18" s="51">
        <v>0</v>
      </c>
      <c r="P18" s="51">
        <v>0.87</v>
      </c>
      <c r="Q18" s="51">
        <v>4.6900000000000004</v>
      </c>
    </row>
    <row r="19" spans="1:17" customFormat="1">
      <c r="A19" s="50">
        <v>45589.458333333336</v>
      </c>
      <c r="B19" s="51">
        <v>9.4700000000000006</v>
      </c>
      <c r="C19" s="51">
        <v>4.07</v>
      </c>
      <c r="D19" s="51">
        <v>14.16</v>
      </c>
      <c r="E19" s="51">
        <v>19.95</v>
      </c>
      <c r="F19" s="51">
        <v>12.89</v>
      </c>
      <c r="G19" s="51">
        <v>145.28</v>
      </c>
      <c r="H19" s="51">
        <v>48.3</v>
      </c>
      <c r="I19" s="51">
        <v>5.79</v>
      </c>
      <c r="J19" s="51">
        <v>1.04</v>
      </c>
      <c r="K19" s="51">
        <v>49.54</v>
      </c>
      <c r="L19" s="51">
        <v>29.66</v>
      </c>
      <c r="M19" s="51">
        <v>63.43</v>
      </c>
      <c r="N19" s="51">
        <v>524.4</v>
      </c>
      <c r="O19" s="51">
        <v>0</v>
      </c>
      <c r="P19" s="51">
        <v>0.65</v>
      </c>
      <c r="Q19" s="51">
        <v>4.67</v>
      </c>
    </row>
    <row r="20" spans="1:17" customFormat="1">
      <c r="A20" s="50">
        <v>45589.5</v>
      </c>
      <c r="B20" s="51">
        <v>9.35</v>
      </c>
      <c r="C20" s="51">
        <v>4.08</v>
      </c>
      <c r="D20" s="51">
        <v>14.06</v>
      </c>
      <c r="E20" s="51">
        <v>15.69</v>
      </c>
      <c r="F20" s="51">
        <v>14.6</v>
      </c>
      <c r="G20" s="51">
        <v>100.07</v>
      </c>
      <c r="H20" s="51">
        <v>33.21</v>
      </c>
      <c r="I20" s="51">
        <v>5.7</v>
      </c>
      <c r="J20" s="51">
        <v>1.03</v>
      </c>
      <c r="K20" s="51">
        <v>42.71</v>
      </c>
      <c r="L20" s="51">
        <v>30.4</v>
      </c>
      <c r="M20" s="51">
        <v>56.62</v>
      </c>
      <c r="N20" s="51">
        <v>573.70000000000005</v>
      </c>
      <c r="O20" s="51">
        <v>0</v>
      </c>
      <c r="P20" s="51">
        <v>0.64</v>
      </c>
      <c r="Q20" s="51">
        <v>4.66</v>
      </c>
    </row>
    <row r="21" spans="1:17" customFormat="1">
      <c r="A21" s="50">
        <v>45589.541666666664</v>
      </c>
      <c r="B21" s="51">
        <v>9.42</v>
      </c>
      <c r="C21" s="51">
        <v>4.1100000000000003</v>
      </c>
      <c r="D21" s="51">
        <v>14.15</v>
      </c>
      <c r="E21" s="51">
        <v>16.45</v>
      </c>
      <c r="F21" s="51">
        <v>13.8</v>
      </c>
      <c r="G21" s="51">
        <v>88.38</v>
      </c>
      <c r="H21" s="51">
        <v>33.21</v>
      </c>
      <c r="I21" s="51">
        <v>5.76</v>
      </c>
      <c r="J21" s="51">
        <v>0.89</v>
      </c>
      <c r="K21" s="51">
        <v>48.99</v>
      </c>
      <c r="L21" s="51">
        <v>31.11</v>
      </c>
      <c r="M21" s="51">
        <v>53.25</v>
      </c>
      <c r="N21" s="51">
        <v>580.1</v>
      </c>
      <c r="O21" s="51">
        <v>0</v>
      </c>
      <c r="P21" s="51">
        <v>0.68</v>
      </c>
      <c r="Q21" s="51">
        <v>4.67</v>
      </c>
    </row>
    <row r="22" spans="1:17" customFormat="1">
      <c r="A22" s="50">
        <v>45589.583333333336</v>
      </c>
      <c r="B22" s="51">
        <v>9.48</v>
      </c>
      <c r="C22" s="51">
        <v>4.1100000000000003</v>
      </c>
      <c r="D22" s="51">
        <v>14.2</v>
      </c>
      <c r="E22" s="51">
        <v>12.31</v>
      </c>
      <c r="F22" s="51">
        <v>6.39</v>
      </c>
      <c r="G22" s="51">
        <v>77.069999999999993</v>
      </c>
      <c r="H22" s="51">
        <v>27.26</v>
      </c>
      <c r="I22" s="51">
        <v>6.5</v>
      </c>
      <c r="J22" s="51">
        <v>0.89</v>
      </c>
      <c r="K22" s="51">
        <v>46.61</v>
      </c>
      <c r="L22" s="51">
        <v>31.25</v>
      </c>
      <c r="M22" s="51">
        <v>55.03</v>
      </c>
      <c r="N22" s="51">
        <v>406.7</v>
      </c>
      <c r="O22" s="51">
        <v>0</v>
      </c>
      <c r="P22" s="51">
        <v>0.77</v>
      </c>
      <c r="Q22" s="51">
        <v>4.6100000000000003</v>
      </c>
    </row>
    <row r="23" spans="1:17" customFormat="1">
      <c r="A23" s="50">
        <v>45589.625</v>
      </c>
      <c r="B23" s="51">
        <v>9.5</v>
      </c>
      <c r="C23" s="51">
        <v>4.13</v>
      </c>
      <c r="D23" s="51">
        <v>14.23</v>
      </c>
      <c r="E23" s="51">
        <v>14.14</v>
      </c>
      <c r="F23" s="51">
        <v>4.74</v>
      </c>
      <c r="G23" s="51">
        <v>69.33</v>
      </c>
      <c r="H23" s="51">
        <v>27.26</v>
      </c>
      <c r="I23" s="51">
        <v>0</v>
      </c>
      <c r="J23" s="51">
        <v>0.88</v>
      </c>
      <c r="K23" s="51">
        <v>53.58</v>
      </c>
      <c r="L23" s="51">
        <v>30.73</v>
      </c>
      <c r="M23" s="51">
        <v>65.2</v>
      </c>
      <c r="N23" s="51">
        <v>124.2</v>
      </c>
      <c r="O23" s="51">
        <v>0</v>
      </c>
      <c r="P23" s="51">
        <v>0.66</v>
      </c>
      <c r="Q23" s="51">
        <v>4.6100000000000003</v>
      </c>
    </row>
    <row r="24" spans="1:17" customFormat="1">
      <c r="A24" s="50">
        <v>45589.666666666664</v>
      </c>
      <c r="B24" s="30" t="s">
        <v>8</v>
      </c>
      <c r="C24" s="30" t="s">
        <v>8</v>
      </c>
      <c r="D24" s="30" t="s">
        <v>8</v>
      </c>
      <c r="E24" s="51">
        <v>13.61</v>
      </c>
      <c r="F24" s="51">
        <v>4.1100000000000003</v>
      </c>
      <c r="G24" s="51">
        <v>70.44</v>
      </c>
      <c r="H24" s="51">
        <v>25.03</v>
      </c>
      <c r="I24" s="51">
        <v>0</v>
      </c>
      <c r="J24" s="51">
        <v>0.47</v>
      </c>
      <c r="K24" s="51">
        <v>0.5</v>
      </c>
      <c r="L24" s="51">
        <v>29.91</v>
      </c>
      <c r="M24" s="51">
        <v>63.73</v>
      </c>
      <c r="N24" s="51">
        <v>44.8</v>
      </c>
      <c r="O24" s="51">
        <v>0</v>
      </c>
      <c r="P24" s="51">
        <v>0.66</v>
      </c>
      <c r="Q24" s="30" t="s">
        <v>8</v>
      </c>
    </row>
    <row r="25" spans="1:17" customFormat="1">
      <c r="A25" s="50">
        <v>45589.708333333336</v>
      </c>
      <c r="B25" s="30" t="s">
        <v>8</v>
      </c>
      <c r="C25" s="30" t="s">
        <v>8</v>
      </c>
      <c r="D25" s="30" t="s">
        <v>8</v>
      </c>
      <c r="E25" s="51">
        <v>6.89</v>
      </c>
      <c r="F25" s="51">
        <v>1</v>
      </c>
      <c r="G25" s="51">
        <v>65.989999999999995</v>
      </c>
      <c r="H25" s="51">
        <v>34.08</v>
      </c>
      <c r="I25" s="51">
        <v>0</v>
      </c>
      <c r="J25" s="51">
        <v>0.5</v>
      </c>
      <c r="K25" s="51">
        <v>55.36</v>
      </c>
      <c r="L25" s="51">
        <v>29.48</v>
      </c>
      <c r="M25" s="51">
        <v>58.67</v>
      </c>
      <c r="N25" s="51">
        <v>18.399999999999999</v>
      </c>
      <c r="O25" s="51">
        <v>0</v>
      </c>
      <c r="P25" s="51">
        <v>0.74</v>
      </c>
      <c r="Q25" s="30" t="s">
        <v>8</v>
      </c>
    </row>
    <row r="26" spans="1:17" customFormat="1">
      <c r="A26" s="50">
        <v>45589.75</v>
      </c>
      <c r="B26" s="30" t="s">
        <v>8</v>
      </c>
      <c r="C26" s="30" t="s">
        <v>8</v>
      </c>
      <c r="D26" s="30" t="s">
        <v>8</v>
      </c>
      <c r="E26" s="51">
        <v>15.47</v>
      </c>
      <c r="F26" s="51">
        <v>1</v>
      </c>
      <c r="G26" s="51">
        <v>75.040000000000006</v>
      </c>
      <c r="H26" s="51">
        <v>21.74</v>
      </c>
      <c r="I26" s="51">
        <v>0</v>
      </c>
      <c r="J26" s="51">
        <v>0.38</v>
      </c>
      <c r="K26" s="51">
        <v>52.64</v>
      </c>
      <c r="L26" s="51">
        <v>28.55</v>
      </c>
      <c r="M26" s="51">
        <v>63.48</v>
      </c>
      <c r="N26" s="51">
        <v>2.2000000000000002</v>
      </c>
      <c r="O26" s="51">
        <v>0</v>
      </c>
      <c r="P26" s="51">
        <v>0.71</v>
      </c>
      <c r="Q26" s="30" t="s">
        <v>8</v>
      </c>
    </row>
    <row r="27" spans="1:17" customFormat="1">
      <c r="A27" s="50">
        <v>45589.791666666664</v>
      </c>
      <c r="B27" s="30" t="s">
        <v>8</v>
      </c>
      <c r="C27" s="30" t="s">
        <v>8</v>
      </c>
      <c r="D27" s="30" t="s">
        <v>8</v>
      </c>
      <c r="E27" s="51">
        <v>22.28</v>
      </c>
      <c r="F27" s="51">
        <v>1.08</v>
      </c>
      <c r="G27" s="51">
        <v>82.66</v>
      </c>
      <c r="H27" s="51">
        <v>23.17</v>
      </c>
      <c r="I27" s="51">
        <v>0</v>
      </c>
      <c r="J27" s="51">
        <v>0.38</v>
      </c>
      <c r="K27" s="51">
        <v>55.75</v>
      </c>
      <c r="L27" s="51">
        <v>28.5</v>
      </c>
      <c r="M27" s="51">
        <v>62.35</v>
      </c>
      <c r="N27" s="51">
        <v>2.4</v>
      </c>
      <c r="O27" s="51">
        <v>0</v>
      </c>
      <c r="P27" s="51">
        <v>0.63</v>
      </c>
      <c r="Q27" s="30" t="s">
        <v>8</v>
      </c>
    </row>
    <row r="28" spans="1:17" customFormat="1">
      <c r="A28" s="50">
        <v>45589.833333333336</v>
      </c>
      <c r="B28" s="30" t="s">
        <v>8</v>
      </c>
      <c r="C28" s="30" t="s">
        <v>8</v>
      </c>
      <c r="D28" s="30" t="s">
        <v>8</v>
      </c>
      <c r="E28" s="51">
        <v>12.69</v>
      </c>
      <c r="F28" s="51">
        <v>1</v>
      </c>
      <c r="G28" s="51">
        <v>96.06</v>
      </c>
      <c r="H28" s="51">
        <v>26.2</v>
      </c>
      <c r="I28" s="51">
        <v>0</v>
      </c>
      <c r="J28" s="51">
        <v>0.31</v>
      </c>
      <c r="K28" s="51">
        <v>52.6</v>
      </c>
      <c r="L28" s="51">
        <v>28.11</v>
      </c>
      <c r="M28" s="51">
        <v>82.11</v>
      </c>
      <c r="N28" s="51">
        <v>2.4</v>
      </c>
      <c r="O28" s="51">
        <v>0</v>
      </c>
      <c r="P28" s="51">
        <v>0.79</v>
      </c>
      <c r="Q28" s="30" t="s">
        <v>8</v>
      </c>
    </row>
    <row r="29" spans="1:17" customFormat="1">
      <c r="A29" s="50">
        <v>45589.875</v>
      </c>
      <c r="B29" s="30" t="s">
        <v>8</v>
      </c>
      <c r="C29" s="30" t="s">
        <v>8</v>
      </c>
      <c r="D29" s="30" t="s">
        <v>8</v>
      </c>
      <c r="E29" s="51">
        <v>14.69</v>
      </c>
      <c r="F29" s="51">
        <v>1</v>
      </c>
      <c r="G29" s="51">
        <v>108.08</v>
      </c>
      <c r="H29" s="51">
        <v>31.8</v>
      </c>
      <c r="I29" s="51">
        <v>0</v>
      </c>
      <c r="J29" s="51">
        <v>0.31</v>
      </c>
      <c r="K29" s="51">
        <v>54.2</v>
      </c>
      <c r="L29" s="51">
        <v>27.73</v>
      </c>
      <c r="M29" s="51">
        <v>77.38</v>
      </c>
      <c r="N29" s="51">
        <v>2.4</v>
      </c>
      <c r="O29" s="51">
        <v>0</v>
      </c>
      <c r="P29" s="51">
        <v>0.75</v>
      </c>
      <c r="Q29" s="30" t="s">
        <v>8</v>
      </c>
    </row>
    <row r="30" spans="1:17" customFormat="1">
      <c r="A30" s="50">
        <v>45589.916666666664</v>
      </c>
      <c r="B30" s="30" t="s">
        <v>8</v>
      </c>
      <c r="C30" s="30" t="s">
        <v>8</v>
      </c>
      <c r="D30" s="30" t="s">
        <v>8</v>
      </c>
      <c r="E30" s="51">
        <v>6.58</v>
      </c>
      <c r="F30" s="51">
        <v>1</v>
      </c>
      <c r="G30" s="51">
        <v>115.8</v>
      </c>
      <c r="H30" s="51">
        <v>33.74</v>
      </c>
      <c r="I30" s="51">
        <v>0</v>
      </c>
      <c r="J30" s="51">
        <v>0.5</v>
      </c>
      <c r="K30" s="51">
        <v>60.6</v>
      </c>
      <c r="L30" s="51">
        <v>26.85</v>
      </c>
      <c r="M30" s="51">
        <v>74.819999999999993</v>
      </c>
      <c r="N30" s="51">
        <v>2.2999999999999998</v>
      </c>
      <c r="O30" s="51">
        <v>0</v>
      </c>
      <c r="P30" s="51">
        <v>0.74</v>
      </c>
      <c r="Q30" s="30" t="s">
        <v>8</v>
      </c>
    </row>
    <row r="31" spans="1:17" customFormat="1">
      <c r="A31" s="50">
        <v>45589.958333333336</v>
      </c>
      <c r="B31" s="30" t="s">
        <v>8</v>
      </c>
      <c r="C31" s="30" t="s">
        <v>8</v>
      </c>
      <c r="D31" s="30" t="s">
        <v>8</v>
      </c>
      <c r="E31" s="51">
        <v>3.94</v>
      </c>
      <c r="F31" s="51">
        <v>1</v>
      </c>
      <c r="G31" s="51">
        <v>116.89</v>
      </c>
      <c r="H31" s="51">
        <v>33.74</v>
      </c>
      <c r="I31" s="51">
        <v>0</v>
      </c>
      <c r="J31" s="51">
        <v>0.51</v>
      </c>
      <c r="K31" s="51">
        <v>53.68</v>
      </c>
      <c r="L31" s="51">
        <v>26.17</v>
      </c>
      <c r="M31" s="51">
        <v>81.22</v>
      </c>
      <c r="N31" s="51">
        <v>2.1</v>
      </c>
      <c r="O31" s="51">
        <v>0</v>
      </c>
      <c r="P31" s="51">
        <v>0.75</v>
      </c>
      <c r="Q31" s="30" t="s">
        <v>8</v>
      </c>
    </row>
    <row r="32" spans="1:17" customFormat="1">
      <c r="A32" s="50">
        <v>45590</v>
      </c>
      <c r="B32" s="30" t="s">
        <v>8</v>
      </c>
      <c r="C32" s="30" t="s">
        <v>8</v>
      </c>
      <c r="D32" s="30" t="s">
        <v>8</v>
      </c>
      <c r="E32" s="51">
        <v>2.23</v>
      </c>
      <c r="F32" s="51">
        <v>1</v>
      </c>
      <c r="G32" s="51">
        <v>108.62</v>
      </c>
      <c r="H32" s="51">
        <v>30.36</v>
      </c>
      <c r="I32" s="51">
        <v>0</v>
      </c>
      <c r="J32" s="51">
        <v>0.61</v>
      </c>
      <c r="K32" s="51">
        <v>55.07</v>
      </c>
      <c r="L32" s="51">
        <v>25.55</v>
      </c>
      <c r="M32" s="51">
        <v>81.900000000000006</v>
      </c>
      <c r="N32" s="51">
        <v>2.1</v>
      </c>
      <c r="O32" s="51">
        <v>0</v>
      </c>
      <c r="P32" s="51">
        <v>0.79</v>
      </c>
      <c r="Q32" s="30" t="s">
        <v>8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9.26</v>
      </c>
      <c r="C34" s="41">
        <f t="shared" si="0"/>
        <v>4.07</v>
      </c>
      <c r="D34" s="41">
        <f t="shared" si="0"/>
        <v>14</v>
      </c>
      <c r="E34" s="41">
        <f t="shared" si="0"/>
        <v>2.23</v>
      </c>
      <c r="F34" s="41">
        <f t="shared" si="0"/>
        <v>1</v>
      </c>
      <c r="G34" s="41">
        <f t="shared" si="0"/>
        <v>65.989999999999995</v>
      </c>
      <c r="H34" s="41">
        <f t="shared" si="0"/>
        <v>21.74</v>
      </c>
      <c r="I34" s="41">
        <f t="shared" si="0"/>
        <v>0</v>
      </c>
      <c r="J34" s="41">
        <f t="shared" si="0"/>
        <v>0.15</v>
      </c>
      <c r="K34" s="41">
        <f t="shared" si="0"/>
        <v>0.5</v>
      </c>
      <c r="L34" s="41">
        <f t="shared" si="0"/>
        <v>21.7</v>
      </c>
      <c r="M34" s="41">
        <f t="shared" si="0"/>
        <v>53.25</v>
      </c>
      <c r="N34" s="41">
        <f t="shared" si="0"/>
        <v>1.8</v>
      </c>
      <c r="O34" s="41">
        <f t="shared" si="0"/>
        <v>0</v>
      </c>
      <c r="P34" s="41">
        <f t="shared" si="0"/>
        <v>0.63</v>
      </c>
      <c r="Q34" s="41">
        <f t="shared" si="0"/>
        <v>4.6100000000000003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9.5299999999999994</v>
      </c>
      <c r="C35" s="33">
        <f t="shared" si="1"/>
        <v>4.1399999999999997</v>
      </c>
      <c r="D35" s="33">
        <f t="shared" si="1"/>
        <v>14.23</v>
      </c>
      <c r="E35" s="33">
        <f t="shared" si="1"/>
        <v>64.94</v>
      </c>
      <c r="F35" s="33">
        <f t="shared" si="1"/>
        <v>25.47</v>
      </c>
      <c r="G35" s="33">
        <f t="shared" si="1"/>
        <v>171.51</v>
      </c>
      <c r="H35" s="33">
        <f t="shared" si="1"/>
        <v>54.27</v>
      </c>
      <c r="I35" s="33">
        <f t="shared" si="1"/>
        <v>11.7</v>
      </c>
      <c r="J35" s="33">
        <f t="shared" si="1"/>
        <v>1.07</v>
      </c>
      <c r="K35" s="33">
        <f t="shared" si="1"/>
        <v>332.53</v>
      </c>
      <c r="L35" s="33">
        <f t="shared" si="1"/>
        <v>31.25</v>
      </c>
      <c r="M35" s="33">
        <f t="shared" si="1"/>
        <v>82.11</v>
      </c>
      <c r="N35" s="33">
        <f t="shared" si="1"/>
        <v>580.1</v>
      </c>
      <c r="O35" s="33">
        <f t="shared" si="1"/>
        <v>0</v>
      </c>
      <c r="P35" s="33">
        <f t="shared" si="1"/>
        <v>1.37</v>
      </c>
      <c r="Q35" s="33">
        <f t="shared" si="1"/>
        <v>4.6900000000000004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9.370000000000001</v>
      </c>
      <c r="C36" s="41">
        <f t="shared" si="2"/>
        <v>4.0993333333333331</v>
      </c>
      <c r="D36" s="41">
        <f t="shared" si="2"/>
        <v>14.095999999999998</v>
      </c>
      <c r="E36" s="41">
        <f t="shared" si="2"/>
        <v>16.672916666666666</v>
      </c>
      <c r="F36" s="41">
        <f t="shared" si="2"/>
        <v>5.5116666666666658</v>
      </c>
      <c r="G36" s="41">
        <f t="shared" si="2"/>
        <v>120.58333333333331</v>
      </c>
      <c r="H36" s="41">
        <f t="shared" si="2"/>
        <v>37.355833333333329</v>
      </c>
      <c r="I36" s="41">
        <f t="shared" si="2"/>
        <v>5.4916666666666671</v>
      </c>
      <c r="J36" s="41">
        <f t="shared" si="2"/>
        <v>0.53458333333333341</v>
      </c>
      <c r="K36" s="41">
        <f t="shared" si="2"/>
        <v>82.889999999999972</v>
      </c>
      <c r="L36" s="41">
        <f t="shared" si="2"/>
        <v>26.832083333333333</v>
      </c>
      <c r="M36" s="41">
        <f t="shared" si="2"/>
        <v>70.642499999999998</v>
      </c>
      <c r="N36" s="41">
        <f t="shared" si="2"/>
        <v>123.56666666666666</v>
      </c>
      <c r="O36" s="41">
        <f t="shared" si="2"/>
        <v>0</v>
      </c>
      <c r="P36" s="41">
        <f t="shared" si="2"/>
        <v>0.84749999999999981</v>
      </c>
      <c r="Q36" s="41">
        <f t="shared" si="2"/>
        <v>4.6586666666666661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8.8074643667419225E-2</v>
      </c>
      <c r="C37" s="41">
        <f t="shared" ref="C37:Q37" si="3">STDEV(C9:C32)</f>
        <v>2.0165977949672193E-2</v>
      </c>
      <c r="D37" s="41">
        <f t="shared" si="3"/>
        <v>7.3562412762419357E-2</v>
      </c>
      <c r="E37" s="41">
        <f t="shared" si="3"/>
        <v>13.852275116593558</v>
      </c>
      <c r="F37" s="41">
        <f t="shared" si="3"/>
        <v>5.9697350219154686</v>
      </c>
      <c r="G37" s="41">
        <f t="shared" si="3"/>
        <v>36.856349304536074</v>
      </c>
      <c r="H37" s="41">
        <f t="shared" si="3"/>
        <v>9.9961757542644705</v>
      </c>
      <c r="I37" s="41">
        <f t="shared" si="3"/>
        <v>5.0586496451013554</v>
      </c>
      <c r="J37" s="41">
        <f t="shared" si="3"/>
        <v>0.29236634503674469</v>
      </c>
      <c r="K37" s="41">
        <f t="shared" si="3"/>
        <v>85.333343857562767</v>
      </c>
      <c r="L37" s="41">
        <f t="shared" si="3"/>
        <v>3.1974364448477441</v>
      </c>
      <c r="M37" s="41">
        <f t="shared" si="3"/>
        <v>9.4988764781855011</v>
      </c>
      <c r="N37" s="41">
        <f t="shared" si="3"/>
        <v>197.76753737805328</v>
      </c>
      <c r="O37" s="41">
        <f t="shared" si="3"/>
        <v>0</v>
      </c>
      <c r="P37" s="41">
        <f t="shared" si="3"/>
        <v>0.18994850560772786</v>
      </c>
      <c r="Q37" s="41">
        <f t="shared" si="3"/>
        <v>2.2635833370586271E-2</v>
      </c>
      <c r="R37" s="41"/>
      <c r="S37" s="41"/>
      <c r="T37" s="41"/>
      <c r="U37" s="41"/>
    </row>
    <row r="38" spans="1:21" s="1" customFormat="1">
      <c r="A38" s="45" t="s">
        <v>52</v>
      </c>
      <c r="B38" s="46">
        <v>24</v>
      </c>
      <c r="C38" s="46">
        <v>24</v>
      </c>
      <c r="D38" s="46">
        <v>24</v>
      </c>
      <c r="E38" s="46">
        <v>24</v>
      </c>
      <c r="F38" s="46">
        <v>24</v>
      </c>
      <c r="G38" s="46">
        <v>24</v>
      </c>
      <c r="H38" s="46">
        <v>24</v>
      </c>
      <c r="I38" s="46">
        <v>24</v>
      </c>
      <c r="J38" s="46">
        <v>24</v>
      </c>
      <c r="K38" s="46">
        <v>24</v>
      </c>
      <c r="L38" s="46">
        <v>24</v>
      </c>
      <c r="M38" s="46">
        <v>24</v>
      </c>
      <c r="N38" s="46">
        <v>24</v>
      </c>
      <c r="O38" s="46">
        <v>24</v>
      </c>
      <c r="P38" s="46">
        <v>24</v>
      </c>
      <c r="Q38" s="46"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4">IF(C38&gt;=22,"&gt;90%",IF(C38&lt;=22,"&lt;90%"))</f>
        <v>&gt;90%</v>
      </c>
      <c r="D39" s="33" t="str">
        <f t="shared" si="4"/>
        <v>&gt;90%</v>
      </c>
      <c r="E39" s="33" t="str">
        <f t="shared" si="4"/>
        <v>&gt;90%</v>
      </c>
      <c r="F39" s="33" t="str">
        <f t="shared" si="4"/>
        <v>&gt;90%</v>
      </c>
      <c r="G39" s="33" t="str">
        <f t="shared" si="4"/>
        <v>&gt;90%</v>
      </c>
      <c r="H39" s="33" t="str">
        <f t="shared" si="4"/>
        <v>&gt;90%</v>
      </c>
      <c r="I39" s="33" t="str">
        <f t="shared" si="4"/>
        <v>&gt;90%</v>
      </c>
      <c r="J39" s="33" t="str">
        <f t="shared" si="4"/>
        <v>&gt;90%</v>
      </c>
      <c r="K39" s="33" t="str">
        <f t="shared" si="4"/>
        <v>&gt;90%</v>
      </c>
      <c r="L39" s="33" t="str">
        <f t="shared" si="4"/>
        <v>&gt;90%</v>
      </c>
      <c r="M39" s="33" t="str">
        <f t="shared" si="4"/>
        <v>&gt;90%</v>
      </c>
      <c r="N39" s="33" t="str">
        <f t="shared" si="4"/>
        <v>&gt;90%</v>
      </c>
      <c r="O39" s="33" t="str">
        <f t="shared" si="4"/>
        <v>&gt;90%</v>
      </c>
      <c r="P39" s="33" t="str">
        <f t="shared" si="4"/>
        <v>&gt;90%</v>
      </c>
      <c r="Q39" s="33" t="str">
        <f t="shared" si="4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5">IF(C38&gt;=22,"OK",IF(C38&lt;=22,"LESS"))</f>
        <v>OK</v>
      </c>
      <c r="D40" s="33" t="str">
        <f t="shared" si="5"/>
        <v>OK</v>
      </c>
      <c r="E40" s="33" t="str">
        <f t="shared" si="5"/>
        <v>OK</v>
      </c>
      <c r="F40" s="33" t="str">
        <f t="shared" si="5"/>
        <v>OK</v>
      </c>
      <c r="G40" s="33" t="str">
        <f t="shared" si="5"/>
        <v>OK</v>
      </c>
      <c r="H40" s="33" t="str">
        <f t="shared" si="5"/>
        <v>OK</v>
      </c>
      <c r="I40" s="33" t="str">
        <f t="shared" si="5"/>
        <v>OK</v>
      </c>
      <c r="J40" s="33" t="str">
        <f t="shared" si="5"/>
        <v>OK</v>
      </c>
      <c r="K40" s="33" t="str">
        <f t="shared" si="5"/>
        <v>OK</v>
      </c>
      <c r="L40" s="33" t="str">
        <f t="shared" si="5"/>
        <v>OK</v>
      </c>
      <c r="M40" s="33" t="str">
        <f t="shared" si="5"/>
        <v>OK</v>
      </c>
      <c r="N40" s="33" t="str">
        <f t="shared" si="5"/>
        <v>OK</v>
      </c>
      <c r="O40" s="33" t="str">
        <f t="shared" si="5"/>
        <v>OK</v>
      </c>
      <c r="P40" s="33" t="str">
        <f t="shared" si="5"/>
        <v>OK</v>
      </c>
      <c r="Q40" s="33" t="str">
        <f t="shared" si="5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27" activePane="bottomRight" state="frozen"/>
      <selection activeCell="A9" sqref="A9"/>
      <selection pane="topRight" activeCell="A9" sqref="A9"/>
      <selection pane="bottomLeft" activeCell="A9" sqref="A9"/>
      <selection pane="bottomRight" activeCell="C38" sqref="B38:Q38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45590.041666666664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>
        <v>45590.041666666664</v>
      </c>
      <c r="B9" s="30" t="s">
        <v>8</v>
      </c>
      <c r="C9" s="30" t="s">
        <v>8</v>
      </c>
      <c r="D9" s="30" t="s">
        <v>8</v>
      </c>
      <c r="E9" s="51">
        <v>2.39</v>
      </c>
      <c r="F9" s="51">
        <v>1</v>
      </c>
      <c r="G9" s="51">
        <v>92.29</v>
      </c>
      <c r="H9" s="51">
        <v>30.01</v>
      </c>
      <c r="I9" s="30" t="s">
        <v>8</v>
      </c>
      <c r="J9" s="51">
        <v>0.41</v>
      </c>
      <c r="K9" s="51">
        <v>54.34</v>
      </c>
      <c r="L9" s="51">
        <v>25.23</v>
      </c>
      <c r="M9" s="51">
        <v>83.46</v>
      </c>
      <c r="N9" s="51">
        <v>2.1</v>
      </c>
      <c r="O9" s="51">
        <v>0</v>
      </c>
      <c r="P9" s="51">
        <v>0.85</v>
      </c>
      <c r="Q9" s="30" t="s">
        <v>8</v>
      </c>
    </row>
    <row r="10" spans="1:21" customFormat="1">
      <c r="A10" s="50">
        <v>45590.083333333336</v>
      </c>
      <c r="B10" s="30" t="s">
        <v>8</v>
      </c>
      <c r="C10" s="30" t="s">
        <v>8</v>
      </c>
      <c r="D10" s="30" t="s">
        <v>8</v>
      </c>
      <c r="E10" s="51">
        <v>2.64</v>
      </c>
      <c r="F10" s="51">
        <v>1</v>
      </c>
      <c r="G10" s="51">
        <v>109.73</v>
      </c>
      <c r="H10" s="51">
        <v>29.08</v>
      </c>
      <c r="I10" s="30" t="s">
        <v>8</v>
      </c>
      <c r="J10" s="51">
        <v>0.36</v>
      </c>
      <c r="K10" s="51">
        <v>339.53</v>
      </c>
      <c r="L10" s="51">
        <v>24.85</v>
      </c>
      <c r="M10" s="51">
        <v>85.54</v>
      </c>
      <c r="N10" s="51">
        <v>2.2999999999999998</v>
      </c>
      <c r="O10" s="51">
        <v>0</v>
      </c>
      <c r="P10" s="51">
        <v>0.91</v>
      </c>
      <c r="Q10" s="30" t="s">
        <v>8</v>
      </c>
    </row>
    <row r="11" spans="1:21" customFormat="1">
      <c r="A11" s="50">
        <v>45590.125</v>
      </c>
      <c r="B11" s="30" t="s">
        <v>8</v>
      </c>
      <c r="C11" s="30" t="s">
        <v>8</v>
      </c>
      <c r="D11" s="30" t="s">
        <v>8</v>
      </c>
      <c r="E11" s="51">
        <v>13.8</v>
      </c>
      <c r="F11" s="51">
        <v>1</v>
      </c>
      <c r="G11" s="51">
        <v>118.65</v>
      </c>
      <c r="H11" s="51">
        <v>30.82</v>
      </c>
      <c r="I11" s="30" t="s">
        <v>8</v>
      </c>
      <c r="J11" s="51">
        <v>0.42</v>
      </c>
      <c r="K11" s="51">
        <v>50.27</v>
      </c>
      <c r="L11" s="51">
        <v>24.65</v>
      </c>
      <c r="M11" s="51">
        <v>84.94</v>
      </c>
      <c r="N11" s="51">
        <v>2.4</v>
      </c>
      <c r="O11" s="51">
        <v>0</v>
      </c>
      <c r="P11" s="51">
        <v>0.91</v>
      </c>
      <c r="Q11" s="30" t="s">
        <v>8</v>
      </c>
    </row>
    <row r="12" spans="1:21" customFormat="1">
      <c r="A12" s="50">
        <v>45590.166666666664</v>
      </c>
      <c r="B12" s="30" t="s">
        <v>8</v>
      </c>
      <c r="C12" s="30" t="s">
        <v>8</v>
      </c>
      <c r="D12" s="30" t="s">
        <v>8</v>
      </c>
      <c r="E12" s="51">
        <v>13.19</v>
      </c>
      <c r="F12" s="51">
        <v>1</v>
      </c>
      <c r="G12" s="51">
        <v>119.71</v>
      </c>
      <c r="H12" s="51">
        <v>34.86</v>
      </c>
      <c r="I12" s="30" t="s">
        <v>8</v>
      </c>
      <c r="J12" s="51">
        <v>0.53</v>
      </c>
      <c r="K12" s="51">
        <v>54.99</v>
      </c>
      <c r="L12" s="51">
        <v>24.21</v>
      </c>
      <c r="M12" s="51">
        <v>91.42</v>
      </c>
      <c r="N12" s="51">
        <v>2.1</v>
      </c>
      <c r="O12" s="51">
        <v>0</v>
      </c>
      <c r="P12" s="51">
        <v>0.89</v>
      </c>
      <c r="Q12" s="30" t="s">
        <v>8</v>
      </c>
    </row>
    <row r="13" spans="1:21" customFormat="1">
      <c r="A13" s="50">
        <v>45590.208333333336</v>
      </c>
      <c r="B13" s="30" t="s">
        <v>8</v>
      </c>
      <c r="C13" s="30" t="s">
        <v>8</v>
      </c>
      <c r="D13" s="30" t="s">
        <v>8</v>
      </c>
      <c r="E13" s="51">
        <v>12.47</v>
      </c>
      <c r="F13" s="51">
        <v>1</v>
      </c>
      <c r="G13" s="51">
        <v>109.23</v>
      </c>
      <c r="H13" s="51">
        <v>34.86</v>
      </c>
      <c r="I13" s="30" t="s">
        <v>8</v>
      </c>
      <c r="J13" s="51">
        <v>0.43</v>
      </c>
      <c r="K13" s="51">
        <v>55.96</v>
      </c>
      <c r="L13" s="51">
        <v>23.99</v>
      </c>
      <c r="M13" s="51">
        <v>88.61</v>
      </c>
      <c r="N13" s="51">
        <v>2.1</v>
      </c>
      <c r="O13" s="51">
        <v>0</v>
      </c>
      <c r="P13" s="51">
        <v>0.66</v>
      </c>
      <c r="Q13" s="30" t="s">
        <v>8</v>
      </c>
    </row>
    <row r="14" spans="1:21" customFormat="1">
      <c r="A14" s="50">
        <v>45590.25</v>
      </c>
      <c r="B14" s="30" t="s">
        <v>8</v>
      </c>
      <c r="C14" s="30" t="s">
        <v>8</v>
      </c>
      <c r="D14" s="30" t="s">
        <v>8</v>
      </c>
      <c r="E14" s="51">
        <v>12.03</v>
      </c>
      <c r="F14" s="51">
        <v>1</v>
      </c>
      <c r="G14" s="51">
        <v>107.91</v>
      </c>
      <c r="H14" s="51">
        <v>31.96</v>
      </c>
      <c r="I14" s="30" t="s">
        <v>8</v>
      </c>
      <c r="J14" s="51">
        <v>0.47</v>
      </c>
      <c r="K14" s="51">
        <v>49.63</v>
      </c>
      <c r="L14" s="51">
        <v>23.79</v>
      </c>
      <c r="M14" s="51">
        <v>89.18</v>
      </c>
      <c r="N14" s="51">
        <v>4.0999999999999996</v>
      </c>
      <c r="O14" s="51">
        <v>0</v>
      </c>
      <c r="P14" s="51">
        <v>0.68</v>
      </c>
      <c r="Q14" s="30" t="s">
        <v>8</v>
      </c>
    </row>
    <row r="15" spans="1:21" customFormat="1">
      <c r="A15" s="50">
        <v>45590.291666666664</v>
      </c>
      <c r="B15" s="30" t="s">
        <v>8</v>
      </c>
      <c r="C15" s="30" t="s">
        <v>8</v>
      </c>
      <c r="D15" s="30" t="s">
        <v>8</v>
      </c>
      <c r="E15" s="51">
        <v>11.78</v>
      </c>
      <c r="F15" s="51">
        <v>1</v>
      </c>
      <c r="G15" s="51">
        <v>96.92</v>
      </c>
      <c r="H15" s="51">
        <v>31.96</v>
      </c>
      <c r="I15" s="30" t="s">
        <v>8</v>
      </c>
      <c r="J15" s="51">
        <v>0.39</v>
      </c>
      <c r="K15" s="51">
        <v>59.76</v>
      </c>
      <c r="L15" s="51">
        <v>24.14</v>
      </c>
      <c r="M15" s="51">
        <v>88.46</v>
      </c>
      <c r="N15" s="51">
        <v>35</v>
      </c>
      <c r="O15" s="51">
        <v>0</v>
      </c>
      <c r="P15" s="51">
        <v>0.68</v>
      </c>
      <c r="Q15" s="30" t="s">
        <v>8</v>
      </c>
    </row>
    <row r="16" spans="1:21" customFormat="1">
      <c r="A16" s="50">
        <v>45590.333333333336</v>
      </c>
      <c r="B16" s="30" t="s">
        <v>8</v>
      </c>
      <c r="C16" s="30" t="s">
        <v>8</v>
      </c>
      <c r="D16" s="30" t="s">
        <v>8</v>
      </c>
      <c r="E16" s="51">
        <v>13.01</v>
      </c>
      <c r="F16" s="51">
        <v>1</v>
      </c>
      <c r="G16" s="51">
        <v>96.99</v>
      </c>
      <c r="H16" s="51">
        <v>28.94</v>
      </c>
      <c r="I16" s="30" t="s">
        <v>8</v>
      </c>
      <c r="J16" s="51">
        <v>1.06</v>
      </c>
      <c r="K16" s="51">
        <v>56.71</v>
      </c>
      <c r="L16" s="51">
        <v>26.07</v>
      </c>
      <c r="M16" s="51">
        <v>86.56</v>
      </c>
      <c r="N16" s="51">
        <v>153.19999999999999</v>
      </c>
      <c r="O16" s="51">
        <v>0</v>
      </c>
      <c r="P16" s="51">
        <v>0.69</v>
      </c>
      <c r="Q16" s="30" t="s">
        <v>8</v>
      </c>
    </row>
    <row r="17" spans="1:17" customFormat="1">
      <c r="A17" s="50">
        <v>45590.375</v>
      </c>
      <c r="B17" s="30" t="s">
        <v>8</v>
      </c>
      <c r="C17" s="30" t="s">
        <v>8</v>
      </c>
      <c r="D17" s="30" t="s">
        <v>8</v>
      </c>
      <c r="E17" s="51">
        <v>13.1</v>
      </c>
      <c r="F17" s="51">
        <v>1</v>
      </c>
      <c r="G17" s="51">
        <v>95.42</v>
      </c>
      <c r="H17" s="51">
        <v>28.94</v>
      </c>
      <c r="I17" s="30" t="s">
        <v>8</v>
      </c>
      <c r="J17" s="51">
        <v>1.1299999999999999</v>
      </c>
      <c r="K17" s="51">
        <v>48.49</v>
      </c>
      <c r="L17" s="51">
        <v>27.59</v>
      </c>
      <c r="M17" s="51">
        <v>72.150000000000006</v>
      </c>
      <c r="N17" s="51">
        <v>294</v>
      </c>
      <c r="O17" s="51">
        <v>0</v>
      </c>
      <c r="P17" s="51">
        <v>0.65</v>
      </c>
      <c r="Q17" s="30" t="s">
        <v>8</v>
      </c>
    </row>
    <row r="18" spans="1:17" customFormat="1">
      <c r="A18" s="50">
        <v>45590.416666666664</v>
      </c>
      <c r="B18" s="30" t="s">
        <v>8</v>
      </c>
      <c r="C18" s="30" t="s">
        <v>8</v>
      </c>
      <c r="D18" s="30" t="s">
        <v>8</v>
      </c>
      <c r="E18" s="51">
        <v>12.57</v>
      </c>
      <c r="F18" s="51">
        <v>1</v>
      </c>
      <c r="G18" s="51">
        <v>76.010000000000005</v>
      </c>
      <c r="H18" s="51">
        <v>24.91</v>
      </c>
      <c r="I18" s="30" t="s">
        <v>8</v>
      </c>
      <c r="J18" s="51">
        <v>1.1299999999999999</v>
      </c>
      <c r="K18" s="51">
        <v>50.89</v>
      </c>
      <c r="L18" s="51">
        <v>28.93</v>
      </c>
      <c r="M18" s="51">
        <v>69.55</v>
      </c>
      <c r="N18" s="51">
        <v>170.7</v>
      </c>
      <c r="O18" s="51">
        <v>0</v>
      </c>
      <c r="P18" s="51">
        <v>0.68</v>
      </c>
      <c r="Q18" s="30" t="s">
        <v>8</v>
      </c>
    </row>
    <row r="19" spans="1:17" customFormat="1">
      <c r="A19" s="50">
        <v>45590.458333333336</v>
      </c>
      <c r="B19" s="51">
        <v>5.43</v>
      </c>
      <c r="C19" s="51">
        <v>6.33</v>
      </c>
      <c r="D19" s="51">
        <v>12.38</v>
      </c>
      <c r="E19" s="51">
        <v>13.16</v>
      </c>
      <c r="F19" s="51">
        <v>3.84</v>
      </c>
      <c r="G19" s="51">
        <v>62.21</v>
      </c>
      <c r="H19" s="51">
        <v>20.89</v>
      </c>
      <c r="I19" s="30" t="s">
        <v>8</v>
      </c>
      <c r="J19" s="51">
        <v>1.2</v>
      </c>
      <c r="K19" s="51">
        <v>45.1</v>
      </c>
      <c r="L19" s="51">
        <v>29.19</v>
      </c>
      <c r="M19" s="51">
        <v>65.73</v>
      </c>
      <c r="N19" s="51">
        <v>312.2</v>
      </c>
      <c r="O19" s="51">
        <v>0</v>
      </c>
      <c r="P19" s="51">
        <v>0.67</v>
      </c>
      <c r="Q19" s="30" t="s">
        <v>8</v>
      </c>
    </row>
    <row r="20" spans="1:17" customFormat="1">
      <c r="A20" s="50">
        <v>45590.5</v>
      </c>
      <c r="B20" s="51">
        <v>5.75</v>
      </c>
      <c r="C20" s="51">
        <v>8.11</v>
      </c>
      <c r="D20" s="51">
        <v>14.42</v>
      </c>
      <c r="E20" s="51">
        <v>8.6300000000000008</v>
      </c>
      <c r="F20" s="51">
        <v>11.01</v>
      </c>
      <c r="G20" s="51">
        <v>42.23</v>
      </c>
      <c r="H20" s="51">
        <v>13.81</v>
      </c>
      <c r="I20" s="51">
        <v>6.54</v>
      </c>
      <c r="J20" s="51">
        <v>0.94</v>
      </c>
      <c r="K20" s="51">
        <v>40.97</v>
      </c>
      <c r="L20" s="51">
        <v>29.89</v>
      </c>
      <c r="M20" s="51">
        <v>63.74</v>
      </c>
      <c r="N20" s="51">
        <v>585.9</v>
      </c>
      <c r="O20" s="51">
        <v>0</v>
      </c>
      <c r="P20" s="51">
        <v>0.35</v>
      </c>
      <c r="Q20" s="51">
        <v>4.4800000000000004</v>
      </c>
    </row>
    <row r="21" spans="1:17" customFormat="1">
      <c r="A21" s="50">
        <v>45590.541666666664</v>
      </c>
      <c r="B21" s="51">
        <v>5.5</v>
      </c>
      <c r="C21" s="51">
        <v>8.08</v>
      </c>
      <c r="D21" s="51">
        <v>14.2</v>
      </c>
      <c r="E21" s="51">
        <v>9.14</v>
      </c>
      <c r="F21" s="51">
        <v>10.31</v>
      </c>
      <c r="G21" s="51">
        <v>38.79</v>
      </c>
      <c r="H21" s="51">
        <v>13.81</v>
      </c>
      <c r="I21" s="51">
        <v>5.65</v>
      </c>
      <c r="J21" s="51">
        <v>0.89</v>
      </c>
      <c r="K21" s="51">
        <v>43.01</v>
      </c>
      <c r="L21" s="51">
        <v>30.65</v>
      </c>
      <c r="M21" s="51">
        <v>61.39</v>
      </c>
      <c r="N21" s="51">
        <v>503.6</v>
      </c>
      <c r="O21" s="51">
        <v>0</v>
      </c>
      <c r="P21" s="51">
        <v>0.3</v>
      </c>
      <c r="Q21" s="51">
        <v>4.29</v>
      </c>
    </row>
    <row r="22" spans="1:17" customFormat="1">
      <c r="A22" s="50">
        <v>45590.583333333336</v>
      </c>
      <c r="B22" s="51">
        <v>5.47</v>
      </c>
      <c r="C22" s="51">
        <v>8.08</v>
      </c>
      <c r="D22" s="51">
        <v>14.17</v>
      </c>
      <c r="E22" s="51">
        <v>9.5399999999999991</v>
      </c>
      <c r="F22" s="51">
        <v>12.79</v>
      </c>
      <c r="G22" s="51">
        <v>28.63</v>
      </c>
      <c r="H22" s="51">
        <v>11.75</v>
      </c>
      <c r="I22" s="51">
        <v>5.3</v>
      </c>
      <c r="J22" s="51">
        <v>1.19</v>
      </c>
      <c r="K22" s="51">
        <v>45.41</v>
      </c>
      <c r="L22" s="51">
        <v>30.44</v>
      </c>
      <c r="M22" s="51">
        <v>61.87</v>
      </c>
      <c r="N22" s="51">
        <v>180.3</v>
      </c>
      <c r="O22" s="51">
        <v>0</v>
      </c>
      <c r="P22" s="51">
        <v>0.27</v>
      </c>
      <c r="Q22" s="51">
        <v>4.25</v>
      </c>
    </row>
    <row r="23" spans="1:17" customFormat="1">
      <c r="A23" s="50">
        <v>45590.625</v>
      </c>
      <c r="B23" s="51">
        <v>5.48</v>
      </c>
      <c r="C23" s="51">
        <v>8.1</v>
      </c>
      <c r="D23" s="51">
        <v>14.17</v>
      </c>
      <c r="E23" s="51">
        <v>9.11</v>
      </c>
      <c r="F23" s="51">
        <v>16.73</v>
      </c>
      <c r="G23" s="51">
        <v>28.84</v>
      </c>
      <c r="H23" s="51">
        <v>8.43</v>
      </c>
      <c r="I23" s="51">
        <v>4.99</v>
      </c>
      <c r="J23" s="51">
        <v>1.1499999999999999</v>
      </c>
      <c r="K23" s="51">
        <v>50.36</v>
      </c>
      <c r="L23" s="51">
        <v>29.88</v>
      </c>
      <c r="M23" s="51">
        <v>63.14</v>
      </c>
      <c r="N23" s="51">
        <v>77</v>
      </c>
      <c r="O23" s="51">
        <v>0</v>
      </c>
      <c r="P23" s="51">
        <v>0.46</v>
      </c>
      <c r="Q23" s="51">
        <v>4.26</v>
      </c>
    </row>
    <row r="24" spans="1:17" customFormat="1">
      <c r="A24" s="50">
        <v>45590.666666666664</v>
      </c>
      <c r="B24" s="51">
        <v>5.48</v>
      </c>
      <c r="C24" s="51">
        <v>8.09</v>
      </c>
      <c r="D24" s="51">
        <v>14.19</v>
      </c>
      <c r="E24" s="51">
        <v>9.2899999999999991</v>
      </c>
      <c r="F24" s="51">
        <v>16.43</v>
      </c>
      <c r="G24" s="51">
        <v>29.09</v>
      </c>
      <c r="H24" s="51">
        <v>8.1999999999999993</v>
      </c>
      <c r="I24" s="51">
        <v>4.8</v>
      </c>
      <c r="J24" s="51">
        <v>1.24</v>
      </c>
      <c r="K24" s="51">
        <v>45.06</v>
      </c>
      <c r="L24" s="51">
        <v>29.77</v>
      </c>
      <c r="M24" s="51">
        <v>63.29</v>
      </c>
      <c r="N24" s="51">
        <v>75.099999999999994</v>
      </c>
      <c r="O24" s="51">
        <v>0</v>
      </c>
      <c r="P24" s="51">
        <v>0.46</v>
      </c>
      <c r="Q24" s="51">
        <v>4.2699999999999996</v>
      </c>
    </row>
    <row r="25" spans="1:17" customFormat="1">
      <c r="A25" s="50">
        <v>45590.708333333336</v>
      </c>
      <c r="B25" s="51">
        <v>5.48</v>
      </c>
      <c r="C25" s="51">
        <v>8.1199999999999992</v>
      </c>
      <c r="D25" s="51">
        <v>14.2</v>
      </c>
      <c r="E25" s="51">
        <v>9.0500000000000007</v>
      </c>
      <c r="F25" s="51">
        <v>14.32</v>
      </c>
      <c r="G25" s="51">
        <v>28.73</v>
      </c>
      <c r="H25" s="51">
        <v>8.1999999999999993</v>
      </c>
      <c r="I25" s="51">
        <v>4.6399999999999997</v>
      </c>
      <c r="J25" s="51">
        <v>1</v>
      </c>
      <c r="K25" s="51">
        <v>52.49</v>
      </c>
      <c r="L25" s="51">
        <v>29.57</v>
      </c>
      <c r="M25" s="51">
        <v>62.53</v>
      </c>
      <c r="N25" s="51">
        <v>28.6</v>
      </c>
      <c r="O25" s="51">
        <v>0</v>
      </c>
      <c r="P25" s="51">
        <v>0.48</v>
      </c>
      <c r="Q25" s="51">
        <v>4.25</v>
      </c>
    </row>
    <row r="26" spans="1:17" customFormat="1">
      <c r="A26" s="50">
        <v>45590.75</v>
      </c>
      <c r="B26" s="51">
        <v>5.42</v>
      </c>
      <c r="C26" s="51">
        <v>8.1</v>
      </c>
      <c r="D26" s="51">
        <v>14.15</v>
      </c>
      <c r="E26" s="51">
        <v>8.85</v>
      </c>
      <c r="F26" s="51">
        <v>11.99</v>
      </c>
      <c r="G26" s="51">
        <v>30.12</v>
      </c>
      <c r="H26" s="51">
        <v>5.97</v>
      </c>
      <c r="I26" s="51">
        <v>6.96</v>
      </c>
      <c r="J26" s="51">
        <v>0.9</v>
      </c>
      <c r="K26" s="51">
        <v>59.33</v>
      </c>
      <c r="L26" s="51">
        <v>28.92</v>
      </c>
      <c r="M26" s="51">
        <v>67.849999999999994</v>
      </c>
      <c r="N26" s="51">
        <v>6.2</v>
      </c>
      <c r="O26" s="51">
        <v>0</v>
      </c>
      <c r="P26" s="51">
        <v>0.52</v>
      </c>
      <c r="Q26" s="51">
        <v>4.25</v>
      </c>
    </row>
    <row r="27" spans="1:17" customFormat="1">
      <c r="A27" s="50">
        <v>45590.791666666664</v>
      </c>
      <c r="B27" s="51">
        <v>5.42</v>
      </c>
      <c r="C27" s="51">
        <v>8.07</v>
      </c>
      <c r="D27" s="51">
        <v>14.13</v>
      </c>
      <c r="E27" s="51">
        <v>10.19</v>
      </c>
      <c r="F27" s="51">
        <v>7.32</v>
      </c>
      <c r="G27" s="51">
        <v>35.06</v>
      </c>
      <c r="H27" s="51">
        <v>6.07</v>
      </c>
      <c r="I27" s="51">
        <v>8.43</v>
      </c>
      <c r="J27" s="51">
        <v>0.7</v>
      </c>
      <c r="K27" s="51">
        <v>57.17</v>
      </c>
      <c r="L27" s="51">
        <v>27.52</v>
      </c>
      <c r="M27" s="51">
        <v>72.03</v>
      </c>
      <c r="N27" s="51">
        <v>2.2999999999999998</v>
      </c>
      <c r="O27" s="51">
        <v>0</v>
      </c>
      <c r="P27" s="51">
        <v>0.59</v>
      </c>
      <c r="Q27" s="51">
        <v>4.25</v>
      </c>
    </row>
    <row r="28" spans="1:17" customFormat="1">
      <c r="A28" s="50">
        <v>45590.833333333336</v>
      </c>
      <c r="B28" s="51">
        <v>5.42</v>
      </c>
      <c r="C28" s="51">
        <v>8.07</v>
      </c>
      <c r="D28" s="51">
        <v>14.12</v>
      </c>
      <c r="E28" s="51">
        <v>10.82</v>
      </c>
      <c r="F28" s="51">
        <v>6.29</v>
      </c>
      <c r="G28" s="51">
        <v>40.99</v>
      </c>
      <c r="H28" s="51">
        <v>7.16</v>
      </c>
      <c r="I28" s="51">
        <v>10.25</v>
      </c>
      <c r="J28" s="51">
        <v>0.54</v>
      </c>
      <c r="K28" s="51">
        <v>61.33</v>
      </c>
      <c r="L28" s="51">
        <v>26.61</v>
      </c>
      <c r="M28" s="51">
        <v>73.37</v>
      </c>
      <c r="N28" s="51">
        <v>2.1</v>
      </c>
      <c r="O28" s="51">
        <v>0</v>
      </c>
      <c r="P28" s="51">
        <v>0.6</v>
      </c>
      <c r="Q28" s="51">
        <v>4.2699999999999996</v>
      </c>
    </row>
    <row r="29" spans="1:17" customFormat="1">
      <c r="A29" s="50">
        <v>45590.875</v>
      </c>
      <c r="B29" s="51">
        <v>5.44</v>
      </c>
      <c r="C29" s="51">
        <v>8.08</v>
      </c>
      <c r="D29" s="51">
        <v>14.15</v>
      </c>
      <c r="E29" s="51">
        <v>11.75</v>
      </c>
      <c r="F29" s="51">
        <v>5.37</v>
      </c>
      <c r="G29" s="51">
        <v>59.11</v>
      </c>
      <c r="H29" s="51">
        <v>8.5</v>
      </c>
      <c r="I29" s="51">
        <v>9.16</v>
      </c>
      <c r="J29" s="51">
        <v>0.66</v>
      </c>
      <c r="K29" s="51">
        <v>57.01</v>
      </c>
      <c r="L29" s="51">
        <v>26.11</v>
      </c>
      <c r="M29" s="51">
        <v>76.3</v>
      </c>
      <c r="N29" s="51">
        <v>2.1</v>
      </c>
      <c r="O29" s="51">
        <v>0</v>
      </c>
      <c r="P29" s="51">
        <v>0.64</v>
      </c>
      <c r="Q29" s="51">
        <v>4.26</v>
      </c>
    </row>
    <row r="30" spans="1:17" customFormat="1">
      <c r="A30" s="50">
        <v>45590.916666666664</v>
      </c>
      <c r="B30" s="51">
        <v>5.45</v>
      </c>
      <c r="C30" s="51">
        <v>8.09</v>
      </c>
      <c r="D30" s="51">
        <v>14.15</v>
      </c>
      <c r="E30" s="51">
        <v>11.66</v>
      </c>
      <c r="F30" s="51">
        <v>5.25</v>
      </c>
      <c r="G30" s="51">
        <v>62.02</v>
      </c>
      <c r="H30" s="51">
        <v>11.26</v>
      </c>
      <c r="I30" s="51">
        <v>8.77</v>
      </c>
      <c r="J30" s="51">
        <v>0.82</v>
      </c>
      <c r="K30" s="51">
        <v>57.58</v>
      </c>
      <c r="L30" s="51">
        <v>25.69</v>
      </c>
      <c r="M30" s="51">
        <v>77.58</v>
      </c>
      <c r="N30" s="51">
        <v>2.1</v>
      </c>
      <c r="O30" s="51">
        <v>0</v>
      </c>
      <c r="P30" s="51">
        <v>0.63</v>
      </c>
      <c r="Q30" s="51">
        <v>4.25</v>
      </c>
    </row>
    <row r="31" spans="1:17" customFormat="1">
      <c r="A31" s="50">
        <v>45590.958333333336</v>
      </c>
      <c r="B31" s="51">
        <v>5.43</v>
      </c>
      <c r="C31" s="51">
        <v>8.1</v>
      </c>
      <c r="D31" s="51">
        <v>14.16</v>
      </c>
      <c r="E31" s="51">
        <v>11.55</v>
      </c>
      <c r="F31" s="51">
        <v>5.41</v>
      </c>
      <c r="G31" s="51">
        <v>61.37</v>
      </c>
      <c r="H31" s="51">
        <v>11.26</v>
      </c>
      <c r="I31" s="51">
        <v>8.25</v>
      </c>
      <c r="J31" s="51">
        <v>0.79</v>
      </c>
      <c r="K31" s="51">
        <v>58.21</v>
      </c>
      <c r="L31" s="51">
        <v>25.14</v>
      </c>
      <c r="M31" s="51">
        <v>79.209999999999994</v>
      </c>
      <c r="N31" s="51">
        <v>2.1</v>
      </c>
      <c r="O31" s="51">
        <v>0</v>
      </c>
      <c r="P31" s="51">
        <v>0.62</v>
      </c>
      <c r="Q31" s="51">
        <v>4.2699999999999996</v>
      </c>
    </row>
    <row r="32" spans="1:17" customFormat="1">
      <c r="A32" s="50">
        <v>45591</v>
      </c>
      <c r="B32" s="51">
        <v>5.42</v>
      </c>
      <c r="C32" s="51">
        <v>8.11</v>
      </c>
      <c r="D32" s="51">
        <v>14.13</v>
      </c>
      <c r="E32" s="51">
        <v>11.53</v>
      </c>
      <c r="F32" s="51">
        <v>6.23</v>
      </c>
      <c r="G32" s="51">
        <v>58.26</v>
      </c>
      <c r="H32" s="51">
        <v>8.5299999999999994</v>
      </c>
      <c r="I32" s="51">
        <v>7.63</v>
      </c>
      <c r="J32" s="51">
        <v>0.68</v>
      </c>
      <c r="K32" s="51">
        <v>55.79</v>
      </c>
      <c r="L32" s="51">
        <v>24.19</v>
      </c>
      <c r="M32" s="51">
        <v>84.39</v>
      </c>
      <c r="N32" s="51">
        <v>2.1</v>
      </c>
      <c r="O32" s="51">
        <v>0</v>
      </c>
      <c r="P32" s="51">
        <v>0.56999999999999995</v>
      </c>
      <c r="Q32" s="51">
        <v>4.26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5.42</v>
      </c>
      <c r="C34" s="41">
        <f t="shared" si="0"/>
        <v>6.33</v>
      </c>
      <c r="D34" s="41">
        <f t="shared" si="0"/>
        <v>12.38</v>
      </c>
      <c r="E34" s="41">
        <f t="shared" si="0"/>
        <v>2.39</v>
      </c>
      <c r="F34" s="41">
        <f t="shared" si="0"/>
        <v>1</v>
      </c>
      <c r="G34" s="41">
        <f t="shared" si="0"/>
        <v>28.63</v>
      </c>
      <c r="H34" s="41">
        <f t="shared" si="0"/>
        <v>5.97</v>
      </c>
      <c r="I34" s="41">
        <f t="shared" si="0"/>
        <v>4.6399999999999997</v>
      </c>
      <c r="J34" s="41">
        <f t="shared" si="0"/>
        <v>0.36</v>
      </c>
      <c r="K34" s="41">
        <f t="shared" si="0"/>
        <v>40.97</v>
      </c>
      <c r="L34" s="41">
        <f t="shared" si="0"/>
        <v>23.79</v>
      </c>
      <c r="M34" s="41">
        <f t="shared" si="0"/>
        <v>61.39</v>
      </c>
      <c r="N34" s="41">
        <f t="shared" si="0"/>
        <v>2.1</v>
      </c>
      <c r="O34" s="41">
        <f t="shared" si="0"/>
        <v>0</v>
      </c>
      <c r="P34" s="41">
        <f t="shared" si="0"/>
        <v>0.27</v>
      </c>
      <c r="Q34" s="41">
        <f t="shared" si="0"/>
        <v>4.25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5.75</v>
      </c>
      <c r="C35" s="33">
        <f t="shared" si="1"/>
        <v>8.1199999999999992</v>
      </c>
      <c r="D35" s="33">
        <f t="shared" si="1"/>
        <v>14.42</v>
      </c>
      <c r="E35" s="33">
        <f t="shared" si="1"/>
        <v>13.8</v>
      </c>
      <c r="F35" s="33">
        <f t="shared" si="1"/>
        <v>16.73</v>
      </c>
      <c r="G35" s="33">
        <f t="shared" si="1"/>
        <v>119.71</v>
      </c>
      <c r="H35" s="33">
        <f t="shared" si="1"/>
        <v>34.86</v>
      </c>
      <c r="I35" s="33">
        <f t="shared" si="1"/>
        <v>10.25</v>
      </c>
      <c r="J35" s="33">
        <f t="shared" si="1"/>
        <v>1.24</v>
      </c>
      <c r="K35" s="33">
        <f t="shared" si="1"/>
        <v>339.53</v>
      </c>
      <c r="L35" s="33">
        <f t="shared" si="1"/>
        <v>30.65</v>
      </c>
      <c r="M35" s="33">
        <f t="shared" si="1"/>
        <v>91.42</v>
      </c>
      <c r="N35" s="33">
        <f t="shared" si="1"/>
        <v>585.9</v>
      </c>
      <c r="O35" s="33">
        <f t="shared" si="1"/>
        <v>0</v>
      </c>
      <c r="P35" s="33">
        <f t="shared" si="1"/>
        <v>0.91</v>
      </c>
      <c r="Q35" s="33">
        <f t="shared" si="1"/>
        <v>4.4800000000000004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5.470714285714287</v>
      </c>
      <c r="C36" s="41">
        <f t="shared" si="2"/>
        <v>7.9664285714285716</v>
      </c>
      <c r="D36" s="41">
        <f t="shared" si="2"/>
        <v>14.051428571428572</v>
      </c>
      <c r="E36" s="41">
        <f t="shared" si="2"/>
        <v>10.468749999999998</v>
      </c>
      <c r="F36" s="41">
        <f t="shared" si="2"/>
        <v>5.9704166666666678</v>
      </c>
      <c r="G36" s="41">
        <f t="shared" si="2"/>
        <v>67.846249999999984</v>
      </c>
      <c r="H36" s="41">
        <f t="shared" si="2"/>
        <v>18.7575</v>
      </c>
      <c r="I36" s="41">
        <f t="shared" si="2"/>
        <v>7.0284615384615376</v>
      </c>
      <c r="J36" s="41">
        <f t="shared" si="2"/>
        <v>0.79291666666666671</v>
      </c>
      <c r="K36" s="41">
        <f t="shared" si="2"/>
        <v>64.557916666666657</v>
      </c>
      <c r="L36" s="41">
        <f t="shared" si="2"/>
        <v>26.959166666666672</v>
      </c>
      <c r="M36" s="41">
        <f t="shared" si="2"/>
        <v>75.512083333333337</v>
      </c>
      <c r="N36" s="41">
        <f t="shared" si="2"/>
        <v>102.07083333333331</v>
      </c>
      <c r="O36" s="41">
        <f t="shared" si="2"/>
        <v>0</v>
      </c>
      <c r="P36" s="41">
        <f t="shared" si="2"/>
        <v>0.6150000000000001</v>
      </c>
      <c r="Q36" s="41">
        <f t="shared" si="2"/>
        <v>4.2776923076923072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8.507591955365422E-2</v>
      </c>
      <c r="C37" s="41">
        <f t="shared" ref="C37:Q37" si="3">STDEV(C9:C32)</f>
        <v>0.4712439698509468</v>
      </c>
      <c r="D37" s="41">
        <f t="shared" si="3"/>
        <v>0.48666616488505787</v>
      </c>
      <c r="E37" s="41">
        <f t="shared" si="3"/>
        <v>2.9317932077558848</v>
      </c>
      <c r="F37" s="41">
        <f t="shared" si="3"/>
        <v>5.4239088096466288</v>
      </c>
      <c r="G37" s="41">
        <f t="shared" si="3"/>
        <v>32.670462635297199</v>
      </c>
      <c r="H37" s="41">
        <f t="shared" si="3"/>
        <v>10.843780926531517</v>
      </c>
      <c r="I37" s="41">
        <f t="shared" si="3"/>
        <v>1.8648094011357084</v>
      </c>
      <c r="J37" s="41">
        <f t="shared" si="3"/>
        <v>0.30065839588225807</v>
      </c>
      <c r="K37" s="41">
        <f t="shared" si="3"/>
        <v>58.845640079283513</v>
      </c>
      <c r="L37" s="41">
        <f t="shared" si="3"/>
        <v>2.3988492108158033</v>
      </c>
      <c r="M37" s="41">
        <f t="shared" si="3"/>
        <v>10.350806303046516</v>
      </c>
      <c r="N37" s="41">
        <f t="shared" si="3"/>
        <v>165.44923687307858</v>
      </c>
      <c r="O37" s="41">
        <f t="shared" si="3"/>
        <v>0</v>
      </c>
      <c r="P37" s="41">
        <f t="shared" si="3"/>
        <v>0.17408144021143312</v>
      </c>
      <c r="Q37" s="41">
        <f t="shared" si="3"/>
        <v>6.1934622271371392E-2</v>
      </c>
      <c r="R37" s="41"/>
      <c r="S37" s="41"/>
      <c r="T37" s="41"/>
      <c r="U37" s="41"/>
    </row>
    <row r="38" spans="1:21" s="1" customFormat="1">
      <c r="A38" s="45" t="s">
        <v>52</v>
      </c>
      <c r="B38" s="46">
        <v>24</v>
      </c>
      <c r="C38" s="46">
        <v>24</v>
      </c>
      <c r="D38" s="46">
        <v>24</v>
      </c>
      <c r="E38" s="46">
        <v>24</v>
      </c>
      <c r="F38" s="46">
        <v>24</v>
      </c>
      <c r="G38" s="46">
        <v>24</v>
      </c>
      <c r="H38" s="46">
        <v>24</v>
      </c>
      <c r="I38" s="46">
        <v>24</v>
      </c>
      <c r="J38" s="46">
        <v>24</v>
      </c>
      <c r="K38" s="46">
        <v>24</v>
      </c>
      <c r="L38" s="46">
        <v>24</v>
      </c>
      <c r="M38" s="46">
        <v>24</v>
      </c>
      <c r="N38" s="46">
        <v>24</v>
      </c>
      <c r="O38" s="46">
        <v>24</v>
      </c>
      <c r="P38" s="46">
        <v>24</v>
      </c>
      <c r="Q38" s="46"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4">IF(C38&gt;=22,"&gt;90%",IF(C38&lt;=22,"&lt;90%"))</f>
        <v>&gt;90%</v>
      </c>
      <c r="D39" s="33" t="str">
        <f t="shared" si="4"/>
        <v>&gt;90%</v>
      </c>
      <c r="E39" s="33" t="str">
        <f t="shared" si="4"/>
        <v>&gt;90%</v>
      </c>
      <c r="F39" s="33" t="str">
        <f t="shared" si="4"/>
        <v>&gt;90%</v>
      </c>
      <c r="G39" s="33" t="str">
        <f t="shared" si="4"/>
        <v>&gt;90%</v>
      </c>
      <c r="H39" s="33" t="str">
        <f t="shared" si="4"/>
        <v>&gt;90%</v>
      </c>
      <c r="I39" s="33" t="str">
        <f t="shared" si="4"/>
        <v>&gt;90%</v>
      </c>
      <c r="J39" s="33" t="str">
        <f t="shared" si="4"/>
        <v>&gt;90%</v>
      </c>
      <c r="K39" s="33" t="str">
        <f t="shared" si="4"/>
        <v>&gt;90%</v>
      </c>
      <c r="L39" s="33" t="str">
        <f t="shared" si="4"/>
        <v>&gt;90%</v>
      </c>
      <c r="M39" s="33" t="str">
        <f t="shared" si="4"/>
        <v>&gt;90%</v>
      </c>
      <c r="N39" s="33" t="str">
        <f t="shared" si="4"/>
        <v>&gt;90%</v>
      </c>
      <c r="O39" s="33" t="str">
        <f t="shared" si="4"/>
        <v>&gt;90%</v>
      </c>
      <c r="P39" s="33" t="str">
        <f t="shared" si="4"/>
        <v>&gt;90%</v>
      </c>
      <c r="Q39" s="33" t="str">
        <f t="shared" si="4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5">IF(C38&gt;=22,"OK",IF(C38&lt;=22,"LESS"))</f>
        <v>OK</v>
      </c>
      <c r="D40" s="33" t="str">
        <f t="shared" si="5"/>
        <v>OK</v>
      </c>
      <c r="E40" s="33" t="str">
        <f t="shared" si="5"/>
        <v>OK</v>
      </c>
      <c r="F40" s="33" t="str">
        <f t="shared" si="5"/>
        <v>OK</v>
      </c>
      <c r="G40" s="33" t="str">
        <f t="shared" si="5"/>
        <v>OK</v>
      </c>
      <c r="H40" s="33" t="str">
        <f t="shared" si="5"/>
        <v>OK</v>
      </c>
      <c r="I40" s="33" t="str">
        <f t="shared" si="5"/>
        <v>OK</v>
      </c>
      <c r="J40" s="33" t="str">
        <f t="shared" si="5"/>
        <v>OK</v>
      </c>
      <c r="K40" s="33" t="str">
        <f t="shared" si="5"/>
        <v>OK</v>
      </c>
      <c r="L40" s="33" t="str">
        <f t="shared" si="5"/>
        <v>OK</v>
      </c>
      <c r="M40" s="33" t="str">
        <f t="shared" si="5"/>
        <v>OK</v>
      </c>
      <c r="N40" s="33" t="str">
        <f t="shared" si="5"/>
        <v>OK</v>
      </c>
      <c r="O40" s="33" t="str">
        <f t="shared" si="5"/>
        <v>OK</v>
      </c>
      <c r="P40" s="33" t="str">
        <f t="shared" si="5"/>
        <v>OK</v>
      </c>
      <c r="Q40" s="33" t="str">
        <f t="shared" si="5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21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45591.041666666664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>
        <v>45591.041666666664</v>
      </c>
      <c r="B9" s="51">
        <v>5.15</v>
      </c>
      <c r="C9" s="51">
        <v>8.11</v>
      </c>
      <c r="D9" s="51">
        <v>13.93</v>
      </c>
      <c r="E9" s="51">
        <v>11.53</v>
      </c>
      <c r="F9" s="51">
        <v>6</v>
      </c>
      <c r="G9" s="51">
        <v>47.25</v>
      </c>
      <c r="H9" s="51">
        <v>8.5299999999999994</v>
      </c>
      <c r="I9" s="51">
        <v>7.35</v>
      </c>
      <c r="J9" s="51">
        <v>0.38</v>
      </c>
      <c r="K9" s="51">
        <v>51.92</v>
      </c>
      <c r="L9" s="51">
        <v>23.45</v>
      </c>
      <c r="M9" s="51">
        <v>87.14</v>
      </c>
      <c r="N9" s="51">
        <v>2</v>
      </c>
      <c r="O9" s="51">
        <v>0</v>
      </c>
      <c r="P9" s="51">
        <v>0.55000000000000004</v>
      </c>
      <c r="Q9" s="51">
        <v>4.26</v>
      </c>
    </row>
    <row r="10" spans="1:21" customFormat="1">
      <c r="A10" s="50">
        <v>45591.083333333336</v>
      </c>
      <c r="B10" s="51">
        <v>5.17</v>
      </c>
      <c r="C10" s="51">
        <v>8.09</v>
      </c>
      <c r="D10" s="51">
        <v>13.92</v>
      </c>
      <c r="E10" s="51">
        <v>11.5</v>
      </c>
      <c r="F10" s="51">
        <v>5.89</v>
      </c>
      <c r="G10" s="51">
        <v>44.7</v>
      </c>
      <c r="H10" s="51">
        <v>6.51</v>
      </c>
      <c r="I10" s="51">
        <v>7.25</v>
      </c>
      <c r="J10" s="51">
        <v>0.25</v>
      </c>
      <c r="K10" s="51">
        <v>53.11</v>
      </c>
      <c r="L10" s="51">
        <v>23.2</v>
      </c>
      <c r="M10" s="51">
        <v>89.64</v>
      </c>
      <c r="N10" s="51">
        <v>2</v>
      </c>
      <c r="O10" s="51">
        <v>0</v>
      </c>
      <c r="P10" s="51">
        <v>0.55000000000000004</v>
      </c>
      <c r="Q10" s="51">
        <v>4.26</v>
      </c>
    </row>
    <row r="11" spans="1:21" customFormat="1">
      <c r="A11" s="50">
        <v>45591.125</v>
      </c>
      <c r="B11" s="51">
        <v>5.15</v>
      </c>
      <c r="C11" s="51">
        <v>8.08</v>
      </c>
      <c r="D11" s="51">
        <v>13.92</v>
      </c>
      <c r="E11" s="51">
        <v>12.62</v>
      </c>
      <c r="F11" s="51">
        <v>6.05</v>
      </c>
      <c r="G11" s="51">
        <v>46.29</v>
      </c>
      <c r="H11" s="51">
        <v>9.33</v>
      </c>
      <c r="I11" s="51">
        <v>7.1</v>
      </c>
      <c r="J11" s="51">
        <v>0.42</v>
      </c>
      <c r="K11" s="51">
        <v>54.28</v>
      </c>
      <c r="L11" s="51">
        <v>22.91</v>
      </c>
      <c r="M11" s="51">
        <v>89.14</v>
      </c>
      <c r="N11" s="51">
        <v>1.9</v>
      </c>
      <c r="O11" s="51">
        <v>0</v>
      </c>
      <c r="P11" s="51">
        <v>0.54</v>
      </c>
      <c r="Q11" s="51">
        <v>4.25</v>
      </c>
    </row>
    <row r="12" spans="1:21" customFormat="1">
      <c r="A12" s="50">
        <v>45591.166666666664</v>
      </c>
      <c r="B12" s="51">
        <v>5.16</v>
      </c>
      <c r="C12" s="51">
        <v>8.09</v>
      </c>
      <c r="D12" s="51">
        <v>13.91</v>
      </c>
      <c r="E12" s="51">
        <v>12.48</v>
      </c>
      <c r="F12" s="51">
        <v>5.93</v>
      </c>
      <c r="G12" s="51">
        <v>46.57</v>
      </c>
      <c r="H12" s="51">
        <v>9.33</v>
      </c>
      <c r="I12" s="51">
        <v>7.1</v>
      </c>
      <c r="J12" s="51">
        <v>0.44</v>
      </c>
      <c r="K12" s="51">
        <v>52.6</v>
      </c>
      <c r="L12" s="51">
        <v>22.72</v>
      </c>
      <c r="M12" s="51">
        <v>89.76</v>
      </c>
      <c r="N12" s="51">
        <v>2</v>
      </c>
      <c r="O12" s="51">
        <v>0</v>
      </c>
      <c r="P12" s="51">
        <v>0.54</v>
      </c>
      <c r="Q12" s="51">
        <v>4.25</v>
      </c>
    </row>
    <row r="13" spans="1:21" customFormat="1">
      <c r="A13" s="50">
        <v>45591.208333333336</v>
      </c>
      <c r="B13" s="51">
        <v>5.16</v>
      </c>
      <c r="C13" s="51">
        <v>8.08</v>
      </c>
      <c r="D13" s="51">
        <v>13.91</v>
      </c>
      <c r="E13" s="51">
        <v>11.88</v>
      </c>
      <c r="F13" s="51">
        <v>5.72</v>
      </c>
      <c r="G13" s="51">
        <v>45.74</v>
      </c>
      <c r="H13" s="51">
        <v>11.99</v>
      </c>
      <c r="I13" s="51">
        <v>6.7</v>
      </c>
      <c r="J13" s="51">
        <v>0.49</v>
      </c>
      <c r="K13" s="51">
        <v>57.98</v>
      </c>
      <c r="L13" s="51">
        <v>22.37</v>
      </c>
      <c r="M13" s="51">
        <v>91.23</v>
      </c>
      <c r="N13" s="51">
        <v>1.9</v>
      </c>
      <c r="O13" s="51">
        <v>0</v>
      </c>
      <c r="P13" s="51">
        <v>0.54</v>
      </c>
      <c r="Q13" s="51">
        <v>4.25</v>
      </c>
    </row>
    <row r="14" spans="1:21" customFormat="1">
      <c r="A14" s="50">
        <v>45591.25</v>
      </c>
      <c r="B14" s="51">
        <v>5.14</v>
      </c>
      <c r="C14" s="51">
        <v>8.09</v>
      </c>
      <c r="D14" s="51">
        <v>13.91</v>
      </c>
      <c r="E14" s="51">
        <v>11.63</v>
      </c>
      <c r="F14" s="51">
        <v>5.7</v>
      </c>
      <c r="G14" s="51">
        <v>47.16</v>
      </c>
      <c r="H14" s="51">
        <v>13.54</v>
      </c>
      <c r="I14" s="51">
        <v>6.29</v>
      </c>
      <c r="J14" s="51">
        <v>0.69</v>
      </c>
      <c r="K14" s="51">
        <v>57.5</v>
      </c>
      <c r="L14" s="51">
        <v>22.09</v>
      </c>
      <c r="M14" s="51">
        <v>95.91</v>
      </c>
      <c r="N14" s="51">
        <v>4.5999999999999996</v>
      </c>
      <c r="O14" s="51">
        <v>0</v>
      </c>
      <c r="P14" s="51">
        <v>0.55000000000000004</v>
      </c>
      <c r="Q14" s="51">
        <v>4.26</v>
      </c>
    </row>
    <row r="15" spans="1:21" customFormat="1">
      <c r="A15" s="50">
        <v>45591.291666666664</v>
      </c>
      <c r="B15" s="51">
        <v>5.16</v>
      </c>
      <c r="C15" s="51">
        <v>8.09</v>
      </c>
      <c r="D15" s="51">
        <v>13.92</v>
      </c>
      <c r="E15" s="51">
        <v>11.33</v>
      </c>
      <c r="F15" s="51">
        <v>5.86</v>
      </c>
      <c r="G15" s="51">
        <v>56.24</v>
      </c>
      <c r="H15" s="51">
        <v>13.54</v>
      </c>
      <c r="I15" s="51">
        <v>6.33</v>
      </c>
      <c r="J15" s="51">
        <v>0.65</v>
      </c>
      <c r="K15" s="51">
        <v>64.48</v>
      </c>
      <c r="L15" s="51">
        <v>22.56</v>
      </c>
      <c r="M15" s="51">
        <v>101.83</v>
      </c>
      <c r="N15" s="51">
        <v>39</v>
      </c>
      <c r="O15" s="51">
        <v>0</v>
      </c>
      <c r="P15" s="51">
        <v>0.56000000000000005</v>
      </c>
      <c r="Q15" s="51">
        <v>4.26</v>
      </c>
    </row>
    <row r="16" spans="1:21" customFormat="1">
      <c r="A16" s="50">
        <v>45591.333333333336</v>
      </c>
      <c r="B16" s="51">
        <v>5.16</v>
      </c>
      <c r="C16" s="51">
        <v>8.09</v>
      </c>
      <c r="D16" s="51">
        <v>13.92</v>
      </c>
      <c r="E16" s="51">
        <v>11.68</v>
      </c>
      <c r="F16" s="51">
        <v>6.02</v>
      </c>
      <c r="G16" s="51">
        <v>58.3</v>
      </c>
      <c r="H16" s="51">
        <v>14.91</v>
      </c>
      <c r="I16" s="51">
        <v>6.46</v>
      </c>
      <c r="J16" s="51">
        <v>0.89</v>
      </c>
      <c r="K16" s="51">
        <v>53.8</v>
      </c>
      <c r="L16" s="51">
        <v>24.83</v>
      </c>
      <c r="M16" s="51">
        <v>93.91</v>
      </c>
      <c r="N16" s="51">
        <v>197.5</v>
      </c>
      <c r="O16" s="51">
        <v>0</v>
      </c>
      <c r="P16" s="51">
        <v>0.6</v>
      </c>
      <c r="Q16" s="51">
        <v>4.26</v>
      </c>
    </row>
    <row r="17" spans="1:17" customFormat="1">
      <c r="A17" s="50">
        <v>45591.375</v>
      </c>
      <c r="B17" s="51">
        <v>5.14</v>
      </c>
      <c r="C17" s="51">
        <v>8.08</v>
      </c>
      <c r="D17" s="51">
        <v>13.91</v>
      </c>
      <c r="E17" s="51">
        <v>12.21</v>
      </c>
      <c r="F17" s="51">
        <v>6.84</v>
      </c>
      <c r="G17" s="51">
        <v>58.4</v>
      </c>
      <c r="H17" s="51">
        <v>14.91</v>
      </c>
      <c r="I17" s="51">
        <v>6.37</v>
      </c>
      <c r="J17" s="51">
        <v>1.07</v>
      </c>
      <c r="K17" s="51">
        <v>44.92</v>
      </c>
      <c r="L17" s="51">
        <v>26.68</v>
      </c>
      <c r="M17" s="51">
        <v>76.540000000000006</v>
      </c>
      <c r="N17" s="51">
        <v>338.3</v>
      </c>
      <c r="O17" s="51">
        <v>0</v>
      </c>
      <c r="P17" s="51">
        <v>0.59</v>
      </c>
      <c r="Q17" s="51">
        <v>4.26</v>
      </c>
    </row>
    <row r="18" spans="1:17" customFormat="1">
      <c r="A18" s="50">
        <v>45591.416666666664</v>
      </c>
      <c r="B18" s="51">
        <v>5.19</v>
      </c>
      <c r="C18" s="51">
        <v>8.08</v>
      </c>
      <c r="D18" s="51">
        <v>13.94</v>
      </c>
      <c r="E18" s="51">
        <v>13.65</v>
      </c>
      <c r="F18" s="51">
        <v>11</v>
      </c>
      <c r="G18" s="51">
        <v>50.2</v>
      </c>
      <c r="H18" s="51">
        <v>13.84</v>
      </c>
      <c r="I18" s="51">
        <v>5.96</v>
      </c>
      <c r="J18" s="51">
        <v>1.18</v>
      </c>
      <c r="K18" s="51">
        <v>45.12</v>
      </c>
      <c r="L18" s="51">
        <v>28.25</v>
      </c>
      <c r="M18" s="51">
        <v>70.260000000000005</v>
      </c>
      <c r="N18" s="51">
        <v>153.4</v>
      </c>
      <c r="O18" s="51">
        <v>0</v>
      </c>
      <c r="P18" s="51">
        <v>0.55000000000000004</v>
      </c>
      <c r="Q18" s="51">
        <v>4.2699999999999996</v>
      </c>
    </row>
    <row r="19" spans="1:17" customFormat="1">
      <c r="A19" s="50">
        <v>45591.458333333336</v>
      </c>
      <c r="B19" s="51">
        <v>5.19</v>
      </c>
      <c r="C19" s="51">
        <v>8.07</v>
      </c>
      <c r="D19" s="51">
        <v>13.94</v>
      </c>
      <c r="E19" s="51">
        <v>12.91</v>
      </c>
      <c r="F19" s="51">
        <v>12.1</v>
      </c>
      <c r="G19" s="51">
        <v>44.22</v>
      </c>
      <c r="H19" s="51">
        <v>13.98</v>
      </c>
      <c r="I19" s="51">
        <v>5.68</v>
      </c>
      <c r="J19" s="51">
        <v>1.1599999999999999</v>
      </c>
      <c r="K19" s="51">
        <v>49.66</v>
      </c>
      <c r="L19" s="51">
        <v>29.37</v>
      </c>
      <c r="M19" s="51">
        <v>63.02</v>
      </c>
      <c r="N19" s="51">
        <v>613.20000000000005</v>
      </c>
      <c r="O19" s="51">
        <v>0</v>
      </c>
      <c r="P19" s="51">
        <v>0.53</v>
      </c>
      <c r="Q19" s="51">
        <v>4.26</v>
      </c>
    </row>
    <row r="20" spans="1:17" customFormat="1">
      <c r="A20" s="50">
        <v>45591.5</v>
      </c>
      <c r="B20" s="51">
        <v>5.17</v>
      </c>
      <c r="C20" s="51">
        <v>8.09</v>
      </c>
      <c r="D20" s="51">
        <v>13.94</v>
      </c>
      <c r="E20" s="51">
        <v>12.47</v>
      </c>
      <c r="F20" s="51">
        <v>15.16</v>
      </c>
      <c r="G20" s="51">
        <v>44.2</v>
      </c>
      <c r="H20" s="51">
        <v>14.47</v>
      </c>
      <c r="I20" s="51">
        <v>5.7</v>
      </c>
      <c r="J20" s="51">
        <v>1.41</v>
      </c>
      <c r="K20" s="51">
        <v>45.86</v>
      </c>
      <c r="L20" s="51">
        <v>30.01</v>
      </c>
      <c r="M20" s="51">
        <v>58.82</v>
      </c>
      <c r="N20" s="51">
        <v>686.5</v>
      </c>
      <c r="O20" s="51">
        <v>0</v>
      </c>
      <c r="P20" s="51">
        <v>0.5</v>
      </c>
      <c r="Q20" s="51">
        <v>4.25</v>
      </c>
    </row>
    <row r="21" spans="1:17" customFormat="1">
      <c r="A21" s="50">
        <v>45591.541666666664</v>
      </c>
      <c r="B21" s="51">
        <v>5.17</v>
      </c>
      <c r="C21" s="51">
        <v>8.1</v>
      </c>
      <c r="D21" s="51">
        <v>13.93</v>
      </c>
      <c r="E21" s="51">
        <v>12.47</v>
      </c>
      <c r="F21" s="51">
        <v>15.85</v>
      </c>
      <c r="G21" s="51">
        <v>42.42</v>
      </c>
      <c r="H21" s="51">
        <v>16.73</v>
      </c>
      <c r="I21" s="51">
        <v>5.49</v>
      </c>
      <c r="J21" s="51">
        <v>1.31</v>
      </c>
      <c r="K21" s="51">
        <v>45.59</v>
      </c>
      <c r="L21" s="51">
        <v>30.24</v>
      </c>
      <c r="M21" s="51">
        <v>56.19</v>
      </c>
      <c r="N21" s="51">
        <v>679.6</v>
      </c>
      <c r="O21" s="51">
        <v>0</v>
      </c>
      <c r="P21" s="51">
        <v>0.49</v>
      </c>
      <c r="Q21" s="51">
        <v>4.25</v>
      </c>
    </row>
    <row r="22" spans="1:17" customFormat="1">
      <c r="A22" s="50">
        <v>45591.583333333336</v>
      </c>
      <c r="B22" s="51">
        <v>5.17</v>
      </c>
      <c r="C22" s="51">
        <v>8.06</v>
      </c>
      <c r="D22" s="51">
        <v>13.91</v>
      </c>
      <c r="E22" s="51">
        <v>11.6</v>
      </c>
      <c r="F22" s="51">
        <v>15.76</v>
      </c>
      <c r="G22" s="51">
        <v>40.619999999999997</v>
      </c>
      <c r="H22" s="51">
        <v>18.760000000000002</v>
      </c>
      <c r="I22" s="51">
        <v>5.26</v>
      </c>
      <c r="J22" s="51">
        <v>1.31</v>
      </c>
      <c r="K22" s="51">
        <v>49.7</v>
      </c>
      <c r="L22" s="51">
        <v>30.68</v>
      </c>
      <c r="M22" s="51">
        <v>55.9</v>
      </c>
      <c r="N22" s="51">
        <v>472.3</v>
      </c>
      <c r="O22" s="51">
        <v>0</v>
      </c>
      <c r="P22" s="51">
        <v>0.48</v>
      </c>
      <c r="Q22" s="51">
        <v>4.26</v>
      </c>
    </row>
    <row r="23" spans="1:17" customFormat="1">
      <c r="A23" s="50">
        <v>45591.625</v>
      </c>
      <c r="B23" s="51">
        <v>5.17</v>
      </c>
      <c r="C23" s="51">
        <v>8.07</v>
      </c>
      <c r="D23" s="51">
        <v>13.92</v>
      </c>
      <c r="E23" s="51">
        <v>11.12</v>
      </c>
      <c r="F23" s="51">
        <v>17.47</v>
      </c>
      <c r="G23" s="51">
        <v>39.36</v>
      </c>
      <c r="H23" s="51">
        <v>18.760000000000002</v>
      </c>
      <c r="I23" s="51">
        <v>5.36</v>
      </c>
      <c r="J23" s="51">
        <v>1.19</v>
      </c>
      <c r="K23" s="51">
        <v>43.32</v>
      </c>
      <c r="L23" s="51">
        <v>30.66</v>
      </c>
      <c r="M23" s="51">
        <v>55.45</v>
      </c>
      <c r="N23" s="51">
        <v>119.2</v>
      </c>
      <c r="O23" s="51">
        <v>0</v>
      </c>
      <c r="P23" s="51">
        <v>0.47</v>
      </c>
      <c r="Q23" s="51">
        <v>4.26</v>
      </c>
    </row>
    <row r="24" spans="1:17" customFormat="1">
      <c r="A24" s="50">
        <v>45591.666666666664</v>
      </c>
      <c r="B24" s="51">
        <v>5.19</v>
      </c>
      <c r="C24" s="51">
        <v>8.1300000000000008</v>
      </c>
      <c r="D24" s="51">
        <v>13.96</v>
      </c>
      <c r="E24" s="51">
        <v>10.75</v>
      </c>
      <c r="F24" s="51">
        <v>18.43</v>
      </c>
      <c r="G24" s="51">
        <v>38.26</v>
      </c>
      <c r="H24" s="51">
        <v>17.420000000000002</v>
      </c>
      <c r="I24" s="51">
        <v>4.92</v>
      </c>
      <c r="J24" s="51">
        <v>1.1399999999999999</v>
      </c>
      <c r="K24" s="51">
        <v>54.13</v>
      </c>
      <c r="L24" s="51">
        <v>30.04</v>
      </c>
      <c r="M24" s="51">
        <v>56.05</v>
      </c>
      <c r="N24" s="51">
        <v>51.2</v>
      </c>
      <c r="O24" s="51">
        <v>0</v>
      </c>
      <c r="P24" s="51">
        <v>0.46</v>
      </c>
      <c r="Q24" s="51">
        <v>4.26</v>
      </c>
    </row>
    <row r="25" spans="1:17" customFormat="1">
      <c r="A25" s="50">
        <v>45591.708333333336</v>
      </c>
      <c r="B25" s="51">
        <v>5.19</v>
      </c>
      <c r="C25" s="51">
        <v>8.1</v>
      </c>
      <c r="D25" s="51">
        <v>13.96</v>
      </c>
      <c r="E25" s="51">
        <v>10.19</v>
      </c>
      <c r="F25" s="51">
        <v>13.45</v>
      </c>
      <c r="G25" s="51">
        <v>38.67</v>
      </c>
      <c r="H25" s="51">
        <v>17.420000000000002</v>
      </c>
      <c r="I25" s="51">
        <v>4.63</v>
      </c>
      <c r="J25" s="51">
        <v>0.96</v>
      </c>
      <c r="K25" s="51">
        <v>49.61</v>
      </c>
      <c r="L25" s="51">
        <v>29.63</v>
      </c>
      <c r="M25" s="51">
        <v>61.14</v>
      </c>
      <c r="N25" s="51">
        <v>39.9</v>
      </c>
      <c r="O25" s="51">
        <v>0</v>
      </c>
      <c r="P25" s="51">
        <v>0.49</v>
      </c>
      <c r="Q25" s="51">
        <v>4.26</v>
      </c>
    </row>
    <row r="26" spans="1:17" customFormat="1">
      <c r="A26" s="50">
        <v>45591.75</v>
      </c>
      <c r="B26" s="51">
        <v>5.18</v>
      </c>
      <c r="C26" s="51">
        <v>8.07</v>
      </c>
      <c r="D26" s="51">
        <v>13.94</v>
      </c>
      <c r="E26" s="51">
        <v>11</v>
      </c>
      <c r="F26" s="51">
        <v>11.17</v>
      </c>
      <c r="G26" s="51">
        <v>47.94</v>
      </c>
      <c r="H26" s="51">
        <v>16.98</v>
      </c>
      <c r="I26" s="51">
        <v>4.87</v>
      </c>
      <c r="J26" s="51">
        <v>0.41</v>
      </c>
      <c r="K26" s="51">
        <v>54.98</v>
      </c>
      <c r="L26" s="51">
        <v>28.28</v>
      </c>
      <c r="M26" s="51">
        <v>69.44</v>
      </c>
      <c r="N26" s="51">
        <v>4.8</v>
      </c>
      <c r="O26" s="51">
        <v>0</v>
      </c>
      <c r="P26" s="51">
        <v>0.6</v>
      </c>
      <c r="Q26" s="51">
        <v>4.25</v>
      </c>
    </row>
    <row r="27" spans="1:17" customFormat="1">
      <c r="A27" s="50">
        <v>45591.791666666664</v>
      </c>
      <c r="B27" s="51">
        <v>5.16</v>
      </c>
      <c r="C27" s="51">
        <v>8.1</v>
      </c>
      <c r="D27" s="51">
        <v>13.92</v>
      </c>
      <c r="E27" s="51">
        <v>11.01</v>
      </c>
      <c r="F27" s="51">
        <v>7.49</v>
      </c>
      <c r="G27" s="51">
        <v>55.45</v>
      </c>
      <c r="H27" s="51">
        <v>16.03</v>
      </c>
      <c r="I27" s="51">
        <v>5.56</v>
      </c>
      <c r="J27" s="51">
        <v>0.26</v>
      </c>
      <c r="K27" s="51">
        <v>59.45</v>
      </c>
      <c r="L27" s="51">
        <v>27.44</v>
      </c>
      <c r="M27" s="51">
        <v>77.989999999999995</v>
      </c>
      <c r="N27" s="51">
        <v>2.1</v>
      </c>
      <c r="O27" s="51">
        <v>0</v>
      </c>
      <c r="P27" s="51">
        <v>0.66</v>
      </c>
      <c r="Q27" s="51">
        <v>4.25</v>
      </c>
    </row>
    <row r="28" spans="1:17" customFormat="1">
      <c r="A28" s="50">
        <v>45591.833333333336</v>
      </c>
      <c r="B28" s="51">
        <v>5.13</v>
      </c>
      <c r="C28" s="51">
        <v>8.09</v>
      </c>
      <c r="D28" s="51">
        <v>13.91</v>
      </c>
      <c r="E28" s="51">
        <v>11.19</v>
      </c>
      <c r="F28" s="51">
        <v>6.76</v>
      </c>
      <c r="G28" s="51">
        <v>66.63</v>
      </c>
      <c r="H28" s="51">
        <v>15.2</v>
      </c>
      <c r="I28" s="51">
        <v>6.32</v>
      </c>
      <c r="J28" s="51">
        <v>0.28999999999999998</v>
      </c>
      <c r="K28" s="51">
        <v>97.86</v>
      </c>
      <c r="L28" s="51">
        <v>26.92</v>
      </c>
      <c r="M28" s="51">
        <v>68.319999999999993</v>
      </c>
      <c r="N28" s="51">
        <v>2.2000000000000002</v>
      </c>
      <c r="O28" s="51">
        <v>0</v>
      </c>
      <c r="P28" s="51">
        <v>0.68</v>
      </c>
      <c r="Q28" s="51">
        <v>4.26</v>
      </c>
    </row>
    <row r="29" spans="1:17" customFormat="1">
      <c r="A29" s="50">
        <v>45591.875</v>
      </c>
      <c r="B29" s="51">
        <v>5.14</v>
      </c>
      <c r="C29" s="51">
        <v>8.1</v>
      </c>
      <c r="D29" s="51">
        <v>13.91</v>
      </c>
      <c r="E29" s="51">
        <v>11.07</v>
      </c>
      <c r="F29" s="51">
        <v>7.01</v>
      </c>
      <c r="G29" s="51">
        <v>74.400000000000006</v>
      </c>
      <c r="H29" s="51">
        <v>17.850000000000001</v>
      </c>
      <c r="I29" s="51">
        <v>7.05</v>
      </c>
      <c r="J29" s="51">
        <v>0.21</v>
      </c>
      <c r="K29" s="51">
        <v>55.01</v>
      </c>
      <c r="L29" s="51">
        <v>26.51</v>
      </c>
      <c r="M29" s="51">
        <v>67.790000000000006</v>
      </c>
      <c r="N29" s="51">
        <v>2.1</v>
      </c>
      <c r="O29" s="51">
        <v>0</v>
      </c>
      <c r="P29" s="51">
        <v>0.72</v>
      </c>
      <c r="Q29" s="51">
        <v>4.25</v>
      </c>
    </row>
    <row r="30" spans="1:17" customFormat="1">
      <c r="A30" s="50">
        <v>45591.916666666664</v>
      </c>
      <c r="B30" s="51">
        <v>5.1100000000000003</v>
      </c>
      <c r="C30" s="51">
        <v>8.09</v>
      </c>
      <c r="D30" s="51">
        <v>13.89</v>
      </c>
      <c r="E30" s="51">
        <v>11.92</v>
      </c>
      <c r="F30" s="51">
        <v>7.27</v>
      </c>
      <c r="G30" s="51">
        <v>75.39</v>
      </c>
      <c r="H30" s="51">
        <v>17.850000000000001</v>
      </c>
      <c r="I30" s="51">
        <v>7.08</v>
      </c>
      <c r="J30" s="51">
        <v>0.32</v>
      </c>
      <c r="K30" s="51">
        <v>49.86</v>
      </c>
      <c r="L30" s="51">
        <v>26.14</v>
      </c>
      <c r="M30" s="51">
        <v>75.94</v>
      </c>
      <c r="N30" s="51">
        <v>2.1</v>
      </c>
      <c r="O30" s="51">
        <v>0</v>
      </c>
      <c r="P30" s="51">
        <v>0.71</v>
      </c>
      <c r="Q30" s="51">
        <v>4.26</v>
      </c>
    </row>
    <row r="31" spans="1:17" customFormat="1">
      <c r="A31" s="50">
        <v>45591.958333333336</v>
      </c>
      <c r="B31" s="51">
        <v>5.0999999999999996</v>
      </c>
      <c r="C31" s="51">
        <v>8.08</v>
      </c>
      <c r="D31" s="51">
        <v>13.87</v>
      </c>
      <c r="E31" s="51">
        <v>11.74</v>
      </c>
      <c r="F31" s="51">
        <v>6.93</v>
      </c>
      <c r="G31" s="51">
        <v>71.930000000000007</v>
      </c>
      <c r="H31" s="51">
        <v>17.59</v>
      </c>
      <c r="I31" s="51">
        <v>7.13</v>
      </c>
      <c r="J31" s="51">
        <v>0.51</v>
      </c>
      <c r="K31" s="51">
        <v>54.93</v>
      </c>
      <c r="L31" s="51">
        <v>25.65</v>
      </c>
      <c r="M31" s="51">
        <v>80.47</v>
      </c>
      <c r="N31" s="51">
        <v>2.1</v>
      </c>
      <c r="O31" s="51">
        <v>0</v>
      </c>
      <c r="P31" s="51">
        <v>0.7</v>
      </c>
      <c r="Q31" s="51">
        <v>4.2699999999999996</v>
      </c>
    </row>
    <row r="32" spans="1:17" customFormat="1">
      <c r="A32" s="50">
        <v>45592</v>
      </c>
      <c r="B32" s="51">
        <v>5.0999999999999996</v>
      </c>
      <c r="C32" s="51">
        <v>8.09</v>
      </c>
      <c r="D32" s="51">
        <v>13.88</v>
      </c>
      <c r="E32" s="51">
        <v>11.83</v>
      </c>
      <c r="F32" s="51">
        <v>6.58</v>
      </c>
      <c r="G32" s="51">
        <v>70.239999999999995</v>
      </c>
      <c r="H32" s="51">
        <v>19.420000000000002</v>
      </c>
      <c r="I32" s="51">
        <v>7.13</v>
      </c>
      <c r="J32" s="51">
        <v>0.38</v>
      </c>
      <c r="K32" s="51">
        <v>59</v>
      </c>
      <c r="L32" s="51">
        <v>25.13</v>
      </c>
      <c r="M32" s="51">
        <v>79.41</v>
      </c>
      <c r="N32" s="51">
        <v>2.1</v>
      </c>
      <c r="O32" s="51">
        <v>0</v>
      </c>
      <c r="P32" s="51">
        <v>0.7</v>
      </c>
      <c r="Q32" s="51">
        <v>4.26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5.0999999999999996</v>
      </c>
      <c r="C34" s="41">
        <f t="shared" si="0"/>
        <v>8.06</v>
      </c>
      <c r="D34" s="41">
        <f t="shared" si="0"/>
        <v>13.87</v>
      </c>
      <c r="E34" s="41">
        <f t="shared" si="0"/>
        <v>10.19</v>
      </c>
      <c r="F34" s="41">
        <f t="shared" si="0"/>
        <v>5.7</v>
      </c>
      <c r="G34" s="41">
        <f t="shared" si="0"/>
        <v>38.26</v>
      </c>
      <c r="H34" s="41">
        <f t="shared" si="0"/>
        <v>6.51</v>
      </c>
      <c r="I34" s="41">
        <f t="shared" si="0"/>
        <v>4.63</v>
      </c>
      <c r="J34" s="41">
        <f t="shared" si="0"/>
        <v>0.21</v>
      </c>
      <c r="K34" s="41">
        <f t="shared" si="0"/>
        <v>43.32</v>
      </c>
      <c r="L34" s="41">
        <f t="shared" si="0"/>
        <v>22.09</v>
      </c>
      <c r="M34" s="41">
        <f t="shared" si="0"/>
        <v>55.45</v>
      </c>
      <c r="N34" s="41">
        <f t="shared" si="0"/>
        <v>1.9</v>
      </c>
      <c r="O34" s="41">
        <f t="shared" si="0"/>
        <v>0</v>
      </c>
      <c r="P34" s="41">
        <f t="shared" si="0"/>
        <v>0.46</v>
      </c>
      <c r="Q34" s="41">
        <f t="shared" si="0"/>
        <v>4.25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5.19</v>
      </c>
      <c r="C35" s="33">
        <f t="shared" si="1"/>
        <v>8.1300000000000008</v>
      </c>
      <c r="D35" s="33">
        <f t="shared" si="1"/>
        <v>13.96</v>
      </c>
      <c r="E35" s="33">
        <f t="shared" si="1"/>
        <v>13.65</v>
      </c>
      <c r="F35" s="33">
        <f t="shared" si="1"/>
        <v>18.43</v>
      </c>
      <c r="G35" s="33">
        <f t="shared" si="1"/>
        <v>75.39</v>
      </c>
      <c r="H35" s="33">
        <f t="shared" si="1"/>
        <v>19.420000000000002</v>
      </c>
      <c r="I35" s="33">
        <f t="shared" si="1"/>
        <v>7.35</v>
      </c>
      <c r="J35" s="33">
        <f t="shared" si="1"/>
        <v>1.41</v>
      </c>
      <c r="K35" s="33">
        <f t="shared" si="1"/>
        <v>97.86</v>
      </c>
      <c r="L35" s="33">
        <f t="shared" si="1"/>
        <v>30.68</v>
      </c>
      <c r="M35" s="33">
        <f t="shared" si="1"/>
        <v>101.83</v>
      </c>
      <c r="N35" s="33">
        <f t="shared" si="1"/>
        <v>686.5</v>
      </c>
      <c r="O35" s="33">
        <f t="shared" si="1"/>
        <v>0</v>
      </c>
      <c r="P35" s="33">
        <f t="shared" si="1"/>
        <v>0.72</v>
      </c>
      <c r="Q35" s="33">
        <f t="shared" si="1"/>
        <v>4.2699999999999996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5.1562499999999991</v>
      </c>
      <c r="C36" s="41">
        <f t="shared" si="2"/>
        <v>8.0883333333333329</v>
      </c>
      <c r="D36" s="41">
        <f t="shared" si="2"/>
        <v>13.919583333333335</v>
      </c>
      <c r="E36" s="41">
        <f t="shared" si="2"/>
        <v>11.740833333333333</v>
      </c>
      <c r="F36" s="41">
        <f t="shared" si="2"/>
        <v>9.4350000000000005</v>
      </c>
      <c r="G36" s="41">
        <f t="shared" si="2"/>
        <v>52.107500000000009</v>
      </c>
      <c r="H36" s="41">
        <f t="shared" si="2"/>
        <v>14.787083333333333</v>
      </c>
      <c r="I36" s="41">
        <f t="shared" si="2"/>
        <v>6.2120833333333332</v>
      </c>
      <c r="J36" s="41">
        <f t="shared" si="2"/>
        <v>0.72166666666666668</v>
      </c>
      <c r="K36" s="41">
        <f t="shared" si="2"/>
        <v>54.361250000000005</v>
      </c>
      <c r="L36" s="41">
        <f t="shared" si="2"/>
        <v>26.49</v>
      </c>
      <c r="M36" s="41">
        <f t="shared" si="2"/>
        <v>75.470416666666679</v>
      </c>
      <c r="N36" s="41">
        <f t="shared" si="2"/>
        <v>142.58333333333331</v>
      </c>
      <c r="O36" s="41">
        <f t="shared" si="2"/>
        <v>0</v>
      </c>
      <c r="P36" s="41">
        <f t="shared" si="2"/>
        <v>0.57333333333333336</v>
      </c>
      <c r="Q36" s="41">
        <f t="shared" si="2"/>
        <v>4.2575000000000003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2.6508817236994092E-2</v>
      </c>
      <c r="C37" s="41">
        <f t="shared" ref="C37:Q37" si="3">STDEV(C9:C32)</f>
        <v>1.4645571126561969E-2</v>
      </c>
      <c r="D37" s="41">
        <f t="shared" si="3"/>
        <v>2.1564698743178821E-2</v>
      </c>
      <c r="E37" s="41">
        <f t="shared" si="3"/>
        <v>0.76867427752434658</v>
      </c>
      <c r="F37" s="41">
        <f t="shared" si="3"/>
        <v>4.3291579661236881</v>
      </c>
      <c r="G37" s="41">
        <f t="shared" si="3"/>
        <v>11.781005068956626</v>
      </c>
      <c r="H37" s="41">
        <f t="shared" si="3"/>
        <v>3.5117745782447227</v>
      </c>
      <c r="I37" s="41">
        <f t="shared" si="3"/>
        <v>0.8497364254600468</v>
      </c>
      <c r="J37" s="41">
        <f t="shared" si="3"/>
        <v>0.40752345002323576</v>
      </c>
      <c r="K37" s="41">
        <f t="shared" si="3"/>
        <v>10.651267045469885</v>
      </c>
      <c r="L37" s="41">
        <f t="shared" si="3"/>
        <v>2.977360955757546</v>
      </c>
      <c r="M37" s="41">
        <f t="shared" si="3"/>
        <v>14.478122770209994</v>
      </c>
      <c r="N37" s="41">
        <f t="shared" si="3"/>
        <v>232.31517883866428</v>
      </c>
      <c r="O37" s="41">
        <f t="shared" si="3"/>
        <v>0</v>
      </c>
      <c r="P37" s="41">
        <f t="shared" si="3"/>
        <v>8.1276054908252182E-2</v>
      </c>
      <c r="Q37" s="41">
        <f t="shared" si="3"/>
        <v>6.0791875887431573E-3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24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45592.041666666664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>
        <v>45592.041666666664</v>
      </c>
      <c r="B9" s="51">
        <v>5.26</v>
      </c>
      <c r="C9" s="51">
        <v>8.06</v>
      </c>
      <c r="D9" s="51">
        <v>13.98</v>
      </c>
      <c r="E9" s="51">
        <v>11.5</v>
      </c>
      <c r="F9" s="51">
        <v>5.88</v>
      </c>
      <c r="G9" s="51">
        <v>69.42</v>
      </c>
      <c r="H9" s="51">
        <v>19.420000000000002</v>
      </c>
      <c r="I9" s="51">
        <v>6.98</v>
      </c>
      <c r="J9" s="51">
        <v>0.34</v>
      </c>
      <c r="K9" s="51">
        <v>55.23</v>
      </c>
      <c r="L9" s="51">
        <v>24.69</v>
      </c>
      <c r="M9" s="51">
        <v>84.5</v>
      </c>
      <c r="N9" s="51">
        <v>2.1</v>
      </c>
      <c r="O9" s="51">
        <v>0</v>
      </c>
      <c r="P9" s="51">
        <v>0.7</v>
      </c>
      <c r="Q9" s="51">
        <v>4.2699999999999996</v>
      </c>
    </row>
    <row r="10" spans="1:21" customFormat="1">
      <c r="A10" s="50">
        <v>45592.083333333336</v>
      </c>
      <c r="B10" s="51">
        <v>5.25</v>
      </c>
      <c r="C10" s="51">
        <v>8.07</v>
      </c>
      <c r="D10" s="51">
        <v>13.99</v>
      </c>
      <c r="E10" s="51">
        <v>11.54</v>
      </c>
      <c r="F10" s="51">
        <v>5.86</v>
      </c>
      <c r="G10" s="51">
        <v>67.89</v>
      </c>
      <c r="H10" s="51">
        <v>17.73</v>
      </c>
      <c r="I10" s="51">
        <v>6.76</v>
      </c>
      <c r="J10" s="51">
        <v>0.27</v>
      </c>
      <c r="K10" s="51">
        <v>75.34</v>
      </c>
      <c r="L10" s="51">
        <v>24.32</v>
      </c>
      <c r="M10" s="51">
        <v>91.73</v>
      </c>
      <c r="N10" s="51">
        <v>2.1</v>
      </c>
      <c r="O10" s="51">
        <v>0</v>
      </c>
      <c r="P10" s="51">
        <v>0.7</v>
      </c>
      <c r="Q10" s="51">
        <v>4.28</v>
      </c>
    </row>
    <row r="11" spans="1:21" customFormat="1">
      <c r="A11" s="50">
        <v>45592.125</v>
      </c>
      <c r="B11" s="51">
        <v>5.25</v>
      </c>
      <c r="C11" s="51">
        <v>8.1199999999999992</v>
      </c>
      <c r="D11" s="51">
        <v>13.99</v>
      </c>
      <c r="E11" s="51">
        <v>10.29</v>
      </c>
      <c r="F11" s="51">
        <v>5.58</v>
      </c>
      <c r="G11" s="51">
        <v>74.989999999999995</v>
      </c>
      <c r="H11" s="51">
        <v>18.66</v>
      </c>
      <c r="I11" s="51">
        <v>6.49</v>
      </c>
      <c r="J11" s="51">
        <v>0.17</v>
      </c>
      <c r="K11" s="51">
        <v>96.52</v>
      </c>
      <c r="L11" s="51">
        <v>23.99</v>
      </c>
      <c r="M11" s="51">
        <v>88.37</v>
      </c>
      <c r="N11" s="51">
        <v>2.1</v>
      </c>
      <c r="O11" s="51">
        <v>0</v>
      </c>
      <c r="P11" s="51">
        <v>0.76</v>
      </c>
      <c r="Q11" s="51">
        <v>4.26</v>
      </c>
    </row>
    <row r="12" spans="1:21" customFormat="1">
      <c r="A12" s="50">
        <v>45592.166666666664</v>
      </c>
      <c r="B12" s="51">
        <v>5.24</v>
      </c>
      <c r="C12" s="51">
        <v>8.09</v>
      </c>
      <c r="D12" s="51">
        <v>13.99</v>
      </c>
      <c r="E12" s="51">
        <v>10.53</v>
      </c>
      <c r="F12" s="51">
        <v>5.62</v>
      </c>
      <c r="G12" s="51">
        <v>79.790000000000006</v>
      </c>
      <c r="H12" s="51">
        <v>22</v>
      </c>
      <c r="I12" s="51">
        <v>7.01</v>
      </c>
      <c r="J12" s="51">
        <v>0.18</v>
      </c>
      <c r="K12" s="51">
        <v>154.74</v>
      </c>
      <c r="L12" s="51">
        <v>23.71</v>
      </c>
      <c r="M12" s="51">
        <v>87.47</v>
      </c>
      <c r="N12" s="51">
        <v>2.1</v>
      </c>
      <c r="O12" s="51">
        <v>0</v>
      </c>
      <c r="P12" s="51">
        <v>0.77</v>
      </c>
      <c r="Q12" s="51">
        <v>4.26</v>
      </c>
    </row>
    <row r="13" spans="1:21" customFormat="1">
      <c r="A13" s="50">
        <v>45592.208333333336</v>
      </c>
      <c r="B13" s="51">
        <v>5.26</v>
      </c>
      <c r="C13" s="51">
        <v>8.08</v>
      </c>
      <c r="D13" s="51">
        <v>14</v>
      </c>
      <c r="E13" s="51">
        <v>11.14</v>
      </c>
      <c r="F13" s="51">
        <v>6.13</v>
      </c>
      <c r="G13" s="51">
        <v>80.36</v>
      </c>
      <c r="H13" s="51">
        <v>22</v>
      </c>
      <c r="I13" s="51">
        <v>7.11</v>
      </c>
      <c r="J13" s="51">
        <v>0.24</v>
      </c>
      <c r="K13" s="51">
        <v>56.35</v>
      </c>
      <c r="L13" s="51">
        <v>23.53</v>
      </c>
      <c r="M13" s="51">
        <v>89.34</v>
      </c>
      <c r="N13" s="51">
        <v>2.1</v>
      </c>
      <c r="O13" s="51">
        <v>0</v>
      </c>
      <c r="P13" s="51">
        <v>0.76</v>
      </c>
      <c r="Q13" s="51">
        <v>4.26</v>
      </c>
    </row>
    <row r="14" spans="1:21" customFormat="1">
      <c r="A14" s="50">
        <v>45592.25</v>
      </c>
      <c r="B14" s="51">
        <v>5.26</v>
      </c>
      <c r="C14" s="51">
        <v>8.07</v>
      </c>
      <c r="D14" s="51">
        <v>14</v>
      </c>
      <c r="E14" s="51">
        <v>10.67</v>
      </c>
      <c r="F14" s="51">
        <v>5.97</v>
      </c>
      <c r="G14" s="51">
        <v>73.91</v>
      </c>
      <c r="H14" s="51">
        <v>20.65</v>
      </c>
      <c r="I14" s="51">
        <v>7.21</v>
      </c>
      <c r="J14" s="51">
        <v>0.34</v>
      </c>
      <c r="K14" s="51">
        <v>55.63</v>
      </c>
      <c r="L14" s="51">
        <v>23.34</v>
      </c>
      <c r="M14" s="51">
        <v>92.49</v>
      </c>
      <c r="N14" s="51">
        <v>3.9</v>
      </c>
      <c r="O14" s="51">
        <v>0</v>
      </c>
      <c r="P14" s="51">
        <v>0.75</v>
      </c>
      <c r="Q14" s="51">
        <v>4.2699999999999996</v>
      </c>
    </row>
    <row r="15" spans="1:21" customFormat="1">
      <c r="A15" s="50">
        <v>45592.291666666664</v>
      </c>
      <c r="B15" s="51">
        <v>5.25</v>
      </c>
      <c r="C15" s="51">
        <v>8.08</v>
      </c>
      <c r="D15" s="51">
        <v>13.98</v>
      </c>
      <c r="E15" s="51">
        <v>10.85</v>
      </c>
      <c r="F15" s="51">
        <v>5.94</v>
      </c>
      <c r="G15" s="51">
        <v>71.06</v>
      </c>
      <c r="H15" s="51">
        <v>21</v>
      </c>
      <c r="I15" s="51">
        <v>7.44</v>
      </c>
      <c r="J15" s="51">
        <v>0.24</v>
      </c>
      <c r="K15" s="51">
        <v>355.4</v>
      </c>
      <c r="L15" s="51">
        <v>23.91</v>
      </c>
      <c r="M15" s="51">
        <v>87.13</v>
      </c>
      <c r="N15" s="51">
        <v>39.1</v>
      </c>
      <c r="O15" s="51">
        <v>0</v>
      </c>
      <c r="P15" s="51">
        <v>0.77</v>
      </c>
      <c r="Q15" s="51">
        <v>4.26</v>
      </c>
    </row>
    <row r="16" spans="1:21" customFormat="1">
      <c r="A16" s="50">
        <v>45592.333333333336</v>
      </c>
      <c r="B16" s="51">
        <v>5.24</v>
      </c>
      <c r="C16" s="51">
        <v>8.09</v>
      </c>
      <c r="D16" s="51">
        <v>14</v>
      </c>
      <c r="E16" s="51">
        <v>12.89</v>
      </c>
      <c r="F16" s="51">
        <v>6.23</v>
      </c>
      <c r="G16" s="51">
        <v>82.15</v>
      </c>
      <c r="H16" s="51">
        <v>21.62</v>
      </c>
      <c r="I16" s="51">
        <v>8.14</v>
      </c>
      <c r="J16" s="51">
        <v>0.8</v>
      </c>
      <c r="K16" s="51">
        <v>48.24</v>
      </c>
      <c r="L16" s="51">
        <v>25.96</v>
      </c>
      <c r="M16" s="51">
        <v>82.93</v>
      </c>
      <c r="N16" s="51">
        <v>195.7</v>
      </c>
      <c r="O16" s="51">
        <v>0</v>
      </c>
      <c r="P16" s="51">
        <v>0.79</v>
      </c>
      <c r="Q16" s="51">
        <v>4.28</v>
      </c>
    </row>
    <row r="17" spans="1:17" customFormat="1">
      <c r="A17" s="50">
        <v>45592.375</v>
      </c>
      <c r="B17" s="51">
        <v>5.23</v>
      </c>
      <c r="C17" s="51">
        <v>8.09</v>
      </c>
      <c r="D17" s="51">
        <v>13.98</v>
      </c>
      <c r="E17" s="51">
        <v>13.42</v>
      </c>
      <c r="F17" s="51">
        <v>9.58</v>
      </c>
      <c r="G17" s="51">
        <v>84.46</v>
      </c>
      <c r="H17" s="51">
        <v>22.96</v>
      </c>
      <c r="I17" s="51">
        <v>8.2899999999999991</v>
      </c>
      <c r="J17" s="51">
        <v>1.35</v>
      </c>
      <c r="K17" s="51">
        <v>54.11</v>
      </c>
      <c r="L17" s="51">
        <v>27.51</v>
      </c>
      <c r="M17" s="51">
        <v>73.48</v>
      </c>
      <c r="N17" s="51">
        <v>367.4</v>
      </c>
      <c r="O17" s="51">
        <v>0</v>
      </c>
      <c r="P17" s="51">
        <v>0.78</v>
      </c>
      <c r="Q17" s="51">
        <v>4.2699999999999996</v>
      </c>
    </row>
    <row r="18" spans="1:17" customFormat="1">
      <c r="A18" s="50">
        <v>45592.416666666664</v>
      </c>
      <c r="B18" s="51">
        <v>5.23</v>
      </c>
      <c r="C18" s="51">
        <v>8.09</v>
      </c>
      <c r="D18" s="51">
        <v>13.99</v>
      </c>
      <c r="E18" s="51">
        <v>13.45</v>
      </c>
      <c r="F18" s="51">
        <v>9.86</v>
      </c>
      <c r="G18" s="51">
        <v>79.95</v>
      </c>
      <c r="H18" s="51">
        <v>22.96</v>
      </c>
      <c r="I18" s="51">
        <v>7.98</v>
      </c>
      <c r="J18" s="51">
        <v>0.89</v>
      </c>
      <c r="K18" s="51">
        <v>60.92</v>
      </c>
      <c r="L18" s="51">
        <v>28.08</v>
      </c>
      <c r="M18" s="51">
        <v>72.02</v>
      </c>
      <c r="N18" s="51">
        <v>160.5</v>
      </c>
      <c r="O18" s="51">
        <v>0</v>
      </c>
      <c r="P18" s="51">
        <v>0.74</v>
      </c>
      <c r="Q18" s="51">
        <v>4.2699999999999996</v>
      </c>
    </row>
    <row r="19" spans="1:17" customFormat="1">
      <c r="A19" s="50">
        <v>45592.458333333336</v>
      </c>
      <c r="B19" s="51">
        <v>5.25</v>
      </c>
      <c r="C19" s="51">
        <v>8.09</v>
      </c>
      <c r="D19" s="51">
        <v>13.99</v>
      </c>
      <c r="E19" s="51">
        <v>13.55</v>
      </c>
      <c r="F19" s="51">
        <v>7.58</v>
      </c>
      <c r="G19" s="51">
        <v>63.77</v>
      </c>
      <c r="H19" s="51">
        <v>19.39</v>
      </c>
      <c r="I19" s="51">
        <v>7.47</v>
      </c>
      <c r="J19" s="51">
        <v>0.65</v>
      </c>
      <c r="K19" s="51">
        <v>61.89</v>
      </c>
      <c r="L19" s="51">
        <v>28.59</v>
      </c>
      <c r="M19" s="51">
        <v>69.94</v>
      </c>
      <c r="N19" s="51">
        <v>166.9</v>
      </c>
      <c r="O19" s="51">
        <v>0</v>
      </c>
      <c r="P19" s="51">
        <v>0.71</v>
      </c>
      <c r="Q19" s="51">
        <v>4.2699999999999996</v>
      </c>
    </row>
    <row r="20" spans="1:17" customFormat="1">
      <c r="A20" s="50">
        <v>45592.5</v>
      </c>
      <c r="B20" s="51">
        <v>5.24</v>
      </c>
      <c r="C20" s="51">
        <v>8.11</v>
      </c>
      <c r="D20" s="51">
        <v>13.99</v>
      </c>
      <c r="E20" s="51">
        <v>12.52</v>
      </c>
      <c r="F20" s="51">
        <v>7.51</v>
      </c>
      <c r="G20" s="51">
        <v>59.67</v>
      </c>
      <c r="H20" s="51">
        <v>16.940000000000001</v>
      </c>
      <c r="I20" s="51">
        <v>7.01</v>
      </c>
      <c r="J20" s="51">
        <v>0.62</v>
      </c>
      <c r="K20" s="51">
        <v>337.9</v>
      </c>
      <c r="L20" s="51">
        <v>29.61</v>
      </c>
      <c r="M20" s="51">
        <v>70.099999999999994</v>
      </c>
      <c r="N20" s="51">
        <v>235.6</v>
      </c>
      <c r="O20" s="51">
        <v>0</v>
      </c>
      <c r="P20" s="51">
        <v>0.67</v>
      </c>
      <c r="Q20" s="51">
        <v>4.2699999999999996</v>
      </c>
    </row>
    <row r="21" spans="1:17" customFormat="1">
      <c r="A21" s="50">
        <v>45592.541666666664</v>
      </c>
      <c r="B21" s="51">
        <v>5.27</v>
      </c>
      <c r="C21" s="51">
        <v>8.08</v>
      </c>
      <c r="D21" s="51">
        <v>14.02</v>
      </c>
      <c r="E21" s="51">
        <v>11.99</v>
      </c>
      <c r="F21" s="51">
        <v>9.76</v>
      </c>
      <c r="G21" s="51">
        <v>50.28</v>
      </c>
      <c r="H21" s="51">
        <v>14.24</v>
      </c>
      <c r="I21" s="51">
        <v>6.81</v>
      </c>
      <c r="J21" s="51">
        <v>0.67</v>
      </c>
      <c r="K21" s="51">
        <v>345.57</v>
      </c>
      <c r="L21" s="51">
        <v>29.86</v>
      </c>
      <c r="M21" s="51">
        <v>66.94</v>
      </c>
      <c r="N21" s="51">
        <v>314.5</v>
      </c>
      <c r="O21" s="51">
        <v>0</v>
      </c>
      <c r="P21" s="51">
        <v>0.64</v>
      </c>
      <c r="Q21" s="51">
        <v>4.26</v>
      </c>
    </row>
    <row r="22" spans="1:17" customFormat="1">
      <c r="A22" s="50">
        <v>45592.583333333336</v>
      </c>
      <c r="B22" s="51">
        <v>5.28</v>
      </c>
      <c r="C22" s="51">
        <v>8.1199999999999992</v>
      </c>
      <c r="D22" s="51">
        <v>14.03</v>
      </c>
      <c r="E22" s="51">
        <v>12.44</v>
      </c>
      <c r="F22" s="51">
        <v>8.01</v>
      </c>
      <c r="G22" s="51">
        <v>46.54</v>
      </c>
      <c r="H22" s="51">
        <v>13.74</v>
      </c>
      <c r="I22" s="51">
        <v>6.36</v>
      </c>
      <c r="J22" s="51">
        <v>0.34</v>
      </c>
      <c r="K22" s="51">
        <v>333.11</v>
      </c>
      <c r="L22" s="51">
        <v>30.91</v>
      </c>
      <c r="M22" s="51">
        <v>63.55</v>
      </c>
      <c r="N22" s="51">
        <v>297.2</v>
      </c>
      <c r="O22" s="51">
        <v>0</v>
      </c>
      <c r="P22" s="51">
        <v>0.61</v>
      </c>
      <c r="Q22" s="51">
        <v>4.28</v>
      </c>
    </row>
    <row r="23" spans="1:17" customFormat="1">
      <c r="A23" s="50">
        <v>45592.625</v>
      </c>
      <c r="B23" s="51">
        <v>5.28</v>
      </c>
      <c r="C23" s="51">
        <v>8.09</v>
      </c>
      <c r="D23" s="51">
        <v>14.02</v>
      </c>
      <c r="E23" s="51">
        <v>12.13</v>
      </c>
      <c r="F23" s="51">
        <v>9.83</v>
      </c>
      <c r="G23" s="51">
        <v>44.15</v>
      </c>
      <c r="H23" s="51">
        <v>15.01</v>
      </c>
      <c r="I23" s="51">
        <v>6.19</v>
      </c>
      <c r="J23" s="51">
        <v>0.39</v>
      </c>
      <c r="K23" s="51">
        <v>296.56</v>
      </c>
      <c r="L23" s="51">
        <v>28.28</v>
      </c>
      <c r="M23" s="51">
        <v>92.94</v>
      </c>
      <c r="N23" s="51">
        <v>56.1</v>
      </c>
      <c r="O23" s="51">
        <v>1.4</v>
      </c>
      <c r="P23" s="51">
        <v>0.54</v>
      </c>
      <c r="Q23" s="51">
        <v>4.29</v>
      </c>
    </row>
    <row r="24" spans="1:17" customFormat="1">
      <c r="A24" s="50">
        <v>45592.666666666664</v>
      </c>
      <c r="B24" s="51">
        <v>5.27</v>
      </c>
      <c r="C24" s="51">
        <v>8.1300000000000008</v>
      </c>
      <c r="D24" s="51">
        <v>14.04</v>
      </c>
      <c r="E24" s="51">
        <v>11.66</v>
      </c>
      <c r="F24" s="51">
        <v>10.86</v>
      </c>
      <c r="G24" s="51">
        <v>42.7</v>
      </c>
      <c r="H24" s="51">
        <v>15.8</v>
      </c>
      <c r="I24" s="51">
        <v>6.31</v>
      </c>
      <c r="J24" s="51">
        <v>0.15</v>
      </c>
      <c r="K24" s="51">
        <v>199.28</v>
      </c>
      <c r="L24" s="51">
        <v>27.46</v>
      </c>
      <c r="M24" s="51">
        <v>92.07</v>
      </c>
      <c r="N24" s="51">
        <v>39.5</v>
      </c>
      <c r="O24" s="51">
        <v>0</v>
      </c>
      <c r="P24" s="51">
        <v>0.56999999999999995</v>
      </c>
      <c r="Q24" s="51">
        <v>4.28</v>
      </c>
    </row>
    <row r="25" spans="1:17" customFormat="1">
      <c r="A25" s="50">
        <v>45592.708333333336</v>
      </c>
      <c r="B25" s="51">
        <v>5.25</v>
      </c>
      <c r="C25" s="51">
        <v>8.11</v>
      </c>
      <c r="D25" s="51">
        <v>14</v>
      </c>
      <c r="E25" s="51">
        <v>12.93</v>
      </c>
      <c r="F25" s="51">
        <v>9.93</v>
      </c>
      <c r="G25" s="51">
        <v>57.47</v>
      </c>
      <c r="H25" s="51">
        <v>15.8</v>
      </c>
      <c r="I25" s="51">
        <v>7.27</v>
      </c>
      <c r="J25" s="51">
        <v>0.28999999999999998</v>
      </c>
      <c r="K25" s="51">
        <v>46.88</v>
      </c>
      <c r="L25" s="51">
        <v>27.74</v>
      </c>
      <c r="M25" s="51">
        <v>82.96</v>
      </c>
      <c r="N25" s="51">
        <v>29.9</v>
      </c>
      <c r="O25" s="51">
        <v>0</v>
      </c>
      <c r="P25" s="51">
        <v>0.64</v>
      </c>
      <c r="Q25" s="51">
        <v>4.2699999999999996</v>
      </c>
    </row>
    <row r="26" spans="1:17" customFormat="1">
      <c r="A26" s="50">
        <v>45592.75</v>
      </c>
      <c r="B26" s="51">
        <v>5.24</v>
      </c>
      <c r="C26" s="51">
        <v>8.09</v>
      </c>
      <c r="D26" s="51">
        <v>13.99</v>
      </c>
      <c r="E26" s="51">
        <v>14.06</v>
      </c>
      <c r="F26" s="51">
        <v>8.15</v>
      </c>
      <c r="G26" s="51">
        <v>60.17</v>
      </c>
      <c r="H26" s="51">
        <v>17.399999999999999</v>
      </c>
      <c r="I26" s="51">
        <v>7.65</v>
      </c>
      <c r="J26" s="51">
        <v>0.72</v>
      </c>
      <c r="K26" s="51">
        <v>117.29</v>
      </c>
      <c r="L26" s="51">
        <v>27.13</v>
      </c>
      <c r="M26" s="51">
        <v>92.91</v>
      </c>
      <c r="N26" s="51">
        <v>4.4000000000000004</v>
      </c>
      <c r="O26" s="51">
        <v>0.2</v>
      </c>
      <c r="P26" s="51">
        <v>0.61</v>
      </c>
      <c r="Q26" s="51">
        <v>4.2699999999999996</v>
      </c>
    </row>
    <row r="27" spans="1:17" customFormat="1">
      <c r="A27" s="50">
        <v>45592.791666666664</v>
      </c>
      <c r="B27" s="51">
        <v>5.25</v>
      </c>
      <c r="C27" s="51">
        <v>8.06</v>
      </c>
      <c r="D27" s="51">
        <v>13.98</v>
      </c>
      <c r="E27" s="51">
        <v>11.46</v>
      </c>
      <c r="F27" s="51">
        <v>7.71</v>
      </c>
      <c r="G27" s="51">
        <v>55.13</v>
      </c>
      <c r="H27" s="51">
        <v>17.399999999999999</v>
      </c>
      <c r="I27" s="51">
        <v>7.13</v>
      </c>
      <c r="J27" s="51">
        <v>0.13</v>
      </c>
      <c r="K27" s="51">
        <v>201.54</v>
      </c>
      <c r="L27" s="51">
        <v>25.18</v>
      </c>
      <c r="M27" s="51">
        <v>96</v>
      </c>
      <c r="N27" s="51">
        <v>2.2999999999999998</v>
      </c>
      <c r="O27" s="51">
        <v>0</v>
      </c>
      <c r="P27" s="51">
        <v>0.57999999999999996</v>
      </c>
      <c r="Q27" s="51">
        <v>4.28</v>
      </c>
    </row>
    <row r="28" spans="1:17" customFormat="1">
      <c r="A28" s="50">
        <v>45592.833333333336</v>
      </c>
      <c r="B28" s="51">
        <v>5.24</v>
      </c>
      <c r="C28" s="51">
        <v>8.07</v>
      </c>
      <c r="D28" s="51">
        <v>13.99</v>
      </c>
      <c r="E28" s="51">
        <v>11.27</v>
      </c>
      <c r="F28" s="51">
        <v>6.32</v>
      </c>
      <c r="G28" s="51">
        <v>42.93</v>
      </c>
      <c r="H28" s="51">
        <v>15.09</v>
      </c>
      <c r="I28" s="51">
        <v>6.96</v>
      </c>
      <c r="J28" s="51">
        <v>0.45</v>
      </c>
      <c r="K28" s="51">
        <v>196.59</v>
      </c>
      <c r="L28" s="51">
        <v>25.52</v>
      </c>
      <c r="M28" s="51">
        <v>96.95</v>
      </c>
      <c r="N28" s="51">
        <v>2.1</v>
      </c>
      <c r="O28" s="51">
        <v>0</v>
      </c>
      <c r="P28" s="51">
        <v>0.59</v>
      </c>
      <c r="Q28" s="51">
        <v>4.2699999999999996</v>
      </c>
    </row>
    <row r="29" spans="1:17" customFormat="1">
      <c r="A29" s="50">
        <v>45592.875</v>
      </c>
      <c r="B29" s="51">
        <v>5.24</v>
      </c>
      <c r="C29" s="51">
        <v>8.08</v>
      </c>
      <c r="D29" s="51">
        <v>13.99</v>
      </c>
      <c r="E29" s="51">
        <v>11.16</v>
      </c>
      <c r="F29" s="51">
        <v>5.87</v>
      </c>
      <c r="G29" s="51">
        <v>47.05</v>
      </c>
      <c r="H29" s="51">
        <v>15.34</v>
      </c>
      <c r="I29" s="51">
        <v>6.9</v>
      </c>
      <c r="J29" s="51">
        <v>0.57999999999999996</v>
      </c>
      <c r="K29" s="51">
        <v>63.3</v>
      </c>
      <c r="L29" s="51">
        <v>25.57</v>
      </c>
      <c r="M29" s="51">
        <v>93.78</v>
      </c>
      <c r="N29" s="51">
        <v>2.4</v>
      </c>
      <c r="O29" s="51">
        <v>0</v>
      </c>
      <c r="P29" s="51">
        <v>0.62</v>
      </c>
      <c r="Q29" s="51">
        <v>4.2699999999999996</v>
      </c>
    </row>
    <row r="30" spans="1:17" customFormat="1">
      <c r="A30" s="50">
        <v>45592.916666666664</v>
      </c>
      <c r="B30" s="51">
        <v>5.26</v>
      </c>
      <c r="C30" s="51">
        <v>8.09</v>
      </c>
      <c r="D30" s="51">
        <v>13.99</v>
      </c>
      <c r="E30" s="51">
        <v>11.14</v>
      </c>
      <c r="F30" s="51">
        <v>5.48</v>
      </c>
      <c r="G30" s="51">
        <v>48.11</v>
      </c>
      <c r="H30" s="51">
        <v>15.34</v>
      </c>
      <c r="I30" s="51">
        <v>7.01</v>
      </c>
      <c r="J30" s="51">
        <v>0.57999999999999996</v>
      </c>
      <c r="K30" s="51">
        <v>66.209999999999994</v>
      </c>
      <c r="L30" s="51">
        <v>25.38</v>
      </c>
      <c r="M30" s="51">
        <v>93.39</v>
      </c>
      <c r="N30" s="51">
        <v>2.2999999999999998</v>
      </c>
      <c r="O30" s="51">
        <v>0</v>
      </c>
      <c r="P30" s="51">
        <v>0.63</v>
      </c>
      <c r="Q30" s="51">
        <v>4.2699999999999996</v>
      </c>
    </row>
    <row r="31" spans="1:17" customFormat="1">
      <c r="A31" s="50">
        <v>45592.958333333336</v>
      </c>
      <c r="B31" s="51">
        <v>5.25</v>
      </c>
      <c r="C31" s="51">
        <v>8.07</v>
      </c>
      <c r="D31" s="51">
        <v>13.98</v>
      </c>
      <c r="E31" s="51">
        <v>10.98</v>
      </c>
      <c r="F31" s="51">
        <v>5.16</v>
      </c>
      <c r="G31" s="51">
        <v>48.09</v>
      </c>
      <c r="H31" s="51">
        <v>16.420000000000002</v>
      </c>
      <c r="I31" s="51">
        <v>6.97</v>
      </c>
      <c r="J31" s="51">
        <v>0.32</v>
      </c>
      <c r="K31" s="51">
        <v>153.16</v>
      </c>
      <c r="L31" s="51">
        <v>25.47</v>
      </c>
      <c r="M31" s="51">
        <v>92.8</v>
      </c>
      <c r="N31" s="51">
        <v>2.2999999999999998</v>
      </c>
      <c r="O31" s="51">
        <v>0</v>
      </c>
      <c r="P31" s="51">
        <v>0.63</v>
      </c>
      <c r="Q31" s="51">
        <v>4.2699999999999996</v>
      </c>
    </row>
    <row r="32" spans="1:17" customFormat="1">
      <c r="A32" s="50">
        <v>45593</v>
      </c>
      <c r="B32" s="51">
        <v>5.25</v>
      </c>
      <c r="C32" s="51">
        <v>8.08</v>
      </c>
      <c r="D32" s="51">
        <v>13.98</v>
      </c>
      <c r="E32" s="51">
        <v>11.57</v>
      </c>
      <c r="F32" s="51">
        <v>5.93</v>
      </c>
      <c r="G32" s="51">
        <v>48.24</v>
      </c>
      <c r="H32" s="51">
        <v>16.420000000000002</v>
      </c>
      <c r="I32" s="51">
        <v>6.94</v>
      </c>
      <c r="J32" s="51">
        <v>0.21</v>
      </c>
      <c r="K32" s="51">
        <v>174.65</v>
      </c>
      <c r="L32" s="51">
        <v>25.42</v>
      </c>
      <c r="M32" s="51">
        <v>93.72</v>
      </c>
      <c r="N32" s="51">
        <v>2.2999999999999998</v>
      </c>
      <c r="O32" s="51">
        <v>0</v>
      </c>
      <c r="P32" s="51">
        <v>0.6</v>
      </c>
      <c r="Q32" s="51">
        <v>4.2699999999999996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5.23</v>
      </c>
      <c r="C34" s="41">
        <f t="shared" si="0"/>
        <v>8.06</v>
      </c>
      <c r="D34" s="41">
        <f t="shared" si="0"/>
        <v>13.98</v>
      </c>
      <c r="E34" s="41">
        <f t="shared" si="0"/>
        <v>10.29</v>
      </c>
      <c r="F34" s="41">
        <f t="shared" si="0"/>
        <v>5.16</v>
      </c>
      <c r="G34" s="41">
        <f t="shared" si="0"/>
        <v>42.7</v>
      </c>
      <c r="H34" s="41">
        <f t="shared" si="0"/>
        <v>13.74</v>
      </c>
      <c r="I34" s="41">
        <f t="shared" si="0"/>
        <v>6.19</v>
      </c>
      <c r="J34" s="41">
        <f t="shared" si="0"/>
        <v>0.13</v>
      </c>
      <c r="K34" s="41">
        <f t="shared" si="0"/>
        <v>46.88</v>
      </c>
      <c r="L34" s="41">
        <f t="shared" si="0"/>
        <v>23.34</v>
      </c>
      <c r="M34" s="41">
        <f t="shared" si="0"/>
        <v>63.55</v>
      </c>
      <c r="N34" s="41">
        <f t="shared" si="0"/>
        <v>2.1</v>
      </c>
      <c r="O34" s="41">
        <f t="shared" si="0"/>
        <v>0</v>
      </c>
      <c r="P34" s="41">
        <f t="shared" si="0"/>
        <v>0.54</v>
      </c>
      <c r="Q34" s="41">
        <f t="shared" si="0"/>
        <v>4.26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5.28</v>
      </c>
      <c r="C35" s="33">
        <f t="shared" si="1"/>
        <v>8.1300000000000008</v>
      </c>
      <c r="D35" s="33">
        <f t="shared" si="1"/>
        <v>14.04</v>
      </c>
      <c r="E35" s="33">
        <f t="shared" si="1"/>
        <v>14.06</v>
      </c>
      <c r="F35" s="33">
        <f t="shared" si="1"/>
        <v>10.86</v>
      </c>
      <c r="G35" s="33">
        <f t="shared" si="1"/>
        <v>84.46</v>
      </c>
      <c r="H35" s="33">
        <f t="shared" si="1"/>
        <v>22.96</v>
      </c>
      <c r="I35" s="33">
        <f t="shared" si="1"/>
        <v>8.2899999999999991</v>
      </c>
      <c r="J35" s="33">
        <f t="shared" si="1"/>
        <v>1.35</v>
      </c>
      <c r="K35" s="33">
        <f t="shared" si="1"/>
        <v>355.4</v>
      </c>
      <c r="L35" s="33">
        <f t="shared" si="1"/>
        <v>30.91</v>
      </c>
      <c r="M35" s="33">
        <f t="shared" si="1"/>
        <v>96.95</v>
      </c>
      <c r="N35" s="33">
        <f t="shared" si="1"/>
        <v>367.4</v>
      </c>
      <c r="O35" s="33">
        <f t="shared" si="1"/>
        <v>1.4</v>
      </c>
      <c r="P35" s="33">
        <f t="shared" si="1"/>
        <v>0.79</v>
      </c>
      <c r="Q35" s="33">
        <f t="shared" si="1"/>
        <v>4.29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5.251666666666666</v>
      </c>
      <c r="C36" s="41">
        <f t="shared" si="2"/>
        <v>8.0879166666666666</v>
      </c>
      <c r="D36" s="41">
        <f t="shared" si="2"/>
        <v>13.995416666666671</v>
      </c>
      <c r="E36" s="41">
        <f t="shared" si="2"/>
        <v>11.880833333333335</v>
      </c>
      <c r="F36" s="41">
        <f t="shared" si="2"/>
        <v>7.28125</v>
      </c>
      <c r="G36" s="41">
        <f t="shared" si="2"/>
        <v>61.595000000000006</v>
      </c>
      <c r="H36" s="41">
        <f t="shared" si="2"/>
        <v>18.055416666666666</v>
      </c>
      <c r="I36" s="41">
        <f t="shared" si="2"/>
        <v>7.0995833333333342</v>
      </c>
      <c r="J36" s="41">
        <f t="shared" si="2"/>
        <v>0.45500000000000007</v>
      </c>
      <c r="K36" s="41">
        <f t="shared" si="2"/>
        <v>150.26708333333335</v>
      </c>
      <c r="L36" s="41">
        <f t="shared" si="2"/>
        <v>26.298333333333336</v>
      </c>
      <c r="M36" s="41">
        <f t="shared" si="2"/>
        <v>85.31291666666668</v>
      </c>
      <c r="N36" s="41">
        <f t="shared" si="2"/>
        <v>80.620833333333323</v>
      </c>
      <c r="O36" s="41">
        <f t="shared" si="2"/>
        <v>6.6666666666666666E-2</v>
      </c>
      <c r="P36" s="41">
        <f t="shared" si="2"/>
        <v>0.67333333333333345</v>
      </c>
      <c r="Q36" s="41">
        <f t="shared" si="2"/>
        <v>4.2708333333333313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1.3726099121798794E-2</v>
      </c>
      <c r="C37" s="41">
        <f t="shared" ref="C37:Q37" si="3">STDEV(C9:C32)</f>
        <v>1.8645238736369762E-2</v>
      </c>
      <c r="D37" s="41">
        <f t="shared" si="3"/>
        <v>1.641292350469602E-2</v>
      </c>
      <c r="E37" s="41">
        <f t="shared" si="3"/>
        <v>1.0539858784082516</v>
      </c>
      <c r="F37" s="41">
        <f t="shared" si="3"/>
        <v>1.7946909931432657</v>
      </c>
      <c r="G37" s="41">
        <f t="shared" si="3"/>
        <v>14.256608231303437</v>
      </c>
      <c r="H37" s="41">
        <f t="shared" si="3"/>
        <v>2.9123007178199454</v>
      </c>
      <c r="I37" s="41">
        <f t="shared" si="3"/>
        <v>0.53493176457714808</v>
      </c>
      <c r="J37" s="41">
        <f t="shared" si="3"/>
        <v>0.29145810348480017</v>
      </c>
      <c r="K37" s="41">
        <f t="shared" si="3"/>
        <v>109.39114531684857</v>
      </c>
      <c r="L37" s="41">
        <f t="shared" si="3"/>
        <v>2.1700644483850566</v>
      </c>
      <c r="M37" s="41">
        <f t="shared" si="3"/>
        <v>10.233360398042796</v>
      </c>
      <c r="N37" s="41">
        <f t="shared" si="3"/>
        <v>118.11334636940784</v>
      </c>
      <c r="O37" s="41">
        <f t="shared" si="3"/>
        <v>0.28691260094270893</v>
      </c>
      <c r="P37" s="41">
        <f t="shared" si="3"/>
        <v>7.7497078018780821E-2</v>
      </c>
      <c r="Q37" s="41">
        <f t="shared" si="3"/>
        <v>7.7553160822905424E-3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66929133858267698" right="2.63779527559055" top="0.196850393700787" bottom="2.0866141732283499" header="0.31496062992126" footer="0.15748031496063"/>
  <pageSetup paperSize="9" scale="90" orientation="landscape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27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45593.041666666664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>
        <v>45593.041666666664</v>
      </c>
      <c r="B9" s="51">
        <v>5.3</v>
      </c>
      <c r="C9" s="51">
        <v>8.16</v>
      </c>
      <c r="D9" s="51">
        <v>14.06</v>
      </c>
      <c r="E9" s="51">
        <v>11.49</v>
      </c>
      <c r="F9" s="51">
        <v>6.5</v>
      </c>
      <c r="G9" s="51">
        <v>44.02</v>
      </c>
      <c r="H9" s="51">
        <v>12.44</v>
      </c>
      <c r="I9" s="51">
        <v>6.63</v>
      </c>
      <c r="J9" s="51">
        <v>0.24</v>
      </c>
      <c r="K9" s="51">
        <v>187.74</v>
      </c>
      <c r="L9" s="51">
        <v>25.24</v>
      </c>
      <c r="M9" s="51">
        <v>93.94</v>
      </c>
      <c r="N9" s="51">
        <v>2.2999999999999998</v>
      </c>
      <c r="O9" s="51">
        <v>0</v>
      </c>
      <c r="P9" s="51">
        <v>0.57999999999999996</v>
      </c>
      <c r="Q9" s="51">
        <v>4.28</v>
      </c>
    </row>
    <row r="10" spans="1:21" customFormat="1">
      <c r="A10" s="50">
        <v>45593.083333333336</v>
      </c>
      <c r="B10" s="51">
        <v>5.31</v>
      </c>
      <c r="C10" s="51">
        <v>8.09</v>
      </c>
      <c r="D10" s="51">
        <v>14.04</v>
      </c>
      <c r="E10" s="51">
        <v>11.16</v>
      </c>
      <c r="F10" s="51">
        <v>6.41</v>
      </c>
      <c r="G10" s="51">
        <v>37.700000000000003</v>
      </c>
      <c r="H10" s="51">
        <v>9.86</v>
      </c>
      <c r="I10" s="51">
        <v>6.58</v>
      </c>
      <c r="J10" s="51">
        <v>0.12</v>
      </c>
      <c r="K10" s="51">
        <v>219.29</v>
      </c>
      <c r="L10" s="51">
        <v>25.02</v>
      </c>
      <c r="M10" s="51">
        <v>94.82</v>
      </c>
      <c r="N10" s="51">
        <v>2.4</v>
      </c>
      <c r="O10" s="51">
        <v>0</v>
      </c>
      <c r="P10" s="51">
        <v>0.55000000000000004</v>
      </c>
      <c r="Q10" s="51">
        <v>4.26</v>
      </c>
    </row>
    <row r="11" spans="1:21" customFormat="1">
      <c r="A11" s="50">
        <v>45593.125</v>
      </c>
      <c r="B11" s="51">
        <v>5.31</v>
      </c>
      <c r="C11" s="51">
        <v>8.09</v>
      </c>
      <c r="D11" s="51">
        <v>14.04</v>
      </c>
      <c r="E11" s="51">
        <v>10.62</v>
      </c>
      <c r="F11" s="51">
        <v>5.94</v>
      </c>
      <c r="G11" s="51">
        <v>34.369999999999997</v>
      </c>
      <c r="H11" s="51">
        <v>9.32</v>
      </c>
      <c r="I11" s="51">
        <v>6.51</v>
      </c>
      <c r="J11" s="51">
        <v>0.31</v>
      </c>
      <c r="K11" s="51">
        <v>151.02000000000001</v>
      </c>
      <c r="L11" s="51">
        <v>24.88</v>
      </c>
      <c r="M11" s="51">
        <v>95.27</v>
      </c>
      <c r="N11" s="51">
        <v>2.2000000000000002</v>
      </c>
      <c r="O11" s="51">
        <v>0</v>
      </c>
      <c r="P11" s="51">
        <v>0.53</v>
      </c>
      <c r="Q11" s="51">
        <v>4.25</v>
      </c>
    </row>
    <row r="12" spans="1:21" customFormat="1">
      <c r="A12" s="50">
        <v>45593.166666666664</v>
      </c>
      <c r="B12" s="51">
        <v>5.3</v>
      </c>
      <c r="C12" s="51">
        <v>8.1199999999999992</v>
      </c>
      <c r="D12" s="51">
        <v>14.04</v>
      </c>
      <c r="E12" s="51">
        <v>10.84</v>
      </c>
      <c r="F12" s="51">
        <v>6.07</v>
      </c>
      <c r="G12" s="51">
        <v>31.91</v>
      </c>
      <c r="H12" s="51">
        <v>9.56</v>
      </c>
      <c r="I12" s="51">
        <v>6.45</v>
      </c>
      <c r="J12" s="51">
        <v>0.15</v>
      </c>
      <c r="K12" s="51">
        <v>186.01</v>
      </c>
      <c r="L12" s="51">
        <v>24.74</v>
      </c>
      <c r="M12" s="51">
        <v>93.61</v>
      </c>
      <c r="N12" s="51">
        <v>2.2000000000000002</v>
      </c>
      <c r="O12" s="51">
        <v>0</v>
      </c>
      <c r="P12" s="51">
        <v>0.53</v>
      </c>
      <c r="Q12" s="51">
        <v>4.2699999999999996</v>
      </c>
    </row>
    <row r="13" spans="1:21" customFormat="1">
      <c r="A13" s="50">
        <v>45593.208333333336</v>
      </c>
      <c r="B13" s="51">
        <v>5.3</v>
      </c>
      <c r="C13" s="51">
        <v>8.07</v>
      </c>
      <c r="D13" s="51">
        <v>14.03</v>
      </c>
      <c r="E13" s="51">
        <v>11.09</v>
      </c>
      <c r="F13" s="51">
        <v>5.98</v>
      </c>
      <c r="G13" s="51">
        <v>32.18</v>
      </c>
      <c r="H13" s="51">
        <v>9.56</v>
      </c>
      <c r="I13" s="51">
        <v>6.18</v>
      </c>
      <c r="J13" s="51">
        <v>0.14000000000000001</v>
      </c>
      <c r="K13" s="51">
        <v>191.76</v>
      </c>
      <c r="L13" s="51">
        <v>24.85</v>
      </c>
      <c r="M13" s="51">
        <v>92.15</v>
      </c>
      <c r="N13" s="51">
        <v>2.2000000000000002</v>
      </c>
      <c r="O13" s="51">
        <v>0</v>
      </c>
      <c r="P13" s="51">
        <v>0.52</v>
      </c>
      <c r="Q13" s="51">
        <v>4.2699999999999996</v>
      </c>
    </row>
    <row r="14" spans="1:21" customFormat="1">
      <c r="A14" s="50">
        <v>45593.25</v>
      </c>
      <c r="B14" s="51">
        <v>5.31</v>
      </c>
      <c r="C14" s="51">
        <v>8.0500000000000007</v>
      </c>
      <c r="D14" s="51">
        <v>14.04</v>
      </c>
      <c r="E14" s="51">
        <v>11.19</v>
      </c>
      <c r="F14" s="51">
        <v>5.5</v>
      </c>
      <c r="G14" s="51">
        <v>27.73</v>
      </c>
      <c r="H14" s="51">
        <v>10.28</v>
      </c>
      <c r="I14" s="51">
        <v>6.13</v>
      </c>
      <c r="J14" s="51">
        <v>0.15</v>
      </c>
      <c r="K14" s="51">
        <v>162.52000000000001</v>
      </c>
      <c r="L14" s="51">
        <v>24.93</v>
      </c>
      <c r="M14" s="51">
        <v>92.9</v>
      </c>
      <c r="N14" s="51">
        <v>3.3</v>
      </c>
      <c r="O14" s="51">
        <v>0</v>
      </c>
      <c r="P14" s="51">
        <v>0.52</v>
      </c>
      <c r="Q14" s="51">
        <v>4.25</v>
      </c>
    </row>
    <row r="15" spans="1:21" customFormat="1">
      <c r="A15" s="50">
        <v>45593.291666666664</v>
      </c>
      <c r="B15" s="51">
        <v>5.31</v>
      </c>
      <c r="C15" s="51">
        <v>8.09</v>
      </c>
      <c r="D15" s="51">
        <v>14.05</v>
      </c>
      <c r="E15" s="51">
        <v>11.24</v>
      </c>
      <c r="F15" s="51">
        <v>4.96</v>
      </c>
      <c r="G15" s="51">
        <v>26.51</v>
      </c>
      <c r="H15" s="51">
        <v>10.28</v>
      </c>
      <c r="I15" s="51">
        <v>5.87</v>
      </c>
      <c r="J15" s="51">
        <v>0.28999999999999998</v>
      </c>
      <c r="K15" s="51">
        <v>210.61</v>
      </c>
      <c r="L15" s="51">
        <v>25.56</v>
      </c>
      <c r="M15" s="51">
        <v>93.57</v>
      </c>
      <c r="N15" s="51">
        <v>42.9</v>
      </c>
      <c r="O15" s="51">
        <v>0</v>
      </c>
      <c r="P15" s="51">
        <v>0.51</v>
      </c>
      <c r="Q15" s="51">
        <v>4.2699999999999996</v>
      </c>
    </row>
    <row r="16" spans="1:21" customFormat="1">
      <c r="A16" s="50">
        <v>45593.333333333336</v>
      </c>
      <c r="B16" s="51">
        <v>5.3</v>
      </c>
      <c r="C16" s="51">
        <v>8.08</v>
      </c>
      <c r="D16" s="51">
        <v>14.03</v>
      </c>
      <c r="E16" s="51">
        <v>11.1</v>
      </c>
      <c r="F16" s="51">
        <v>5.66</v>
      </c>
      <c r="G16" s="51">
        <v>34.43</v>
      </c>
      <c r="H16" s="51">
        <v>8.77</v>
      </c>
      <c r="I16" s="51">
        <v>5.81</v>
      </c>
      <c r="J16" s="51">
        <v>0.38</v>
      </c>
      <c r="K16" s="51">
        <v>94.68</v>
      </c>
      <c r="L16" s="51">
        <v>27.22</v>
      </c>
      <c r="M16" s="51">
        <v>88.5</v>
      </c>
      <c r="N16" s="51">
        <v>153.80000000000001</v>
      </c>
      <c r="O16" s="51">
        <v>0</v>
      </c>
      <c r="P16" s="51">
        <v>0.52</v>
      </c>
      <c r="Q16" s="51">
        <v>4.25</v>
      </c>
    </row>
    <row r="17" spans="1:17" customFormat="1">
      <c r="A17" s="50">
        <v>45593.375</v>
      </c>
      <c r="B17" s="51">
        <v>5.3</v>
      </c>
      <c r="C17" s="51">
        <v>8.1</v>
      </c>
      <c r="D17" s="51">
        <v>14.04</v>
      </c>
      <c r="E17" s="51">
        <v>11.25</v>
      </c>
      <c r="F17" s="51">
        <v>5.98</v>
      </c>
      <c r="G17" s="51">
        <v>35.840000000000003</v>
      </c>
      <c r="H17" s="51">
        <v>8.77</v>
      </c>
      <c r="I17" s="51">
        <v>5.79</v>
      </c>
      <c r="J17" s="51">
        <v>0.23</v>
      </c>
      <c r="K17" s="51">
        <v>135.66</v>
      </c>
      <c r="L17" s="51">
        <v>28</v>
      </c>
      <c r="M17" s="51">
        <v>79.7</v>
      </c>
      <c r="N17" s="51">
        <v>167.8</v>
      </c>
      <c r="O17" s="51">
        <v>0</v>
      </c>
      <c r="P17" s="51">
        <v>0.5</v>
      </c>
      <c r="Q17" s="51">
        <v>4.26</v>
      </c>
    </row>
    <row r="18" spans="1:17" customFormat="1">
      <c r="A18" s="50">
        <v>45593.416666666664</v>
      </c>
      <c r="B18" s="51">
        <v>5.3</v>
      </c>
      <c r="C18" s="51">
        <v>8.08</v>
      </c>
      <c r="D18" s="51">
        <v>14.04</v>
      </c>
      <c r="E18" s="51">
        <v>11.12</v>
      </c>
      <c r="F18" s="51">
        <v>7.76</v>
      </c>
      <c r="G18" s="51">
        <v>33.6</v>
      </c>
      <c r="H18" s="51">
        <v>10.43</v>
      </c>
      <c r="I18" s="51">
        <v>5.74</v>
      </c>
      <c r="J18" s="51">
        <v>0.34</v>
      </c>
      <c r="K18" s="51">
        <v>145.34</v>
      </c>
      <c r="L18" s="51">
        <v>28.3</v>
      </c>
      <c r="M18" s="51">
        <v>79.680000000000007</v>
      </c>
      <c r="N18" s="51">
        <v>137.1</v>
      </c>
      <c r="O18" s="51">
        <v>0</v>
      </c>
      <c r="P18" s="51">
        <v>0.5</v>
      </c>
      <c r="Q18" s="51">
        <v>4.2699999999999996</v>
      </c>
    </row>
    <row r="19" spans="1:17" customFormat="1">
      <c r="A19" s="50">
        <v>45593.458333333336</v>
      </c>
      <c r="B19" s="51">
        <v>5.39</v>
      </c>
      <c r="C19" s="51">
        <v>8.1199999999999992</v>
      </c>
      <c r="D19" s="51">
        <v>14.1</v>
      </c>
      <c r="E19" s="51">
        <v>14.97</v>
      </c>
      <c r="F19" s="51">
        <v>8.67</v>
      </c>
      <c r="G19" s="51">
        <v>31.13</v>
      </c>
      <c r="H19" s="51">
        <v>10.43</v>
      </c>
      <c r="I19" s="51">
        <v>5.89</v>
      </c>
      <c r="J19" s="51">
        <v>0.36</v>
      </c>
      <c r="K19" s="51">
        <v>180.88</v>
      </c>
      <c r="L19" s="51">
        <v>29.8</v>
      </c>
      <c r="M19" s="51">
        <v>73.8</v>
      </c>
      <c r="N19" s="51">
        <v>473.2</v>
      </c>
      <c r="O19" s="51">
        <v>0.2</v>
      </c>
      <c r="P19" s="51">
        <v>0.5</v>
      </c>
      <c r="Q19" s="51">
        <v>4.2699999999999996</v>
      </c>
    </row>
    <row r="20" spans="1:17" customFormat="1">
      <c r="A20" s="50">
        <v>45593.5</v>
      </c>
      <c r="B20" s="51">
        <v>5.39</v>
      </c>
      <c r="C20" s="51">
        <v>8.08</v>
      </c>
      <c r="D20" s="51">
        <v>14.11</v>
      </c>
      <c r="E20" s="51">
        <v>15.46</v>
      </c>
      <c r="F20" s="51">
        <v>15.87</v>
      </c>
      <c r="G20" s="51">
        <v>30.8</v>
      </c>
      <c r="H20" s="51">
        <v>9.68</v>
      </c>
      <c r="I20" s="51">
        <v>6.22</v>
      </c>
      <c r="J20" s="51">
        <v>0.49</v>
      </c>
      <c r="K20" s="51">
        <v>50.62</v>
      </c>
      <c r="L20" s="51">
        <v>30.76</v>
      </c>
      <c r="M20" s="51">
        <v>66.900000000000006</v>
      </c>
      <c r="N20" s="51">
        <v>641.9</v>
      </c>
      <c r="O20" s="51">
        <v>0</v>
      </c>
      <c r="P20" s="51">
        <v>0.52</v>
      </c>
      <c r="Q20" s="51">
        <v>4.26</v>
      </c>
    </row>
    <row r="21" spans="1:17" customFormat="1">
      <c r="A21" s="50">
        <v>45593.541666666664</v>
      </c>
      <c r="B21" s="51">
        <v>5.38</v>
      </c>
      <c r="C21" s="51">
        <v>8.1</v>
      </c>
      <c r="D21" s="51">
        <v>14.1</v>
      </c>
      <c r="E21" s="51">
        <v>11.59</v>
      </c>
      <c r="F21" s="51">
        <v>13.21</v>
      </c>
      <c r="G21" s="51">
        <v>29.62</v>
      </c>
      <c r="H21" s="51">
        <v>9.68</v>
      </c>
      <c r="I21" s="51">
        <v>6.17</v>
      </c>
      <c r="J21" s="51">
        <v>0.51</v>
      </c>
      <c r="K21" s="51">
        <v>84.35</v>
      </c>
      <c r="L21" s="51">
        <v>30.03</v>
      </c>
      <c r="M21" s="51">
        <v>69.599999999999994</v>
      </c>
      <c r="N21" s="51">
        <v>271.8</v>
      </c>
      <c r="O21" s="51">
        <v>0</v>
      </c>
      <c r="P21" s="51">
        <v>0.54</v>
      </c>
      <c r="Q21" s="51">
        <v>4.28</v>
      </c>
    </row>
    <row r="22" spans="1:17" customFormat="1">
      <c r="A22" s="50">
        <v>45593.583333333336</v>
      </c>
      <c r="B22" s="51">
        <v>5.37</v>
      </c>
      <c r="C22" s="51">
        <v>8.1</v>
      </c>
      <c r="D22" s="51">
        <v>14.09</v>
      </c>
      <c r="E22" s="51">
        <v>12.22</v>
      </c>
      <c r="F22" s="51">
        <v>19.27</v>
      </c>
      <c r="G22" s="51">
        <v>34.380000000000003</v>
      </c>
      <c r="H22" s="51">
        <v>9.2899999999999991</v>
      </c>
      <c r="I22" s="51">
        <v>6.02</v>
      </c>
      <c r="J22" s="51">
        <v>0.74</v>
      </c>
      <c r="K22" s="51">
        <v>50.74</v>
      </c>
      <c r="L22" s="51">
        <v>30.31</v>
      </c>
      <c r="M22" s="51">
        <v>69.05</v>
      </c>
      <c r="N22" s="51">
        <v>329.2</v>
      </c>
      <c r="O22" s="51">
        <v>0</v>
      </c>
      <c r="P22" s="51">
        <v>0.54</v>
      </c>
      <c r="Q22" s="51">
        <v>4.2699999999999996</v>
      </c>
    </row>
    <row r="23" spans="1:17" customFormat="1">
      <c r="A23" s="50">
        <v>45593.625</v>
      </c>
      <c r="B23" s="51">
        <v>5.36</v>
      </c>
      <c r="C23" s="51">
        <v>8.07</v>
      </c>
      <c r="D23" s="51">
        <v>14.07</v>
      </c>
      <c r="E23" s="51">
        <v>14.81</v>
      </c>
      <c r="F23" s="51">
        <v>20.71</v>
      </c>
      <c r="G23" s="51">
        <v>36</v>
      </c>
      <c r="H23" s="51">
        <v>9.9</v>
      </c>
      <c r="I23" s="51">
        <v>5.82</v>
      </c>
      <c r="J23" s="51">
        <v>0.82</v>
      </c>
      <c r="K23" s="51">
        <v>53.83</v>
      </c>
      <c r="L23" s="51">
        <v>29.5</v>
      </c>
      <c r="M23" s="51">
        <v>69.36</v>
      </c>
      <c r="N23" s="51">
        <v>72.099999999999994</v>
      </c>
      <c r="O23" s="51">
        <v>0</v>
      </c>
      <c r="P23" s="51">
        <v>0.56000000000000005</v>
      </c>
      <c r="Q23" s="51">
        <v>4.2699999999999996</v>
      </c>
    </row>
    <row r="24" spans="1:17" customFormat="1">
      <c r="A24" s="50">
        <v>45593.666666666664</v>
      </c>
      <c r="B24" s="51">
        <v>5.35</v>
      </c>
      <c r="C24" s="51">
        <v>8.06</v>
      </c>
      <c r="D24" s="51">
        <v>14.07</v>
      </c>
      <c r="E24" s="51">
        <v>11.83</v>
      </c>
      <c r="F24" s="51">
        <v>14.22</v>
      </c>
      <c r="G24" s="51">
        <v>40</v>
      </c>
      <c r="H24" s="51">
        <v>13</v>
      </c>
      <c r="I24" s="51">
        <v>5.95</v>
      </c>
      <c r="J24" s="51">
        <v>0.76</v>
      </c>
      <c r="K24" s="51">
        <v>57.33</v>
      </c>
      <c r="L24" s="51">
        <v>29.54</v>
      </c>
      <c r="M24" s="51">
        <v>69.97</v>
      </c>
      <c r="N24" s="51">
        <v>60.3</v>
      </c>
      <c r="O24" s="51">
        <v>0</v>
      </c>
      <c r="P24" s="51">
        <v>0.57999999999999996</v>
      </c>
      <c r="Q24" s="51">
        <v>4.2699999999999996</v>
      </c>
    </row>
    <row r="25" spans="1:17" customFormat="1">
      <c r="A25" s="50">
        <v>45593.708333333336</v>
      </c>
      <c r="B25" s="51">
        <v>5.34</v>
      </c>
      <c r="C25" s="51">
        <v>8.08</v>
      </c>
      <c r="D25" s="51">
        <v>14.07</v>
      </c>
      <c r="E25" s="51">
        <v>11.8</v>
      </c>
      <c r="F25" s="51">
        <v>11.78</v>
      </c>
      <c r="G25" s="51">
        <v>49.18</v>
      </c>
      <c r="H25" s="51">
        <v>14.52</v>
      </c>
      <c r="I25" s="51">
        <v>5.85</v>
      </c>
      <c r="J25" s="51">
        <v>0.75</v>
      </c>
      <c r="K25" s="51">
        <v>58.76</v>
      </c>
      <c r="L25" s="51">
        <v>29.23</v>
      </c>
      <c r="M25" s="51">
        <v>72.67</v>
      </c>
      <c r="N25" s="51">
        <v>29.5</v>
      </c>
      <c r="O25" s="51">
        <v>0</v>
      </c>
      <c r="P25" s="51">
        <v>0.63</v>
      </c>
      <c r="Q25" s="51">
        <v>4.2699999999999996</v>
      </c>
    </row>
    <row r="26" spans="1:17" customFormat="1">
      <c r="A26" s="50">
        <v>45593.75</v>
      </c>
      <c r="B26" s="51">
        <v>5.34</v>
      </c>
      <c r="C26" s="51">
        <v>8.09</v>
      </c>
      <c r="D26" s="51">
        <v>14.07</v>
      </c>
      <c r="E26" s="51">
        <v>11.47</v>
      </c>
      <c r="F26" s="51">
        <v>10.97</v>
      </c>
      <c r="G26" s="51">
        <v>50.73</v>
      </c>
      <c r="H26" s="51">
        <v>14.52</v>
      </c>
      <c r="I26" s="51">
        <v>6.11</v>
      </c>
      <c r="J26" s="51">
        <v>0.42</v>
      </c>
      <c r="K26" s="51">
        <v>130.06</v>
      </c>
      <c r="L26" s="51">
        <v>28.69</v>
      </c>
      <c r="M26" s="51">
        <v>78.510000000000005</v>
      </c>
      <c r="N26" s="51">
        <v>4.3</v>
      </c>
      <c r="O26" s="51">
        <v>0</v>
      </c>
      <c r="P26" s="51">
        <v>0.63</v>
      </c>
      <c r="Q26" s="51">
        <v>4.28</v>
      </c>
    </row>
    <row r="27" spans="1:17" customFormat="1">
      <c r="A27" s="50">
        <v>45593.791666666664</v>
      </c>
      <c r="B27" s="51">
        <v>5.35</v>
      </c>
      <c r="C27" s="51">
        <v>8.1300000000000008</v>
      </c>
      <c r="D27" s="51">
        <v>14.1</v>
      </c>
      <c r="E27" s="51">
        <v>8.17</v>
      </c>
      <c r="F27" s="51">
        <v>8.7200000000000006</v>
      </c>
      <c r="G27" s="51">
        <v>48.15</v>
      </c>
      <c r="H27" s="51">
        <v>14.84</v>
      </c>
      <c r="I27" s="51">
        <v>6.23</v>
      </c>
      <c r="J27" s="51">
        <v>0.39</v>
      </c>
      <c r="K27" s="51">
        <v>173.03</v>
      </c>
      <c r="L27" s="51">
        <v>28.14</v>
      </c>
      <c r="M27" s="51">
        <v>82.3</v>
      </c>
      <c r="N27" s="51">
        <v>2.4</v>
      </c>
      <c r="O27" s="51">
        <v>0</v>
      </c>
      <c r="P27" s="51">
        <v>0.65</v>
      </c>
      <c r="Q27" s="51">
        <v>4.26</v>
      </c>
    </row>
    <row r="28" spans="1:17" customFormat="1">
      <c r="A28" s="50">
        <v>45593.833333333336</v>
      </c>
      <c r="B28" s="51">
        <v>5.33</v>
      </c>
      <c r="C28" s="51">
        <v>8.1199999999999992</v>
      </c>
      <c r="D28" s="51">
        <v>14.08</v>
      </c>
      <c r="E28" s="51">
        <v>8.1</v>
      </c>
      <c r="F28" s="51">
        <v>7.16</v>
      </c>
      <c r="G28" s="51">
        <v>53.82</v>
      </c>
      <c r="H28" s="51">
        <v>19.010000000000002</v>
      </c>
      <c r="I28" s="51">
        <v>8.5500000000000007</v>
      </c>
      <c r="J28" s="51">
        <v>0.37</v>
      </c>
      <c r="K28" s="51">
        <v>151.5</v>
      </c>
      <c r="L28" s="51">
        <v>27.5</v>
      </c>
      <c r="M28" s="51">
        <v>85.77</v>
      </c>
      <c r="N28" s="51">
        <v>2.4</v>
      </c>
      <c r="O28" s="51">
        <v>0</v>
      </c>
      <c r="P28" s="51">
        <v>0.72</v>
      </c>
      <c r="Q28" s="51">
        <v>4.2699999999999996</v>
      </c>
    </row>
    <row r="29" spans="1:17" customFormat="1">
      <c r="A29" s="50">
        <v>45593.875</v>
      </c>
      <c r="B29" s="51">
        <v>5.33</v>
      </c>
      <c r="C29" s="51">
        <v>8.1</v>
      </c>
      <c r="D29" s="51">
        <v>14.07</v>
      </c>
      <c r="E29" s="51">
        <v>7.59</v>
      </c>
      <c r="F29" s="51">
        <v>6.76</v>
      </c>
      <c r="G29" s="51">
        <v>54.78</v>
      </c>
      <c r="H29" s="51">
        <v>19.010000000000002</v>
      </c>
      <c r="I29" s="51">
        <v>7.98</v>
      </c>
      <c r="J29" s="51">
        <v>0.12</v>
      </c>
      <c r="K29" s="51">
        <v>210.29</v>
      </c>
      <c r="L29" s="51">
        <v>26.82</v>
      </c>
      <c r="M29" s="51">
        <v>89.57</v>
      </c>
      <c r="N29" s="51">
        <v>2.4</v>
      </c>
      <c r="O29" s="51">
        <v>0</v>
      </c>
      <c r="P29" s="51">
        <v>0.73</v>
      </c>
      <c r="Q29" s="51">
        <v>4.28</v>
      </c>
    </row>
    <row r="30" spans="1:17" customFormat="1">
      <c r="A30" s="50">
        <v>45593.916666666664</v>
      </c>
      <c r="B30" s="51">
        <v>5.31</v>
      </c>
      <c r="C30" s="51">
        <v>8.09</v>
      </c>
      <c r="D30" s="51">
        <v>14.05</v>
      </c>
      <c r="E30" s="51">
        <v>8.0500000000000007</v>
      </c>
      <c r="F30" s="51">
        <v>6.13</v>
      </c>
      <c r="G30" s="51">
        <v>57.22</v>
      </c>
      <c r="H30" s="51">
        <v>18.690000000000001</v>
      </c>
      <c r="I30" s="51">
        <v>8.36</v>
      </c>
      <c r="J30" s="51">
        <v>0.18</v>
      </c>
      <c r="K30" s="51">
        <v>197</v>
      </c>
      <c r="L30" s="51">
        <v>26.12</v>
      </c>
      <c r="M30" s="51">
        <v>95.08</v>
      </c>
      <c r="N30" s="51">
        <v>2.1</v>
      </c>
      <c r="O30" s="51">
        <v>0</v>
      </c>
      <c r="P30" s="51">
        <v>0.72</v>
      </c>
      <c r="Q30" s="51">
        <v>4.29</v>
      </c>
    </row>
    <row r="31" spans="1:17" customFormat="1">
      <c r="A31" s="50">
        <v>45593.958333333336</v>
      </c>
      <c r="B31" s="51">
        <v>5.33</v>
      </c>
      <c r="C31" s="51">
        <v>8.1</v>
      </c>
      <c r="D31" s="51">
        <v>14.06</v>
      </c>
      <c r="E31" s="51">
        <v>6.95</v>
      </c>
      <c r="F31" s="51">
        <v>5.92</v>
      </c>
      <c r="G31" s="51">
        <v>57.69</v>
      </c>
      <c r="H31" s="51">
        <v>18.53</v>
      </c>
      <c r="I31" s="51">
        <v>8.93</v>
      </c>
      <c r="J31" s="51">
        <v>0.15</v>
      </c>
      <c r="K31" s="51">
        <v>222.66</v>
      </c>
      <c r="L31" s="51">
        <v>25.73</v>
      </c>
      <c r="M31" s="51">
        <v>96.75</v>
      </c>
      <c r="N31" s="51">
        <v>2.1</v>
      </c>
      <c r="O31" s="51">
        <v>0</v>
      </c>
      <c r="P31" s="51">
        <v>0.72</v>
      </c>
      <c r="Q31" s="51">
        <v>4.2699999999999996</v>
      </c>
    </row>
    <row r="32" spans="1:17" customFormat="1">
      <c r="A32" s="50">
        <v>45594</v>
      </c>
      <c r="B32" s="51">
        <v>5.32</v>
      </c>
      <c r="C32" s="51">
        <v>8.11</v>
      </c>
      <c r="D32" s="51">
        <v>14.06</v>
      </c>
      <c r="E32" s="51">
        <v>7.17</v>
      </c>
      <c r="F32" s="51">
        <v>6.15</v>
      </c>
      <c r="G32" s="51">
        <v>57.56</v>
      </c>
      <c r="H32" s="51">
        <v>16.96</v>
      </c>
      <c r="I32" s="51">
        <v>9.15</v>
      </c>
      <c r="J32" s="51">
        <v>0.15</v>
      </c>
      <c r="K32" s="51">
        <v>207.43</v>
      </c>
      <c r="L32" s="51">
        <v>25.42</v>
      </c>
      <c r="M32" s="51">
        <v>97.65</v>
      </c>
      <c r="N32" s="51">
        <v>2.1</v>
      </c>
      <c r="O32" s="51">
        <v>0</v>
      </c>
      <c r="P32" s="51">
        <v>0.76</v>
      </c>
      <c r="Q32" s="51">
        <v>4.26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5.3</v>
      </c>
      <c r="C34" s="41">
        <f t="shared" si="0"/>
        <v>8.0500000000000007</v>
      </c>
      <c r="D34" s="41">
        <f t="shared" si="0"/>
        <v>14.03</v>
      </c>
      <c r="E34" s="41">
        <f t="shared" si="0"/>
        <v>6.95</v>
      </c>
      <c r="F34" s="41">
        <f t="shared" si="0"/>
        <v>4.96</v>
      </c>
      <c r="G34" s="41">
        <f t="shared" si="0"/>
        <v>26.51</v>
      </c>
      <c r="H34" s="41">
        <f t="shared" si="0"/>
        <v>8.77</v>
      </c>
      <c r="I34" s="41">
        <f t="shared" si="0"/>
        <v>5.74</v>
      </c>
      <c r="J34" s="41">
        <f t="shared" si="0"/>
        <v>0.12</v>
      </c>
      <c r="K34" s="41">
        <f t="shared" si="0"/>
        <v>50.62</v>
      </c>
      <c r="L34" s="41">
        <f t="shared" si="0"/>
        <v>24.74</v>
      </c>
      <c r="M34" s="41">
        <f t="shared" si="0"/>
        <v>66.900000000000006</v>
      </c>
      <c r="N34" s="41">
        <f t="shared" si="0"/>
        <v>2.1</v>
      </c>
      <c r="O34" s="41">
        <f t="shared" si="0"/>
        <v>0</v>
      </c>
      <c r="P34" s="41">
        <f t="shared" si="0"/>
        <v>0.5</v>
      </c>
      <c r="Q34" s="41">
        <f t="shared" si="0"/>
        <v>4.25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5.39</v>
      </c>
      <c r="C35" s="33">
        <f t="shared" si="1"/>
        <v>8.16</v>
      </c>
      <c r="D35" s="33">
        <f t="shared" si="1"/>
        <v>14.11</v>
      </c>
      <c r="E35" s="33">
        <f t="shared" si="1"/>
        <v>15.46</v>
      </c>
      <c r="F35" s="33">
        <f t="shared" si="1"/>
        <v>20.71</v>
      </c>
      <c r="G35" s="33">
        <f t="shared" si="1"/>
        <v>57.69</v>
      </c>
      <c r="H35" s="33">
        <f t="shared" si="1"/>
        <v>19.010000000000002</v>
      </c>
      <c r="I35" s="33">
        <f t="shared" si="1"/>
        <v>9.15</v>
      </c>
      <c r="J35" s="33">
        <f t="shared" si="1"/>
        <v>0.82</v>
      </c>
      <c r="K35" s="33">
        <f t="shared" si="1"/>
        <v>222.66</v>
      </c>
      <c r="L35" s="33">
        <f t="shared" si="1"/>
        <v>30.76</v>
      </c>
      <c r="M35" s="33">
        <f t="shared" si="1"/>
        <v>97.65</v>
      </c>
      <c r="N35" s="33">
        <f t="shared" si="1"/>
        <v>641.9</v>
      </c>
      <c r="O35" s="33">
        <f t="shared" si="1"/>
        <v>0.2</v>
      </c>
      <c r="P35" s="33">
        <f t="shared" si="1"/>
        <v>0.76</v>
      </c>
      <c r="Q35" s="33">
        <f t="shared" si="1"/>
        <v>4.29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5.3304166666666655</v>
      </c>
      <c r="C36" s="41">
        <f t="shared" si="2"/>
        <v>8.0949999999999989</v>
      </c>
      <c r="D36" s="41">
        <f t="shared" si="2"/>
        <v>14.062916666666666</v>
      </c>
      <c r="E36" s="41">
        <f t="shared" si="2"/>
        <v>10.886666666666668</v>
      </c>
      <c r="F36" s="41">
        <f t="shared" si="2"/>
        <v>9.0124999999999993</v>
      </c>
      <c r="G36" s="41">
        <f t="shared" si="2"/>
        <v>40.389583333333327</v>
      </c>
      <c r="H36" s="41">
        <f t="shared" si="2"/>
        <v>12.38875</v>
      </c>
      <c r="I36" s="41">
        <f t="shared" si="2"/>
        <v>6.6216666666666661</v>
      </c>
      <c r="J36" s="41">
        <f t="shared" si="2"/>
        <v>0.35666666666666663</v>
      </c>
      <c r="K36" s="41">
        <f t="shared" si="2"/>
        <v>146.3795833333333</v>
      </c>
      <c r="L36" s="41">
        <f t="shared" si="2"/>
        <v>27.347083333333341</v>
      </c>
      <c r="M36" s="41">
        <f t="shared" si="2"/>
        <v>84.213333333333324</v>
      </c>
      <c r="N36" s="41">
        <f t="shared" si="2"/>
        <v>100.50000000000001</v>
      </c>
      <c r="O36" s="41">
        <f t="shared" si="2"/>
        <v>8.3333333333333332E-3</v>
      </c>
      <c r="P36" s="41">
        <f t="shared" si="2"/>
        <v>0.58583333333333354</v>
      </c>
      <c r="Q36" s="41">
        <f t="shared" si="2"/>
        <v>4.2679166666666664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2.9996980524374644E-2</v>
      </c>
      <c r="C37" s="41">
        <f t="shared" ref="C37:Q37" si="3">STDEV(C9:C32)</f>
        <v>2.3956482285140527E-2</v>
      </c>
      <c r="D37" s="41">
        <f t="shared" si="3"/>
        <v>2.4043288255663667E-2</v>
      </c>
      <c r="E37" s="41">
        <f t="shared" si="3"/>
        <v>2.3002073000467531</v>
      </c>
      <c r="F37" s="41">
        <f t="shared" si="3"/>
        <v>4.5263501468814731</v>
      </c>
      <c r="G37" s="41">
        <f t="shared" si="3"/>
        <v>10.445846055674025</v>
      </c>
      <c r="H37" s="41">
        <f t="shared" si="3"/>
        <v>3.6505643548218223</v>
      </c>
      <c r="I37" s="41">
        <f t="shared" si="3"/>
        <v>1.0803931114933665</v>
      </c>
      <c r="J37" s="41">
        <f t="shared" si="3"/>
        <v>0.22103839262556357</v>
      </c>
      <c r="K37" s="41">
        <f t="shared" si="3"/>
        <v>59.918724407329108</v>
      </c>
      <c r="L37" s="41">
        <f t="shared" si="3"/>
        <v>2.0489562118236528</v>
      </c>
      <c r="M37" s="41">
        <f t="shared" si="3"/>
        <v>10.702416901627005</v>
      </c>
      <c r="N37" s="41">
        <f t="shared" si="3"/>
        <v>169.14542752369604</v>
      </c>
      <c r="O37" s="41">
        <f t="shared" si="3"/>
        <v>4.0824829046386311E-2</v>
      </c>
      <c r="P37" s="41">
        <f t="shared" si="3"/>
        <v>8.6170542059571129E-2</v>
      </c>
      <c r="Q37" s="41">
        <f t="shared" si="3"/>
        <v>1.0206207261596625E-2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45"/>
  <sheetViews>
    <sheetView tabSelected="1" topLeftCell="A21" workbookViewId="0">
      <selection activeCell="G38" sqref="G38:H38"/>
    </sheetView>
  </sheetViews>
  <sheetFormatPr defaultColWidth="9" defaultRowHeight="15"/>
  <cols>
    <col min="1" max="1" width="12.85546875" customWidth="1"/>
    <col min="2" max="2" width="14.42578125" customWidth="1"/>
  </cols>
  <sheetData>
    <row r="1" spans="1:21" ht="27.75" customHeight="1">
      <c r="A1" s="3" t="s">
        <v>0</v>
      </c>
      <c r="B1" s="6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>
      <c r="A2" s="3" t="s">
        <v>2</v>
      </c>
      <c r="B2" s="7">
        <f>$A$9</f>
        <v>45594.041666666664</v>
      </c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O2" s="1"/>
      <c r="P2" s="26" t="s">
        <v>7</v>
      </c>
      <c r="Q2" s="6"/>
      <c r="R2" s="30" t="s">
        <v>8</v>
      </c>
    </row>
    <row r="3" spans="1:21">
      <c r="A3" s="3" t="s">
        <v>9</v>
      </c>
      <c r="B3" s="6" t="s">
        <v>10</v>
      </c>
      <c r="D3" s="8" t="s">
        <v>11</v>
      </c>
      <c r="E3" s="8"/>
      <c r="F3" s="8"/>
      <c r="G3" s="11" t="s">
        <v>12</v>
      </c>
      <c r="H3" s="10"/>
      <c r="I3" s="10"/>
      <c r="J3" s="10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</row>
    <row r="4" spans="1:21">
      <c r="A4" s="3" t="s">
        <v>16</v>
      </c>
      <c r="B4" s="6" t="s">
        <v>17</v>
      </c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</row>
    <row r="5" spans="1:2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</row>
    <row r="7" spans="1:2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>
      <c r="A9" s="50">
        <v>45594.041666666664</v>
      </c>
      <c r="B9" s="51">
        <v>5.35</v>
      </c>
      <c r="C9" s="51">
        <v>8.1</v>
      </c>
      <c r="D9" s="51">
        <v>14.08</v>
      </c>
      <c r="E9" s="51">
        <v>7.96</v>
      </c>
      <c r="F9" s="51">
        <v>6.09</v>
      </c>
      <c r="G9" s="51">
        <v>57.2</v>
      </c>
      <c r="H9" s="51">
        <v>16.34</v>
      </c>
      <c r="I9" s="51">
        <v>9.14</v>
      </c>
      <c r="J9" s="51">
        <v>0.16</v>
      </c>
      <c r="K9" s="51">
        <v>231.05</v>
      </c>
      <c r="L9" s="51">
        <v>25.17</v>
      </c>
      <c r="M9" s="51">
        <v>98.18</v>
      </c>
      <c r="N9" s="51">
        <v>2.1</v>
      </c>
      <c r="O9" s="51">
        <v>0</v>
      </c>
      <c r="P9" s="51">
        <v>0.76</v>
      </c>
      <c r="Q9" s="51">
        <v>4.2699999999999996</v>
      </c>
    </row>
    <row r="10" spans="1:21">
      <c r="A10" s="50">
        <v>45594.083333333336</v>
      </c>
      <c r="B10" s="51">
        <v>5.36</v>
      </c>
      <c r="C10" s="51">
        <v>8.08</v>
      </c>
      <c r="D10" s="51">
        <v>14.08</v>
      </c>
      <c r="E10" s="51">
        <v>7.85</v>
      </c>
      <c r="F10" s="51">
        <v>5.12</v>
      </c>
      <c r="G10" s="51">
        <v>57.95</v>
      </c>
      <c r="H10" s="51">
        <v>14.48</v>
      </c>
      <c r="I10" s="51">
        <v>9.14</v>
      </c>
      <c r="J10" s="51">
        <v>0.12</v>
      </c>
      <c r="K10" s="51">
        <v>191.71</v>
      </c>
      <c r="L10" s="51">
        <v>25.13</v>
      </c>
      <c r="M10" s="51">
        <v>98.66</v>
      </c>
      <c r="N10" s="51">
        <v>2.1</v>
      </c>
      <c r="O10" s="51">
        <v>0</v>
      </c>
      <c r="P10" s="51">
        <v>0.76</v>
      </c>
      <c r="Q10" s="51">
        <v>4.2699999999999996</v>
      </c>
    </row>
    <row r="11" spans="1:21">
      <c r="A11" s="50">
        <v>45594.125</v>
      </c>
      <c r="B11" s="51">
        <v>5.37</v>
      </c>
      <c r="C11" s="51">
        <v>8.1199999999999992</v>
      </c>
      <c r="D11" s="51">
        <v>14.09</v>
      </c>
      <c r="E11" s="51">
        <v>11.12</v>
      </c>
      <c r="F11" s="51">
        <v>5.56</v>
      </c>
      <c r="G11" s="51">
        <v>58.07</v>
      </c>
      <c r="H11" s="51">
        <v>14.48</v>
      </c>
      <c r="I11" s="51">
        <v>8.91</v>
      </c>
      <c r="J11" s="51">
        <v>0.14000000000000001</v>
      </c>
      <c r="K11" s="51">
        <v>216.13</v>
      </c>
      <c r="L11" s="51">
        <v>25.02</v>
      </c>
      <c r="M11" s="51">
        <v>97.86</v>
      </c>
      <c r="N11" s="51">
        <v>2.1</v>
      </c>
      <c r="O11" s="51">
        <v>0</v>
      </c>
      <c r="P11" s="51">
        <v>0.74</v>
      </c>
      <c r="Q11" s="51">
        <v>4.28</v>
      </c>
    </row>
    <row r="12" spans="1:21">
      <c r="A12" s="50">
        <v>45594.166666666664</v>
      </c>
      <c r="B12" s="51">
        <v>5.37</v>
      </c>
      <c r="C12" s="51">
        <v>8.1</v>
      </c>
      <c r="D12" s="51">
        <v>14.09</v>
      </c>
      <c r="E12" s="51">
        <v>11.32</v>
      </c>
      <c r="F12" s="51">
        <v>4.9000000000000004</v>
      </c>
      <c r="G12" s="51">
        <v>58.63</v>
      </c>
      <c r="H12" s="51">
        <v>17.23</v>
      </c>
      <c r="I12" s="51">
        <v>8.68</v>
      </c>
      <c r="J12" s="51">
        <v>0.21</v>
      </c>
      <c r="K12" s="51">
        <v>57.67</v>
      </c>
      <c r="L12" s="51">
        <v>24.97</v>
      </c>
      <c r="M12" s="51">
        <v>97.72</v>
      </c>
      <c r="N12" s="51">
        <v>2.1</v>
      </c>
      <c r="O12" s="51">
        <v>0</v>
      </c>
      <c r="P12" s="51">
        <v>0.71</v>
      </c>
      <c r="Q12" s="51">
        <v>4.2699999999999996</v>
      </c>
    </row>
    <row r="13" spans="1:21">
      <c r="A13" s="50">
        <v>45594.208333333336</v>
      </c>
      <c r="B13" s="51">
        <v>5.4</v>
      </c>
      <c r="C13" s="51">
        <v>8.08</v>
      </c>
      <c r="D13" s="51">
        <v>14.11</v>
      </c>
      <c r="E13" s="51">
        <v>11.69</v>
      </c>
      <c r="F13" s="51">
        <v>5.19</v>
      </c>
      <c r="G13" s="51">
        <v>59.89</v>
      </c>
      <c r="H13" s="51">
        <v>17.23</v>
      </c>
      <c r="I13" s="51">
        <v>8.66</v>
      </c>
      <c r="J13" s="51">
        <v>0.28999999999999998</v>
      </c>
      <c r="K13" s="51">
        <v>76.91</v>
      </c>
      <c r="L13" s="51">
        <v>24.99</v>
      </c>
      <c r="M13" s="51">
        <v>97.78</v>
      </c>
      <c r="N13" s="51">
        <v>2.1</v>
      </c>
      <c r="O13" s="51">
        <v>0</v>
      </c>
      <c r="P13" s="51">
        <v>0.69</v>
      </c>
      <c r="Q13" s="51">
        <v>4.28</v>
      </c>
    </row>
    <row r="14" spans="1:21">
      <c r="A14" s="50">
        <v>45594.25</v>
      </c>
      <c r="B14" s="51">
        <v>5.38</v>
      </c>
      <c r="C14" s="51">
        <v>8.1</v>
      </c>
      <c r="D14" s="51">
        <v>14.1</v>
      </c>
      <c r="E14" s="51">
        <v>11.46</v>
      </c>
      <c r="F14" s="51">
        <v>5.95</v>
      </c>
      <c r="G14" s="51">
        <v>60.05</v>
      </c>
      <c r="H14" s="51">
        <v>19.46</v>
      </c>
      <c r="I14" s="51">
        <v>8.7899999999999991</v>
      </c>
      <c r="J14" s="51">
        <v>0.45</v>
      </c>
      <c r="K14" s="51">
        <v>135.21</v>
      </c>
      <c r="L14" s="51">
        <v>24.78</v>
      </c>
      <c r="M14" s="51">
        <v>98.82</v>
      </c>
      <c r="N14" s="51">
        <v>4.3</v>
      </c>
      <c r="O14" s="51">
        <v>0</v>
      </c>
      <c r="P14" s="51">
        <v>0.69</v>
      </c>
      <c r="Q14" s="51">
        <v>4.2699999999999996</v>
      </c>
    </row>
    <row r="15" spans="1:21">
      <c r="A15" s="50">
        <v>45594.291666666664</v>
      </c>
      <c r="B15" s="51">
        <v>5.4</v>
      </c>
      <c r="C15" s="51">
        <v>8.07</v>
      </c>
      <c r="D15" s="51">
        <v>14.11</v>
      </c>
      <c r="E15" s="51">
        <v>11.51</v>
      </c>
      <c r="F15" s="51">
        <v>6.25</v>
      </c>
      <c r="G15" s="51">
        <v>57.28</v>
      </c>
      <c r="H15" s="51">
        <v>19.46</v>
      </c>
      <c r="I15" s="51">
        <v>8.8699999999999992</v>
      </c>
      <c r="J15" s="51">
        <v>0.21</v>
      </c>
      <c r="K15" s="51">
        <v>252.69</v>
      </c>
      <c r="L15" s="51">
        <v>25.32</v>
      </c>
      <c r="M15" s="51">
        <v>99.79</v>
      </c>
      <c r="N15" s="51">
        <v>50.4</v>
      </c>
      <c r="O15" s="51">
        <v>0</v>
      </c>
      <c r="P15" s="51">
        <v>0.69</v>
      </c>
      <c r="Q15" s="51">
        <v>4.2699999999999996</v>
      </c>
    </row>
    <row r="16" spans="1:21">
      <c r="A16" s="50">
        <v>45594.333333333336</v>
      </c>
      <c r="B16" s="51">
        <v>5.4</v>
      </c>
      <c r="C16" s="51">
        <v>8.09</v>
      </c>
      <c r="D16" s="51">
        <v>14.11</v>
      </c>
      <c r="E16" s="51">
        <v>11.04</v>
      </c>
      <c r="F16" s="51">
        <v>7.44</v>
      </c>
      <c r="G16" s="51">
        <v>56.47</v>
      </c>
      <c r="H16" s="51">
        <v>17.420000000000002</v>
      </c>
      <c r="I16" s="51">
        <v>9.24</v>
      </c>
      <c r="J16" s="51">
        <v>0.63</v>
      </c>
      <c r="K16" s="51">
        <v>64.349999999999994</v>
      </c>
      <c r="L16" s="51">
        <v>26.36</v>
      </c>
      <c r="M16" s="51">
        <v>92.16</v>
      </c>
      <c r="N16" s="51">
        <v>94</v>
      </c>
      <c r="O16" s="51">
        <v>0</v>
      </c>
      <c r="P16" s="51">
        <v>0.69</v>
      </c>
      <c r="Q16" s="51">
        <v>4.3</v>
      </c>
    </row>
    <row r="17" spans="1:17">
      <c r="A17" s="50">
        <v>45594.375</v>
      </c>
      <c r="B17" s="51">
        <v>5.41</v>
      </c>
      <c r="C17" s="51">
        <v>8.08</v>
      </c>
      <c r="D17" s="51">
        <v>14.12</v>
      </c>
      <c r="E17" s="51">
        <v>13.82</v>
      </c>
      <c r="F17" s="51">
        <v>10.61</v>
      </c>
      <c r="G17" s="51">
        <v>57.39</v>
      </c>
      <c r="H17" s="51">
        <v>18.23</v>
      </c>
      <c r="I17" s="51">
        <v>9.24</v>
      </c>
      <c r="J17" s="51">
        <v>0.61</v>
      </c>
      <c r="K17" s="51">
        <v>71.930000000000007</v>
      </c>
      <c r="L17" s="51">
        <v>28.29</v>
      </c>
      <c r="M17" s="51">
        <v>89.29</v>
      </c>
      <c r="N17" s="51">
        <v>232.4</v>
      </c>
      <c r="O17" s="51">
        <v>0</v>
      </c>
      <c r="P17" s="51">
        <v>0.7</v>
      </c>
      <c r="Q17" s="51">
        <v>4.28</v>
      </c>
    </row>
    <row r="18" spans="1:17">
      <c r="A18" s="50">
        <v>45594.416666666664</v>
      </c>
      <c r="B18" s="51">
        <v>5.39</v>
      </c>
      <c r="C18" s="51">
        <v>8.1</v>
      </c>
      <c r="D18" s="51">
        <v>14.11</v>
      </c>
      <c r="E18" s="51">
        <v>12.66</v>
      </c>
      <c r="F18" s="51">
        <v>13.3</v>
      </c>
      <c r="G18" s="51">
        <v>56.16</v>
      </c>
      <c r="H18" s="51">
        <v>18.23</v>
      </c>
      <c r="I18" s="51">
        <v>9.0399999999999991</v>
      </c>
      <c r="J18" s="51">
        <v>0.71</v>
      </c>
      <c r="K18" s="51">
        <v>117.62</v>
      </c>
      <c r="L18" s="51">
        <v>30.05</v>
      </c>
      <c r="M18" s="51">
        <v>76.709999999999994</v>
      </c>
      <c r="N18" s="51">
        <v>191.8</v>
      </c>
      <c r="O18" s="51">
        <v>0</v>
      </c>
      <c r="P18" s="51">
        <v>0.68</v>
      </c>
      <c r="Q18" s="51">
        <v>4.2699999999999996</v>
      </c>
    </row>
    <row r="19" spans="1:17">
      <c r="A19" s="50">
        <v>45594.458333333336</v>
      </c>
      <c r="B19" s="51">
        <v>5.42</v>
      </c>
      <c r="C19" s="51">
        <v>8.09</v>
      </c>
      <c r="D19" s="51">
        <v>14.13</v>
      </c>
      <c r="E19" s="51">
        <v>11.52</v>
      </c>
      <c r="F19" s="51">
        <v>11.15</v>
      </c>
      <c r="G19" s="51">
        <v>46.67</v>
      </c>
      <c r="H19" s="51">
        <v>18.03</v>
      </c>
      <c r="I19" s="51">
        <v>8.4600000000000009</v>
      </c>
      <c r="J19" s="51">
        <v>0.56999999999999995</v>
      </c>
      <c r="K19" s="51">
        <v>350.9</v>
      </c>
      <c r="L19" s="51">
        <v>30.43</v>
      </c>
      <c r="M19" s="51">
        <v>73.61</v>
      </c>
      <c r="N19" s="51">
        <v>345.2</v>
      </c>
      <c r="O19" s="51">
        <v>0</v>
      </c>
      <c r="P19" s="51">
        <v>0.65</v>
      </c>
      <c r="Q19" s="51">
        <v>4.28</v>
      </c>
    </row>
    <row r="20" spans="1:17">
      <c r="A20" s="50">
        <v>45594.5</v>
      </c>
      <c r="B20" s="51">
        <v>5.4</v>
      </c>
      <c r="C20" s="51">
        <v>8.08</v>
      </c>
      <c r="D20" s="51">
        <v>14.11</v>
      </c>
      <c r="E20" s="51">
        <v>11.05</v>
      </c>
      <c r="F20" s="51">
        <v>13.19</v>
      </c>
      <c r="G20" s="51">
        <v>43.73</v>
      </c>
      <c r="H20" s="51">
        <v>13.89</v>
      </c>
      <c r="I20" s="51">
        <v>8.08</v>
      </c>
      <c r="J20" s="51">
        <v>0.5</v>
      </c>
      <c r="K20" s="51">
        <v>88.62</v>
      </c>
      <c r="L20" s="51">
        <v>32.47</v>
      </c>
      <c r="M20" s="51">
        <v>68.069999999999993</v>
      </c>
      <c r="N20" s="51">
        <v>608.4</v>
      </c>
      <c r="O20" s="51">
        <v>0</v>
      </c>
      <c r="P20" s="51">
        <v>0.64</v>
      </c>
      <c r="Q20" s="51">
        <v>4.28</v>
      </c>
    </row>
    <row r="21" spans="1:17">
      <c r="A21" s="50">
        <v>45594.541666666664</v>
      </c>
      <c r="B21" s="51">
        <v>5.44</v>
      </c>
      <c r="C21" s="51">
        <v>8.08</v>
      </c>
      <c r="D21" s="51">
        <v>14.14</v>
      </c>
      <c r="E21" s="51">
        <v>10.199999999999999</v>
      </c>
      <c r="F21" s="51">
        <v>24.57</v>
      </c>
      <c r="G21" s="51">
        <v>41.56</v>
      </c>
      <c r="H21" s="51">
        <v>13.89</v>
      </c>
      <c r="I21" s="51">
        <v>7.22</v>
      </c>
      <c r="J21" s="51">
        <v>0.66</v>
      </c>
      <c r="K21" s="51">
        <v>67.260000000000005</v>
      </c>
      <c r="L21" s="51">
        <v>33.200000000000003</v>
      </c>
      <c r="M21" s="51">
        <v>57.97</v>
      </c>
      <c r="N21" s="51">
        <v>576.5</v>
      </c>
      <c r="O21" s="51">
        <v>0</v>
      </c>
      <c r="P21" s="51">
        <v>0.56000000000000005</v>
      </c>
      <c r="Q21" s="51">
        <v>4.2699999999999996</v>
      </c>
    </row>
    <row r="22" spans="1:17">
      <c r="A22" s="50">
        <v>45594.583333333336</v>
      </c>
      <c r="B22" s="51">
        <v>5.42</v>
      </c>
      <c r="C22" s="51">
        <v>8.07</v>
      </c>
      <c r="D22" s="51">
        <v>14.12</v>
      </c>
      <c r="E22" s="51">
        <v>9.69</v>
      </c>
      <c r="F22" s="51">
        <v>37.25</v>
      </c>
      <c r="G22" s="11" t="s">
        <v>12</v>
      </c>
      <c r="H22" s="11" t="s">
        <v>12</v>
      </c>
      <c r="I22" s="51">
        <v>5.36</v>
      </c>
      <c r="J22" s="51">
        <v>0.57999999999999996</v>
      </c>
      <c r="K22" s="51">
        <v>59.76</v>
      </c>
      <c r="L22" s="51">
        <v>33.39</v>
      </c>
      <c r="M22" s="51">
        <v>55.81</v>
      </c>
      <c r="N22" s="51">
        <v>379.5</v>
      </c>
      <c r="O22" s="51">
        <v>0</v>
      </c>
      <c r="P22" s="51">
        <v>0.44</v>
      </c>
      <c r="Q22" s="51">
        <v>4.28</v>
      </c>
    </row>
    <row r="23" spans="1:17">
      <c r="A23" s="50">
        <v>45594.625</v>
      </c>
      <c r="B23" s="51">
        <v>5.32</v>
      </c>
      <c r="C23" s="51">
        <v>8.1199999999999992</v>
      </c>
      <c r="D23" s="51">
        <v>14.07</v>
      </c>
      <c r="E23" s="51">
        <v>13.27</v>
      </c>
      <c r="F23" s="51">
        <v>43.01</v>
      </c>
      <c r="G23" s="51">
        <v>11.79</v>
      </c>
      <c r="H23" s="51">
        <v>4.2300000000000004</v>
      </c>
      <c r="I23" s="51">
        <v>5.55</v>
      </c>
      <c r="J23" s="51">
        <v>0.86</v>
      </c>
      <c r="K23" s="51">
        <v>54.86</v>
      </c>
      <c r="L23" s="51">
        <v>32.5</v>
      </c>
      <c r="M23" s="51">
        <v>57.65</v>
      </c>
      <c r="N23" s="51">
        <v>201.2</v>
      </c>
      <c r="O23" s="51">
        <v>0</v>
      </c>
      <c r="P23" s="51">
        <v>0.5</v>
      </c>
      <c r="Q23" s="51">
        <v>4.28</v>
      </c>
    </row>
    <row r="24" spans="1:17">
      <c r="A24" s="50">
        <v>45594.666666666664</v>
      </c>
      <c r="B24" s="51">
        <v>5.4</v>
      </c>
      <c r="C24" s="51">
        <v>8.1</v>
      </c>
      <c r="D24" s="51">
        <v>14.13</v>
      </c>
      <c r="E24" s="51">
        <v>11.65</v>
      </c>
      <c r="F24" s="51">
        <v>22.82</v>
      </c>
      <c r="G24" s="51">
        <v>29.48</v>
      </c>
      <c r="H24" s="51">
        <v>6.19</v>
      </c>
      <c r="I24" s="51">
        <v>4.93</v>
      </c>
      <c r="J24" s="51">
        <v>0.96</v>
      </c>
      <c r="K24" s="51">
        <v>56.7</v>
      </c>
      <c r="L24" s="51">
        <v>31.81</v>
      </c>
      <c r="M24" s="51">
        <v>62.82</v>
      </c>
      <c r="N24" s="51">
        <v>62.1</v>
      </c>
      <c r="O24" s="51">
        <v>0</v>
      </c>
      <c r="P24" s="51">
        <v>0.53</v>
      </c>
      <c r="Q24" s="51">
        <v>4.2699999999999996</v>
      </c>
    </row>
    <row r="25" spans="1:17">
      <c r="A25" s="50">
        <v>45594.708333333336</v>
      </c>
      <c r="B25" s="51">
        <v>5.41</v>
      </c>
      <c r="C25" s="51">
        <v>8.1</v>
      </c>
      <c r="D25" s="51">
        <v>14.14</v>
      </c>
      <c r="E25" s="51">
        <v>13.48</v>
      </c>
      <c r="F25" s="51">
        <v>23.48</v>
      </c>
      <c r="G25" s="51">
        <v>29.4</v>
      </c>
      <c r="H25" s="51">
        <v>7.6</v>
      </c>
      <c r="I25" s="51">
        <v>5.66</v>
      </c>
      <c r="J25" s="51">
        <v>0.44</v>
      </c>
      <c r="K25" s="51">
        <v>55.27</v>
      </c>
      <c r="L25" s="51">
        <v>30.79</v>
      </c>
      <c r="M25" s="51">
        <v>64.09</v>
      </c>
      <c r="N25" s="51">
        <v>22.4</v>
      </c>
      <c r="O25" s="51">
        <v>0</v>
      </c>
      <c r="P25" s="51">
        <v>0.6</v>
      </c>
      <c r="Q25" s="51">
        <v>4.2699999999999996</v>
      </c>
    </row>
    <row r="26" spans="1:17">
      <c r="A26" s="50">
        <v>45594.75</v>
      </c>
      <c r="B26" s="51">
        <v>5.36</v>
      </c>
      <c r="C26" s="51">
        <v>8.1</v>
      </c>
      <c r="D26" s="51">
        <v>14.09</v>
      </c>
      <c r="E26" s="51">
        <v>11.4</v>
      </c>
      <c r="F26" s="51">
        <v>16.03</v>
      </c>
      <c r="G26" s="51">
        <v>40.1</v>
      </c>
      <c r="H26" s="51">
        <v>10.43</v>
      </c>
      <c r="I26" s="51">
        <v>7.08</v>
      </c>
      <c r="J26" s="51">
        <v>0.23</v>
      </c>
      <c r="K26" s="51">
        <v>182.15</v>
      </c>
      <c r="L26" s="51">
        <v>29.68</v>
      </c>
      <c r="M26" s="51">
        <v>76.53</v>
      </c>
      <c r="N26" s="51">
        <v>4.5999999999999996</v>
      </c>
      <c r="O26" s="51">
        <v>0</v>
      </c>
      <c r="P26" s="51">
        <v>0.56000000000000005</v>
      </c>
      <c r="Q26" s="51">
        <v>4.28</v>
      </c>
    </row>
    <row r="27" spans="1:17">
      <c r="A27" s="50">
        <v>45594.791666666664</v>
      </c>
      <c r="B27" s="51">
        <v>5.35</v>
      </c>
      <c r="C27" s="51">
        <v>8.14</v>
      </c>
      <c r="D27" s="51">
        <v>14.1</v>
      </c>
      <c r="E27" s="51">
        <v>9.4700000000000006</v>
      </c>
      <c r="F27" s="51">
        <v>11.51</v>
      </c>
      <c r="G27" s="51">
        <v>45.82</v>
      </c>
      <c r="H27" s="51">
        <v>14.43</v>
      </c>
      <c r="I27" s="51">
        <v>5.76</v>
      </c>
      <c r="J27" s="51">
        <v>0.15</v>
      </c>
      <c r="K27" s="51">
        <v>226.03</v>
      </c>
      <c r="L27" s="51">
        <v>28.22</v>
      </c>
      <c r="M27" s="51">
        <v>86.03</v>
      </c>
      <c r="N27" s="51">
        <v>2.5</v>
      </c>
      <c r="O27" s="51">
        <v>0</v>
      </c>
      <c r="P27" s="51">
        <v>0.52</v>
      </c>
      <c r="Q27" s="51">
        <v>4.29</v>
      </c>
    </row>
    <row r="28" spans="1:17">
      <c r="A28" s="50">
        <v>45594.833333333336</v>
      </c>
      <c r="B28" s="51">
        <v>5.37</v>
      </c>
      <c r="C28" s="51">
        <v>8.07</v>
      </c>
      <c r="D28" s="51">
        <v>14.08</v>
      </c>
      <c r="E28" s="51">
        <v>9.56</v>
      </c>
      <c r="F28" s="51">
        <v>10.95</v>
      </c>
      <c r="G28" s="51">
        <v>41.11</v>
      </c>
      <c r="H28" s="51">
        <v>12.8</v>
      </c>
      <c r="I28" s="51">
        <v>6.22</v>
      </c>
      <c r="J28" s="51">
        <v>0.14000000000000001</v>
      </c>
      <c r="K28" s="51">
        <v>229.13</v>
      </c>
      <c r="L28" s="51">
        <v>27.17</v>
      </c>
      <c r="M28" s="51">
        <v>90.62</v>
      </c>
      <c r="N28" s="51">
        <v>2.1</v>
      </c>
      <c r="O28" s="51">
        <v>0</v>
      </c>
      <c r="P28" s="51">
        <v>0.53</v>
      </c>
      <c r="Q28" s="51">
        <v>4.28</v>
      </c>
    </row>
    <row r="29" spans="1:17">
      <c r="A29" s="50">
        <v>45594.875</v>
      </c>
      <c r="B29" s="51">
        <v>5.36</v>
      </c>
      <c r="C29" s="51">
        <v>8.11</v>
      </c>
      <c r="D29" s="51">
        <v>14.1</v>
      </c>
      <c r="E29" s="51">
        <v>10.199999999999999</v>
      </c>
      <c r="F29" s="51">
        <v>9.34</v>
      </c>
      <c r="G29" s="51">
        <v>42.61</v>
      </c>
      <c r="H29" s="51">
        <v>13.51</v>
      </c>
      <c r="I29" s="51">
        <v>6.03</v>
      </c>
      <c r="J29" s="51">
        <v>0.14000000000000001</v>
      </c>
      <c r="K29" s="51">
        <v>192.89</v>
      </c>
      <c r="L29" s="51">
        <v>26.95</v>
      </c>
      <c r="M29" s="51">
        <v>93.27</v>
      </c>
      <c r="N29" s="51">
        <v>2.1</v>
      </c>
      <c r="O29" s="51">
        <v>0</v>
      </c>
      <c r="P29" s="51">
        <v>0.55000000000000004</v>
      </c>
      <c r="Q29" s="51">
        <v>4.2699999999999996</v>
      </c>
    </row>
    <row r="30" spans="1:17">
      <c r="A30" s="50">
        <v>45594.916666666664</v>
      </c>
      <c r="B30" s="51">
        <v>5.37</v>
      </c>
      <c r="C30" s="51">
        <v>8.08</v>
      </c>
      <c r="D30" s="51">
        <v>14.09</v>
      </c>
      <c r="E30" s="51">
        <v>10.15</v>
      </c>
      <c r="F30" s="51">
        <v>7.15</v>
      </c>
      <c r="G30" s="51">
        <v>46.88</v>
      </c>
      <c r="H30" s="51">
        <v>10.8</v>
      </c>
      <c r="I30" s="51">
        <v>6.17</v>
      </c>
      <c r="J30" s="51">
        <v>0.13</v>
      </c>
      <c r="K30" s="51">
        <v>223.2</v>
      </c>
      <c r="L30" s="51">
        <v>26.45</v>
      </c>
      <c r="M30" s="51">
        <v>93.45</v>
      </c>
      <c r="N30" s="51">
        <v>2.1</v>
      </c>
      <c r="O30" s="51">
        <v>0</v>
      </c>
      <c r="P30" s="51">
        <v>0.55000000000000004</v>
      </c>
      <c r="Q30" s="51">
        <v>4.29</v>
      </c>
    </row>
    <row r="31" spans="1:17">
      <c r="A31" s="50">
        <v>45594.958333333336</v>
      </c>
      <c r="B31" s="51">
        <v>5.32</v>
      </c>
      <c r="C31" s="51">
        <v>8.09</v>
      </c>
      <c r="D31" s="51">
        <v>14.04</v>
      </c>
      <c r="E31" s="51">
        <v>10.91</v>
      </c>
      <c r="F31" s="51">
        <v>6.46</v>
      </c>
      <c r="G31" s="51">
        <v>41.03</v>
      </c>
      <c r="H31" s="51">
        <v>14.23</v>
      </c>
      <c r="I31" s="51">
        <v>6.31</v>
      </c>
      <c r="J31" s="51">
        <v>0.18</v>
      </c>
      <c r="K31" s="51">
        <v>231.67</v>
      </c>
      <c r="L31" s="51">
        <v>26.03</v>
      </c>
      <c r="M31" s="51">
        <v>94.57</v>
      </c>
      <c r="N31" s="51">
        <v>2.1</v>
      </c>
      <c r="O31" s="51">
        <v>0</v>
      </c>
      <c r="P31" s="51">
        <v>0.56000000000000005</v>
      </c>
      <c r="Q31" s="51">
        <v>4.28</v>
      </c>
    </row>
    <row r="32" spans="1:17">
      <c r="A32" s="50">
        <v>45595</v>
      </c>
      <c r="B32" s="51">
        <v>5.31</v>
      </c>
      <c r="C32" s="51">
        <v>8.07</v>
      </c>
      <c r="D32" s="51">
        <v>14.03</v>
      </c>
      <c r="E32" s="51">
        <v>10.74</v>
      </c>
      <c r="F32" s="51">
        <v>5.83</v>
      </c>
      <c r="G32" s="51">
        <v>37.47</v>
      </c>
      <c r="H32" s="51">
        <v>13.15</v>
      </c>
      <c r="I32" s="51">
        <v>6.44</v>
      </c>
      <c r="J32" s="51">
        <v>0.12</v>
      </c>
      <c r="K32" s="51">
        <v>218.61</v>
      </c>
      <c r="L32" s="51">
        <v>25.69</v>
      </c>
      <c r="M32" s="51">
        <v>93.81</v>
      </c>
      <c r="N32" s="51">
        <v>2.1</v>
      </c>
      <c r="O32" s="51">
        <v>0</v>
      </c>
      <c r="P32" s="51">
        <v>0.56000000000000005</v>
      </c>
      <c r="Q32" s="51">
        <v>4.28</v>
      </c>
    </row>
    <row r="33" spans="1:2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>
      <c r="A34" s="32" t="s">
        <v>48</v>
      </c>
      <c r="B34" s="41">
        <f t="shared" ref="B34:Q34" si="0">MIN(B9:B32)</f>
        <v>5.31</v>
      </c>
      <c r="C34" s="41">
        <f t="shared" si="0"/>
        <v>8.07</v>
      </c>
      <c r="D34" s="41">
        <f t="shared" si="0"/>
        <v>14.03</v>
      </c>
      <c r="E34" s="41">
        <f t="shared" si="0"/>
        <v>7.85</v>
      </c>
      <c r="F34" s="41">
        <f t="shared" si="0"/>
        <v>4.9000000000000004</v>
      </c>
      <c r="G34" s="41">
        <f t="shared" si="0"/>
        <v>11.79</v>
      </c>
      <c r="H34" s="41">
        <f t="shared" si="0"/>
        <v>4.2300000000000004</v>
      </c>
      <c r="I34" s="41">
        <f t="shared" si="0"/>
        <v>4.93</v>
      </c>
      <c r="J34" s="41">
        <f t="shared" si="0"/>
        <v>0.12</v>
      </c>
      <c r="K34" s="41">
        <f t="shared" si="0"/>
        <v>54.86</v>
      </c>
      <c r="L34" s="41">
        <f t="shared" si="0"/>
        <v>24.78</v>
      </c>
      <c r="M34" s="41">
        <f t="shared" si="0"/>
        <v>55.81</v>
      </c>
      <c r="N34" s="41">
        <f t="shared" si="0"/>
        <v>2.1</v>
      </c>
      <c r="O34" s="41">
        <f t="shared" si="0"/>
        <v>0</v>
      </c>
      <c r="P34" s="41">
        <f t="shared" si="0"/>
        <v>0.44</v>
      </c>
      <c r="Q34" s="41">
        <f t="shared" si="0"/>
        <v>4.2699999999999996</v>
      </c>
      <c r="R34" s="41"/>
      <c r="S34" s="41"/>
      <c r="T34" s="41"/>
      <c r="U34" s="41"/>
    </row>
    <row r="35" spans="1:21">
      <c r="A35" s="32" t="s">
        <v>49</v>
      </c>
      <c r="B35" s="33">
        <f t="shared" ref="B35:Q35" si="1">MAX(B9:B32)</f>
        <v>5.44</v>
      </c>
      <c r="C35" s="33">
        <f t="shared" si="1"/>
        <v>8.14</v>
      </c>
      <c r="D35" s="33">
        <f t="shared" si="1"/>
        <v>14.14</v>
      </c>
      <c r="E35" s="33">
        <f t="shared" si="1"/>
        <v>13.82</v>
      </c>
      <c r="F35" s="33">
        <f t="shared" si="1"/>
        <v>43.01</v>
      </c>
      <c r="G35" s="33">
        <f t="shared" si="1"/>
        <v>60.05</v>
      </c>
      <c r="H35" s="33">
        <f t="shared" si="1"/>
        <v>19.46</v>
      </c>
      <c r="I35" s="33">
        <f t="shared" si="1"/>
        <v>9.24</v>
      </c>
      <c r="J35" s="33">
        <f t="shared" si="1"/>
        <v>0.96</v>
      </c>
      <c r="K35" s="33">
        <f t="shared" si="1"/>
        <v>350.9</v>
      </c>
      <c r="L35" s="33">
        <f t="shared" si="1"/>
        <v>33.39</v>
      </c>
      <c r="M35" s="33">
        <f t="shared" si="1"/>
        <v>99.79</v>
      </c>
      <c r="N35" s="33">
        <f t="shared" si="1"/>
        <v>608.4</v>
      </c>
      <c r="O35" s="33">
        <f t="shared" si="1"/>
        <v>0</v>
      </c>
      <c r="P35" s="33">
        <f t="shared" si="1"/>
        <v>0.76</v>
      </c>
      <c r="Q35" s="33">
        <f t="shared" si="1"/>
        <v>4.3</v>
      </c>
      <c r="R35" s="33"/>
      <c r="S35" s="33"/>
      <c r="T35" s="33"/>
      <c r="U35" s="33"/>
    </row>
    <row r="36" spans="1:21">
      <c r="A36" s="32" t="s">
        <v>50</v>
      </c>
      <c r="B36" s="41">
        <f t="shared" ref="B36:Q36" si="2">AVERAGE(B9:B32)</f>
        <v>5.3783333333333339</v>
      </c>
      <c r="C36" s="41">
        <f t="shared" si="2"/>
        <v>8.0924999999999994</v>
      </c>
      <c r="D36" s="41">
        <f t="shared" si="2"/>
        <v>14.098749999999997</v>
      </c>
      <c r="E36" s="41">
        <f t="shared" si="2"/>
        <v>10.988333333333332</v>
      </c>
      <c r="F36" s="41">
        <f t="shared" si="2"/>
        <v>13.04791666666666</v>
      </c>
      <c r="G36" s="41">
        <f t="shared" si="2"/>
        <v>46.814782608695651</v>
      </c>
      <c r="H36" s="41">
        <f t="shared" si="2"/>
        <v>14.162608695652175</v>
      </c>
      <c r="I36" s="41">
        <f t="shared" si="2"/>
        <v>7.4574999999999987</v>
      </c>
      <c r="J36" s="41">
        <f t="shared" si="2"/>
        <v>0.38291666666666674</v>
      </c>
      <c r="K36" s="41">
        <f t="shared" si="2"/>
        <v>152.18</v>
      </c>
      <c r="L36" s="41">
        <f t="shared" si="2"/>
        <v>28.119166666666672</v>
      </c>
      <c r="M36" s="41">
        <f t="shared" si="2"/>
        <v>83.969583333333318</v>
      </c>
      <c r="N36" s="41">
        <f t="shared" si="2"/>
        <v>116.51249999999997</v>
      </c>
      <c r="O36" s="41">
        <f t="shared" si="2"/>
        <v>0</v>
      </c>
      <c r="P36" s="41">
        <f t="shared" si="2"/>
        <v>0.61916666666666664</v>
      </c>
      <c r="Q36" s="41">
        <f t="shared" si="2"/>
        <v>4.2775000000000007</v>
      </c>
      <c r="R36" s="41"/>
      <c r="S36" s="41"/>
      <c r="T36" s="41"/>
      <c r="U36" s="41"/>
    </row>
    <row r="37" spans="1:21">
      <c r="A37" s="32" t="s">
        <v>51</v>
      </c>
      <c r="B37" s="41">
        <f>STDEV(B9:B32)</f>
        <v>3.3708038864015445E-2</v>
      </c>
      <c r="C37" s="41">
        <f t="shared" ref="C37:Q37" si="3">STDEV(C9:C32)</f>
        <v>1.7997584378973041E-2</v>
      </c>
      <c r="D37" s="41">
        <f t="shared" si="3"/>
        <v>2.7396048588453039E-2</v>
      </c>
      <c r="E37" s="41">
        <f t="shared" si="3"/>
        <v>1.4935008963961951</v>
      </c>
      <c r="F37" s="41">
        <f t="shared" si="3"/>
        <v>10.243510768399624</v>
      </c>
      <c r="G37" s="41">
        <f t="shared" si="3"/>
        <v>12.304691592147499</v>
      </c>
      <c r="H37" s="41">
        <f t="shared" si="3"/>
        <v>4.1153749607045151</v>
      </c>
      <c r="I37" s="41">
        <f t="shared" si="3"/>
        <v>1.5187330245964943</v>
      </c>
      <c r="J37" s="41">
        <f t="shared" si="3"/>
        <v>0.26114262580914027</v>
      </c>
      <c r="K37" s="41">
        <f t="shared" si="3"/>
        <v>85.764295398594513</v>
      </c>
      <c r="L37" s="41">
        <f t="shared" si="3"/>
        <v>3.009861930484429</v>
      </c>
      <c r="M37" s="41">
        <f t="shared" si="3"/>
        <v>15.411856102186265</v>
      </c>
      <c r="N37" s="41">
        <f t="shared" si="3"/>
        <v>184.97766801169124</v>
      </c>
      <c r="O37" s="41">
        <f t="shared" si="3"/>
        <v>0</v>
      </c>
      <c r="P37" s="41">
        <f t="shared" si="3"/>
        <v>9.0933165455240564E-2</v>
      </c>
      <c r="Q37" s="41">
        <f t="shared" si="3"/>
        <v>7.9399923338044024E-3</v>
      </c>
      <c r="R37" s="41"/>
      <c r="S37" s="41"/>
      <c r="T37" s="41"/>
      <c r="U37" s="41"/>
    </row>
    <row r="38" spans="1:2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v>24</v>
      </c>
      <c r="H38" s="46"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>
      <c r="A41" s="22"/>
      <c r="B41" s="1"/>
      <c r="C41" s="1"/>
      <c r="D41" s="1"/>
      <c r="E41" s="1"/>
      <c r="F41" s="1"/>
      <c r="G41" s="1"/>
      <c r="H41" s="1"/>
      <c r="I41" s="1"/>
      <c r="J41" s="1"/>
      <c r="K41" s="1"/>
      <c r="L41" s="22"/>
      <c r="M41" s="1"/>
      <c r="N41" s="49"/>
      <c r="O41" s="49"/>
      <c r="P41" s="49"/>
      <c r="Q41" s="49"/>
      <c r="R41" s="49"/>
      <c r="S41" s="49"/>
      <c r="T41" s="49"/>
      <c r="U41" s="49"/>
    </row>
    <row r="42" spans="1:21">
      <c r="A42" s="22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spans="1:21">
      <c r="A43" s="3" t="s">
        <v>55</v>
      </c>
      <c r="B43" s="21" t="s">
        <v>56</v>
      </c>
      <c r="C43" s="47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1:21">
      <c r="A44" s="22"/>
      <c r="B44" s="1"/>
      <c r="C44" s="1"/>
      <c r="D44" s="23"/>
      <c r="E44" s="23"/>
      <c r="F44" s="23"/>
      <c r="G44" s="23"/>
      <c r="H44" s="23"/>
      <c r="I44" s="23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1:2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selection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45595.041666666664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>
        <v>45595.041666666664</v>
      </c>
      <c r="B9" s="51">
        <v>5.22</v>
      </c>
      <c r="C9" s="51">
        <v>8.1300000000000008</v>
      </c>
      <c r="D9" s="51">
        <v>13.96</v>
      </c>
      <c r="E9" s="51">
        <v>10.91</v>
      </c>
      <c r="F9" s="51">
        <v>5.66</v>
      </c>
      <c r="G9" s="51">
        <v>34.340000000000003</v>
      </c>
      <c r="H9" s="51">
        <v>12.4</v>
      </c>
      <c r="I9" s="51">
        <v>6.53</v>
      </c>
      <c r="J9" s="51">
        <v>0.13</v>
      </c>
      <c r="K9" s="51">
        <v>209.44</v>
      </c>
      <c r="L9" s="51">
        <v>25.23</v>
      </c>
      <c r="M9" s="51">
        <v>95.1</v>
      </c>
      <c r="N9" s="51">
        <v>2.1</v>
      </c>
      <c r="O9" s="51">
        <v>0</v>
      </c>
      <c r="P9" s="51">
        <v>0.54</v>
      </c>
      <c r="Q9" s="51">
        <v>4.3</v>
      </c>
    </row>
    <row r="10" spans="1:21" customFormat="1">
      <c r="A10" s="50">
        <v>45595.083333333336</v>
      </c>
      <c r="B10" s="51">
        <v>5.33</v>
      </c>
      <c r="C10" s="51">
        <v>8.09</v>
      </c>
      <c r="D10" s="51">
        <v>14.07</v>
      </c>
      <c r="E10" s="51">
        <v>11.28</v>
      </c>
      <c r="F10" s="51">
        <v>6.46</v>
      </c>
      <c r="G10" s="51">
        <v>32.36</v>
      </c>
      <c r="H10" s="51">
        <v>12.31</v>
      </c>
      <c r="I10" s="51">
        <v>6.59</v>
      </c>
      <c r="J10" s="51">
        <v>0.13</v>
      </c>
      <c r="K10" s="51">
        <v>224.92</v>
      </c>
      <c r="L10" s="51">
        <v>25.08</v>
      </c>
      <c r="M10" s="51">
        <v>95.01</v>
      </c>
      <c r="N10" s="51">
        <v>2.1</v>
      </c>
      <c r="O10" s="51">
        <v>0</v>
      </c>
      <c r="P10" s="51">
        <v>0.54</v>
      </c>
      <c r="Q10" s="51">
        <v>4.2699999999999996</v>
      </c>
    </row>
    <row r="11" spans="1:21" customFormat="1">
      <c r="A11" s="50">
        <v>45595.125</v>
      </c>
      <c r="B11" s="51">
        <v>5.34</v>
      </c>
      <c r="C11" s="51">
        <v>8.09</v>
      </c>
      <c r="D11" s="51">
        <v>14.05</v>
      </c>
      <c r="E11" s="51">
        <v>10.71</v>
      </c>
      <c r="F11" s="51">
        <v>6.33</v>
      </c>
      <c r="G11" s="51">
        <v>30.72</v>
      </c>
      <c r="H11" s="51">
        <v>11.1</v>
      </c>
      <c r="I11" s="51">
        <v>6.66</v>
      </c>
      <c r="J11" s="51">
        <v>0.13</v>
      </c>
      <c r="K11" s="51">
        <v>195.15</v>
      </c>
      <c r="L11" s="51">
        <v>24.97</v>
      </c>
      <c r="M11" s="51">
        <v>93.79</v>
      </c>
      <c r="N11" s="51">
        <v>2.1</v>
      </c>
      <c r="O11" s="51">
        <v>0</v>
      </c>
      <c r="P11" s="51">
        <v>0.52</v>
      </c>
      <c r="Q11" s="51">
        <v>4.2699999999999996</v>
      </c>
    </row>
    <row r="12" spans="1:21" customFormat="1">
      <c r="A12" s="50">
        <v>45595.166666666664</v>
      </c>
      <c r="B12" s="51">
        <v>5.32</v>
      </c>
      <c r="C12" s="51">
        <v>8.1</v>
      </c>
      <c r="D12" s="51">
        <v>14.06</v>
      </c>
      <c r="E12" s="51">
        <v>10.6</v>
      </c>
      <c r="F12" s="51">
        <v>6.07</v>
      </c>
      <c r="G12" s="51">
        <v>30.92</v>
      </c>
      <c r="H12" s="51">
        <v>11.62</v>
      </c>
      <c r="I12" s="51">
        <v>6.77</v>
      </c>
      <c r="J12" s="51">
        <v>0.11</v>
      </c>
      <c r="K12" s="51">
        <v>192.15</v>
      </c>
      <c r="L12" s="51">
        <v>24.96</v>
      </c>
      <c r="M12" s="51">
        <v>96.16</v>
      </c>
      <c r="N12" s="51">
        <v>2.1</v>
      </c>
      <c r="O12" s="51">
        <v>0</v>
      </c>
      <c r="P12" s="51">
        <v>0.52</v>
      </c>
      <c r="Q12" s="51">
        <v>4.2699999999999996</v>
      </c>
    </row>
    <row r="13" spans="1:21" customFormat="1">
      <c r="A13" s="50">
        <v>45595.208333333336</v>
      </c>
      <c r="B13" s="51">
        <v>5.32</v>
      </c>
      <c r="C13" s="51">
        <v>8.08</v>
      </c>
      <c r="D13" s="51">
        <v>14.06</v>
      </c>
      <c r="E13" s="51">
        <v>10.79</v>
      </c>
      <c r="F13" s="51">
        <v>6.11</v>
      </c>
      <c r="G13" s="51">
        <v>30.75</v>
      </c>
      <c r="H13" s="51">
        <v>12.27</v>
      </c>
      <c r="I13" s="51">
        <v>7</v>
      </c>
      <c r="J13" s="51">
        <v>0.12</v>
      </c>
      <c r="K13" s="51">
        <v>131.24</v>
      </c>
      <c r="L13" s="51">
        <v>24.89</v>
      </c>
      <c r="M13" s="51">
        <v>95.66</v>
      </c>
      <c r="N13" s="51">
        <v>2</v>
      </c>
      <c r="O13" s="51">
        <v>0</v>
      </c>
      <c r="P13" s="51">
        <v>0.52</v>
      </c>
      <c r="Q13" s="51">
        <v>4.28</v>
      </c>
    </row>
    <row r="14" spans="1:21" customFormat="1">
      <c r="A14" s="50">
        <v>45595.25</v>
      </c>
      <c r="B14" s="51">
        <v>5.35</v>
      </c>
      <c r="C14" s="51">
        <v>8.11</v>
      </c>
      <c r="D14" s="51">
        <v>14.08</v>
      </c>
      <c r="E14" s="51">
        <v>10.68</v>
      </c>
      <c r="F14" s="51">
        <v>5.98</v>
      </c>
      <c r="G14" s="51">
        <v>33.22</v>
      </c>
      <c r="H14" s="51">
        <v>14.04</v>
      </c>
      <c r="I14" s="51">
        <v>8</v>
      </c>
      <c r="J14" s="51">
        <v>0.24</v>
      </c>
      <c r="K14" s="51">
        <v>165.11</v>
      </c>
      <c r="L14" s="51">
        <v>24.91</v>
      </c>
      <c r="M14" s="51">
        <v>96.39</v>
      </c>
      <c r="N14" s="51">
        <v>3.9</v>
      </c>
      <c r="O14" s="51">
        <v>0</v>
      </c>
      <c r="P14" s="51">
        <v>0.56000000000000005</v>
      </c>
      <c r="Q14" s="51">
        <v>4.28</v>
      </c>
    </row>
    <row r="15" spans="1:21" customFormat="1">
      <c r="A15" s="50">
        <v>45595.291666666664</v>
      </c>
      <c r="B15" s="51">
        <v>5.33</v>
      </c>
      <c r="C15" s="51">
        <v>8.1</v>
      </c>
      <c r="D15" s="51">
        <v>14.06</v>
      </c>
      <c r="E15" s="51">
        <v>11.13</v>
      </c>
      <c r="F15" s="51">
        <v>5.35</v>
      </c>
      <c r="G15" s="51">
        <v>44.44</v>
      </c>
      <c r="H15" s="51">
        <v>16.32</v>
      </c>
      <c r="I15" s="51">
        <v>8.24</v>
      </c>
      <c r="J15" s="51">
        <v>0.2</v>
      </c>
      <c r="K15" s="51">
        <v>177.31</v>
      </c>
      <c r="L15" s="51">
        <v>25.6</v>
      </c>
      <c r="M15" s="51">
        <v>95.93</v>
      </c>
      <c r="N15" s="51">
        <v>37.6</v>
      </c>
      <c r="O15" s="51">
        <v>0</v>
      </c>
      <c r="P15" s="51">
        <v>0.59</v>
      </c>
      <c r="Q15" s="51">
        <v>4.28</v>
      </c>
    </row>
    <row r="16" spans="1:21" customFormat="1">
      <c r="A16" s="50">
        <v>45595.333333333336</v>
      </c>
      <c r="B16" s="51">
        <v>5.31</v>
      </c>
      <c r="C16" s="51">
        <v>8.09</v>
      </c>
      <c r="D16" s="51">
        <v>14.04</v>
      </c>
      <c r="E16" s="51">
        <v>11.1</v>
      </c>
      <c r="F16" s="51">
        <v>6.26</v>
      </c>
      <c r="G16" s="51">
        <v>51.83</v>
      </c>
      <c r="H16" s="51">
        <v>16.420000000000002</v>
      </c>
      <c r="I16" s="51">
        <v>8.6300000000000008</v>
      </c>
      <c r="J16" s="51">
        <v>0.25</v>
      </c>
      <c r="K16" s="51">
        <v>156.72</v>
      </c>
      <c r="L16" s="51">
        <v>28.01</v>
      </c>
      <c r="M16" s="51">
        <v>91.44</v>
      </c>
      <c r="N16" s="51">
        <v>104</v>
      </c>
      <c r="O16" s="51">
        <v>0</v>
      </c>
      <c r="P16" s="51">
        <v>0.64</v>
      </c>
      <c r="Q16" s="51">
        <v>4.28</v>
      </c>
    </row>
    <row r="17" spans="1:17" customFormat="1">
      <c r="A17" s="50">
        <v>45595.375</v>
      </c>
      <c r="B17" s="51">
        <v>5.33</v>
      </c>
      <c r="C17" s="51">
        <v>8.09</v>
      </c>
      <c r="D17" s="51">
        <v>14.06</v>
      </c>
      <c r="E17" s="51">
        <v>11.4</v>
      </c>
      <c r="F17" s="51">
        <v>10.93</v>
      </c>
      <c r="G17" s="51">
        <v>60.43</v>
      </c>
      <c r="H17" s="51">
        <v>18.059999999999999</v>
      </c>
      <c r="I17" s="51">
        <v>8.7899999999999991</v>
      </c>
      <c r="J17" s="51">
        <v>0.49</v>
      </c>
      <c r="K17" s="51">
        <v>106.89</v>
      </c>
      <c r="L17" s="51">
        <v>29.23</v>
      </c>
      <c r="M17" s="51">
        <v>78.459999999999994</v>
      </c>
      <c r="N17" s="51">
        <v>278.8</v>
      </c>
      <c r="O17" s="51">
        <v>0</v>
      </c>
      <c r="P17" s="51">
        <v>0.63</v>
      </c>
      <c r="Q17" s="51">
        <v>4.29</v>
      </c>
    </row>
    <row r="18" spans="1:17" customFormat="1">
      <c r="A18" s="50">
        <v>45595.416666666664</v>
      </c>
      <c r="B18" s="51">
        <v>5.31</v>
      </c>
      <c r="C18" s="51">
        <v>8.07</v>
      </c>
      <c r="D18" s="51">
        <v>14.03</v>
      </c>
      <c r="E18" s="51">
        <v>12.63</v>
      </c>
      <c r="F18" s="51">
        <v>11.28</v>
      </c>
      <c r="G18" s="51">
        <v>56.07</v>
      </c>
      <c r="H18" s="51">
        <v>19.93</v>
      </c>
      <c r="I18" s="51">
        <v>8.48</v>
      </c>
      <c r="J18" s="51">
        <v>0.39</v>
      </c>
      <c r="K18" s="51">
        <v>171.15</v>
      </c>
      <c r="L18" s="51">
        <v>31.13</v>
      </c>
      <c r="M18" s="51">
        <v>71.25</v>
      </c>
      <c r="N18" s="51">
        <v>353</v>
      </c>
      <c r="O18" s="51">
        <v>0</v>
      </c>
      <c r="P18" s="51">
        <v>0.64</v>
      </c>
      <c r="Q18" s="51">
        <v>4.2699999999999996</v>
      </c>
    </row>
    <row r="19" spans="1:17" customFormat="1">
      <c r="A19" s="50">
        <v>45595.458333333336</v>
      </c>
      <c r="B19" s="51">
        <v>5.31</v>
      </c>
      <c r="C19" s="51">
        <v>8.11</v>
      </c>
      <c r="D19" s="51">
        <v>14.06</v>
      </c>
      <c r="E19" s="51">
        <v>14.23</v>
      </c>
      <c r="F19" s="51">
        <v>12.41</v>
      </c>
      <c r="G19" s="51">
        <v>57.1</v>
      </c>
      <c r="H19" s="51">
        <v>18.98</v>
      </c>
      <c r="I19" s="51">
        <v>8.3800000000000008</v>
      </c>
      <c r="J19" s="51">
        <v>0.47</v>
      </c>
      <c r="K19" s="51">
        <v>77.290000000000006</v>
      </c>
      <c r="L19" s="51">
        <v>31.99</v>
      </c>
      <c r="M19" s="51">
        <v>66.680000000000007</v>
      </c>
      <c r="N19" s="51">
        <v>470.3</v>
      </c>
      <c r="O19" s="51">
        <v>0</v>
      </c>
      <c r="P19" s="51">
        <v>0.66</v>
      </c>
      <c r="Q19" s="51">
        <v>4.28</v>
      </c>
    </row>
    <row r="20" spans="1:17" customFormat="1">
      <c r="A20" s="50">
        <v>45595.5</v>
      </c>
      <c r="B20" s="51">
        <v>5.31</v>
      </c>
      <c r="C20" s="51">
        <v>8.09</v>
      </c>
      <c r="D20" s="51">
        <v>14.05</v>
      </c>
      <c r="E20" s="51">
        <v>20.22</v>
      </c>
      <c r="F20" s="51">
        <v>25.59</v>
      </c>
      <c r="G20" s="51">
        <v>67.92</v>
      </c>
      <c r="H20" s="51">
        <v>26.16</v>
      </c>
      <c r="I20" s="51">
        <v>8.34</v>
      </c>
      <c r="J20" s="51">
        <v>0.74</v>
      </c>
      <c r="K20" s="51">
        <v>55.32</v>
      </c>
      <c r="L20" s="51">
        <v>32.31</v>
      </c>
      <c r="M20" s="51">
        <v>62.02</v>
      </c>
      <c r="N20" s="51">
        <v>495.3</v>
      </c>
      <c r="O20" s="51">
        <v>0</v>
      </c>
      <c r="P20" s="51">
        <v>0.66</v>
      </c>
      <c r="Q20" s="51">
        <v>4.28</v>
      </c>
    </row>
    <row r="21" spans="1:17" customFormat="1">
      <c r="A21" s="50">
        <v>45595.541666666664</v>
      </c>
      <c r="B21" s="51">
        <v>5.31</v>
      </c>
      <c r="C21" s="51">
        <v>8.1</v>
      </c>
      <c r="D21" s="51">
        <v>14.04</v>
      </c>
      <c r="E21" s="51">
        <v>20.77</v>
      </c>
      <c r="F21" s="51">
        <v>24.39</v>
      </c>
      <c r="G21" s="51">
        <v>69.81</v>
      </c>
      <c r="H21" s="51">
        <v>26.7</v>
      </c>
      <c r="I21" s="51">
        <v>8.26</v>
      </c>
      <c r="J21" s="51">
        <v>0.56000000000000005</v>
      </c>
      <c r="K21" s="51">
        <v>58.85</v>
      </c>
      <c r="L21" s="51">
        <v>32.69</v>
      </c>
      <c r="M21" s="51">
        <v>61.53</v>
      </c>
      <c r="N21" s="51">
        <v>431.9</v>
      </c>
      <c r="O21" s="51">
        <v>0</v>
      </c>
      <c r="P21" s="51">
        <v>0.6</v>
      </c>
      <c r="Q21" s="51">
        <v>4.28</v>
      </c>
    </row>
    <row r="22" spans="1:17" customFormat="1">
      <c r="A22" s="50">
        <v>45595.583333333336</v>
      </c>
      <c r="B22" s="51">
        <v>5.31</v>
      </c>
      <c r="C22" s="51">
        <v>8.11</v>
      </c>
      <c r="D22" s="51">
        <v>14.04</v>
      </c>
      <c r="E22" s="51">
        <v>19.47</v>
      </c>
      <c r="F22" s="51">
        <v>25.14</v>
      </c>
      <c r="G22" s="51">
        <v>65.239999999999995</v>
      </c>
      <c r="H22" s="51">
        <v>26.36</v>
      </c>
      <c r="I22" s="51">
        <v>7.49</v>
      </c>
      <c r="J22" s="51">
        <v>0.56999999999999995</v>
      </c>
      <c r="K22" s="51">
        <v>67.25</v>
      </c>
      <c r="L22" s="51">
        <v>32.9</v>
      </c>
      <c r="M22" s="51">
        <v>57.75</v>
      </c>
      <c r="N22" s="51">
        <v>416.2</v>
      </c>
      <c r="O22" s="51">
        <v>0</v>
      </c>
      <c r="P22" s="51">
        <v>0.59</v>
      </c>
      <c r="Q22" s="51">
        <v>4.28</v>
      </c>
    </row>
    <row r="23" spans="1:17" customFormat="1">
      <c r="A23" s="50">
        <v>45595.625</v>
      </c>
      <c r="B23" s="51">
        <v>5.3</v>
      </c>
      <c r="C23" s="51">
        <v>8.08</v>
      </c>
      <c r="D23" s="51">
        <v>14.04</v>
      </c>
      <c r="E23" s="51">
        <v>19.3</v>
      </c>
      <c r="F23" s="51">
        <v>37.76</v>
      </c>
      <c r="G23" s="51">
        <v>61.61</v>
      </c>
      <c r="H23" s="51">
        <v>28.04</v>
      </c>
      <c r="I23" s="51">
        <v>7.03</v>
      </c>
      <c r="J23" s="51">
        <v>0.77</v>
      </c>
      <c r="K23" s="51">
        <v>60.19</v>
      </c>
      <c r="L23" s="51">
        <v>32.46</v>
      </c>
      <c r="M23" s="51">
        <v>60.92</v>
      </c>
      <c r="N23" s="51">
        <v>188.1</v>
      </c>
      <c r="O23" s="51">
        <v>0</v>
      </c>
      <c r="P23" s="51">
        <v>0.6</v>
      </c>
      <c r="Q23" s="51">
        <v>4.28</v>
      </c>
    </row>
    <row r="24" spans="1:17" customFormat="1">
      <c r="A24" s="50">
        <v>45595.666666666664</v>
      </c>
      <c r="B24" s="51">
        <v>5.29</v>
      </c>
      <c r="C24" s="51">
        <v>8.1</v>
      </c>
      <c r="D24" s="51">
        <v>14.04</v>
      </c>
      <c r="E24" s="51">
        <v>21.52</v>
      </c>
      <c r="F24" s="51">
        <v>39.75</v>
      </c>
      <c r="G24" s="51">
        <v>63.51</v>
      </c>
      <c r="H24" s="51">
        <v>27.33</v>
      </c>
      <c r="I24" s="51">
        <v>7.42</v>
      </c>
      <c r="J24" s="51">
        <v>0.65</v>
      </c>
      <c r="K24" s="51">
        <v>50.78</v>
      </c>
      <c r="L24" s="51">
        <v>31.74</v>
      </c>
      <c r="M24" s="51">
        <v>60.53</v>
      </c>
      <c r="N24" s="51">
        <v>100.9</v>
      </c>
      <c r="O24" s="51">
        <v>0</v>
      </c>
      <c r="P24" s="51">
        <v>0.61</v>
      </c>
      <c r="Q24" s="51">
        <v>4.28</v>
      </c>
    </row>
    <row r="25" spans="1:17" customFormat="1">
      <c r="A25" s="50">
        <v>45595.708333333336</v>
      </c>
      <c r="B25" s="51">
        <v>5.3</v>
      </c>
      <c r="C25" s="51">
        <v>8.09</v>
      </c>
      <c r="D25" s="51">
        <v>14.04</v>
      </c>
      <c r="E25" s="51">
        <v>17.600000000000001</v>
      </c>
      <c r="F25" s="51">
        <v>21.65</v>
      </c>
      <c r="G25" s="51">
        <v>64.930000000000007</v>
      </c>
      <c r="H25" s="51">
        <v>27</v>
      </c>
      <c r="I25" s="51">
        <v>9.02</v>
      </c>
      <c r="J25" s="51">
        <v>0.7</v>
      </c>
      <c r="K25" s="51">
        <v>85.47</v>
      </c>
      <c r="L25" s="51">
        <v>31.29</v>
      </c>
      <c r="M25" s="51">
        <v>64.69</v>
      </c>
      <c r="N25" s="51">
        <v>49.5</v>
      </c>
      <c r="O25" s="51">
        <v>0</v>
      </c>
      <c r="P25" s="51">
        <v>0.66</v>
      </c>
      <c r="Q25" s="51">
        <v>4.29</v>
      </c>
    </row>
    <row r="26" spans="1:17" customFormat="1">
      <c r="A26" s="50">
        <v>45595.75</v>
      </c>
      <c r="B26" s="51">
        <v>5.31</v>
      </c>
      <c r="C26" s="51">
        <v>8.07</v>
      </c>
      <c r="D26" s="51">
        <v>14.03</v>
      </c>
      <c r="E26" s="51">
        <v>14.23</v>
      </c>
      <c r="F26" s="51">
        <v>19.5</v>
      </c>
      <c r="G26" s="51">
        <v>66.7</v>
      </c>
      <c r="H26" s="51">
        <v>29.94</v>
      </c>
      <c r="I26" s="51">
        <v>9.74</v>
      </c>
      <c r="J26" s="51">
        <v>0.27</v>
      </c>
      <c r="K26" s="51">
        <v>168.08</v>
      </c>
      <c r="L26" s="51">
        <v>30.61</v>
      </c>
      <c r="M26" s="51">
        <v>69.87</v>
      </c>
      <c r="N26" s="51">
        <v>4.7</v>
      </c>
      <c r="O26" s="51">
        <v>0</v>
      </c>
      <c r="P26" s="51">
        <v>0.64</v>
      </c>
      <c r="Q26" s="51">
        <v>4.3</v>
      </c>
    </row>
    <row r="27" spans="1:17" customFormat="1">
      <c r="A27" s="50">
        <v>45595.791666666664</v>
      </c>
      <c r="B27" s="51">
        <v>5.27</v>
      </c>
      <c r="C27" s="51">
        <v>8.08</v>
      </c>
      <c r="D27" s="51">
        <v>14.01</v>
      </c>
      <c r="E27" s="51">
        <v>10.58</v>
      </c>
      <c r="F27" s="51">
        <v>15.08</v>
      </c>
      <c r="G27" s="51">
        <v>65.03</v>
      </c>
      <c r="H27" s="51">
        <v>28.75</v>
      </c>
      <c r="I27" s="51">
        <v>7.6</v>
      </c>
      <c r="J27" s="51">
        <v>0.19</v>
      </c>
      <c r="K27" s="51">
        <v>179.61</v>
      </c>
      <c r="L27" s="51">
        <v>29.46</v>
      </c>
      <c r="M27" s="51">
        <v>78.819999999999993</v>
      </c>
      <c r="N27" s="51">
        <v>2.2000000000000002</v>
      </c>
      <c r="O27" s="51">
        <v>0</v>
      </c>
      <c r="P27" s="51">
        <v>0.63</v>
      </c>
      <c r="Q27" s="51">
        <v>4.29</v>
      </c>
    </row>
    <row r="28" spans="1:17" customFormat="1">
      <c r="A28" s="50">
        <v>45595.833333333336</v>
      </c>
      <c r="B28" s="51">
        <v>5.28</v>
      </c>
      <c r="C28" s="51">
        <v>8.08</v>
      </c>
      <c r="D28" s="51">
        <v>14.01</v>
      </c>
      <c r="E28" s="51">
        <v>10.27</v>
      </c>
      <c r="F28" s="51">
        <v>9.5500000000000007</v>
      </c>
      <c r="G28" s="51">
        <v>68.12</v>
      </c>
      <c r="H28" s="51">
        <v>29.49</v>
      </c>
      <c r="I28" s="51">
        <v>8.0500000000000007</v>
      </c>
      <c r="J28" s="51">
        <v>0.22</v>
      </c>
      <c r="K28" s="51">
        <v>176.18</v>
      </c>
      <c r="L28" s="51">
        <v>28.41</v>
      </c>
      <c r="M28" s="51">
        <v>86.2</v>
      </c>
      <c r="N28" s="51">
        <v>2.1</v>
      </c>
      <c r="O28" s="51">
        <v>0</v>
      </c>
      <c r="P28" s="51">
        <v>0.66</v>
      </c>
      <c r="Q28" s="51">
        <v>4.29</v>
      </c>
    </row>
    <row r="29" spans="1:17" customFormat="1">
      <c r="A29" s="50">
        <v>45595.875</v>
      </c>
      <c r="B29" s="51">
        <v>5.3</v>
      </c>
      <c r="C29" s="51">
        <v>8.08</v>
      </c>
      <c r="D29" s="51">
        <v>14.03</v>
      </c>
      <c r="E29" s="51">
        <v>10.29</v>
      </c>
      <c r="F29" s="51">
        <v>10.48</v>
      </c>
      <c r="G29" s="51">
        <v>70.11</v>
      </c>
      <c r="H29" s="51">
        <v>30.77</v>
      </c>
      <c r="I29" s="51">
        <v>7.97</v>
      </c>
      <c r="J29" s="51">
        <v>0.22</v>
      </c>
      <c r="K29" s="51">
        <v>207.92</v>
      </c>
      <c r="L29" s="51">
        <v>27.72</v>
      </c>
      <c r="M29" s="51">
        <v>90.76</v>
      </c>
      <c r="N29" s="51">
        <v>2.1</v>
      </c>
      <c r="O29" s="51">
        <v>0</v>
      </c>
      <c r="P29" s="51">
        <v>0.65</v>
      </c>
      <c r="Q29" s="51">
        <v>4.28</v>
      </c>
    </row>
    <row r="30" spans="1:17" customFormat="1">
      <c r="A30" s="50">
        <v>45595.916666666664</v>
      </c>
      <c r="B30" s="51">
        <v>5.28</v>
      </c>
      <c r="C30" s="51">
        <v>8.1</v>
      </c>
      <c r="D30" s="51">
        <v>14.04</v>
      </c>
      <c r="E30" s="51">
        <v>9.42</v>
      </c>
      <c r="F30" s="51">
        <v>9.99</v>
      </c>
      <c r="G30" s="51">
        <v>70.81</v>
      </c>
      <c r="H30" s="51">
        <v>30.44</v>
      </c>
      <c r="I30" s="51">
        <v>7.79</v>
      </c>
      <c r="J30" s="51">
        <v>0.13</v>
      </c>
      <c r="K30" s="51">
        <v>222.69</v>
      </c>
      <c r="L30" s="51">
        <v>26.68</v>
      </c>
      <c r="M30" s="51">
        <v>92.36</v>
      </c>
      <c r="N30" s="51">
        <v>1.9</v>
      </c>
      <c r="O30" s="51">
        <v>0</v>
      </c>
      <c r="P30" s="51">
        <v>0.62</v>
      </c>
      <c r="Q30" s="51">
        <v>4.3</v>
      </c>
    </row>
    <row r="31" spans="1:17" customFormat="1">
      <c r="A31" s="50">
        <v>45595.958333333336</v>
      </c>
      <c r="B31" s="51">
        <v>5.24</v>
      </c>
      <c r="C31" s="51">
        <v>8.09</v>
      </c>
      <c r="D31" s="51">
        <v>13.99</v>
      </c>
      <c r="E31" s="51">
        <v>9.3699999999999992</v>
      </c>
      <c r="F31" s="51">
        <v>10.7</v>
      </c>
      <c r="G31" s="51">
        <v>63.51</v>
      </c>
      <c r="H31" s="51">
        <v>29.53</v>
      </c>
      <c r="I31" s="51">
        <v>7.81</v>
      </c>
      <c r="J31" s="51">
        <v>0.14000000000000001</v>
      </c>
      <c r="K31" s="51">
        <v>223.27</v>
      </c>
      <c r="L31" s="51">
        <v>26.36</v>
      </c>
      <c r="M31" s="51">
        <v>92.18</v>
      </c>
      <c r="N31" s="51">
        <v>1.8</v>
      </c>
      <c r="O31" s="51">
        <v>0</v>
      </c>
      <c r="P31" s="51">
        <v>0.62</v>
      </c>
      <c r="Q31" s="51">
        <v>4.2699999999999996</v>
      </c>
    </row>
    <row r="32" spans="1:17" customFormat="1">
      <c r="A32" s="50">
        <v>45596</v>
      </c>
      <c r="B32" s="51">
        <v>5.25</v>
      </c>
      <c r="C32" s="51">
        <v>8.08</v>
      </c>
      <c r="D32" s="51">
        <v>13.99</v>
      </c>
      <c r="E32" s="51">
        <v>9.57</v>
      </c>
      <c r="F32" s="51">
        <v>8.74</v>
      </c>
      <c r="G32" s="51">
        <v>58.88</v>
      </c>
      <c r="H32" s="51">
        <v>29.25</v>
      </c>
      <c r="I32" s="51">
        <v>7.73</v>
      </c>
      <c r="J32" s="51">
        <v>0.13</v>
      </c>
      <c r="K32" s="51">
        <v>195.1</v>
      </c>
      <c r="L32" s="51">
        <v>26.08</v>
      </c>
      <c r="M32" s="51">
        <v>95.55</v>
      </c>
      <c r="N32" s="51">
        <v>1.8</v>
      </c>
      <c r="O32" s="51">
        <v>0</v>
      </c>
      <c r="P32" s="51">
        <v>0.61</v>
      </c>
      <c r="Q32" s="51">
        <v>4.29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5.22</v>
      </c>
      <c r="C34" s="41">
        <f t="shared" si="0"/>
        <v>8.07</v>
      </c>
      <c r="D34" s="41">
        <f t="shared" si="0"/>
        <v>13.96</v>
      </c>
      <c r="E34" s="41">
        <f t="shared" si="0"/>
        <v>9.3699999999999992</v>
      </c>
      <c r="F34" s="41">
        <f t="shared" si="0"/>
        <v>5.35</v>
      </c>
      <c r="G34" s="41">
        <f t="shared" si="0"/>
        <v>30.72</v>
      </c>
      <c r="H34" s="41">
        <f t="shared" si="0"/>
        <v>11.1</v>
      </c>
      <c r="I34" s="41">
        <f t="shared" si="0"/>
        <v>6.53</v>
      </c>
      <c r="J34" s="41">
        <f t="shared" si="0"/>
        <v>0.11</v>
      </c>
      <c r="K34" s="41">
        <f t="shared" si="0"/>
        <v>50.78</v>
      </c>
      <c r="L34" s="41">
        <f t="shared" si="0"/>
        <v>24.89</v>
      </c>
      <c r="M34" s="41">
        <f t="shared" si="0"/>
        <v>57.75</v>
      </c>
      <c r="N34" s="41">
        <f t="shared" si="0"/>
        <v>1.8</v>
      </c>
      <c r="O34" s="41">
        <f t="shared" si="0"/>
        <v>0</v>
      </c>
      <c r="P34" s="41">
        <f t="shared" si="0"/>
        <v>0.52</v>
      </c>
      <c r="Q34" s="41">
        <f t="shared" si="0"/>
        <v>4.2699999999999996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5.35</v>
      </c>
      <c r="C35" s="33">
        <f t="shared" si="1"/>
        <v>8.1300000000000008</v>
      </c>
      <c r="D35" s="33">
        <f t="shared" si="1"/>
        <v>14.08</v>
      </c>
      <c r="E35" s="33">
        <f t="shared" si="1"/>
        <v>21.52</v>
      </c>
      <c r="F35" s="33">
        <f t="shared" si="1"/>
        <v>39.75</v>
      </c>
      <c r="G35" s="33">
        <f t="shared" si="1"/>
        <v>70.81</v>
      </c>
      <c r="H35" s="33">
        <f t="shared" si="1"/>
        <v>30.77</v>
      </c>
      <c r="I35" s="33">
        <f t="shared" si="1"/>
        <v>9.74</v>
      </c>
      <c r="J35" s="33">
        <f t="shared" si="1"/>
        <v>0.77</v>
      </c>
      <c r="K35" s="33">
        <f t="shared" si="1"/>
        <v>224.92</v>
      </c>
      <c r="L35" s="33">
        <f t="shared" si="1"/>
        <v>32.9</v>
      </c>
      <c r="M35" s="33">
        <f t="shared" si="1"/>
        <v>96.39</v>
      </c>
      <c r="N35" s="33">
        <f t="shared" si="1"/>
        <v>495.3</v>
      </c>
      <c r="O35" s="33">
        <f t="shared" si="1"/>
        <v>0</v>
      </c>
      <c r="P35" s="33">
        <f t="shared" si="1"/>
        <v>0.66</v>
      </c>
      <c r="Q35" s="33">
        <f t="shared" si="1"/>
        <v>4.3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5.3008333333333333</v>
      </c>
      <c r="C36" s="41">
        <f t="shared" si="2"/>
        <v>8.0920833333333348</v>
      </c>
      <c r="D36" s="41">
        <f t="shared" si="2"/>
        <v>14.036666666666667</v>
      </c>
      <c r="E36" s="41">
        <f t="shared" si="2"/>
        <v>13.252916666666669</v>
      </c>
      <c r="F36" s="41">
        <f t="shared" si="2"/>
        <v>14.214999999999998</v>
      </c>
      <c r="G36" s="41">
        <f t="shared" si="2"/>
        <v>54.931666666666672</v>
      </c>
      <c r="H36" s="41">
        <f t="shared" si="2"/>
        <v>22.217083333333331</v>
      </c>
      <c r="I36" s="41">
        <f t="shared" si="2"/>
        <v>7.8466666666666676</v>
      </c>
      <c r="J36" s="41">
        <f t="shared" si="2"/>
        <v>0.33125000000000004</v>
      </c>
      <c r="K36" s="41">
        <f t="shared" si="2"/>
        <v>148.25333333333333</v>
      </c>
      <c r="L36" s="41">
        <f t="shared" si="2"/>
        <v>28.529583333333335</v>
      </c>
      <c r="M36" s="41">
        <f t="shared" si="2"/>
        <v>81.210416666666674</v>
      </c>
      <c r="N36" s="41">
        <f t="shared" si="2"/>
        <v>123.18749999999999</v>
      </c>
      <c r="O36" s="41">
        <f t="shared" si="2"/>
        <v>0</v>
      </c>
      <c r="P36" s="41">
        <f t="shared" si="2"/>
        <v>0.60458333333333325</v>
      </c>
      <c r="Q36" s="41">
        <f t="shared" si="2"/>
        <v>4.2825000000000015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3.1335029247968042E-2</v>
      </c>
      <c r="C37" s="41">
        <f t="shared" ref="C37:Q37" si="3">STDEV(C9:C32)</f>
        <v>1.4135729219948556E-2</v>
      </c>
      <c r="D37" s="41">
        <f t="shared" si="3"/>
        <v>2.7923290367138625E-2</v>
      </c>
      <c r="E37" s="41">
        <f t="shared" si="3"/>
        <v>4.0972190772115917</v>
      </c>
      <c r="F37" s="41">
        <f t="shared" si="3"/>
        <v>9.9965537539955136</v>
      </c>
      <c r="G37" s="41">
        <f t="shared" si="3"/>
        <v>14.757306713939197</v>
      </c>
      <c r="H37" s="41">
        <f t="shared" si="3"/>
        <v>7.319579151103941</v>
      </c>
      <c r="I37" s="41">
        <f t="shared" si="3"/>
        <v>0.81964290563244857</v>
      </c>
      <c r="J37" s="41">
        <f t="shared" si="3"/>
        <v>0.22531740896479499</v>
      </c>
      <c r="K37" s="41">
        <f t="shared" si="3"/>
        <v>61.140137223514202</v>
      </c>
      <c r="L37" s="41">
        <f t="shared" si="3"/>
        <v>2.9977897353051808</v>
      </c>
      <c r="M37" s="41">
        <f t="shared" si="3"/>
        <v>14.688768995441675</v>
      </c>
      <c r="N37" s="41">
        <f t="shared" si="3"/>
        <v>177.50982168172632</v>
      </c>
      <c r="O37" s="41">
        <f t="shared" si="3"/>
        <v>0</v>
      </c>
      <c r="P37" s="41">
        <f t="shared" si="3"/>
        <v>4.7638052625722703E-2</v>
      </c>
      <c r="Q37" s="41">
        <f t="shared" si="3"/>
        <v>9.4408916306993867E-3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selection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6" width="9.140625" style="39" customWidth="1"/>
    <col min="17" max="17" width="16.42578125" style="39" customWidth="1"/>
    <col min="18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45596.041666666664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>
        <v>45596.041666666664</v>
      </c>
      <c r="B9" s="51">
        <v>5.3</v>
      </c>
      <c r="C9" s="51">
        <v>8.1199999999999992</v>
      </c>
      <c r="D9" s="51">
        <v>14.03</v>
      </c>
      <c r="E9" s="51">
        <v>9.48</v>
      </c>
      <c r="F9" s="51">
        <v>7.75</v>
      </c>
      <c r="G9" s="51">
        <v>55.37</v>
      </c>
      <c r="H9" s="51">
        <v>28.23</v>
      </c>
      <c r="I9" s="51">
        <v>7.91</v>
      </c>
      <c r="J9" s="51">
        <v>0.15</v>
      </c>
      <c r="K9" s="51">
        <v>231.34</v>
      </c>
      <c r="L9" s="51">
        <v>25.74</v>
      </c>
      <c r="M9" s="51">
        <v>95.45</v>
      </c>
      <c r="N9" s="51">
        <v>1.9</v>
      </c>
      <c r="O9" s="51">
        <v>0</v>
      </c>
      <c r="P9" s="51">
        <v>0.63</v>
      </c>
      <c r="Q9" s="51">
        <v>4.28</v>
      </c>
    </row>
    <row r="10" spans="1:21" customFormat="1">
      <c r="A10" s="50">
        <v>45596.083333333336</v>
      </c>
      <c r="B10" s="51">
        <v>5.3</v>
      </c>
      <c r="C10" s="51">
        <v>8.09</v>
      </c>
      <c r="D10" s="51">
        <v>14.03</v>
      </c>
      <c r="E10" s="51">
        <v>9.35</v>
      </c>
      <c r="F10" s="51">
        <v>6.83</v>
      </c>
      <c r="G10" s="51">
        <v>56.62</v>
      </c>
      <c r="H10" s="51">
        <v>27.02</v>
      </c>
      <c r="I10" s="51">
        <v>8.6199999999999992</v>
      </c>
      <c r="J10" s="51">
        <v>0.15</v>
      </c>
      <c r="K10" s="51">
        <v>238.63</v>
      </c>
      <c r="L10" s="51">
        <v>25.49</v>
      </c>
      <c r="M10" s="51">
        <v>97.25</v>
      </c>
      <c r="N10" s="51">
        <v>1.8</v>
      </c>
      <c r="O10" s="51">
        <v>0</v>
      </c>
      <c r="P10" s="51">
        <v>0.66</v>
      </c>
      <c r="Q10" s="51">
        <v>4.28</v>
      </c>
    </row>
    <row r="11" spans="1:21" customFormat="1">
      <c r="A11" s="50">
        <v>45596.125</v>
      </c>
      <c r="B11" s="51">
        <v>5.3</v>
      </c>
      <c r="C11" s="51">
        <v>8.07</v>
      </c>
      <c r="D11" s="51">
        <v>14.03</v>
      </c>
      <c r="E11" s="51">
        <v>10.26</v>
      </c>
      <c r="F11" s="51">
        <v>5.67</v>
      </c>
      <c r="G11" s="51">
        <v>56.34</v>
      </c>
      <c r="H11" s="51">
        <v>24.2</v>
      </c>
      <c r="I11" s="51">
        <v>8.66</v>
      </c>
      <c r="J11" s="51">
        <v>0.2</v>
      </c>
      <c r="K11" s="51">
        <v>204.45</v>
      </c>
      <c r="L11" s="51">
        <v>25.23</v>
      </c>
      <c r="M11" s="51">
        <v>96.83</v>
      </c>
      <c r="N11" s="51">
        <v>1.8</v>
      </c>
      <c r="O11" s="51">
        <v>0</v>
      </c>
      <c r="P11" s="51">
        <v>0.67</v>
      </c>
      <c r="Q11" s="51">
        <v>4.28</v>
      </c>
    </row>
    <row r="12" spans="1:21" customFormat="1">
      <c r="A12" s="50">
        <v>45596.166666666664</v>
      </c>
      <c r="B12" s="51">
        <v>5.3</v>
      </c>
      <c r="C12" s="51">
        <v>8.08</v>
      </c>
      <c r="D12" s="51">
        <v>14.03</v>
      </c>
      <c r="E12" s="51">
        <v>10.11</v>
      </c>
      <c r="F12" s="51">
        <v>5.38</v>
      </c>
      <c r="G12" s="51">
        <v>54.56</v>
      </c>
      <c r="H12" s="51">
        <v>22.95</v>
      </c>
      <c r="I12" s="51">
        <v>9.27</v>
      </c>
      <c r="J12" s="51">
        <v>0.38</v>
      </c>
      <c r="K12" s="51">
        <v>51.01</v>
      </c>
      <c r="L12" s="51">
        <v>25.44</v>
      </c>
      <c r="M12" s="51">
        <v>94.46</v>
      </c>
      <c r="N12" s="51">
        <v>1.8</v>
      </c>
      <c r="O12" s="51">
        <v>0</v>
      </c>
      <c r="P12" s="51">
        <v>0.73</v>
      </c>
      <c r="Q12" s="51">
        <v>4.28</v>
      </c>
    </row>
    <row r="13" spans="1:21" customFormat="1">
      <c r="A13" s="50">
        <v>45596.208333333336</v>
      </c>
      <c r="B13" s="51">
        <v>5.31</v>
      </c>
      <c r="C13" s="51">
        <v>8.08</v>
      </c>
      <c r="D13" s="51">
        <v>14.03</v>
      </c>
      <c r="E13" s="51">
        <v>10.17</v>
      </c>
      <c r="F13" s="51">
        <v>5.7</v>
      </c>
      <c r="G13" s="51">
        <v>76.8</v>
      </c>
      <c r="H13" s="51">
        <v>34.090000000000003</v>
      </c>
      <c r="I13" s="51">
        <v>10.35</v>
      </c>
      <c r="J13" s="51">
        <v>0.41</v>
      </c>
      <c r="K13" s="51">
        <v>57.16</v>
      </c>
      <c r="L13" s="51">
        <v>25.32</v>
      </c>
      <c r="M13" s="51">
        <v>94.92</v>
      </c>
      <c r="N13" s="51">
        <v>1.9</v>
      </c>
      <c r="O13" s="51">
        <v>0</v>
      </c>
      <c r="P13" s="51">
        <v>0.77</v>
      </c>
      <c r="Q13" s="51">
        <v>4.29</v>
      </c>
    </row>
    <row r="14" spans="1:21" customFormat="1">
      <c r="A14" s="50">
        <v>45596.25</v>
      </c>
      <c r="B14" s="51">
        <v>5.32</v>
      </c>
      <c r="C14" s="51">
        <v>8.1</v>
      </c>
      <c r="D14" s="51">
        <v>14.06</v>
      </c>
      <c r="E14" s="51">
        <v>10.5</v>
      </c>
      <c r="F14" s="51">
        <v>5.58</v>
      </c>
      <c r="G14" s="51">
        <v>88.76</v>
      </c>
      <c r="H14" s="51">
        <v>35.57</v>
      </c>
      <c r="I14" s="51">
        <v>10.7</v>
      </c>
      <c r="J14" s="51">
        <v>0.36</v>
      </c>
      <c r="K14" s="51">
        <v>152.61000000000001</v>
      </c>
      <c r="L14" s="51">
        <v>25.18</v>
      </c>
      <c r="M14" s="51">
        <v>95.08</v>
      </c>
      <c r="N14" s="51">
        <v>4.0999999999999996</v>
      </c>
      <c r="O14" s="51">
        <v>0</v>
      </c>
      <c r="P14" s="51">
        <v>0.78</v>
      </c>
      <c r="Q14" s="51">
        <v>4.29</v>
      </c>
    </row>
    <row r="15" spans="1:21" customFormat="1">
      <c r="A15" s="50">
        <v>45596.291666666664</v>
      </c>
      <c r="B15" s="51">
        <v>5.33</v>
      </c>
      <c r="C15" s="51">
        <v>8.08</v>
      </c>
      <c r="D15" s="51">
        <v>14.05</v>
      </c>
      <c r="E15" s="51">
        <v>10.86</v>
      </c>
      <c r="F15" s="51">
        <v>7.09</v>
      </c>
      <c r="G15" s="51">
        <v>89.68</v>
      </c>
      <c r="H15" s="51">
        <v>39.17</v>
      </c>
      <c r="I15" s="51">
        <v>10.59</v>
      </c>
      <c r="J15" s="51">
        <v>0.5</v>
      </c>
      <c r="K15" s="51">
        <v>63.48</v>
      </c>
      <c r="L15" s="51">
        <v>25.48</v>
      </c>
      <c r="M15" s="51">
        <v>93.8</v>
      </c>
      <c r="N15" s="51">
        <v>46.9</v>
      </c>
      <c r="O15" s="51">
        <v>0</v>
      </c>
      <c r="P15" s="51">
        <v>0.79</v>
      </c>
      <c r="Q15" s="51">
        <v>4.28</v>
      </c>
    </row>
    <row r="16" spans="1:21" customFormat="1">
      <c r="A16" s="50">
        <v>45596.333333333336</v>
      </c>
      <c r="B16" s="51">
        <v>5.33</v>
      </c>
      <c r="C16" s="51">
        <v>8.1</v>
      </c>
      <c r="D16" s="51">
        <v>14.07</v>
      </c>
      <c r="E16" s="51">
        <v>11.97</v>
      </c>
      <c r="F16" s="51">
        <v>13.26</v>
      </c>
      <c r="G16" s="51">
        <v>90.25</v>
      </c>
      <c r="H16" s="51">
        <v>38.89</v>
      </c>
      <c r="I16" s="51">
        <v>10.57</v>
      </c>
      <c r="J16" s="51">
        <v>0.44</v>
      </c>
      <c r="K16" s="51">
        <v>59.25</v>
      </c>
      <c r="L16" s="51">
        <v>27.09</v>
      </c>
      <c r="M16" s="51">
        <v>90.74</v>
      </c>
      <c r="N16" s="51">
        <v>141.1</v>
      </c>
      <c r="O16" s="51">
        <v>0</v>
      </c>
      <c r="P16" s="51">
        <v>0.84</v>
      </c>
      <c r="Q16" s="51">
        <v>4.29</v>
      </c>
    </row>
    <row r="17" spans="1:17" customFormat="1">
      <c r="A17" s="50">
        <v>45596.375</v>
      </c>
      <c r="B17" s="51">
        <v>5.37</v>
      </c>
      <c r="C17" s="51">
        <v>8.08</v>
      </c>
      <c r="D17" s="51">
        <v>14.08</v>
      </c>
      <c r="E17" s="51">
        <v>16.260000000000002</v>
      </c>
      <c r="F17" s="51">
        <v>18.77</v>
      </c>
      <c r="G17" s="51">
        <v>102.05</v>
      </c>
      <c r="H17" s="51">
        <v>36.61</v>
      </c>
      <c r="I17" s="51">
        <v>11.5</v>
      </c>
      <c r="J17" s="51">
        <v>0.51</v>
      </c>
      <c r="K17" s="51">
        <v>69.400000000000006</v>
      </c>
      <c r="L17" s="51">
        <v>29.1</v>
      </c>
      <c r="M17" s="51">
        <v>82.6</v>
      </c>
      <c r="N17" s="51">
        <v>241.5</v>
      </c>
      <c r="O17" s="51">
        <v>0</v>
      </c>
      <c r="P17" s="51">
        <v>0.82</v>
      </c>
      <c r="Q17" s="51">
        <v>4.29</v>
      </c>
    </row>
    <row r="18" spans="1:17" customFormat="1">
      <c r="A18" s="50">
        <v>45596.416666666664</v>
      </c>
      <c r="B18" s="51">
        <v>5.39</v>
      </c>
      <c r="C18" s="51">
        <v>8.1</v>
      </c>
      <c r="D18" s="51">
        <v>14.1</v>
      </c>
      <c r="E18" s="51">
        <v>17.399999999999999</v>
      </c>
      <c r="F18" s="51">
        <v>19.43</v>
      </c>
      <c r="G18" s="51">
        <v>98.68</v>
      </c>
      <c r="H18" s="51">
        <v>40.700000000000003</v>
      </c>
      <c r="I18" s="51">
        <v>10.95</v>
      </c>
      <c r="J18" s="51">
        <v>0.5</v>
      </c>
      <c r="K18" s="51">
        <v>123.6</v>
      </c>
      <c r="L18" s="51">
        <v>30.78</v>
      </c>
      <c r="M18" s="51">
        <v>72.260000000000005</v>
      </c>
      <c r="N18" s="51">
        <v>294.10000000000002</v>
      </c>
      <c r="O18" s="51">
        <v>0</v>
      </c>
      <c r="P18" s="51">
        <v>0.77</v>
      </c>
      <c r="Q18" s="51">
        <v>4.28</v>
      </c>
    </row>
    <row r="19" spans="1:17" customFormat="1">
      <c r="A19" s="50">
        <v>45596.458333333336</v>
      </c>
      <c r="B19" s="51">
        <v>5.36</v>
      </c>
      <c r="C19" s="51">
        <v>8.07</v>
      </c>
      <c r="D19" s="51">
        <v>14.08</v>
      </c>
      <c r="E19" s="51">
        <v>16.95</v>
      </c>
      <c r="F19" s="51">
        <v>25.27</v>
      </c>
      <c r="G19" s="51">
        <v>92.57</v>
      </c>
      <c r="H19" s="51">
        <v>36.89</v>
      </c>
      <c r="I19" s="51">
        <v>10.36</v>
      </c>
      <c r="J19" s="51">
        <v>0.48</v>
      </c>
      <c r="K19" s="51">
        <v>50.14</v>
      </c>
      <c r="L19" s="51">
        <v>31.11</v>
      </c>
      <c r="M19" s="51">
        <v>68.47</v>
      </c>
      <c r="N19" s="51">
        <v>373.5</v>
      </c>
      <c r="O19" s="51">
        <v>0</v>
      </c>
      <c r="P19" s="51">
        <v>0.71</v>
      </c>
      <c r="Q19" s="51">
        <v>4.3</v>
      </c>
    </row>
    <row r="20" spans="1:17" customFormat="1">
      <c r="A20" s="50">
        <v>45596.5</v>
      </c>
      <c r="B20" s="51">
        <v>5.39</v>
      </c>
      <c r="C20" s="51">
        <v>8.08</v>
      </c>
      <c r="D20" s="51">
        <v>14.1</v>
      </c>
      <c r="E20" s="51">
        <v>16.41</v>
      </c>
      <c r="F20" s="51">
        <v>15.68</v>
      </c>
      <c r="G20" s="51">
        <v>79.66</v>
      </c>
      <c r="H20" s="51">
        <v>35.590000000000003</v>
      </c>
      <c r="I20" s="51">
        <v>9.39</v>
      </c>
      <c r="J20" s="51">
        <v>0.93</v>
      </c>
      <c r="K20" s="51">
        <v>95.78</v>
      </c>
      <c r="L20" s="51">
        <v>32.15</v>
      </c>
      <c r="M20" s="51">
        <v>64.260000000000005</v>
      </c>
      <c r="N20" s="51">
        <v>514.79999999999995</v>
      </c>
      <c r="O20" s="51">
        <v>0</v>
      </c>
      <c r="P20" s="51">
        <v>0.72</v>
      </c>
      <c r="Q20" s="51">
        <v>4.29</v>
      </c>
    </row>
    <row r="21" spans="1:17" customFormat="1">
      <c r="A21" s="50">
        <v>45596.541666666664</v>
      </c>
      <c r="B21" s="51">
        <v>5.39</v>
      </c>
      <c r="C21" s="51">
        <v>8.1</v>
      </c>
      <c r="D21" s="51">
        <v>14.12</v>
      </c>
      <c r="E21" s="51">
        <v>16.75</v>
      </c>
      <c r="F21" s="51">
        <v>16.440000000000001</v>
      </c>
      <c r="G21" s="51">
        <v>72.209999999999994</v>
      </c>
      <c r="H21" s="51">
        <v>34.07</v>
      </c>
      <c r="I21" s="51">
        <v>8.98</v>
      </c>
      <c r="J21" s="51">
        <v>0.57999999999999996</v>
      </c>
      <c r="K21" s="51">
        <v>85.39</v>
      </c>
      <c r="L21" s="51">
        <v>32.479999999999997</v>
      </c>
      <c r="M21" s="51">
        <v>60.95</v>
      </c>
      <c r="N21" s="51">
        <v>388.6</v>
      </c>
      <c r="O21" s="51">
        <v>0</v>
      </c>
      <c r="P21" s="51">
        <v>0.7</v>
      </c>
      <c r="Q21" s="51">
        <v>4.28</v>
      </c>
    </row>
    <row r="22" spans="1:17" customFormat="1">
      <c r="A22" s="50">
        <v>45596.583333333336</v>
      </c>
      <c r="B22" s="51">
        <v>5.38</v>
      </c>
      <c r="C22" s="51">
        <v>8.07</v>
      </c>
      <c r="D22" s="51">
        <v>14.1</v>
      </c>
      <c r="E22" s="51">
        <v>15.96</v>
      </c>
      <c r="F22" s="51">
        <v>20.56</v>
      </c>
      <c r="G22" s="51">
        <v>69.52</v>
      </c>
      <c r="H22" s="51">
        <v>30.92</v>
      </c>
      <c r="I22" s="51">
        <v>8.23</v>
      </c>
      <c r="J22" s="51">
        <v>0.82</v>
      </c>
      <c r="K22" s="51">
        <v>60.17</v>
      </c>
      <c r="L22" s="51">
        <v>32.68</v>
      </c>
      <c r="M22" s="51">
        <v>59.13</v>
      </c>
      <c r="N22" s="51">
        <v>337</v>
      </c>
      <c r="O22" s="51">
        <v>0</v>
      </c>
      <c r="P22" s="51">
        <v>0.67</v>
      </c>
      <c r="Q22" s="51">
        <v>4.28</v>
      </c>
    </row>
    <row r="23" spans="1:17" customFormat="1">
      <c r="A23" s="50">
        <v>45596.625</v>
      </c>
      <c r="B23" s="51">
        <v>5.32</v>
      </c>
      <c r="C23" s="51">
        <v>8.09</v>
      </c>
      <c r="D23" s="51">
        <v>14.06</v>
      </c>
      <c r="E23" s="51">
        <v>16.13</v>
      </c>
      <c r="F23" s="51">
        <v>28.49</v>
      </c>
      <c r="G23" s="51">
        <v>68.7</v>
      </c>
      <c r="H23" s="51">
        <v>28.1</v>
      </c>
      <c r="I23" s="51">
        <v>7.7</v>
      </c>
      <c r="J23" s="51">
        <v>0.88</v>
      </c>
      <c r="K23" s="51">
        <v>55.83</v>
      </c>
      <c r="L23" s="51">
        <v>32.04</v>
      </c>
      <c r="M23" s="51">
        <v>57.5</v>
      </c>
      <c r="N23" s="51">
        <v>171.9</v>
      </c>
      <c r="O23" s="51">
        <v>0</v>
      </c>
      <c r="P23" s="51">
        <v>0.65</v>
      </c>
      <c r="Q23" s="51">
        <v>4.28</v>
      </c>
    </row>
    <row r="24" spans="1:17" customFormat="1">
      <c r="A24" s="50">
        <v>45596.666666666664</v>
      </c>
      <c r="B24" s="51">
        <v>5.31</v>
      </c>
      <c r="C24" s="51">
        <v>8.07</v>
      </c>
      <c r="D24" s="51">
        <v>14.04</v>
      </c>
      <c r="E24" s="51">
        <v>16.73</v>
      </c>
      <c r="F24" s="51">
        <v>31.24</v>
      </c>
      <c r="G24" s="51">
        <v>63.94</v>
      </c>
      <c r="H24" s="51">
        <v>26.98</v>
      </c>
      <c r="I24" s="51">
        <v>7.09</v>
      </c>
      <c r="J24" s="51">
        <v>0.62</v>
      </c>
      <c r="K24" s="51">
        <v>63.09</v>
      </c>
      <c r="L24" s="51">
        <v>31.71</v>
      </c>
      <c r="M24" s="51">
        <v>56.69</v>
      </c>
      <c r="N24" s="51">
        <v>97.6</v>
      </c>
      <c r="O24" s="51">
        <v>0</v>
      </c>
      <c r="P24" s="51">
        <v>0.64</v>
      </c>
      <c r="Q24" s="51">
        <v>4.3</v>
      </c>
    </row>
    <row r="25" spans="1:17" customFormat="1">
      <c r="A25" s="50">
        <v>45596.708333333336</v>
      </c>
      <c r="B25" s="51">
        <v>5.3</v>
      </c>
      <c r="C25" s="51">
        <v>8.1</v>
      </c>
      <c r="D25" s="51">
        <v>14.04</v>
      </c>
      <c r="E25" s="51">
        <v>22.94</v>
      </c>
      <c r="F25" s="51">
        <v>37.61</v>
      </c>
      <c r="G25" s="51">
        <v>62.89</v>
      </c>
      <c r="H25" s="51">
        <v>27.33</v>
      </c>
      <c r="I25" s="51">
        <v>6.71</v>
      </c>
      <c r="J25" s="51">
        <v>0.43</v>
      </c>
      <c r="K25" s="51">
        <v>103.59</v>
      </c>
      <c r="L25" s="51">
        <v>31.5</v>
      </c>
      <c r="M25" s="51">
        <v>62.67</v>
      </c>
      <c r="N25" s="51">
        <v>49.8</v>
      </c>
      <c r="O25" s="51">
        <v>0</v>
      </c>
      <c r="P25" s="51">
        <v>0.66</v>
      </c>
      <c r="Q25" s="51">
        <v>4.29</v>
      </c>
    </row>
    <row r="26" spans="1:17" customFormat="1">
      <c r="A26" s="50">
        <v>45596.75</v>
      </c>
      <c r="B26" s="51">
        <v>5.31</v>
      </c>
      <c r="C26" s="51">
        <v>8.11</v>
      </c>
      <c r="D26" s="51">
        <v>14.05</v>
      </c>
      <c r="E26" s="51">
        <v>19.36</v>
      </c>
      <c r="F26" s="51">
        <v>31.36</v>
      </c>
      <c r="G26" s="51">
        <v>62.12</v>
      </c>
      <c r="H26" s="51">
        <v>29.96</v>
      </c>
      <c r="I26" s="51">
        <v>7.42</v>
      </c>
      <c r="J26" s="51">
        <v>0.18</v>
      </c>
      <c r="K26" s="51">
        <v>173.54</v>
      </c>
      <c r="L26" s="51">
        <v>29.49</v>
      </c>
      <c r="M26" s="51">
        <v>70.540000000000006</v>
      </c>
      <c r="N26" s="51">
        <v>5.5</v>
      </c>
      <c r="O26" s="51">
        <v>0</v>
      </c>
      <c r="P26" s="51">
        <v>0.71</v>
      </c>
      <c r="Q26" s="51">
        <v>4.2699999999999996</v>
      </c>
    </row>
    <row r="27" spans="1:17" customFormat="1">
      <c r="A27" s="50">
        <v>45596.791666666664</v>
      </c>
      <c r="B27" s="51">
        <v>5.29</v>
      </c>
      <c r="C27" s="51">
        <v>8.09</v>
      </c>
      <c r="D27" s="51">
        <v>14.04</v>
      </c>
      <c r="E27" s="51">
        <v>12.39</v>
      </c>
      <c r="F27" s="51">
        <v>22.17</v>
      </c>
      <c r="G27" s="51">
        <v>67.58</v>
      </c>
      <c r="H27" s="51">
        <v>33.36</v>
      </c>
      <c r="I27" s="51">
        <v>7.65</v>
      </c>
      <c r="J27" s="51">
        <v>0.26</v>
      </c>
      <c r="K27" s="51">
        <v>179.03</v>
      </c>
      <c r="L27" s="51">
        <v>28.28</v>
      </c>
      <c r="M27" s="51">
        <v>80.760000000000005</v>
      </c>
      <c r="N27" s="51">
        <v>2.2999999999999998</v>
      </c>
      <c r="O27" s="51">
        <v>0</v>
      </c>
      <c r="P27" s="51">
        <v>0.79</v>
      </c>
      <c r="Q27" s="51">
        <v>4.29</v>
      </c>
    </row>
    <row r="28" spans="1:17" customFormat="1">
      <c r="A28" s="50">
        <v>45596.833333333336</v>
      </c>
      <c r="B28" s="51">
        <v>5.29</v>
      </c>
      <c r="C28" s="51">
        <v>8.09</v>
      </c>
      <c r="D28" s="51">
        <v>14.03</v>
      </c>
      <c r="E28" s="51">
        <v>18.89</v>
      </c>
      <c r="F28" s="51">
        <v>12.85</v>
      </c>
      <c r="G28" s="51">
        <v>74.14</v>
      </c>
      <c r="H28" s="51">
        <v>34.26</v>
      </c>
      <c r="I28" s="51">
        <v>8.1999999999999993</v>
      </c>
      <c r="J28" s="51">
        <v>0.22</v>
      </c>
      <c r="K28" s="51">
        <v>205.53</v>
      </c>
      <c r="L28" s="51">
        <v>27.04</v>
      </c>
      <c r="M28" s="51">
        <v>86.43</v>
      </c>
      <c r="N28" s="51">
        <v>2.1</v>
      </c>
      <c r="O28" s="51">
        <v>0</v>
      </c>
      <c r="P28" s="51">
        <v>0.76</v>
      </c>
      <c r="Q28" s="51">
        <v>4.2699999999999996</v>
      </c>
    </row>
    <row r="29" spans="1:17" customFormat="1">
      <c r="A29" s="50">
        <v>45596.875</v>
      </c>
      <c r="B29" s="51">
        <v>5.29</v>
      </c>
      <c r="C29" s="51">
        <v>8.1</v>
      </c>
      <c r="D29" s="51">
        <v>14.03</v>
      </c>
      <c r="E29" s="51">
        <v>12.44</v>
      </c>
      <c r="F29" s="51">
        <v>7.52</v>
      </c>
      <c r="G29" s="51">
        <v>89.27</v>
      </c>
      <c r="H29" s="51">
        <v>37.61</v>
      </c>
      <c r="I29" s="51">
        <v>8.5299999999999994</v>
      </c>
      <c r="J29" s="51">
        <v>0.16</v>
      </c>
      <c r="K29" s="51">
        <v>198.65</v>
      </c>
      <c r="L29" s="51">
        <v>26.31</v>
      </c>
      <c r="M29" s="51">
        <v>86.85</v>
      </c>
      <c r="N29" s="51">
        <v>1.8</v>
      </c>
      <c r="O29" s="51">
        <v>0</v>
      </c>
      <c r="P29" s="51">
        <v>0.79</v>
      </c>
      <c r="Q29" s="51">
        <v>4.28</v>
      </c>
    </row>
    <row r="30" spans="1:17" customFormat="1">
      <c r="A30" s="50">
        <v>45596.916666666664</v>
      </c>
      <c r="B30" s="51">
        <v>5.3</v>
      </c>
      <c r="C30" s="51">
        <v>8.09</v>
      </c>
      <c r="D30" s="51">
        <v>14.04</v>
      </c>
      <c r="E30" s="51">
        <v>10.24</v>
      </c>
      <c r="F30" s="51">
        <v>6.26</v>
      </c>
      <c r="G30" s="51">
        <v>118.93</v>
      </c>
      <c r="H30" s="51">
        <v>55.2</v>
      </c>
      <c r="I30" s="51">
        <v>8.57</v>
      </c>
      <c r="J30" s="51">
        <v>0.16</v>
      </c>
      <c r="K30" s="51">
        <v>213.49</v>
      </c>
      <c r="L30" s="51">
        <v>25.32</v>
      </c>
      <c r="M30" s="51">
        <v>88.53</v>
      </c>
      <c r="N30" s="51">
        <v>1.7</v>
      </c>
      <c r="O30" s="51">
        <v>0</v>
      </c>
      <c r="P30" s="51">
        <v>0.78</v>
      </c>
      <c r="Q30" s="51">
        <v>4.28</v>
      </c>
    </row>
    <row r="31" spans="1:17" customFormat="1">
      <c r="A31" s="50">
        <v>45596.958333333336</v>
      </c>
      <c r="B31" s="51">
        <v>5.28</v>
      </c>
      <c r="C31" s="51">
        <v>8.1199999999999992</v>
      </c>
      <c r="D31" s="51">
        <v>14.03</v>
      </c>
      <c r="E31" s="51">
        <v>10.130000000000001</v>
      </c>
      <c r="F31" s="51">
        <v>5.93</v>
      </c>
      <c r="G31" s="51">
        <v>113.45</v>
      </c>
      <c r="H31" s="51">
        <v>56.77</v>
      </c>
      <c r="I31" s="51">
        <v>8.4499999999999993</v>
      </c>
      <c r="J31" s="51">
        <v>0.12</v>
      </c>
      <c r="K31" s="51">
        <v>232.01</v>
      </c>
      <c r="L31" s="51">
        <v>24.9</v>
      </c>
      <c r="M31" s="51">
        <v>94.82</v>
      </c>
      <c r="N31" s="51">
        <v>1.7</v>
      </c>
      <c r="O31" s="51">
        <v>0</v>
      </c>
      <c r="P31" s="51">
        <v>0.77</v>
      </c>
      <c r="Q31" s="51">
        <v>4.29</v>
      </c>
    </row>
    <row r="32" spans="1:17" customFormat="1">
      <c r="A32" s="50">
        <v>45597</v>
      </c>
      <c r="B32" s="51">
        <v>5.28</v>
      </c>
      <c r="C32" s="51">
        <v>8.1</v>
      </c>
      <c r="D32" s="51">
        <v>14.03</v>
      </c>
      <c r="E32" s="51">
        <v>9.68</v>
      </c>
      <c r="F32" s="51">
        <v>5.64</v>
      </c>
      <c r="G32" s="51">
        <v>104.53</v>
      </c>
      <c r="H32" s="51">
        <v>57.92</v>
      </c>
      <c r="I32" s="51">
        <v>8.33</v>
      </c>
      <c r="J32" s="51">
        <v>0.16</v>
      </c>
      <c r="K32" s="51">
        <v>240.75</v>
      </c>
      <c r="L32" s="51">
        <v>24.39</v>
      </c>
      <c r="M32" s="51">
        <v>96.28</v>
      </c>
      <c r="N32" s="51">
        <v>1.7</v>
      </c>
      <c r="O32" s="51">
        <v>0</v>
      </c>
      <c r="P32" s="51">
        <v>0.75</v>
      </c>
      <c r="Q32" s="51">
        <v>4.28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5.28</v>
      </c>
      <c r="C34" s="41">
        <f t="shared" si="0"/>
        <v>8.07</v>
      </c>
      <c r="D34" s="41">
        <f t="shared" si="0"/>
        <v>14.03</v>
      </c>
      <c r="E34" s="41">
        <f t="shared" si="0"/>
        <v>9.35</v>
      </c>
      <c r="F34" s="41">
        <f t="shared" si="0"/>
        <v>5.38</v>
      </c>
      <c r="G34" s="41">
        <f t="shared" si="0"/>
        <v>54.56</v>
      </c>
      <c r="H34" s="41">
        <f t="shared" si="0"/>
        <v>22.95</v>
      </c>
      <c r="I34" s="41">
        <f t="shared" si="0"/>
        <v>6.71</v>
      </c>
      <c r="J34" s="41">
        <f t="shared" si="0"/>
        <v>0.12</v>
      </c>
      <c r="K34" s="41">
        <f t="shared" si="0"/>
        <v>50.14</v>
      </c>
      <c r="L34" s="41">
        <f t="shared" si="0"/>
        <v>24.39</v>
      </c>
      <c r="M34" s="41">
        <f t="shared" si="0"/>
        <v>56.69</v>
      </c>
      <c r="N34" s="41">
        <f t="shared" si="0"/>
        <v>1.7</v>
      </c>
      <c r="O34" s="41">
        <f t="shared" si="0"/>
        <v>0</v>
      </c>
      <c r="P34" s="41">
        <f t="shared" si="0"/>
        <v>0.63</v>
      </c>
      <c r="Q34" s="41">
        <f t="shared" si="0"/>
        <v>4.2699999999999996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5.39</v>
      </c>
      <c r="C35" s="33">
        <f t="shared" si="1"/>
        <v>8.1199999999999992</v>
      </c>
      <c r="D35" s="33">
        <f t="shared" si="1"/>
        <v>14.12</v>
      </c>
      <c r="E35" s="33">
        <f t="shared" si="1"/>
        <v>22.94</v>
      </c>
      <c r="F35" s="33">
        <f t="shared" si="1"/>
        <v>37.61</v>
      </c>
      <c r="G35" s="33">
        <f t="shared" si="1"/>
        <v>118.93</v>
      </c>
      <c r="H35" s="33">
        <f t="shared" si="1"/>
        <v>57.92</v>
      </c>
      <c r="I35" s="33">
        <f t="shared" si="1"/>
        <v>11.5</v>
      </c>
      <c r="J35" s="33">
        <f t="shared" si="1"/>
        <v>0.93</v>
      </c>
      <c r="K35" s="33">
        <f t="shared" si="1"/>
        <v>240.75</v>
      </c>
      <c r="L35" s="33">
        <f t="shared" si="1"/>
        <v>32.68</v>
      </c>
      <c r="M35" s="33">
        <f t="shared" si="1"/>
        <v>97.25</v>
      </c>
      <c r="N35" s="33">
        <f t="shared" si="1"/>
        <v>514.79999999999995</v>
      </c>
      <c r="O35" s="33">
        <f t="shared" si="1"/>
        <v>0</v>
      </c>
      <c r="P35" s="33">
        <f t="shared" si="1"/>
        <v>0.84</v>
      </c>
      <c r="Q35" s="33">
        <f t="shared" si="1"/>
        <v>4.3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5.3224999999999998</v>
      </c>
      <c r="C36" s="41">
        <f t="shared" si="2"/>
        <v>8.0908333333333324</v>
      </c>
      <c r="D36" s="41">
        <f t="shared" si="2"/>
        <v>14.054166666666662</v>
      </c>
      <c r="E36" s="41">
        <f t="shared" si="2"/>
        <v>13.806666666666665</v>
      </c>
      <c r="F36" s="41">
        <f t="shared" si="2"/>
        <v>15.103333333333333</v>
      </c>
      <c r="G36" s="41">
        <f t="shared" si="2"/>
        <v>79.525833333333338</v>
      </c>
      <c r="H36" s="41">
        <f t="shared" si="2"/>
        <v>35.516250000000007</v>
      </c>
      <c r="I36" s="41">
        <f t="shared" si="2"/>
        <v>8.9470833333333335</v>
      </c>
      <c r="J36" s="41">
        <f t="shared" si="2"/>
        <v>0.39999999999999997</v>
      </c>
      <c r="K36" s="41">
        <f t="shared" si="2"/>
        <v>133.66333333333338</v>
      </c>
      <c r="L36" s="41">
        <f t="shared" si="2"/>
        <v>28.093749999999996</v>
      </c>
      <c r="M36" s="41">
        <f t="shared" si="2"/>
        <v>81.136250000000004</v>
      </c>
      <c r="N36" s="41">
        <f t="shared" si="2"/>
        <v>111.95416666666667</v>
      </c>
      <c r="O36" s="41">
        <f t="shared" si="2"/>
        <v>0</v>
      </c>
      <c r="P36" s="41">
        <f t="shared" si="2"/>
        <v>0.7316666666666668</v>
      </c>
      <c r="Q36" s="41">
        <f t="shared" si="2"/>
        <v>4.2841666666666667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3.6742346141747623E-2</v>
      </c>
      <c r="C37" s="41">
        <f t="shared" ref="C37:Q37" si="3">STDEV(C9:C32)</f>
        <v>1.4719601443879432E-2</v>
      </c>
      <c r="D37" s="41">
        <f t="shared" si="3"/>
        <v>2.8271458439897441E-2</v>
      </c>
      <c r="E37" s="41">
        <f t="shared" si="3"/>
        <v>3.9071558283061534</v>
      </c>
      <c r="F37" s="41">
        <f t="shared" si="3"/>
        <v>9.9892423295683699</v>
      </c>
      <c r="G37" s="41">
        <f t="shared" si="3"/>
        <v>19.011591639488451</v>
      </c>
      <c r="H37" s="41">
        <f t="shared" si="3"/>
        <v>9.4837539863659863</v>
      </c>
      <c r="I37" s="41">
        <f t="shared" si="3"/>
        <v>1.3270610849499045</v>
      </c>
      <c r="J37" s="41">
        <f t="shared" si="3"/>
        <v>0.24030777367150752</v>
      </c>
      <c r="K37" s="41">
        <f t="shared" si="3"/>
        <v>72.813364197769971</v>
      </c>
      <c r="L37" s="41">
        <f t="shared" si="3"/>
        <v>2.9765661752517065</v>
      </c>
      <c r="M37" s="41">
        <f t="shared" si="3"/>
        <v>14.868904176604303</v>
      </c>
      <c r="N37" s="41">
        <f t="shared" si="3"/>
        <v>158.3690653235324</v>
      </c>
      <c r="O37" s="41">
        <f t="shared" si="3"/>
        <v>0</v>
      </c>
      <c r="P37" s="41">
        <f t="shared" si="3"/>
        <v>6.091095901014966E-2</v>
      </c>
      <c r="Q37" s="41">
        <f t="shared" si="3"/>
        <v>7.7553160822903594E-3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>
  <dimension ref="A1:X55"/>
  <sheetViews>
    <sheetView zoomScale="85" zoomScaleNormal="85" workbookViewId="0">
      <pane xSplit="1" ySplit="8" topLeftCell="B9" activePane="bottomRight" state="frozen"/>
      <selection activeCell="G19" sqref="G19"/>
      <selection pane="topRight" activeCell="G19" sqref="G19"/>
      <selection pane="bottomLeft" activeCell="G19" sqref="G19"/>
      <selection pane="bottomRight" activeCell="K39" sqref="K39"/>
    </sheetView>
  </sheetViews>
  <sheetFormatPr defaultColWidth="8.85546875" defaultRowHeight="15"/>
  <cols>
    <col min="1" max="1" width="17.42578125" customWidth="1"/>
    <col min="2" max="2" width="14.42578125" customWidth="1"/>
    <col min="3" max="3" width="11.7109375" customWidth="1"/>
    <col min="4" max="4" width="14.42578125" customWidth="1"/>
    <col min="5" max="5" width="10.7109375" customWidth="1"/>
    <col min="7" max="7" width="11.28515625" customWidth="1"/>
    <col min="8" max="8" width="12.42578125" customWidth="1"/>
    <col min="9" max="9" width="13" customWidth="1"/>
    <col min="11" max="11" width="9.7109375" customWidth="1"/>
    <col min="12" max="12" width="11" customWidth="1"/>
    <col min="13" max="13" width="10" customWidth="1"/>
    <col min="17" max="17" width="9.7109375" customWidth="1"/>
    <col min="19" max="19" width="12.140625" customWidth="1"/>
    <col min="20" max="20" width="12.7109375" customWidth="1"/>
  </cols>
  <sheetData>
    <row r="1" spans="1:21" s="1" customFormat="1" ht="27.75" customHeight="1">
      <c r="A1" s="3" t="s">
        <v>0</v>
      </c>
      <c r="B1" s="4" t="s">
        <v>58</v>
      </c>
      <c r="C1" s="5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45566.041666666664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59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14" t="s">
        <v>24</v>
      </c>
      <c r="D7" s="14" t="s">
        <v>25</v>
      </c>
      <c r="E7" s="14" t="s">
        <v>26</v>
      </c>
      <c r="F7" s="14" t="s">
        <v>27</v>
      </c>
      <c r="G7" s="14" t="s">
        <v>28</v>
      </c>
      <c r="H7" s="14" t="s">
        <v>29</v>
      </c>
      <c r="I7" s="14" t="s">
        <v>30</v>
      </c>
      <c r="J7" s="14" t="s">
        <v>31</v>
      </c>
      <c r="K7" s="14" t="s">
        <v>32</v>
      </c>
      <c r="L7" s="14" t="s">
        <v>33</v>
      </c>
      <c r="M7" s="14" t="s">
        <v>34</v>
      </c>
      <c r="N7" s="14" t="s">
        <v>35</v>
      </c>
      <c r="O7" s="14" t="s">
        <v>36</v>
      </c>
      <c r="P7" s="14" t="s">
        <v>37</v>
      </c>
      <c r="Q7" s="1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>
      <c r="A9" s="16">
        <f>'01'!$B$2</f>
        <v>45566.041666666664</v>
      </c>
      <c r="B9" s="17">
        <f>'01'!B36</f>
        <v>9.3262499999999999</v>
      </c>
      <c r="C9" s="17">
        <f>'01'!C36</f>
        <v>4.1075000000000008</v>
      </c>
      <c r="D9" s="17">
        <f>'01'!D36</f>
        <v>14.060416666666667</v>
      </c>
      <c r="E9" s="17">
        <f>'01'!E36</f>
        <v>11.607916666666666</v>
      </c>
      <c r="F9" s="17">
        <f>'01'!F36</f>
        <v>11.857916666666668</v>
      </c>
      <c r="G9" s="17">
        <f>'01'!G36</f>
        <v>42.505833333333335</v>
      </c>
      <c r="H9" s="17">
        <f>'01'!H36</f>
        <v>17.443333333333335</v>
      </c>
      <c r="I9" s="17">
        <f>'01'!I36</f>
        <v>5.4716666666666667</v>
      </c>
      <c r="J9" s="17">
        <f>'01'!J36</f>
        <v>0.38041666666666668</v>
      </c>
      <c r="K9" s="17">
        <f>'01'!K36</f>
        <v>251.21083333333331</v>
      </c>
      <c r="L9" s="17">
        <f>'01'!L36</f>
        <v>29.410833333333329</v>
      </c>
      <c r="M9" s="17">
        <f>'01'!M36</f>
        <v>85.842083333333321</v>
      </c>
      <c r="N9" s="17">
        <f>'01'!N36</f>
        <v>137.33333333333331</v>
      </c>
      <c r="O9" s="17">
        <f>'01'!O36</f>
        <v>0</v>
      </c>
      <c r="P9" s="17">
        <f>'01'!P36</f>
        <v>0.47125000000000011</v>
      </c>
      <c r="Q9" s="17">
        <f>'01'!Q36</f>
        <v>4.6704166666666653</v>
      </c>
      <c r="R9" s="34"/>
      <c r="S9" s="34"/>
      <c r="T9" s="34"/>
      <c r="U9" s="35"/>
    </row>
    <row r="10" spans="1:21" s="2" customFormat="1">
      <c r="A10" s="16">
        <f>'02'!$B$2</f>
        <v>45567.041666666664</v>
      </c>
      <c r="B10" s="17">
        <f>'02'!B36</f>
        <v>9.2133333333333329</v>
      </c>
      <c r="C10" s="17">
        <f>'02'!C36</f>
        <v>4.2441666666666666</v>
      </c>
      <c r="D10" s="17">
        <f>'02'!D36</f>
        <v>14.017499999999998</v>
      </c>
      <c r="E10" s="17">
        <f>'02'!E36</f>
        <v>11.904583333333335</v>
      </c>
      <c r="F10" s="17">
        <f>'02'!F36</f>
        <v>11.489583333333334</v>
      </c>
      <c r="G10" s="17">
        <f>'02'!G36</f>
        <v>66.81208333333332</v>
      </c>
      <c r="H10" s="17">
        <f>'02'!H36</f>
        <v>23.476666666666663</v>
      </c>
      <c r="I10" s="17">
        <f>'02'!I36</f>
        <v>6.5179166666666655</v>
      </c>
      <c r="J10" s="17">
        <f>'02'!J36</f>
        <v>0.35291666666666671</v>
      </c>
      <c r="K10" s="17">
        <f>'02'!K36</f>
        <v>275.05249999999995</v>
      </c>
      <c r="L10" s="17">
        <f>'02'!L36</f>
        <v>29.968333333333337</v>
      </c>
      <c r="M10" s="17">
        <f>'02'!M36</f>
        <v>81.056666666666672</v>
      </c>
      <c r="N10" s="17">
        <f>'02'!N36</f>
        <v>135.22916666666666</v>
      </c>
      <c r="O10" s="17">
        <f>'02'!O36</f>
        <v>0</v>
      </c>
      <c r="P10" s="17">
        <f>'02'!P36</f>
        <v>0.53375000000000006</v>
      </c>
      <c r="Q10" s="17">
        <f>'02'!Q36</f>
        <v>4.6641666666666675</v>
      </c>
      <c r="R10" s="36"/>
      <c r="S10" s="36"/>
      <c r="T10" s="36"/>
      <c r="U10" s="36"/>
    </row>
    <row r="11" spans="1:21" s="2" customFormat="1">
      <c r="A11" s="16">
        <f>'03'!$B$2</f>
        <v>45568.041666666664</v>
      </c>
      <c r="B11" s="17">
        <f>'03'!B36</f>
        <v>9.365833333333331</v>
      </c>
      <c r="C11" s="17">
        <f>'03'!C36</f>
        <v>4.1033333333333326</v>
      </c>
      <c r="D11" s="17">
        <f>'03'!D36</f>
        <v>14.088750000000003</v>
      </c>
      <c r="E11" s="17">
        <f>'03'!E36</f>
        <v>12.035416666666665</v>
      </c>
      <c r="F11" s="17">
        <f>'03'!F36</f>
        <v>9.0437500000000011</v>
      </c>
      <c r="G11" s="17">
        <f>'03'!G36</f>
        <v>92.771250000000009</v>
      </c>
      <c r="H11" s="17">
        <f>'03'!H36</f>
        <v>25.243333333333336</v>
      </c>
      <c r="I11" s="17">
        <f>'03'!I36</f>
        <v>8.4362500000000029</v>
      </c>
      <c r="J11" s="17">
        <f>'03'!J36</f>
        <v>0.45666666666666672</v>
      </c>
      <c r="K11" s="17">
        <f>'03'!K36</f>
        <v>288.29791666666665</v>
      </c>
      <c r="L11" s="17">
        <f>'03'!L36</f>
        <v>30.52333333333333</v>
      </c>
      <c r="M11" s="17">
        <f>'03'!M36</f>
        <v>75.235833333333318</v>
      </c>
      <c r="N11" s="17">
        <f>'03'!N36</f>
        <v>163.41249999999999</v>
      </c>
      <c r="O11" s="17">
        <f>'03'!O36</f>
        <v>0</v>
      </c>
      <c r="P11" s="17">
        <f>'03'!P36</f>
        <v>0.59666666666666679</v>
      </c>
      <c r="Q11" s="17">
        <f>'03'!Q36</f>
        <v>4.6704166666666662</v>
      </c>
      <c r="R11" s="36"/>
      <c r="S11" s="36"/>
      <c r="T11" s="36"/>
      <c r="U11" s="36"/>
    </row>
    <row r="12" spans="1:21" s="2" customFormat="1">
      <c r="A12" s="16">
        <f>'04'!$B$2</f>
        <v>45569.041666666664</v>
      </c>
      <c r="B12" s="17">
        <f>'04'!B36</f>
        <v>9.3175000000000008</v>
      </c>
      <c r="C12" s="17">
        <f>'04'!C36</f>
        <v>4.107499999999999</v>
      </c>
      <c r="D12" s="17">
        <f>'04'!D36</f>
        <v>14.050833333333332</v>
      </c>
      <c r="E12" s="17">
        <f>'04'!E36</f>
        <v>10.733333333333334</v>
      </c>
      <c r="F12" s="17">
        <f>'04'!F36</f>
        <v>10.262500000000001</v>
      </c>
      <c r="G12" s="17">
        <f>'04'!G36</f>
        <v>77.801666666666662</v>
      </c>
      <c r="H12" s="17">
        <f>'04'!H36</f>
        <v>19.217916666666664</v>
      </c>
      <c r="I12" s="17">
        <f>'04'!I36</f>
        <v>7.6987499999999995</v>
      </c>
      <c r="J12" s="17">
        <f>'04'!J36</f>
        <v>0.34791666666666671</v>
      </c>
      <c r="K12" s="17">
        <f>'04'!K36</f>
        <v>250.42291666666668</v>
      </c>
      <c r="L12" s="17">
        <f>'04'!L36</f>
        <v>29.398750000000003</v>
      </c>
      <c r="M12" s="17">
        <f>'04'!M36</f>
        <v>80.287083333333328</v>
      </c>
      <c r="N12" s="17">
        <f>'04'!N36</f>
        <v>137.67499999999998</v>
      </c>
      <c r="O12" s="17">
        <f>'04'!O36</f>
        <v>0</v>
      </c>
      <c r="P12" s="17">
        <f>'04'!P36</f>
        <v>0.53833333333333333</v>
      </c>
      <c r="Q12" s="17">
        <f>'04'!Q36</f>
        <v>4.6670833333333341</v>
      </c>
      <c r="R12" s="36"/>
      <c r="S12" s="36"/>
      <c r="T12" s="36"/>
      <c r="U12" s="36"/>
    </row>
    <row r="13" spans="1:21" s="2" customFormat="1">
      <c r="A13" s="16">
        <f>'05'!$B$2</f>
        <v>45570.041666666664</v>
      </c>
      <c r="B13" s="17">
        <f>'05'!B36</f>
        <v>9.2266666666666648</v>
      </c>
      <c r="C13" s="17">
        <f>'05'!C36</f>
        <v>4.1820833333333338</v>
      </c>
      <c r="D13" s="17">
        <f>'05'!D36</f>
        <v>14.004166666666668</v>
      </c>
      <c r="E13" s="17">
        <f>'05'!E36</f>
        <v>12.757916666666667</v>
      </c>
      <c r="F13" s="17">
        <f>'05'!F36</f>
        <v>7.1166666666666671</v>
      </c>
      <c r="G13" s="17">
        <f>'05'!G36</f>
        <v>105.57208333333331</v>
      </c>
      <c r="H13" s="17">
        <f>'05'!H36</f>
        <v>31.018333333333342</v>
      </c>
      <c r="I13" s="17">
        <f>'05'!I36</f>
        <v>7.566250000000001</v>
      </c>
      <c r="J13" s="17">
        <f>'05'!J36</f>
        <v>0.34125</v>
      </c>
      <c r="K13" s="17">
        <f>'05'!K36</f>
        <v>207.37</v>
      </c>
      <c r="L13" s="17">
        <f>'05'!L36</f>
        <v>28.91</v>
      </c>
      <c r="M13" s="17">
        <f>'05'!M36</f>
        <v>79.937916666666666</v>
      </c>
      <c r="N13" s="17">
        <f>'05'!N36</f>
        <v>148.90416666666661</v>
      </c>
      <c r="O13" s="17">
        <f>'05'!O36</f>
        <v>0</v>
      </c>
      <c r="P13" s="17">
        <f>'05'!P36</f>
        <v>0.59250000000000014</v>
      </c>
      <c r="Q13" s="17">
        <f>'05'!Q36</f>
        <v>4.668750000000002</v>
      </c>
      <c r="R13" s="36"/>
      <c r="S13" s="36"/>
      <c r="T13" s="36"/>
      <c r="U13" s="36"/>
    </row>
    <row r="14" spans="1:21" s="2" customFormat="1">
      <c r="A14" s="16">
        <f>'06'!$B$2</f>
        <v>45571.041666666664</v>
      </c>
      <c r="B14" s="18">
        <f>'06'!B36</f>
        <v>9.291249999999998</v>
      </c>
      <c r="C14" s="18">
        <f>'06'!C36</f>
        <v>4.1462499999999993</v>
      </c>
      <c r="D14" s="18">
        <f>'06'!D36</f>
        <v>14.042499999999999</v>
      </c>
      <c r="E14" s="18">
        <f>'06'!E36</f>
        <v>14.207499999999996</v>
      </c>
      <c r="F14" s="18">
        <f>'06'!F36</f>
        <v>9.223749999999999</v>
      </c>
      <c r="G14" s="18">
        <f>'06'!G36</f>
        <v>113.42458333333333</v>
      </c>
      <c r="H14" s="18">
        <f>'06'!H36</f>
        <v>35.650833333333338</v>
      </c>
      <c r="I14" s="18">
        <f>'06'!I36</f>
        <v>7.8491666666666653</v>
      </c>
      <c r="J14" s="18">
        <f>'06'!J36</f>
        <v>0.45541666666666664</v>
      </c>
      <c r="K14" s="18">
        <f>'06'!K36</f>
        <v>148.96250000000001</v>
      </c>
      <c r="L14" s="18">
        <f>'06'!L36</f>
        <v>28.805833333333329</v>
      </c>
      <c r="M14" s="18">
        <f>'06'!M36</f>
        <v>81.753333333333345</v>
      </c>
      <c r="N14" s="18">
        <f>'06'!N36</f>
        <v>146.11249999999998</v>
      </c>
      <c r="O14" s="18">
        <f>'06'!O36</f>
        <v>0</v>
      </c>
      <c r="P14" s="18">
        <f>'06'!P36</f>
        <v>0.56999999999999995</v>
      </c>
      <c r="Q14" s="18">
        <f>'06'!Q36</f>
        <v>4.664583333333332</v>
      </c>
      <c r="R14" s="36"/>
      <c r="S14" s="36"/>
      <c r="T14" s="36"/>
      <c r="U14" s="36"/>
    </row>
    <row r="15" spans="1:21" s="2" customFormat="1">
      <c r="A15" s="16">
        <f>'07'!$B$2</f>
        <v>45572.041666666664</v>
      </c>
      <c r="B15" s="18">
        <f>'07'!B36</f>
        <v>9.3383333333333329</v>
      </c>
      <c r="C15" s="18">
        <f>'07'!C36</f>
        <v>4.0958333333333323</v>
      </c>
      <c r="D15" s="18">
        <f>'07'!D36</f>
        <v>14.069583333333332</v>
      </c>
      <c r="E15" s="18">
        <f>'07'!E36</f>
        <v>12.448749999999997</v>
      </c>
      <c r="F15" s="18">
        <f>'07'!F36</f>
        <v>7.7687500000000007</v>
      </c>
      <c r="G15" s="18">
        <f>'07'!G36</f>
        <v>124.93374999999999</v>
      </c>
      <c r="H15" s="18">
        <f>'07'!H36</f>
        <v>40.826666666666675</v>
      </c>
      <c r="I15" s="18">
        <f>'07'!I36</f>
        <v>7.1408333333333323</v>
      </c>
      <c r="J15" s="18">
        <f>'07'!J36</f>
        <v>0.37166666666666676</v>
      </c>
      <c r="K15" s="18">
        <f>'07'!K36</f>
        <v>145.30375000000001</v>
      </c>
      <c r="L15" s="18">
        <f>'07'!L36</f>
        <v>28.904583333333331</v>
      </c>
      <c r="M15" s="18">
        <f>'07'!M36</f>
        <v>79.762916666666641</v>
      </c>
      <c r="N15" s="18">
        <f>'07'!N36</f>
        <v>133.17083333333329</v>
      </c>
      <c r="O15" s="18">
        <f>'07'!O36</f>
        <v>0</v>
      </c>
      <c r="P15" s="18">
        <f>'07'!P36</f>
        <v>0.59875</v>
      </c>
      <c r="Q15" s="18">
        <f>'07'!Q36</f>
        <v>4.6612500000000017</v>
      </c>
      <c r="R15" s="36"/>
      <c r="S15" s="36"/>
      <c r="T15" s="36"/>
      <c r="U15" s="36"/>
    </row>
    <row r="16" spans="1:21" s="2" customFormat="1">
      <c r="A16" s="16">
        <f>'08'!$B$2</f>
        <v>45573.041666666664</v>
      </c>
      <c r="B16" s="18">
        <f>'08'!B36</f>
        <v>9.3712500000000016</v>
      </c>
      <c r="C16" s="18">
        <f>'08'!C36</f>
        <v>4.0987500000000008</v>
      </c>
      <c r="D16" s="18">
        <f>'08'!D36</f>
        <v>14.095000000000001</v>
      </c>
      <c r="E16" s="18">
        <f>'08'!E36</f>
        <v>10.373750000000001</v>
      </c>
      <c r="F16" s="18">
        <f>'08'!F36</f>
        <v>8.8687500000000004</v>
      </c>
      <c r="G16" s="18">
        <f>'08'!G36</f>
        <v>73.500833333333318</v>
      </c>
      <c r="H16" s="18">
        <f>'08'!H36</f>
        <v>25.277500000000007</v>
      </c>
      <c r="I16" s="18">
        <f>'08'!I36</f>
        <v>5.4770833333333337</v>
      </c>
      <c r="J16" s="18">
        <f>'08'!J36</f>
        <v>0.26125000000000004</v>
      </c>
      <c r="K16" s="18">
        <f>'08'!K36</f>
        <v>211.04333333333329</v>
      </c>
      <c r="L16" s="18">
        <f>'08'!L36</f>
        <v>27.678333333333338</v>
      </c>
      <c r="M16" s="18">
        <f>'08'!M36</f>
        <v>88.967916666666653</v>
      </c>
      <c r="N16" s="18">
        <f>'08'!N36</f>
        <v>91.379166666666663</v>
      </c>
      <c r="O16" s="18">
        <f>'08'!O36</f>
        <v>7.4999999999999997E-2</v>
      </c>
      <c r="P16" s="18">
        <f>'08'!P36</f>
        <v>0.43625000000000003</v>
      </c>
      <c r="Q16" s="18">
        <f>'08'!Q36</f>
        <v>4.6654166666666681</v>
      </c>
      <c r="R16" s="36"/>
      <c r="S16" s="36"/>
      <c r="T16" s="36"/>
      <c r="U16" s="36"/>
    </row>
    <row r="17" spans="1:24" s="2" customFormat="1">
      <c r="A17" s="16">
        <f>'09'!$B$2</f>
        <v>45574.041666666664</v>
      </c>
      <c r="B17" s="18">
        <f>'09'!B36</f>
        <v>9.2379166666666688</v>
      </c>
      <c r="C17" s="18">
        <f>'09'!C36</f>
        <v>4.1679166666666658</v>
      </c>
      <c r="D17" s="18">
        <f>'09'!D36</f>
        <v>14.009583333333333</v>
      </c>
      <c r="E17" s="18">
        <f>'09'!E36</f>
        <v>11.930000000000001</v>
      </c>
      <c r="F17" s="18">
        <f>'09'!F36</f>
        <v>6.611250000000001</v>
      </c>
      <c r="G17" s="18">
        <f>'09'!G36</f>
        <v>63.550833333333337</v>
      </c>
      <c r="H17" s="18">
        <f>'09'!H36</f>
        <v>22.757499999999997</v>
      </c>
      <c r="I17" s="18">
        <f>'09'!I36</f>
        <v>6.9520833333333316</v>
      </c>
      <c r="J17" s="18">
        <f>'09'!J36</f>
        <v>0.32124999999999998</v>
      </c>
      <c r="K17" s="18">
        <f>'09'!K36</f>
        <v>207.21208333333334</v>
      </c>
      <c r="L17" s="18">
        <f>'09'!L36</f>
        <v>28.379166666666663</v>
      </c>
      <c r="M17" s="18">
        <f>'09'!M36</f>
        <v>85.152500000000003</v>
      </c>
      <c r="N17" s="18">
        <f>'09'!N36</f>
        <v>131.37083333333331</v>
      </c>
      <c r="O17" s="18">
        <f>'09'!O36</f>
        <v>0</v>
      </c>
      <c r="P17" s="18">
        <f>'09'!P36</f>
        <v>0.58875</v>
      </c>
      <c r="Q17" s="18">
        <f>'09'!Q36</f>
        <v>4.6616666666666671</v>
      </c>
      <c r="R17" s="36"/>
      <c r="S17" s="36"/>
      <c r="T17" s="36"/>
      <c r="U17" s="36"/>
      <c r="V17" s="37"/>
      <c r="W17" s="37"/>
      <c r="X17" s="37"/>
    </row>
    <row r="18" spans="1:24" s="2" customFormat="1">
      <c r="A18" s="16">
        <f>'10'!$B$2</f>
        <v>45575.041666666664</v>
      </c>
      <c r="B18" s="18">
        <f>'10'!B36</f>
        <v>9.3258333333333354</v>
      </c>
      <c r="C18" s="18">
        <f>'10'!C36</f>
        <v>4.1187499999999995</v>
      </c>
      <c r="D18" s="18">
        <f>'10'!D36</f>
        <v>14.069583333333336</v>
      </c>
      <c r="E18" s="18">
        <f>'10'!E36</f>
        <v>12.482500000000002</v>
      </c>
      <c r="F18" s="18">
        <f>'10'!F36</f>
        <v>5.8833333333333337</v>
      </c>
      <c r="G18" s="18">
        <f>'10'!G36</f>
        <v>69.668333333333322</v>
      </c>
      <c r="H18" s="18">
        <f>'10'!H36</f>
        <v>24.370833333333341</v>
      </c>
      <c r="I18" s="18">
        <f>'10'!I36</f>
        <v>6.7349999999999994</v>
      </c>
      <c r="J18" s="18">
        <f>'10'!J36</f>
        <v>0.27625000000000005</v>
      </c>
      <c r="K18" s="18">
        <f>'10'!K36</f>
        <v>207.30291666666665</v>
      </c>
      <c r="L18" s="18">
        <f>'10'!L36</f>
        <v>28.711250000000007</v>
      </c>
      <c r="M18" s="18">
        <f>'10'!M36</f>
        <v>84.757083333333313</v>
      </c>
      <c r="N18" s="18">
        <f>'10'!N36</f>
        <v>135.98333333333332</v>
      </c>
      <c r="O18" s="18">
        <f>'10'!O36</f>
        <v>0</v>
      </c>
      <c r="P18" s="18">
        <f>'10'!P36</f>
        <v>0.53583333333333327</v>
      </c>
      <c r="Q18" s="18">
        <f>'10'!Q36</f>
        <v>4.6670833333333341</v>
      </c>
      <c r="R18" s="36"/>
      <c r="S18" s="36"/>
      <c r="T18" s="36"/>
      <c r="U18" s="36"/>
    </row>
    <row r="19" spans="1:24" s="2" customFormat="1">
      <c r="A19" s="16">
        <f>'11'!$B$2</f>
        <v>45576.041666666664</v>
      </c>
      <c r="B19" s="18">
        <f>'11'!B36</f>
        <v>9.2895833333333329</v>
      </c>
      <c r="C19" s="18">
        <f>'11'!C36</f>
        <v>4.1191666666666675</v>
      </c>
      <c r="D19" s="18">
        <f>'11'!D36</f>
        <v>14.033749999999998</v>
      </c>
      <c r="E19" s="18">
        <f>'11'!E36</f>
        <v>11.937083333333334</v>
      </c>
      <c r="F19" s="18">
        <f>'11'!F36</f>
        <v>6.0795833333333347</v>
      </c>
      <c r="G19" s="18">
        <f>'11'!G36</f>
        <v>45.681666666666665</v>
      </c>
      <c r="H19" s="18">
        <f>'11'!H36</f>
        <v>12.930416666666666</v>
      </c>
      <c r="I19" s="18">
        <f>'11'!I36</f>
        <v>6.8416666666666677</v>
      </c>
      <c r="J19" s="18">
        <f>'11'!J36</f>
        <v>0.23500000000000001</v>
      </c>
      <c r="K19" s="18">
        <f>'11'!K36</f>
        <v>227.25291666666666</v>
      </c>
      <c r="L19" s="18">
        <f>'11'!L36</f>
        <v>29.232916666666668</v>
      </c>
      <c r="M19" s="18">
        <f>'11'!M36</f>
        <v>80.734166666666653</v>
      </c>
      <c r="N19" s="18">
        <f>'11'!N36</f>
        <v>157.54999999999995</v>
      </c>
      <c r="O19" s="18">
        <f>'11'!O36</f>
        <v>0</v>
      </c>
      <c r="P19" s="18">
        <f>'11'!P36</f>
        <v>0.49208333333333343</v>
      </c>
      <c r="Q19" s="18">
        <f>'11'!Q36</f>
        <v>4.6579166666666678</v>
      </c>
      <c r="R19" s="36"/>
      <c r="S19" s="36"/>
      <c r="T19" s="36"/>
      <c r="U19" s="36"/>
    </row>
    <row r="20" spans="1:24" s="2" customFormat="1">
      <c r="A20" s="16">
        <f>'12'!$B$2</f>
        <v>45577.041666666664</v>
      </c>
      <c r="B20" s="18">
        <f>'12'!B36</f>
        <v>9.1612500000000008</v>
      </c>
      <c r="C20" s="18">
        <f>'12'!C36</f>
        <v>4.2912500000000007</v>
      </c>
      <c r="D20" s="18">
        <f>'12'!D36</f>
        <v>14.004166666666665</v>
      </c>
      <c r="E20" s="18">
        <f>'12'!E36</f>
        <v>12.250000000000002</v>
      </c>
      <c r="F20" s="18">
        <f>'12'!F36</f>
        <v>5.5341666666666667</v>
      </c>
      <c r="G20" s="18">
        <f>'12'!G36</f>
        <v>36.753750000000004</v>
      </c>
      <c r="H20" s="18">
        <f>'12'!H36</f>
        <v>9.1795833333333317</v>
      </c>
      <c r="I20" s="18">
        <f>'12'!I36</f>
        <v>5.691250000000001</v>
      </c>
      <c r="J20" s="18">
        <f>'12'!J36</f>
        <v>0.30833333333333329</v>
      </c>
      <c r="K20" s="18">
        <f>'12'!K36</f>
        <v>178.86875000000001</v>
      </c>
      <c r="L20" s="18">
        <f>'12'!L36</f>
        <v>29.78916666666667</v>
      </c>
      <c r="M20" s="18">
        <f>'12'!M36</f>
        <v>76.289166666666659</v>
      </c>
      <c r="N20" s="18">
        <f>'12'!N36</f>
        <v>166.125</v>
      </c>
      <c r="O20" s="18">
        <f>'12'!O36</f>
        <v>0</v>
      </c>
      <c r="P20" s="18">
        <f>'12'!P36</f>
        <v>0.40583333333333332</v>
      </c>
      <c r="Q20" s="18">
        <f>'12'!Q36</f>
        <v>4.6620833333333325</v>
      </c>
      <c r="R20" s="36"/>
      <c r="S20" s="36"/>
      <c r="T20" s="36"/>
      <c r="U20" s="36"/>
    </row>
    <row r="21" spans="1:24" s="2" customFormat="1">
      <c r="A21" s="16">
        <f>'13'!$B$2</f>
        <v>45578.041666666664</v>
      </c>
      <c r="B21" s="18">
        <f>'13'!B36</f>
        <v>9.3395833333333336</v>
      </c>
      <c r="C21" s="18">
        <f>'13'!C36</f>
        <v>4.100833333333334</v>
      </c>
      <c r="D21" s="18">
        <f>'13'!D36</f>
        <v>14.067083333333334</v>
      </c>
      <c r="E21" s="18">
        <f>'13'!E36</f>
        <v>12.118749999999999</v>
      </c>
      <c r="F21" s="18">
        <f>'13'!F36</f>
        <v>5.8354166666666671</v>
      </c>
      <c r="G21" s="18">
        <f>'13'!G36</f>
        <v>36.503750000000004</v>
      </c>
      <c r="H21" s="18">
        <f>'13'!H36</f>
        <v>13.519999999999998</v>
      </c>
      <c r="I21" s="18">
        <f>'13'!I36</f>
        <v>5.3024999999999993</v>
      </c>
      <c r="J21" s="18">
        <f>'13'!J36</f>
        <v>0.37708333333333338</v>
      </c>
      <c r="K21" s="18">
        <f>'13'!K36</f>
        <v>144.29291666666668</v>
      </c>
      <c r="L21" s="18">
        <f>'13'!L36</f>
        <v>29.506666666666661</v>
      </c>
      <c r="M21" s="18">
        <f>'13'!M36</f>
        <v>79.69291666666669</v>
      </c>
      <c r="N21" s="18">
        <f>'13'!N36</f>
        <v>153.46666666666664</v>
      </c>
      <c r="O21" s="18">
        <f>'13'!O36</f>
        <v>0</v>
      </c>
      <c r="P21" s="18">
        <f>'13'!P36</f>
        <v>0.45750000000000002</v>
      </c>
      <c r="Q21" s="18">
        <f>'13'!Q36</f>
        <v>4.6566666666666672</v>
      </c>
      <c r="R21" s="36"/>
      <c r="S21" s="36"/>
      <c r="T21" s="36"/>
      <c r="U21" s="36"/>
    </row>
    <row r="22" spans="1:24" s="2" customFormat="1">
      <c r="A22" s="16">
        <f>'14'!$B$2</f>
        <v>45579.041666666664</v>
      </c>
      <c r="B22" s="18">
        <f>'14'!B36</f>
        <v>9.2520833333333332</v>
      </c>
      <c r="C22" s="18">
        <f>'14'!C36</f>
        <v>4.1508333333333338</v>
      </c>
      <c r="D22" s="18">
        <f>'14'!D36</f>
        <v>14.014166666666663</v>
      </c>
      <c r="E22" s="18">
        <f>'14'!E36</f>
        <v>11.171428571428573</v>
      </c>
      <c r="F22" s="18">
        <f>'14'!F36</f>
        <v>6.0350000000000001</v>
      </c>
      <c r="G22" s="18">
        <f>'14'!G36</f>
        <v>54.742499999999986</v>
      </c>
      <c r="H22" s="18">
        <f>'14'!H36</f>
        <v>21.7</v>
      </c>
      <c r="I22" s="18">
        <f>'14'!I36</f>
        <v>5.7270833333333337</v>
      </c>
      <c r="J22" s="18">
        <f>'14'!J36</f>
        <v>0.49041666666666667</v>
      </c>
      <c r="K22" s="18">
        <f>'14'!K36</f>
        <v>104.58958333333335</v>
      </c>
      <c r="L22" s="18">
        <f>'14'!L36</f>
        <v>29.271249999999998</v>
      </c>
      <c r="M22" s="18">
        <f>'14'!M36</f>
        <v>80.760000000000005</v>
      </c>
      <c r="N22" s="18">
        <f>'14'!N36</f>
        <v>143.32916666666665</v>
      </c>
      <c r="O22" s="18">
        <f>'14'!O36</f>
        <v>0</v>
      </c>
      <c r="P22" s="18">
        <f>'14'!P36</f>
        <v>0.46375000000000011</v>
      </c>
      <c r="Q22" s="18">
        <f>'14'!Q36</f>
        <v>4.665</v>
      </c>
      <c r="R22" s="38"/>
      <c r="S22" s="38"/>
      <c r="T22" s="38"/>
      <c r="U22" s="38"/>
    </row>
    <row r="23" spans="1:24" s="2" customFormat="1">
      <c r="A23" s="16">
        <f>'15'!$B$2</f>
        <v>45580.041666666664</v>
      </c>
      <c r="B23" s="19">
        <f>'15'!B36</f>
        <v>9.2341666666666651</v>
      </c>
      <c r="C23" s="19">
        <f>'15'!C36</f>
        <v>4.1954166666666675</v>
      </c>
      <c r="D23" s="19">
        <f>'15'!D36</f>
        <v>14.016249999999999</v>
      </c>
      <c r="E23" s="19">
        <f>'15'!E36</f>
        <v>9.34</v>
      </c>
      <c r="F23" s="19">
        <f>'15'!F36</f>
        <v>8.2500000000000018</v>
      </c>
      <c r="G23" s="19">
        <f>'15'!G36</f>
        <v>62.222499999999997</v>
      </c>
      <c r="H23" s="19">
        <f>'15'!H36</f>
        <v>25.74958333333333</v>
      </c>
      <c r="I23" s="19">
        <f>'15'!I36</f>
        <v>5.4499999999999993</v>
      </c>
      <c r="J23" s="19">
        <f>'15'!J36</f>
        <v>0.39208333333333328</v>
      </c>
      <c r="K23" s="19">
        <f>'15'!K36</f>
        <v>139.87916666666666</v>
      </c>
      <c r="L23" s="19">
        <f>'15'!L36</f>
        <v>29.045833333333334</v>
      </c>
      <c r="M23" s="19">
        <f>'15'!M36</f>
        <v>81.226666666666674</v>
      </c>
      <c r="N23" s="19">
        <f>'15'!N36</f>
        <v>128.34583333333327</v>
      </c>
      <c r="O23" s="19">
        <f>'15'!O36</f>
        <v>0</v>
      </c>
      <c r="P23" s="19">
        <f>'15'!P36</f>
        <v>0.52625</v>
      </c>
      <c r="Q23" s="19">
        <f>'15'!Q36</f>
        <v>4.6616666666666662</v>
      </c>
      <c r="R23" s="38"/>
      <c r="S23" s="38"/>
      <c r="T23" s="38"/>
      <c r="U23" s="36"/>
    </row>
    <row r="24" spans="1:24" s="2" customFormat="1">
      <c r="A24" s="16">
        <f>'16'!$B$2</f>
        <v>45581.041666666664</v>
      </c>
      <c r="B24" s="18">
        <f>'16'!B36</f>
        <v>9.3937500000000025</v>
      </c>
      <c r="C24" s="18">
        <f>'16'!C36</f>
        <v>4.089999999999999</v>
      </c>
      <c r="D24" s="18">
        <f>'16'!D36</f>
        <v>14.112916666666669</v>
      </c>
      <c r="E24" s="18">
        <f>'16'!E36</f>
        <v>11.807499999999997</v>
      </c>
      <c r="F24" s="18">
        <f>'16'!F36</f>
        <v>5.9475000000000007</v>
      </c>
      <c r="G24" s="18">
        <f>'16'!G36</f>
        <v>64.566666666666691</v>
      </c>
      <c r="H24" s="18">
        <f>'16'!H36</f>
        <v>23.984583333333333</v>
      </c>
      <c r="I24" s="18">
        <f>'16'!I36</f>
        <v>5.4862499999999992</v>
      </c>
      <c r="J24" s="18">
        <f>'16'!J36</f>
        <v>0.46625</v>
      </c>
      <c r="K24" s="18">
        <f>'16'!K36</f>
        <v>133.39333333333335</v>
      </c>
      <c r="L24" s="18">
        <f>'16'!L36</f>
        <v>29.180833333333339</v>
      </c>
      <c r="M24" s="18">
        <f>'16'!M36</f>
        <v>82.864999999999995</v>
      </c>
      <c r="N24" s="18">
        <f>'16'!N36</f>
        <v>117.25833333333331</v>
      </c>
      <c r="O24" s="18">
        <f>'16'!O36</f>
        <v>0</v>
      </c>
      <c r="P24" s="18">
        <f>'16'!P36</f>
        <v>0.53666666666666663</v>
      </c>
      <c r="Q24" s="18">
        <f>'16'!Q36</f>
        <v>4.6666666666666687</v>
      </c>
      <c r="R24" s="38"/>
      <c r="S24" s="38"/>
      <c r="T24" s="38"/>
      <c r="U24" s="36"/>
    </row>
    <row r="25" spans="1:24" s="2" customFormat="1">
      <c r="A25" s="16">
        <f>'17'!$B$2</f>
        <v>45582.041666666664</v>
      </c>
      <c r="B25" s="18">
        <f>'17'!B36</f>
        <v>9.2445833333333347</v>
      </c>
      <c r="C25" s="18">
        <f>'17'!C36</f>
        <v>4.1816666666666675</v>
      </c>
      <c r="D25" s="18">
        <f>'17'!D36</f>
        <v>14.022916666666669</v>
      </c>
      <c r="E25" s="18">
        <f>'17'!E36</f>
        <v>11.124166666666667</v>
      </c>
      <c r="F25" s="18">
        <f>'17'!F36</f>
        <v>5.5783333333333331</v>
      </c>
      <c r="G25" s="18">
        <f>'17'!G36</f>
        <v>54.235833333333325</v>
      </c>
      <c r="H25" s="18">
        <f>'17'!H36</f>
        <v>17.437916666666666</v>
      </c>
      <c r="I25" s="18">
        <f>'17'!I36</f>
        <v>5.2641666666666662</v>
      </c>
      <c r="J25" s="18">
        <f>'17'!J36</f>
        <v>0.38416666666666671</v>
      </c>
      <c r="K25" s="18">
        <f>'17'!K36</f>
        <v>153.07333333333332</v>
      </c>
      <c r="L25" s="18">
        <f>'17'!L36</f>
        <v>29.576249999999991</v>
      </c>
      <c r="M25" s="18">
        <f>'17'!M36</f>
        <v>80.027083333333337</v>
      </c>
      <c r="N25" s="18">
        <f>'17'!N36</f>
        <v>138.46250000000001</v>
      </c>
      <c r="O25" s="18">
        <f>'17'!O36</f>
        <v>0</v>
      </c>
      <c r="P25" s="18">
        <f>'17'!P36</f>
        <v>0.45750000000000002</v>
      </c>
      <c r="Q25" s="18">
        <f>'17'!Q36</f>
        <v>4.6645833333333346</v>
      </c>
      <c r="R25" s="38"/>
      <c r="S25" s="38"/>
      <c r="T25" s="38"/>
      <c r="U25" s="36"/>
    </row>
    <row r="26" spans="1:24" s="2" customFormat="1">
      <c r="A26" s="16">
        <f>'18'!$B$2</f>
        <v>45583.041666666664</v>
      </c>
      <c r="B26" s="18">
        <f>'18'!B36</f>
        <v>9.3104166666666668</v>
      </c>
      <c r="C26" s="18">
        <f>'18'!C36</f>
        <v>4.0987499999999999</v>
      </c>
      <c r="D26" s="18">
        <f>'18'!D36</f>
        <v>14.047083333333335</v>
      </c>
      <c r="E26" s="18">
        <f>'18'!E36</f>
        <v>11.490000000000002</v>
      </c>
      <c r="F26" s="18">
        <f>'18'!F36</f>
        <v>5.6445833333333333</v>
      </c>
      <c r="G26" s="18">
        <f>'18'!G36</f>
        <v>48.03875</v>
      </c>
      <c r="H26" s="18">
        <f>'18'!H36</f>
        <v>9.7687500000000007</v>
      </c>
      <c r="I26" s="18">
        <f>'18'!I36</f>
        <v>5.1037500000000007</v>
      </c>
      <c r="J26" s="18">
        <f>'18'!J36</f>
        <v>0.33624999999999994</v>
      </c>
      <c r="K26" s="18">
        <f>'18'!K36</f>
        <v>175.05791666666664</v>
      </c>
      <c r="L26" s="18">
        <f>'18'!L36</f>
        <v>29.751666666666665</v>
      </c>
      <c r="M26" s="18">
        <f>'18'!M36</f>
        <v>80.608750000000001</v>
      </c>
      <c r="N26" s="18">
        <f>'18'!N36</f>
        <v>142.15416666666667</v>
      </c>
      <c r="O26" s="18">
        <f>'18'!O36</f>
        <v>0</v>
      </c>
      <c r="P26" s="18">
        <f>'18'!P36</f>
        <v>0.49</v>
      </c>
      <c r="Q26" s="18">
        <f>'18'!Q36</f>
        <v>4.666666666666667</v>
      </c>
      <c r="R26" s="38"/>
      <c r="S26" s="38"/>
      <c r="T26" s="38"/>
      <c r="U26" s="36"/>
    </row>
    <row r="27" spans="1:24" s="2" customFormat="1">
      <c r="A27" s="16">
        <f>'19'!$B$2</f>
        <v>45584.041666666664</v>
      </c>
      <c r="B27" s="18">
        <f>'19'!B36</f>
        <v>9.2750000000000004</v>
      </c>
      <c r="C27" s="18">
        <f>'19'!C36</f>
        <v>4.1175000000000006</v>
      </c>
      <c r="D27" s="18">
        <f>'19'!D36</f>
        <v>14.022916666666667</v>
      </c>
      <c r="E27" s="18">
        <f>'19'!E36</f>
        <v>15.319999999999999</v>
      </c>
      <c r="F27" s="18">
        <f>'19'!F36</f>
        <v>8.4312500000000004</v>
      </c>
      <c r="G27" s="18">
        <f>'19'!G36</f>
        <v>116.77041666666669</v>
      </c>
      <c r="H27" s="18">
        <f>'19'!H36</f>
        <v>43.58458333333332</v>
      </c>
      <c r="I27" s="18">
        <f>'19'!I36</f>
        <v>7.5900000000000007</v>
      </c>
      <c r="J27" s="18">
        <f>'19'!J36</f>
        <v>0.55833333333333324</v>
      </c>
      <c r="K27" s="18">
        <f>'19'!K36</f>
        <v>108.58875</v>
      </c>
      <c r="L27" s="18">
        <f>'19'!L36</f>
        <v>28.950833333333332</v>
      </c>
      <c r="M27" s="18">
        <f>'19'!M36</f>
        <v>81.85833333333332</v>
      </c>
      <c r="N27" s="18">
        <f>'19'!N36</f>
        <v>98.229166666666643</v>
      </c>
      <c r="O27" s="18">
        <f>'19'!O36</f>
        <v>0</v>
      </c>
      <c r="P27" s="18">
        <f>'19'!P36</f>
        <v>0.67458333333333342</v>
      </c>
      <c r="Q27" s="18">
        <f>'19'!Q36</f>
        <v>4.6679166666666676</v>
      </c>
      <c r="R27" s="38"/>
      <c r="S27" s="38"/>
      <c r="T27" s="38"/>
      <c r="U27" s="36"/>
    </row>
    <row r="28" spans="1:24" s="2" customFormat="1">
      <c r="A28" s="16">
        <f>'20'!$B$2</f>
        <v>45585.041666666664</v>
      </c>
      <c r="B28" s="18">
        <f>'20'!B36</f>
        <v>9.2008333333333301</v>
      </c>
      <c r="C28" s="18">
        <f>'20'!C36</f>
        <v>4.2025000000000006</v>
      </c>
      <c r="D28" s="18">
        <f>'20'!D36</f>
        <v>14.001249999999999</v>
      </c>
      <c r="E28" s="18">
        <f>'20'!E36</f>
        <v>12.347083333333332</v>
      </c>
      <c r="F28" s="18">
        <f>'20'!F36</f>
        <v>4.8633333333333333</v>
      </c>
      <c r="G28" s="18">
        <f>'20'!G36</f>
        <v>71.612916666666678</v>
      </c>
      <c r="H28" s="18">
        <f>'20'!H36</f>
        <v>27.707500000000007</v>
      </c>
      <c r="I28" s="18">
        <f>'20'!I36</f>
        <v>6.0908333333333333</v>
      </c>
      <c r="J28" s="18">
        <f>'20'!J36</f>
        <v>0.29666666666666669</v>
      </c>
      <c r="K28" s="18">
        <f>'20'!K36</f>
        <v>178.68916666666667</v>
      </c>
      <c r="L28" s="18">
        <f>'20'!L36</f>
        <v>27.24</v>
      </c>
      <c r="M28" s="18">
        <f>'20'!M36</f>
        <v>81.309583333333322</v>
      </c>
      <c r="N28" s="18">
        <f>'20'!N36</f>
        <v>90.549999999999969</v>
      </c>
      <c r="O28" s="18">
        <f>'20'!O36</f>
        <v>0</v>
      </c>
      <c r="P28" s="18">
        <f>'20'!P36</f>
        <v>0.53916666666666668</v>
      </c>
      <c r="Q28" s="18">
        <f>'20'!Q36</f>
        <v>4.6612499999999999</v>
      </c>
      <c r="R28" s="38"/>
      <c r="S28" s="38"/>
      <c r="T28" s="38"/>
      <c r="U28" s="36"/>
    </row>
    <row r="29" spans="1:24" s="2" customFormat="1">
      <c r="A29" s="16">
        <f>'21'!$B$2</f>
        <v>45586.041666666664</v>
      </c>
      <c r="B29" s="18">
        <f>'21'!B36</f>
        <v>9.4762499999999985</v>
      </c>
      <c r="C29" s="18">
        <f>'21'!C36</f>
        <v>4.0954166666666669</v>
      </c>
      <c r="D29" s="18">
        <f>'21'!D36</f>
        <v>14.177083333333334</v>
      </c>
      <c r="E29" s="18">
        <f>'21'!E36</f>
        <v>10.859166666666669</v>
      </c>
      <c r="F29" s="18">
        <f>'21'!F36</f>
        <v>6.3020833333333348</v>
      </c>
      <c r="G29" s="18">
        <f>'21'!G36</f>
        <v>100.80125</v>
      </c>
      <c r="H29" s="18">
        <f>'21'!H36</f>
        <v>43.774166666666673</v>
      </c>
      <c r="I29" s="18">
        <f>'21'!I36</f>
        <v>7.831666666666667</v>
      </c>
      <c r="J29" s="18">
        <f>'21'!J36</f>
        <v>0.34708333333333341</v>
      </c>
      <c r="K29" s="18">
        <f>'21'!K36</f>
        <v>165.71458333333331</v>
      </c>
      <c r="L29" s="18">
        <f>'21'!L36</f>
        <v>27.891666666666666</v>
      </c>
      <c r="M29" s="18">
        <f>'21'!M36</f>
        <v>76.986250000000027</v>
      </c>
      <c r="N29" s="18">
        <f>'21'!N36</f>
        <v>76.637499999999989</v>
      </c>
      <c r="O29" s="18">
        <f>'21'!O36</f>
        <v>0</v>
      </c>
      <c r="P29" s="18">
        <f>'21'!P36</f>
        <v>0.73749999999999993</v>
      </c>
      <c r="Q29" s="18">
        <f>'21'!Q36</f>
        <v>4.663333333333334</v>
      </c>
      <c r="R29" s="38"/>
      <c r="S29" s="38"/>
      <c r="T29" s="38"/>
      <c r="U29" s="36"/>
    </row>
    <row r="30" spans="1:24" s="2" customFormat="1">
      <c r="A30" s="16">
        <f>'22'!$B$2</f>
        <v>45587.041666666664</v>
      </c>
      <c r="B30" s="18">
        <f>'22'!B36</f>
        <v>9.2779166666666644</v>
      </c>
      <c r="C30" s="18">
        <f>'22'!C36</f>
        <v>4.1241666666666674</v>
      </c>
      <c r="D30" s="18">
        <f>'22'!D36</f>
        <v>14.02125</v>
      </c>
      <c r="E30" s="18">
        <f>'22'!E36</f>
        <v>13.372500000000002</v>
      </c>
      <c r="F30" s="18">
        <f>'22'!F36</f>
        <v>6.5087499999999965</v>
      </c>
      <c r="G30" s="18">
        <f>'22'!G36</f>
        <v>118.50916666666664</v>
      </c>
      <c r="H30" s="18">
        <f>'22'!H36</f>
        <v>39.752499999999998</v>
      </c>
      <c r="I30" s="18">
        <f>'22'!I36</f>
        <v>7.7924999999999995</v>
      </c>
      <c r="J30" s="18">
        <f>'22'!J36</f>
        <v>0.41416666666666657</v>
      </c>
      <c r="K30" s="18">
        <f>'22'!K36</f>
        <v>138.88833333333332</v>
      </c>
      <c r="L30" s="18">
        <f>'22'!L36</f>
        <v>27.22333333333334</v>
      </c>
      <c r="M30" s="18">
        <f>'22'!M36</f>
        <v>73.207916666666662</v>
      </c>
      <c r="N30" s="18">
        <f>'22'!N36</f>
        <v>131.25416666666666</v>
      </c>
      <c r="O30" s="18">
        <f>'22'!O36</f>
        <v>0</v>
      </c>
      <c r="P30" s="18">
        <f>'22'!P36</f>
        <v>0.65374999999999983</v>
      </c>
      <c r="Q30" s="18">
        <f>'22'!Q36</f>
        <v>4.6633333333333331</v>
      </c>
      <c r="R30" s="38"/>
      <c r="S30" s="36"/>
      <c r="T30" s="36"/>
      <c r="U30" s="36"/>
    </row>
    <row r="31" spans="1:24" s="2" customFormat="1">
      <c r="A31" s="16">
        <f>'23'!$B$2</f>
        <v>45588.041666666664</v>
      </c>
      <c r="B31" s="18">
        <f>'23'!B36</f>
        <v>9.2912500000000033</v>
      </c>
      <c r="C31" s="18">
        <f>'23'!C36</f>
        <v>4.1129166666666661</v>
      </c>
      <c r="D31" s="18">
        <f>'23'!D36</f>
        <v>14.035833333333336</v>
      </c>
      <c r="E31" s="18">
        <f>'23'!E36</f>
        <v>12.477916666666665</v>
      </c>
      <c r="F31" s="18">
        <f>'23'!F36</f>
        <v>6.4654166666666653</v>
      </c>
      <c r="G31" s="18">
        <f>'23'!G36</f>
        <v>134.75500000000002</v>
      </c>
      <c r="H31" s="18">
        <f>'23'!H36</f>
        <v>46.423749999999991</v>
      </c>
      <c r="I31" s="18">
        <f>'23'!I36</f>
        <v>10.447916666666666</v>
      </c>
      <c r="J31" s="18">
        <f>'23'!J36</f>
        <v>0.49416666666666664</v>
      </c>
      <c r="K31" s="18">
        <f>'23'!K36</f>
        <v>119.36624999999999</v>
      </c>
      <c r="L31" s="18">
        <f>'23'!L36</f>
        <v>26.900000000000002</v>
      </c>
      <c r="M31" s="18">
        <f>'23'!M36</f>
        <v>68.828333333333333</v>
      </c>
      <c r="N31" s="18">
        <f>'23'!N36</f>
        <v>129.27916666666667</v>
      </c>
      <c r="O31" s="18">
        <f>'23'!O36</f>
        <v>0</v>
      </c>
      <c r="P31" s="18">
        <f>'23'!P36</f>
        <v>0.78958333333333341</v>
      </c>
      <c r="Q31" s="18">
        <f>'23'!Q36</f>
        <v>4.6637500000000003</v>
      </c>
      <c r="R31" s="36"/>
      <c r="S31" s="36"/>
      <c r="T31" s="36"/>
      <c r="U31" s="36"/>
    </row>
    <row r="32" spans="1:24" s="2" customFormat="1">
      <c r="A32" s="16">
        <f>'24'!$B$2</f>
        <v>45589.041666666664</v>
      </c>
      <c r="B32" s="18">
        <f>'24'!B36</f>
        <v>9.370000000000001</v>
      </c>
      <c r="C32" s="18">
        <f>'24'!C36</f>
        <v>4.0993333333333331</v>
      </c>
      <c r="D32" s="18">
        <f>'24'!D36</f>
        <v>14.095999999999998</v>
      </c>
      <c r="E32" s="18">
        <f>'24'!E36</f>
        <v>16.672916666666666</v>
      </c>
      <c r="F32" s="18">
        <f>'24'!F36</f>
        <v>5.5116666666666658</v>
      </c>
      <c r="G32" s="18">
        <f>'24'!G36</f>
        <v>120.58333333333331</v>
      </c>
      <c r="H32" s="18">
        <f>'24'!H36</f>
        <v>37.355833333333329</v>
      </c>
      <c r="I32" s="18">
        <f>'24'!I36</f>
        <v>5.4916666666666671</v>
      </c>
      <c r="J32" s="18">
        <f>'24'!J36</f>
        <v>0.53458333333333341</v>
      </c>
      <c r="K32" s="18">
        <f>'24'!K36</f>
        <v>82.889999999999972</v>
      </c>
      <c r="L32" s="18">
        <f>'24'!L36</f>
        <v>26.832083333333333</v>
      </c>
      <c r="M32" s="18">
        <f>'24'!M36</f>
        <v>70.642499999999998</v>
      </c>
      <c r="N32" s="18">
        <f>'24'!N36</f>
        <v>123.56666666666666</v>
      </c>
      <c r="O32" s="18">
        <f>'24'!O36</f>
        <v>0</v>
      </c>
      <c r="P32" s="18">
        <f>'24'!P36</f>
        <v>0.84749999999999981</v>
      </c>
      <c r="Q32" s="18">
        <f>'24'!Q36</f>
        <v>4.6586666666666661</v>
      </c>
      <c r="R32" s="36"/>
      <c r="S32" s="36"/>
      <c r="T32" s="36"/>
      <c r="U32" s="36"/>
    </row>
    <row r="33" spans="1:21" s="2" customFormat="1">
      <c r="A33" s="16">
        <f>'25'!$B$2</f>
        <v>45590.041666666664</v>
      </c>
      <c r="B33" s="18">
        <f>'25'!B36</f>
        <v>5.470714285714287</v>
      </c>
      <c r="C33" s="18">
        <f>'25'!C36</f>
        <v>7.9664285714285716</v>
      </c>
      <c r="D33" s="18">
        <f>'25'!D36</f>
        <v>14.051428571428572</v>
      </c>
      <c r="E33" s="18">
        <f>'25'!E36</f>
        <v>10.468749999999998</v>
      </c>
      <c r="F33" s="18">
        <f>'25'!F36</f>
        <v>5.9704166666666678</v>
      </c>
      <c r="G33" s="18">
        <f>'25'!G36</f>
        <v>67.846249999999984</v>
      </c>
      <c r="H33" s="18">
        <f>'25'!H36</f>
        <v>18.7575</v>
      </c>
      <c r="I33" s="18">
        <f>'25'!I36</f>
        <v>7.0284615384615376</v>
      </c>
      <c r="J33" s="18">
        <f>'25'!J36</f>
        <v>0.79291666666666671</v>
      </c>
      <c r="K33" s="18">
        <f>'25'!K36</f>
        <v>64.557916666666657</v>
      </c>
      <c r="L33" s="18">
        <f>'25'!L36</f>
        <v>26.959166666666672</v>
      </c>
      <c r="M33" s="18">
        <f>'25'!M36</f>
        <v>75.512083333333337</v>
      </c>
      <c r="N33" s="18">
        <f>'25'!N36</f>
        <v>102.07083333333331</v>
      </c>
      <c r="O33" s="18">
        <f>'25'!O36</f>
        <v>0</v>
      </c>
      <c r="P33" s="18">
        <f>'25'!P36</f>
        <v>0.6150000000000001</v>
      </c>
      <c r="Q33" s="18">
        <f>'25'!Q36</f>
        <v>4.2776923076923072</v>
      </c>
      <c r="R33" s="36"/>
      <c r="S33" s="36"/>
      <c r="T33" s="36"/>
      <c r="U33" s="36"/>
    </row>
    <row r="34" spans="1:21" s="2" customFormat="1">
      <c r="A34" s="16">
        <f>'26'!$B$2</f>
        <v>45591.041666666664</v>
      </c>
      <c r="B34" s="18">
        <f>'26'!B36</f>
        <v>5.1562499999999991</v>
      </c>
      <c r="C34" s="18">
        <f>'26'!C36</f>
        <v>8.0883333333333329</v>
      </c>
      <c r="D34" s="18">
        <f>'26'!D36</f>
        <v>13.919583333333335</v>
      </c>
      <c r="E34" s="18">
        <f>'26'!E36</f>
        <v>11.740833333333333</v>
      </c>
      <c r="F34" s="18">
        <f>'26'!F36</f>
        <v>9.4350000000000005</v>
      </c>
      <c r="G34" s="18">
        <f>'26'!G36</f>
        <v>52.107500000000009</v>
      </c>
      <c r="H34" s="18">
        <f>'26'!H36</f>
        <v>14.787083333333333</v>
      </c>
      <c r="I34" s="18">
        <f>'26'!I36</f>
        <v>6.2120833333333332</v>
      </c>
      <c r="J34" s="18">
        <f>'26'!J36</f>
        <v>0.72166666666666668</v>
      </c>
      <c r="K34" s="18">
        <f>'26'!K36</f>
        <v>54.361250000000005</v>
      </c>
      <c r="L34" s="18">
        <f>'26'!L36</f>
        <v>26.49</v>
      </c>
      <c r="M34" s="18">
        <f>'26'!M36</f>
        <v>75.470416666666679</v>
      </c>
      <c r="N34" s="18">
        <f>'26'!N36</f>
        <v>142.58333333333331</v>
      </c>
      <c r="O34" s="18">
        <f>'26'!O36</f>
        <v>0</v>
      </c>
      <c r="P34" s="18">
        <f>'26'!P36</f>
        <v>0.57333333333333336</v>
      </c>
      <c r="Q34" s="18">
        <f>'26'!Q36</f>
        <v>4.2575000000000003</v>
      </c>
      <c r="R34" s="36"/>
      <c r="S34" s="36"/>
      <c r="T34" s="36"/>
      <c r="U34" s="36"/>
    </row>
    <row r="35" spans="1:21" s="2" customFormat="1">
      <c r="A35" s="16">
        <f>'27'!$B$2</f>
        <v>45592.041666666664</v>
      </c>
      <c r="B35" s="18">
        <f>'27'!B36</f>
        <v>5.251666666666666</v>
      </c>
      <c r="C35" s="18">
        <f>'27'!C36</f>
        <v>8.0879166666666666</v>
      </c>
      <c r="D35" s="18">
        <f>'27'!D36</f>
        <v>13.995416666666671</v>
      </c>
      <c r="E35" s="18">
        <f>'27'!E36</f>
        <v>11.880833333333335</v>
      </c>
      <c r="F35" s="18">
        <f>'27'!F36</f>
        <v>7.28125</v>
      </c>
      <c r="G35" s="18">
        <f>'27'!G36</f>
        <v>61.595000000000006</v>
      </c>
      <c r="H35" s="18">
        <f>'27'!H36</f>
        <v>18.055416666666666</v>
      </c>
      <c r="I35" s="18">
        <f>'27'!I36</f>
        <v>7.0995833333333342</v>
      </c>
      <c r="J35" s="18">
        <f>'27'!J36</f>
        <v>0.45500000000000007</v>
      </c>
      <c r="K35" s="18">
        <f>'27'!K36</f>
        <v>150.26708333333335</v>
      </c>
      <c r="L35" s="18">
        <f>'27'!L36</f>
        <v>26.298333333333336</v>
      </c>
      <c r="M35" s="18">
        <f>'27'!M36</f>
        <v>85.31291666666668</v>
      </c>
      <c r="N35" s="18">
        <f>'27'!N36</f>
        <v>80.620833333333323</v>
      </c>
      <c r="O35" s="18">
        <f>'27'!O36</f>
        <v>6.6666666666666666E-2</v>
      </c>
      <c r="P35" s="18">
        <f>'27'!P36</f>
        <v>0.67333333333333345</v>
      </c>
      <c r="Q35" s="18">
        <f>'27'!Q36</f>
        <v>4.2708333333333313</v>
      </c>
      <c r="R35" s="36"/>
      <c r="S35" s="36"/>
      <c r="T35" s="36"/>
      <c r="U35" s="36"/>
    </row>
    <row r="36" spans="1:21" s="2" customFormat="1">
      <c r="A36" s="16">
        <f>'28'!$B$2</f>
        <v>45593.041666666664</v>
      </c>
      <c r="B36" s="18">
        <f>'28'!B36</f>
        <v>5.3304166666666655</v>
      </c>
      <c r="C36" s="18">
        <f>'28'!C36</f>
        <v>8.0949999999999989</v>
      </c>
      <c r="D36" s="18">
        <f>'28'!D36</f>
        <v>14.062916666666666</v>
      </c>
      <c r="E36" s="18">
        <f>'28'!E36</f>
        <v>10.886666666666668</v>
      </c>
      <c r="F36" s="18">
        <f>'28'!F36</f>
        <v>9.0124999999999993</v>
      </c>
      <c r="G36" s="18">
        <f>'28'!G36</f>
        <v>40.389583333333327</v>
      </c>
      <c r="H36" s="18">
        <f>'28'!H36</f>
        <v>12.38875</v>
      </c>
      <c r="I36" s="18">
        <f>'28'!I36</f>
        <v>6.6216666666666661</v>
      </c>
      <c r="J36" s="18">
        <f>'28'!J36</f>
        <v>0.35666666666666663</v>
      </c>
      <c r="K36" s="18">
        <f>'28'!K36</f>
        <v>146.3795833333333</v>
      </c>
      <c r="L36" s="18">
        <f>'28'!L36</f>
        <v>27.347083333333341</v>
      </c>
      <c r="M36" s="18">
        <f>'28'!M36</f>
        <v>84.213333333333324</v>
      </c>
      <c r="N36" s="18">
        <f>'28'!N36</f>
        <v>100.50000000000001</v>
      </c>
      <c r="O36" s="18">
        <f>'28'!O36</f>
        <v>8.3333333333333332E-3</v>
      </c>
      <c r="P36" s="18">
        <f>'28'!P36</f>
        <v>0.58583333333333354</v>
      </c>
      <c r="Q36" s="18">
        <f>'28'!Q36</f>
        <v>4.2679166666666664</v>
      </c>
      <c r="R36" s="36"/>
      <c r="S36" s="36"/>
      <c r="T36" s="36"/>
      <c r="U36" s="36"/>
    </row>
    <row r="37" spans="1:21" s="2" customFormat="1">
      <c r="A37" s="16">
        <f>'29'!$B$2</f>
        <v>45594.041666666664</v>
      </c>
      <c r="B37" s="18">
        <f>'29'!B36</f>
        <v>5.3783333333333339</v>
      </c>
      <c r="C37" s="18">
        <f>'29'!C36</f>
        <v>8.0924999999999994</v>
      </c>
      <c r="D37" s="18">
        <f>'29'!D36</f>
        <v>14.098749999999997</v>
      </c>
      <c r="E37" s="18">
        <f>'29'!E36</f>
        <v>10.988333333333332</v>
      </c>
      <c r="F37" s="18">
        <f>'29'!F36</f>
        <v>13.04791666666666</v>
      </c>
      <c r="G37" s="18">
        <f>'29'!G36</f>
        <v>46.814782608695651</v>
      </c>
      <c r="H37" s="18">
        <f>'29'!H36</f>
        <v>14.162608695652175</v>
      </c>
      <c r="I37" s="18">
        <f>'29'!I36</f>
        <v>7.4574999999999987</v>
      </c>
      <c r="J37" s="18">
        <f>'29'!J36</f>
        <v>0.38291666666666674</v>
      </c>
      <c r="K37" s="18">
        <f>'29'!K36</f>
        <v>152.18</v>
      </c>
      <c r="L37" s="18">
        <f>'29'!L36</f>
        <v>28.119166666666672</v>
      </c>
      <c r="M37" s="18">
        <f>'29'!M36</f>
        <v>83.969583333333318</v>
      </c>
      <c r="N37" s="18">
        <f>'29'!N36</f>
        <v>116.51249999999997</v>
      </c>
      <c r="O37" s="18">
        <f>'29'!O36</f>
        <v>0</v>
      </c>
      <c r="P37" s="18">
        <f>'29'!P36</f>
        <v>0.61916666666666664</v>
      </c>
      <c r="Q37" s="18">
        <f>'29'!Q36</f>
        <v>4.2775000000000007</v>
      </c>
      <c r="R37" s="36"/>
      <c r="S37" s="36"/>
      <c r="T37" s="36"/>
      <c r="U37" s="36"/>
    </row>
    <row r="38" spans="1:21" s="2" customFormat="1">
      <c r="A38" s="16">
        <f>'30'!$B$2</f>
        <v>45595.041666666664</v>
      </c>
      <c r="B38" s="18">
        <f>'30'!B36</f>
        <v>5.3008333333333333</v>
      </c>
      <c r="C38" s="18">
        <f>'30'!C36</f>
        <v>8.0920833333333348</v>
      </c>
      <c r="D38" s="18">
        <f>'30'!D36</f>
        <v>14.036666666666667</v>
      </c>
      <c r="E38" s="18">
        <f>'30'!E36</f>
        <v>13.252916666666669</v>
      </c>
      <c r="F38" s="18">
        <f>'30'!F36</f>
        <v>14.214999999999998</v>
      </c>
      <c r="G38" s="18">
        <f>'30'!G36</f>
        <v>54.931666666666672</v>
      </c>
      <c r="H38" s="18">
        <f>'30'!H36</f>
        <v>22.217083333333331</v>
      </c>
      <c r="I38" s="18">
        <f>'30'!I36</f>
        <v>7.8466666666666676</v>
      </c>
      <c r="J38" s="18">
        <f>'30'!J36</f>
        <v>0.33125000000000004</v>
      </c>
      <c r="K38" s="18">
        <f>'30'!K36</f>
        <v>148.25333333333333</v>
      </c>
      <c r="L38" s="18">
        <f>'30'!L36</f>
        <v>28.529583333333335</v>
      </c>
      <c r="M38" s="18">
        <f>'30'!M36</f>
        <v>81.210416666666674</v>
      </c>
      <c r="N38" s="18">
        <f>'30'!N36</f>
        <v>123.18749999999999</v>
      </c>
      <c r="O38" s="18">
        <f>'30'!O36</f>
        <v>0</v>
      </c>
      <c r="P38" s="18">
        <f>'30'!P36</f>
        <v>0.60458333333333325</v>
      </c>
      <c r="Q38" s="18">
        <f>'30'!Q36</f>
        <v>4.2825000000000015</v>
      </c>
      <c r="R38" s="36"/>
      <c r="S38" s="36"/>
      <c r="T38" s="36"/>
      <c r="U38" s="36"/>
    </row>
    <row r="39" spans="1:21">
      <c r="A39" s="16">
        <f>'31'!$B$2</f>
        <v>45596.041666666664</v>
      </c>
      <c r="B39" s="18">
        <f>'31'!B36</f>
        <v>5.3224999999999998</v>
      </c>
      <c r="C39" s="18">
        <f>'31'!C36</f>
        <v>8.0908333333333324</v>
      </c>
      <c r="D39" s="18">
        <f>'31'!D36</f>
        <v>14.054166666666662</v>
      </c>
      <c r="E39" s="18">
        <f>'31'!E36</f>
        <v>13.806666666666665</v>
      </c>
      <c r="F39" s="18">
        <f>'31'!F36</f>
        <v>15.103333333333333</v>
      </c>
      <c r="G39" s="18">
        <f>'31'!G36</f>
        <v>79.525833333333338</v>
      </c>
      <c r="H39" s="18">
        <f>'31'!H36</f>
        <v>35.516250000000007</v>
      </c>
      <c r="I39" s="18">
        <f>'31'!I36</f>
        <v>8.9470833333333335</v>
      </c>
      <c r="J39" s="18">
        <f>'31'!J36</f>
        <v>0.39999999999999997</v>
      </c>
      <c r="K39" s="18">
        <f>'31'!K36</f>
        <v>133.66333333333338</v>
      </c>
      <c r="L39" s="18">
        <f>'31'!L36</f>
        <v>28.093749999999996</v>
      </c>
      <c r="M39" s="18">
        <f>'31'!M36</f>
        <v>81.136250000000004</v>
      </c>
      <c r="N39" s="18">
        <f>'31'!N36</f>
        <v>111.95416666666667</v>
      </c>
      <c r="O39" s="18">
        <f>'31'!O36</f>
        <v>0</v>
      </c>
      <c r="P39" s="18">
        <f>'31'!P36</f>
        <v>0.7316666666666668</v>
      </c>
      <c r="Q39" s="18">
        <f>'31'!Q36</f>
        <v>4.2841666666666667</v>
      </c>
      <c r="R39" s="39"/>
      <c r="S39" s="39"/>
      <c r="T39" s="39"/>
      <c r="U39" s="40"/>
    </row>
    <row r="40" spans="1:21" s="1" customFormat="1">
      <c r="A40"/>
      <c r="R40" s="41"/>
      <c r="S40" s="41"/>
      <c r="T40" s="41"/>
      <c r="U40" s="41"/>
    </row>
    <row r="41" spans="1:21" s="1" customFormat="1">
      <c r="A41" s="3" t="s">
        <v>48</v>
      </c>
      <c r="B41" s="20">
        <f t="shared" ref="B41:Q41" si="0">MIN(B9:B38)</f>
        <v>5.1562499999999991</v>
      </c>
      <c r="C41" s="20">
        <f t="shared" si="0"/>
        <v>4.089999999999999</v>
      </c>
      <c r="D41" s="20">
        <f t="shared" si="0"/>
        <v>13.919583333333335</v>
      </c>
      <c r="E41" s="20">
        <f t="shared" si="0"/>
        <v>9.34</v>
      </c>
      <c r="F41" s="20">
        <f t="shared" si="0"/>
        <v>4.8633333333333333</v>
      </c>
      <c r="G41" s="20">
        <f t="shared" si="0"/>
        <v>36.503750000000004</v>
      </c>
      <c r="H41" s="20">
        <f t="shared" si="0"/>
        <v>9.1795833333333317</v>
      </c>
      <c r="I41" s="20">
        <f t="shared" si="0"/>
        <v>5.1037500000000007</v>
      </c>
      <c r="J41" s="20">
        <f t="shared" si="0"/>
        <v>0.23500000000000001</v>
      </c>
      <c r="K41" s="20">
        <f t="shared" si="0"/>
        <v>54.361250000000005</v>
      </c>
      <c r="L41" s="20">
        <f t="shared" si="0"/>
        <v>26.298333333333336</v>
      </c>
      <c r="M41" s="20">
        <f t="shared" si="0"/>
        <v>68.828333333333333</v>
      </c>
      <c r="N41" s="20">
        <f t="shared" si="0"/>
        <v>76.637499999999989</v>
      </c>
      <c r="O41" s="20">
        <f t="shared" si="0"/>
        <v>0</v>
      </c>
      <c r="P41" s="20">
        <f t="shared" si="0"/>
        <v>0.40583333333333332</v>
      </c>
      <c r="Q41" s="20">
        <f t="shared" si="0"/>
        <v>4.2575000000000003</v>
      </c>
      <c r="R41" s="41"/>
      <c r="S41" s="41"/>
      <c r="T41" s="41"/>
      <c r="U41" s="41"/>
    </row>
    <row r="42" spans="1:21" s="1" customFormat="1">
      <c r="A42" s="3" t="s">
        <v>49</v>
      </c>
      <c r="B42" s="20">
        <f t="shared" ref="B42:Q42" si="1">MAX(B9:B38)</f>
        <v>9.4762499999999985</v>
      </c>
      <c r="C42" s="20">
        <f t="shared" si="1"/>
        <v>8.0949999999999989</v>
      </c>
      <c r="D42" s="20">
        <f t="shared" si="1"/>
        <v>14.177083333333334</v>
      </c>
      <c r="E42" s="20">
        <f t="shared" si="1"/>
        <v>16.672916666666666</v>
      </c>
      <c r="F42" s="20">
        <f t="shared" si="1"/>
        <v>14.214999999999998</v>
      </c>
      <c r="G42" s="20">
        <f t="shared" si="1"/>
        <v>134.75500000000002</v>
      </c>
      <c r="H42" s="20">
        <f t="shared" si="1"/>
        <v>46.423749999999991</v>
      </c>
      <c r="I42" s="20">
        <f t="shared" si="1"/>
        <v>10.447916666666666</v>
      </c>
      <c r="J42" s="20">
        <f t="shared" si="1"/>
        <v>0.79291666666666671</v>
      </c>
      <c r="K42" s="20">
        <f t="shared" si="1"/>
        <v>288.29791666666665</v>
      </c>
      <c r="L42" s="20">
        <f t="shared" si="1"/>
        <v>30.52333333333333</v>
      </c>
      <c r="M42" s="20">
        <f t="shared" si="1"/>
        <v>88.967916666666653</v>
      </c>
      <c r="N42" s="20">
        <f t="shared" si="1"/>
        <v>166.125</v>
      </c>
      <c r="O42" s="20">
        <f t="shared" si="1"/>
        <v>7.4999999999999997E-2</v>
      </c>
      <c r="P42" s="20">
        <f t="shared" si="1"/>
        <v>0.84749999999999981</v>
      </c>
      <c r="Q42" s="20">
        <f t="shared" si="1"/>
        <v>4.6704166666666662</v>
      </c>
      <c r="R42" s="41"/>
      <c r="S42" s="41"/>
      <c r="T42" s="41"/>
      <c r="U42" s="41"/>
    </row>
    <row r="43" spans="1:21" s="1" customFormat="1">
      <c r="A43" s="3" t="s">
        <v>50</v>
      </c>
      <c r="B43" s="20">
        <f t="shared" ref="B43:Q43" si="2">AVERAGE(B9:B38)</f>
        <v>8.500634920634921</v>
      </c>
      <c r="C43" s="20">
        <f t="shared" si="2"/>
        <v>4.9258031746031739</v>
      </c>
      <c r="D43" s="20">
        <f t="shared" si="2"/>
        <v>14.044844841269843</v>
      </c>
      <c r="E43" s="20">
        <f t="shared" si="2"/>
        <v>12.066283730158732</v>
      </c>
      <c r="F43" s="20">
        <f t="shared" si="2"/>
        <v>7.8025138888888899</v>
      </c>
      <c r="G43" s="20">
        <f t="shared" si="2"/>
        <v>74.000117753623186</v>
      </c>
      <c r="H43" s="20">
        <f t="shared" si="2"/>
        <v>24.617350845410627</v>
      </c>
      <c r="I43" s="20">
        <f t="shared" si="2"/>
        <v>6.7407403846153846</v>
      </c>
      <c r="J43" s="20">
        <f t="shared" si="2"/>
        <v>0.40800000000000008</v>
      </c>
      <c r="K43" s="20">
        <f t="shared" si="2"/>
        <v>165.29076388888888</v>
      </c>
      <c r="L43" s="20">
        <f t="shared" si="2"/>
        <v>28.494208333333333</v>
      </c>
      <c r="M43" s="20">
        <f t="shared" si="2"/>
        <v>80.115958333333339</v>
      </c>
      <c r="N43" s="20">
        <f t="shared" si="2"/>
        <v>127.4084722222222</v>
      </c>
      <c r="O43" s="20">
        <f t="shared" si="2"/>
        <v>5.0000000000000001E-3</v>
      </c>
      <c r="P43" s="20">
        <f t="shared" si="2"/>
        <v>0.57350000000000001</v>
      </c>
      <c r="Q43" s="20">
        <f t="shared" si="2"/>
        <v>4.5858091880341876</v>
      </c>
      <c r="R43" s="41"/>
      <c r="S43" s="41"/>
      <c r="T43" s="41"/>
      <c r="U43" s="41"/>
    </row>
    <row r="44" spans="1:21" s="1" customFormat="1">
      <c r="A44" s="3" t="s">
        <v>51</v>
      </c>
      <c r="B44" s="20">
        <f t="shared" ref="B44:Q44" si="3">STDEV(B9:B38)</f>
        <v>1.6220445875752425</v>
      </c>
      <c r="C44" s="20">
        <f t="shared" si="3"/>
        <v>1.5999956083773186</v>
      </c>
      <c r="D44" s="20">
        <f t="shared" si="3"/>
        <v>4.6737338778986226E-2</v>
      </c>
      <c r="E44" s="20">
        <f t="shared" si="3"/>
        <v>1.4589376966995324</v>
      </c>
      <c r="F44" s="20">
        <f t="shared" si="3"/>
        <v>2.4290106032243455</v>
      </c>
      <c r="G44" s="20">
        <f t="shared" si="3"/>
        <v>29.502264937928782</v>
      </c>
      <c r="H44" s="20">
        <f t="shared" si="3"/>
        <v>10.721846697750635</v>
      </c>
      <c r="I44" s="20">
        <f t="shared" si="3"/>
        <v>1.2099748368070233</v>
      </c>
      <c r="J44" s="20">
        <f t="shared" si="3"/>
        <v>0.12335728060459533</v>
      </c>
      <c r="K44" s="20">
        <f t="shared" si="3"/>
        <v>57.657282896248297</v>
      </c>
      <c r="L44" s="20">
        <f t="shared" si="3"/>
        <v>1.147849189924961</v>
      </c>
      <c r="M44" s="20">
        <f t="shared" si="3"/>
        <v>4.518303822704703</v>
      </c>
      <c r="N44" s="20">
        <f t="shared" si="3"/>
        <v>23.72253164236793</v>
      </c>
      <c r="O44" s="20">
        <f t="shared" si="3"/>
        <v>1.7993187301643659E-2</v>
      </c>
      <c r="P44" s="20">
        <f t="shared" si="3"/>
        <v>0.10187229534759186</v>
      </c>
      <c r="Q44" s="20">
        <f t="shared" si="3"/>
        <v>0.15949871851464714</v>
      </c>
      <c r="R44" s="33"/>
      <c r="S44" s="33"/>
      <c r="T44" s="33"/>
      <c r="U44" s="33"/>
    </row>
    <row r="45" spans="1:21" s="1" customFormat="1">
      <c r="A45" s="3" t="s">
        <v>52</v>
      </c>
      <c r="B45" s="6">
        <f t="shared" ref="B45:Q45" si="4">COUNT(B9:B38)</f>
        <v>30</v>
      </c>
      <c r="C45" s="6">
        <f t="shared" si="4"/>
        <v>30</v>
      </c>
      <c r="D45" s="6">
        <f t="shared" si="4"/>
        <v>30</v>
      </c>
      <c r="E45" s="6">
        <f t="shared" si="4"/>
        <v>30</v>
      </c>
      <c r="F45" s="6">
        <f t="shared" si="4"/>
        <v>30</v>
      </c>
      <c r="G45" s="6">
        <f t="shared" si="4"/>
        <v>30</v>
      </c>
      <c r="H45" s="6">
        <f t="shared" si="4"/>
        <v>30</v>
      </c>
      <c r="I45" s="6">
        <f t="shared" si="4"/>
        <v>30</v>
      </c>
      <c r="J45" s="6">
        <f t="shared" si="4"/>
        <v>30</v>
      </c>
      <c r="K45" s="6">
        <f t="shared" si="4"/>
        <v>30</v>
      </c>
      <c r="L45" s="6">
        <f t="shared" si="4"/>
        <v>30</v>
      </c>
      <c r="M45" s="6">
        <f t="shared" si="4"/>
        <v>30</v>
      </c>
      <c r="N45" s="6">
        <f t="shared" si="4"/>
        <v>30</v>
      </c>
      <c r="O45" s="6">
        <f t="shared" si="4"/>
        <v>30</v>
      </c>
      <c r="P45" s="6">
        <f t="shared" si="4"/>
        <v>30</v>
      </c>
      <c r="Q45" s="6">
        <f t="shared" si="4"/>
        <v>30</v>
      </c>
      <c r="R45" s="33"/>
      <c r="S45" s="33"/>
      <c r="T45" s="33"/>
      <c r="U45" s="33"/>
    </row>
    <row r="46" spans="1:21" s="1" customFormat="1">
      <c r="A46" s="3" t="s">
        <v>53</v>
      </c>
      <c r="B46" s="6" t="str">
        <f>IF(B45&gt;=28,"&gt;90%",IF(B45&lt;=28,"&lt;90%"))</f>
        <v>&gt;90%</v>
      </c>
      <c r="C46" s="6" t="str">
        <f t="shared" ref="C46:Q46" si="5">IF(C45&gt;=28,"&gt;90%",IF(C45&lt;=28,"&lt;90%"))</f>
        <v>&gt;90%</v>
      </c>
      <c r="D46" s="6" t="str">
        <f t="shared" si="5"/>
        <v>&gt;90%</v>
      </c>
      <c r="E46" s="6" t="str">
        <f t="shared" si="5"/>
        <v>&gt;90%</v>
      </c>
      <c r="F46" s="6" t="str">
        <f t="shared" si="5"/>
        <v>&gt;90%</v>
      </c>
      <c r="G46" s="6" t="str">
        <f t="shared" si="5"/>
        <v>&gt;90%</v>
      </c>
      <c r="H46" s="6" t="str">
        <f t="shared" si="5"/>
        <v>&gt;90%</v>
      </c>
      <c r="I46" s="6" t="str">
        <f t="shared" si="5"/>
        <v>&gt;90%</v>
      </c>
      <c r="J46" s="6" t="str">
        <f t="shared" si="5"/>
        <v>&gt;90%</v>
      </c>
      <c r="K46" s="6" t="str">
        <f t="shared" si="5"/>
        <v>&gt;90%</v>
      </c>
      <c r="L46" s="6" t="str">
        <f t="shared" si="5"/>
        <v>&gt;90%</v>
      </c>
      <c r="M46" s="6" t="str">
        <f t="shared" si="5"/>
        <v>&gt;90%</v>
      </c>
      <c r="N46" s="6" t="str">
        <f t="shared" si="5"/>
        <v>&gt;90%</v>
      </c>
      <c r="O46" s="6" t="str">
        <f t="shared" si="5"/>
        <v>&gt;90%</v>
      </c>
      <c r="P46" s="6" t="str">
        <f t="shared" si="5"/>
        <v>&gt;90%</v>
      </c>
      <c r="Q46" s="6" t="str">
        <f t="shared" si="5"/>
        <v>&gt;90%</v>
      </c>
      <c r="R46" s="33"/>
      <c r="S46" s="33"/>
      <c r="T46" s="33"/>
      <c r="U46" s="33"/>
    </row>
    <row r="47" spans="1:21">
      <c r="A47" s="3" t="s">
        <v>54</v>
      </c>
      <c r="B47" s="6" t="str">
        <f>IF(B45&gt;=28,"OK",IF(B45&lt;=28,"LESS"))</f>
        <v>OK</v>
      </c>
      <c r="C47" s="6" t="str">
        <f t="shared" ref="C47:Q47" si="6">IF(C45&gt;=28,"OK",IF(C45&lt;=28,"LESS"))</f>
        <v>OK</v>
      </c>
      <c r="D47" s="6" t="str">
        <f t="shared" si="6"/>
        <v>OK</v>
      </c>
      <c r="E47" s="6" t="str">
        <f t="shared" si="6"/>
        <v>OK</v>
      </c>
      <c r="F47" s="6" t="str">
        <f t="shared" si="6"/>
        <v>OK</v>
      </c>
      <c r="G47" s="6" t="str">
        <f t="shared" si="6"/>
        <v>OK</v>
      </c>
      <c r="H47" s="6" t="str">
        <f t="shared" si="6"/>
        <v>OK</v>
      </c>
      <c r="I47" s="6" t="str">
        <f t="shared" si="6"/>
        <v>OK</v>
      </c>
      <c r="J47" s="6" t="str">
        <f t="shared" si="6"/>
        <v>OK</v>
      </c>
      <c r="K47" s="6" t="str">
        <f t="shared" si="6"/>
        <v>OK</v>
      </c>
      <c r="L47" s="6" t="str">
        <f t="shared" si="6"/>
        <v>OK</v>
      </c>
      <c r="M47" s="6" t="str">
        <f t="shared" si="6"/>
        <v>OK</v>
      </c>
      <c r="N47" s="6" t="str">
        <f t="shared" si="6"/>
        <v>OK</v>
      </c>
      <c r="O47" s="6" t="str">
        <f t="shared" si="6"/>
        <v>OK</v>
      </c>
      <c r="P47" s="6" t="str">
        <f t="shared" si="6"/>
        <v>OK</v>
      </c>
      <c r="Q47" s="6" t="str">
        <f t="shared" si="6"/>
        <v>OK</v>
      </c>
      <c r="R47" s="1"/>
      <c r="S47" s="1"/>
      <c r="T47" s="1"/>
    </row>
    <row r="48" spans="1:21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50" spans="1:16">
      <c r="A50" s="3" t="s">
        <v>55</v>
      </c>
      <c r="B50" s="21" t="s">
        <v>56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>
      <c r="A51" s="22"/>
      <c r="B51" s="1"/>
      <c r="C51" s="1"/>
      <c r="D51" s="23"/>
      <c r="E51" s="23"/>
      <c r="F51" s="23"/>
      <c r="G51" s="23"/>
      <c r="H51" s="23"/>
      <c r="I51" s="23"/>
      <c r="J51" s="1"/>
      <c r="K51" s="1"/>
      <c r="L51" s="1"/>
      <c r="M51" s="1"/>
      <c r="N51" s="1"/>
      <c r="O51" s="1"/>
      <c r="P51" s="1"/>
    </row>
    <row r="52" spans="1:16" ht="15.75">
      <c r="A52" s="24" t="s">
        <v>57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</row>
    <row r="53" spans="1:16">
      <c r="A53" s="22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>
      <c r="A54" s="22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>
      <c r="A55" s="22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</sheetData>
  <mergeCells count="1">
    <mergeCell ref="B52:P52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MONTHLY 31</vt:lpstr>
    </vt:vector>
  </TitlesOfParts>
  <Company>wbpcb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IDEAL DCR</dc:title>
  <dc:subject>DCR FORMAT</dc:subject>
  <dc:creator>DEBLOHIT BOSE</dc:creator>
  <cp:keywords>DCR</cp:keywords>
  <dc:description>"IDEAL DCR"- by Deblohit Bose</dc:description>
  <cp:lastModifiedBy>Lenovo</cp:lastModifiedBy>
  <cp:lastPrinted>2018-07-30T12:51:00Z</cp:lastPrinted>
  <dcterms:created xsi:type="dcterms:W3CDTF">2013-08-23T16:44:00Z</dcterms:created>
  <dcterms:modified xsi:type="dcterms:W3CDTF">2024-11-14T13:57:19Z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7EA9ECEE773C45D5B6E24CE40B3C9EEF</vt:lpwstr>
  </property>
  <property fmtid="{D5CDD505-2E9C-101B-9397-08002B2CF9AE}" pid="3" name="KSOProductBuildVer">
    <vt:lpwstr>1033-11.2.0.11219</vt:lpwstr>
  </property>
</Properties>
</file>