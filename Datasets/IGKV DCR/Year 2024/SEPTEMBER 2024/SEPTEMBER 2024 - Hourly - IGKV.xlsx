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25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0" sheetId="39" r:id="rId31"/>
  </sheets>
  <calcPr calcId="124519"/>
</workbook>
</file>

<file path=xl/calcChain.xml><?xml version="1.0" encoding="utf-8"?>
<calcChain xmlns="http://schemas.openxmlformats.org/spreadsheetml/2006/main">
  <c r="Q38" i="39"/>
  <c r="P38"/>
  <c r="O38"/>
  <c r="M38"/>
  <c r="P37"/>
  <c r="K37"/>
  <c r="J37"/>
  <c r="O36"/>
  <c r="M36"/>
  <c r="G36"/>
  <c r="F36"/>
  <c r="E36"/>
  <c r="O35"/>
  <c r="N35"/>
  <c r="G35"/>
  <c r="Q34"/>
  <c r="P34"/>
  <c r="O34"/>
  <c r="E34"/>
  <c r="D34"/>
  <c r="Q33"/>
  <c r="P33"/>
  <c r="Q32"/>
  <c r="O32"/>
  <c r="N32"/>
  <c r="F32"/>
  <c r="Q31"/>
  <c r="O31"/>
  <c r="G31"/>
  <c r="P30"/>
  <c r="O30"/>
  <c r="N30"/>
  <c r="H30"/>
  <c r="G30"/>
  <c r="O29"/>
  <c r="N29"/>
  <c r="G29"/>
  <c r="P28"/>
  <c r="H28"/>
  <c r="E28"/>
  <c r="O26"/>
  <c r="J26"/>
  <c r="H26"/>
  <c r="C26"/>
  <c r="Q25"/>
  <c r="P25"/>
  <c r="A25"/>
  <c r="Q24"/>
  <c r="B24"/>
  <c r="B23"/>
  <c r="N22"/>
  <c r="F22"/>
  <c r="Q21"/>
  <c r="L21"/>
  <c r="I21"/>
  <c r="P20"/>
  <c r="O20"/>
  <c r="N20"/>
  <c r="J39" i="4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8" i="39" s="1"/>
  <c r="M36" i="40"/>
  <c r="L36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O36"/>
  <c r="O37" i="39" s="1"/>
  <c r="N36" i="43"/>
  <c r="N37" i="39" s="1"/>
  <c r="M36" i="43"/>
  <c r="M37" i="39" s="1"/>
  <c r="L36" i="43"/>
  <c r="L37" i="39" s="1"/>
  <c r="K36" i="43"/>
  <c r="J36"/>
  <c r="I36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N36"/>
  <c r="N36" i="39" s="1"/>
  <c r="M36" i="33"/>
  <c r="L36"/>
  <c r="L36" i="39" s="1"/>
  <c r="K36" i="33"/>
  <c r="K36" i="39" s="1"/>
  <c r="J36" i="33"/>
  <c r="J36" i="39" s="1"/>
  <c r="I36" i="33"/>
  <c r="I36" i="39" s="1"/>
  <c r="H36" i="33"/>
  <c r="H36" i="39" s="1"/>
  <c r="G36" i="33"/>
  <c r="F36"/>
  <c r="E36"/>
  <c r="D36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N36"/>
  <c r="M36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F36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D36"/>
  <c r="C36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2" i="39" s="1"/>
  <c r="O36" i="29"/>
  <c r="N36"/>
  <c r="M36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E36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H40" i="28"/>
  <c r="H3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1" i="39" s="1"/>
  <c r="O36" i="28"/>
  <c r="N36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F36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O36"/>
  <c r="N36"/>
  <c r="M36"/>
  <c r="M30" i="39" s="1"/>
  <c r="L36" i="27"/>
  <c r="L30" i="39" s="1"/>
  <c r="K36" i="27"/>
  <c r="K30" i="39" s="1"/>
  <c r="J36" i="27"/>
  <c r="J30" i="39" s="1"/>
  <c r="I36" i="27"/>
  <c r="I30" i="39" s="1"/>
  <c r="H36" i="27"/>
  <c r="G36"/>
  <c r="F36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N36"/>
  <c r="M3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F3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O36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G36"/>
  <c r="G28" i="39" s="1"/>
  <c r="F36" i="25"/>
  <c r="F28" i="39" s="1"/>
  <c r="E36" i="25"/>
  <c r="D36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L40" i="23"/>
  <c r="L39"/>
  <c r="Q38"/>
  <c r="Q40" s="1"/>
  <c r="P38"/>
  <c r="P40" s="1"/>
  <c r="O38"/>
  <c r="O40" s="1"/>
  <c r="N38"/>
  <c r="N40" s="1"/>
  <c r="M38"/>
  <c r="M40" s="1"/>
  <c r="L38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N36"/>
  <c r="N26" i="39" s="1"/>
  <c r="M36" i="23"/>
  <c r="M26" i="39" s="1"/>
  <c r="L36" i="23"/>
  <c r="L26" i="39" s="1"/>
  <c r="K36" i="23"/>
  <c r="K26" i="39" s="1"/>
  <c r="J36" i="23"/>
  <c r="I36"/>
  <c r="I26" i="39" s="1"/>
  <c r="H36" i="23"/>
  <c r="G36"/>
  <c r="G26" i="39" s="1"/>
  <c r="F36" i="23"/>
  <c r="F26" i="39" s="1"/>
  <c r="E36" i="23"/>
  <c r="E26" i="39" s="1"/>
  <c r="D36" i="23"/>
  <c r="D26" i="39" s="1"/>
  <c r="C36" i="23"/>
  <c r="B36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1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M36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E36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C39" i="18"/>
  <c r="Q38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1" i="39" s="1"/>
  <c r="O36" i="18"/>
  <c r="O21" i="39" s="1"/>
  <c r="N36" i="18"/>
  <c r="N21" i="39" s="1"/>
  <c r="M36" i="18"/>
  <c r="M21" i="39" s="1"/>
  <c r="L36" i="18"/>
  <c r="K36"/>
  <c r="K21" i="39" s="1"/>
  <c r="J36" i="18"/>
  <c r="J21" i="39" s="1"/>
  <c r="I36" i="18"/>
  <c r="H36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O36"/>
  <c r="N36"/>
  <c r="M36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40" i="10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H39" i="40" l="1"/>
  <c r="G39"/>
  <c r="F39"/>
  <c r="E39"/>
  <c r="D39"/>
  <c r="C39"/>
  <c r="B39"/>
  <c r="Q39"/>
  <c r="P39"/>
  <c r="O39"/>
  <c r="N39"/>
  <c r="M39"/>
  <c r="I40"/>
  <c r="L39"/>
  <c r="K39"/>
  <c r="H39" i="43"/>
  <c r="G39"/>
  <c r="F39"/>
  <c r="E39"/>
  <c r="D39"/>
  <c r="C39"/>
  <c r="B39"/>
  <c r="Q39"/>
  <c r="P39"/>
  <c r="O39"/>
  <c r="N39"/>
  <c r="M39"/>
  <c r="L39"/>
  <c r="K39"/>
  <c r="J39"/>
  <c r="I39"/>
  <c r="D39" i="33"/>
  <c r="C39"/>
  <c r="B39"/>
  <c r="Q39"/>
  <c r="P39"/>
  <c r="O39"/>
  <c r="N39"/>
  <c r="M39"/>
  <c r="L39"/>
  <c r="K39"/>
  <c r="J39"/>
  <c r="I39"/>
  <c r="H39"/>
  <c r="G39"/>
  <c r="F39"/>
  <c r="E39"/>
  <c r="B39" i="32"/>
  <c r="Q39"/>
  <c r="P39"/>
  <c r="O39"/>
  <c r="N39"/>
  <c r="M39"/>
  <c r="L39"/>
  <c r="K39"/>
  <c r="J39"/>
  <c r="I39"/>
  <c r="H39"/>
  <c r="G39"/>
  <c r="F39"/>
  <c r="E39"/>
  <c r="D39"/>
  <c r="C39"/>
  <c r="N39" i="31"/>
  <c r="L39"/>
  <c r="K39"/>
  <c r="J39"/>
  <c r="I39"/>
  <c r="H39"/>
  <c r="G39"/>
  <c r="F39"/>
  <c r="M40"/>
  <c r="E39"/>
  <c r="D39"/>
  <c r="C39"/>
  <c r="B39"/>
  <c r="Q39"/>
  <c r="P39"/>
  <c r="O39"/>
  <c r="L39" i="30"/>
  <c r="K39"/>
  <c r="J39"/>
  <c r="I39"/>
  <c r="M40"/>
  <c r="H39"/>
  <c r="G39"/>
  <c r="F39"/>
  <c r="E39"/>
  <c r="D39"/>
  <c r="C39"/>
  <c r="B39"/>
  <c r="Q39"/>
  <c r="P39"/>
  <c r="O39"/>
  <c r="N39"/>
  <c r="J39" i="29"/>
  <c r="I39"/>
  <c r="G39"/>
  <c r="F39"/>
  <c r="H40"/>
  <c r="E39"/>
  <c r="D39"/>
  <c r="C39"/>
  <c r="B39"/>
  <c r="Q39"/>
  <c r="P39"/>
  <c r="O39"/>
  <c r="N39"/>
  <c r="M39"/>
  <c r="L39"/>
  <c r="K39"/>
  <c r="G39" i="28"/>
  <c r="F39"/>
  <c r="E39"/>
  <c r="D39"/>
  <c r="C39"/>
  <c r="B39"/>
  <c r="Q39"/>
  <c r="P39"/>
  <c r="O39"/>
  <c r="N39"/>
  <c r="M39"/>
  <c r="L39"/>
  <c r="K39"/>
  <c r="J39"/>
  <c r="I39"/>
  <c r="D39" i="27"/>
  <c r="C39"/>
  <c r="B39"/>
  <c r="Q39"/>
  <c r="P39"/>
  <c r="O39"/>
  <c r="N39"/>
  <c r="M39"/>
  <c r="L39"/>
  <c r="K39"/>
  <c r="J39"/>
  <c r="I39"/>
  <c r="H39"/>
  <c r="G39"/>
  <c r="F39"/>
  <c r="E39"/>
  <c r="B39" i="26"/>
  <c r="Q39"/>
  <c r="P39"/>
  <c r="O39"/>
  <c r="N39"/>
  <c r="M39"/>
  <c r="L39"/>
  <c r="K39"/>
  <c r="J39"/>
  <c r="I39"/>
  <c r="H40"/>
  <c r="G39"/>
  <c r="F39"/>
  <c r="E39"/>
  <c r="D39"/>
  <c r="C39"/>
  <c r="P39" i="25"/>
  <c r="O39"/>
  <c r="N39"/>
  <c r="M39"/>
  <c r="L39"/>
  <c r="K39"/>
  <c r="J39"/>
  <c r="I39"/>
  <c r="H39"/>
  <c r="G39"/>
  <c r="F39"/>
  <c r="E39"/>
  <c r="D39"/>
  <c r="C39"/>
  <c r="B39"/>
  <c r="Q39"/>
  <c r="Q39" i="24"/>
  <c r="P39"/>
  <c r="O39"/>
  <c r="N39"/>
  <c r="M39"/>
  <c r="L39"/>
  <c r="K39"/>
  <c r="J39"/>
  <c r="I39"/>
  <c r="H39"/>
  <c r="G39"/>
  <c r="F39"/>
  <c r="E39"/>
  <c r="D39"/>
  <c r="C39"/>
  <c r="B39"/>
  <c r="N39" i="23"/>
  <c r="M39"/>
  <c r="K39"/>
  <c r="J39"/>
  <c r="I39"/>
  <c r="H39"/>
  <c r="G39"/>
  <c r="F39"/>
  <c r="E40"/>
  <c r="D39"/>
  <c r="C39"/>
  <c r="B39"/>
  <c r="Q39"/>
  <c r="P39"/>
  <c r="O39"/>
  <c r="L40" i="22"/>
  <c r="K39"/>
  <c r="J39"/>
  <c r="I40"/>
  <c r="H39"/>
  <c r="G39"/>
  <c r="F39"/>
  <c r="M39"/>
  <c r="E39"/>
  <c r="D39"/>
  <c r="C39"/>
  <c r="B39"/>
  <c r="Q39"/>
  <c r="P39"/>
  <c r="O39"/>
  <c r="N39"/>
  <c r="L39" i="21"/>
  <c r="J39"/>
  <c r="K40"/>
  <c r="I39"/>
  <c r="H39"/>
  <c r="G39"/>
  <c r="F39"/>
  <c r="E39"/>
  <c r="D39"/>
  <c r="C39"/>
  <c r="B39"/>
  <c r="Q39"/>
  <c r="P39"/>
  <c r="O39"/>
  <c r="N39"/>
  <c r="M39"/>
  <c r="L39" i="20"/>
  <c r="K39"/>
  <c r="J39"/>
  <c r="I39"/>
  <c r="H39"/>
  <c r="G39"/>
  <c r="F39"/>
  <c r="E39"/>
  <c r="D39"/>
  <c r="C39"/>
  <c r="B39"/>
  <c r="Q39"/>
  <c r="P39"/>
  <c r="O39"/>
  <c r="N39"/>
  <c r="M39"/>
  <c r="K39" i="19"/>
  <c r="J39"/>
  <c r="I39"/>
  <c r="H39"/>
  <c r="G39"/>
  <c r="F39"/>
  <c r="E39"/>
  <c r="D39"/>
  <c r="C39"/>
  <c r="B39"/>
  <c r="Q39"/>
  <c r="P39"/>
  <c r="O39"/>
  <c r="N39"/>
  <c r="M39"/>
  <c r="L39"/>
  <c r="I39" i="18"/>
  <c r="H39"/>
  <c r="G39"/>
  <c r="F39"/>
  <c r="E40"/>
  <c r="D39"/>
  <c r="B39"/>
  <c r="Q39"/>
  <c r="P39"/>
  <c r="O39"/>
  <c r="N39"/>
  <c r="M40"/>
  <c r="L39"/>
  <c r="K39"/>
  <c r="J39"/>
  <c r="E39" i="17"/>
  <c r="D39"/>
  <c r="C39"/>
  <c r="B40"/>
  <c r="Q39"/>
  <c r="P39"/>
  <c r="O40"/>
  <c r="N39"/>
  <c r="M39"/>
  <c r="L39"/>
  <c r="K39"/>
  <c r="J39"/>
  <c r="I39"/>
  <c r="H39"/>
  <c r="G39"/>
  <c r="F39"/>
  <c r="J39" i="16"/>
  <c r="I39"/>
  <c r="H39"/>
  <c r="G39"/>
  <c r="F39"/>
  <c r="E39"/>
  <c r="D39"/>
  <c r="C39"/>
  <c r="B39"/>
  <c r="Q39"/>
  <c r="P39"/>
  <c r="O39"/>
  <c r="N39"/>
  <c r="M39"/>
  <c r="L39"/>
  <c r="K39"/>
  <c r="K39" i="15"/>
  <c r="J39"/>
  <c r="I39"/>
  <c r="H39"/>
  <c r="G39"/>
  <c r="F39"/>
  <c r="E39"/>
  <c r="D39"/>
  <c r="C39"/>
  <c r="B39"/>
  <c r="Q39"/>
  <c r="P39"/>
  <c r="O39"/>
  <c r="N39"/>
  <c r="M39"/>
  <c r="L39"/>
  <c r="L39" i="14"/>
  <c r="K39"/>
  <c r="J39"/>
  <c r="I39"/>
  <c r="H39"/>
  <c r="G39"/>
  <c r="F39"/>
  <c r="E39"/>
  <c r="D39"/>
  <c r="C39"/>
  <c r="B39"/>
  <c r="Q39"/>
  <c r="P39"/>
  <c r="O39"/>
  <c r="N39"/>
  <c r="M39"/>
  <c r="M39" i="13"/>
  <c r="L39"/>
  <c r="K39"/>
  <c r="J39"/>
  <c r="I39"/>
  <c r="H39"/>
  <c r="G39"/>
  <c r="F39"/>
  <c r="E39"/>
  <c r="D39"/>
  <c r="C39"/>
  <c r="B39"/>
  <c r="Q39"/>
  <c r="P39"/>
  <c r="O39"/>
  <c r="N39"/>
  <c r="N39" i="12"/>
  <c r="M39"/>
  <c r="L39"/>
  <c r="K39"/>
  <c r="J39"/>
  <c r="I39"/>
  <c r="H39"/>
  <c r="G39"/>
  <c r="F39"/>
  <c r="E39"/>
  <c r="D39"/>
  <c r="C39"/>
  <c r="B39"/>
  <c r="Q39"/>
  <c r="P39"/>
  <c r="O39"/>
  <c r="O39" i="11"/>
  <c r="N39"/>
  <c r="M39"/>
  <c r="L39"/>
  <c r="K39"/>
  <c r="J39"/>
  <c r="I39"/>
  <c r="H39"/>
  <c r="G39"/>
  <c r="F39"/>
  <c r="E39"/>
  <c r="D39"/>
  <c r="C39"/>
  <c r="B39"/>
  <c r="Q39"/>
  <c r="P39"/>
  <c r="P39" i="10"/>
  <c r="O39"/>
  <c r="N39"/>
  <c r="M39"/>
  <c r="L39"/>
  <c r="K39"/>
  <c r="J39"/>
  <c r="I39"/>
  <c r="H39"/>
  <c r="G39"/>
  <c r="F39"/>
  <c r="E39"/>
  <c r="D39"/>
  <c r="C39"/>
  <c r="B39"/>
  <c r="Q39"/>
  <c r="Q39" i="9"/>
  <c r="P39"/>
  <c r="O39"/>
  <c r="N39"/>
  <c r="M39"/>
  <c r="L39"/>
  <c r="K39"/>
  <c r="J39"/>
  <c r="I39"/>
  <c r="H39"/>
  <c r="G39"/>
  <c r="F39"/>
  <c r="E39"/>
  <c r="D39"/>
  <c r="C39"/>
  <c r="B39"/>
  <c r="B39" i="8"/>
  <c r="Q39"/>
  <c r="P39"/>
  <c r="O39"/>
  <c r="N39"/>
  <c r="M39"/>
  <c r="L39"/>
  <c r="K39"/>
  <c r="J39"/>
  <c r="I39"/>
  <c r="H39"/>
  <c r="G39"/>
  <c r="F39"/>
  <c r="E39"/>
  <c r="D39"/>
  <c r="C39"/>
  <c r="D44" i="39"/>
  <c r="D46" s="1"/>
  <c r="C39" i="3"/>
  <c r="C44" i="39"/>
  <c r="C45" s="1"/>
  <c r="B39" i="3"/>
  <c r="Q39"/>
  <c r="Q44" i="39"/>
  <c r="Q45" s="1"/>
  <c r="P39" i="3"/>
  <c r="P44" i="39"/>
  <c r="P46" s="1"/>
  <c r="O39" i="3"/>
  <c r="O44" i="39"/>
  <c r="O46" s="1"/>
  <c r="N39" i="3"/>
  <c r="N44" i="39"/>
  <c r="N46" s="1"/>
  <c r="M39" i="3"/>
  <c r="M44" i="39"/>
  <c r="M46" s="1"/>
  <c r="L39" i="3"/>
  <c r="L44" i="39"/>
  <c r="L45" s="1"/>
  <c r="K39" i="3"/>
  <c r="B44" i="39"/>
  <c r="B45" s="1"/>
  <c r="K44"/>
  <c r="K45" s="1"/>
  <c r="J39" i="3"/>
  <c r="J44" i="39"/>
  <c r="J46" s="1"/>
  <c r="I39" i="3"/>
  <c r="I44" i="39"/>
  <c r="I45" s="1"/>
  <c r="H39" i="3"/>
  <c r="H44" i="39"/>
  <c r="H45" s="1"/>
  <c r="G39" i="3"/>
  <c r="G44" i="39"/>
  <c r="G46" s="1"/>
  <c r="F39" i="3"/>
  <c r="F44" i="39"/>
  <c r="F46" s="1"/>
  <c r="E39" i="3"/>
  <c r="E44" i="39"/>
  <c r="E45" s="1"/>
  <c r="D39" i="3"/>
  <c r="D39" i="2"/>
  <c r="C39"/>
  <c r="B39"/>
  <c r="Q39"/>
  <c r="P39"/>
  <c r="I40"/>
  <c r="O39"/>
  <c r="N39"/>
  <c r="M39"/>
  <c r="L39"/>
  <c r="K39"/>
  <c r="J39"/>
  <c r="H39"/>
  <c r="G39"/>
  <c r="F39"/>
  <c r="E39"/>
  <c r="Q40" i="39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G40"/>
  <c r="G41"/>
  <c r="G42"/>
  <c r="G43"/>
  <c r="F40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H46" l="1"/>
  <c r="M45"/>
  <c r="N45"/>
  <c r="E46"/>
  <c r="P45"/>
  <c r="I46"/>
  <c r="F45"/>
  <c r="J45"/>
  <c r="O45"/>
  <c r="G45"/>
  <c r="Q46"/>
  <c r="D45"/>
  <c r="C46"/>
  <c r="K46"/>
  <c r="L46"/>
  <c r="B46"/>
</calcChain>
</file>

<file path=xl/sharedStrings.xml><?xml version="1.0" encoding="utf-8"?>
<sst xmlns="http://schemas.openxmlformats.org/spreadsheetml/2006/main" count="2061" uniqueCount="60">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</sst>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1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45536.041666666664</v>
      </c>
      <c r="B9" s="50">
        <v>9.15</v>
      </c>
      <c r="C9" s="50">
        <v>4.2699999999999996</v>
      </c>
      <c r="D9" s="50">
        <v>14</v>
      </c>
      <c r="E9" s="50">
        <v>10.36</v>
      </c>
      <c r="F9" s="50">
        <v>8.26</v>
      </c>
      <c r="G9" s="50">
        <v>57.3</v>
      </c>
      <c r="H9" s="50">
        <v>13.93</v>
      </c>
      <c r="I9" s="50">
        <v>5.46</v>
      </c>
      <c r="J9" s="50">
        <v>1.1299999999999999</v>
      </c>
      <c r="K9" s="50">
        <v>59.79</v>
      </c>
      <c r="L9" s="50">
        <v>27.14</v>
      </c>
      <c r="M9" s="50">
        <v>92.81</v>
      </c>
      <c r="N9" s="50">
        <v>2.1</v>
      </c>
      <c r="O9" s="50">
        <v>0</v>
      </c>
      <c r="P9" s="50">
        <v>0.34</v>
      </c>
      <c r="Q9" s="50">
        <v>5.03</v>
      </c>
    </row>
    <row r="10" spans="1:21" customFormat="1">
      <c r="A10" s="49">
        <v>45536.083333333336</v>
      </c>
      <c r="B10" s="50">
        <v>9.08</v>
      </c>
      <c r="C10" s="50">
        <v>4.3899999999999997</v>
      </c>
      <c r="D10" s="50">
        <v>14</v>
      </c>
      <c r="E10" s="50">
        <v>10.58</v>
      </c>
      <c r="F10" s="50">
        <v>3.5</v>
      </c>
      <c r="G10" s="50">
        <v>53.17</v>
      </c>
      <c r="H10" s="50">
        <v>15.62</v>
      </c>
      <c r="I10" s="50">
        <v>5.58</v>
      </c>
      <c r="J10" s="50">
        <v>1.01</v>
      </c>
      <c r="K10" s="50">
        <v>62.84</v>
      </c>
      <c r="L10" s="50">
        <v>27.37</v>
      </c>
      <c r="M10" s="50">
        <v>92.21</v>
      </c>
      <c r="N10" s="50">
        <v>2.1</v>
      </c>
      <c r="O10" s="50">
        <v>0</v>
      </c>
      <c r="P10" s="50">
        <v>0.38</v>
      </c>
      <c r="Q10" s="50">
        <v>5.03</v>
      </c>
    </row>
    <row r="11" spans="1:21" customFormat="1">
      <c r="A11" s="49">
        <v>45536.125</v>
      </c>
      <c r="B11" s="50">
        <v>9.0500000000000007</v>
      </c>
      <c r="C11" s="50">
        <v>4.42</v>
      </c>
      <c r="D11" s="50">
        <v>14</v>
      </c>
      <c r="E11" s="50">
        <v>10.18</v>
      </c>
      <c r="F11" s="50">
        <v>3.36</v>
      </c>
      <c r="G11" s="50">
        <v>47.51</v>
      </c>
      <c r="H11" s="50">
        <v>15.62</v>
      </c>
      <c r="I11" s="50">
        <v>5.4</v>
      </c>
      <c r="J11" s="50">
        <v>0.59</v>
      </c>
      <c r="K11" s="50">
        <v>72.88</v>
      </c>
      <c r="L11" s="50">
        <v>27.54</v>
      </c>
      <c r="M11" s="50">
        <v>90.61</v>
      </c>
      <c r="N11" s="50">
        <v>2.2999999999999998</v>
      </c>
      <c r="O11" s="50">
        <v>0</v>
      </c>
      <c r="P11" s="50">
        <v>0.37</v>
      </c>
      <c r="Q11" s="50">
        <v>5.04</v>
      </c>
    </row>
    <row r="12" spans="1:21" customFormat="1">
      <c r="A12" s="49">
        <v>45536.166666666664</v>
      </c>
      <c r="B12" s="50">
        <v>9.06</v>
      </c>
      <c r="C12" s="50">
        <v>4.3899999999999997</v>
      </c>
      <c r="D12" s="50">
        <v>14</v>
      </c>
      <c r="E12" s="50">
        <v>10.63</v>
      </c>
      <c r="F12" s="50">
        <v>2.91</v>
      </c>
      <c r="G12" s="50">
        <v>44.31</v>
      </c>
      <c r="H12" s="50">
        <v>11.31</v>
      </c>
      <c r="I12" s="50">
        <v>5.18</v>
      </c>
      <c r="J12" s="50">
        <v>0.72</v>
      </c>
      <c r="K12" s="50">
        <v>67.56</v>
      </c>
      <c r="L12" s="50">
        <v>27</v>
      </c>
      <c r="M12" s="50">
        <v>89.31</v>
      </c>
      <c r="N12" s="50">
        <v>2.2000000000000002</v>
      </c>
      <c r="O12" s="50">
        <v>0</v>
      </c>
      <c r="P12" s="50">
        <v>0.34</v>
      </c>
      <c r="Q12" s="50">
        <v>5.04</v>
      </c>
    </row>
    <row r="13" spans="1:21" customFormat="1">
      <c r="A13" s="49">
        <v>45536.208333333336</v>
      </c>
      <c r="B13" s="50">
        <v>9.0500000000000007</v>
      </c>
      <c r="C13" s="50">
        <v>4.43</v>
      </c>
      <c r="D13" s="50">
        <v>14</v>
      </c>
      <c r="E13" s="50">
        <v>11</v>
      </c>
      <c r="F13" s="50">
        <v>2.86</v>
      </c>
      <c r="G13" s="50">
        <v>36.909999999999997</v>
      </c>
      <c r="H13" s="50">
        <v>10.19</v>
      </c>
      <c r="I13" s="50">
        <v>4.63</v>
      </c>
      <c r="J13" s="50">
        <v>1.04</v>
      </c>
      <c r="K13" s="50">
        <v>71.27</v>
      </c>
      <c r="L13" s="50">
        <v>26.62</v>
      </c>
      <c r="M13" s="50">
        <v>90.82</v>
      </c>
      <c r="N13" s="50">
        <v>2.2999999999999998</v>
      </c>
      <c r="O13" s="50">
        <v>0</v>
      </c>
      <c r="P13" s="50">
        <v>0.33</v>
      </c>
      <c r="Q13" s="50">
        <v>5.05</v>
      </c>
    </row>
    <row r="14" spans="1:21" customFormat="1">
      <c r="A14" s="49">
        <v>45536.25</v>
      </c>
      <c r="B14" s="50">
        <v>9.0500000000000007</v>
      </c>
      <c r="C14" s="50">
        <v>4.41</v>
      </c>
      <c r="D14" s="50">
        <v>14</v>
      </c>
      <c r="E14" s="50">
        <v>11.27</v>
      </c>
      <c r="F14" s="50">
        <v>2.38</v>
      </c>
      <c r="G14" s="50">
        <v>31.96</v>
      </c>
      <c r="H14" s="50">
        <v>7.33</v>
      </c>
      <c r="I14" s="50">
        <v>4.33</v>
      </c>
      <c r="J14" s="50">
        <v>0.99</v>
      </c>
      <c r="K14" s="50">
        <v>57.64</v>
      </c>
      <c r="L14" s="50">
        <v>26.52</v>
      </c>
      <c r="M14" s="50">
        <v>91.58</v>
      </c>
      <c r="N14" s="50">
        <v>6.2</v>
      </c>
      <c r="O14" s="50">
        <v>0</v>
      </c>
      <c r="P14" s="50">
        <v>0.31</v>
      </c>
      <c r="Q14" s="50">
        <v>5.04</v>
      </c>
    </row>
    <row r="15" spans="1:21" customFormat="1">
      <c r="A15" s="49">
        <v>45536.291666666664</v>
      </c>
      <c r="B15" s="50">
        <v>9.08</v>
      </c>
      <c r="C15" s="50">
        <v>4.3600000000000003</v>
      </c>
      <c r="D15" s="50">
        <v>14</v>
      </c>
      <c r="E15" s="50">
        <v>11.37</v>
      </c>
      <c r="F15" s="50">
        <v>3.56</v>
      </c>
      <c r="G15" s="50">
        <v>29.77</v>
      </c>
      <c r="H15" s="50">
        <v>6</v>
      </c>
      <c r="I15" s="50">
        <v>4.2</v>
      </c>
      <c r="J15" s="50">
        <v>1.1399999999999999</v>
      </c>
      <c r="K15" s="50">
        <v>60.86</v>
      </c>
      <c r="L15" s="50">
        <v>26.99</v>
      </c>
      <c r="M15" s="50">
        <v>89.57</v>
      </c>
      <c r="N15" s="50">
        <v>52.8</v>
      </c>
      <c r="O15" s="50">
        <v>0</v>
      </c>
      <c r="P15" s="50">
        <v>0.3</v>
      </c>
      <c r="Q15" s="50">
        <v>5.05</v>
      </c>
    </row>
    <row r="16" spans="1:21" customFormat="1">
      <c r="A16" s="49">
        <v>45536.333333333336</v>
      </c>
      <c r="B16" s="50">
        <v>9.07</v>
      </c>
      <c r="C16" s="50">
        <v>4.38</v>
      </c>
      <c r="D16" s="50">
        <v>14</v>
      </c>
      <c r="E16" s="50">
        <v>9.82</v>
      </c>
      <c r="F16" s="50">
        <v>3.28</v>
      </c>
      <c r="G16" s="50">
        <v>30.01</v>
      </c>
      <c r="H16" s="50">
        <v>7.04</v>
      </c>
      <c r="I16" s="50">
        <v>4.25</v>
      </c>
      <c r="J16" s="50">
        <v>0.91</v>
      </c>
      <c r="K16" s="50">
        <v>67.62</v>
      </c>
      <c r="L16" s="50">
        <v>27.83</v>
      </c>
      <c r="M16" s="50">
        <v>86.27</v>
      </c>
      <c r="N16" s="50">
        <v>109.4</v>
      </c>
      <c r="O16" s="50">
        <v>0</v>
      </c>
      <c r="P16" s="50">
        <v>0.27</v>
      </c>
      <c r="Q16" s="50">
        <v>5.05</v>
      </c>
    </row>
    <row r="17" spans="1:17" customFormat="1">
      <c r="A17" s="49">
        <v>45536.375</v>
      </c>
      <c r="B17" s="50">
        <v>9.06</v>
      </c>
      <c r="C17" s="50">
        <v>4.3899999999999997</v>
      </c>
      <c r="D17" s="50">
        <v>14</v>
      </c>
      <c r="E17" s="50">
        <v>8.43</v>
      </c>
      <c r="F17" s="50">
        <v>3.36</v>
      </c>
      <c r="G17" s="50">
        <v>33.340000000000003</v>
      </c>
      <c r="H17" s="50">
        <v>7.04</v>
      </c>
      <c r="I17" s="50">
        <v>4.22</v>
      </c>
      <c r="J17" s="50">
        <v>0.74</v>
      </c>
      <c r="K17" s="50">
        <v>100.68</v>
      </c>
      <c r="L17" s="50">
        <v>28.45</v>
      </c>
      <c r="M17" s="50">
        <v>81</v>
      </c>
      <c r="N17" s="50">
        <v>191.3</v>
      </c>
      <c r="O17" s="50">
        <v>0</v>
      </c>
      <c r="P17" s="50">
        <v>0.27</v>
      </c>
      <c r="Q17" s="50">
        <v>5.0599999999999996</v>
      </c>
    </row>
    <row r="18" spans="1:17" customFormat="1">
      <c r="A18" s="49">
        <v>45536.416666666664</v>
      </c>
      <c r="B18" s="50">
        <v>9.07</v>
      </c>
      <c r="C18" s="50">
        <v>4.3899999999999997</v>
      </c>
      <c r="D18" s="50">
        <v>14</v>
      </c>
      <c r="E18" s="50">
        <v>8.23</v>
      </c>
      <c r="F18" s="50">
        <v>3.93</v>
      </c>
      <c r="G18" s="50">
        <v>33.340000000000003</v>
      </c>
      <c r="H18" s="50">
        <v>5.09</v>
      </c>
      <c r="I18" s="50">
        <v>4.1399999999999997</v>
      </c>
      <c r="J18" s="50">
        <v>1.01</v>
      </c>
      <c r="K18" s="50">
        <v>96.39</v>
      </c>
      <c r="L18" s="50">
        <v>29.97</v>
      </c>
      <c r="M18" s="50">
        <v>75.459999999999994</v>
      </c>
      <c r="N18" s="50">
        <v>440.6</v>
      </c>
      <c r="O18" s="50">
        <v>0</v>
      </c>
      <c r="P18" s="50">
        <v>0.27</v>
      </c>
      <c r="Q18" s="50">
        <v>5.0599999999999996</v>
      </c>
    </row>
    <row r="19" spans="1:17" customFormat="1">
      <c r="A19" s="49">
        <v>45536.458333333336</v>
      </c>
      <c r="B19" s="50">
        <v>9.08</v>
      </c>
      <c r="C19" s="50">
        <v>4.38</v>
      </c>
      <c r="D19" s="50">
        <v>14</v>
      </c>
      <c r="E19" s="50">
        <v>11.12</v>
      </c>
      <c r="F19" s="50">
        <v>4.01</v>
      </c>
      <c r="G19" s="50">
        <v>30.09</v>
      </c>
      <c r="H19" s="50">
        <v>6.09</v>
      </c>
      <c r="I19" s="50">
        <v>4.0599999999999996</v>
      </c>
      <c r="J19" s="50">
        <v>0.38</v>
      </c>
      <c r="K19" s="50">
        <v>122.01</v>
      </c>
      <c r="L19" s="50">
        <v>30.53</v>
      </c>
      <c r="M19" s="50">
        <v>73.23</v>
      </c>
      <c r="N19" s="50">
        <v>295</v>
      </c>
      <c r="O19" s="50">
        <v>0</v>
      </c>
      <c r="P19" s="50">
        <v>0.31</v>
      </c>
      <c r="Q19" s="50">
        <v>5.04</v>
      </c>
    </row>
    <row r="20" spans="1:17" customFormat="1">
      <c r="A20" s="49">
        <v>45536.5</v>
      </c>
      <c r="B20" s="50">
        <v>9.06</v>
      </c>
      <c r="C20" s="50">
        <v>4.3899999999999997</v>
      </c>
      <c r="D20" s="50">
        <v>14</v>
      </c>
      <c r="E20" s="50">
        <v>11.47</v>
      </c>
      <c r="F20" s="50">
        <v>3.82</v>
      </c>
      <c r="G20" s="50">
        <v>32.35</v>
      </c>
      <c r="H20" s="50">
        <v>7.98</v>
      </c>
      <c r="I20" s="50">
        <v>3.9</v>
      </c>
      <c r="J20" s="50">
        <v>0.41</v>
      </c>
      <c r="K20" s="50">
        <v>121.84</v>
      </c>
      <c r="L20" s="50">
        <v>31.6</v>
      </c>
      <c r="M20" s="50">
        <v>70.33</v>
      </c>
      <c r="N20" s="50">
        <v>784.6</v>
      </c>
      <c r="O20" s="50">
        <v>0</v>
      </c>
      <c r="P20" s="50">
        <v>0.31</v>
      </c>
      <c r="Q20" s="50">
        <v>5.05</v>
      </c>
    </row>
    <row r="21" spans="1:17" customFormat="1">
      <c r="A21" s="49">
        <v>45536.541666666664</v>
      </c>
      <c r="B21" s="50">
        <v>9.07</v>
      </c>
      <c r="C21" s="50">
        <v>4.3899999999999997</v>
      </c>
      <c r="D21" s="50">
        <v>14</v>
      </c>
      <c r="E21" s="50">
        <v>12.01</v>
      </c>
      <c r="F21" s="50">
        <v>4.3600000000000003</v>
      </c>
      <c r="G21" s="50">
        <v>32.35</v>
      </c>
      <c r="H21" s="50">
        <v>10.36</v>
      </c>
      <c r="I21" s="50">
        <v>3.7</v>
      </c>
      <c r="J21" s="50">
        <v>0.8</v>
      </c>
      <c r="K21" s="50">
        <v>67.959999999999994</v>
      </c>
      <c r="L21" s="50">
        <v>31.34</v>
      </c>
      <c r="M21" s="50">
        <v>69.3</v>
      </c>
      <c r="N21" s="50">
        <v>339.3</v>
      </c>
      <c r="O21" s="50">
        <v>0</v>
      </c>
      <c r="P21" s="50">
        <v>0.3</v>
      </c>
      <c r="Q21" s="50">
        <v>5.05</v>
      </c>
    </row>
    <row r="22" spans="1:17" customFormat="1">
      <c r="A22" s="49">
        <v>45536.583333333336</v>
      </c>
      <c r="B22" s="50">
        <v>9.06</v>
      </c>
      <c r="C22" s="50">
        <v>4.4000000000000004</v>
      </c>
      <c r="D22" s="50">
        <v>14</v>
      </c>
      <c r="E22" s="50">
        <v>11.79</v>
      </c>
      <c r="F22" s="50">
        <v>5.21</v>
      </c>
      <c r="G22" s="50">
        <v>31.56</v>
      </c>
      <c r="H22" s="50">
        <v>10.36</v>
      </c>
      <c r="I22" s="50">
        <v>3.55</v>
      </c>
      <c r="J22" s="50">
        <v>0.8</v>
      </c>
      <c r="K22" s="50">
        <v>74.13</v>
      </c>
      <c r="L22" s="50">
        <v>31.96</v>
      </c>
      <c r="M22" s="50">
        <v>66.84</v>
      </c>
      <c r="N22" s="50">
        <v>336.8</v>
      </c>
      <c r="O22" s="50">
        <v>0</v>
      </c>
      <c r="P22" s="50">
        <v>0.28999999999999998</v>
      </c>
      <c r="Q22" s="50">
        <v>5.05</v>
      </c>
    </row>
    <row r="23" spans="1:17" customFormat="1">
      <c r="A23" s="49">
        <v>45536.625</v>
      </c>
      <c r="B23" s="50">
        <v>9.06</v>
      </c>
      <c r="C23" s="50">
        <v>4.41</v>
      </c>
      <c r="D23" s="50">
        <v>14</v>
      </c>
      <c r="E23" s="50">
        <v>12.22</v>
      </c>
      <c r="F23" s="50">
        <v>5.17</v>
      </c>
      <c r="G23" s="50">
        <v>31.56</v>
      </c>
      <c r="H23" s="50">
        <v>7.62</v>
      </c>
      <c r="I23" s="50">
        <v>3.44</v>
      </c>
      <c r="J23" s="50">
        <v>1.43</v>
      </c>
      <c r="K23" s="50">
        <v>72.739999999999995</v>
      </c>
      <c r="L23" s="50">
        <v>31.13</v>
      </c>
      <c r="M23" s="50">
        <v>70.959999999999994</v>
      </c>
      <c r="N23" s="50">
        <v>202.6</v>
      </c>
      <c r="O23" s="50">
        <v>0</v>
      </c>
      <c r="P23" s="50">
        <v>0.37</v>
      </c>
      <c r="Q23" s="50">
        <v>5.03</v>
      </c>
    </row>
    <row r="24" spans="1:17" customFormat="1">
      <c r="A24" s="49">
        <v>45536.666666666664</v>
      </c>
      <c r="B24" s="50">
        <v>9.17</v>
      </c>
      <c r="C24" s="50">
        <v>4.41</v>
      </c>
      <c r="D24" s="50">
        <v>14</v>
      </c>
      <c r="E24" s="50">
        <v>12.66</v>
      </c>
      <c r="F24" s="50">
        <v>7.83</v>
      </c>
      <c r="G24" s="50">
        <v>34.9</v>
      </c>
      <c r="H24" s="50">
        <v>10.58</v>
      </c>
      <c r="I24" s="50">
        <v>3.38</v>
      </c>
      <c r="J24" s="50">
        <v>1.1399999999999999</v>
      </c>
      <c r="K24" s="50">
        <v>68.38</v>
      </c>
      <c r="L24" s="50">
        <v>30.73</v>
      </c>
      <c r="M24" s="50">
        <v>71.900000000000006</v>
      </c>
      <c r="N24" s="50">
        <v>162</v>
      </c>
      <c r="O24" s="50">
        <v>0</v>
      </c>
      <c r="P24" s="50">
        <v>0.36</v>
      </c>
      <c r="Q24" s="50">
        <v>5.03</v>
      </c>
    </row>
    <row r="25" spans="1:17" customFormat="1">
      <c r="A25" s="49">
        <v>45536.708333333336</v>
      </c>
      <c r="B25" s="50">
        <v>9.15</v>
      </c>
      <c r="C25" s="50">
        <v>4.26</v>
      </c>
      <c r="D25" s="50">
        <v>14</v>
      </c>
      <c r="E25" s="50">
        <v>12.37</v>
      </c>
      <c r="F25" s="50">
        <v>7.8</v>
      </c>
      <c r="G25" s="50">
        <v>38.880000000000003</v>
      </c>
      <c r="H25" s="50">
        <v>10.58</v>
      </c>
      <c r="I25" s="50">
        <v>3.44</v>
      </c>
      <c r="J25" s="50">
        <v>1.06</v>
      </c>
      <c r="K25" s="50">
        <v>62.4</v>
      </c>
      <c r="L25" s="50">
        <v>30.64</v>
      </c>
      <c r="M25" s="50">
        <v>74.56</v>
      </c>
      <c r="N25" s="50">
        <v>138.6</v>
      </c>
      <c r="O25" s="50">
        <v>0</v>
      </c>
      <c r="P25" s="50">
        <v>0.36</v>
      </c>
      <c r="Q25" s="50">
        <v>5.04</v>
      </c>
    </row>
    <row r="26" spans="1:17" customFormat="1">
      <c r="A26" s="49">
        <v>45536.75</v>
      </c>
      <c r="B26" s="50">
        <v>9.1199999999999992</v>
      </c>
      <c r="C26" s="50">
        <v>4.29</v>
      </c>
      <c r="D26" s="50">
        <v>14</v>
      </c>
      <c r="E26" s="50">
        <v>11.8</v>
      </c>
      <c r="F26" s="50">
        <v>7.33</v>
      </c>
      <c r="G26" s="50">
        <v>38.880000000000003</v>
      </c>
      <c r="H26" s="50">
        <v>8.92</v>
      </c>
      <c r="I26" s="50">
        <v>3.35</v>
      </c>
      <c r="J26" s="50">
        <v>0.83</v>
      </c>
      <c r="K26" s="50">
        <v>73.5</v>
      </c>
      <c r="L26" s="50">
        <v>29.39</v>
      </c>
      <c r="M26" s="50">
        <v>81.540000000000006</v>
      </c>
      <c r="N26" s="50">
        <v>19.399999999999999</v>
      </c>
      <c r="O26" s="50">
        <v>0</v>
      </c>
      <c r="P26" s="50">
        <v>0.36</v>
      </c>
      <c r="Q26" s="50">
        <v>5.04</v>
      </c>
    </row>
    <row r="27" spans="1:17" customFormat="1">
      <c r="A27" s="49">
        <v>45536.791666666664</v>
      </c>
      <c r="B27" s="50">
        <v>9.11</v>
      </c>
      <c r="C27" s="50">
        <v>4.3600000000000003</v>
      </c>
      <c r="D27" s="50">
        <v>14</v>
      </c>
      <c r="E27" s="50">
        <v>8.27</v>
      </c>
      <c r="F27" s="50">
        <v>9.93</v>
      </c>
      <c r="G27" s="50">
        <v>37.880000000000003</v>
      </c>
      <c r="H27" s="50">
        <v>7.94</v>
      </c>
      <c r="I27" s="50">
        <v>3.76</v>
      </c>
      <c r="J27" s="50">
        <v>0.86</v>
      </c>
      <c r="K27" s="50">
        <v>61.15</v>
      </c>
      <c r="L27" s="50">
        <v>28.55</v>
      </c>
      <c r="M27" s="50">
        <v>83.24</v>
      </c>
      <c r="N27" s="50">
        <v>3.1</v>
      </c>
      <c r="O27" s="50">
        <v>0</v>
      </c>
      <c r="P27" s="50">
        <v>0.43</v>
      </c>
      <c r="Q27" s="50">
        <v>5.05</v>
      </c>
    </row>
    <row r="28" spans="1:17" customFormat="1">
      <c r="A28" s="49">
        <v>45536.833333333336</v>
      </c>
      <c r="B28" s="50">
        <v>9.1</v>
      </c>
      <c r="C28" s="50">
        <v>4.3499999999999996</v>
      </c>
      <c r="D28" s="50">
        <v>14</v>
      </c>
      <c r="E28" s="50">
        <v>8.43</v>
      </c>
      <c r="F28" s="50">
        <v>9.6300000000000008</v>
      </c>
      <c r="G28" s="50">
        <v>46.84</v>
      </c>
      <c r="H28" s="50">
        <v>9.1</v>
      </c>
      <c r="I28" s="50">
        <v>3.88</v>
      </c>
      <c r="J28" s="50">
        <v>0.68</v>
      </c>
      <c r="K28" s="50">
        <v>75</v>
      </c>
      <c r="L28" s="50">
        <v>28.58</v>
      </c>
      <c r="M28" s="50">
        <v>80.22</v>
      </c>
      <c r="N28" s="50">
        <v>2.2999999999999998</v>
      </c>
      <c r="O28" s="50">
        <v>0</v>
      </c>
      <c r="P28" s="50">
        <v>0.38</v>
      </c>
      <c r="Q28" s="50">
        <v>5.05</v>
      </c>
    </row>
    <row r="29" spans="1:17" customFormat="1">
      <c r="A29" s="49">
        <v>45536.875</v>
      </c>
      <c r="B29" s="50">
        <v>9.11</v>
      </c>
      <c r="C29" s="50">
        <v>4.3099999999999996</v>
      </c>
      <c r="D29" s="50">
        <v>14</v>
      </c>
      <c r="E29" s="50">
        <v>9.2799999999999994</v>
      </c>
      <c r="F29" s="50">
        <v>6.05</v>
      </c>
      <c r="G29" s="50">
        <v>46.84</v>
      </c>
      <c r="H29" s="50">
        <v>9.1</v>
      </c>
      <c r="I29" s="50">
        <v>3.87</v>
      </c>
      <c r="J29" s="50">
        <v>0.79</v>
      </c>
      <c r="K29" s="50">
        <v>73.16</v>
      </c>
      <c r="L29" s="50">
        <v>28.55</v>
      </c>
      <c r="M29" s="50">
        <v>79.89</v>
      </c>
      <c r="N29" s="50">
        <v>2.5</v>
      </c>
      <c r="O29" s="50">
        <v>0</v>
      </c>
      <c r="P29" s="50">
        <v>0.4</v>
      </c>
      <c r="Q29" s="50">
        <v>5.05</v>
      </c>
    </row>
    <row r="30" spans="1:17" customFormat="1">
      <c r="A30" s="49">
        <v>45536.916666666664</v>
      </c>
      <c r="B30" s="50">
        <v>9.09</v>
      </c>
      <c r="C30" s="50">
        <v>4.3600000000000003</v>
      </c>
      <c r="D30" s="50">
        <v>14</v>
      </c>
      <c r="E30" s="50">
        <v>9.84</v>
      </c>
      <c r="F30" s="50">
        <v>3.49</v>
      </c>
      <c r="G30" s="50">
        <v>38.729999999999997</v>
      </c>
      <c r="H30" s="50">
        <v>8.14</v>
      </c>
      <c r="I30" s="50">
        <v>3.62</v>
      </c>
      <c r="J30" s="50">
        <v>0.54</v>
      </c>
      <c r="K30" s="50">
        <v>88.37</v>
      </c>
      <c r="L30" s="50">
        <v>27.73</v>
      </c>
      <c r="M30" s="50">
        <v>91.15</v>
      </c>
      <c r="N30" s="50">
        <v>3.3</v>
      </c>
      <c r="O30" s="50">
        <v>0.4</v>
      </c>
      <c r="P30" s="50">
        <v>0.4</v>
      </c>
      <c r="Q30" s="50">
        <v>5.03</v>
      </c>
    </row>
    <row r="31" spans="1:17" customFormat="1">
      <c r="A31" s="49">
        <v>45536.958333333336</v>
      </c>
      <c r="B31" s="50">
        <v>9.08</v>
      </c>
      <c r="C31" s="50">
        <v>4.3600000000000003</v>
      </c>
      <c r="D31" s="50">
        <v>14</v>
      </c>
      <c r="E31" s="50">
        <v>10.24</v>
      </c>
      <c r="F31" s="50">
        <v>3.54</v>
      </c>
      <c r="G31" s="50">
        <v>38.729999999999997</v>
      </c>
      <c r="H31" s="50">
        <v>6.19</v>
      </c>
      <c r="I31" s="50">
        <v>3.46</v>
      </c>
      <c r="J31" s="50">
        <v>0.38</v>
      </c>
      <c r="K31" s="50">
        <v>85.59</v>
      </c>
      <c r="L31" s="50">
        <v>26.68</v>
      </c>
      <c r="M31" s="50">
        <v>94.94</v>
      </c>
      <c r="N31" s="50">
        <v>2.7</v>
      </c>
      <c r="O31" s="50">
        <v>0.4</v>
      </c>
      <c r="P31" s="50">
        <v>0.39</v>
      </c>
      <c r="Q31" s="50">
        <v>5.04</v>
      </c>
    </row>
    <row r="32" spans="1:17" customFormat="1">
      <c r="A32" s="49">
        <v>45537</v>
      </c>
      <c r="B32" s="50">
        <v>9.07</v>
      </c>
      <c r="C32" s="50">
        <v>4.38</v>
      </c>
      <c r="D32" s="50">
        <v>14</v>
      </c>
      <c r="E32" s="50">
        <v>11.06</v>
      </c>
      <c r="F32" s="50">
        <v>2.64</v>
      </c>
      <c r="G32" s="50">
        <v>27.36</v>
      </c>
      <c r="H32" s="50">
        <v>4.7</v>
      </c>
      <c r="I32" s="50">
        <v>3.38</v>
      </c>
      <c r="J32" s="50">
        <v>0.25</v>
      </c>
      <c r="K32" s="50">
        <v>143.36000000000001</v>
      </c>
      <c r="L32" s="50">
        <v>26.96</v>
      </c>
      <c r="M32" s="50">
        <v>93.06</v>
      </c>
      <c r="N32" s="50">
        <v>2.9</v>
      </c>
      <c r="O32" s="50">
        <v>0</v>
      </c>
      <c r="P32" s="50">
        <v>0.38</v>
      </c>
      <c r="Q32" s="50">
        <v>5.05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9.0500000000000007</v>
      </c>
      <c r="C34" s="40">
        <f t="shared" si="0"/>
        <v>4.26</v>
      </c>
      <c r="D34" s="40">
        <f t="shared" si="0"/>
        <v>14</v>
      </c>
      <c r="E34" s="40">
        <f t="shared" si="0"/>
        <v>8.23</v>
      </c>
      <c r="F34" s="40">
        <f t="shared" si="0"/>
        <v>2.38</v>
      </c>
      <c r="G34" s="40">
        <f t="shared" si="0"/>
        <v>27.36</v>
      </c>
      <c r="H34" s="40">
        <f t="shared" si="0"/>
        <v>4.7</v>
      </c>
      <c r="I34" s="40">
        <f t="shared" si="0"/>
        <v>3.35</v>
      </c>
      <c r="J34" s="40">
        <f t="shared" si="0"/>
        <v>0.25</v>
      </c>
      <c r="K34" s="40">
        <f t="shared" si="0"/>
        <v>57.64</v>
      </c>
      <c r="L34" s="40">
        <f t="shared" si="0"/>
        <v>26.52</v>
      </c>
      <c r="M34" s="40">
        <f t="shared" si="0"/>
        <v>66.84</v>
      </c>
      <c r="N34" s="40">
        <f t="shared" si="0"/>
        <v>2.1</v>
      </c>
      <c r="O34" s="40">
        <f t="shared" si="0"/>
        <v>0</v>
      </c>
      <c r="P34" s="40">
        <f t="shared" si="0"/>
        <v>0.27</v>
      </c>
      <c r="Q34" s="40">
        <f t="shared" si="0"/>
        <v>5.03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9.17</v>
      </c>
      <c r="C35" s="33">
        <f t="shared" si="1"/>
        <v>4.43</v>
      </c>
      <c r="D35" s="33">
        <f t="shared" si="1"/>
        <v>14</v>
      </c>
      <c r="E35" s="33">
        <f t="shared" si="1"/>
        <v>12.66</v>
      </c>
      <c r="F35" s="33">
        <f t="shared" si="1"/>
        <v>9.93</v>
      </c>
      <c r="G35" s="33">
        <f t="shared" si="1"/>
        <v>57.3</v>
      </c>
      <c r="H35" s="33">
        <f t="shared" si="1"/>
        <v>15.62</v>
      </c>
      <c r="I35" s="33">
        <f t="shared" si="1"/>
        <v>5.58</v>
      </c>
      <c r="J35" s="33">
        <f t="shared" si="1"/>
        <v>1.43</v>
      </c>
      <c r="K35" s="33">
        <f t="shared" si="1"/>
        <v>143.36000000000001</v>
      </c>
      <c r="L35" s="33">
        <f t="shared" si="1"/>
        <v>31.96</v>
      </c>
      <c r="M35" s="33">
        <f t="shared" si="1"/>
        <v>94.94</v>
      </c>
      <c r="N35" s="33">
        <f t="shared" si="1"/>
        <v>784.6</v>
      </c>
      <c r="O35" s="33">
        <f t="shared" si="1"/>
        <v>0.4</v>
      </c>
      <c r="P35" s="33">
        <f t="shared" si="1"/>
        <v>0.43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9.0854166666666671</v>
      </c>
      <c r="C36" s="40">
        <f t="shared" si="2"/>
        <v>4.37</v>
      </c>
      <c r="D36" s="40">
        <f t="shared" si="2"/>
        <v>14</v>
      </c>
      <c r="E36" s="40">
        <f t="shared" si="2"/>
        <v>10.601250000000002</v>
      </c>
      <c r="F36" s="40">
        <f t="shared" si="2"/>
        <v>4.9254166666666661</v>
      </c>
      <c r="G36" s="40">
        <f t="shared" si="2"/>
        <v>37.690416666666671</v>
      </c>
      <c r="H36" s="40">
        <f t="shared" si="2"/>
        <v>9.0345833333333356</v>
      </c>
      <c r="I36" s="40">
        <f t="shared" si="2"/>
        <v>4.0908333333333333</v>
      </c>
      <c r="J36" s="40">
        <f t="shared" si="2"/>
        <v>0.81791666666666663</v>
      </c>
      <c r="K36" s="40">
        <f t="shared" si="2"/>
        <v>79.463333333333352</v>
      </c>
      <c r="L36" s="40">
        <f t="shared" si="2"/>
        <v>28.741666666666664</v>
      </c>
      <c r="M36" s="40">
        <f t="shared" si="2"/>
        <v>82.533333333333346</v>
      </c>
      <c r="N36" s="40">
        <f t="shared" si="2"/>
        <v>129.43333333333337</v>
      </c>
      <c r="O36" s="40">
        <f t="shared" si="2"/>
        <v>3.3333333333333333E-2</v>
      </c>
      <c r="P36" s="40">
        <f t="shared" si="2"/>
        <v>0.34250000000000003</v>
      </c>
      <c r="Q36" s="40">
        <f t="shared" si="2"/>
        <v>5.0437500000000002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3.3748322556273865E-2</v>
      </c>
      <c r="C37" s="40">
        <f t="shared" ref="C37:Q37" si="3">STDEV(C9:C32)</f>
        <v>4.5396801266360122E-2</v>
      </c>
      <c r="D37" s="40">
        <f t="shared" si="3"/>
        <v>0</v>
      </c>
      <c r="E37" s="40">
        <f t="shared" si="3"/>
        <v>1.3358381589685269</v>
      </c>
      <c r="F37" s="40">
        <f t="shared" si="3"/>
        <v>2.2943294543128605</v>
      </c>
      <c r="G37" s="40">
        <f t="shared" si="3"/>
        <v>7.8970244694450678</v>
      </c>
      <c r="H37" s="40">
        <f t="shared" si="3"/>
        <v>2.962211246858411</v>
      </c>
      <c r="I37" s="40">
        <f t="shared" si="3"/>
        <v>0.69495646824360546</v>
      </c>
      <c r="J37" s="40">
        <f t="shared" si="3"/>
        <v>0.29035179811164707</v>
      </c>
      <c r="K37" s="40">
        <f t="shared" si="3"/>
        <v>22.332483003496183</v>
      </c>
      <c r="L37" s="40">
        <f t="shared" si="3"/>
        <v>1.8005015404330464</v>
      </c>
      <c r="M37" s="40">
        <f t="shared" si="3"/>
        <v>9.0818546595928407</v>
      </c>
      <c r="N37" s="40">
        <f t="shared" si="3"/>
        <v>193.54551574931068</v>
      </c>
      <c r="O37" s="40">
        <f t="shared" si="3"/>
        <v>0.11293194051465599</v>
      </c>
      <c r="P37" s="40">
        <f t="shared" si="3"/>
        <v>4.5991492597048225E-2</v>
      </c>
      <c r="Q37" s="40">
        <f t="shared" si="3"/>
        <v>9.2372120770564791E-3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45537.041666666664</v>
      </c>
      <c r="B9" s="50">
        <v>9.2799999999999994</v>
      </c>
      <c r="C9" s="50">
        <v>4.24</v>
      </c>
      <c r="D9" s="50">
        <v>14.07</v>
      </c>
      <c r="E9" s="50">
        <v>11.43</v>
      </c>
      <c r="F9" s="50">
        <v>3.18</v>
      </c>
      <c r="G9" s="50">
        <v>34.57</v>
      </c>
      <c r="H9" s="50">
        <v>5.75</v>
      </c>
      <c r="I9" s="50">
        <v>3.38</v>
      </c>
      <c r="J9" s="50">
        <v>0.56999999999999995</v>
      </c>
      <c r="K9" s="50">
        <v>82.36</v>
      </c>
      <c r="L9" s="50">
        <v>26.87</v>
      </c>
      <c r="M9" s="50">
        <v>92.5</v>
      </c>
      <c r="N9" s="50">
        <v>3.1</v>
      </c>
      <c r="O9" s="50">
        <v>0</v>
      </c>
      <c r="P9" s="50">
        <v>0.38</v>
      </c>
      <c r="Q9" s="50">
        <v>5.04</v>
      </c>
    </row>
    <row r="10" spans="1:21" customFormat="1">
      <c r="A10" s="49">
        <v>45537.083333333336</v>
      </c>
      <c r="B10" s="50">
        <v>9.32</v>
      </c>
      <c r="C10" s="50">
        <v>4.08</v>
      </c>
      <c r="D10" s="50">
        <v>14.04</v>
      </c>
      <c r="E10" s="50">
        <v>10.63</v>
      </c>
      <c r="F10" s="50">
        <v>3.28</v>
      </c>
      <c r="G10" s="50">
        <v>34.57</v>
      </c>
      <c r="H10" s="50">
        <v>5.75</v>
      </c>
      <c r="I10" s="50">
        <v>3.37</v>
      </c>
      <c r="J10" s="50">
        <v>0.68</v>
      </c>
      <c r="K10" s="50">
        <v>78.430000000000007</v>
      </c>
      <c r="L10" s="50">
        <v>26.51</v>
      </c>
      <c r="M10" s="50">
        <v>92.23</v>
      </c>
      <c r="N10" s="50">
        <v>3</v>
      </c>
      <c r="O10" s="50">
        <v>0</v>
      </c>
      <c r="P10" s="50">
        <v>0.35</v>
      </c>
      <c r="Q10" s="50">
        <v>5.05</v>
      </c>
    </row>
    <row r="11" spans="1:21" customFormat="1">
      <c r="A11" s="49">
        <v>45537.125</v>
      </c>
      <c r="B11" s="50">
        <v>9.33</v>
      </c>
      <c r="C11" s="50">
        <v>4.12</v>
      </c>
      <c r="D11" s="50">
        <v>14.06</v>
      </c>
      <c r="E11" s="50">
        <v>9.27</v>
      </c>
      <c r="F11" s="50">
        <v>5.21</v>
      </c>
      <c r="G11" s="50">
        <v>26.46</v>
      </c>
      <c r="H11" s="50">
        <v>5.12</v>
      </c>
      <c r="I11" s="50">
        <v>3.33</v>
      </c>
      <c r="J11" s="50">
        <v>0.53</v>
      </c>
      <c r="K11" s="50">
        <v>78.510000000000005</v>
      </c>
      <c r="L11" s="50">
        <v>26.24</v>
      </c>
      <c r="M11" s="50">
        <v>91.82</v>
      </c>
      <c r="N11" s="50">
        <v>2.5</v>
      </c>
      <c r="O11" s="50">
        <v>0</v>
      </c>
      <c r="P11" s="50">
        <v>0.31</v>
      </c>
      <c r="Q11" s="50">
        <v>5.05</v>
      </c>
    </row>
    <row r="12" spans="1:21" customFormat="1">
      <c r="A12" s="49">
        <v>45537.166666666664</v>
      </c>
      <c r="B12" s="50">
        <v>9.34</v>
      </c>
      <c r="C12" s="50">
        <v>4.1100000000000003</v>
      </c>
      <c r="D12" s="50">
        <v>14.08</v>
      </c>
      <c r="E12" s="50">
        <v>8.59</v>
      </c>
      <c r="F12" s="50">
        <v>5.5</v>
      </c>
      <c r="G12" s="50">
        <v>26.46</v>
      </c>
      <c r="H12" s="50">
        <v>3.89</v>
      </c>
      <c r="I12" s="50">
        <v>3.33</v>
      </c>
      <c r="J12" s="50">
        <v>0.44</v>
      </c>
      <c r="K12" s="50">
        <v>74.91</v>
      </c>
      <c r="L12" s="50">
        <v>26.26</v>
      </c>
      <c r="M12" s="50">
        <v>91.26</v>
      </c>
      <c r="N12" s="50">
        <v>2.4</v>
      </c>
      <c r="O12" s="50">
        <v>0</v>
      </c>
      <c r="P12" s="50">
        <v>0.28000000000000003</v>
      </c>
      <c r="Q12" s="50">
        <v>5.0599999999999996</v>
      </c>
    </row>
    <row r="13" spans="1:21" customFormat="1">
      <c r="A13" s="49">
        <v>45537.208333333336</v>
      </c>
      <c r="B13" s="50">
        <v>9.35</v>
      </c>
      <c r="C13" s="50">
        <v>4.07</v>
      </c>
      <c r="D13" s="50">
        <v>14.07</v>
      </c>
      <c r="E13" s="50">
        <v>9.39</v>
      </c>
      <c r="F13" s="50">
        <v>4.84</v>
      </c>
      <c r="G13" s="50">
        <v>18.670000000000002</v>
      </c>
      <c r="H13" s="50">
        <v>3.13</v>
      </c>
      <c r="I13" s="50">
        <v>3.14</v>
      </c>
      <c r="J13" s="50">
        <v>0.53</v>
      </c>
      <c r="K13" s="50">
        <v>81.55</v>
      </c>
      <c r="L13" s="50">
        <v>26.19</v>
      </c>
      <c r="M13" s="50">
        <v>90.8</v>
      </c>
      <c r="N13" s="50">
        <v>2.4</v>
      </c>
      <c r="O13" s="50">
        <v>0</v>
      </c>
      <c r="P13" s="50">
        <v>0.26</v>
      </c>
      <c r="Q13" s="50">
        <v>5.0599999999999996</v>
      </c>
    </row>
    <row r="14" spans="1:21" customFormat="1">
      <c r="A14" s="49">
        <v>45537.25</v>
      </c>
      <c r="B14" s="50">
        <v>9.34</v>
      </c>
      <c r="C14" s="50">
        <v>4.1100000000000003</v>
      </c>
      <c r="D14" s="50">
        <v>14.07</v>
      </c>
      <c r="E14" s="50">
        <v>8.26</v>
      </c>
      <c r="F14" s="50">
        <v>4.1399999999999997</v>
      </c>
      <c r="G14" s="50">
        <v>19.47</v>
      </c>
      <c r="H14" s="50">
        <v>4.22</v>
      </c>
      <c r="I14" s="50">
        <v>3.17</v>
      </c>
      <c r="J14" s="50">
        <v>0.64</v>
      </c>
      <c r="K14" s="50">
        <v>83.63</v>
      </c>
      <c r="L14" s="50">
        <v>26.22</v>
      </c>
      <c r="M14" s="50">
        <v>90.56</v>
      </c>
      <c r="N14" s="50">
        <v>8.1999999999999993</v>
      </c>
      <c r="O14" s="50">
        <v>0</v>
      </c>
      <c r="P14" s="50">
        <v>0.32</v>
      </c>
      <c r="Q14" s="50">
        <v>5.0599999999999996</v>
      </c>
    </row>
    <row r="15" spans="1:21" customFormat="1">
      <c r="A15" s="49">
        <v>45537.291666666664</v>
      </c>
      <c r="B15" s="50">
        <v>9.31</v>
      </c>
      <c r="C15" s="50">
        <v>4.08</v>
      </c>
      <c r="D15" s="50">
        <v>14.05</v>
      </c>
      <c r="E15" s="50">
        <v>8.6999999999999993</v>
      </c>
      <c r="F15" s="50">
        <v>2.17</v>
      </c>
      <c r="G15" s="50">
        <v>19.47</v>
      </c>
      <c r="H15" s="50">
        <v>4.22</v>
      </c>
      <c r="I15" s="50">
        <v>3.24</v>
      </c>
      <c r="J15" s="50">
        <v>0.57999999999999996</v>
      </c>
      <c r="K15" s="50">
        <v>90.67</v>
      </c>
      <c r="L15" s="50">
        <v>26.56</v>
      </c>
      <c r="M15" s="50">
        <v>88.91</v>
      </c>
      <c r="N15" s="50">
        <v>44.2</v>
      </c>
      <c r="O15" s="50">
        <v>0</v>
      </c>
      <c r="P15" s="50">
        <v>0.34</v>
      </c>
      <c r="Q15" s="50">
        <v>5.05</v>
      </c>
    </row>
    <row r="16" spans="1:21" customFormat="1">
      <c r="A16" s="49">
        <v>45537.333333333336</v>
      </c>
      <c r="B16" s="50">
        <v>9.3000000000000007</v>
      </c>
      <c r="C16" s="50">
        <v>4.0999999999999996</v>
      </c>
      <c r="D16" s="50">
        <v>14.04</v>
      </c>
      <c r="E16" s="50">
        <v>9.48</v>
      </c>
      <c r="F16" s="50">
        <v>2.63</v>
      </c>
      <c r="G16" s="50">
        <v>25.34</v>
      </c>
      <c r="H16" s="50">
        <v>3.69</v>
      </c>
      <c r="I16" s="50">
        <v>3.33</v>
      </c>
      <c r="J16" s="50">
        <v>0.41</v>
      </c>
      <c r="K16" s="50">
        <v>122.5</v>
      </c>
      <c r="L16" s="50">
        <v>27.44</v>
      </c>
      <c r="M16" s="50">
        <v>87.02</v>
      </c>
      <c r="N16" s="50">
        <v>122.6</v>
      </c>
      <c r="O16" s="50">
        <v>0</v>
      </c>
      <c r="P16" s="50">
        <v>0.35</v>
      </c>
      <c r="Q16" s="50">
        <v>5.04</v>
      </c>
    </row>
    <row r="17" spans="1:17" customFormat="1">
      <c r="A17" s="49">
        <v>45537.375</v>
      </c>
      <c r="B17" s="50">
        <v>9.3000000000000007</v>
      </c>
      <c r="C17" s="50">
        <v>4.0999999999999996</v>
      </c>
      <c r="D17" s="50">
        <v>14.03</v>
      </c>
      <c r="E17" s="50">
        <v>9.07</v>
      </c>
      <c r="F17" s="50">
        <v>3.44</v>
      </c>
      <c r="G17" s="50">
        <v>25.9</v>
      </c>
      <c r="H17" s="50">
        <v>4.7699999999999996</v>
      </c>
      <c r="I17" s="50">
        <v>3.36</v>
      </c>
      <c r="J17" s="50">
        <v>0.33</v>
      </c>
      <c r="K17" s="50">
        <v>133.24</v>
      </c>
      <c r="L17" s="50">
        <v>28.72</v>
      </c>
      <c r="M17" s="50">
        <v>83.61</v>
      </c>
      <c r="N17" s="50">
        <v>171.8</v>
      </c>
      <c r="O17" s="50">
        <v>0</v>
      </c>
      <c r="P17" s="50">
        <v>0.35</v>
      </c>
      <c r="Q17" s="50">
        <v>5.05</v>
      </c>
    </row>
    <row r="18" spans="1:17" customFormat="1">
      <c r="A18" s="49">
        <v>45537.416666666664</v>
      </c>
      <c r="B18" s="50">
        <v>9.31</v>
      </c>
      <c r="C18" s="50">
        <v>4.09</v>
      </c>
      <c r="D18" s="50">
        <v>14.04</v>
      </c>
      <c r="E18" s="50">
        <v>9.5</v>
      </c>
      <c r="F18" s="50">
        <v>2.57</v>
      </c>
      <c r="G18" s="50">
        <v>25.9</v>
      </c>
      <c r="H18" s="50">
        <v>4.7699999999999996</v>
      </c>
      <c r="I18" s="50">
        <v>3.28</v>
      </c>
      <c r="J18" s="50">
        <v>0.35</v>
      </c>
      <c r="K18" s="50">
        <v>124.1</v>
      </c>
      <c r="L18" s="50">
        <v>29.09</v>
      </c>
      <c r="M18" s="50">
        <v>78.22</v>
      </c>
      <c r="N18" s="50">
        <v>220.2</v>
      </c>
      <c r="O18" s="50">
        <v>0</v>
      </c>
      <c r="P18" s="50">
        <v>0.35</v>
      </c>
      <c r="Q18" s="50">
        <v>5.04</v>
      </c>
    </row>
    <row r="19" spans="1:17" customFormat="1">
      <c r="A19" s="49">
        <v>45537.458333333336</v>
      </c>
      <c r="B19" s="50">
        <v>9.36</v>
      </c>
      <c r="C19" s="50">
        <v>4.09</v>
      </c>
      <c r="D19" s="50">
        <v>14.08</v>
      </c>
      <c r="E19" s="50">
        <v>8.92</v>
      </c>
      <c r="F19" s="50">
        <v>5.36</v>
      </c>
      <c r="G19" s="50">
        <v>20.67</v>
      </c>
      <c r="H19" s="50">
        <v>3.8</v>
      </c>
      <c r="I19" s="50">
        <v>3.1</v>
      </c>
      <c r="J19" s="50">
        <v>0.33</v>
      </c>
      <c r="K19" s="50">
        <v>149.15</v>
      </c>
      <c r="L19" s="50">
        <v>30.92</v>
      </c>
      <c r="M19" s="50">
        <v>74.48</v>
      </c>
      <c r="N19" s="50">
        <v>341.3</v>
      </c>
      <c r="O19" s="50">
        <v>0</v>
      </c>
      <c r="P19" s="50">
        <v>0.34</v>
      </c>
      <c r="Q19" s="50">
        <v>5.03</v>
      </c>
    </row>
    <row r="20" spans="1:17" customFormat="1">
      <c r="A20" s="49">
        <v>45537.5</v>
      </c>
      <c r="B20" s="50">
        <v>9.3699999999999992</v>
      </c>
      <c r="C20" s="50">
        <v>4.08</v>
      </c>
      <c r="D20" s="50">
        <v>14.09</v>
      </c>
      <c r="E20" s="50">
        <v>8.1999999999999993</v>
      </c>
      <c r="F20" s="50">
        <v>6.36</v>
      </c>
      <c r="G20" s="50">
        <v>20.74</v>
      </c>
      <c r="H20" s="50">
        <v>5.21</v>
      </c>
      <c r="I20" s="50">
        <v>3.21</v>
      </c>
      <c r="J20" s="50">
        <v>0.48</v>
      </c>
      <c r="K20" s="50">
        <v>133.54</v>
      </c>
      <c r="L20" s="50">
        <v>31.91</v>
      </c>
      <c r="M20" s="50">
        <v>67.45</v>
      </c>
      <c r="N20" s="50">
        <v>604.9</v>
      </c>
      <c r="O20" s="50">
        <v>0</v>
      </c>
      <c r="P20" s="50">
        <v>0.34</v>
      </c>
      <c r="Q20" s="50">
        <v>5.03</v>
      </c>
    </row>
    <row r="21" spans="1:17" customFormat="1">
      <c r="A21" s="49">
        <v>45537.541666666664</v>
      </c>
      <c r="B21" s="50">
        <v>9.3800000000000008</v>
      </c>
      <c r="C21" s="50">
        <v>4.1100000000000003</v>
      </c>
      <c r="D21" s="50">
        <v>14.1</v>
      </c>
      <c r="E21" s="50">
        <v>8.1</v>
      </c>
      <c r="F21" s="50">
        <v>4.97</v>
      </c>
      <c r="G21" s="50">
        <v>20.74</v>
      </c>
      <c r="H21" s="50">
        <v>5.21</v>
      </c>
      <c r="I21" s="50">
        <v>3.55</v>
      </c>
      <c r="J21" s="50">
        <v>0.51</v>
      </c>
      <c r="K21" s="50">
        <v>134.09</v>
      </c>
      <c r="L21" s="50">
        <v>32.43</v>
      </c>
      <c r="M21" s="50">
        <v>67.709999999999994</v>
      </c>
      <c r="N21" s="50">
        <v>822.2</v>
      </c>
      <c r="O21" s="50">
        <v>0</v>
      </c>
      <c r="P21" s="50">
        <v>0.35</v>
      </c>
      <c r="Q21" s="50">
        <v>5.0199999999999996</v>
      </c>
    </row>
    <row r="22" spans="1:17" customFormat="1">
      <c r="A22" s="49">
        <v>45537.583333333336</v>
      </c>
      <c r="B22" s="50">
        <v>9.42</v>
      </c>
      <c r="C22" s="50">
        <v>4.08</v>
      </c>
      <c r="D22" s="50">
        <v>14.14</v>
      </c>
      <c r="E22" s="50">
        <v>8.1</v>
      </c>
      <c r="F22" s="50">
        <v>3.48</v>
      </c>
      <c r="G22" s="50">
        <v>19.600000000000001</v>
      </c>
      <c r="H22" s="50">
        <v>4.04</v>
      </c>
      <c r="I22" s="50">
        <v>3.69</v>
      </c>
      <c r="J22" s="50">
        <v>0.52</v>
      </c>
      <c r="K22" s="50">
        <v>79.41</v>
      </c>
      <c r="L22" s="50">
        <v>32.58</v>
      </c>
      <c r="M22" s="50">
        <v>65.260000000000005</v>
      </c>
      <c r="N22" s="50">
        <v>460.9</v>
      </c>
      <c r="O22" s="50">
        <v>0</v>
      </c>
      <c r="P22" s="50">
        <v>0.36</v>
      </c>
      <c r="Q22" s="50">
        <v>5.0199999999999996</v>
      </c>
    </row>
    <row r="23" spans="1:17" customFormat="1">
      <c r="A23" s="49">
        <v>45537.625</v>
      </c>
      <c r="B23" s="50">
        <v>9.44</v>
      </c>
      <c r="C23" s="50">
        <v>4.0999999999999996</v>
      </c>
      <c r="D23" s="50">
        <v>14.15</v>
      </c>
      <c r="E23" s="50">
        <v>7.79</v>
      </c>
      <c r="F23" s="50">
        <v>3.82</v>
      </c>
      <c r="G23" s="50">
        <v>21.39</v>
      </c>
      <c r="H23" s="50">
        <v>3.26</v>
      </c>
      <c r="I23" s="50">
        <v>3.73</v>
      </c>
      <c r="J23" s="50">
        <v>1.02</v>
      </c>
      <c r="K23" s="50">
        <v>131.99</v>
      </c>
      <c r="L23" s="50">
        <v>31.98</v>
      </c>
      <c r="M23" s="50">
        <v>72.819999999999993</v>
      </c>
      <c r="N23" s="50">
        <v>172.7</v>
      </c>
      <c r="O23" s="50">
        <v>0</v>
      </c>
      <c r="P23" s="50">
        <v>0.37</v>
      </c>
      <c r="Q23" s="50">
        <v>5.04</v>
      </c>
    </row>
    <row r="24" spans="1:17" customFormat="1">
      <c r="A24" s="49">
        <v>45537.666666666664</v>
      </c>
      <c r="B24" s="50">
        <v>9.44</v>
      </c>
      <c r="C24" s="50">
        <v>4.0999999999999996</v>
      </c>
      <c r="D24" s="50">
        <v>14.16</v>
      </c>
      <c r="E24" s="50">
        <v>7.34</v>
      </c>
      <c r="F24" s="50">
        <v>4.71</v>
      </c>
      <c r="G24" s="50">
        <v>21.39</v>
      </c>
      <c r="H24" s="50">
        <v>4.04</v>
      </c>
      <c r="I24" s="50">
        <v>3.57</v>
      </c>
      <c r="J24" s="50">
        <v>0.88</v>
      </c>
      <c r="K24" s="50">
        <v>82.82</v>
      </c>
      <c r="L24" s="50">
        <v>31.33</v>
      </c>
      <c r="M24" s="50">
        <v>74.88</v>
      </c>
      <c r="N24" s="50">
        <v>427.2</v>
      </c>
      <c r="O24" s="50">
        <v>0</v>
      </c>
      <c r="P24" s="50">
        <v>0.34</v>
      </c>
      <c r="Q24" s="50">
        <v>5.05</v>
      </c>
    </row>
    <row r="25" spans="1:17" customFormat="1">
      <c r="A25" s="49">
        <v>45537.708333333336</v>
      </c>
      <c r="B25" s="50">
        <v>9.34</v>
      </c>
      <c r="C25" s="50">
        <v>4.08</v>
      </c>
      <c r="D25" s="50">
        <v>14.07</v>
      </c>
      <c r="E25" s="50">
        <v>8.59</v>
      </c>
      <c r="F25" s="50">
        <v>4.62</v>
      </c>
      <c r="G25" s="50">
        <v>17.48</v>
      </c>
      <c r="H25" s="50">
        <v>4.5999999999999996</v>
      </c>
      <c r="I25" s="50">
        <v>3.25</v>
      </c>
      <c r="J25" s="50">
        <v>0.3</v>
      </c>
      <c r="K25" s="50">
        <v>138.19999999999999</v>
      </c>
      <c r="L25" s="50">
        <v>31.91</v>
      </c>
      <c r="M25" s="50">
        <v>72.680000000000007</v>
      </c>
      <c r="N25" s="50">
        <v>126.9</v>
      </c>
      <c r="O25" s="50">
        <v>0</v>
      </c>
      <c r="P25" s="50">
        <v>0.35</v>
      </c>
      <c r="Q25" s="50">
        <v>5.05</v>
      </c>
    </row>
    <row r="26" spans="1:17" customFormat="1">
      <c r="A26" s="49">
        <v>45537.75</v>
      </c>
      <c r="B26" s="50">
        <v>9.31</v>
      </c>
      <c r="C26" s="50">
        <v>4.09</v>
      </c>
      <c r="D26" s="50">
        <v>14.04</v>
      </c>
      <c r="E26" s="50">
        <v>8.67</v>
      </c>
      <c r="F26" s="50">
        <v>4.72</v>
      </c>
      <c r="G26" s="50">
        <v>14.52</v>
      </c>
      <c r="H26" s="50">
        <v>4.5999999999999996</v>
      </c>
      <c r="I26" s="50">
        <v>3.06</v>
      </c>
      <c r="J26" s="50">
        <v>0.33</v>
      </c>
      <c r="K26" s="50">
        <v>159.72999999999999</v>
      </c>
      <c r="L26" s="50">
        <v>30.15</v>
      </c>
      <c r="M26" s="50">
        <v>74.95</v>
      </c>
      <c r="N26" s="50">
        <v>24.7</v>
      </c>
      <c r="O26" s="50">
        <v>0</v>
      </c>
      <c r="P26" s="50">
        <v>0.35</v>
      </c>
      <c r="Q26" s="50">
        <v>5.0599999999999996</v>
      </c>
    </row>
    <row r="27" spans="1:17" customFormat="1">
      <c r="A27" s="49">
        <v>45537.791666666664</v>
      </c>
      <c r="B27" s="50">
        <v>9.3000000000000007</v>
      </c>
      <c r="C27" s="50">
        <v>4.1100000000000003</v>
      </c>
      <c r="D27" s="50">
        <v>14.04</v>
      </c>
      <c r="E27" s="50">
        <v>10.15</v>
      </c>
      <c r="F27" s="50">
        <v>5.81</v>
      </c>
      <c r="G27" s="50">
        <v>17.53</v>
      </c>
      <c r="H27" s="50">
        <v>3.76</v>
      </c>
      <c r="I27" s="50">
        <v>2.96</v>
      </c>
      <c r="J27" s="50">
        <v>0.26</v>
      </c>
      <c r="K27" s="50">
        <v>158.97</v>
      </c>
      <c r="L27" s="50">
        <v>29.57</v>
      </c>
      <c r="M27" s="50">
        <v>79.34</v>
      </c>
      <c r="N27" s="50">
        <v>3.1</v>
      </c>
      <c r="O27" s="50">
        <v>0</v>
      </c>
      <c r="P27" s="50">
        <v>0.35</v>
      </c>
      <c r="Q27" s="50">
        <v>5.05</v>
      </c>
    </row>
    <row r="28" spans="1:17" customFormat="1">
      <c r="A28" s="49">
        <v>45537.833333333336</v>
      </c>
      <c r="B28" s="50">
        <v>9.3000000000000007</v>
      </c>
      <c r="C28" s="50">
        <v>4.07</v>
      </c>
      <c r="D28" s="50">
        <v>14.03</v>
      </c>
      <c r="E28" s="50">
        <v>10.99</v>
      </c>
      <c r="F28" s="50">
        <v>4.1500000000000004</v>
      </c>
      <c r="G28" s="50">
        <v>23.18</v>
      </c>
      <c r="H28" s="50">
        <v>5.41</v>
      </c>
      <c r="I28" s="50">
        <v>3.17</v>
      </c>
      <c r="J28" s="50">
        <v>0.18</v>
      </c>
      <c r="K28" s="50">
        <v>157.1</v>
      </c>
      <c r="L28" s="50">
        <v>29.12</v>
      </c>
      <c r="M28" s="50">
        <v>81.540000000000006</v>
      </c>
      <c r="N28" s="50">
        <v>2.2999999999999998</v>
      </c>
      <c r="O28" s="50">
        <v>0</v>
      </c>
      <c r="P28" s="50">
        <v>0.38</v>
      </c>
      <c r="Q28" s="50">
        <v>5.0599999999999996</v>
      </c>
    </row>
    <row r="29" spans="1:17" customFormat="1">
      <c r="A29" s="49">
        <v>45537.875</v>
      </c>
      <c r="B29" s="50">
        <v>9.31</v>
      </c>
      <c r="C29" s="50">
        <v>4.0599999999999996</v>
      </c>
      <c r="D29" s="50">
        <v>14.04</v>
      </c>
      <c r="E29" s="50">
        <v>10.75</v>
      </c>
      <c r="F29" s="50">
        <v>5.88</v>
      </c>
      <c r="G29" s="50">
        <v>23.18</v>
      </c>
      <c r="H29" s="50">
        <v>5.41</v>
      </c>
      <c r="I29" s="50">
        <v>3.23</v>
      </c>
      <c r="J29" s="50">
        <v>0.18</v>
      </c>
      <c r="K29" s="50">
        <v>161.19</v>
      </c>
      <c r="L29" s="50">
        <v>28.4</v>
      </c>
      <c r="M29" s="50">
        <v>85.27</v>
      </c>
      <c r="N29" s="50">
        <v>2.1</v>
      </c>
      <c r="O29" s="50">
        <v>0</v>
      </c>
      <c r="P29" s="50">
        <v>0.37</v>
      </c>
      <c r="Q29" s="50">
        <v>5.05</v>
      </c>
    </row>
    <row r="30" spans="1:17" customFormat="1">
      <c r="A30" s="49">
        <v>45537.916666666664</v>
      </c>
      <c r="B30" s="50">
        <v>9.3000000000000007</v>
      </c>
      <c r="C30" s="50">
        <v>4.08</v>
      </c>
      <c r="D30" s="50">
        <v>14.04</v>
      </c>
      <c r="E30" s="50">
        <v>9.31</v>
      </c>
      <c r="F30" s="50">
        <v>6.11</v>
      </c>
      <c r="G30" s="50">
        <v>20.88</v>
      </c>
      <c r="H30" s="50">
        <v>4.4400000000000004</v>
      </c>
      <c r="I30" s="50">
        <v>3.32</v>
      </c>
      <c r="J30" s="50">
        <v>0.13</v>
      </c>
      <c r="K30" s="50">
        <v>145.80000000000001</v>
      </c>
      <c r="L30" s="50">
        <v>28.11</v>
      </c>
      <c r="M30" s="50">
        <v>86.48</v>
      </c>
      <c r="N30" s="50">
        <v>2.1</v>
      </c>
      <c r="O30" s="50">
        <v>0</v>
      </c>
      <c r="P30" s="50">
        <v>0.34</v>
      </c>
      <c r="Q30" s="50">
        <v>5.05</v>
      </c>
    </row>
    <row r="31" spans="1:17" customFormat="1">
      <c r="A31" s="49">
        <v>45537.958333333336</v>
      </c>
      <c r="B31" s="50">
        <v>9.2899999999999991</v>
      </c>
      <c r="C31" s="50">
        <v>4.07</v>
      </c>
      <c r="D31" s="50">
        <v>14.02</v>
      </c>
      <c r="E31" s="50">
        <v>8.85</v>
      </c>
      <c r="F31" s="50">
        <v>6.54</v>
      </c>
      <c r="G31" s="50">
        <v>24.38</v>
      </c>
      <c r="H31" s="50">
        <v>3.22</v>
      </c>
      <c r="I31" s="50">
        <v>3.36</v>
      </c>
      <c r="J31" s="50">
        <v>0.2</v>
      </c>
      <c r="K31" s="50">
        <v>140.83000000000001</v>
      </c>
      <c r="L31" s="50">
        <v>27.89</v>
      </c>
      <c r="M31" s="50">
        <v>86.85</v>
      </c>
      <c r="N31" s="50">
        <v>2.1</v>
      </c>
      <c r="O31" s="50">
        <v>0</v>
      </c>
      <c r="P31" s="50">
        <v>0.32</v>
      </c>
      <c r="Q31" s="50">
        <v>5.04</v>
      </c>
    </row>
    <row r="32" spans="1:17" customFormat="1">
      <c r="A32" s="49">
        <v>45538</v>
      </c>
      <c r="B32" s="50">
        <v>9.2899999999999991</v>
      </c>
      <c r="C32" s="50">
        <v>4.09</v>
      </c>
      <c r="D32" s="50">
        <v>14.04</v>
      </c>
      <c r="E32" s="50">
        <v>8.89</v>
      </c>
      <c r="F32" s="50">
        <v>5.8</v>
      </c>
      <c r="G32" s="50">
        <v>24.38</v>
      </c>
      <c r="H32" s="50">
        <v>2.84</v>
      </c>
      <c r="I32" s="50">
        <v>3.15</v>
      </c>
      <c r="J32" s="50">
        <v>0.18</v>
      </c>
      <c r="K32" s="50">
        <v>160.25</v>
      </c>
      <c r="L32" s="50">
        <v>27.67</v>
      </c>
      <c r="M32" s="50">
        <v>89.31</v>
      </c>
      <c r="N32" s="50">
        <v>2.1</v>
      </c>
      <c r="O32" s="50">
        <v>0</v>
      </c>
      <c r="P32" s="50">
        <v>0.3</v>
      </c>
      <c r="Q32" s="50">
        <v>5.05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9.2799999999999994</v>
      </c>
      <c r="C34" s="40">
        <f t="shared" si="0"/>
        <v>4.0599999999999996</v>
      </c>
      <c r="D34" s="40">
        <f t="shared" si="0"/>
        <v>14.02</v>
      </c>
      <c r="E34" s="40">
        <f t="shared" si="0"/>
        <v>7.34</v>
      </c>
      <c r="F34" s="40">
        <f t="shared" si="0"/>
        <v>2.17</v>
      </c>
      <c r="G34" s="40">
        <f t="shared" si="0"/>
        <v>14.52</v>
      </c>
      <c r="H34" s="40">
        <f t="shared" si="0"/>
        <v>2.84</v>
      </c>
      <c r="I34" s="40">
        <f t="shared" si="0"/>
        <v>2.96</v>
      </c>
      <c r="J34" s="40">
        <f t="shared" si="0"/>
        <v>0.13</v>
      </c>
      <c r="K34" s="40">
        <f t="shared" si="0"/>
        <v>74.91</v>
      </c>
      <c r="L34" s="40">
        <f t="shared" si="0"/>
        <v>26.19</v>
      </c>
      <c r="M34" s="40">
        <f t="shared" si="0"/>
        <v>65.260000000000005</v>
      </c>
      <c r="N34" s="40">
        <f t="shared" si="0"/>
        <v>2.1</v>
      </c>
      <c r="O34" s="40">
        <f t="shared" si="0"/>
        <v>0</v>
      </c>
      <c r="P34" s="40">
        <f t="shared" si="0"/>
        <v>0.26</v>
      </c>
      <c r="Q34" s="40">
        <f t="shared" si="0"/>
        <v>5.0199999999999996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9.44</v>
      </c>
      <c r="C35" s="33">
        <f t="shared" si="1"/>
        <v>4.24</v>
      </c>
      <c r="D35" s="33">
        <f t="shared" si="1"/>
        <v>14.16</v>
      </c>
      <c r="E35" s="33">
        <f t="shared" si="1"/>
        <v>11.43</v>
      </c>
      <c r="F35" s="33">
        <f t="shared" si="1"/>
        <v>6.54</v>
      </c>
      <c r="G35" s="33">
        <f t="shared" si="1"/>
        <v>34.57</v>
      </c>
      <c r="H35" s="33">
        <f t="shared" si="1"/>
        <v>5.75</v>
      </c>
      <c r="I35" s="33">
        <f t="shared" si="1"/>
        <v>3.73</v>
      </c>
      <c r="J35" s="33">
        <f t="shared" si="1"/>
        <v>1.02</v>
      </c>
      <c r="K35" s="33">
        <f t="shared" si="1"/>
        <v>161.19</v>
      </c>
      <c r="L35" s="33">
        <f t="shared" si="1"/>
        <v>32.58</v>
      </c>
      <c r="M35" s="33">
        <f t="shared" si="1"/>
        <v>92.5</v>
      </c>
      <c r="N35" s="33">
        <f t="shared" si="1"/>
        <v>822.2</v>
      </c>
      <c r="O35" s="33">
        <f t="shared" si="1"/>
        <v>0</v>
      </c>
      <c r="P35" s="33">
        <f t="shared" si="1"/>
        <v>0.38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9.3345833333333328</v>
      </c>
      <c r="C36" s="40">
        <f t="shared" si="2"/>
        <v>4.0962500000000013</v>
      </c>
      <c r="D36" s="40">
        <f t="shared" si="2"/>
        <v>14.066249999999998</v>
      </c>
      <c r="E36" s="40">
        <f t="shared" si="2"/>
        <v>9.1237499999999994</v>
      </c>
      <c r="F36" s="40">
        <f t="shared" si="2"/>
        <v>4.55375</v>
      </c>
      <c r="G36" s="40">
        <f t="shared" si="2"/>
        <v>22.786249999999999</v>
      </c>
      <c r="H36" s="40">
        <f t="shared" si="2"/>
        <v>4.3812499999999988</v>
      </c>
      <c r="I36" s="40">
        <f t="shared" si="2"/>
        <v>3.3033333333333332</v>
      </c>
      <c r="J36" s="40">
        <f t="shared" si="2"/>
        <v>0.43999999999999995</v>
      </c>
      <c r="K36" s="40">
        <f t="shared" si="2"/>
        <v>120.12375000000002</v>
      </c>
      <c r="L36" s="40">
        <f t="shared" si="2"/>
        <v>28.919583333333335</v>
      </c>
      <c r="M36" s="40">
        <f t="shared" si="2"/>
        <v>81.91458333333334</v>
      </c>
      <c r="N36" s="40">
        <f t="shared" si="2"/>
        <v>148.95833333333331</v>
      </c>
      <c r="O36" s="40">
        <f t="shared" si="2"/>
        <v>0</v>
      </c>
      <c r="P36" s="40">
        <f t="shared" si="2"/>
        <v>0.33958333333333335</v>
      </c>
      <c r="Q36" s="40">
        <f t="shared" si="2"/>
        <v>5.0458333333333334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4.6342690119761228E-2</v>
      </c>
      <c r="C37" s="40">
        <f t="shared" ref="C37:Q37" si="3">STDEV(C9:C32)</f>
        <v>3.4365364262139986E-2</v>
      </c>
      <c r="D37" s="40">
        <f t="shared" si="3"/>
        <v>3.8426949329638901E-2</v>
      </c>
      <c r="E37" s="40">
        <f t="shared" si="3"/>
        <v>1.0415114956889224</v>
      </c>
      <c r="F37" s="40">
        <f t="shared" si="3"/>
        <v>1.2666553441522939</v>
      </c>
      <c r="G37" s="40">
        <f t="shared" si="3"/>
        <v>4.7985539601733835</v>
      </c>
      <c r="H37" s="40">
        <f t="shared" si="3"/>
        <v>0.84593818511962438</v>
      </c>
      <c r="I37" s="40">
        <f t="shared" si="3"/>
        <v>0.18746980433187646</v>
      </c>
      <c r="J37" s="40">
        <f t="shared" si="3"/>
        <v>0.22331494624720336</v>
      </c>
      <c r="K37" s="40">
        <f t="shared" si="3"/>
        <v>32.56098970460625</v>
      </c>
      <c r="L37" s="40">
        <f t="shared" si="3"/>
        <v>2.2373635089127406</v>
      </c>
      <c r="M37" s="40">
        <f t="shared" si="3"/>
        <v>8.7890143777264438</v>
      </c>
      <c r="N37" s="40">
        <f t="shared" si="3"/>
        <v>224.81567119418693</v>
      </c>
      <c r="O37" s="40">
        <f t="shared" si="3"/>
        <v>0</v>
      </c>
      <c r="P37" s="40">
        <f t="shared" si="3"/>
        <v>2.9114342299564649E-2</v>
      </c>
      <c r="Q37" s="40">
        <f t="shared" si="3"/>
        <v>1.1764599317505351E-2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45538.041666666664</v>
      </c>
      <c r="B9" s="50">
        <v>9.24</v>
      </c>
      <c r="C9" s="50">
        <v>4.1399999999999997</v>
      </c>
      <c r="D9" s="50">
        <v>14</v>
      </c>
      <c r="E9" s="50">
        <v>8.75</v>
      </c>
      <c r="F9" s="50">
        <v>5.28</v>
      </c>
      <c r="G9" s="50">
        <v>17.78</v>
      </c>
      <c r="H9" s="50">
        <v>2.46</v>
      </c>
      <c r="I9" s="50">
        <v>3.19</v>
      </c>
      <c r="J9" s="50">
        <v>0.26</v>
      </c>
      <c r="K9" s="50">
        <v>132.72</v>
      </c>
      <c r="L9" s="50">
        <v>26.97</v>
      </c>
      <c r="M9" s="50">
        <v>88.83</v>
      </c>
      <c r="N9" s="50">
        <v>2.2000000000000002</v>
      </c>
      <c r="O9" s="50">
        <v>0</v>
      </c>
      <c r="P9" s="50">
        <v>0.33</v>
      </c>
      <c r="Q9" s="50">
        <v>5.04</v>
      </c>
    </row>
    <row r="10" spans="1:21" customFormat="1">
      <c r="A10" s="49">
        <v>45538.083333333336</v>
      </c>
      <c r="B10" s="50">
        <v>9.23</v>
      </c>
      <c r="C10" s="50">
        <v>4.1399999999999997</v>
      </c>
      <c r="D10" s="50">
        <v>14</v>
      </c>
      <c r="E10" s="50">
        <v>9.1300000000000008</v>
      </c>
      <c r="F10" s="50">
        <v>5.08</v>
      </c>
      <c r="G10" s="50">
        <v>19.18</v>
      </c>
      <c r="H10" s="50">
        <v>2.33</v>
      </c>
      <c r="I10" s="50">
        <v>3.09</v>
      </c>
      <c r="J10" s="50">
        <v>0.31</v>
      </c>
      <c r="K10" s="50">
        <v>127.81</v>
      </c>
      <c r="L10" s="50">
        <v>26.67</v>
      </c>
      <c r="M10" s="50">
        <v>90.4</v>
      </c>
      <c r="N10" s="50">
        <v>2.2000000000000002</v>
      </c>
      <c r="O10" s="50">
        <v>0</v>
      </c>
      <c r="P10" s="50">
        <v>0.32</v>
      </c>
      <c r="Q10" s="50">
        <v>5.04</v>
      </c>
    </row>
    <row r="11" spans="1:21" customFormat="1">
      <c r="A11" s="49">
        <v>45538.125</v>
      </c>
      <c r="B11" s="50">
        <v>9.23</v>
      </c>
      <c r="C11" s="50">
        <v>4.1399999999999997</v>
      </c>
      <c r="D11" s="50">
        <v>14</v>
      </c>
      <c r="E11" s="50">
        <v>9.59</v>
      </c>
      <c r="F11" s="50">
        <v>4.75</v>
      </c>
      <c r="G11" s="50">
        <v>20.09</v>
      </c>
      <c r="H11" s="50">
        <v>4.45</v>
      </c>
      <c r="I11" s="50">
        <v>2.99</v>
      </c>
      <c r="J11" s="50">
        <v>0.28000000000000003</v>
      </c>
      <c r="K11" s="50">
        <v>128.22999999999999</v>
      </c>
      <c r="L11" s="50">
        <v>26.32</v>
      </c>
      <c r="M11" s="50">
        <v>91.94</v>
      </c>
      <c r="N11" s="50">
        <v>2.1</v>
      </c>
      <c r="O11" s="50">
        <v>0</v>
      </c>
      <c r="P11" s="50">
        <v>0.31</v>
      </c>
      <c r="Q11" s="50">
        <v>5.05</v>
      </c>
    </row>
    <row r="12" spans="1:21" customFormat="1">
      <c r="A12" s="49">
        <v>45538.166666666664</v>
      </c>
      <c r="B12" s="50">
        <v>9.24</v>
      </c>
      <c r="C12" s="50">
        <v>4.13</v>
      </c>
      <c r="D12" s="50">
        <v>14</v>
      </c>
      <c r="E12" s="50">
        <v>9.82</v>
      </c>
      <c r="F12" s="50">
        <v>3.37</v>
      </c>
      <c r="G12" s="50">
        <v>20.09</v>
      </c>
      <c r="H12" s="50">
        <v>5.45</v>
      </c>
      <c r="I12" s="50">
        <v>2.88</v>
      </c>
      <c r="J12" s="50">
        <v>0.2</v>
      </c>
      <c r="K12" s="50">
        <v>183.51</v>
      </c>
      <c r="L12" s="50">
        <v>26.22</v>
      </c>
      <c r="M12" s="50">
        <v>95.11</v>
      </c>
      <c r="N12" s="50">
        <v>2.1</v>
      </c>
      <c r="O12" s="50">
        <v>0</v>
      </c>
      <c r="P12" s="50">
        <v>0.31</v>
      </c>
      <c r="Q12" s="50">
        <v>5.05</v>
      </c>
    </row>
    <row r="13" spans="1:21" customFormat="1">
      <c r="A13" s="49">
        <v>45538.208333333336</v>
      </c>
      <c r="B13" s="50">
        <v>9.23</v>
      </c>
      <c r="C13" s="50">
        <v>4.12</v>
      </c>
      <c r="D13" s="50">
        <v>14</v>
      </c>
      <c r="E13" s="50">
        <v>10.61</v>
      </c>
      <c r="F13" s="50">
        <v>2.76</v>
      </c>
      <c r="G13" s="50">
        <v>14.59</v>
      </c>
      <c r="H13" s="50">
        <v>5.45</v>
      </c>
      <c r="I13" s="50">
        <v>2.84</v>
      </c>
      <c r="J13" s="50">
        <v>0.11</v>
      </c>
      <c r="K13" s="50">
        <v>174.05</v>
      </c>
      <c r="L13" s="50">
        <v>26.19</v>
      </c>
      <c r="M13" s="50">
        <v>95.51</v>
      </c>
      <c r="N13" s="50">
        <v>2.1</v>
      </c>
      <c r="O13" s="50">
        <v>0</v>
      </c>
      <c r="P13" s="50">
        <v>0.31</v>
      </c>
      <c r="Q13" s="50">
        <v>5.04</v>
      </c>
    </row>
    <row r="14" spans="1:21" customFormat="1">
      <c r="A14" s="49">
        <v>45538.25</v>
      </c>
      <c r="B14" s="50">
        <v>9.25</v>
      </c>
      <c r="C14" s="50">
        <v>4.13</v>
      </c>
      <c r="D14" s="50">
        <v>14</v>
      </c>
      <c r="E14" s="50">
        <v>10.89</v>
      </c>
      <c r="F14" s="50">
        <v>2.96</v>
      </c>
      <c r="G14" s="50">
        <v>10.36</v>
      </c>
      <c r="H14" s="50">
        <v>4.1900000000000004</v>
      </c>
      <c r="I14" s="50">
        <v>2.93</v>
      </c>
      <c r="J14" s="50">
        <v>0.13</v>
      </c>
      <c r="K14" s="50">
        <v>160.96</v>
      </c>
      <c r="L14" s="50">
        <v>26.07</v>
      </c>
      <c r="M14" s="50">
        <v>93.32</v>
      </c>
      <c r="N14" s="50">
        <v>15.1</v>
      </c>
      <c r="O14" s="50">
        <v>0</v>
      </c>
      <c r="P14" s="50">
        <v>0.31</v>
      </c>
      <c r="Q14" s="50">
        <v>5.04</v>
      </c>
    </row>
    <row r="15" spans="1:21" customFormat="1">
      <c r="A15" s="49">
        <v>45538.291666666664</v>
      </c>
      <c r="B15" s="50">
        <v>9.25</v>
      </c>
      <c r="C15" s="50">
        <v>4.0999999999999996</v>
      </c>
      <c r="D15" s="50">
        <v>14</v>
      </c>
      <c r="E15" s="50">
        <v>9.42</v>
      </c>
      <c r="F15" s="50">
        <v>4.47</v>
      </c>
      <c r="G15" s="50">
        <v>16.52</v>
      </c>
      <c r="H15" s="50">
        <v>3.55</v>
      </c>
      <c r="I15" s="50">
        <v>3.59</v>
      </c>
      <c r="J15" s="50">
        <v>0.27</v>
      </c>
      <c r="K15" s="50">
        <v>154.57</v>
      </c>
      <c r="L15" s="50">
        <v>26.88</v>
      </c>
      <c r="M15" s="50">
        <v>92.38</v>
      </c>
      <c r="N15" s="50">
        <v>36.9</v>
      </c>
      <c r="O15" s="50">
        <v>0</v>
      </c>
      <c r="P15" s="50">
        <v>0.27</v>
      </c>
      <c r="Q15" s="50">
        <v>5.04</v>
      </c>
    </row>
    <row r="16" spans="1:21" customFormat="1">
      <c r="A16" s="49">
        <v>45538.333333333336</v>
      </c>
      <c r="B16" s="50">
        <v>9.26</v>
      </c>
      <c r="C16" s="50">
        <v>4.09</v>
      </c>
      <c r="D16" s="50">
        <v>14</v>
      </c>
      <c r="E16" s="50">
        <v>9.07</v>
      </c>
      <c r="F16" s="50">
        <v>5.1100000000000003</v>
      </c>
      <c r="G16" s="50">
        <v>16.52</v>
      </c>
      <c r="H16" s="50">
        <v>3.55</v>
      </c>
      <c r="I16" s="50">
        <v>3.43</v>
      </c>
      <c r="J16" s="50">
        <v>0.36</v>
      </c>
      <c r="K16" s="50">
        <v>179.29</v>
      </c>
      <c r="L16" s="50">
        <v>27.9</v>
      </c>
      <c r="M16" s="50">
        <v>84.9</v>
      </c>
      <c r="N16" s="50">
        <v>130.19999999999999</v>
      </c>
      <c r="O16" s="50">
        <v>0</v>
      </c>
      <c r="P16" s="50">
        <v>0.27</v>
      </c>
      <c r="Q16" s="50">
        <v>5.05</v>
      </c>
    </row>
    <row r="17" spans="1:17" customFormat="1">
      <c r="A17" s="49">
        <v>45538.375</v>
      </c>
      <c r="B17" s="50">
        <v>9.25</v>
      </c>
      <c r="C17" s="50">
        <v>4.1100000000000003</v>
      </c>
      <c r="D17" s="50">
        <v>14.01</v>
      </c>
      <c r="E17" s="50">
        <v>9.08</v>
      </c>
      <c r="F17" s="50">
        <v>8.1</v>
      </c>
      <c r="G17" s="50">
        <v>13.89</v>
      </c>
      <c r="H17" s="50">
        <v>3.27</v>
      </c>
      <c r="I17" s="50">
        <v>3.17</v>
      </c>
      <c r="J17" s="50">
        <v>0.4</v>
      </c>
      <c r="K17" s="50">
        <v>147.78</v>
      </c>
      <c r="L17" s="50">
        <v>28.35</v>
      </c>
      <c r="M17" s="50">
        <v>81.83</v>
      </c>
      <c r="N17" s="50">
        <v>186</v>
      </c>
      <c r="O17" s="50">
        <v>0</v>
      </c>
      <c r="P17" s="50">
        <v>0.27</v>
      </c>
      <c r="Q17" s="50">
        <v>5.03</v>
      </c>
    </row>
    <row r="18" spans="1:17" customFormat="1">
      <c r="A18" s="49">
        <v>45538.416666666664</v>
      </c>
      <c r="B18" s="50">
        <v>9.23</v>
      </c>
      <c r="C18" s="50">
        <v>4.1399999999999997</v>
      </c>
      <c r="D18" s="50">
        <v>14</v>
      </c>
      <c r="E18" s="50">
        <v>8.83</v>
      </c>
      <c r="F18" s="50">
        <v>6.68</v>
      </c>
      <c r="G18" s="50">
        <v>12.81</v>
      </c>
      <c r="H18" s="50">
        <v>2.7</v>
      </c>
      <c r="I18" s="50">
        <v>3.24</v>
      </c>
      <c r="J18" s="50">
        <v>0.28000000000000003</v>
      </c>
      <c r="K18" s="50">
        <v>181.48</v>
      </c>
      <c r="L18" s="50">
        <v>29.96</v>
      </c>
      <c r="M18" s="50">
        <v>78.739999999999995</v>
      </c>
      <c r="N18" s="50">
        <v>334.3</v>
      </c>
      <c r="O18" s="50">
        <v>0</v>
      </c>
      <c r="P18" s="50">
        <v>0.3</v>
      </c>
      <c r="Q18" s="50">
        <v>5.05</v>
      </c>
    </row>
    <row r="19" spans="1:17" customFormat="1">
      <c r="A19" s="49">
        <v>45538.458333333336</v>
      </c>
      <c r="B19" s="50">
        <v>9.2200000000000006</v>
      </c>
      <c r="C19" s="50">
        <v>4.17</v>
      </c>
      <c r="D19" s="50">
        <v>14</v>
      </c>
      <c r="E19" s="50">
        <v>9.9499999999999993</v>
      </c>
      <c r="F19" s="50">
        <v>7.01</v>
      </c>
      <c r="G19" s="50">
        <v>13.07</v>
      </c>
      <c r="H19" s="50">
        <v>2.19</v>
      </c>
      <c r="I19" s="50">
        <v>3.36</v>
      </c>
      <c r="J19" s="50">
        <v>0.23</v>
      </c>
      <c r="K19" s="50">
        <v>252.79</v>
      </c>
      <c r="L19" s="50">
        <v>30.65</v>
      </c>
      <c r="M19" s="50">
        <v>77.510000000000005</v>
      </c>
      <c r="N19" s="50">
        <v>404.8</v>
      </c>
      <c r="O19" s="50">
        <v>0</v>
      </c>
      <c r="P19" s="50">
        <v>0.32</v>
      </c>
      <c r="Q19" s="50">
        <v>5.05</v>
      </c>
    </row>
    <row r="20" spans="1:17" customFormat="1">
      <c r="A20" s="49">
        <v>45538.5</v>
      </c>
      <c r="B20" s="50">
        <v>9.2100000000000009</v>
      </c>
      <c r="C20" s="50">
        <v>4.17</v>
      </c>
      <c r="D20" s="50">
        <v>14</v>
      </c>
      <c r="E20" s="50">
        <v>10.66</v>
      </c>
      <c r="F20" s="50">
        <v>6.78</v>
      </c>
      <c r="G20" s="50">
        <v>13.07</v>
      </c>
      <c r="H20" s="50">
        <v>3.53</v>
      </c>
      <c r="I20" s="50">
        <v>3.18</v>
      </c>
      <c r="J20" s="50">
        <v>0.27</v>
      </c>
      <c r="K20" s="50">
        <v>257.85000000000002</v>
      </c>
      <c r="L20" s="50">
        <v>31.22</v>
      </c>
      <c r="M20" s="50">
        <v>68.64</v>
      </c>
      <c r="N20" s="50">
        <v>385.9</v>
      </c>
      <c r="O20" s="50">
        <v>0</v>
      </c>
      <c r="P20" s="50">
        <v>0.32</v>
      </c>
      <c r="Q20" s="50">
        <v>5.04</v>
      </c>
    </row>
    <row r="21" spans="1:17" customFormat="1">
      <c r="A21" s="49">
        <v>45538.541666666664</v>
      </c>
      <c r="B21" s="50">
        <v>9.2100000000000009</v>
      </c>
      <c r="C21" s="50">
        <v>4.17</v>
      </c>
      <c r="D21" s="50">
        <v>14</v>
      </c>
      <c r="E21" s="50">
        <v>11.12</v>
      </c>
      <c r="F21" s="50">
        <v>6.22</v>
      </c>
      <c r="G21" s="50">
        <v>12.49</v>
      </c>
      <c r="H21" s="50">
        <v>3.53</v>
      </c>
      <c r="I21" s="50">
        <v>3.35</v>
      </c>
      <c r="J21" s="50">
        <v>0.31</v>
      </c>
      <c r="K21" s="50">
        <v>198.62</v>
      </c>
      <c r="L21" s="50">
        <v>31.64</v>
      </c>
      <c r="M21" s="50">
        <v>70.44</v>
      </c>
      <c r="N21" s="50">
        <v>422.2</v>
      </c>
      <c r="O21" s="50">
        <v>0</v>
      </c>
      <c r="P21" s="50">
        <v>0.32</v>
      </c>
      <c r="Q21" s="50">
        <v>5.04</v>
      </c>
    </row>
    <row r="22" spans="1:17" customFormat="1">
      <c r="A22" s="49">
        <v>45538.583333333336</v>
      </c>
      <c r="B22" s="50">
        <v>9.2100000000000009</v>
      </c>
      <c r="C22" s="50">
        <v>4.16</v>
      </c>
      <c r="D22" s="50">
        <v>14</v>
      </c>
      <c r="E22" s="50">
        <v>12.09</v>
      </c>
      <c r="F22" s="50">
        <v>5.91</v>
      </c>
      <c r="G22" s="50">
        <v>17.14</v>
      </c>
      <c r="H22" s="50">
        <v>4.1399999999999997</v>
      </c>
      <c r="I22" s="50">
        <v>3.38</v>
      </c>
      <c r="J22" s="50">
        <v>0.36</v>
      </c>
      <c r="K22" s="50">
        <v>155.33000000000001</v>
      </c>
      <c r="L22" s="50">
        <v>32.15</v>
      </c>
      <c r="M22" s="50">
        <v>63.13</v>
      </c>
      <c r="N22" s="50">
        <v>394.7</v>
      </c>
      <c r="O22" s="50">
        <v>0</v>
      </c>
      <c r="P22" s="50">
        <v>0.33</v>
      </c>
      <c r="Q22" s="50">
        <v>5.0599999999999996</v>
      </c>
    </row>
    <row r="23" spans="1:17" customFormat="1">
      <c r="A23" s="49">
        <v>45538.625</v>
      </c>
      <c r="B23" s="50">
        <v>9.1999999999999993</v>
      </c>
      <c r="C23" s="50">
        <v>4.17</v>
      </c>
      <c r="D23" s="50">
        <v>14</v>
      </c>
      <c r="E23" s="50">
        <v>12.34</v>
      </c>
      <c r="F23" s="50">
        <v>8.35</v>
      </c>
      <c r="G23" s="50">
        <v>21.77</v>
      </c>
      <c r="H23" s="50">
        <v>7.73</v>
      </c>
      <c r="I23" s="50">
        <v>3.37</v>
      </c>
      <c r="J23" s="50">
        <v>0.61</v>
      </c>
      <c r="K23" s="50">
        <v>157.93</v>
      </c>
      <c r="L23" s="50">
        <v>32.229999999999997</v>
      </c>
      <c r="M23" s="50">
        <v>62.44</v>
      </c>
      <c r="N23" s="50">
        <v>178.1</v>
      </c>
      <c r="O23" s="50">
        <v>0</v>
      </c>
      <c r="P23" s="50">
        <v>0.33</v>
      </c>
      <c r="Q23" s="50">
        <v>5.04</v>
      </c>
    </row>
    <row r="24" spans="1:17" customFormat="1">
      <c r="A24" s="49">
        <v>45538.666666666664</v>
      </c>
      <c r="B24" s="50">
        <v>9.32</v>
      </c>
      <c r="C24" s="50">
        <v>4.1100000000000003</v>
      </c>
      <c r="D24" s="50">
        <v>14.05</v>
      </c>
      <c r="E24" s="50">
        <v>11.44</v>
      </c>
      <c r="F24" s="50">
        <v>7.54</v>
      </c>
      <c r="G24" s="50">
        <v>21.77</v>
      </c>
      <c r="H24" s="50">
        <v>7.73</v>
      </c>
      <c r="I24" s="50">
        <v>3.4</v>
      </c>
      <c r="J24" s="50">
        <v>0.41</v>
      </c>
      <c r="K24" s="50">
        <v>156.69999999999999</v>
      </c>
      <c r="L24" s="50">
        <v>32.78</v>
      </c>
      <c r="M24" s="50">
        <v>65.400000000000006</v>
      </c>
      <c r="N24" s="50">
        <v>490.2</v>
      </c>
      <c r="O24" s="50">
        <v>0</v>
      </c>
      <c r="P24" s="50">
        <v>0.34</v>
      </c>
      <c r="Q24" s="50">
        <v>5.0199999999999996</v>
      </c>
    </row>
    <row r="25" spans="1:17" customFormat="1">
      <c r="A25" s="49">
        <v>45538.708333333336</v>
      </c>
      <c r="B25" s="50">
        <v>9.3000000000000007</v>
      </c>
      <c r="C25" s="50">
        <v>4.09</v>
      </c>
      <c r="D25" s="50">
        <v>14.04</v>
      </c>
      <c r="E25" s="50">
        <v>11.69</v>
      </c>
      <c r="F25" s="50">
        <v>6.54</v>
      </c>
      <c r="G25" s="50">
        <v>21.76</v>
      </c>
      <c r="H25" s="50">
        <v>6.1</v>
      </c>
      <c r="I25" s="50">
        <v>3.4</v>
      </c>
      <c r="J25" s="50">
        <v>0.47</v>
      </c>
      <c r="K25" s="50">
        <v>107.25</v>
      </c>
      <c r="L25" s="50">
        <v>32.71</v>
      </c>
      <c r="M25" s="50">
        <v>65.92</v>
      </c>
      <c r="N25" s="50">
        <v>168.5</v>
      </c>
      <c r="O25" s="50">
        <v>0</v>
      </c>
      <c r="P25" s="50">
        <v>0.34</v>
      </c>
      <c r="Q25" s="50">
        <v>5.03</v>
      </c>
    </row>
    <row r="26" spans="1:17" customFormat="1">
      <c r="A26" s="49">
        <v>45538.75</v>
      </c>
      <c r="B26" s="50">
        <v>9.24</v>
      </c>
      <c r="C26" s="50">
        <v>4.1500000000000004</v>
      </c>
      <c r="D26" s="50">
        <v>14</v>
      </c>
      <c r="E26" s="50">
        <v>10.62</v>
      </c>
      <c r="F26" s="50">
        <v>6.22</v>
      </c>
      <c r="G26" s="50">
        <v>23.61</v>
      </c>
      <c r="H26" s="50">
        <v>4.57</v>
      </c>
      <c r="I26" s="50">
        <v>3.42</v>
      </c>
      <c r="J26" s="50">
        <v>0.48</v>
      </c>
      <c r="K26" s="50">
        <v>95.06</v>
      </c>
      <c r="L26" s="50">
        <v>30.87</v>
      </c>
      <c r="M26" s="50">
        <v>69.069999999999993</v>
      </c>
      <c r="N26" s="50">
        <v>25.3</v>
      </c>
      <c r="O26" s="50">
        <v>0</v>
      </c>
      <c r="P26" s="50">
        <v>0.38</v>
      </c>
      <c r="Q26" s="50">
        <v>5.03</v>
      </c>
    </row>
    <row r="27" spans="1:17" customFormat="1">
      <c r="A27" s="49">
        <v>45538.791666666664</v>
      </c>
      <c r="B27" s="50">
        <v>9.19</v>
      </c>
      <c r="C27" s="50">
        <v>4.1900000000000004</v>
      </c>
      <c r="D27" s="50">
        <v>14</v>
      </c>
      <c r="E27" s="50">
        <v>9.8699999999999992</v>
      </c>
      <c r="F27" s="50">
        <v>6.79</v>
      </c>
      <c r="G27" s="50">
        <v>30.08</v>
      </c>
      <c r="H27" s="50">
        <v>7.61</v>
      </c>
      <c r="I27" s="50">
        <v>3.77</v>
      </c>
      <c r="J27" s="50">
        <v>0.5</v>
      </c>
      <c r="K27" s="50">
        <v>177.01</v>
      </c>
      <c r="L27" s="50">
        <v>29.96</v>
      </c>
      <c r="M27" s="50">
        <v>76.03</v>
      </c>
      <c r="N27" s="50">
        <v>3</v>
      </c>
      <c r="O27" s="50">
        <v>0</v>
      </c>
      <c r="P27" s="50">
        <v>0.43</v>
      </c>
      <c r="Q27" s="50">
        <v>5.04</v>
      </c>
    </row>
    <row r="28" spans="1:17" customFormat="1">
      <c r="A28" s="49">
        <v>45538.833333333336</v>
      </c>
      <c r="B28" s="50">
        <v>9.33</v>
      </c>
      <c r="C28" s="50">
        <v>4.17</v>
      </c>
      <c r="D28" s="50">
        <v>14.06</v>
      </c>
      <c r="E28" s="50">
        <v>11</v>
      </c>
      <c r="F28" s="50">
        <v>8.09</v>
      </c>
      <c r="G28" s="50">
        <v>34.51</v>
      </c>
      <c r="H28" s="50">
        <v>12.13</v>
      </c>
      <c r="I28" s="50">
        <v>3.89</v>
      </c>
      <c r="J28" s="50">
        <v>0.25</v>
      </c>
      <c r="K28" s="50">
        <v>181.76</v>
      </c>
      <c r="L28" s="50">
        <v>29.2</v>
      </c>
      <c r="M28" s="50">
        <v>79.489999999999995</v>
      </c>
      <c r="N28" s="50">
        <v>2.2000000000000002</v>
      </c>
      <c r="O28" s="50">
        <v>0</v>
      </c>
      <c r="P28" s="50">
        <v>0.42</v>
      </c>
      <c r="Q28" s="50">
        <v>5.05</v>
      </c>
    </row>
    <row r="29" spans="1:17" customFormat="1">
      <c r="A29" s="49">
        <v>45538.875</v>
      </c>
      <c r="B29" s="50">
        <v>9.32</v>
      </c>
      <c r="C29" s="50">
        <v>4.08</v>
      </c>
      <c r="D29" s="50">
        <v>14.05</v>
      </c>
      <c r="E29" s="50">
        <v>10.42</v>
      </c>
      <c r="F29" s="50">
        <v>5.34</v>
      </c>
      <c r="G29" s="50">
        <v>39.700000000000003</v>
      </c>
      <c r="H29" s="50">
        <v>12.13</v>
      </c>
      <c r="I29" s="50">
        <v>3.84</v>
      </c>
      <c r="J29" s="50">
        <v>0.17</v>
      </c>
      <c r="K29" s="50">
        <v>221.49</v>
      </c>
      <c r="L29" s="50">
        <v>28.14</v>
      </c>
      <c r="M29" s="50">
        <v>86.27</v>
      </c>
      <c r="N29" s="50">
        <v>2.4</v>
      </c>
      <c r="O29" s="50">
        <v>0</v>
      </c>
      <c r="P29" s="50">
        <v>0.4</v>
      </c>
      <c r="Q29" s="50">
        <v>5.05</v>
      </c>
    </row>
    <row r="30" spans="1:17" customFormat="1">
      <c r="A30" s="49">
        <v>45538.916666666664</v>
      </c>
      <c r="B30" s="50">
        <v>9.27</v>
      </c>
      <c r="C30" s="50">
        <v>4.09</v>
      </c>
      <c r="D30" s="50">
        <v>14.02</v>
      </c>
      <c r="E30" s="50">
        <v>11.36</v>
      </c>
      <c r="F30" s="50">
        <v>4.47</v>
      </c>
      <c r="G30" s="50">
        <v>44.66</v>
      </c>
      <c r="H30" s="50">
        <v>9.73</v>
      </c>
      <c r="I30" s="50">
        <v>3.9</v>
      </c>
      <c r="J30" s="50">
        <v>0.15</v>
      </c>
      <c r="K30" s="50">
        <v>215.23</v>
      </c>
      <c r="L30" s="50">
        <v>27.59</v>
      </c>
      <c r="M30" s="50">
        <v>88.67</v>
      </c>
      <c r="N30" s="50">
        <v>2.1</v>
      </c>
      <c r="O30" s="50">
        <v>0</v>
      </c>
      <c r="P30" s="50">
        <v>0.4</v>
      </c>
      <c r="Q30" s="50">
        <v>5.0599999999999996</v>
      </c>
    </row>
    <row r="31" spans="1:17" customFormat="1">
      <c r="A31" s="49">
        <v>45538.958333333336</v>
      </c>
      <c r="B31" s="50">
        <v>9.27</v>
      </c>
      <c r="C31" s="50">
        <v>4.08</v>
      </c>
      <c r="D31" s="50">
        <v>14.01</v>
      </c>
      <c r="E31" s="50">
        <v>11.92</v>
      </c>
      <c r="F31" s="50">
        <v>3.24</v>
      </c>
      <c r="G31" s="50">
        <v>49.19</v>
      </c>
      <c r="H31" s="50">
        <v>7.16</v>
      </c>
      <c r="I31" s="50">
        <v>3.85</v>
      </c>
      <c r="J31" s="50">
        <v>0.18</v>
      </c>
      <c r="K31" s="50">
        <v>185.86</v>
      </c>
      <c r="L31" s="50">
        <v>27.66</v>
      </c>
      <c r="M31" s="50">
        <v>88.27</v>
      </c>
      <c r="N31" s="50">
        <v>2.1</v>
      </c>
      <c r="O31" s="50">
        <v>0</v>
      </c>
      <c r="P31" s="50">
        <v>0.42</v>
      </c>
      <c r="Q31" s="50">
        <v>5.04</v>
      </c>
    </row>
    <row r="32" spans="1:17" customFormat="1">
      <c r="A32" s="49">
        <v>45539</v>
      </c>
      <c r="B32" s="50">
        <v>9.26</v>
      </c>
      <c r="C32" s="50">
        <v>4.09</v>
      </c>
      <c r="D32" s="50">
        <v>14.01</v>
      </c>
      <c r="E32" s="50">
        <v>12.21</v>
      </c>
      <c r="F32" s="50">
        <v>1.83</v>
      </c>
      <c r="G32" s="50">
        <v>50.95</v>
      </c>
      <c r="H32" s="50">
        <v>5.48</v>
      </c>
      <c r="I32" s="50">
        <v>4.5</v>
      </c>
      <c r="J32" s="50">
        <v>0.17</v>
      </c>
      <c r="K32" s="50">
        <v>217.1</v>
      </c>
      <c r="L32" s="50">
        <v>27.55</v>
      </c>
      <c r="M32" s="50">
        <v>90.51</v>
      </c>
      <c r="N32" s="50">
        <v>2.2000000000000002</v>
      </c>
      <c r="O32" s="50">
        <v>0</v>
      </c>
      <c r="P32" s="50">
        <v>0.44</v>
      </c>
      <c r="Q32" s="50">
        <v>5.04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9.19</v>
      </c>
      <c r="C34" s="40">
        <f t="shared" si="0"/>
        <v>4.08</v>
      </c>
      <c r="D34" s="40">
        <f t="shared" si="0"/>
        <v>14</v>
      </c>
      <c r="E34" s="40">
        <f t="shared" si="0"/>
        <v>8.75</v>
      </c>
      <c r="F34" s="40">
        <f t="shared" si="0"/>
        <v>1.83</v>
      </c>
      <c r="G34" s="40">
        <f t="shared" si="0"/>
        <v>10.36</v>
      </c>
      <c r="H34" s="40">
        <f t="shared" si="0"/>
        <v>2.19</v>
      </c>
      <c r="I34" s="40">
        <f t="shared" si="0"/>
        <v>2.84</v>
      </c>
      <c r="J34" s="40">
        <f t="shared" si="0"/>
        <v>0.11</v>
      </c>
      <c r="K34" s="40">
        <f t="shared" si="0"/>
        <v>95.06</v>
      </c>
      <c r="L34" s="40">
        <f t="shared" si="0"/>
        <v>26.07</v>
      </c>
      <c r="M34" s="40">
        <f t="shared" si="0"/>
        <v>62.44</v>
      </c>
      <c r="N34" s="40">
        <f t="shared" si="0"/>
        <v>2.1</v>
      </c>
      <c r="O34" s="40">
        <f t="shared" si="0"/>
        <v>0</v>
      </c>
      <c r="P34" s="40">
        <f t="shared" si="0"/>
        <v>0.27</v>
      </c>
      <c r="Q34" s="40">
        <f t="shared" si="0"/>
        <v>5.0199999999999996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9.33</v>
      </c>
      <c r="C35" s="33">
        <f t="shared" si="1"/>
        <v>4.1900000000000004</v>
      </c>
      <c r="D35" s="33">
        <f t="shared" si="1"/>
        <v>14.06</v>
      </c>
      <c r="E35" s="33">
        <f t="shared" si="1"/>
        <v>12.34</v>
      </c>
      <c r="F35" s="33">
        <f t="shared" si="1"/>
        <v>8.35</v>
      </c>
      <c r="G35" s="33">
        <f t="shared" si="1"/>
        <v>50.95</v>
      </c>
      <c r="H35" s="33">
        <f t="shared" si="1"/>
        <v>12.13</v>
      </c>
      <c r="I35" s="33">
        <f t="shared" si="1"/>
        <v>4.5</v>
      </c>
      <c r="J35" s="33">
        <f t="shared" si="1"/>
        <v>0.61</v>
      </c>
      <c r="K35" s="33">
        <f t="shared" si="1"/>
        <v>257.85000000000002</v>
      </c>
      <c r="L35" s="33">
        <f t="shared" si="1"/>
        <v>32.78</v>
      </c>
      <c r="M35" s="33">
        <f t="shared" si="1"/>
        <v>95.51</v>
      </c>
      <c r="N35" s="33">
        <f t="shared" si="1"/>
        <v>490.2</v>
      </c>
      <c r="O35" s="33">
        <f t="shared" si="1"/>
        <v>0</v>
      </c>
      <c r="P35" s="33">
        <f t="shared" si="1"/>
        <v>0.44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9.2483333333333348</v>
      </c>
      <c r="C36" s="40">
        <f t="shared" si="2"/>
        <v>4.1304166666666671</v>
      </c>
      <c r="D36" s="40">
        <f t="shared" si="2"/>
        <v>14.010416666666666</v>
      </c>
      <c r="E36" s="40">
        <f t="shared" si="2"/>
        <v>10.494999999999999</v>
      </c>
      <c r="F36" s="40">
        <f t="shared" si="2"/>
        <v>5.5370833333333351</v>
      </c>
      <c r="G36" s="40">
        <f t="shared" si="2"/>
        <v>23.149999999999995</v>
      </c>
      <c r="H36" s="40">
        <f t="shared" si="2"/>
        <v>5.4649999999999999</v>
      </c>
      <c r="I36" s="40">
        <f t="shared" si="2"/>
        <v>3.4150000000000005</v>
      </c>
      <c r="J36" s="40">
        <f t="shared" si="2"/>
        <v>0.29833333333333334</v>
      </c>
      <c r="K36" s="40">
        <f t="shared" si="2"/>
        <v>172.9325</v>
      </c>
      <c r="L36" s="40">
        <f t="shared" si="2"/>
        <v>28.994999999999994</v>
      </c>
      <c r="M36" s="40">
        <f t="shared" si="2"/>
        <v>81.031250000000014</v>
      </c>
      <c r="N36" s="40">
        <f t="shared" si="2"/>
        <v>133.20416666666665</v>
      </c>
      <c r="O36" s="40">
        <f t="shared" si="2"/>
        <v>0</v>
      </c>
      <c r="P36" s="40">
        <f t="shared" si="2"/>
        <v>0.34125</v>
      </c>
      <c r="Q36" s="40">
        <f t="shared" si="2"/>
        <v>5.0425000000000004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3.8069349381344021E-2</v>
      </c>
      <c r="C37" s="40">
        <f t="shared" ref="C37:Q37" si="3">STDEV(C9:C32)</f>
        <v>3.3941018747574304E-2</v>
      </c>
      <c r="D37" s="40">
        <f t="shared" si="3"/>
        <v>1.8991798382383539E-2</v>
      </c>
      <c r="E37" s="40">
        <f t="shared" si="3"/>
        <v>1.1360457737256766</v>
      </c>
      <c r="F37" s="40">
        <f t="shared" si="3"/>
        <v>1.8074735650641682</v>
      </c>
      <c r="G37" s="40">
        <f t="shared" si="3"/>
        <v>11.985968971005768</v>
      </c>
      <c r="H37" s="40">
        <f t="shared" si="3"/>
        <v>2.8533397670251182</v>
      </c>
      <c r="I37" s="40">
        <f t="shared" si="3"/>
        <v>0.39068501712849657</v>
      </c>
      <c r="J37" s="40">
        <f t="shared" si="3"/>
        <v>0.12923408712627762</v>
      </c>
      <c r="K37" s="40">
        <f t="shared" si="3"/>
        <v>41.059506789854261</v>
      </c>
      <c r="L37" s="40">
        <f t="shared" si="3"/>
        <v>2.3040814448165405</v>
      </c>
      <c r="M37" s="40">
        <f t="shared" si="3"/>
        <v>11.016776658114598</v>
      </c>
      <c r="N37" s="40">
        <f t="shared" si="3"/>
        <v>172.82570883424134</v>
      </c>
      <c r="O37" s="40">
        <f t="shared" si="3"/>
        <v>0</v>
      </c>
      <c r="P37" s="40">
        <f t="shared" si="3"/>
        <v>5.1694125475683209E-2</v>
      </c>
      <c r="Q37" s="40">
        <f t="shared" si="3"/>
        <v>9.4408916306992219E-3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5.140625" style="41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45539.041666666664</v>
      </c>
      <c r="B9" s="50">
        <v>9.3000000000000007</v>
      </c>
      <c r="C9" s="50">
        <v>4.09</v>
      </c>
      <c r="D9" s="50">
        <v>14.04</v>
      </c>
      <c r="E9" s="50">
        <v>11.7</v>
      </c>
      <c r="F9" s="50">
        <v>2.2799999999999998</v>
      </c>
      <c r="G9" s="50">
        <v>52.68</v>
      </c>
      <c r="H9" s="50">
        <v>5.45</v>
      </c>
      <c r="I9" s="50">
        <v>4.5599999999999996</v>
      </c>
      <c r="J9" s="50">
        <v>0.15</v>
      </c>
      <c r="K9" s="50">
        <v>220.83</v>
      </c>
      <c r="L9" s="50">
        <v>27.5</v>
      </c>
      <c r="M9" s="50">
        <v>92.12</v>
      </c>
      <c r="N9" s="50">
        <v>2.2000000000000002</v>
      </c>
      <c r="O9" s="50">
        <v>0</v>
      </c>
      <c r="P9" s="50">
        <v>0.42</v>
      </c>
      <c r="Q9" s="50">
        <v>5.04</v>
      </c>
    </row>
    <row r="10" spans="1:21" customFormat="1">
      <c r="A10" s="49">
        <v>45539.083333333336</v>
      </c>
      <c r="B10" s="50">
        <v>9.31</v>
      </c>
      <c r="C10" s="50">
        <v>4.07</v>
      </c>
      <c r="D10" s="50">
        <v>14.04</v>
      </c>
      <c r="E10" s="50">
        <v>10.57</v>
      </c>
      <c r="F10" s="50">
        <v>2.48</v>
      </c>
      <c r="G10" s="50">
        <v>52.68</v>
      </c>
      <c r="H10" s="50">
        <v>5.45</v>
      </c>
      <c r="I10" s="50">
        <v>4.28</v>
      </c>
      <c r="J10" s="50">
        <v>0.16</v>
      </c>
      <c r="K10" s="50">
        <v>207.83</v>
      </c>
      <c r="L10" s="50">
        <v>26.53</v>
      </c>
      <c r="M10" s="50">
        <v>96.22</v>
      </c>
      <c r="N10" s="50">
        <v>2.1</v>
      </c>
      <c r="O10" s="50">
        <v>0</v>
      </c>
      <c r="P10" s="50">
        <v>0.38</v>
      </c>
      <c r="Q10" s="50">
        <v>5.05</v>
      </c>
    </row>
    <row r="11" spans="1:21" customFormat="1">
      <c r="A11" s="49">
        <v>45539.125</v>
      </c>
      <c r="B11" s="50">
        <v>9.33</v>
      </c>
      <c r="C11" s="50">
        <v>4.07</v>
      </c>
      <c r="D11" s="50">
        <v>14.05</v>
      </c>
      <c r="E11" s="50">
        <v>7.3</v>
      </c>
      <c r="F11" s="50">
        <v>1.89</v>
      </c>
      <c r="G11" s="50">
        <v>49.4</v>
      </c>
      <c r="H11" s="50">
        <v>7.44</v>
      </c>
      <c r="I11" s="50">
        <v>4.21</v>
      </c>
      <c r="J11" s="50">
        <v>0.14000000000000001</v>
      </c>
      <c r="K11" s="50">
        <v>254.81</v>
      </c>
      <c r="L11" s="50">
        <v>26.23</v>
      </c>
      <c r="M11" s="50">
        <v>97.64</v>
      </c>
      <c r="N11" s="50">
        <v>2.1</v>
      </c>
      <c r="O11" s="50">
        <v>0</v>
      </c>
      <c r="P11" s="50">
        <v>0.35</v>
      </c>
      <c r="Q11" s="50">
        <v>5.05</v>
      </c>
    </row>
    <row r="12" spans="1:21" customFormat="1">
      <c r="A12" s="49">
        <v>45539.166666666664</v>
      </c>
      <c r="B12" s="50">
        <v>9.34</v>
      </c>
      <c r="C12" s="50">
        <v>4.07</v>
      </c>
      <c r="D12" s="50">
        <v>14.06</v>
      </c>
      <c r="E12" s="50">
        <v>6.75</v>
      </c>
      <c r="F12" s="50">
        <v>1.36</v>
      </c>
      <c r="G12" s="50">
        <v>38.69</v>
      </c>
      <c r="H12" s="50">
        <v>7.44</v>
      </c>
      <c r="I12" s="50">
        <v>4.16</v>
      </c>
      <c r="J12" s="50">
        <v>0.14000000000000001</v>
      </c>
      <c r="K12" s="50">
        <v>245.21</v>
      </c>
      <c r="L12" s="50">
        <v>25.97</v>
      </c>
      <c r="M12" s="50">
        <v>98.55</v>
      </c>
      <c r="N12" s="50">
        <v>2.1</v>
      </c>
      <c r="O12" s="50">
        <v>0</v>
      </c>
      <c r="P12" s="50">
        <v>0.33</v>
      </c>
      <c r="Q12" s="50">
        <v>5.07</v>
      </c>
    </row>
    <row r="13" spans="1:21" customFormat="1">
      <c r="A13" s="49">
        <v>45539.208333333336</v>
      </c>
      <c r="B13" s="50">
        <v>9.2899999999999991</v>
      </c>
      <c r="C13" s="50">
        <v>4.09</v>
      </c>
      <c r="D13" s="50">
        <v>14.03</v>
      </c>
      <c r="E13" s="50">
        <v>7.15</v>
      </c>
      <c r="F13" s="50">
        <v>2.2000000000000002</v>
      </c>
      <c r="G13" s="50">
        <v>34.56</v>
      </c>
      <c r="H13" s="50">
        <v>7.15</v>
      </c>
      <c r="I13" s="50">
        <v>4.07</v>
      </c>
      <c r="J13" s="50">
        <v>0.16</v>
      </c>
      <c r="K13" s="50">
        <v>216.72</v>
      </c>
      <c r="L13" s="50">
        <v>26.1</v>
      </c>
      <c r="M13" s="50">
        <v>98.67</v>
      </c>
      <c r="N13" s="50">
        <v>2.1</v>
      </c>
      <c r="O13" s="50">
        <v>0</v>
      </c>
      <c r="P13" s="50">
        <v>0.39</v>
      </c>
      <c r="Q13" s="50">
        <v>5.04</v>
      </c>
    </row>
    <row r="14" spans="1:21" customFormat="1">
      <c r="A14" s="49">
        <v>45539.25</v>
      </c>
      <c r="B14" s="50">
        <v>9.2799999999999994</v>
      </c>
      <c r="C14" s="50">
        <v>4.07</v>
      </c>
      <c r="D14" s="50">
        <v>14.01</v>
      </c>
      <c r="E14" s="50">
        <v>7.16</v>
      </c>
      <c r="F14" s="50">
        <v>2.2400000000000002</v>
      </c>
      <c r="G14" s="50">
        <v>34.56</v>
      </c>
      <c r="H14" s="50">
        <v>6.59</v>
      </c>
      <c r="I14" s="50">
        <v>4.38</v>
      </c>
      <c r="J14" s="50">
        <v>0.17</v>
      </c>
      <c r="K14" s="50">
        <v>249.09</v>
      </c>
      <c r="L14" s="50">
        <v>26.14</v>
      </c>
      <c r="M14" s="50">
        <v>98.12</v>
      </c>
      <c r="N14" s="50">
        <v>9.5</v>
      </c>
      <c r="O14" s="50">
        <v>0</v>
      </c>
      <c r="P14" s="50">
        <v>0.4</v>
      </c>
      <c r="Q14" s="50">
        <v>5.05</v>
      </c>
    </row>
    <row r="15" spans="1:21" customFormat="1">
      <c r="A15" s="49">
        <v>45539.291666666664</v>
      </c>
      <c r="B15" s="50">
        <v>9.2799999999999994</v>
      </c>
      <c r="C15" s="50">
        <v>4.08</v>
      </c>
      <c r="D15" s="50">
        <v>14.01</v>
      </c>
      <c r="E15" s="50">
        <v>7.74</v>
      </c>
      <c r="F15" s="50">
        <v>2.4300000000000002</v>
      </c>
      <c r="G15" s="50">
        <v>41.82</v>
      </c>
      <c r="H15" s="50">
        <v>13.6</v>
      </c>
      <c r="I15" s="50">
        <v>4.58</v>
      </c>
      <c r="J15" s="50">
        <v>0.44</v>
      </c>
      <c r="K15" s="50">
        <v>164.17</v>
      </c>
      <c r="L15" s="50">
        <v>27.17</v>
      </c>
      <c r="M15" s="50">
        <v>98.06</v>
      </c>
      <c r="N15" s="50">
        <v>40.6</v>
      </c>
      <c r="O15" s="50">
        <v>0</v>
      </c>
      <c r="P15" s="50">
        <v>0.42</v>
      </c>
      <c r="Q15" s="50">
        <v>5.05</v>
      </c>
    </row>
    <row r="16" spans="1:21" customFormat="1">
      <c r="A16" s="49">
        <v>45539.333333333336</v>
      </c>
      <c r="B16" s="50">
        <v>9.2899999999999991</v>
      </c>
      <c r="C16" s="50">
        <v>4.07</v>
      </c>
      <c r="D16" s="50">
        <v>14.02</v>
      </c>
      <c r="E16" s="50">
        <v>8.5399999999999991</v>
      </c>
      <c r="F16" s="50">
        <v>2.8</v>
      </c>
      <c r="G16" s="50">
        <v>47.5</v>
      </c>
      <c r="H16" s="50">
        <v>13.6</v>
      </c>
      <c r="I16" s="50">
        <v>4.63</v>
      </c>
      <c r="J16" s="50">
        <v>0.44</v>
      </c>
      <c r="K16" s="50">
        <v>143.01</v>
      </c>
      <c r="L16" s="50">
        <v>28.03</v>
      </c>
      <c r="M16" s="50">
        <v>92.45</v>
      </c>
      <c r="N16" s="50">
        <v>79.7</v>
      </c>
      <c r="O16" s="50">
        <v>0</v>
      </c>
      <c r="P16" s="50">
        <v>0.45</v>
      </c>
      <c r="Q16" s="50">
        <v>5.05</v>
      </c>
    </row>
    <row r="17" spans="1:17" customFormat="1">
      <c r="A17" s="49">
        <v>45539.375</v>
      </c>
      <c r="B17" s="50">
        <v>9.2799999999999994</v>
      </c>
      <c r="C17" s="50">
        <v>4.09</v>
      </c>
      <c r="D17" s="50">
        <v>14.02</v>
      </c>
      <c r="E17" s="50">
        <v>9.4</v>
      </c>
      <c r="F17" s="50">
        <v>4.33</v>
      </c>
      <c r="G17" s="50">
        <v>47.5</v>
      </c>
      <c r="H17" s="50">
        <v>10.87</v>
      </c>
      <c r="I17" s="50">
        <v>4.6399999999999997</v>
      </c>
      <c r="J17" s="50">
        <v>0.2</v>
      </c>
      <c r="K17" s="50">
        <v>245.19</v>
      </c>
      <c r="L17" s="50">
        <v>28.89</v>
      </c>
      <c r="M17" s="50">
        <v>85.48</v>
      </c>
      <c r="N17" s="50">
        <v>92.9</v>
      </c>
      <c r="O17" s="50">
        <v>0</v>
      </c>
      <c r="P17" s="50">
        <v>0.43</v>
      </c>
      <c r="Q17" s="50">
        <v>5.0599999999999996</v>
      </c>
    </row>
    <row r="18" spans="1:17" customFormat="1">
      <c r="A18" s="49">
        <v>45539.416666666664</v>
      </c>
      <c r="B18" s="50">
        <v>9.2799999999999994</v>
      </c>
      <c r="C18" s="50">
        <v>4.1100000000000003</v>
      </c>
      <c r="D18" s="50">
        <v>14.02</v>
      </c>
      <c r="E18" s="50">
        <v>9.85</v>
      </c>
      <c r="F18" s="50">
        <v>5.86</v>
      </c>
      <c r="G18" s="50">
        <v>42.43</v>
      </c>
      <c r="H18" s="50">
        <v>10.35</v>
      </c>
      <c r="I18" s="50">
        <v>4.59</v>
      </c>
      <c r="J18" s="50">
        <v>0.25</v>
      </c>
      <c r="K18" s="50">
        <v>162.80000000000001</v>
      </c>
      <c r="L18" s="50">
        <v>29.43</v>
      </c>
      <c r="M18" s="50">
        <v>92.52</v>
      </c>
      <c r="N18" s="50">
        <v>112</v>
      </c>
      <c r="O18" s="50">
        <v>1.6</v>
      </c>
      <c r="P18" s="50">
        <v>0.46</v>
      </c>
      <c r="Q18" s="50">
        <v>5.03</v>
      </c>
    </row>
    <row r="19" spans="1:17" customFormat="1">
      <c r="A19" s="49">
        <v>45539.458333333336</v>
      </c>
      <c r="B19" s="50">
        <v>9.31</v>
      </c>
      <c r="C19" s="50">
        <v>4.09</v>
      </c>
      <c r="D19" s="50">
        <v>14.05</v>
      </c>
      <c r="E19" s="50">
        <v>11.45</v>
      </c>
      <c r="F19" s="50">
        <v>7.62</v>
      </c>
      <c r="G19" s="50">
        <v>45.36</v>
      </c>
      <c r="H19" s="50">
        <v>9.15</v>
      </c>
      <c r="I19" s="50">
        <v>4.91</v>
      </c>
      <c r="J19" s="50">
        <v>0.34</v>
      </c>
      <c r="K19" s="50">
        <v>210.81</v>
      </c>
      <c r="L19" s="50">
        <v>29.97</v>
      </c>
      <c r="M19" s="50">
        <v>90.75</v>
      </c>
      <c r="N19" s="50">
        <v>354</v>
      </c>
      <c r="O19" s="50">
        <v>0</v>
      </c>
      <c r="P19" s="50">
        <v>0.51</v>
      </c>
      <c r="Q19" s="50">
        <v>5.0599999999999996</v>
      </c>
    </row>
    <row r="20" spans="1:17" customFormat="1">
      <c r="A20" s="49">
        <v>45539.5</v>
      </c>
      <c r="B20" s="50">
        <v>9.32</v>
      </c>
      <c r="C20" s="50">
        <v>4.07</v>
      </c>
      <c r="D20" s="50">
        <v>14.04</v>
      </c>
      <c r="E20" s="50">
        <v>11</v>
      </c>
      <c r="F20" s="50">
        <v>12.27</v>
      </c>
      <c r="G20" s="50">
        <v>55.28</v>
      </c>
      <c r="H20" s="50">
        <v>13.22</v>
      </c>
      <c r="I20" s="50">
        <v>5.03</v>
      </c>
      <c r="J20" s="50">
        <v>0.32</v>
      </c>
      <c r="K20" s="50">
        <v>178.81</v>
      </c>
      <c r="L20" s="50">
        <v>31.46</v>
      </c>
      <c r="M20" s="50">
        <v>78.14</v>
      </c>
      <c r="N20" s="50">
        <v>814.9</v>
      </c>
      <c r="O20" s="50">
        <v>0</v>
      </c>
      <c r="P20" s="50">
        <v>0.49</v>
      </c>
      <c r="Q20" s="50">
        <v>5.04</v>
      </c>
    </row>
    <row r="21" spans="1:17" customFormat="1">
      <c r="A21" s="49">
        <v>45539.541666666664</v>
      </c>
      <c r="B21" s="50">
        <v>9.33</v>
      </c>
      <c r="C21" s="50">
        <v>4.07</v>
      </c>
      <c r="D21" s="50">
        <v>14.05</v>
      </c>
      <c r="E21" s="50">
        <v>9.27</v>
      </c>
      <c r="F21" s="50">
        <v>8.7100000000000009</v>
      </c>
      <c r="G21" s="50">
        <v>55.28</v>
      </c>
      <c r="H21" s="50">
        <v>13.72</v>
      </c>
      <c r="I21" s="50">
        <v>4.88</v>
      </c>
      <c r="J21" s="50">
        <v>0.77</v>
      </c>
      <c r="K21" s="50">
        <v>345.43</v>
      </c>
      <c r="L21" s="50">
        <v>31.25</v>
      </c>
      <c r="M21" s="50">
        <v>75.52</v>
      </c>
      <c r="N21" s="50">
        <v>705.1</v>
      </c>
      <c r="O21" s="50">
        <v>0.2</v>
      </c>
      <c r="P21" s="50">
        <v>0.49</v>
      </c>
      <c r="Q21" s="50">
        <v>5.04</v>
      </c>
    </row>
    <row r="22" spans="1:17" customFormat="1">
      <c r="A22" s="49">
        <v>45539.583333333336</v>
      </c>
      <c r="B22" s="50">
        <v>9.2799999999999994</v>
      </c>
      <c r="C22" s="50">
        <v>4.09</v>
      </c>
      <c r="D22" s="50">
        <v>14.02</v>
      </c>
      <c r="E22" s="50">
        <v>12.13</v>
      </c>
      <c r="F22" s="50">
        <v>10.81</v>
      </c>
      <c r="G22" s="50">
        <v>58.97</v>
      </c>
      <c r="H22" s="50">
        <v>18.420000000000002</v>
      </c>
      <c r="I22" s="50">
        <v>5.07</v>
      </c>
      <c r="J22" s="50">
        <v>0.6</v>
      </c>
      <c r="K22" s="50">
        <v>308.72000000000003</v>
      </c>
      <c r="L22" s="50">
        <v>32.340000000000003</v>
      </c>
      <c r="M22" s="50">
        <v>74.790000000000006</v>
      </c>
      <c r="N22" s="50">
        <v>377.2</v>
      </c>
      <c r="O22" s="50">
        <v>0</v>
      </c>
      <c r="P22" s="50">
        <v>0.52</v>
      </c>
      <c r="Q22" s="50">
        <v>5.05</v>
      </c>
    </row>
    <row r="23" spans="1:17" customFormat="1">
      <c r="A23" s="49">
        <v>45539.625</v>
      </c>
      <c r="B23" s="50">
        <v>9.43</v>
      </c>
      <c r="C23" s="50">
        <v>4.0999999999999996</v>
      </c>
      <c r="D23" s="50">
        <v>14.15</v>
      </c>
      <c r="E23" s="50">
        <v>9.85</v>
      </c>
      <c r="F23" s="50">
        <v>10.87</v>
      </c>
      <c r="G23" s="50">
        <v>58.97</v>
      </c>
      <c r="H23" s="50">
        <v>18.420000000000002</v>
      </c>
      <c r="I23" s="50">
        <v>4.9800000000000004</v>
      </c>
      <c r="J23" s="50">
        <v>0.72</v>
      </c>
      <c r="K23" s="50">
        <v>89.93</v>
      </c>
      <c r="L23" s="50">
        <v>32.159999999999997</v>
      </c>
      <c r="M23" s="50">
        <v>71.489999999999995</v>
      </c>
      <c r="N23" s="50">
        <v>111.2</v>
      </c>
      <c r="O23" s="50">
        <v>0</v>
      </c>
      <c r="P23" s="50">
        <v>0.41</v>
      </c>
      <c r="Q23" s="50">
        <v>5.04</v>
      </c>
    </row>
    <row r="24" spans="1:17" customFormat="1">
      <c r="A24" s="49">
        <v>45539.666666666664</v>
      </c>
      <c r="B24" s="50">
        <v>9.35</v>
      </c>
      <c r="C24" s="50">
        <v>4.1100000000000003</v>
      </c>
      <c r="D24" s="50">
        <v>14.07</v>
      </c>
      <c r="E24" s="50">
        <v>9.34</v>
      </c>
      <c r="F24" s="50">
        <v>6.27</v>
      </c>
      <c r="G24" s="50">
        <v>52.5</v>
      </c>
      <c r="H24" s="50">
        <v>12.94</v>
      </c>
      <c r="I24" s="50">
        <v>4.38</v>
      </c>
      <c r="J24" s="50">
        <v>0.38</v>
      </c>
      <c r="K24" s="50">
        <v>349.97</v>
      </c>
      <c r="L24" s="50">
        <v>30.81</v>
      </c>
      <c r="M24" s="50">
        <v>76.05</v>
      </c>
      <c r="N24" s="50">
        <v>60</v>
      </c>
      <c r="O24" s="50">
        <v>0</v>
      </c>
      <c r="P24" s="50">
        <v>0.44</v>
      </c>
      <c r="Q24" s="50">
        <v>5.05</v>
      </c>
    </row>
    <row r="25" spans="1:17" customFormat="1">
      <c r="A25" s="49">
        <v>45539.708333333336</v>
      </c>
      <c r="B25" s="50">
        <v>9.34</v>
      </c>
      <c r="C25" s="50">
        <v>4.1100000000000003</v>
      </c>
      <c r="D25" s="50">
        <v>14.08</v>
      </c>
      <c r="E25" s="50">
        <v>15.37</v>
      </c>
      <c r="F25" s="50">
        <v>4.95</v>
      </c>
      <c r="G25" s="50">
        <v>63.16</v>
      </c>
      <c r="H25" s="50">
        <v>15.84</v>
      </c>
      <c r="I25" s="50">
        <v>5.0599999999999996</v>
      </c>
      <c r="J25" s="50">
        <v>0.47</v>
      </c>
      <c r="K25" s="50">
        <v>321.57</v>
      </c>
      <c r="L25" s="50">
        <v>30.36</v>
      </c>
      <c r="M25" s="50">
        <v>77.97</v>
      </c>
      <c r="N25" s="50">
        <v>83.3</v>
      </c>
      <c r="O25" s="50">
        <v>0</v>
      </c>
      <c r="P25" s="50">
        <v>0.56000000000000005</v>
      </c>
      <c r="Q25" s="50">
        <v>5.05</v>
      </c>
    </row>
    <row r="26" spans="1:17" customFormat="1">
      <c r="A26" s="49">
        <v>45539.75</v>
      </c>
      <c r="B26" s="50">
        <v>9.34</v>
      </c>
      <c r="C26" s="50">
        <v>4.13</v>
      </c>
      <c r="D26" s="50">
        <v>14.08</v>
      </c>
      <c r="E26" s="50">
        <v>11.92</v>
      </c>
      <c r="F26" s="50">
        <v>4.97</v>
      </c>
      <c r="G26" s="50">
        <v>63.16</v>
      </c>
      <c r="H26" s="50">
        <v>15.84</v>
      </c>
      <c r="I26" s="50">
        <v>5.33</v>
      </c>
      <c r="J26" s="50">
        <v>0.26</v>
      </c>
      <c r="K26" s="50">
        <v>192.3</v>
      </c>
      <c r="L26" s="50">
        <v>29.53</v>
      </c>
      <c r="M26" s="50">
        <v>82.48</v>
      </c>
      <c r="N26" s="50">
        <v>65.7</v>
      </c>
      <c r="O26" s="50">
        <v>0</v>
      </c>
      <c r="P26" s="50">
        <v>0.44</v>
      </c>
      <c r="Q26" s="50">
        <v>5.04</v>
      </c>
    </row>
    <row r="27" spans="1:17" customFormat="1">
      <c r="A27" s="49">
        <v>45539.791666666664</v>
      </c>
      <c r="B27" s="50">
        <v>9.34</v>
      </c>
      <c r="C27" s="50">
        <v>4.0999999999999996</v>
      </c>
      <c r="D27" s="50">
        <v>14.08</v>
      </c>
      <c r="E27" s="50">
        <v>10.94</v>
      </c>
      <c r="F27" s="50">
        <v>3.93</v>
      </c>
      <c r="G27" s="50">
        <v>52.35</v>
      </c>
      <c r="H27" s="50">
        <v>11.54</v>
      </c>
      <c r="I27" s="50">
        <v>4.58</v>
      </c>
      <c r="J27" s="50">
        <v>0.36</v>
      </c>
      <c r="K27" s="50">
        <v>227.94</v>
      </c>
      <c r="L27" s="50">
        <v>28.01</v>
      </c>
      <c r="M27" s="50">
        <v>89.01</v>
      </c>
      <c r="N27" s="50">
        <v>4.3</v>
      </c>
      <c r="O27" s="50">
        <v>0</v>
      </c>
      <c r="P27" s="50">
        <v>0.43</v>
      </c>
      <c r="Q27" s="50">
        <v>5.04</v>
      </c>
    </row>
    <row r="28" spans="1:17" customFormat="1">
      <c r="A28" s="49">
        <v>45539.833333333336</v>
      </c>
      <c r="B28" s="50">
        <v>9.3699999999999992</v>
      </c>
      <c r="C28" s="50">
        <v>4.0999999999999996</v>
      </c>
      <c r="D28" s="50">
        <v>14.11</v>
      </c>
      <c r="E28" s="50">
        <v>10.8</v>
      </c>
      <c r="F28" s="50">
        <v>4.84</v>
      </c>
      <c r="G28" s="50">
        <v>34.03</v>
      </c>
      <c r="H28" s="50">
        <v>11.09</v>
      </c>
      <c r="I28" s="50">
        <v>4.34</v>
      </c>
      <c r="J28" s="50">
        <v>0.18</v>
      </c>
      <c r="K28" s="50">
        <v>266.77999999999997</v>
      </c>
      <c r="L28" s="50">
        <v>26.47</v>
      </c>
      <c r="M28" s="50">
        <v>92</v>
      </c>
      <c r="N28" s="50">
        <v>2.2000000000000002</v>
      </c>
      <c r="O28" s="50">
        <v>0</v>
      </c>
      <c r="P28" s="50">
        <v>0.4</v>
      </c>
      <c r="Q28" s="50">
        <v>5.04</v>
      </c>
    </row>
    <row r="29" spans="1:17" customFormat="1">
      <c r="A29" s="49">
        <v>45539.875</v>
      </c>
      <c r="B29" s="50">
        <v>9.3800000000000008</v>
      </c>
      <c r="C29" s="50">
        <v>4.08</v>
      </c>
      <c r="D29" s="50">
        <v>14.09</v>
      </c>
      <c r="E29" s="50">
        <v>9.2100000000000009</v>
      </c>
      <c r="F29" s="50">
        <v>6.75</v>
      </c>
      <c r="G29" s="50">
        <v>28.6</v>
      </c>
      <c r="H29" s="50">
        <v>8.4</v>
      </c>
      <c r="I29" s="50">
        <v>4.0999999999999996</v>
      </c>
      <c r="J29" s="50">
        <v>0.17</v>
      </c>
      <c r="K29" s="50">
        <v>254.41</v>
      </c>
      <c r="L29" s="50">
        <v>26.44</v>
      </c>
      <c r="M29" s="50">
        <v>93.29</v>
      </c>
      <c r="N29" s="50">
        <v>2.1</v>
      </c>
      <c r="O29" s="50">
        <v>0</v>
      </c>
      <c r="P29" s="50">
        <v>0.35</v>
      </c>
      <c r="Q29" s="50">
        <v>5.05</v>
      </c>
    </row>
    <row r="30" spans="1:17" customFormat="1">
      <c r="A30" s="49">
        <v>45539.916666666664</v>
      </c>
      <c r="B30" s="50">
        <v>9.36</v>
      </c>
      <c r="C30" s="50">
        <v>4.07</v>
      </c>
      <c r="D30" s="50">
        <v>14.08</v>
      </c>
      <c r="E30" s="50">
        <v>8.1199999999999992</v>
      </c>
      <c r="F30" s="50">
        <v>7.06</v>
      </c>
      <c r="G30" s="50">
        <v>25.23</v>
      </c>
      <c r="H30" s="50">
        <v>6.03</v>
      </c>
      <c r="I30" s="50">
        <v>3.92</v>
      </c>
      <c r="J30" s="50">
        <v>0.14000000000000001</v>
      </c>
      <c r="K30" s="50">
        <v>230.61</v>
      </c>
      <c r="L30" s="50">
        <v>26.34</v>
      </c>
      <c r="M30" s="50">
        <v>94.78</v>
      </c>
      <c r="N30" s="50">
        <v>2.1</v>
      </c>
      <c r="O30" s="50">
        <v>0</v>
      </c>
      <c r="P30" s="50">
        <v>0.32</v>
      </c>
      <c r="Q30" s="50">
        <v>5.05</v>
      </c>
    </row>
    <row r="31" spans="1:17" customFormat="1">
      <c r="A31" s="49">
        <v>45539.958333333336</v>
      </c>
      <c r="B31" s="50">
        <v>9.3699999999999992</v>
      </c>
      <c r="C31" s="50">
        <v>4.08</v>
      </c>
      <c r="D31" s="50">
        <v>14.08</v>
      </c>
      <c r="E31" s="50">
        <v>8.2799999999999994</v>
      </c>
      <c r="F31" s="50">
        <v>8.27</v>
      </c>
      <c r="G31" s="50">
        <v>21.97</v>
      </c>
      <c r="H31" s="50">
        <v>4.9000000000000004</v>
      </c>
      <c r="I31" s="50">
        <v>3.83</v>
      </c>
      <c r="J31" s="50">
        <v>0.32</v>
      </c>
      <c r="K31" s="50">
        <v>272.89</v>
      </c>
      <c r="L31" s="50">
        <v>26.73</v>
      </c>
      <c r="M31" s="50">
        <v>94.89</v>
      </c>
      <c r="N31" s="50">
        <v>2.1</v>
      </c>
      <c r="O31" s="50">
        <v>0</v>
      </c>
      <c r="P31" s="50">
        <v>0.31</v>
      </c>
      <c r="Q31" s="50">
        <v>5.07</v>
      </c>
    </row>
    <row r="32" spans="1:17" customFormat="1">
      <c r="A32" s="49">
        <v>45540</v>
      </c>
      <c r="B32" s="50">
        <v>9.32</v>
      </c>
      <c r="C32" s="50">
        <v>4.0999999999999996</v>
      </c>
      <c r="D32" s="50">
        <v>14.02</v>
      </c>
      <c r="E32" s="50">
        <v>8.65</v>
      </c>
      <c r="F32" s="50">
        <v>8.1199999999999992</v>
      </c>
      <c r="G32" s="50">
        <v>21.97</v>
      </c>
      <c r="H32" s="50">
        <v>4.6500000000000004</v>
      </c>
      <c r="I32" s="50">
        <v>3.69</v>
      </c>
      <c r="J32" s="50">
        <v>0.47</v>
      </c>
      <c r="K32" s="50">
        <v>275.87</v>
      </c>
      <c r="L32" s="50">
        <v>26.7</v>
      </c>
      <c r="M32" s="50">
        <v>93.27</v>
      </c>
      <c r="N32" s="50">
        <v>2.2000000000000002</v>
      </c>
      <c r="O32" s="50">
        <v>0</v>
      </c>
      <c r="P32" s="50">
        <v>0.33</v>
      </c>
      <c r="Q32" s="50">
        <v>5.05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9.2799999999999994</v>
      </c>
      <c r="C34" s="40">
        <f t="shared" si="0"/>
        <v>4.07</v>
      </c>
      <c r="D34" s="40">
        <f t="shared" si="0"/>
        <v>14.01</v>
      </c>
      <c r="E34" s="40">
        <f t="shared" si="0"/>
        <v>6.75</v>
      </c>
      <c r="F34" s="40">
        <f t="shared" si="0"/>
        <v>1.36</v>
      </c>
      <c r="G34" s="40">
        <f t="shared" si="0"/>
        <v>21.97</v>
      </c>
      <c r="H34" s="40">
        <f t="shared" si="0"/>
        <v>4.6500000000000004</v>
      </c>
      <c r="I34" s="40">
        <f t="shared" si="0"/>
        <v>3.69</v>
      </c>
      <c r="J34" s="40">
        <f t="shared" si="0"/>
        <v>0.14000000000000001</v>
      </c>
      <c r="K34" s="40">
        <f t="shared" si="0"/>
        <v>89.93</v>
      </c>
      <c r="L34" s="40">
        <f t="shared" si="0"/>
        <v>25.97</v>
      </c>
      <c r="M34" s="40">
        <f t="shared" si="0"/>
        <v>71.489999999999995</v>
      </c>
      <c r="N34" s="40">
        <f t="shared" si="0"/>
        <v>2.1</v>
      </c>
      <c r="O34" s="40">
        <f t="shared" si="0"/>
        <v>0</v>
      </c>
      <c r="P34" s="40">
        <f t="shared" si="0"/>
        <v>0.31</v>
      </c>
      <c r="Q34" s="40">
        <f t="shared" si="0"/>
        <v>5.03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9.43</v>
      </c>
      <c r="C35" s="33">
        <f t="shared" si="1"/>
        <v>4.13</v>
      </c>
      <c r="D35" s="33">
        <f t="shared" si="1"/>
        <v>14.15</v>
      </c>
      <c r="E35" s="33">
        <f t="shared" si="1"/>
        <v>15.37</v>
      </c>
      <c r="F35" s="33">
        <f t="shared" si="1"/>
        <v>12.27</v>
      </c>
      <c r="G35" s="33">
        <f t="shared" si="1"/>
        <v>63.16</v>
      </c>
      <c r="H35" s="33">
        <f t="shared" si="1"/>
        <v>18.420000000000002</v>
      </c>
      <c r="I35" s="33">
        <f t="shared" si="1"/>
        <v>5.33</v>
      </c>
      <c r="J35" s="33">
        <f t="shared" si="1"/>
        <v>0.77</v>
      </c>
      <c r="K35" s="33">
        <f t="shared" si="1"/>
        <v>349.97</v>
      </c>
      <c r="L35" s="33">
        <f t="shared" si="1"/>
        <v>32.340000000000003</v>
      </c>
      <c r="M35" s="33">
        <f t="shared" si="1"/>
        <v>98.67</v>
      </c>
      <c r="N35" s="33">
        <f t="shared" si="1"/>
        <v>814.9</v>
      </c>
      <c r="O35" s="33">
        <f t="shared" si="1"/>
        <v>1.6</v>
      </c>
      <c r="P35" s="33">
        <f t="shared" si="1"/>
        <v>0.56000000000000005</v>
      </c>
      <c r="Q35" s="33">
        <f t="shared" si="1"/>
        <v>5.07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9.3258333333333336</v>
      </c>
      <c r="C36" s="40">
        <f t="shared" si="2"/>
        <v>4.0879166666666666</v>
      </c>
      <c r="D36" s="40">
        <f t="shared" si="2"/>
        <v>14.054166666666667</v>
      </c>
      <c r="E36" s="40">
        <f t="shared" si="2"/>
        <v>9.6870833333333337</v>
      </c>
      <c r="F36" s="40">
        <f t="shared" si="2"/>
        <v>5.5545833333333334</v>
      </c>
      <c r="G36" s="40">
        <f t="shared" si="2"/>
        <v>44.943750000000001</v>
      </c>
      <c r="H36" s="40">
        <f t="shared" si="2"/>
        <v>10.504166666666668</v>
      </c>
      <c r="I36" s="40">
        <f t="shared" si="2"/>
        <v>4.5083333333333337</v>
      </c>
      <c r="J36" s="40">
        <f t="shared" si="2"/>
        <v>0.32291666666666657</v>
      </c>
      <c r="K36" s="40">
        <f t="shared" si="2"/>
        <v>234.8208333333333</v>
      </c>
      <c r="L36" s="40">
        <f t="shared" si="2"/>
        <v>28.356666666666673</v>
      </c>
      <c r="M36" s="40">
        <f t="shared" si="2"/>
        <v>88.927500000000009</v>
      </c>
      <c r="N36" s="40">
        <f t="shared" si="2"/>
        <v>122.15416666666663</v>
      </c>
      <c r="O36" s="40">
        <f t="shared" si="2"/>
        <v>7.4999999999999997E-2</v>
      </c>
      <c r="P36" s="40">
        <f t="shared" si="2"/>
        <v>0.41791666666666677</v>
      </c>
      <c r="Q36" s="40">
        <f t="shared" si="2"/>
        <v>5.0483333333333338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3.8776580411452009E-2</v>
      </c>
      <c r="C37" s="40">
        <f t="shared" ref="C37:Q37" si="3">STDEV(C9:C32)</f>
        <v>1.6934443076724925E-2</v>
      </c>
      <c r="D37" s="40">
        <f t="shared" si="3"/>
        <v>3.5005175600767852E-2</v>
      </c>
      <c r="E37" s="40">
        <f t="shared" si="3"/>
        <v>2.0231690147683707</v>
      </c>
      <c r="F37" s="40">
        <f t="shared" si="3"/>
        <v>3.1594894732985046</v>
      </c>
      <c r="G37" s="40">
        <f t="shared" si="3"/>
        <v>12.574710580989573</v>
      </c>
      <c r="H37" s="40">
        <f t="shared" si="3"/>
        <v>4.2480265665535724</v>
      </c>
      <c r="I37" s="40">
        <f t="shared" si="3"/>
        <v>0.43235117234938319</v>
      </c>
      <c r="J37" s="40">
        <f t="shared" si="3"/>
        <v>0.18473198368745328</v>
      </c>
      <c r="K37" s="40">
        <f t="shared" si="3"/>
        <v>62.650901858019566</v>
      </c>
      <c r="L37" s="40">
        <f t="shared" si="3"/>
        <v>2.1508737691956923</v>
      </c>
      <c r="M37" s="40">
        <f t="shared" si="3"/>
        <v>8.7969536476134262</v>
      </c>
      <c r="N37" s="40">
        <f t="shared" si="3"/>
        <v>221.38440889914355</v>
      </c>
      <c r="O37" s="40">
        <f t="shared" si="3"/>
        <v>0.32737427058869228</v>
      </c>
      <c r="P37" s="40">
        <f t="shared" si="3"/>
        <v>6.6723254968737225E-2</v>
      </c>
      <c r="Q37" s="40">
        <f t="shared" si="3"/>
        <v>9.6308682468615042E-3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N38" sqref="N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45540.041666666664</v>
      </c>
      <c r="B9" s="50">
        <v>9.25</v>
      </c>
      <c r="C9" s="50">
        <v>4.12</v>
      </c>
      <c r="D9" s="50">
        <v>14</v>
      </c>
      <c r="E9" s="50">
        <v>9.74</v>
      </c>
      <c r="F9" s="50">
        <v>7.14</v>
      </c>
      <c r="G9" s="50">
        <v>16</v>
      </c>
      <c r="H9" s="50">
        <v>5.27</v>
      </c>
      <c r="I9" s="50">
        <v>3.86</v>
      </c>
      <c r="J9" s="50">
        <v>0.41</v>
      </c>
      <c r="K9" s="50">
        <v>302.13</v>
      </c>
      <c r="L9" s="50">
        <v>26.55</v>
      </c>
      <c r="M9" s="50">
        <v>88.95</v>
      </c>
      <c r="N9" s="50">
        <v>2.1</v>
      </c>
      <c r="O9" s="50">
        <v>0</v>
      </c>
      <c r="P9" s="50">
        <v>0.36</v>
      </c>
      <c r="Q9" s="50">
        <v>5.05</v>
      </c>
    </row>
    <row r="10" spans="1:21" customFormat="1">
      <c r="A10" s="49">
        <v>45540.083333333336</v>
      </c>
      <c r="B10" s="50">
        <v>9.26</v>
      </c>
      <c r="C10" s="50">
        <v>4.1100000000000003</v>
      </c>
      <c r="D10" s="50">
        <v>14</v>
      </c>
      <c r="E10" s="50">
        <v>9.94</v>
      </c>
      <c r="F10" s="50">
        <v>4.76</v>
      </c>
      <c r="G10" s="50">
        <v>22.64</v>
      </c>
      <c r="H10" s="50">
        <v>11.63</v>
      </c>
      <c r="I10" s="50">
        <v>4.0599999999999996</v>
      </c>
      <c r="J10" s="50">
        <v>0.21</v>
      </c>
      <c r="K10" s="50">
        <v>248.08</v>
      </c>
      <c r="L10" s="50">
        <v>26.35</v>
      </c>
      <c r="M10" s="50">
        <v>92.77</v>
      </c>
      <c r="N10" s="50">
        <v>2.2999999999999998</v>
      </c>
      <c r="O10" s="50">
        <v>0</v>
      </c>
      <c r="P10" s="50">
        <v>0.38</v>
      </c>
      <c r="Q10" s="50">
        <v>5.05</v>
      </c>
    </row>
    <row r="11" spans="1:21" customFormat="1">
      <c r="A11" s="49">
        <v>45540.125</v>
      </c>
      <c r="B11" s="50">
        <v>9.25</v>
      </c>
      <c r="C11" s="50">
        <v>4.09</v>
      </c>
      <c r="D11" s="50">
        <v>14</v>
      </c>
      <c r="E11" s="50">
        <v>9.93</v>
      </c>
      <c r="F11" s="50">
        <v>3.38</v>
      </c>
      <c r="G11" s="50">
        <v>22.64</v>
      </c>
      <c r="H11" s="50">
        <v>11.63</v>
      </c>
      <c r="I11" s="50">
        <v>4.6900000000000004</v>
      </c>
      <c r="J11" s="50">
        <v>0.16</v>
      </c>
      <c r="K11" s="50">
        <v>256.97000000000003</v>
      </c>
      <c r="L11" s="50">
        <v>25.86</v>
      </c>
      <c r="M11" s="50">
        <v>96.13</v>
      </c>
      <c r="N11" s="50">
        <v>2.1</v>
      </c>
      <c r="O11" s="50">
        <v>0</v>
      </c>
      <c r="P11" s="50">
        <v>0.42</v>
      </c>
      <c r="Q11" s="50">
        <v>5.05</v>
      </c>
    </row>
    <row r="12" spans="1:21" customFormat="1">
      <c r="A12" s="49">
        <v>45540.166666666664</v>
      </c>
      <c r="B12" s="50">
        <v>9.25</v>
      </c>
      <c r="C12" s="50">
        <v>4.0999999999999996</v>
      </c>
      <c r="D12" s="50">
        <v>14.01</v>
      </c>
      <c r="E12" s="50">
        <v>10.119999999999999</v>
      </c>
      <c r="F12" s="50">
        <v>2.77</v>
      </c>
      <c r="G12" s="50">
        <v>21.03</v>
      </c>
      <c r="H12" s="50">
        <v>8.4700000000000006</v>
      </c>
      <c r="I12" s="50">
        <v>4.83</v>
      </c>
      <c r="J12" s="50">
        <v>0.21</v>
      </c>
      <c r="K12" s="50">
        <v>271.24</v>
      </c>
      <c r="L12" s="50">
        <v>25.41</v>
      </c>
      <c r="M12" s="50">
        <v>97.53</v>
      </c>
      <c r="N12" s="50">
        <v>2.1</v>
      </c>
      <c r="O12" s="50">
        <v>0</v>
      </c>
      <c r="P12" s="50">
        <v>0.4</v>
      </c>
      <c r="Q12" s="50">
        <v>5.04</v>
      </c>
    </row>
    <row r="13" spans="1:21" customFormat="1">
      <c r="A13" s="49">
        <v>45540.208333333336</v>
      </c>
      <c r="B13" s="50">
        <v>9.27</v>
      </c>
      <c r="C13" s="50">
        <v>4.09</v>
      </c>
      <c r="D13" s="50">
        <v>14.01</v>
      </c>
      <c r="E13" s="50">
        <v>10.45</v>
      </c>
      <c r="F13" s="50">
        <v>2.5499999999999998</v>
      </c>
      <c r="G13" s="50">
        <v>20.82</v>
      </c>
      <c r="H13" s="50">
        <v>6.01</v>
      </c>
      <c r="I13" s="50">
        <v>4.5999999999999996</v>
      </c>
      <c r="J13" s="50">
        <v>0.22</v>
      </c>
      <c r="K13" s="50">
        <v>272.35000000000002</v>
      </c>
      <c r="L13" s="50">
        <v>25.13</v>
      </c>
      <c r="M13" s="50">
        <v>98.42</v>
      </c>
      <c r="N13" s="50">
        <v>2.1</v>
      </c>
      <c r="O13" s="50">
        <v>0</v>
      </c>
      <c r="P13" s="50">
        <v>0.4</v>
      </c>
      <c r="Q13" s="50">
        <v>5.04</v>
      </c>
    </row>
    <row r="14" spans="1:21" customFormat="1">
      <c r="A14" s="49">
        <v>45540.25</v>
      </c>
      <c r="B14" s="50">
        <v>9.25</v>
      </c>
      <c r="C14" s="50">
        <v>4.13</v>
      </c>
      <c r="D14" s="50">
        <v>14</v>
      </c>
      <c r="E14" s="50">
        <v>9.8000000000000007</v>
      </c>
      <c r="F14" s="50">
        <v>4.4800000000000004</v>
      </c>
      <c r="G14" s="50">
        <v>15.06</v>
      </c>
      <c r="H14" s="50">
        <v>4.4000000000000004</v>
      </c>
      <c r="I14" s="50">
        <v>4.45</v>
      </c>
      <c r="J14" s="50">
        <v>0.28000000000000003</v>
      </c>
      <c r="K14" s="50">
        <v>270.57</v>
      </c>
      <c r="L14" s="50">
        <v>25.35</v>
      </c>
      <c r="M14" s="50">
        <v>97.75</v>
      </c>
      <c r="N14" s="50">
        <v>8.5</v>
      </c>
      <c r="O14" s="50">
        <v>0</v>
      </c>
      <c r="P14" s="50">
        <v>0.35</v>
      </c>
      <c r="Q14" s="50">
        <v>5.05</v>
      </c>
    </row>
    <row r="15" spans="1:21" customFormat="1">
      <c r="A15" s="49">
        <v>45540.291666666664</v>
      </c>
      <c r="B15" s="50">
        <v>9.23</v>
      </c>
      <c r="C15" s="50">
        <v>4.13</v>
      </c>
      <c r="D15" s="50">
        <v>14</v>
      </c>
      <c r="E15" s="50">
        <v>9.07</v>
      </c>
      <c r="F15" s="50">
        <v>5.0599999999999996</v>
      </c>
      <c r="G15" s="50">
        <v>18.05</v>
      </c>
      <c r="H15" s="50">
        <v>4.22</v>
      </c>
      <c r="I15" s="50">
        <v>4.8099999999999996</v>
      </c>
      <c r="J15" s="50">
        <v>0.42</v>
      </c>
      <c r="K15" s="50">
        <v>317.77</v>
      </c>
      <c r="L15" s="50">
        <v>26.02</v>
      </c>
      <c r="M15" s="50">
        <v>96.36</v>
      </c>
      <c r="N15" s="50">
        <v>38.5</v>
      </c>
      <c r="O15" s="50">
        <v>0</v>
      </c>
      <c r="P15" s="50">
        <v>0.35</v>
      </c>
      <c r="Q15" s="50">
        <v>5.0599999999999996</v>
      </c>
    </row>
    <row r="16" spans="1:21" customFormat="1">
      <c r="A16" s="49">
        <v>45540.333333333336</v>
      </c>
      <c r="B16" s="50">
        <v>9.27</v>
      </c>
      <c r="C16" s="50">
        <v>4.08</v>
      </c>
      <c r="D16" s="50">
        <v>14.01</v>
      </c>
      <c r="E16" s="50">
        <v>9.3000000000000007</v>
      </c>
      <c r="F16" s="50">
        <v>6.42</v>
      </c>
      <c r="G16" s="50">
        <v>37.590000000000003</v>
      </c>
      <c r="H16" s="50">
        <v>9.06</v>
      </c>
      <c r="I16" s="50">
        <v>4.97</v>
      </c>
      <c r="J16" s="50">
        <v>0.27</v>
      </c>
      <c r="K16" s="50">
        <v>313.02</v>
      </c>
      <c r="L16" s="50">
        <v>28.22</v>
      </c>
      <c r="M16" s="50">
        <v>93.95</v>
      </c>
      <c r="N16" s="50">
        <v>214.4</v>
      </c>
      <c r="O16" s="50">
        <v>0</v>
      </c>
      <c r="P16" s="50">
        <v>0.35</v>
      </c>
      <c r="Q16" s="50">
        <v>5.0599999999999996</v>
      </c>
    </row>
    <row r="17" spans="1:17" customFormat="1">
      <c r="A17" s="49">
        <v>45540.375</v>
      </c>
      <c r="B17" s="50">
        <v>9.26</v>
      </c>
      <c r="C17" s="50">
        <v>4.0999999999999996</v>
      </c>
      <c r="D17" s="50">
        <v>14</v>
      </c>
      <c r="E17" s="50">
        <v>14.21</v>
      </c>
      <c r="F17" s="50">
        <v>8.94</v>
      </c>
      <c r="G17" s="50">
        <v>46.15</v>
      </c>
      <c r="H17" s="50">
        <v>14.9</v>
      </c>
      <c r="I17" s="50">
        <v>4.6500000000000004</v>
      </c>
      <c r="J17" s="50">
        <v>0.57999999999999996</v>
      </c>
      <c r="K17" s="50">
        <v>98.19</v>
      </c>
      <c r="L17" s="50">
        <v>29.8</v>
      </c>
      <c r="M17" s="50">
        <v>80.650000000000006</v>
      </c>
      <c r="N17" s="50">
        <v>235.3</v>
      </c>
      <c r="O17" s="50">
        <v>0</v>
      </c>
      <c r="P17" s="50">
        <v>0.39</v>
      </c>
      <c r="Q17" s="50">
        <v>5.05</v>
      </c>
    </row>
    <row r="18" spans="1:17" customFormat="1">
      <c r="A18" s="49">
        <v>45540.416666666664</v>
      </c>
      <c r="B18" s="50">
        <v>9.26</v>
      </c>
      <c r="C18" s="50">
        <v>4.08</v>
      </c>
      <c r="D18" s="50">
        <v>14.01</v>
      </c>
      <c r="E18" s="50">
        <v>13.1</v>
      </c>
      <c r="F18" s="50">
        <v>7.12</v>
      </c>
      <c r="G18" s="50">
        <v>67.34</v>
      </c>
      <c r="H18" s="50">
        <v>15.48</v>
      </c>
      <c r="I18" s="50">
        <v>4.97</v>
      </c>
      <c r="J18" s="50">
        <v>0.28000000000000003</v>
      </c>
      <c r="K18" s="50">
        <v>151.01</v>
      </c>
      <c r="L18" s="50">
        <v>32.049999999999997</v>
      </c>
      <c r="M18" s="50">
        <v>75.27</v>
      </c>
      <c r="N18" s="50">
        <v>470</v>
      </c>
      <c r="O18" s="50">
        <v>0</v>
      </c>
      <c r="P18" s="50">
        <v>0.45</v>
      </c>
      <c r="Q18" s="50">
        <v>5.04</v>
      </c>
    </row>
    <row r="19" spans="1:17" customFormat="1">
      <c r="A19" s="49">
        <v>45540.458333333336</v>
      </c>
      <c r="B19" s="50">
        <v>9.27</v>
      </c>
      <c r="C19" s="50">
        <v>4.0999999999999996</v>
      </c>
      <c r="D19" s="50">
        <v>14</v>
      </c>
      <c r="E19" s="50">
        <v>16.87</v>
      </c>
      <c r="F19" s="50">
        <v>10.57</v>
      </c>
      <c r="G19" s="50">
        <v>85.94</v>
      </c>
      <c r="H19" s="50">
        <v>29.01</v>
      </c>
      <c r="I19" s="50">
        <v>5.13</v>
      </c>
      <c r="J19" s="50">
        <v>0.42</v>
      </c>
      <c r="K19" s="50">
        <v>147.16</v>
      </c>
      <c r="L19" s="50">
        <v>32.68</v>
      </c>
      <c r="M19" s="50">
        <v>70.02</v>
      </c>
      <c r="N19" s="50">
        <v>350.3</v>
      </c>
      <c r="O19" s="50">
        <v>0</v>
      </c>
      <c r="P19" s="50">
        <v>0.47</v>
      </c>
      <c r="Q19" s="50">
        <v>5.05</v>
      </c>
    </row>
    <row r="20" spans="1:17" customFormat="1">
      <c r="A20" s="49">
        <v>45540.5</v>
      </c>
      <c r="B20" s="50">
        <v>10.4</v>
      </c>
      <c r="C20" s="50">
        <v>4.03</v>
      </c>
      <c r="D20" s="50">
        <v>14.77</v>
      </c>
      <c r="E20" s="50">
        <v>8.18</v>
      </c>
      <c r="F20" s="50">
        <v>1</v>
      </c>
      <c r="G20" s="50">
        <v>62.14</v>
      </c>
      <c r="H20" s="50">
        <v>19.43</v>
      </c>
      <c r="I20" s="50">
        <v>0</v>
      </c>
      <c r="J20" s="50">
        <v>0.61</v>
      </c>
      <c r="K20" s="50">
        <v>262.99</v>
      </c>
      <c r="L20" s="50">
        <v>26.48</v>
      </c>
      <c r="M20" s="50">
        <v>98.74</v>
      </c>
      <c r="N20" s="50">
        <v>18.600000000000001</v>
      </c>
      <c r="O20" s="50">
        <v>11</v>
      </c>
      <c r="P20" s="50">
        <v>0.56000000000000005</v>
      </c>
      <c r="Q20" s="27" t="s">
        <v>14</v>
      </c>
    </row>
    <row r="21" spans="1:17" customFormat="1">
      <c r="A21" s="49">
        <v>45540.541666666664</v>
      </c>
      <c r="B21" s="50">
        <v>8.73</v>
      </c>
      <c r="C21" s="50">
        <v>6</v>
      </c>
      <c r="D21" s="50">
        <v>14.06</v>
      </c>
      <c r="E21" s="50">
        <v>0.96</v>
      </c>
      <c r="F21" s="50">
        <v>5.15</v>
      </c>
      <c r="G21" s="50">
        <v>53.74</v>
      </c>
      <c r="H21" s="50">
        <v>20.04</v>
      </c>
      <c r="I21" s="50">
        <v>5.46</v>
      </c>
      <c r="J21" s="50">
        <v>0.53</v>
      </c>
      <c r="K21" s="50">
        <v>275.95</v>
      </c>
      <c r="L21" s="50">
        <v>26.66</v>
      </c>
      <c r="M21" s="50">
        <v>100.02</v>
      </c>
      <c r="N21" s="50">
        <v>472</v>
      </c>
      <c r="O21" s="50">
        <v>2.4</v>
      </c>
      <c r="P21" s="50">
        <v>0.55000000000000004</v>
      </c>
      <c r="Q21" s="50">
        <v>4.91</v>
      </c>
    </row>
    <row r="22" spans="1:17" customFormat="1">
      <c r="A22" s="49">
        <v>45540.583333333336</v>
      </c>
      <c r="B22" s="50">
        <v>8</v>
      </c>
      <c r="C22" s="50">
        <v>6</v>
      </c>
      <c r="D22" s="50">
        <v>14</v>
      </c>
      <c r="E22" s="30" t="s">
        <v>8</v>
      </c>
      <c r="F22" s="50">
        <v>5.84</v>
      </c>
      <c r="G22" s="50">
        <v>53.74</v>
      </c>
      <c r="H22" s="50">
        <v>20.04</v>
      </c>
      <c r="I22" s="50">
        <v>5.32</v>
      </c>
      <c r="J22" s="50">
        <v>0.38</v>
      </c>
      <c r="K22" s="50">
        <v>260.58</v>
      </c>
      <c r="L22" s="50">
        <v>28.19</v>
      </c>
      <c r="M22" s="50">
        <v>99.94</v>
      </c>
      <c r="N22" s="50">
        <v>347.5</v>
      </c>
      <c r="O22" s="50">
        <v>0</v>
      </c>
      <c r="P22" s="50">
        <v>0.49</v>
      </c>
      <c r="Q22" s="50">
        <v>4.63</v>
      </c>
    </row>
    <row r="23" spans="1:17" customFormat="1">
      <c r="A23" s="49">
        <v>45540.625</v>
      </c>
      <c r="B23" s="50">
        <v>8</v>
      </c>
      <c r="C23" s="50">
        <v>6</v>
      </c>
      <c r="D23" s="50">
        <v>14</v>
      </c>
      <c r="E23" s="30" t="s">
        <v>8</v>
      </c>
      <c r="F23" s="50">
        <v>9.7100000000000009</v>
      </c>
      <c r="G23" s="50">
        <v>35.61</v>
      </c>
      <c r="H23" s="50">
        <v>18.559999999999999</v>
      </c>
      <c r="I23" s="50">
        <v>5.19</v>
      </c>
      <c r="J23" s="50">
        <v>0.28000000000000003</v>
      </c>
      <c r="K23" s="50">
        <v>242.69</v>
      </c>
      <c r="L23" s="50">
        <v>29.54</v>
      </c>
      <c r="M23" s="50">
        <v>90.67</v>
      </c>
      <c r="N23" s="50">
        <v>292.89999999999998</v>
      </c>
      <c r="O23" s="50">
        <v>0</v>
      </c>
      <c r="P23" s="50">
        <v>0.47</v>
      </c>
      <c r="Q23" s="50">
        <v>4.67</v>
      </c>
    </row>
    <row r="24" spans="1:17" customFormat="1">
      <c r="A24" s="49">
        <v>45540.666666666664</v>
      </c>
      <c r="B24" s="50">
        <v>8</v>
      </c>
      <c r="C24" s="50">
        <v>6</v>
      </c>
      <c r="D24" s="50">
        <v>14</v>
      </c>
      <c r="E24" s="30" t="s">
        <v>8</v>
      </c>
      <c r="F24" s="50">
        <v>15.19</v>
      </c>
      <c r="G24" s="50">
        <v>30.77</v>
      </c>
      <c r="H24" s="50">
        <v>13.75</v>
      </c>
      <c r="I24" s="50">
        <v>5.26</v>
      </c>
      <c r="J24" s="50">
        <v>0.26</v>
      </c>
      <c r="K24" s="50">
        <v>248.43</v>
      </c>
      <c r="L24" s="50">
        <v>30.54</v>
      </c>
      <c r="M24" s="50">
        <v>84.23</v>
      </c>
      <c r="N24" s="50">
        <v>241.9</v>
      </c>
      <c r="O24" s="50">
        <v>0</v>
      </c>
      <c r="P24" s="50">
        <v>0.46</v>
      </c>
      <c r="Q24" s="50">
        <v>4.62</v>
      </c>
    </row>
    <row r="25" spans="1:17" customFormat="1">
      <c r="A25" s="49">
        <v>45540.708333333336</v>
      </c>
      <c r="B25" s="50">
        <v>8</v>
      </c>
      <c r="C25" s="50">
        <v>6</v>
      </c>
      <c r="D25" s="50">
        <v>14</v>
      </c>
      <c r="E25" s="30" t="s">
        <v>8</v>
      </c>
      <c r="F25" s="50">
        <v>16.11</v>
      </c>
      <c r="G25" s="50">
        <v>30.48</v>
      </c>
      <c r="H25" s="50">
        <v>9.98</v>
      </c>
      <c r="I25" s="50">
        <v>5.15</v>
      </c>
      <c r="J25" s="50">
        <v>0.36</v>
      </c>
      <c r="K25" s="50">
        <v>270.89999999999998</v>
      </c>
      <c r="L25" s="50">
        <v>30.39</v>
      </c>
      <c r="M25" s="50">
        <v>80.819999999999993</v>
      </c>
      <c r="N25" s="50">
        <v>109.9</v>
      </c>
      <c r="O25" s="50">
        <v>0</v>
      </c>
      <c r="P25" s="50">
        <v>0.45</v>
      </c>
      <c r="Q25" s="50">
        <v>4.6100000000000003</v>
      </c>
    </row>
    <row r="26" spans="1:17" customFormat="1">
      <c r="A26" s="49">
        <v>45540.75</v>
      </c>
      <c r="B26" s="50">
        <v>8</v>
      </c>
      <c r="C26" s="50">
        <v>6</v>
      </c>
      <c r="D26" s="50">
        <v>14</v>
      </c>
      <c r="E26" s="30" t="s">
        <v>8</v>
      </c>
      <c r="F26" s="50">
        <v>13.1</v>
      </c>
      <c r="G26" s="50">
        <v>30.48</v>
      </c>
      <c r="H26" s="50">
        <v>8.27</v>
      </c>
      <c r="I26" s="50">
        <v>4.96</v>
      </c>
      <c r="J26" s="50">
        <v>0.19</v>
      </c>
      <c r="K26" s="50">
        <v>191.9</v>
      </c>
      <c r="L26" s="50">
        <v>30.23</v>
      </c>
      <c r="M26" s="50">
        <v>87.12</v>
      </c>
      <c r="N26" s="50">
        <v>42.9</v>
      </c>
      <c r="O26" s="50">
        <v>0</v>
      </c>
      <c r="P26" s="50">
        <v>0.44</v>
      </c>
      <c r="Q26" s="50">
        <v>4.6100000000000003</v>
      </c>
    </row>
    <row r="27" spans="1:17" customFormat="1">
      <c r="A27" s="49">
        <v>45540.791666666664</v>
      </c>
      <c r="B27" s="50">
        <v>8</v>
      </c>
      <c r="C27" s="50">
        <v>6</v>
      </c>
      <c r="D27" s="50">
        <v>14</v>
      </c>
      <c r="E27" s="50">
        <v>11.31</v>
      </c>
      <c r="F27" s="50">
        <v>9.24</v>
      </c>
      <c r="G27" s="50">
        <v>29.6</v>
      </c>
      <c r="H27" s="50">
        <v>9.1300000000000008</v>
      </c>
      <c r="I27" s="50">
        <v>4.9400000000000004</v>
      </c>
      <c r="J27" s="50">
        <v>0.15</v>
      </c>
      <c r="K27" s="50">
        <v>212.41</v>
      </c>
      <c r="L27" s="50">
        <v>28.77</v>
      </c>
      <c r="M27" s="50">
        <v>92.91</v>
      </c>
      <c r="N27" s="50">
        <v>3.1</v>
      </c>
      <c r="O27" s="50">
        <v>0</v>
      </c>
      <c r="P27" s="50">
        <v>0.45</v>
      </c>
      <c r="Q27" s="50">
        <v>4.59</v>
      </c>
    </row>
    <row r="28" spans="1:17" customFormat="1">
      <c r="A28" s="49">
        <v>45540.833333333336</v>
      </c>
      <c r="B28" s="50">
        <v>8</v>
      </c>
      <c r="C28" s="50">
        <v>6</v>
      </c>
      <c r="D28" s="50">
        <v>14</v>
      </c>
      <c r="E28" s="50">
        <v>11.54</v>
      </c>
      <c r="F28" s="50">
        <v>7.07</v>
      </c>
      <c r="G28" s="50">
        <v>24.92</v>
      </c>
      <c r="H28" s="50">
        <v>11.77</v>
      </c>
      <c r="I28" s="50">
        <v>5.0999999999999996</v>
      </c>
      <c r="J28" s="50">
        <v>0.17</v>
      </c>
      <c r="K28" s="50">
        <v>233.21</v>
      </c>
      <c r="L28" s="50">
        <v>28.48</v>
      </c>
      <c r="M28" s="50">
        <v>95.2</v>
      </c>
      <c r="N28" s="50">
        <v>2.2999999999999998</v>
      </c>
      <c r="O28" s="50">
        <v>0</v>
      </c>
      <c r="P28" s="50">
        <v>0.47</v>
      </c>
      <c r="Q28" s="50">
        <v>4.59</v>
      </c>
    </row>
    <row r="29" spans="1:17" customFormat="1">
      <c r="A29" s="49">
        <v>45540.875</v>
      </c>
      <c r="B29" s="50">
        <v>8</v>
      </c>
      <c r="C29" s="50">
        <v>6</v>
      </c>
      <c r="D29" s="50">
        <v>14</v>
      </c>
      <c r="E29" s="50">
        <v>12.49</v>
      </c>
      <c r="F29" s="50">
        <v>4.9000000000000004</v>
      </c>
      <c r="G29" s="50">
        <v>34.86</v>
      </c>
      <c r="H29" s="50">
        <v>15.66</v>
      </c>
      <c r="I29" s="50">
        <v>5.46</v>
      </c>
      <c r="J29" s="50">
        <v>0.98</v>
      </c>
      <c r="K29" s="50">
        <v>314.45999999999998</v>
      </c>
      <c r="L29" s="50">
        <v>27.92</v>
      </c>
      <c r="M29" s="50">
        <v>95.76</v>
      </c>
      <c r="N29" s="50">
        <v>4.5</v>
      </c>
      <c r="O29" s="50">
        <v>0.4</v>
      </c>
      <c r="P29" s="50">
        <v>0.55000000000000004</v>
      </c>
      <c r="Q29" s="50">
        <v>4.5999999999999996</v>
      </c>
    </row>
    <row r="30" spans="1:17" customFormat="1">
      <c r="A30" s="49">
        <v>45540.916666666664</v>
      </c>
      <c r="B30" s="50">
        <v>8</v>
      </c>
      <c r="C30" s="50">
        <v>6</v>
      </c>
      <c r="D30" s="50">
        <v>14</v>
      </c>
      <c r="E30" s="50">
        <v>12.69</v>
      </c>
      <c r="F30" s="50">
        <v>4.5</v>
      </c>
      <c r="G30" s="50">
        <v>34.86</v>
      </c>
      <c r="H30" s="50">
        <v>15.66</v>
      </c>
      <c r="I30" s="50">
        <v>5.59</v>
      </c>
      <c r="J30" s="50">
        <v>1.82</v>
      </c>
      <c r="K30" s="50">
        <v>70.13</v>
      </c>
      <c r="L30" s="50">
        <v>24.36</v>
      </c>
      <c r="M30" s="50">
        <v>100.06</v>
      </c>
      <c r="N30" s="50">
        <v>6.9</v>
      </c>
      <c r="O30" s="50">
        <v>23.2</v>
      </c>
      <c r="P30" s="50">
        <v>0.47</v>
      </c>
      <c r="Q30" s="50">
        <v>4.5999999999999996</v>
      </c>
    </row>
    <row r="31" spans="1:17" customFormat="1">
      <c r="A31" s="49">
        <v>45540.958333333336</v>
      </c>
      <c r="B31" s="50">
        <v>8</v>
      </c>
      <c r="C31" s="50">
        <v>6</v>
      </c>
      <c r="D31" s="50">
        <v>14</v>
      </c>
      <c r="E31" s="50">
        <v>10.56</v>
      </c>
      <c r="F31" s="50">
        <v>3.85</v>
      </c>
      <c r="G31" s="50">
        <v>25.78</v>
      </c>
      <c r="H31" s="50">
        <v>10.96</v>
      </c>
      <c r="I31" s="50">
        <v>4.9400000000000004</v>
      </c>
      <c r="J31" s="50">
        <v>0.37</v>
      </c>
      <c r="K31" s="50">
        <v>301.68</v>
      </c>
      <c r="L31" s="50">
        <v>24.07</v>
      </c>
      <c r="M31" s="50">
        <v>99.98</v>
      </c>
      <c r="N31" s="50">
        <v>2.6</v>
      </c>
      <c r="O31" s="50">
        <v>0.2</v>
      </c>
      <c r="P31" s="50">
        <v>0.41</v>
      </c>
      <c r="Q31" s="50">
        <v>4.6100000000000003</v>
      </c>
    </row>
    <row r="32" spans="1:17" customFormat="1">
      <c r="A32" s="49">
        <v>45541</v>
      </c>
      <c r="B32" s="50">
        <v>8</v>
      </c>
      <c r="C32" s="50">
        <v>6</v>
      </c>
      <c r="D32" s="50">
        <v>14</v>
      </c>
      <c r="E32" s="50">
        <v>9.35</v>
      </c>
      <c r="F32" s="50">
        <v>4.2699999999999996</v>
      </c>
      <c r="G32" s="50">
        <v>20.86</v>
      </c>
      <c r="H32" s="50">
        <v>13.17</v>
      </c>
      <c r="I32" s="50">
        <v>4.53</v>
      </c>
      <c r="J32" s="50">
        <v>0.15</v>
      </c>
      <c r="K32" s="50">
        <v>210.05</v>
      </c>
      <c r="L32" s="50">
        <v>24.34</v>
      </c>
      <c r="M32" s="50">
        <v>99.69</v>
      </c>
      <c r="N32" s="50">
        <v>2.2999999999999998</v>
      </c>
      <c r="O32" s="50">
        <v>0.4</v>
      </c>
      <c r="P32" s="50">
        <v>0.38</v>
      </c>
      <c r="Q32" s="50">
        <v>4.5999999999999996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8</v>
      </c>
      <c r="C34" s="40">
        <f t="shared" si="0"/>
        <v>4.03</v>
      </c>
      <c r="D34" s="40">
        <f t="shared" si="0"/>
        <v>14</v>
      </c>
      <c r="E34" s="40">
        <f t="shared" si="0"/>
        <v>0.96</v>
      </c>
      <c r="F34" s="40">
        <f t="shared" si="0"/>
        <v>1</v>
      </c>
      <c r="G34" s="40">
        <f t="shared" si="0"/>
        <v>15.06</v>
      </c>
      <c r="H34" s="40">
        <f t="shared" si="0"/>
        <v>4.22</v>
      </c>
      <c r="I34" s="40">
        <f t="shared" si="0"/>
        <v>0</v>
      </c>
      <c r="J34" s="40">
        <f t="shared" si="0"/>
        <v>0.15</v>
      </c>
      <c r="K34" s="40">
        <f t="shared" si="0"/>
        <v>70.13</v>
      </c>
      <c r="L34" s="40">
        <f t="shared" si="0"/>
        <v>24.07</v>
      </c>
      <c r="M34" s="40">
        <f t="shared" si="0"/>
        <v>70.02</v>
      </c>
      <c r="N34" s="40">
        <f t="shared" si="0"/>
        <v>2.1</v>
      </c>
      <c r="O34" s="40">
        <f t="shared" si="0"/>
        <v>0</v>
      </c>
      <c r="P34" s="40">
        <f t="shared" si="0"/>
        <v>0.35</v>
      </c>
      <c r="Q34" s="40">
        <f t="shared" si="0"/>
        <v>4.59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10.4</v>
      </c>
      <c r="C35" s="33">
        <f t="shared" si="1"/>
        <v>6</v>
      </c>
      <c r="D35" s="33">
        <f t="shared" si="1"/>
        <v>14.77</v>
      </c>
      <c r="E35" s="33">
        <f t="shared" si="1"/>
        <v>16.87</v>
      </c>
      <c r="F35" s="33">
        <f t="shared" si="1"/>
        <v>16.11</v>
      </c>
      <c r="G35" s="33">
        <f t="shared" si="1"/>
        <v>85.94</v>
      </c>
      <c r="H35" s="33">
        <f t="shared" si="1"/>
        <v>29.01</v>
      </c>
      <c r="I35" s="33">
        <f t="shared" si="1"/>
        <v>5.59</v>
      </c>
      <c r="J35" s="33">
        <f t="shared" si="1"/>
        <v>1.82</v>
      </c>
      <c r="K35" s="33">
        <f t="shared" si="1"/>
        <v>317.77</v>
      </c>
      <c r="L35" s="33">
        <f t="shared" si="1"/>
        <v>32.68</v>
      </c>
      <c r="M35" s="33">
        <f t="shared" si="1"/>
        <v>100.06</v>
      </c>
      <c r="N35" s="33">
        <f t="shared" si="1"/>
        <v>472</v>
      </c>
      <c r="O35" s="33">
        <f t="shared" si="1"/>
        <v>23.2</v>
      </c>
      <c r="P35" s="33">
        <f t="shared" si="1"/>
        <v>0.56000000000000005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8.7062500000000007</v>
      </c>
      <c r="C36" s="40">
        <f t="shared" si="2"/>
        <v>5.0483333333333329</v>
      </c>
      <c r="D36" s="40">
        <f t="shared" si="2"/>
        <v>14.036250000000001</v>
      </c>
      <c r="E36" s="40">
        <f t="shared" si="2"/>
        <v>10.50578947368421</v>
      </c>
      <c r="F36" s="40">
        <f t="shared" si="2"/>
        <v>6.7966666666666677</v>
      </c>
      <c r="G36" s="40">
        <f t="shared" si="2"/>
        <v>35.045833333333334</v>
      </c>
      <c r="H36" s="40">
        <f t="shared" si="2"/>
        <v>12.770833333333336</v>
      </c>
      <c r="I36" s="40">
        <f t="shared" si="2"/>
        <v>4.7049999999999992</v>
      </c>
      <c r="J36" s="40">
        <f t="shared" si="2"/>
        <v>0.40458333333333335</v>
      </c>
      <c r="K36" s="40">
        <f t="shared" si="2"/>
        <v>239.32791666666662</v>
      </c>
      <c r="L36" s="40">
        <f t="shared" si="2"/>
        <v>27.64125000000001</v>
      </c>
      <c r="M36" s="40">
        <f t="shared" si="2"/>
        <v>92.205833333333331</v>
      </c>
      <c r="N36" s="40">
        <f t="shared" si="2"/>
        <v>119.79583333333336</v>
      </c>
      <c r="O36" s="40">
        <f t="shared" si="2"/>
        <v>1.5666666666666667</v>
      </c>
      <c r="P36" s="40">
        <f t="shared" si="2"/>
        <v>0.43625000000000019</v>
      </c>
      <c r="Q36" s="40">
        <f t="shared" si="2"/>
        <v>4.83391304347826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0.71281324159368575</v>
      </c>
      <c r="C37" s="40">
        <f t="shared" ref="C37:Q37" si="3">STDEV(C9:C32)</f>
        <v>0.97231533025520156</v>
      </c>
      <c r="D37" s="40">
        <f t="shared" si="3"/>
        <v>0.15678322059713501</v>
      </c>
      <c r="E37" s="40">
        <f t="shared" si="3"/>
        <v>3.1149483958441344</v>
      </c>
      <c r="F37" s="40">
        <f t="shared" si="3"/>
        <v>3.9024314234195994</v>
      </c>
      <c r="G37" s="40">
        <f t="shared" si="3"/>
        <v>17.977343450472084</v>
      </c>
      <c r="H37" s="40">
        <f t="shared" si="3"/>
        <v>5.9070657150838279</v>
      </c>
      <c r="I37" s="40">
        <f t="shared" si="3"/>
        <v>1.0854572268423799</v>
      </c>
      <c r="J37" s="40">
        <f t="shared" si="3"/>
        <v>0.35590642598577921</v>
      </c>
      <c r="K37" s="40">
        <f t="shared" si="3"/>
        <v>66.164567292745573</v>
      </c>
      <c r="L37" s="40">
        <f t="shared" si="3"/>
        <v>2.4704080150592516</v>
      </c>
      <c r="M37" s="40">
        <f t="shared" si="3"/>
        <v>8.4497727865857772</v>
      </c>
      <c r="N37" s="40">
        <f t="shared" si="3"/>
        <v>162.09248964487949</v>
      </c>
      <c r="O37" s="40">
        <f t="shared" si="3"/>
        <v>5.1349329335332179</v>
      </c>
      <c r="P37" s="40">
        <f t="shared" si="3"/>
        <v>6.2541290708444164E-2</v>
      </c>
      <c r="Q37" s="40">
        <f t="shared" si="3"/>
        <v>0.2198499308502718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P38" si="4">COUNT(B9:B32)</f>
        <v>24</v>
      </c>
      <c r="C38" s="45">
        <f t="shared" si="4"/>
        <v>24</v>
      </c>
      <c r="D38" s="45">
        <f t="shared" si="4"/>
        <v>24</v>
      </c>
      <c r="E38" s="45"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45541.041666666664</v>
      </c>
      <c r="B9" s="50">
        <v>9.3000000000000007</v>
      </c>
      <c r="C9" s="50">
        <v>4.08</v>
      </c>
      <c r="D9" s="50">
        <v>14.03</v>
      </c>
      <c r="E9" s="50">
        <v>8.75</v>
      </c>
      <c r="F9" s="50">
        <v>6.28</v>
      </c>
      <c r="G9" s="50">
        <v>24.12</v>
      </c>
      <c r="H9" s="50">
        <v>13.17</v>
      </c>
      <c r="I9" s="50">
        <v>4.53</v>
      </c>
      <c r="J9" s="50">
        <v>0.18</v>
      </c>
      <c r="K9" s="50">
        <v>276.13</v>
      </c>
      <c r="L9" s="50">
        <v>24.41</v>
      </c>
      <c r="M9" s="50">
        <v>99.57</v>
      </c>
      <c r="N9" s="50">
        <v>2.4</v>
      </c>
      <c r="O9" s="50">
        <v>0</v>
      </c>
      <c r="P9" s="50">
        <v>0.37</v>
      </c>
      <c r="Q9" s="50">
        <v>4.6100000000000003</v>
      </c>
    </row>
    <row r="10" spans="1:21" customFormat="1">
      <c r="A10" s="49">
        <v>45541.083333333336</v>
      </c>
      <c r="B10" s="50">
        <v>9.2799999999999994</v>
      </c>
      <c r="C10" s="50">
        <v>4.08</v>
      </c>
      <c r="D10" s="50">
        <v>14.02</v>
      </c>
      <c r="E10" s="50">
        <v>9.64</v>
      </c>
      <c r="F10" s="50">
        <v>4.97</v>
      </c>
      <c r="G10" s="50">
        <v>24.12</v>
      </c>
      <c r="H10" s="50">
        <v>10.050000000000001</v>
      </c>
      <c r="I10" s="50">
        <v>4.16</v>
      </c>
      <c r="J10" s="50">
        <v>0.12</v>
      </c>
      <c r="K10" s="50">
        <v>234.15</v>
      </c>
      <c r="L10" s="50">
        <v>24.31</v>
      </c>
      <c r="M10" s="50">
        <v>99.53</v>
      </c>
      <c r="N10" s="50">
        <v>2.5</v>
      </c>
      <c r="O10" s="50">
        <v>0</v>
      </c>
      <c r="P10" s="50">
        <v>0.38</v>
      </c>
      <c r="Q10" s="50">
        <v>4.6100000000000003</v>
      </c>
    </row>
    <row r="11" spans="1:21" customFormat="1">
      <c r="A11" s="49">
        <v>45541.125</v>
      </c>
      <c r="B11" s="50">
        <v>9.3000000000000007</v>
      </c>
      <c r="C11" s="50">
        <v>4.08</v>
      </c>
      <c r="D11" s="50">
        <v>14.02</v>
      </c>
      <c r="E11" s="50">
        <v>9.64</v>
      </c>
      <c r="F11" s="50">
        <v>4.08</v>
      </c>
      <c r="G11" s="50">
        <v>17.66</v>
      </c>
      <c r="H11" s="50">
        <v>10.050000000000001</v>
      </c>
      <c r="I11" s="50">
        <v>4.16</v>
      </c>
      <c r="J11" s="50">
        <v>0.18</v>
      </c>
      <c r="K11" s="50">
        <v>174.61</v>
      </c>
      <c r="L11" s="50">
        <v>24.4</v>
      </c>
      <c r="M11" s="50">
        <v>99.54</v>
      </c>
      <c r="N11" s="50">
        <v>2.2999999999999998</v>
      </c>
      <c r="O11" s="50">
        <v>0</v>
      </c>
      <c r="P11" s="50">
        <v>0.41</v>
      </c>
      <c r="Q11" s="50">
        <v>4.62</v>
      </c>
    </row>
    <row r="12" spans="1:21" customFormat="1">
      <c r="A12" s="49">
        <v>45541.166666666664</v>
      </c>
      <c r="B12" s="50">
        <v>9.2899999999999991</v>
      </c>
      <c r="C12" s="50">
        <v>4.08</v>
      </c>
      <c r="D12" s="50">
        <v>14.03</v>
      </c>
      <c r="E12" s="50">
        <v>10.09</v>
      </c>
      <c r="F12" s="50">
        <v>3.29</v>
      </c>
      <c r="G12" s="50">
        <v>16.84</v>
      </c>
      <c r="H12" s="50">
        <v>7.76</v>
      </c>
      <c r="I12" s="50">
        <v>4</v>
      </c>
      <c r="J12" s="50">
        <v>0.12</v>
      </c>
      <c r="K12" s="50">
        <v>199.13</v>
      </c>
      <c r="L12" s="50">
        <v>24.35</v>
      </c>
      <c r="M12" s="50">
        <v>99.55</v>
      </c>
      <c r="N12" s="50">
        <v>2.6</v>
      </c>
      <c r="O12" s="50">
        <v>0</v>
      </c>
      <c r="P12" s="50">
        <v>0.4</v>
      </c>
      <c r="Q12" s="50">
        <v>4.5999999999999996</v>
      </c>
    </row>
    <row r="13" spans="1:21" customFormat="1">
      <c r="A13" s="49">
        <v>45541.208333333336</v>
      </c>
      <c r="B13" s="50">
        <v>9.2799999999999994</v>
      </c>
      <c r="C13" s="50">
        <v>4.07</v>
      </c>
      <c r="D13" s="50">
        <v>14.02</v>
      </c>
      <c r="E13" s="50">
        <v>10.85</v>
      </c>
      <c r="F13" s="50">
        <v>2.62</v>
      </c>
      <c r="G13" s="50">
        <v>14.1</v>
      </c>
      <c r="H13" s="50">
        <v>6</v>
      </c>
      <c r="I13" s="50">
        <v>3.92</v>
      </c>
      <c r="J13" s="50">
        <v>0.12</v>
      </c>
      <c r="K13" s="50">
        <v>232.1</v>
      </c>
      <c r="L13" s="50">
        <v>24.28</v>
      </c>
      <c r="M13" s="50">
        <v>99.53</v>
      </c>
      <c r="N13" s="50">
        <v>2.8</v>
      </c>
      <c r="O13" s="50">
        <v>0</v>
      </c>
      <c r="P13" s="50">
        <v>0.39</v>
      </c>
      <c r="Q13" s="50">
        <v>4.62</v>
      </c>
    </row>
    <row r="14" spans="1:21" customFormat="1">
      <c r="A14" s="49">
        <v>45541.25</v>
      </c>
      <c r="B14" s="50">
        <v>9.27</v>
      </c>
      <c r="C14" s="50">
        <v>4.09</v>
      </c>
      <c r="D14" s="50">
        <v>14</v>
      </c>
      <c r="E14" s="50">
        <v>11.9</v>
      </c>
      <c r="F14" s="50">
        <v>1.82</v>
      </c>
      <c r="G14" s="50">
        <v>14.1</v>
      </c>
      <c r="H14" s="50">
        <v>6.42</v>
      </c>
      <c r="I14" s="50">
        <v>3.88</v>
      </c>
      <c r="J14" s="50">
        <v>0.12</v>
      </c>
      <c r="K14" s="50">
        <v>227.35</v>
      </c>
      <c r="L14" s="50">
        <v>24.54</v>
      </c>
      <c r="M14" s="50">
        <v>99.65</v>
      </c>
      <c r="N14" s="50">
        <v>6.6</v>
      </c>
      <c r="O14" s="50">
        <v>0</v>
      </c>
      <c r="P14" s="50">
        <v>0.37</v>
      </c>
      <c r="Q14" s="50">
        <v>4.62</v>
      </c>
    </row>
    <row r="15" spans="1:21" customFormat="1">
      <c r="A15" s="49">
        <v>45541.291666666664</v>
      </c>
      <c r="B15" s="50">
        <v>9.26</v>
      </c>
      <c r="C15" s="50">
        <v>4.1100000000000003</v>
      </c>
      <c r="D15" s="50">
        <v>14</v>
      </c>
      <c r="E15" s="50">
        <v>11.95</v>
      </c>
      <c r="F15" s="50">
        <v>2.02</v>
      </c>
      <c r="G15" s="50">
        <v>19.52</v>
      </c>
      <c r="H15" s="50">
        <v>6.42</v>
      </c>
      <c r="I15" s="50">
        <v>3.66</v>
      </c>
      <c r="J15" s="50">
        <v>0.19</v>
      </c>
      <c r="K15" s="50">
        <v>266.92</v>
      </c>
      <c r="L15" s="50">
        <v>25.09</v>
      </c>
      <c r="M15" s="50">
        <v>99.78</v>
      </c>
      <c r="N15" s="50">
        <v>41.5</v>
      </c>
      <c r="O15" s="50">
        <v>0</v>
      </c>
      <c r="P15" s="50">
        <v>0.36</v>
      </c>
      <c r="Q15" s="50">
        <v>4.63</v>
      </c>
    </row>
    <row r="16" spans="1:21" customFormat="1">
      <c r="A16" s="49">
        <v>45541.333333333336</v>
      </c>
      <c r="B16" s="50">
        <v>9.2899999999999991</v>
      </c>
      <c r="C16" s="50">
        <v>4.1100000000000003</v>
      </c>
      <c r="D16" s="50">
        <v>14.02</v>
      </c>
      <c r="E16" s="50">
        <v>13.61</v>
      </c>
      <c r="F16" s="50">
        <v>2.95</v>
      </c>
      <c r="G16" s="50">
        <v>23.73</v>
      </c>
      <c r="H16" s="50">
        <v>11.74</v>
      </c>
      <c r="I16" s="50">
        <v>3.83</v>
      </c>
      <c r="J16" s="50">
        <v>0.48</v>
      </c>
      <c r="K16" s="50">
        <v>209.5</v>
      </c>
      <c r="L16" s="50">
        <v>26.79</v>
      </c>
      <c r="M16" s="50">
        <v>99.78</v>
      </c>
      <c r="N16" s="50">
        <v>189.1</v>
      </c>
      <c r="O16" s="50">
        <v>0</v>
      </c>
      <c r="P16" s="50">
        <v>0.37</v>
      </c>
      <c r="Q16" s="50">
        <v>4.63</v>
      </c>
    </row>
    <row r="17" spans="1:17" customFormat="1">
      <c r="A17" s="49">
        <v>45541.375</v>
      </c>
      <c r="B17" s="50">
        <v>9.2799999999999994</v>
      </c>
      <c r="C17" s="50">
        <v>4.09</v>
      </c>
      <c r="D17" s="50">
        <v>14.02</v>
      </c>
      <c r="E17" s="50">
        <v>19.53</v>
      </c>
      <c r="F17" s="50">
        <v>6.26</v>
      </c>
      <c r="G17" s="50">
        <v>58.12</v>
      </c>
      <c r="H17" s="50">
        <v>19.18</v>
      </c>
      <c r="I17" s="50">
        <v>4.3099999999999996</v>
      </c>
      <c r="J17" s="50">
        <v>0.56999999999999995</v>
      </c>
      <c r="K17" s="50">
        <v>100.25</v>
      </c>
      <c r="L17" s="50">
        <v>28.7</v>
      </c>
      <c r="M17" s="50">
        <v>91.06</v>
      </c>
      <c r="N17" s="50">
        <v>252.6</v>
      </c>
      <c r="O17" s="50">
        <v>0</v>
      </c>
      <c r="P17" s="50">
        <v>0.44</v>
      </c>
      <c r="Q17" s="50">
        <v>4.62</v>
      </c>
    </row>
    <row r="18" spans="1:17" customFormat="1">
      <c r="A18" s="49">
        <v>45541.416666666664</v>
      </c>
      <c r="B18" s="50">
        <v>9.26</v>
      </c>
      <c r="C18" s="50">
        <v>4.08</v>
      </c>
      <c r="D18" s="50">
        <v>14</v>
      </c>
      <c r="E18" s="50">
        <v>31.24</v>
      </c>
      <c r="F18" s="50">
        <v>5.83</v>
      </c>
      <c r="G18" s="50">
        <v>96.23</v>
      </c>
      <c r="H18" s="50">
        <v>24.73</v>
      </c>
      <c r="I18" s="50">
        <v>4.66</v>
      </c>
      <c r="J18" s="50">
        <v>0.85</v>
      </c>
      <c r="K18" s="50">
        <v>65.209999999999994</v>
      </c>
      <c r="L18" s="50">
        <v>29.57</v>
      </c>
      <c r="M18" s="50">
        <v>80.010000000000005</v>
      </c>
      <c r="N18" s="50">
        <v>492.8</v>
      </c>
      <c r="O18" s="50">
        <v>0</v>
      </c>
      <c r="P18" s="50">
        <v>0.48</v>
      </c>
      <c r="Q18" s="50">
        <v>4.6399999999999997</v>
      </c>
    </row>
    <row r="19" spans="1:17" customFormat="1">
      <c r="A19" s="49">
        <v>45541.458333333336</v>
      </c>
      <c r="B19" s="50">
        <v>9.3000000000000007</v>
      </c>
      <c r="C19" s="50">
        <v>4.09</v>
      </c>
      <c r="D19" s="50">
        <v>14.03</v>
      </c>
      <c r="E19" s="50">
        <v>20.399999999999999</v>
      </c>
      <c r="F19" s="50">
        <v>9.08</v>
      </c>
      <c r="G19" s="50">
        <v>96.34</v>
      </c>
      <c r="H19" s="50">
        <v>27.23</v>
      </c>
      <c r="I19" s="50">
        <v>4.9400000000000004</v>
      </c>
      <c r="J19" s="50">
        <v>0.83</v>
      </c>
      <c r="K19" s="50">
        <v>73.819999999999993</v>
      </c>
      <c r="L19" s="50">
        <v>30.43</v>
      </c>
      <c r="M19" s="50">
        <v>74.91</v>
      </c>
      <c r="N19" s="50">
        <v>465.5</v>
      </c>
      <c r="O19" s="50">
        <v>0</v>
      </c>
      <c r="P19" s="50">
        <v>0.49</v>
      </c>
      <c r="Q19" s="50">
        <v>4.62</v>
      </c>
    </row>
    <row r="20" spans="1:17" customFormat="1">
      <c r="A20" s="49">
        <v>45541.5</v>
      </c>
      <c r="B20" s="50">
        <v>9.31</v>
      </c>
      <c r="C20" s="50">
        <v>4.09</v>
      </c>
      <c r="D20" s="50">
        <v>14.04</v>
      </c>
      <c r="E20" s="50">
        <v>11.14</v>
      </c>
      <c r="F20" s="50">
        <v>10.94</v>
      </c>
      <c r="G20" s="50">
        <v>96.34</v>
      </c>
      <c r="H20" s="50">
        <v>27.23</v>
      </c>
      <c r="I20" s="50">
        <v>4.96</v>
      </c>
      <c r="J20" s="50">
        <v>0.65</v>
      </c>
      <c r="K20" s="50">
        <v>60.48</v>
      </c>
      <c r="L20" s="50">
        <v>31.1</v>
      </c>
      <c r="M20" s="50">
        <v>72.31</v>
      </c>
      <c r="N20" s="50">
        <v>676.1</v>
      </c>
      <c r="O20" s="50">
        <v>0</v>
      </c>
      <c r="P20" s="50">
        <v>0.49</v>
      </c>
      <c r="Q20" s="50">
        <v>4.62</v>
      </c>
    </row>
    <row r="21" spans="1:17" customFormat="1">
      <c r="A21" s="49">
        <v>45541.541666666664</v>
      </c>
      <c r="B21" s="50">
        <v>9.3000000000000007</v>
      </c>
      <c r="C21" s="50">
        <v>4.09</v>
      </c>
      <c r="D21" s="50">
        <v>14.04</v>
      </c>
      <c r="E21" s="50">
        <v>11.33</v>
      </c>
      <c r="F21" s="50">
        <v>11.46</v>
      </c>
      <c r="G21" s="50">
        <v>82.87</v>
      </c>
      <c r="H21" s="50">
        <v>26.48</v>
      </c>
      <c r="I21" s="50">
        <v>4.75</v>
      </c>
      <c r="J21" s="50">
        <v>0.75</v>
      </c>
      <c r="K21" s="50">
        <v>67.05</v>
      </c>
      <c r="L21" s="50">
        <v>31.35</v>
      </c>
      <c r="M21" s="50">
        <v>70.56</v>
      </c>
      <c r="N21" s="50">
        <v>642.9</v>
      </c>
      <c r="O21" s="50">
        <v>0</v>
      </c>
      <c r="P21" s="50">
        <v>0.47</v>
      </c>
      <c r="Q21" s="50">
        <v>4.6399999999999997</v>
      </c>
    </row>
    <row r="22" spans="1:17" customFormat="1">
      <c r="A22" s="49">
        <v>45541.583333333336</v>
      </c>
      <c r="B22" s="50">
        <v>9.2899999999999991</v>
      </c>
      <c r="C22" s="50">
        <v>4.13</v>
      </c>
      <c r="D22" s="50">
        <v>14.05</v>
      </c>
      <c r="E22" s="50">
        <v>13.38</v>
      </c>
      <c r="F22" s="50">
        <v>6.4</v>
      </c>
      <c r="G22" s="50">
        <v>81.36</v>
      </c>
      <c r="H22" s="50">
        <v>29.09</v>
      </c>
      <c r="I22" s="50">
        <v>4.68</v>
      </c>
      <c r="J22" s="50">
        <v>0.95</v>
      </c>
      <c r="K22" s="50">
        <v>80.150000000000006</v>
      </c>
      <c r="L22" s="50">
        <v>32.46</v>
      </c>
      <c r="M22" s="50">
        <v>70.180000000000007</v>
      </c>
      <c r="N22" s="50">
        <v>487.1</v>
      </c>
      <c r="O22" s="50">
        <v>0</v>
      </c>
      <c r="P22" s="50">
        <v>0.45</v>
      </c>
      <c r="Q22" s="50">
        <v>4.63</v>
      </c>
    </row>
    <row r="23" spans="1:17" customFormat="1">
      <c r="A23" s="49">
        <v>45541.625</v>
      </c>
      <c r="B23" s="50">
        <v>9.26</v>
      </c>
      <c r="C23" s="50">
        <v>4.09</v>
      </c>
      <c r="D23" s="50">
        <v>14.01</v>
      </c>
      <c r="E23" s="50">
        <v>12.73</v>
      </c>
      <c r="F23" s="50">
        <v>14.65</v>
      </c>
      <c r="G23" s="50">
        <v>79.14</v>
      </c>
      <c r="H23" s="50">
        <v>29.09</v>
      </c>
      <c r="I23" s="50">
        <v>4.5199999999999996</v>
      </c>
      <c r="J23" s="50">
        <v>0.79</v>
      </c>
      <c r="K23" s="50">
        <v>60.02</v>
      </c>
      <c r="L23" s="50">
        <v>32.15</v>
      </c>
      <c r="M23" s="50">
        <v>66.42</v>
      </c>
      <c r="N23" s="50">
        <v>181.4</v>
      </c>
      <c r="O23" s="50">
        <v>0</v>
      </c>
      <c r="P23" s="50">
        <v>0.44</v>
      </c>
      <c r="Q23" s="50">
        <v>4.62</v>
      </c>
    </row>
    <row r="24" spans="1:17" customFormat="1">
      <c r="A24" s="49">
        <v>45541.666666666664</v>
      </c>
      <c r="B24" s="50">
        <v>9.2799999999999994</v>
      </c>
      <c r="C24" s="50">
        <v>4.07</v>
      </c>
      <c r="D24" s="50">
        <v>14.01</v>
      </c>
      <c r="E24" s="50">
        <v>12.04</v>
      </c>
      <c r="F24" s="50">
        <v>13.61</v>
      </c>
      <c r="G24" s="50">
        <v>76.55</v>
      </c>
      <c r="H24" s="50">
        <v>21.69</v>
      </c>
      <c r="I24" s="50">
        <v>4.45</v>
      </c>
      <c r="J24" s="50">
        <v>0.4</v>
      </c>
      <c r="K24" s="50">
        <v>122.69</v>
      </c>
      <c r="L24" s="50">
        <v>32.270000000000003</v>
      </c>
      <c r="M24" s="50">
        <v>68.44</v>
      </c>
      <c r="N24" s="50">
        <v>260.7</v>
      </c>
      <c r="O24" s="50">
        <v>0</v>
      </c>
      <c r="P24" s="50">
        <v>0.43</v>
      </c>
      <c r="Q24" s="50">
        <v>4.62</v>
      </c>
    </row>
    <row r="25" spans="1:17" customFormat="1">
      <c r="A25" s="49">
        <v>45541.708333333336</v>
      </c>
      <c r="B25" s="50">
        <v>9.33</v>
      </c>
      <c r="C25" s="50">
        <v>4.08</v>
      </c>
      <c r="D25" s="50">
        <v>14.06</v>
      </c>
      <c r="E25" s="50">
        <v>13.92</v>
      </c>
      <c r="F25" s="50">
        <v>13.57</v>
      </c>
      <c r="G25" s="50">
        <v>75.13</v>
      </c>
      <c r="H25" s="50">
        <v>15.88</v>
      </c>
      <c r="I25" s="50">
        <v>4.22</v>
      </c>
      <c r="J25" s="50">
        <v>0.54</v>
      </c>
      <c r="K25" s="50">
        <v>77.62</v>
      </c>
      <c r="L25" s="50">
        <v>31.75</v>
      </c>
      <c r="M25" s="50">
        <v>71.14</v>
      </c>
      <c r="N25" s="50">
        <v>103.1</v>
      </c>
      <c r="O25" s="50">
        <v>0</v>
      </c>
      <c r="P25" s="50">
        <v>0.49</v>
      </c>
      <c r="Q25" s="50">
        <v>4.62</v>
      </c>
    </row>
    <row r="26" spans="1:17" customFormat="1">
      <c r="A26" s="49">
        <v>45541.75</v>
      </c>
      <c r="B26" s="50">
        <v>9.32</v>
      </c>
      <c r="C26" s="50">
        <v>4.1399999999999997</v>
      </c>
      <c r="D26" s="50">
        <v>14.05</v>
      </c>
      <c r="E26" s="50">
        <v>13.74</v>
      </c>
      <c r="F26" s="50">
        <v>14.49</v>
      </c>
      <c r="G26" s="50">
        <v>75.13</v>
      </c>
      <c r="H26" s="50">
        <v>19.46</v>
      </c>
      <c r="I26" s="50">
        <v>4.99</v>
      </c>
      <c r="J26" s="50">
        <v>0.38</v>
      </c>
      <c r="K26" s="50">
        <v>271.63</v>
      </c>
      <c r="L26" s="50">
        <v>30.4</v>
      </c>
      <c r="M26" s="50">
        <v>82.12</v>
      </c>
      <c r="N26" s="50">
        <v>21.3</v>
      </c>
      <c r="O26" s="50">
        <v>0</v>
      </c>
      <c r="P26" s="50">
        <v>0.53</v>
      </c>
      <c r="Q26" s="50">
        <v>4.6100000000000003</v>
      </c>
    </row>
    <row r="27" spans="1:17" customFormat="1">
      <c r="A27" s="49">
        <v>45541.791666666664</v>
      </c>
      <c r="B27" s="50">
        <v>9.1999999999999993</v>
      </c>
      <c r="C27" s="50">
        <v>4.17</v>
      </c>
      <c r="D27" s="50">
        <v>14</v>
      </c>
      <c r="E27" s="50">
        <v>11.85</v>
      </c>
      <c r="F27" s="50">
        <v>13.34</v>
      </c>
      <c r="G27" s="50">
        <v>71.819999999999993</v>
      </c>
      <c r="H27" s="50">
        <v>19.46</v>
      </c>
      <c r="I27" s="50">
        <v>6.48</v>
      </c>
      <c r="J27" s="50">
        <v>0.59</v>
      </c>
      <c r="K27" s="50">
        <v>274.88</v>
      </c>
      <c r="L27" s="50">
        <v>28.92</v>
      </c>
      <c r="M27" s="50">
        <v>84.75</v>
      </c>
      <c r="N27" s="50">
        <v>2.8</v>
      </c>
      <c r="O27" s="50">
        <v>0</v>
      </c>
      <c r="P27" s="50">
        <v>0.6</v>
      </c>
      <c r="Q27" s="50">
        <v>4.62</v>
      </c>
    </row>
    <row r="28" spans="1:17" customFormat="1">
      <c r="A28" s="49">
        <v>45541.833333333336</v>
      </c>
      <c r="B28" s="50">
        <v>9.1999999999999993</v>
      </c>
      <c r="C28" s="50">
        <v>4.2</v>
      </c>
      <c r="D28" s="50">
        <v>14</v>
      </c>
      <c r="E28" s="50">
        <v>10.71</v>
      </c>
      <c r="F28" s="50">
        <v>10.71</v>
      </c>
      <c r="G28" s="50">
        <v>65.040000000000006</v>
      </c>
      <c r="H28" s="50">
        <v>19.309999999999999</v>
      </c>
      <c r="I28" s="50">
        <v>6.07</v>
      </c>
      <c r="J28" s="50">
        <v>0.52</v>
      </c>
      <c r="K28" s="50">
        <v>299.07</v>
      </c>
      <c r="L28" s="50">
        <v>28.56</v>
      </c>
      <c r="M28" s="50">
        <v>83.96</v>
      </c>
      <c r="N28" s="50">
        <v>2.4</v>
      </c>
      <c r="O28" s="50">
        <v>0</v>
      </c>
      <c r="P28" s="50">
        <v>0.56999999999999995</v>
      </c>
      <c r="Q28" s="50">
        <v>4.62</v>
      </c>
    </row>
    <row r="29" spans="1:17" customFormat="1">
      <c r="A29" s="49">
        <v>45541.875</v>
      </c>
      <c r="B29" s="50">
        <v>9.2899999999999991</v>
      </c>
      <c r="C29" s="50">
        <v>4.1399999999999997</v>
      </c>
      <c r="D29" s="50">
        <v>14.04</v>
      </c>
      <c r="E29" s="50">
        <v>12.96</v>
      </c>
      <c r="F29" s="50">
        <v>7.2</v>
      </c>
      <c r="G29" s="50">
        <v>61.55</v>
      </c>
      <c r="H29" s="50">
        <v>20.170000000000002</v>
      </c>
      <c r="I29" s="50">
        <v>8.1999999999999993</v>
      </c>
      <c r="J29" s="50">
        <v>0.14000000000000001</v>
      </c>
      <c r="K29" s="50">
        <v>258.06</v>
      </c>
      <c r="L29" s="50">
        <v>28.01</v>
      </c>
      <c r="M29" s="50">
        <v>89.21</v>
      </c>
      <c r="N29" s="50">
        <v>2.5</v>
      </c>
      <c r="O29" s="50">
        <v>0</v>
      </c>
      <c r="P29" s="50">
        <v>0.56999999999999995</v>
      </c>
      <c r="Q29" s="50">
        <v>4.6399999999999997</v>
      </c>
    </row>
    <row r="30" spans="1:17" customFormat="1">
      <c r="A30" s="49">
        <v>45541.916666666664</v>
      </c>
      <c r="B30" s="50">
        <v>9.3699999999999992</v>
      </c>
      <c r="C30" s="50">
        <v>4.0999999999999996</v>
      </c>
      <c r="D30" s="50">
        <v>14.08</v>
      </c>
      <c r="E30" s="50">
        <v>13.26</v>
      </c>
      <c r="F30" s="50">
        <v>5.2</v>
      </c>
      <c r="G30" s="50">
        <v>70.95</v>
      </c>
      <c r="H30" s="50">
        <v>27.56</v>
      </c>
      <c r="I30" s="50">
        <v>9</v>
      </c>
      <c r="J30" s="50">
        <v>0.45</v>
      </c>
      <c r="K30" s="50">
        <v>270.79000000000002</v>
      </c>
      <c r="L30" s="50">
        <v>27.56</v>
      </c>
      <c r="M30" s="50">
        <v>94.26</v>
      </c>
      <c r="N30" s="50">
        <v>2.2000000000000002</v>
      </c>
      <c r="O30" s="50">
        <v>0</v>
      </c>
      <c r="P30" s="50">
        <v>0.61</v>
      </c>
      <c r="Q30" s="50">
        <v>4.63</v>
      </c>
    </row>
    <row r="31" spans="1:17" customFormat="1">
      <c r="A31" s="49">
        <v>45541.958333333336</v>
      </c>
      <c r="B31" s="50">
        <v>9.2899999999999991</v>
      </c>
      <c r="C31" s="50">
        <v>4.09</v>
      </c>
      <c r="D31" s="50">
        <v>14.03</v>
      </c>
      <c r="E31" s="50">
        <v>11.17</v>
      </c>
      <c r="F31" s="50">
        <v>6.2</v>
      </c>
      <c r="G31" s="50">
        <v>70.95</v>
      </c>
      <c r="H31" s="50">
        <v>27.56</v>
      </c>
      <c r="I31" s="50">
        <v>7.74</v>
      </c>
      <c r="J31" s="50">
        <v>0.82</v>
      </c>
      <c r="K31" s="50">
        <v>278.08</v>
      </c>
      <c r="L31" s="50">
        <v>27.28</v>
      </c>
      <c r="M31" s="50">
        <v>92.5</v>
      </c>
      <c r="N31" s="50">
        <v>2.2000000000000002</v>
      </c>
      <c r="O31" s="50">
        <v>0</v>
      </c>
      <c r="P31" s="50">
        <v>0.56000000000000005</v>
      </c>
      <c r="Q31" s="50">
        <v>4.63</v>
      </c>
    </row>
    <row r="32" spans="1:17" customFormat="1">
      <c r="A32" s="49">
        <v>45542</v>
      </c>
      <c r="B32" s="50">
        <v>9.2799999999999994</v>
      </c>
      <c r="C32" s="50">
        <v>4.08</v>
      </c>
      <c r="D32" s="50">
        <v>14.02</v>
      </c>
      <c r="E32" s="50">
        <v>11.3</v>
      </c>
      <c r="F32" s="50">
        <v>5.61</v>
      </c>
      <c r="G32" s="50">
        <v>64.12</v>
      </c>
      <c r="H32" s="50">
        <v>19.41</v>
      </c>
      <c r="I32" s="50">
        <v>7.37</v>
      </c>
      <c r="J32" s="50">
        <v>0.17</v>
      </c>
      <c r="K32" s="50">
        <v>232.61</v>
      </c>
      <c r="L32" s="50">
        <v>26.88</v>
      </c>
      <c r="M32" s="50">
        <v>92.92</v>
      </c>
      <c r="N32" s="50">
        <v>2.2000000000000002</v>
      </c>
      <c r="O32" s="50">
        <v>0</v>
      </c>
      <c r="P32" s="50">
        <v>0.62</v>
      </c>
      <c r="Q32" s="50">
        <v>4.63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9.1999999999999993</v>
      </c>
      <c r="C34" s="40">
        <f t="shared" si="0"/>
        <v>4.07</v>
      </c>
      <c r="D34" s="40">
        <f t="shared" si="0"/>
        <v>14</v>
      </c>
      <c r="E34" s="40">
        <f t="shared" si="0"/>
        <v>8.75</v>
      </c>
      <c r="F34" s="40">
        <f t="shared" si="0"/>
        <v>1.82</v>
      </c>
      <c r="G34" s="40">
        <f t="shared" si="0"/>
        <v>14.1</v>
      </c>
      <c r="H34" s="40">
        <f t="shared" si="0"/>
        <v>6</v>
      </c>
      <c r="I34" s="40">
        <f t="shared" si="0"/>
        <v>3.66</v>
      </c>
      <c r="J34" s="40">
        <f t="shared" si="0"/>
        <v>0.12</v>
      </c>
      <c r="K34" s="40">
        <f t="shared" si="0"/>
        <v>60.02</v>
      </c>
      <c r="L34" s="40">
        <f t="shared" si="0"/>
        <v>24.28</v>
      </c>
      <c r="M34" s="40">
        <f t="shared" si="0"/>
        <v>66.42</v>
      </c>
      <c r="N34" s="40">
        <f t="shared" si="0"/>
        <v>2.2000000000000002</v>
      </c>
      <c r="O34" s="40">
        <f t="shared" si="0"/>
        <v>0</v>
      </c>
      <c r="P34" s="40">
        <f t="shared" si="0"/>
        <v>0.36</v>
      </c>
      <c r="Q34" s="40">
        <f t="shared" si="0"/>
        <v>4.5999999999999996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4.2</v>
      </c>
      <c r="D35" s="33">
        <f t="shared" si="1"/>
        <v>14.08</v>
      </c>
      <c r="E35" s="33">
        <f t="shared" si="1"/>
        <v>31.24</v>
      </c>
      <c r="F35" s="33">
        <f t="shared" si="1"/>
        <v>14.65</v>
      </c>
      <c r="G35" s="33">
        <f t="shared" si="1"/>
        <v>96.34</v>
      </c>
      <c r="H35" s="33">
        <f t="shared" si="1"/>
        <v>29.09</v>
      </c>
      <c r="I35" s="33">
        <f t="shared" si="1"/>
        <v>9</v>
      </c>
      <c r="J35" s="33">
        <f t="shared" si="1"/>
        <v>0.95</v>
      </c>
      <c r="K35" s="33">
        <f t="shared" si="1"/>
        <v>299.07</v>
      </c>
      <c r="L35" s="33">
        <f t="shared" si="1"/>
        <v>32.46</v>
      </c>
      <c r="M35" s="33">
        <f t="shared" si="1"/>
        <v>99.78</v>
      </c>
      <c r="N35" s="33">
        <f t="shared" si="1"/>
        <v>676.1</v>
      </c>
      <c r="O35" s="33">
        <f t="shared" si="1"/>
        <v>0</v>
      </c>
      <c r="P35" s="33">
        <f t="shared" si="1"/>
        <v>0.62</v>
      </c>
      <c r="Q35" s="33">
        <f t="shared" si="1"/>
        <v>4.6399999999999997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9.2845833333333321</v>
      </c>
      <c r="C36" s="40">
        <f t="shared" si="2"/>
        <v>4.1012500000000003</v>
      </c>
      <c r="D36" s="40">
        <f t="shared" si="2"/>
        <v>14.025833333333329</v>
      </c>
      <c r="E36" s="40">
        <f t="shared" si="2"/>
        <v>13.213749999999999</v>
      </c>
      <c r="F36" s="40">
        <f t="shared" si="2"/>
        <v>7.6075000000000008</v>
      </c>
      <c r="G36" s="40">
        <f t="shared" si="2"/>
        <v>57.326249999999995</v>
      </c>
      <c r="H36" s="40">
        <f t="shared" si="2"/>
        <v>18.547499999999999</v>
      </c>
      <c r="I36" s="40">
        <f t="shared" si="2"/>
        <v>5.1449999999999996</v>
      </c>
      <c r="J36" s="40">
        <f t="shared" si="2"/>
        <v>0.45458333333333334</v>
      </c>
      <c r="K36" s="40">
        <f t="shared" si="2"/>
        <v>183.84583333333333</v>
      </c>
      <c r="L36" s="40">
        <f t="shared" si="2"/>
        <v>28.148333333333326</v>
      </c>
      <c r="M36" s="40">
        <f t="shared" si="2"/>
        <v>86.736666666666679</v>
      </c>
      <c r="N36" s="40">
        <f t="shared" si="2"/>
        <v>160.31666666666666</v>
      </c>
      <c r="O36" s="40">
        <f t="shared" si="2"/>
        <v>0</v>
      </c>
      <c r="P36" s="40">
        <f t="shared" si="2"/>
        <v>0.47041666666666671</v>
      </c>
      <c r="Q36" s="40">
        <f t="shared" si="2"/>
        <v>4.6229166666666668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3.5383509628401762E-2</v>
      </c>
      <c r="C37" s="40">
        <f t="shared" ref="C37:Q37" si="3">STDEV(C9:C32)</f>
        <v>3.2612680915891243E-2</v>
      </c>
      <c r="D37" s="40">
        <f t="shared" si="3"/>
        <v>2.0834057958412599E-2</v>
      </c>
      <c r="E37" s="40">
        <f t="shared" si="3"/>
        <v>4.6953953507665354</v>
      </c>
      <c r="F37" s="40">
        <f t="shared" si="3"/>
        <v>4.2148889819821784</v>
      </c>
      <c r="G37" s="40">
        <f t="shared" si="3"/>
        <v>29.255542442193015</v>
      </c>
      <c r="H37" s="40">
        <f t="shared" si="3"/>
        <v>7.932622380151912</v>
      </c>
      <c r="I37" s="40">
        <f t="shared" si="3"/>
        <v>1.5081777083619849</v>
      </c>
      <c r="J37" s="40">
        <f t="shared" si="3"/>
        <v>0.28092980968742787</v>
      </c>
      <c r="K37" s="40">
        <f t="shared" si="3"/>
        <v>88.435602850035892</v>
      </c>
      <c r="L37" s="40">
        <f t="shared" si="3"/>
        <v>2.9191208722262783</v>
      </c>
      <c r="M37" s="40">
        <f t="shared" si="3"/>
        <v>12.216926841447204</v>
      </c>
      <c r="N37" s="40">
        <f t="shared" si="3"/>
        <v>224.94029288306453</v>
      </c>
      <c r="O37" s="40">
        <f t="shared" si="3"/>
        <v>0</v>
      </c>
      <c r="P37" s="40">
        <f t="shared" si="3"/>
        <v>8.3638932408853117E-2</v>
      </c>
      <c r="Q37" s="40">
        <f t="shared" si="3"/>
        <v>9.9909379229233351E-3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45542.041666666664</v>
      </c>
      <c r="B9" s="50">
        <v>9.31</v>
      </c>
      <c r="C9" s="50">
        <v>4.07</v>
      </c>
      <c r="D9" s="50">
        <v>14.04</v>
      </c>
      <c r="E9" s="50">
        <v>11.5</v>
      </c>
      <c r="F9" s="50">
        <v>3.12</v>
      </c>
      <c r="G9" s="50">
        <v>49.16</v>
      </c>
      <c r="H9" s="50">
        <v>19.34</v>
      </c>
      <c r="I9" s="50">
        <v>8.0299999999999994</v>
      </c>
      <c r="J9" s="50">
        <v>0.16</v>
      </c>
      <c r="K9" s="50">
        <v>242.56</v>
      </c>
      <c r="L9" s="50">
        <v>26.38</v>
      </c>
      <c r="M9" s="50">
        <v>94.89</v>
      </c>
      <c r="N9" s="50">
        <v>2.1</v>
      </c>
      <c r="O9" s="50">
        <v>0</v>
      </c>
      <c r="P9" s="50">
        <v>0.65</v>
      </c>
      <c r="Q9" s="50">
        <v>4.62</v>
      </c>
    </row>
    <row r="10" spans="1:21" customFormat="1">
      <c r="A10" s="49">
        <v>45542.083333333336</v>
      </c>
      <c r="B10" s="50">
        <v>9.2899999999999991</v>
      </c>
      <c r="C10" s="50">
        <v>4.07</v>
      </c>
      <c r="D10" s="50">
        <v>14.03</v>
      </c>
      <c r="E10" s="50">
        <v>11.98</v>
      </c>
      <c r="F10" s="50">
        <v>3.34</v>
      </c>
      <c r="G10" s="50">
        <v>49.16</v>
      </c>
      <c r="H10" s="50">
        <v>18.57</v>
      </c>
      <c r="I10" s="50">
        <v>8.4600000000000009</v>
      </c>
      <c r="J10" s="50">
        <v>0.16</v>
      </c>
      <c r="K10" s="50">
        <v>229.33</v>
      </c>
      <c r="L10" s="50">
        <v>26.23</v>
      </c>
      <c r="M10" s="50">
        <v>96.29</v>
      </c>
      <c r="N10" s="50">
        <v>2.1</v>
      </c>
      <c r="O10" s="50">
        <v>0</v>
      </c>
      <c r="P10" s="50">
        <v>0.62</v>
      </c>
      <c r="Q10" s="50">
        <v>4.62</v>
      </c>
    </row>
    <row r="11" spans="1:21" customFormat="1">
      <c r="A11" s="49">
        <v>45542.125</v>
      </c>
      <c r="B11" s="50">
        <v>9.3000000000000007</v>
      </c>
      <c r="C11" s="50">
        <v>4.09</v>
      </c>
      <c r="D11" s="50">
        <v>14.03</v>
      </c>
      <c r="E11" s="50">
        <v>10.029999999999999</v>
      </c>
      <c r="F11" s="50">
        <v>6.29</v>
      </c>
      <c r="G11" s="50">
        <v>41.21</v>
      </c>
      <c r="H11" s="50">
        <v>14.48</v>
      </c>
      <c r="I11" s="50">
        <v>7.67</v>
      </c>
      <c r="J11" s="50">
        <v>0.15</v>
      </c>
      <c r="K11" s="50">
        <v>232.18</v>
      </c>
      <c r="L11" s="50">
        <v>25.86</v>
      </c>
      <c r="M11" s="50">
        <v>97.65</v>
      </c>
      <c r="N11" s="50">
        <v>2.1</v>
      </c>
      <c r="O11" s="50">
        <v>0</v>
      </c>
      <c r="P11" s="50">
        <v>0.56999999999999995</v>
      </c>
      <c r="Q11" s="50">
        <v>4.63</v>
      </c>
    </row>
    <row r="12" spans="1:21" customFormat="1">
      <c r="A12" s="49">
        <v>45542.166666666664</v>
      </c>
      <c r="B12" s="50">
        <v>9.2899999999999991</v>
      </c>
      <c r="C12" s="50">
        <v>4.0999999999999996</v>
      </c>
      <c r="D12" s="50">
        <v>14.04</v>
      </c>
      <c r="E12" s="50">
        <v>8.73</v>
      </c>
      <c r="F12" s="50">
        <v>5.94</v>
      </c>
      <c r="G12" s="50">
        <v>35.93</v>
      </c>
      <c r="H12" s="50">
        <v>14.48</v>
      </c>
      <c r="I12" s="50">
        <v>6.92</v>
      </c>
      <c r="J12" s="50">
        <v>0.21</v>
      </c>
      <c r="K12" s="50">
        <v>258.01</v>
      </c>
      <c r="L12" s="50">
        <v>25.96</v>
      </c>
      <c r="M12" s="50">
        <v>97.79</v>
      </c>
      <c r="N12" s="50">
        <v>2.2000000000000002</v>
      </c>
      <c r="O12" s="50">
        <v>0</v>
      </c>
      <c r="P12" s="50">
        <v>0.49</v>
      </c>
      <c r="Q12" s="50">
        <v>4.6399999999999997</v>
      </c>
    </row>
    <row r="13" spans="1:21" customFormat="1">
      <c r="A13" s="49">
        <v>45542.208333333336</v>
      </c>
      <c r="B13" s="50">
        <v>9.2799999999999994</v>
      </c>
      <c r="C13" s="50">
        <v>4.09</v>
      </c>
      <c r="D13" s="50">
        <v>14.01</v>
      </c>
      <c r="E13" s="50">
        <v>8.81</v>
      </c>
      <c r="F13" s="50">
        <v>6.5</v>
      </c>
      <c r="G13" s="50">
        <v>28.54</v>
      </c>
      <c r="H13" s="50">
        <v>10.64</v>
      </c>
      <c r="I13" s="50">
        <v>6.27</v>
      </c>
      <c r="J13" s="50">
        <v>0.19</v>
      </c>
      <c r="K13" s="50">
        <v>274.45999999999998</v>
      </c>
      <c r="L13" s="50">
        <v>25.74</v>
      </c>
      <c r="M13" s="50">
        <v>98.44</v>
      </c>
      <c r="N13" s="50">
        <v>2.1</v>
      </c>
      <c r="O13" s="50">
        <v>0</v>
      </c>
      <c r="P13" s="50">
        <v>0.44</v>
      </c>
      <c r="Q13" s="50">
        <v>4.63</v>
      </c>
    </row>
    <row r="14" spans="1:21" customFormat="1">
      <c r="A14" s="49">
        <v>45542.25</v>
      </c>
      <c r="B14" s="50">
        <v>9.33</v>
      </c>
      <c r="C14" s="50">
        <v>4.08</v>
      </c>
      <c r="D14" s="50">
        <v>14.06</v>
      </c>
      <c r="E14" s="50">
        <v>8.02</v>
      </c>
      <c r="F14" s="50">
        <v>6.55</v>
      </c>
      <c r="G14" s="50">
        <v>26.42</v>
      </c>
      <c r="H14" s="50">
        <v>7.58</v>
      </c>
      <c r="I14" s="50">
        <v>5.61</v>
      </c>
      <c r="J14" s="50">
        <v>0.16</v>
      </c>
      <c r="K14" s="50">
        <v>214.11</v>
      </c>
      <c r="L14" s="50">
        <v>25.58</v>
      </c>
      <c r="M14" s="50">
        <v>98.88</v>
      </c>
      <c r="N14" s="50">
        <v>11.8</v>
      </c>
      <c r="O14" s="50">
        <v>0</v>
      </c>
      <c r="P14" s="50">
        <v>0.39</v>
      </c>
      <c r="Q14" s="50">
        <v>4.6399999999999997</v>
      </c>
    </row>
    <row r="15" spans="1:21" customFormat="1">
      <c r="A15" s="49">
        <v>45542.291666666664</v>
      </c>
      <c r="B15" s="50">
        <v>9.3000000000000007</v>
      </c>
      <c r="C15" s="50">
        <v>4.09</v>
      </c>
      <c r="D15" s="50">
        <v>14.04</v>
      </c>
      <c r="E15" s="50">
        <v>8.44</v>
      </c>
      <c r="F15" s="50">
        <v>5.1100000000000003</v>
      </c>
      <c r="G15" s="50">
        <v>21.08</v>
      </c>
      <c r="H15" s="50">
        <v>9.84</v>
      </c>
      <c r="I15" s="50">
        <v>5.62</v>
      </c>
      <c r="J15" s="50">
        <v>0.47</v>
      </c>
      <c r="K15" s="50">
        <v>272.22000000000003</v>
      </c>
      <c r="L15" s="50">
        <v>26.45</v>
      </c>
      <c r="M15" s="50">
        <v>98.98</v>
      </c>
      <c r="N15" s="50">
        <v>58.5</v>
      </c>
      <c r="O15" s="50">
        <v>0</v>
      </c>
      <c r="P15" s="50">
        <v>0.45</v>
      </c>
      <c r="Q15" s="50">
        <v>4.6399999999999997</v>
      </c>
    </row>
    <row r="16" spans="1:21" customFormat="1">
      <c r="A16" s="49">
        <v>45542.333333333336</v>
      </c>
      <c r="B16" s="50">
        <v>9.2799999999999994</v>
      </c>
      <c r="C16" s="50">
        <v>4.08</v>
      </c>
      <c r="D16" s="50">
        <v>14</v>
      </c>
      <c r="E16" s="50">
        <v>9.0399999999999991</v>
      </c>
      <c r="F16" s="50">
        <v>4.79</v>
      </c>
      <c r="G16" s="50">
        <v>26.2</v>
      </c>
      <c r="H16" s="50">
        <v>9.84</v>
      </c>
      <c r="I16" s="50">
        <v>5.57</v>
      </c>
      <c r="J16" s="50">
        <v>0.49</v>
      </c>
      <c r="K16" s="50">
        <v>307.3</v>
      </c>
      <c r="L16" s="50">
        <v>28.18</v>
      </c>
      <c r="M16" s="50">
        <v>92.42</v>
      </c>
      <c r="N16" s="50">
        <v>192</v>
      </c>
      <c r="O16" s="50">
        <v>0</v>
      </c>
      <c r="P16" s="50">
        <v>0.46</v>
      </c>
      <c r="Q16" s="50">
        <v>4.6399999999999997</v>
      </c>
    </row>
    <row r="17" spans="1:17" customFormat="1">
      <c r="A17" s="49">
        <v>45542.375</v>
      </c>
      <c r="B17" s="50">
        <v>9.2799999999999994</v>
      </c>
      <c r="C17" s="50">
        <v>4.07</v>
      </c>
      <c r="D17" s="50">
        <v>14.02</v>
      </c>
      <c r="E17" s="50">
        <v>10.66</v>
      </c>
      <c r="F17" s="50">
        <v>6.33</v>
      </c>
      <c r="G17" s="50">
        <v>33.58</v>
      </c>
      <c r="H17" s="50">
        <v>9.18</v>
      </c>
      <c r="I17" s="50">
        <v>5.76</v>
      </c>
      <c r="J17" s="50">
        <v>0.46</v>
      </c>
      <c r="K17" s="50">
        <v>341.19</v>
      </c>
      <c r="L17" s="50">
        <v>30.31</v>
      </c>
      <c r="M17" s="50">
        <v>81.41</v>
      </c>
      <c r="N17" s="50">
        <v>242.1</v>
      </c>
      <c r="O17" s="50">
        <v>0</v>
      </c>
      <c r="P17" s="50">
        <v>0.46</v>
      </c>
      <c r="Q17" s="50">
        <v>4.63</v>
      </c>
    </row>
    <row r="18" spans="1:17" customFormat="1">
      <c r="A18" s="49">
        <v>45542.416666666664</v>
      </c>
      <c r="B18" s="50">
        <v>9.3000000000000007</v>
      </c>
      <c r="C18" s="50">
        <v>4.09</v>
      </c>
      <c r="D18" s="50">
        <v>14.04</v>
      </c>
      <c r="E18" s="50">
        <v>12.55</v>
      </c>
      <c r="F18" s="50">
        <v>6.33</v>
      </c>
      <c r="G18" s="50">
        <v>42.57</v>
      </c>
      <c r="H18" s="50">
        <v>13.38</v>
      </c>
      <c r="I18" s="50">
        <v>5.84</v>
      </c>
      <c r="J18" s="50">
        <v>0.33</v>
      </c>
      <c r="K18" s="50">
        <v>355.31</v>
      </c>
      <c r="L18" s="50">
        <v>31.05</v>
      </c>
      <c r="M18" s="50">
        <v>73.38</v>
      </c>
      <c r="N18" s="50">
        <v>486.2</v>
      </c>
      <c r="O18" s="50">
        <v>0</v>
      </c>
      <c r="P18" s="50">
        <v>0.49</v>
      </c>
      <c r="Q18" s="50">
        <v>4.6399999999999997</v>
      </c>
    </row>
    <row r="19" spans="1:17" customFormat="1">
      <c r="A19" s="49">
        <v>45542.458333333336</v>
      </c>
      <c r="B19" s="50">
        <v>9.2799999999999994</v>
      </c>
      <c r="C19" s="50">
        <v>4.07</v>
      </c>
      <c r="D19" s="50">
        <v>14.02</v>
      </c>
      <c r="E19" s="50">
        <v>15.7</v>
      </c>
      <c r="F19" s="50">
        <v>10.220000000000001</v>
      </c>
      <c r="G19" s="50">
        <v>64.22</v>
      </c>
      <c r="H19" s="50">
        <v>22.68</v>
      </c>
      <c r="I19" s="50">
        <v>5.85</v>
      </c>
      <c r="J19" s="50">
        <v>0.48</v>
      </c>
      <c r="K19" s="50">
        <v>169.63</v>
      </c>
      <c r="L19" s="50">
        <v>32.35</v>
      </c>
      <c r="M19" s="50">
        <v>67.900000000000006</v>
      </c>
      <c r="N19" s="50">
        <v>376.2</v>
      </c>
      <c r="O19" s="50">
        <v>0</v>
      </c>
      <c r="P19" s="50">
        <v>0.5</v>
      </c>
      <c r="Q19" s="50">
        <v>4.6399999999999997</v>
      </c>
    </row>
    <row r="20" spans="1:17" customFormat="1">
      <c r="A20" s="49">
        <v>45542.5</v>
      </c>
      <c r="B20" s="50">
        <v>9.3800000000000008</v>
      </c>
      <c r="C20" s="50">
        <v>4.08</v>
      </c>
      <c r="D20" s="50">
        <v>14.09</v>
      </c>
      <c r="E20" s="50">
        <v>16.63</v>
      </c>
      <c r="F20" s="50">
        <v>13.52</v>
      </c>
      <c r="G20" s="50">
        <v>73.2</v>
      </c>
      <c r="H20" s="50">
        <v>27.64</v>
      </c>
      <c r="I20" s="50">
        <v>5.65</v>
      </c>
      <c r="J20" s="50">
        <v>0.44</v>
      </c>
      <c r="K20" s="50">
        <v>196.9</v>
      </c>
      <c r="L20" s="50">
        <v>32.700000000000003</v>
      </c>
      <c r="M20" s="50">
        <v>65.16</v>
      </c>
      <c r="N20" s="50">
        <v>480.1</v>
      </c>
      <c r="O20" s="50">
        <v>0</v>
      </c>
      <c r="P20" s="50">
        <v>0.52</v>
      </c>
      <c r="Q20" s="50">
        <v>4.6399999999999997</v>
      </c>
    </row>
    <row r="21" spans="1:17" customFormat="1">
      <c r="A21" s="49">
        <v>45542.541666666664</v>
      </c>
      <c r="B21" s="50">
        <v>9.32</v>
      </c>
      <c r="C21" s="50">
        <v>4.07</v>
      </c>
      <c r="D21" s="50">
        <v>14.04</v>
      </c>
      <c r="E21" s="50">
        <v>18.190000000000001</v>
      </c>
      <c r="F21" s="50">
        <v>13.29</v>
      </c>
      <c r="G21" s="50">
        <v>85.13</v>
      </c>
      <c r="H21" s="50">
        <v>31</v>
      </c>
      <c r="I21" s="50">
        <v>5.78</v>
      </c>
      <c r="J21" s="50">
        <v>0.68</v>
      </c>
      <c r="K21" s="50">
        <v>299.77</v>
      </c>
      <c r="L21" s="50">
        <v>32.159999999999997</v>
      </c>
      <c r="M21" s="50">
        <v>70.97</v>
      </c>
      <c r="N21" s="50">
        <v>496.6</v>
      </c>
      <c r="O21" s="50">
        <v>0</v>
      </c>
      <c r="P21" s="50">
        <v>0.54</v>
      </c>
      <c r="Q21" s="50">
        <v>4.63</v>
      </c>
    </row>
    <row r="22" spans="1:17" customFormat="1">
      <c r="A22" s="49">
        <v>45542.583333333336</v>
      </c>
      <c r="B22" s="50">
        <v>13.22</v>
      </c>
      <c r="C22" s="50">
        <v>4.4000000000000004</v>
      </c>
      <c r="D22" s="50">
        <v>17.350000000000001</v>
      </c>
      <c r="E22" s="50">
        <v>13.15</v>
      </c>
      <c r="F22" s="50">
        <v>20.96</v>
      </c>
      <c r="G22" s="50">
        <v>85.13</v>
      </c>
      <c r="H22" s="50">
        <v>31</v>
      </c>
      <c r="I22" s="50">
        <v>5.86</v>
      </c>
      <c r="J22" s="50">
        <v>1.06</v>
      </c>
      <c r="K22" s="50">
        <v>280.42</v>
      </c>
      <c r="L22" s="50">
        <v>31.32</v>
      </c>
      <c r="M22" s="50">
        <v>76.48</v>
      </c>
      <c r="N22" s="50">
        <v>263.8</v>
      </c>
      <c r="O22" s="50">
        <v>0</v>
      </c>
      <c r="P22" s="50">
        <v>0.53</v>
      </c>
      <c r="Q22" s="50">
        <v>4.6100000000000003</v>
      </c>
    </row>
    <row r="23" spans="1:17" customFormat="1">
      <c r="A23" s="49">
        <v>45542.625</v>
      </c>
      <c r="B23" s="50">
        <v>10.41</v>
      </c>
      <c r="C23" s="50">
        <v>4.21</v>
      </c>
      <c r="D23" s="50">
        <v>15</v>
      </c>
      <c r="E23" s="50">
        <v>10.029999999999999</v>
      </c>
      <c r="F23" s="50">
        <v>17.79</v>
      </c>
      <c r="G23" s="50">
        <v>6.27</v>
      </c>
      <c r="H23" s="50">
        <v>2.41</v>
      </c>
      <c r="I23" s="50">
        <v>7.83</v>
      </c>
      <c r="J23" s="50">
        <v>0.82</v>
      </c>
      <c r="K23" s="50">
        <v>285.5</v>
      </c>
      <c r="L23" s="50">
        <v>31.33</v>
      </c>
      <c r="M23" s="50">
        <v>74.930000000000007</v>
      </c>
      <c r="N23" s="50">
        <v>277.89999999999998</v>
      </c>
      <c r="O23" s="50">
        <v>0</v>
      </c>
      <c r="P23" s="50">
        <v>0.48</v>
      </c>
      <c r="Q23" s="50">
        <v>4.59</v>
      </c>
    </row>
    <row r="24" spans="1:17" customFormat="1">
      <c r="A24" s="49">
        <v>45542.666666666664</v>
      </c>
      <c r="B24" s="50">
        <v>9.25</v>
      </c>
      <c r="C24" s="50">
        <v>4.1399999999999997</v>
      </c>
      <c r="D24" s="50">
        <v>14.01</v>
      </c>
      <c r="E24" s="50">
        <v>11.1</v>
      </c>
      <c r="F24" s="50">
        <v>20.95</v>
      </c>
      <c r="G24" s="50">
        <v>24.92</v>
      </c>
      <c r="H24" s="50">
        <v>7.95</v>
      </c>
      <c r="I24" s="50">
        <v>7.02</v>
      </c>
      <c r="J24" s="50">
        <v>0.83</v>
      </c>
      <c r="K24" s="50">
        <v>292.27999999999997</v>
      </c>
      <c r="L24" s="50">
        <v>31.25</v>
      </c>
      <c r="M24" s="50">
        <v>74.599999999999994</v>
      </c>
      <c r="N24" s="50">
        <v>299.89999999999998</v>
      </c>
      <c r="O24" s="50">
        <v>0</v>
      </c>
      <c r="P24" s="50">
        <v>0.5</v>
      </c>
      <c r="Q24" s="50">
        <v>4.6100000000000003</v>
      </c>
    </row>
    <row r="25" spans="1:17" customFormat="1">
      <c r="A25" s="49">
        <v>45542.708333333336</v>
      </c>
      <c r="B25" s="50">
        <v>9.3800000000000008</v>
      </c>
      <c r="C25" s="50">
        <v>4.0999999999999996</v>
      </c>
      <c r="D25" s="50">
        <v>14.11</v>
      </c>
      <c r="E25" s="50">
        <v>11.27</v>
      </c>
      <c r="F25" s="50">
        <v>32.56</v>
      </c>
      <c r="G25" s="50">
        <v>29.59</v>
      </c>
      <c r="H25" s="50">
        <v>13.05</v>
      </c>
      <c r="I25" s="50">
        <v>5.91</v>
      </c>
      <c r="J25" s="50">
        <v>0.32</v>
      </c>
      <c r="K25" s="50">
        <v>296.7</v>
      </c>
      <c r="L25" s="50">
        <v>31.33</v>
      </c>
      <c r="M25" s="50">
        <v>75.099999999999994</v>
      </c>
      <c r="N25" s="50">
        <v>126.9</v>
      </c>
      <c r="O25" s="50">
        <v>0</v>
      </c>
      <c r="P25" s="50">
        <v>0.49</v>
      </c>
      <c r="Q25" s="50">
        <v>4.66</v>
      </c>
    </row>
    <row r="26" spans="1:17" customFormat="1">
      <c r="A26" s="49">
        <v>45542.75</v>
      </c>
      <c r="B26" s="50">
        <v>9.31</v>
      </c>
      <c r="C26" s="50">
        <v>4.09</v>
      </c>
      <c r="D26" s="50">
        <v>14.05</v>
      </c>
      <c r="E26" s="50">
        <v>10.77</v>
      </c>
      <c r="F26" s="50">
        <v>21.68</v>
      </c>
      <c r="G26" s="50">
        <v>35.86</v>
      </c>
      <c r="H26" s="50">
        <v>20.72</v>
      </c>
      <c r="I26" s="50">
        <v>5.16</v>
      </c>
      <c r="J26" s="50">
        <v>0.17</v>
      </c>
      <c r="K26" s="50">
        <v>207.29</v>
      </c>
      <c r="L26" s="50">
        <v>29.91</v>
      </c>
      <c r="M26" s="50">
        <v>83.63</v>
      </c>
      <c r="N26" s="50">
        <v>19.399999999999999</v>
      </c>
      <c r="O26" s="50">
        <v>0</v>
      </c>
      <c r="P26" s="50">
        <v>0.44</v>
      </c>
      <c r="Q26" s="50">
        <v>4.6399999999999997</v>
      </c>
    </row>
    <row r="27" spans="1:17" customFormat="1">
      <c r="A27" s="49">
        <v>45542.791666666664</v>
      </c>
      <c r="B27" s="50">
        <v>9.27</v>
      </c>
      <c r="C27" s="50">
        <v>4.0999999999999996</v>
      </c>
      <c r="D27" s="50">
        <v>14</v>
      </c>
      <c r="E27" s="50">
        <v>6.94</v>
      </c>
      <c r="F27" s="50">
        <v>21.07</v>
      </c>
      <c r="G27" s="50">
        <v>49.6</v>
      </c>
      <c r="H27" s="50">
        <v>24.02</v>
      </c>
      <c r="I27" s="50">
        <v>4.97</v>
      </c>
      <c r="J27" s="50">
        <v>0.2</v>
      </c>
      <c r="K27" s="50">
        <v>213.05</v>
      </c>
      <c r="L27" s="50">
        <v>29.04</v>
      </c>
      <c r="M27" s="50">
        <v>88.07</v>
      </c>
      <c r="N27" s="50">
        <v>2.4</v>
      </c>
      <c r="O27" s="50">
        <v>0</v>
      </c>
      <c r="P27" s="50">
        <v>0.43</v>
      </c>
      <c r="Q27" s="50">
        <v>4.6399999999999997</v>
      </c>
    </row>
    <row r="28" spans="1:17" customFormat="1">
      <c r="A28" s="49">
        <v>45542.833333333336</v>
      </c>
      <c r="B28" s="50">
        <v>9.2899999999999991</v>
      </c>
      <c r="C28" s="50">
        <v>4.09</v>
      </c>
      <c r="D28" s="50">
        <v>14.03</v>
      </c>
      <c r="E28" s="50">
        <v>7.45</v>
      </c>
      <c r="F28" s="50">
        <v>14.92</v>
      </c>
      <c r="G28" s="50">
        <v>57.77</v>
      </c>
      <c r="H28" s="50">
        <v>23.62</v>
      </c>
      <c r="I28" s="50">
        <v>4.9800000000000004</v>
      </c>
      <c r="J28" s="50">
        <v>0.15</v>
      </c>
      <c r="K28" s="50">
        <v>196.59</v>
      </c>
      <c r="L28" s="50">
        <v>28.49</v>
      </c>
      <c r="M28" s="50">
        <v>91.43</v>
      </c>
      <c r="N28" s="50">
        <v>2.2000000000000002</v>
      </c>
      <c r="O28" s="50">
        <v>0</v>
      </c>
      <c r="P28" s="50">
        <v>0.42</v>
      </c>
      <c r="Q28" s="50">
        <v>4.6399999999999997</v>
      </c>
    </row>
    <row r="29" spans="1:17" customFormat="1">
      <c r="A29" s="49">
        <v>45542.875</v>
      </c>
      <c r="B29" s="50">
        <v>9.2899999999999991</v>
      </c>
      <c r="C29" s="50">
        <v>4.1100000000000003</v>
      </c>
      <c r="D29" s="50">
        <v>14.05</v>
      </c>
      <c r="E29" s="50">
        <v>8.1300000000000008</v>
      </c>
      <c r="F29" s="50">
        <v>14.36</v>
      </c>
      <c r="G29" s="50">
        <v>51.75</v>
      </c>
      <c r="H29" s="50">
        <v>27.69</v>
      </c>
      <c r="I29" s="50">
        <v>5.08</v>
      </c>
      <c r="J29" s="50">
        <v>0.26</v>
      </c>
      <c r="K29" s="50">
        <v>191.25</v>
      </c>
      <c r="L29" s="50">
        <v>28.21</v>
      </c>
      <c r="M29" s="50">
        <v>97.2</v>
      </c>
      <c r="N29" s="50">
        <v>2.2999999999999998</v>
      </c>
      <c r="O29" s="50">
        <v>0.4</v>
      </c>
      <c r="P29" s="50">
        <v>0.51</v>
      </c>
      <c r="Q29" s="50">
        <v>4.6399999999999997</v>
      </c>
    </row>
    <row r="30" spans="1:17" customFormat="1">
      <c r="A30" s="49">
        <v>45542.916666666664</v>
      </c>
      <c r="B30" s="50">
        <v>9.32</v>
      </c>
      <c r="C30" s="50">
        <v>4.08</v>
      </c>
      <c r="D30" s="50">
        <v>14.06</v>
      </c>
      <c r="E30" s="50">
        <v>7.68</v>
      </c>
      <c r="F30" s="50">
        <v>12.31</v>
      </c>
      <c r="G30" s="50">
        <v>54.13</v>
      </c>
      <c r="H30" s="50">
        <v>29.9</v>
      </c>
      <c r="I30" s="50">
        <v>5.43</v>
      </c>
      <c r="J30" s="50">
        <v>0.15</v>
      </c>
      <c r="K30" s="50">
        <v>192.84</v>
      </c>
      <c r="L30" s="50">
        <v>27.78</v>
      </c>
      <c r="M30" s="50">
        <v>98.63</v>
      </c>
      <c r="N30" s="50">
        <v>2.2999999999999998</v>
      </c>
      <c r="O30" s="50">
        <v>0.2</v>
      </c>
      <c r="P30" s="50">
        <v>0.5</v>
      </c>
      <c r="Q30" s="50">
        <v>4.63</v>
      </c>
    </row>
    <row r="31" spans="1:17" customFormat="1">
      <c r="A31" s="49">
        <v>45542.958333333336</v>
      </c>
      <c r="B31" s="50">
        <v>9.32</v>
      </c>
      <c r="C31" s="50">
        <v>4.07</v>
      </c>
      <c r="D31" s="50">
        <v>14.03</v>
      </c>
      <c r="E31" s="50">
        <v>6.92</v>
      </c>
      <c r="F31" s="50">
        <v>11.77</v>
      </c>
      <c r="G31" s="50">
        <v>58.21</v>
      </c>
      <c r="H31" s="50">
        <v>27.49</v>
      </c>
      <c r="I31" s="50">
        <v>5.67</v>
      </c>
      <c r="J31" s="50">
        <v>0.13</v>
      </c>
      <c r="K31" s="50">
        <v>199.92</v>
      </c>
      <c r="L31" s="50">
        <v>27.53</v>
      </c>
      <c r="M31" s="50">
        <v>99.32</v>
      </c>
      <c r="N31" s="50">
        <v>2.2999999999999998</v>
      </c>
      <c r="O31" s="50">
        <v>0</v>
      </c>
      <c r="P31" s="50">
        <v>0.49</v>
      </c>
      <c r="Q31" s="50">
        <v>4.62</v>
      </c>
    </row>
    <row r="32" spans="1:17" customFormat="1">
      <c r="A32" s="49">
        <v>45543</v>
      </c>
      <c r="B32" s="50">
        <v>9.2899999999999991</v>
      </c>
      <c r="C32" s="50">
        <v>4.0999999999999996</v>
      </c>
      <c r="D32" s="50">
        <v>14.03</v>
      </c>
      <c r="E32" s="50">
        <v>6.38</v>
      </c>
      <c r="F32" s="50">
        <v>12.79</v>
      </c>
      <c r="G32" s="50">
        <v>57.83</v>
      </c>
      <c r="H32" s="50">
        <v>28.16</v>
      </c>
      <c r="I32" s="50">
        <v>5.55</v>
      </c>
      <c r="J32" s="50">
        <v>0.46</v>
      </c>
      <c r="K32" s="50">
        <v>325.04000000000002</v>
      </c>
      <c r="L32" s="50">
        <v>27.52</v>
      </c>
      <c r="M32" s="50">
        <v>99.08</v>
      </c>
      <c r="N32" s="50">
        <v>2.4</v>
      </c>
      <c r="O32" s="50">
        <v>0</v>
      </c>
      <c r="P32" s="50">
        <v>0.5</v>
      </c>
      <c r="Q32" s="50">
        <v>4.6399999999999997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9.25</v>
      </c>
      <c r="C34" s="40">
        <f t="shared" si="0"/>
        <v>4.07</v>
      </c>
      <c r="D34" s="40">
        <f t="shared" si="0"/>
        <v>14</v>
      </c>
      <c r="E34" s="40">
        <f t="shared" si="0"/>
        <v>6.38</v>
      </c>
      <c r="F34" s="40">
        <f t="shared" si="0"/>
        <v>3.12</v>
      </c>
      <c r="G34" s="40">
        <f t="shared" si="0"/>
        <v>6.27</v>
      </c>
      <c r="H34" s="40">
        <f t="shared" si="0"/>
        <v>2.41</v>
      </c>
      <c r="I34" s="40">
        <f t="shared" si="0"/>
        <v>4.97</v>
      </c>
      <c r="J34" s="40">
        <f t="shared" si="0"/>
        <v>0.13</v>
      </c>
      <c r="K34" s="40">
        <f t="shared" si="0"/>
        <v>169.63</v>
      </c>
      <c r="L34" s="40">
        <f t="shared" si="0"/>
        <v>25.58</v>
      </c>
      <c r="M34" s="40">
        <f t="shared" si="0"/>
        <v>65.16</v>
      </c>
      <c r="N34" s="40">
        <f t="shared" si="0"/>
        <v>2.1</v>
      </c>
      <c r="O34" s="40">
        <f t="shared" si="0"/>
        <v>0</v>
      </c>
      <c r="P34" s="40">
        <f t="shared" si="0"/>
        <v>0.39</v>
      </c>
      <c r="Q34" s="40">
        <f t="shared" si="0"/>
        <v>4.59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13.22</v>
      </c>
      <c r="C35" s="33">
        <f t="shared" si="1"/>
        <v>4.4000000000000004</v>
      </c>
      <c r="D35" s="33">
        <f t="shared" si="1"/>
        <v>17.350000000000001</v>
      </c>
      <c r="E35" s="33">
        <f t="shared" si="1"/>
        <v>18.190000000000001</v>
      </c>
      <c r="F35" s="33">
        <f t="shared" si="1"/>
        <v>32.56</v>
      </c>
      <c r="G35" s="33">
        <f t="shared" si="1"/>
        <v>85.13</v>
      </c>
      <c r="H35" s="33">
        <f t="shared" si="1"/>
        <v>31</v>
      </c>
      <c r="I35" s="33">
        <f t="shared" si="1"/>
        <v>8.4600000000000009</v>
      </c>
      <c r="J35" s="33">
        <f t="shared" si="1"/>
        <v>1.06</v>
      </c>
      <c r="K35" s="33">
        <f t="shared" si="1"/>
        <v>355.31</v>
      </c>
      <c r="L35" s="33">
        <f t="shared" si="1"/>
        <v>32.700000000000003</v>
      </c>
      <c r="M35" s="33">
        <f t="shared" si="1"/>
        <v>99.32</v>
      </c>
      <c r="N35" s="33">
        <f t="shared" si="1"/>
        <v>496.6</v>
      </c>
      <c r="O35" s="33">
        <f t="shared" si="1"/>
        <v>0.4</v>
      </c>
      <c r="P35" s="33">
        <f t="shared" si="1"/>
        <v>0.65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9.5120833333333312</v>
      </c>
      <c r="C36" s="40">
        <f t="shared" si="2"/>
        <v>4.105833333333333</v>
      </c>
      <c r="D36" s="40">
        <f t="shared" si="2"/>
        <v>14.215833333333331</v>
      </c>
      <c r="E36" s="40">
        <f t="shared" si="2"/>
        <v>10.420833333333333</v>
      </c>
      <c r="F36" s="40">
        <f t="shared" si="2"/>
        <v>12.187083333333332</v>
      </c>
      <c r="G36" s="40">
        <f t="shared" si="2"/>
        <v>45.310833333333328</v>
      </c>
      <c r="H36" s="40">
        <f t="shared" si="2"/>
        <v>18.5275</v>
      </c>
      <c r="I36" s="40">
        <f t="shared" si="2"/>
        <v>6.1037500000000007</v>
      </c>
      <c r="J36" s="40">
        <f t="shared" si="2"/>
        <v>0.37208333333333349</v>
      </c>
      <c r="K36" s="40">
        <f t="shared" si="2"/>
        <v>253.07708333333335</v>
      </c>
      <c r="L36" s="40">
        <f t="shared" si="2"/>
        <v>28.860833333333332</v>
      </c>
      <c r="M36" s="40">
        <f t="shared" si="2"/>
        <v>87.192916666666676</v>
      </c>
      <c r="N36" s="40">
        <f t="shared" si="2"/>
        <v>139.82916666666671</v>
      </c>
      <c r="O36" s="40">
        <f t="shared" si="2"/>
        <v>2.5000000000000005E-2</v>
      </c>
      <c r="P36" s="40">
        <f t="shared" si="2"/>
        <v>0.49458333333333337</v>
      </c>
      <c r="Q36" s="40">
        <f t="shared" si="2"/>
        <v>4.6316666666666668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0.82196995167055587</v>
      </c>
      <c r="C37" s="40">
        <f t="shared" ref="C37:Q37" si="3">STDEV(C9:C32)</f>
        <v>6.9339534282352733E-2</v>
      </c>
      <c r="D37" s="40">
        <f t="shared" si="3"/>
        <v>0.6962752870542005</v>
      </c>
      <c r="E37" s="40">
        <f t="shared" si="3"/>
        <v>3.1163104113214044</v>
      </c>
      <c r="F37" s="40">
        <f t="shared" si="3"/>
        <v>7.4034225217957115</v>
      </c>
      <c r="G37" s="40">
        <f t="shared" si="3"/>
        <v>19.857067062354439</v>
      </c>
      <c r="H37" s="40">
        <f t="shared" si="3"/>
        <v>8.6995183524846595</v>
      </c>
      <c r="I37" s="40">
        <f t="shared" si="3"/>
        <v>1.0018887055261532</v>
      </c>
      <c r="J37" s="40">
        <f t="shared" si="3"/>
        <v>0.257242554574584</v>
      </c>
      <c r="K37" s="40">
        <f t="shared" si="3"/>
        <v>52.96278927364876</v>
      </c>
      <c r="L37" s="40">
        <f t="shared" si="3"/>
        <v>2.3987821487374683</v>
      </c>
      <c r="M37" s="40">
        <f t="shared" si="3"/>
        <v>11.903198502984331</v>
      </c>
      <c r="N37" s="40">
        <f t="shared" si="3"/>
        <v>179.14084689250055</v>
      </c>
      <c r="O37" s="40">
        <f t="shared" si="3"/>
        <v>8.9685440629288141E-2</v>
      </c>
      <c r="P37" s="40">
        <f t="shared" si="3"/>
        <v>5.9415937451061038E-2</v>
      </c>
      <c r="Q37" s="40">
        <f t="shared" si="3"/>
        <v>1.4345630047135325E-2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45543.041666666664</v>
      </c>
      <c r="B9" s="50">
        <v>9.32</v>
      </c>
      <c r="C9" s="50">
        <v>4.0599999999999996</v>
      </c>
      <c r="D9" s="50">
        <v>14.04</v>
      </c>
      <c r="E9" s="50">
        <v>5.77</v>
      </c>
      <c r="F9" s="50">
        <v>7.56</v>
      </c>
      <c r="G9" s="50">
        <v>75.290000000000006</v>
      </c>
      <c r="H9" s="50">
        <v>28.52</v>
      </c>
      <c r="I9" s="50">
        <v>5.43</v>
      </c>
      <c r="J9" s="50">
        <v>0.33</v>
      </c>
      <c r="K9" s="50">
        <v>185.23</v>
      </c>
      <c r="L9" s="50">
        <v>27.45</v>
      </c>
      <c r="M9" s="50">
        <v>99.03</v>
      </c>
      <c r="N9" s="50">
        <v>2.4</v>
      </c>
      <c r="O9" s="50">
        <v>0</v>
      </c>
      <c r="P9" s="50">
        <v>0.48</v>
      </c>
      <c r="Q9" s="50">
        <v>4.6399999999999997</v>
      </c>
    </row>
    <row r="10" spans="1:21" customFormat="1">
      <c r="A10" s="49">
        <v>45543.083333333336</v>
      </c>
      <c r="B10" s="50">
        <v>9.31</v>
      </c>
      <c r="C10" s="50">
        <v>4.0999999999999996</v>
      </c>
      <c r="D10" s="50">
        <v>14.04</v>
      </c>
      <c r="E10" s="50">
        <v>6.74</v>
      </c>
      <c r="F10" s="50">
        <v>5.64</v>
      </c>
      <c r="G10" s="50">
        <v>73.13</v>
      </c>
      <c r="H10" s="50">
        <v>28.7</v>
      </c>
      <c r="I10" s="50">
        <v>5.8</v>
      </c>
      <c r="J10" s="50">
        <v>0.41</v>
      </c>
      <c r="K10" s="50">
        <v>81.12</v>
      </c>
      <c r="L10" s="50">
        <v>27.24</v>
      </c>
      <c r="M10" s="50">
        <v>99.46</v>
      </c>
      <c r="N10" s="50">
        <v>2.6</v>
      </c>
      <c r="O10" s="50">
        <v>0</v>
      </c>
      <c r="P10" s="50">
        <v>0.47</v>
      </c>
      <c r="Q10" s="50">
        <v>4.63</v>
      </c>
    </row>
    <row r="11" spans="1:21" customFormat="1">
      <c r="A11" s="49">
        <v>45543.125</v>
      </c>
      <c r="B11" s="50">
        <v>9.32</v>
      </c>
      <c r="C11" s="50">
        <v>4.07</v>
      </c>
      <c r="D11" s="50">
        <v>14.05</v>
      </c>
      <c r="E11" s="50">
        <v>10.1</v>
      </c>
      <c r="F11" s="50">
        <v>4.96</v>
      </c>
      <c r="G11" s="50">
        <v>63.41</v>
      </c>
      <c r="H11" s="50">
        <v>26.67</v>
      </c>
      <c r="I11" s="50">
        <v>5.74</v>
      </c>
      <c r="J11" s="50">
        <v>0.22</v>
      </c>
      <c r="K11" s="50">
        <v>187.69</v>
      </c>
      <c r="L11" s="50">
        <v>27.03</v>
      </c>
      <c r="M11" s="50">
        <v>99.25</v>
      </c>
      <c r="N11" s="50">
        <v>2.4</v>
      </c>
      <c r="O11" s="50">
        <v>0</v>
      </c>
      <c r="P11" s="50">
        <v>0.46</v>
      </c>
      <c r="Q11" s="50">
        <v>4.6399999999999997</v>
      </c>
    </row>
    <row r="12" spans="1:21" customFormat="1">
      <c r="A12" s="49">
        <v>45543.166666666664</v>
      </c>
      <c r="B12" s="50">
        <v>9.2899999999999991</v>
      </c>
      <c r="C12" s="50">
        <v>4.07</v>
      </c>
      <c r="D12" s="50">
        <v>14.02</v>
      </c>
      <c r="E12" s="50">
        <v>10.43</v>
      </c>
      <c r="F12" s="50">
        <v>4.16</v>
      </c>
      <c r="G12" s="50">
        <v>60.56</v>
      </c>
      <c r="H12" s="50">
        <v>27.39</v>
      </c>
      <c r="I12" s="50">
        <v>5.71</v>
      </c>
      <c r="J12" s="50">
        <v>0.13</v>
      </c>
      <c r="K12" s="50">
        <v>225.02</v>
      </c>
      <c r="L12" s="50">
        <v>26.87</v>
      </c>
      <c r="M12" s="50">
        <v>100.02</v>
      </c>
      <c r="N12" s="50">
        <v>2.2000000000000002</v>
      </c>
      <c r="O12" s="50">
        <v>0</v>
      </c>
      <c r="P12" s="50">
        <v>0.46</v>
      </c>
      <c r="Q12" s="50">
        <v>4.6399999999999997</v>
      </c>
    </row>
    <row r="13" spans="1:21" customFormat="1">
      <c r="A13" s="49">
        <v>45543.208333333336</v>
      </c>
      <c r="B13" s="50">
        <v>9.2899999999999991</v>
      </c>
      <c r="C13" s="50">
        <v>4.08</v>
      </c>
      <c r="D13" s="50">
        <v>14.02</v>
      </c>
      <c r="E13" s="50">
        <v>10.82</v>
      </c>
      <c r="F13" s="50">
        <v>3.42</v>
      </c>
      <c r="G13" s="50">
        <v>47.92</v>
      </c>
      <c r="H13" s="50">
        <v>20.82</v>
      </c>
      <c r="I13" s="50">
        <v>5.61</v>
      </c>
      <c r="J13" s="50">
        <v>0.22</v>
      </c>
      <c r="K13" s="50">
        <v>131.91</v>
      </c>
      <c r="L13" s="50">
        <v>26.86</v>
      </c>
      <c r="M13" s="50">
        <v>99.45</v>
      </c>
      <c r="N13" s="50">
        <v>2.4</v>
      </c>
      <c r="O13" s="50">
        <v>0</v>
      </c>
      <c r="P13" s="50">
        <v>0.45</v>
      </c>
      <c r="Q13" s="50">
        <v>4.6500000000000004</v>
      </c>
    </row>
    <row r="14" spans="1:21" customFormat="1">
      <c r="A14" s="49">
        <v>45543.25</v>
      </c>
      <c r="B14" s="50">
        <v>9.2899999999999991</v>
      </c>
      <c r="C14" s="50">
        <v>4.08</v>
      </c>
      <c r="D14" s="50">
        <v>14.02</v>
      </c>
      <c r="E14" s="50">
        <v>10.84</v>
      </c>
      <c r="F14" s="50">
        <v>2.95</v>
      </c>
      <c r="G14" s="50">
        <v>62.69</v>
      </c>
      <c r="H14" s="50">
        <v>23.42</v>
      </c>
      <c r="I14" s="50">
        <v>5.52</v>
      </c>
      <c r="J14" s="50">
        <v>0.16</v>
      </c>
      <c r="K14" s="50">
        <v>230.26</v>
      </c>
      <c r="L14" s="50">
        <v>27.04</v>
      </c>
      <c r="M14" s="50">
        <v>99.97</v>
      </c>
      <c r="N14" s="50">
        <v>8.6</v>
      </c>
      <c r="O14" s="50">
        <v>0</v>
      </c>
      <c r="P14" s="50">
        <v>0.49</v>
      </c>
      <c r="Q14" s="50">
        <v>4.62</v>
      </c>
    </row>
    <row r="15" spans="1:21" customFormat="1">
      <c r="A15" s="49">
        <v>45543.291666666664</v>
      </c>
      <c r="B15" s="50">
        <v>9.2899999999999991</v>
      </c>
      <c r="C15" s="50">
        <v>4.07</v>
      </c>
      <c r="D15" s="50">
        <v>14.02</v>
      </c>
      <c r="E15" s="50">
        <v>12.05</v>
      </c>
      <c r="F15" s="50">
        <v>3.83</v>
      </c>
      <c r="G15" s="50">
        <v>73.349999999999994</v>
      </c>
      <c r="H15" s="50">
        <v>27.32</v>
      </c>
      <c r="I15" s="50">
        <v>7.27</v>
      </c>
      <c r="J15" s="50">
        <v>0.44</v>
      </c>
      <c r="K15" s="50">
        <v>146.41999999999999</v>
      </c>
      <c r="L15" s="50">
        <v>27.21</v>
      </c>
      <c r="M15" s="50">
        <v>99.53</v>
      </c>
      <c r="N15" s="50">
        <v>25.7</v>
      </c>
      <c r="O15" s="50">
        <v>0</v>
      </c>
      <c r="P15" s="50">
        <v>0.65</v>
      </c>
      <c r="Q15" s="50">
        <v>4.63</v>
      </c>
    </row>
    <row r="16" spans="1:21" customFormat="1">
      <c r="A16" s="49">
        <v>45543.333333333336</v>
      </c>
      <c r="B16" s="50">
        <v>9.26</v>
      </c>
      <c r="C16" s="50">
        <v>4.0999999999999996</v>
      </c>
      <c r="D16" s="50">
        <v>14.01</v>
      </c>
      <c r="E16" s="50">
        <v>15.12</v>
      </c>
      <c r="F16" s="50">
        <v>5.19</v>
      </c>
      <c r="G16" s="50">
        <v>95.65</v>
      </c>
      <c r="H16" s="50">
        <v>33.700000000000003</v>
      </c>
      <c r="I16" s="50">
        <v>7.78</v>
      </c>
      <c r="J16" s="50">
        <v>0.28999999999999998</v>
      </c>
      <c r="K16" s="50">
        <v>334.56</v>
      </c>
      <c r="L16" s="50">
        <v>27.57</v>
      </c>
      <c r="M16" s="50">
        <v>98.11</v>
      </c>
      <c r="N16" s="50">
        <v>95.1</v>
      </c>
      <c r="O16" s="50">
        <v>0</v>
      </c>
      <c r="P16" s="50">
        <v>0.64</v>
      </c>
      <c r="Q16" s="50">
        <v>4.6500000000000004</v>
      </c>
    </row>
    <row r="17" spans="1:17" customFormat="1">
      <c r="A17" s="49">
        <v>45543.375</v>
      </c>
      <c r="B17" s="50">
        <v>9.27</v>
      </c>
      <c r="C17" s="50">
        <v>4.0999999999999996</v>
      </c>
      <c r="D17" s="50">
        <v>14</v>
      </c>
      <c r="E17" s="50">
        <v>25.66</v>
      </c>
      <c r="F17" s="50">
        <v>7.41</v>
      </c>
      <c r="G17" s="50">
        <v>110.94</v>
      </c>
      <c r="H17" s="50">
        <v>40.450000000000003</v>
      </c>
      <c r="I17" s="50">
        <v>7.29</v>
      </c>
      <c r="J17" s="50">
        <v>0.44</v>
      </c>
      <c r="K17" s="50">
        <v>326.14</v>
      </c>
      <c r="L17" s="50">
        <v>29.03</v>
      </c>
      <c r="M17" s="50">
        <v>92.03</v>
      </c>
      <c r="N17" s="50">
        <v>234.1</v>
      </c>
      <c r="O17" s="50">
        <v>0</v>
      </c>
      <c r="P17" s="50">
        <v>0.72</v>
      </c>
      <c r="Q17" s="50">
        <v>4.6500000000000004</v>
      </c>
    </row>
    <row r="18" spans="1:17" customFormat="1">
      <c r="A18" s="49">
        <v>45543.416666666664</v>
      </c>
      <c r="B18" s="50">
        <v>9.25</v>
      </c>
      <c r="C18" s="50">
        <v>4.1100000000000003</v>
      </c>
      <c r="D18" s="50">
        <v>14</v>
      </c>
      <c r="E18" s="50">
        <v>23.58</v>
      </c>
      <c r="F18" s="50">
        <v>9.4700000000000006</v>
      </c>
      <c r="G18" s="50">
        <v>128.74</v>
      </c>
      <c r="H18" s="50">
        <v>49.83</v>
      </c>
      <c r="I18" s="50">
        <v>7.57</v>
      </c>
      <c r="J18" s="50">
        <v>0.52</v>
      </c>
      <c r="K18" s="50">
        <v>356.46</v>
      </c>
      <c r="L18" s="50">
        <v>30.56</v>
      </c>
      <c r="M18" s="50">
        <v>84.14</v>
      </c>
      <c r="N18" s="50">
        <v>359.2</v>
      </c>
      <c r="O18" s="50">
        <v>0</v>
      </c>
      <c r="P18" s="50">
        <v>0.74</v>
      </c>
      <c r="Q18" s="50">
        <v>4.63</v>
      </c>
    </row>
    <row r="19" spans="1:17" customFormat="1">
      <c r="A19" s="49">
        <v>45543.458333333336</v>
      </c>
      <c r="B19" s="50">
        <v>9.32</v>
      </c>
      <c r="C19" s="50">
        <v>4.09</v>
      </c>
      <c r="D19" s="50">
        <v>14.02</v>
      </c>
      <c r="E19" s="50">
        <v>24.99</v>
      </c>
      <c r="F19" s="50">
        <v>10.27</v>
      </c>
      <c r="G19" s="50">
        <v>130.83000000000001</v>
      </c>
      <c r="H19" s="50">
        <v>50.07</v>
      </c>
      <c r="I19" s="50">
        <v>7.27</v>
      </c>
      <c r="J19" s="50">
        <v>0.43</v>
      </c>
      <c r="K19" s="50">
        <v>349.42</v>
      </c>
      <c r="L19" s="50">
        <v>31.48</v>
      </c>
      <c r="M19" s="50">
        <v>77.56</v>
      </c>
      <c r="N19" s="50">
        <v>300.3</v>
      </c>
      <c r="O19" s="50">
        <v>0</v>
      </c>
      <c r="P19" s="50">
        <v>0.75</v>
      </c>
      <c r="Q19" s="50">
        <v>4.6399999999999997</v>
      </c>
    </row>
    <row r="20" spans="1:17" customFormat="1">
      <c r="A20" s="49">
        <v>45543.5</v>
      </c>
      <c r="B20" s="50">
        <v>9.34</v>
      </c>
      <c r="C20" s="50">
        <v>4.13</v>
      </c>
      <c r="D20" s="50">
        <v>14.08</v>
      </c>
      <c r="E20" s="50">
        <v>17.809999999999999</v>
      </c>
      <c r="F20" s="50">
        <v>12.23</v>
      </c>
      <c r="G20" s="50">
        <v>131.06</v>
      </c>
      <c r="H20" s="50">
        <v>51.97</v>
      </c>
      <c r="I20" s="50">
        <v>7.23</v>
      </c>
      <c r="J20" s="50">
        <v>0.81</v>
      </c>
      <c r="K20" s="50">
        <v>48.65</v>
      </c>
      <c r="L20" s="50">
        <v>32.299999999999997</v>
      </c>
      <c r="M20" s="50">
        <v>74.39</v>
      </c>
      <c r="N20" s="50">
        <v>490.2</v>
      </c>
      <c r="O20" s="50">
        <v>0</v>
      </c>
      <c r="P20" s="50">
        <v>0.7</v>
      </c>
      <c r="Q20" s="50">
        <v>4.6399999999999997</v>
      </c>
    </row>
    <row r="21" spans="1:17" customFormat="1">
      <c r="A21" s="49">
        <v>45543.541666666664</v>
      </c>
      <c r="B21" s="50">
        <v>9.3000000000000007</v>
      </c>
      <c r="C21" s="50">
        <v>4.0599999999999996</v>
      </c>
      <c r="D21" s="50">
        <v>14.03</v>
      </c>
      <c r="E21" s="50">
        <v>16.52</v>
      </c>
      <c r="F21" s="50">
        <v>14.98</v>
      </c>
      <c r="G21" s="50">
        <v>126.08</v>
      </c>
      <c r="H21" s="50">
        <v>47.86</v>
      </c>
      <c r="I21" s="50">
        <v>6.52</v>
      </c>
      <c r="J21" s="50">
        <v>0.98</v>
      </c>
      <c r="K21" s="50">
        <v>344.92</v>
      </c>
      <c r="L21" s="50">
        <v>32.909999999999997</v>
      </c>
      <c r="M21" s="50">
        <v>69.16</v>
      </c>
      <c r="N21" s="50">
        <v>632</v>
      </c>
      <c r="O21" s="50">
        <v>0</v>
      </c>
      <c r="P21" s="50">
        <v>0.65</v>
      </c>
      <c r="Q21" s="50">
        <v>4.6500000000000004</v>
      </c>
    </row>
    <row r="22" spans="1:17" customFormat="1">
      <c r="A22" s="49">
        <v>45543.583333333336</v>
      </c>
      <c r="B22" s="50">
        <v>9.2799999999999994</v>
      </c>
      <c r="C22" s="50">
        <v>4.1100000000000003</v>
      </c>
      <c r="D22" s="50">
        <v>14.03</v>
      </c>
      <c r="E22" s="50">
        <v>16.100000000000001</v>
      </c>
      <c r="F22" s="50">
        <v>15.8</v>
      </c>
      <c r="G22" s="50">
        <v>104.2</v>
      </c>
      <c r="H22" s="50">
        <v>43.3</v>
      </c>
      <c r="I22" s="50">
        <v>5.83</v>
      </c>
      <c r="J22" s="50">
        <v>0.59</v>
      </c>
      <c r="K22" s="50">
        <v>352.69</v>
      </c>
      <c r="L22" s="50">
        <v>33.21</v>
      </c>
      <c r="M22" s="50">
        <v>67.790000000000006</v>
      </c>
      <c r="N22" s="50">
        <v>323.60000000000002</v>
      </c>
      <c r="O22" s="50">
        <v>0</v>
      </c>
      <c r="P22" s="50">
        <v>0.6</v>
      </c>
      <c r="Q22" s="50">
        <v>4.6399999999999997</v>
      </c>
    </row>
    <row r="23" spans="1:17" customFormat="1">
      <c r="A23" s="49">
        <v>45543.625</v>
      </c>
      <c r="B23" s="50">
        <v>9.31</v>
      </c>
      <c r="C23" s="50">
        <v>4.1100000000000003</v>
      </c>
      <c r="D23" s="50">
        <v>14.05</v>
      </c>
      <c r="E23" s="50">
        <v>16.329999999999998</v>
      </c>
      <c r="F23" s="50">
        <v>15.45</v>
      </c>
      <c r="G23" s="50">
        <v>94.15</v>
      </c>
      <c r="H23" s="50">
        <v>43.21</v>
      </c>
      <c r="I23" s="50">
        <v>5.49</v>
      </c>
      <c r="J23" s="50">
        <v>0.64</v>
      </c>
      <c r="K23" s="50">
        <v>51.09</v>
      </c>
      <c r="L23" s="50">
        <v>32.880000000000003</v>
      </c>
      <c r="M23" s="50">
        <v>68.73</v>
      </c>
      <c r="N23" s="50">
        <v>174</v>
      </c>
      <c r="O23" s="50">
        <v>0</v>
      </c>
      <c r="P23" s="50">
        <v>0.57999999999999996</v>
      </c>
      <c r="Q23" s="50">
        <v>4.6399999999999997</v>
      </c>
    </row>
    <row r="24" spans="1:17" customFormat="1">
      <c r="A24" s="49">
        <v>45543.666666666664</v>
      </c>
      <c r="B24" s="50">
        <v>9.31</v>
      </c>
      <c r="C24" s="50">
        <v>4.09</v>
      </c>
      <c r="D24" s="50">
        <v>14.04</v>
      </c>
      <c r="E24" s="50">
        <v>14.79</v>
      </c>
      <c r="F24" s="50">
        <v>19.53</v>
      </c>
      <c r="G24" s="50">
        <v>87.21</v>
      </c>
      <c r="H24" s="50">
        <v>39.94</v>
      </c>
      <c r="I24" s="50">
        <v>5.25</v>
      </c>
      <c r="J24" s="50">
        <v>0.46</v>
      </c>
      <c r="K24" s="50">
        <v>357.85</v>
      </c>
      <c r="L24" s="50">
        <v>32.729999999999997</v>
      </c>
      <c r="M24" s="50">
        <v>68.36</v>
      </c>
      <c r="N24" s="50">
        <v>202.7</v>
      </c>
      <c r="O24" s="50">
        <v>0</v>
      </c>
      <c r="P24" s="50">
        <v>0.56999999999999995</v>
      </c>
      <c r="Q24" s="50">
        <v>4.6500000000000004</v>
      </c>
    </row>
    <row r="25" spans="1:17" customFormat="1">
      <c r="A25" s="49">
        <v>45543.708333333336</v>
      </c>
      <c r="B25" s="50">
        <v>9.34</v>
      </c>
      <c r="C25" s="50">
        <v>4.09</v>
      </c>
      <c r="D25" s="50">
        <v>14.07</v>
      </c>
      <c r="E25" s="50">
        <v>13.25</v>
      </c>
      <c r="F25" s="50">
        <v>8.07</v>
      </c>
      <c r="G25" s="50">
        <v>76.95</v>
      </c>
      <c r="H25" s="50">
        <v>30.18</v>
      </c>
      <c r="I25" s="50">
        <v>5.04</v>
      </c>
      <c r="J25" s="50">
        <v>1.63</v>
      </c>
      <c r="K25" s="50">
        <v>305.45999999999998</v>
      </c>
      <c r="L25" s="50">
        <v>31.02</v>
      </c>
      <c r="M25" s="50">
        <v>99.67</v>
      </c>
      <c r="N25" s="50">
        <v>42.5</v>
      </c>
      <c r="O25" s="50">
        <v>18.8</v>
      </c>
      <c r="P25" s="50">
        <v>0.54</v>
      </c>
      <c r="Q25" s="50">
        <v>4.62</v>
      </c>
    </row>
    <row r="26" spans="1:17" customFormat="1">
      <c r="A26" s="49">
        <v>45543.75</v>
      </c>
      <c r="B26" s="50">
        <v>9.27</v>
      </c>
      <c r="C26" s="50">
        <v>4.1100000000000003</v>
      </c>
      <c r="D26" s="50">
        <v>14</v>
      </c>
      <c r="E26" s="50">
        <v>9.8800000000000008</v>
      </c>
      <c r="F26" s="50">
        <v>4.8099999999999996</v>
      </c>
      <c r="G26" s="50">
        <v>62.67</v>
      </c>
      <c r="H26" s="50">
        <v>29.76</v>
      </c>
      <c r="I26" s="50">
        <v>5.0599999999999996</v>
      </c>
      <c r="J26" s="50">
        <v>0.67</v>
      </c>
      <c r="K26" s="50">
        <v>277.83999999999997</v>
      </c>
      <c r="L26" s="50">
        <v>25.18</v>
      </c>
      <c r="M26" s="50">
        <v>100.82</v>
      </c>
      <c r="N26" s="50">
        <v>5.2</v>
      </c>
      <c r="O26" s="50">
        <v>0</v>
      </c>
      <c r="P26" s="50">
        <v>0.53</v>
      </c>
      <c r="Q26" s="50">
        <v>4.63</v>
      </c>
    </row>
    <row r="27" spans="1:17" customFormat="1">
      <c r="A27" s="49">
        <v>45543.791666666664</v>
      </c>
      <c r="B27" s="50">
        <v>9.36</v>
      </c>
      <c r="C27" s="50">
        <v>4.0999999999999996</v>
      </c>
      <c r="D27" s="50">
        <v>14.09</v>
      </c>
      <c r="E27" s="50">
        <v>8.51</v>
      </c>
      <c r="F27" s="50">
        <v>5.2</v>
      </c>
      <c r="G27" s="50">
        <v>54.56</v>
      </c>
      <c r="H27" s="50">
        <v>23.03</v>
      </c>
      <c r="I27" s="50">
        <v>5.08</v>
      </c>
      <c r="J27" s="50">
        <v>0.27</v>
      </c>
      <c r="K27" s="50">
        <v>256.74</v>
      </c>
      <c r="L27" s="50">
        <v>25.76</v>
      </c>
      <c r="M27" s="50">
        <v>100.73</v>
      </c>
      <c r="N27" s="50">
        <v>2.4</v>
      </c>
      <c r="O27" s="50">
        <v>0.2</v>
      </c>
      <c r="P27" s="50">
        <v>0.51</v>
      </c>
      <c r="Q27" s="50">
        <v>4.6399999999999997</v>
      </c>
    </row>
    <row r="28" spans="1:17" customFormat="1">
      <c r="A28" s="49">
        <v>45543.833333333336</v>
      </c>
      <c r="B28" s="50">
        <v>9.3800000000000008</v>
      </c>
      <c r="C28" s="50">
        <v>4.08</v>
      </c>
      <c r="D28" s="50">
        <v>14.09</v>
      </c>
      <c r="E28" s="50">
        <v>9.3800000000000008</v>
      </c>
      <c r="F28" s="50">
        <v>7.19</v>
      </c>
      <c r="G28" s="50">
        <v>59.98</v>
      </c>
      <c r="H28" s="50">
        <v>22.47</v>
      </c>
      <c r="I28" s="50">
        <v>6.03</v>
      </c>
      <c r="J28" s="50">
        <v>0.22</v>
      </c>
      <c r="K28" s="50">
        <v>147.24</v>
      </c>
      <c r="L28" s="50">
        <v>25.74</v>
      </c>
      <c r="M28" s="50">
        <v>100.62</v>
      </c>
      <c r="N28" s="50">
        <v>2.7</v>
      </c>
      <c r="O28" s="50">
        <v>0.2</v>
      </c>
      <c r="P28" s="50">
        <v>0.53</v>
      </c>
      <c r="Q28" s="50">
        <v>4.6500000000000004</v>
      </c>
    </row>
    <row r="29" spans="1:17" customFormat="1">
      <c r="A29" s="49">
        <v>45543.875</v>
      </c>
      <c r="B29" s="50">
        <v>9.3800000000000008</v>
      </c>
      <c r="C29" s="50">
        <v>4.07</v>
      </c>
      <c r="D29" s="50">
        <v>14.1</v>
      </c>
      <c r="E29" s="50">
        <v>10.34</v>
      </c>
      <c r="F29" s="50">
        <v>5.32</v>
      </c>
      <c r="G29" s="50">
        <v>62.07</v>
      </c>
      <c r="H29" s="50">
        <v>19.489999999999998</v>
      </c>
      <c r="I29" s="50">
        <v>5.67</v>
      </c>
      <c r="J29" s="50">
        <v>0.33</v>
      </c>
      <c r="K29" s="50">
        <v>283.57</v>
      </c>
      <c r="L29" s="50">
        <v>25.99</v>
      </c>
      <c r="M29" s="50">
        <v>100.5</v>
      </c>
      <c r="N29" s="50">
        <v>2.4</v>
      </c>
      <c r="O29" s="50">
        <v>0.2</v>
      </c>
      <c r="P29" s="50">
        <v>0.54</v>
      </c>
      <c r="Q29" s="50">
        <v>4.6399999999999997</v>
      </c>
    </row>
    <row r="30" spans="1:17" customFormat="1">
      <c r="A30" s="49">
        <v>45543.916666666664</v>
      </c>
      <c r="B30" s="50">
        <v>9.36</v>
      </c>
      <c r="C30" s="50">
        <v>4.09</v>
      </c>
      <c r="D30" s="50">
        <v>14.08</v>
      </c>
      <c r="E30" s="50">
        <v>10.93</v>
      </c>
      <c r="F30" s="50">
        <v>2.67</v>
      </c>
      <c r="G30" s="50">
        <v>66.59</v>
      </c>
      <c r="H30" s="50">
        <v>21.11</v>
      </c>
      <c r="I30" s="50">
        <v>6.18</v>
      </c>
      <c r="J30" s="50">
        <v>0.19</v>
      </c>
      <c r="K30" s="50">
        <v>281.26</v>
      </c>
      <c r="L30" s="50">
        <v>26.24</v>
      </c>
      <c r="M30" s="50">
        <v>100.92</v>
      </c>
      <c r="N30" s="50">
        <v>2.6</v>
      </c>
      <c r="O30" s="50">
        <v>0</v>
      </c>
      <c r="P30" s="50">
        <v>0.6</v>
      </c>
      <c r="Q30" s="50">
        <v>4.6399999999999997</v>
      </c>
    </row>
    <row r="31" spans="1:17" customFormat="1">
      <c r="A31" s="49">
        <v>45543.958333333336</v>
      </c>
      <c r="B31" s="50">
        <v>9.33</v>
      </c>
      <c r="C31" s="50">
        <v>4.1100000000000003</v>
      </c>
      <c r="D31" s="50">
        <v>14.06</v>
      </c>
      <c r="E31" s="50">
        <v>11.33</v>
      </c>
      <c r="F31" s="50">
        <v>3.64</v>
      </c>
      <c r="G31" s="50">
        <v>78.599999999999994</v>
      </c>
      <c r="H31" s="50">
        <v>25.08</v>
      </c>
      <c r="I31" s="50">
        <v>6.14</v>
      </c>
      <c r="J31" s="50">
        <v>0.22</v>
      </c>
      <c r="K31" s="50">
        <v>294.13</v>
      </c>
      <c r="L31" s="50">
        <v>26.32</v>
      </c>
      <c r="M31" s="50">
        <v>100.98</v>
      </c>
      <c r="N31" s="50">
        <v>2.9</v>
      </c>
      <c r="O31" s="50">
        <v>0</v>
      </c>
      <c r="P31" s="50">
        <v>0.59</v>
      </c>
      <c r="Q31" s="50">
        <v>4.6399999999999997</v>
      </c>
    </row>
    <row r="32" spans="1:17" customFormat="1">
      <c r="A32" s="49">
        <v>45544</v>
      </c>
      <c r="B32" s="50">
        <v>9.3000000000000007</v>
      </c>
      <c r="C32" s="50">
        <v>4.12</v>
      </c>
      <c r="D32" s="50">
        <v>14.06</v>
      </c>
      <c r="E32" s="50">
        <v>11.47</v>
      </c>
      <c r="F32" s="50">
        <v>2.96</v>
      </c>
      <c r="G32" s="50">
        <v>93.95</v>
      </c>
      <c r="H32" s="50">
        <v>29.62</v>
      </c>
      <c r="I32" s="50">
        <v>5.88</v>
      </c>
      <c r="J32" s="50">
        <v>0.32</v>
      </c>
      <c r="K32" s="50">
        <v>329.83</v>
      </c>
      <c r="L32" s="50">
        <v>26.61</v>
      </c>
      <c r="M32" s="50">
        <v>99.65</v>
      </c>
      <c r="N32" s="50">
        <v>2.8</v>
      </c>
      <c r="O32" s="50">
        <v>0</v>
      </c>
      <c r="P32" s="50">
        <v>0.56000000000000005</v>
      </c>
      <c r="Q32" s="50">
        <v>4.63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9.25</v>
      </c>
      <c r="C34" s="40">
        <f t="shared" si="0"/>
        <v>4.0599999999999996</v>
      </c>
      <c r="D34" s="40">
        <f t="shared" si="0"/>
        <v>14</v>
      </c>
      <c r="E34" s="40">
        <f t="shared" si="0"/>
        <v>5.77</v>
      </c>
      <c r="F34" s="40">
        <f t="shared" si="0"/>
        <v>2.67</v>
      </c>
      <c r="G34" s="40">
        <f t="shared" si="0"/>
        <v>47.92</v>
      </c>
      <c r="H34" s="40">
        <f t="shared" si="0"/>
        <v>19.489999999999998</v>
      </c>
      <c r="I34" s="40">
        <f t="shared" si="0"/>
        <v>5.04</v>
      </c>
      <c r="J34" s="40">
        <f t="shared" si="0"/>
        <v>0.13</v>
      </c>
      <c r="K34" s="40">
        <f t="shared" si="0"/>
        <v>48.65</v>
      </c>
      <c r="L34" s="40">
        <f t="shared" si="0"/>
        <v>25.18</v>
      </c>
      <c r="M34" s="40">
        <f t="shared" si="0"/>
        <v>67.790000000000006</v>
      </c>
      <c r="N34" s="40">
        <f t="shared" si="0"/>
        <v>2.2000000000000002</v>
      </c>
      <c r="O34" s="40">
        <f t="shared" si="0"/>
        <v>0</v>
      </c>
      <c r="P34" s="40">
        <f t="shared" si="0"/>
        <v>0.45</v>
      </c>
      <c r="Q34" s="40">
        <f t="shared" si="0"/>
        <v>4.62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9.3800000000000008</v>
      </c>
      <c r="C35" s="33">
        <f t="shared" si="1"/>
        <v>4.13</v>
      </c>
      <c r="D35" s="33">
        <f t="shared" si="1"/>
        <v>14.1</v>
      </c>
      <c r="E35" s="33">
        <f t="shared" si="1"/>
        <v>25.66</v>
      </c>
      <c r="F35" s="33">
        <f t="shared" si="1"/>
        <v>19.53</v>
      </c>
      <c r="G35" s="33">
        <f t="shared" si="1"/>
        <v>131.06</v>
      </c>
      <c r="H35" s="33">
        <f t="shared" si="1"/>
        <v>51.97</v>
      </c>
      <c r="I35" s="33">
        <f t="shared" si="1"/>
        <v>7.78</v>
      </c>
      <c r="J35" s="33">
        <f t="shared" si="1"/>
        <v>1.63</v>
      </c>
      <c r="K35" s="33">
        <f t="shared" si="1"/>
        <v>357.85</v>
      </c>
      <c r="L35" s="33">
        <f t="shared" si="1"/>
        <v>33.21</v>
      </c>
      <c r="M35" s="33">
        <f t="shared" si="1"/>
        <v>100.98</v>
      </c>
      <c r="N35" s="33">
        <f t="shared" si="1"/>
        <v>632</v>
      </c>
      <c r="O35" s="33">
        <f t="shared" si="1"/>
        <v>18.8</v>
      </c>
      <c r="P35" s="33">
        <f t="shared" si="1"/>
        <v>0.75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9.3112500000000029</v>
      </c>
      <c r="C36" s="40">
        <f t="shared" si="2"/>
        <v>4.0916666666666668</v>
      </c>
      <c r="D36" s="40">
        <f t="shared" si="2"/>
        <v>14.042499999999999</v>
      </c>
      <c r="E36" s="40">
        <f t="shared" si="2"/>
        <v>13.4475</v>
      </c>
      <c r="F36" s="40">
        <f t="shared" si="2"/>
        <v>7.6129166666666661</v>
      </c>
      <c r="G36" s="40">
        <f t="shared" si="2"/>
        <v>84.190833333333345</v>
      </c>
      <c r="H36" s="40">
        <f t="shared" si="2"/>
        <v>32.662916666666661</v>
      </c>
      <c r="I36" s="40">
        <f t="shared" si="2"/>
        <v>6.0995833333333325</v>
      </c>
      <c r="J36" s="40">
        <f t="shared" si="2"/>
        <v>0.45500000000000002</v>
      </c>
      <c r="K36" s="40">
        <f t="shared" si="2"/>
        <v>245.22916666666666</v>
      </c>
      <c r="L36" s="40">
        <f t="shared" si="2"/>
        <v>28.55125</v>
      </c>
      <c r="M36" s="40">
        <f t="shared" si="2"/>
        <v>91.702916666666681</v>
      </c>
      <c r="N36" s="40">
        <f t="shared" si="2"/>
        <v>121.70833333333331</v>
      </c>
      <c r="O36" s="40">
        <f t="shared" si="2"/>
        <v>0.80833333333333324</v>
      </c>
      <c r="P36" s="40">
        <f t="shared" si="2"/>
        <v>0.57541666666666658</v>
      </c>
      <c r="Q36" s="40">
        <f t="shared" si="2"/>
        <v>4.6387500000000008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3.566907075738962E-2</v>
      </c>
      <c r="C37" s="40">
        <f t="shared" ref="C37:Q37" si="3">STDEV(C9:C32)</f>
        <v>1.9261736493723106E-2</v>
      </c>
      <c r="D37" s="40">
        <f t="shared" si="3"/>
        <v>3.0538642662243213E-2</v>
      </c>
      <c r="E37" s="40">
        <f t="shared" si="3"/>
        <v>5.321970254642955</v>
      </c>
      <c r="F37" s="40">
        <f t="shared" si="3"/>
        <v>4.7555756558844271</v>
      </c>
      <c r="G37" s="40">
        <f t="shared" si="3"/>
        <v>25.925741600506459</v>
      </c>
      <c r="H37" s="40">
        <f t="shared" si="3"/>
        <v>10.376279168568008</v>
      </c>
      <c r="I37" s="40">
        <f t="shared" si="3"/>
        <v>0.85075147940521145</v>
      </c>
      <c r="J37" s="40">
        <f t="shared" si="3"/>
        <v>0.32856737777681227</v>
      </c>
      <c r="K37" s="40">
        <f t="shared" si="3"/>
        <v>100.45102483588565</v>
      </c>
      <c r="L37" s="40">
        <f t="shared" si="3"/>
        <v>2.747169788678177</v>
      </c>
      <c r="M37" s="40">
        <f t="shared" si="3"/>
        <v>12.85293046577199</v>
      </c>
      <c r="N37" s="40">
        <f t="shared" si="3"/>
        <v>180.09420703009053</v>
      </c>
      <c r="O37" s="40">
        <f t="shared" si="3"/>
        <v>3.8328008451836606</v>
      </c>
      <c r="P37" s="40">
        <f t="shared" si="3"/>
        <v>9.1317847518228218E-2</v>
      </c>
      <c r="Q37" s="40">
        <f t="shared" si="3"/>
        <v>8.9987921894867096E-3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45544.041666666664</v>
      </c>
      <c r="B9" s="50">
        <v>9.26</v>
      </c>
      <c r="C9" s="50">
        <v>4.1100000000000003</v>
      </c>
      <c r="D9" s="50">
        <v>14.01</v>
      </c>
      <c r="E9" s="50">
        <v>11.5</v>
      </c>
      <c r="F9" s="50">
        <v>2.78</v>
      </c>
      <c r="G9" s="50">
        <v>91.77</v>
      </c>
      <c r="H9" s="50">
        <v>28.27</v>
      </c>
      <c r="I9" s="50">
        <v>5.69</v>
      </c>
      <c r="J9" s="50">
        <v>0.39</v>
      </c>
      <c r="K9" s="50">
        <v>64.92</v>
      </c>
      <c r="L9" s="50">
        <v>26.68</v>
      </c>
      <c r="M9" s="50">
        <v>98.71</v>
      </c>
      <c r="N9" s="50">
        <v>2.8</v>
      </c>
      <c r="O9" s="50">
        <v>0</v>
      </c>
      <c r="P9" s="50">
        <v>0.56000000000000005</v>
      </c>
      <c r="Q9" s="50">
        <v>4.6500000000000004</v>
      </c>
    </row>
    <row r="10" spans="1:21" customFormat="1">
      <c r="A10" s="49">
        <v>45544.083333333336</v>
      </c>
      <c r="B10" s="50">
        <v>9.24</v>
      </c>
      <c r="C10" s="50">
        <v>4.1399999999999997</v>
      </c>
      <c r="D10" s="50">
        <v>14</v>
      </c>
      <c r="E10" s="50">
        <v>14.45</v>
      </c>
      <c r="F10" s="50">
        <v>5.01</v>
      </c>
      <c r="G10" s="50">
        <v>87.68</v>
      </c>
      <c r="H10" s="50">
        <v>32.82</v>
      </c>
      <c r="I10" s="50">
        <v>5.59</v>
      </c>
      <c r="J10" s="50">
        <v>0.59</v>
      </c>
      <c r="K10" s="50">
        <v>61.49</v>
      </c>
      <c r="L10" s="50">
        <v>26.61</v>
      </c>
      <c r="M10" s="50">
        <v>98.19</v>
      </c>
      <c r="N10" s="50">
        <v>2.9</v>
      </c>
      <c r="O10" s="50">
        <v>0</v>
      </c>
      <c r="P10" s="50">
        <v>0.56000000000000005</v>
      </c>
      <c r="Q10" s="50">
        <v>4.6399999999999997</v>
      </c>
    </row>
    <row r="11" spans="1:21" customFormat="1">
      <c r="A11" s="49">
        <v>45544.125</v>
      </c>
      <c r="B11" s="50">
        <v>9.26</v>
      </c>
      <c r="C11" s="50">
        <v>4.09</v>
      </c>
      <c r="D11" s="50">
        <v>14.01</v>
      </c>
      <c r="E11" s="50">
        <v>15.74</v>
      </c>
      <c r="F11" s="50">
        <v>4.3899999999999997</v>
      </c>
      <c r="G11" s="50">
        <v>94.66</v>
      </c>
      <c r="H11" s="50">
        <v>30.74</v>
      </c>
      <c r="I11" s="50">
        <v>5.76</v>
      </c>
      <c r="J11" s="50">
        <v>0.51</v>
      </c>
      <c r="K11" s="50">
        <v>60.35</v>
      </c>
      <c r="L11" s="50">
        <v>26.49</v>
      </c>
      <c r="M11" s="50">
        <v>97.44</v>
      </c>
      <c r="N11" s="50">
        <v>2.4</v>
      </c>
      <c r="O11" s="50">
        <v>0</v>
      </c>
      <c r="P11" s="50">
        <v>0.66</v>
      </c>
      <c r="Q11" s="50">
        <v>4.66</v>
      </c>
    </row>
    <row r="12" spans="1:21" customFormat="1">
      <c r="A12" s="49">
        <v>45544.166666666664</v>
      </c>
      <c r="B12" s="50">
        <v>9.27</v>
      </c>
      <c r="C12" s="50">
        <v>4.09</v>
      </c>
      <c r="D12" s="50">
        <v>14.01</v>
      </c>
      <c r="E12" s="50">
        <v>14.59</v>
      </c>
      <c r="F12" s="50">
        <v>6.84</v>
      </c>
      <c r="G12" s="50">
        <v>106.35</v>
      </c>
      <c r="H12" s="50">
        <v>31.23</v>
      </c>
      <c r="I12" s="50">
        <v>5.57</v>
      </c>
      <c r="J12" s="50">
        <v>0.4</v>
      </c>
      <c r="K12" s="50">
        <v>60.04</v>
      </c>
      <c r="L12" s="50">
        <v>26.57</v>
      </c>
      <c r="M12" s="50">
        <v>99.12</v>
      </c>
      <c r="N12" s="50">
        <v>2.4</v>
      </c>
      <c r="O12" s="50">
        <v>0.2</v>
      </c>
      <c r="P12" s="50">
        <v>0.51</v>
      </c>
      <c r="Q12" s="50">
        <v>4.6500000000000004</v>
      </c>
    </row>
    <row r="13" spans="1:21" customFormat="1">
      <c r="A13" s="49">
        <v>45544.208333333336</v>
      </c>
      <c r="B13" s="50">
        <v>9.27</v>
      </c>
      <c r="C13" s="50">
        <v>4.1100000000000003</v>
      </c>
      <c r="D13" s="50">
        <v>14.01</v>
      </c>
      <c r="E13" s="50">
        <v>9.7100000000000009</v>
      </c>
      <c r="F13" s="50">
        <v>8.26</v>
      </c>
      <c r="G13" s="50">
        <v>73.67</v>
      </c>
      <c r="H13" s="50">
        <v>27.96</v>
      </c>
      <c r="I13" s="50">
        <v>4.51</v>
      </c>
      <c r="J13" s="50">
        <v>0.62</v>
      </c>
      <c r="K13" s="50">
        <v>56.35</v>
      </c>
      <c r="L13" s="50">
        <v>26.55</v>
      </c>
      <c r="M13" s="50">
        <v>99.26</v>
      </c>
      <c r="N13" s="50">
        <v>2.4</v>
      </c>
      <c r="O13" s="50">
        <v>0</v>
      </c>
      <c r="P13" s="50">
        <v>0.42</v>
      </c>
      <c r="Q13" s="50">
        <v>4.6399999999999997</v>
      </c>
    </row>
    <row r="14" spans="1:21" customFormat="1">
      <c r="A14" s="49">
        <v>45544.25</v>
      </c>
      <c r="B14" s="50">
        <v>9.26</v>
      </c>
      <c r="C14" s="50">
        <v>4.08</v>
      </c>
      <c r="D14" s="50">
        <v>14.01</v>
      </c>
      <c r="E14" s="50">
        <v>9.93</v>
      </c>
      <c r="F14" s="50">
        <v>7.38</v>
      </c>
      <c r="G14" s="50">
        <v>79.010000000000005</v>
      </c>
      <c r="H14" s="50">
        <v>25.4</v>
      </c>
      <c r="I14" s="50">
        <v>4.5</v>
      </c>
      <c r="J14" s="50">
        <v>0.68</v>
      </c>
      <c r="K14" s="50">
        <v>55.62</v>
      </c>
      <c r="L14" s="50">
        <v>26.54</v>
      </c>
      <c r="M14" s="50">
        <v>97.77</v>
      </c>
      <c r="N14" s="50">
        <v>9.1999999999999993</v>
      </c>
      <c r="O14" s="50">
        <v>0</v>
      </c>
      <c r="P14" s="50">
        <v>0.44</v>
      </c>
      <c r="Q14" s="50">
        <v>4.6500000000000004</v>
      </c>
    </row>
    <row r="15" spans="1:21" customFormat="1">
      <c r="A15" s="49">
        <v>45544.291666666664</v>
      </c>
      <c r="B15" s="50">
        <v>9.27</v>
      </c>
      <c r="C15" s="50">
        <v>4.07</v>
      </c>
      <c r="D15" s="50">
        <v>14.01</v>
      </c>
      <c r="E15" s="50">
        <v>10.98</v>
      </c>
      <c r="F15" s="50">
        <v>5.96</v>
      </c>
      <c r="G15" s="50">
        <v>76.2</v>
      </c>
      <c r="H15" s="50">
        <v>24.91</v>
      </c>
      <c r="I15" s="50">
        <v>4.6100000000000003</v>
      </c>
      <c r="J15" s="50">
        <v>0.76</v>
      </c>
      <c r="K15" s="50">
        <v>58.27</v>
      </c>
      <c r="L15" s="50">
        <v>26.81</v>
      </c>
      <c r="M15" s="50">
        <v>97.2</v>
      </c>
      <c r="N15" s="50">
        <v>28</v>
      </c>
      <c r="O15" s="50">
        <v>0</v>
      </c>
      <c r="P15" s="50">
        <v>0.47</v>
      </c>
      <c r="Q15" s="50">
        <v>4.6500000000000004</v>
      </c>
    </row>
    <row r="16" spans="1:21" customFormat="1">
      <c r="A16" s="49">
        <v>45544.333333333336</v>
      </c>
      <c r="B16" s="50">
        <v>9.27</v>
      </c>
      <c r="C16" s="50">
        <v>4.12</v>
      </c>
      <c r="D16" s="50">
        <v>14.02</v>
      </c>
      <c r="E16" s="50">
        <v>11.03</v>
      </c>
      <c r="F16" s="50">
        <v>5.44</v>
      </c>
      <c r="G16" s="50">
        <v>79.42</v>
      </c>
      <c r="H16" s="50">
        <v>25.84</v>
      </c>
      <c r="I16" s="50">
        <v>4.5999999999999996</v>
      </c>
      <c r="J16" s="50">
        <v>0.8</v>
      </c>
      <c r="K16" s="50">
        <v>54.59</v>
      </c>
      <c r="L16" s="50">
        <v>27.96</v>
      </c>
      <c r="M16" s="50">
        <v>93.43</v>
      </c>
      <c r="N16" s="50">
        <v>156.4</v>
      </c>
      <c r="O16" s="50">
        <v>0</v>
      </c>
      <c r="P16" s="50">
        <v>0.49</v>
      </c>
      <c r="Q16" s="50">
        <v>4.6399999999999997</v>
      </c>
    </row>
    <row r="17" spans="1:17" customFormat="1">
      <c r="A17" s="49">
        <v>45544.375</v>
      </c>
      <c r="B17" s="50">
        <v>9.2799999999999994</v>
      </c>
      <c r="C17" s="50">
        <v>4.08</v>
      </c>
      <c r="D17" s="50">
        <v>14.02</v>
      </c>
      <c r="E17" s="50">
        <v>11.24</v>
      </c>
      <c r="F17" s="50">
        <v>6.75</v>
      </c>
      <c r="G17" s="50">
        <v>84.28</v>
      </c>
      <c r="H17" s="50">
        <v>25.46</v>
      </c>
      <c r="I17" s="50">
        <v>4.67</v>
      </c>
      <c r="J17" s="50">
        <v>0.87</v>
      </c>
      <c r="K17" s="50">
        <v>54.92</v>
      </c>
      <c r="L17" s="50">
        <v>28.83</v>
      </c>
      <c r="M17" s="50">
        <v>85.92</v>
      </c>
      <c r="N17" s="50">
        <v>240.6</v>
      </c>
      <c r="O17" s="50">
        <v>0</v>
      </c>
      <c r="P17" s="50">
        <v>0.51</v>
      </c>
      <c r="Q17" s="50">
        <v>4.6500000000000004</v>
      </c>
    </row>
    <row r="18" spans="1:17" customFormat="1">
      <c r="A18" s="49">
        <v>45544.416666666664</v>
      </c>
      <c r="B18" s="50">
        <v>9.2899999999999991</v>
      </c>
      <c r="C18" s="50">
        <v>4.0599999999999996</v>
      </c>
      <c r="D18" s="50">
        <v>14.02</v>
      </c>
      <c r="E18" s="50">
        <v>12.01</v>
      </c>
      <c r="F18" s="50">
        <v>8.48</v>
      </c>
      <c r="G18" s="50">
        <v>86.69</v>
      </c>
      <c r="H18" s="50">
        <v>21.98</v>
      </c>
      <c r="I18" s="50">
        <v>5.1100000000000003</v>
      </c>
      <c r="J18" s="50">
        <v>0.89</v>
      </c>
      <c r="K18" s="50">
        <v>49.47</v>
      </c>
      <c r="L18" s="50">
        <v>30.03</v>
      </c>
      <c r="M18" s="50">
        <v>81.17</v>
      </c>
      <c r="N18" s="50">
        <v>412.8</v>
      </c>
      <c r="O18" s="50">
        <v>0</v>
      </c>
      <c r="P18" s="50">
        <v>0.53</v>
      </c>
      <c r="Q18" s="50">
        <v>4.6399999999999997</v>
      </c>
    </row>
    <row r="19" spans="1:17" customFormat="1">
      <c r="A19" s="49">
        <v>45544.458333333336</v>
      </c>
      <c r="B19" s="50">
        <v>9.2899999999999991</v>
      </c>
      <c r="C19" s="50">
        <v>4.09</v>
      </c>
      <c r="D19" s="50">
        <v>14.02</v>
      </c>
      <c r="E19" s="50">
        <v>15.29</v>
      </c>
      <c r="F19" s="50">
        <v>10.15</v>
      </c>
      <c r="G19" s="50">
        <v>84.27</v>
      </c>
      <c r="H19" s="50">
        <v>26.63</v>
      </c>
      <c r="I19" s="50">
        <v>5.21</v>
      </c>
      <c r="J19" s="50">
        <v>0.79</v>
      </c>
      <c r="K19" s="50">
        <v>48.94</v>
      </c>
      <c r="L19" s="50">
        <v>30.68</v>
      </c>
      <c r="M19" s="50">
        <v>78.36</v>
      </c>
      <c r="N19" s="50">
        <v>273.3</v>
      </c>
      <c r="O19" s="50">
        <v>0</v>
      </c>
      <c r="P19" s="50">
        <v>0.53</v>
      </c>
      <c r="Q19" s="50">
        <v>4.6500000000000004</v>
      </c>
    </row>
    <row r="20" spans="1:17" customFormat="1">
      <c r="A20" s="49">
        <v>45544.5</v>
      </c>
      <c r="B20" s="50">
        <v>9.2899999999999991</v>
      </c>
      <c r="C20" s="50">
        <v>4.07</v>
      </c>
      <c r="D20" s="50">
        <v>14.03</v>
      </c>
      <c r="E20" s="50">
        <v>15.92</v>
      </c>
      <c r="F20" s="50">
        <v>12.34</v>
      </c>
      <c r="G20" s="50">
        <v>80.400000000000006</v>
      </c>
      <c r="H20" s="50">
        <v>25.37</v>
      </c>
      <c r="I20" s="50">
        <v>5.24</v>
      </c>
      <c r="J20" s="50">
        <v>1.0900000000000001</v>
      </c>
      <c r="K20" s="50">
        <v>51.76</v>
      </c>
      <c r="L20" s="50">
        <v>30.66</v>
      </c>
      <c r="M20" s="50">
        <v>76.87</v>
      </c>
      <c r="N20" s="50">
        <v>354.2</v>
      </c>
      <c r="O20" s="50">
        <v>0</v>
      </c>
      <c r="P20" s="50">
        <v>0.55000000000000004</v>
      </c>
      <c r="Q20" s="50">
        <v>4.62</v>
      </c>
    </row>
    <row r="21" spans="1:17" customFormat="1">
      <c r="A21" s="49">
        <v>45544.541666666664</v>
      </c>
      <c r="B21" s="50">
        <v>9.35</v>
      </c>
      <c r="C21" s="50">
        <v>4.0599999999999996</v>
      </c>
      <c r="D21" s="50">
        <v>14.06</v>
      </c>
      <c r="E21" s="50">
        <v>16.04</v>
      </c>
      <c r="F21" s="50">
        <v>12.18</v>
      </c>
      <c r="G21" s="50">
        <v>75.39</v>
      </c>
      <c r="H21" s="50">
        <v>23.5</v>
      </c>
      <c r="I21" s="50">
        <v>5.29</v>
      </c>
      <c r="J21" s="50">
        <v>0.89</v>
      </c>
      <c r="K21" s="50">
        <v>53.79</v>
      </c>
      <c r="L21" s="50">
        <v>31.55</v>
      </c>
      <c r="M21" s="50">
        <v>73.81</v>
      </c>
      <c r="N21" s="50">
        <v>455.4</v>
      </c>
      <c r="O21" s="50">
        <v>0</v>
      </c>
      <c r="P21" s="50">
        <v>0.53</v>
      </c>
      <c r="Q21" s="50">
        <v>4.63</v>
      </c>
    </row>
    <row r="22" spans="1:17" customFormat="1">
      <c r="A22" s="49">
        <v>45544.583333333336</v>
      </c>
      <c r="B22" s="50">
        <v>9.32</v>
      </c>
      <c r="C22" s="50">
        <v>4.09</v>
      </c>
      <c r="D22" s="50">
        <v>14.05</v>
      </c>
      <c r="E22" s="50">
        <v>13.65</v>
      </c>
      <c r="F22" s="50">
        <v>14.31</v>
      </c>
      <c r="G22" s="50">
        <v>83.03</v>
      </c>
      <c r="H22" s="50">
        <v>25.68</v>
      </c>
      <c r="I22" s="50">
        <v>5.32</v>
      </c>
      <c r="J22" s="50">
        <v>0.87</v>
      </c>
      <c r="K22" s="50">
        <v>53.35</v>
      </c>
      <c r="L22" s="50">
        <v>31.55</v>
      </c>
      <c r="M22" s="50">
        <v>73.08</v>
      </c>
      <c r="N22" s="50">
        <v>200.3</v>
      </c>
      <c r="O22" s="50">
        <v>0</v>
      </c>
      <c r="P22" s="50">
        <v>0.52</v>
      </c>
      <c r="Q22" s="50">
        <v>4.63</v>
      </c>
    </row>
    <row r="23" spans="1:17" customFormat="1">
      <c r="A23" s="49">
        <v>45544.625</v>
      </c>
      <c r="B23" s="50">
        <v>9.2799999999999994</v>
      </c>
      <c r="C23" s="50">
        <v>4.1100000000000003</v>
      </c>
      <c r="D23" s="50">
        <v>14.03</v>
      </c>
      <c r="E23" s="50">
        <v>11.38</v>
      </c>
      <c r="F23" s="50">
        <v>13.19</v>
      </c>
      <c r="G23" s="50">
        <v>74.34</v>
      </c>
      <c r="H23" s="50">
        <v>23.66</v>
      </c>
      <c r="I23" s="50">
        <v>5.28</v>
      </c>
      <c r="J23" s="50">
        <v>1.1200000000000001</v>
      </c>
      <c r="K23" s="50">
        <v>165.1</v>
      </c>
      <c r="L23" s="50">
        <v>31.98</v>
      </c>
      <c r="M23" s="50">
        <v>93.51</v>
      </c>
      <c r="N23" s="50">
        <v>207.4</v>
      </c>
      <c r="O23" s="50">
        <v>1.6</v>
      </c>
      <c r="P23" s="50">
        <v>0.52</v>
      </c>
      <c r="Q23" s="50">
        <v>4.63</v>
      </c>
    </row>
    <row r="24" spans="1:17" customFormat="1">
      <c r="A24" s="49">
        <v>45544.666666666664</v>
      </c>
      <c r="B24" s="50">
        <v>9.36</v>
      </c>
      <c r="C24" s="50">
        <v>4.1100000000000003</v>
      </c>
      <c r="D24" s="50">
        <v>14.08</v>
      </c>
      <c r="E24" s="50">
        <v>10.25</v>
      </c>
      <c r="F24" s="50">
        <v>9.56</v>
      </c>
      <c r="G24" s="50">
        <v>66.45</v>
      </c>
      <c r="H24" s="50">
        <v>17.38</v>
      </c>
      <c r="I24" s="50">
        <v>5.52</v>
      </c>
      <c r="J24" s="50">
        <v>0.28000000000000003</v>
      </c>
      <c r="K24" s="50">
        <v>227.88</v>
      </c>
      <c r="L24" s="50">
        <v>29.58</v>
      </c>
      <c r="M24" s="50">
        <v>95.57</v>
      </c>
      <c r="N24" s="50">
        <v>234.9</v>
      </c>
      <c r="O24" s="50">
        <v>0</v>
      </c>
      <c r="P24" s="50">
        <v>0.48</v>
      </c>
      <c r="Q24" s="50">
        <v>4.6500000000000004</v>
      </c>
    </row>
    <row r="25" spans="1:17" customFormat="1">
      <c r="A25" s="49">
        <v>45544.708333333336</v>
      </c>
      <c r="B25" s="50">
        <v>9.27</v>
      </c>
      <c r="C25" s="50">
        <v>4.12</v>
      </c>
      <c r="D25" s="50">
        <v>14.01</v>
      </c>
      <c r="E25" s="50">
        <v>10.91</v>
      </c>
      <c r="F25" s="50">
        <v>10.63</v>
      </c>
      <c r="G25" s="50">
        <v>56.11</v>
      </c>
      <c r="H25" s="50">
        <v>18.57</v>
      </c>
      <c r="I25" s="50">
        <v>4.7699999999999996</v>
      </c>
      <c r="J25" s="50">
        <v>0.28000000000000003</v>
      </c>
      <c r="K25" s="50">
        <v>188.54</v>
      </c>
      <c r="L25" s="50">
        <v>29.55</v>
      </c>
      <c r="M25" s="50">
        <v>89.64</v>
      </c>
      <c r="N25" s="50">
        <v>80.3</v>
      </c>
      <c r="O25" s="50">
        <v>0</v>
      </c>
      <c r="P25" s="50">
        <v>0.41</v>
      </c>
      <c r="Q25" s="50">
        <v>4.6500000000000004</v>
      </c>
    </row>
    <row r="26" spans="1:17" customFormat="1">
      <c r="A26" s="49">
        <v>45544.75</v>
      </c>
      <c r="B26" s="50">
        <v>9.23</v>
      </c>
      <c r="C26" s="50">
        <v>4.1399999999999997</v>
      </c>
      <c r="D26" s="50">
        <v>14</v>
      </c>
      <c r="E26" s="50">
        <v>11.37</v>
      </c>
      <c r="F26" s="50">
        <v>8.4600000000000009</v>
      </c>
      <c r="G26" s="50">
        <v>46.96</v>
      </c>
      <c r="H26" s="50">
        <v>15.18</v>
      </c>
      <c r="I26" s="50">
        <v>4.37</v>
      </c>
      <c r="J26" s="50">
        <v>0.76</v>
      </c>
      <c r="K26" s="50">
        <v>211.46</v>
      </c>
      <c r="L26" s="50">
        <v>28.81</v>
      </c>
      <c r="M26" s="50">
        <v>93.16</v>
      </c>
      <c r="N26" s="50">
        <v>11.3</v>
      </c>
      <c r="O26" s="50">
        <v>2.2000000000000002</v>
      </c>
      <c r="P26" s="50">
        <v>0.47</v>
      </c>
      <c r="Q26" s="50">
        <v>4.66</v>
      </c>
    </row>
    <row r="27" spans="1:17" customFormat="1">
      <c r="A27" s="49">
        <v>45544.791666666664</v>
      </c>
      <c r="B27" s="50">
        <v>9.25</v>
      </c>
      <c r="C27" s="50">
        <v>4.1500000000000004</v>
      </c>
      <c r="D27" s="50">
        <v>14</v>
      </c>
      <c r="E27" s="50">
        <v>10.34</v>
      </c>
      <c r="F27" s="50">
        <v>2.83</v>
      </c>
      <c r="G27" s="50">
        <v>40.65</v>
      </c>
      <c r="H27" s="50">
        <v>15.09</v>
      </c>
      <c r="I27" s="50">
        <v>4.8</v>
      </c>
      <c r="J27" s="50">
        <v>0.54</v>
      </c>
      <c r="K27" s="50">
        <v>272.47000000000003</v>
      </c>
      <c r="L27" s="50">
        <v>26.05</v>
      </c>
      <c r="M27" s="50">
        <v>98.5</v>
      </c>
      <c r="N27" s="50">
        <v>2.6</v>
      </c>
      <c r="O27" s="50">
        <v>0</v>
      </c>
      <c r="P27" s="50">
        <v>0.47</v>
      </c>
      <c r="Q27" s="50">
        <v>4.6399999999999997</v>
      </c>
    </row>
    <row r="28" spans="1:17" customFormat="1">
      <c r="A28" s="49">
        <v>45544.833333333336</v>
      </c>
      <c r="B28" s="50">
        <v>9.24</v>
      </c>
      <c r="C28" s="50">
        <v>4.12</v>
      </c>
      <c r="D28" s="50">
        <v>14</v>
      </c>
      <c r="E28" s="50">
        <v>10.4</v>
      </c>
      <c r="F28" s="50">
        <v>2.74</v>
      </c>
      <c r="G28" s="50">
        <v>40.299999999999997</v>
      </c>
      <c r="H28" s="50">
        <v>13.65</v>
      </c>
      <c r="I28" s="50">
        <v>4.93</v>
      </c>
      <c r="J28" s="50">
        <v>0.77</v>
      </c>
      <c r="K28" s="50">
        <v>299.49</v>
      </c>
      <c r="L28" s="50">
        <v>26.16</v>
      </c>
      <c r="M28" s="50">
        <v>99.68</v>
      </c>
      <c r="N28" s="50">
        <v>2.7</v>
      </c>
      <c r="O28" s="50">
        <v>3.6</v>
      </c>
      <c r="P28" s="50">
        <v>0.5</v>
      </c>
      <c r="Q28" s="50">
        <v>4.66</v>
      </c>
    </row>
    <row r="29" spans="1:17" customFormat="1">
      <c r="A29" s="49">
        <v>45544.875</v>
      </c>
      <c r="B29" s="50">
        <v>9.23</v>
      </c>
      <c r="C29" s="50">
        <v>4.1500000000000004</v>
      </c>
      <c r="D29" s="50">
        <v>14</v>
      </c>
      <c r="E29" s="50">
        <v>10.18</v>
      </c>
      <c r="F29" s="50">
        <v>3.61</v>
      </c>
      <c r="G29" s="50">
        <v>38.47</v>
      </c>
      <c r="H29" s="50">
        <v>15.3</v>
      </c>
      <c r="I29" s="50">
        <v>5.22</v>
      </c>
      <c r="J29" s="50">
        <v>0.77</v>
      </c>
      <c r="K29" s="50">
        <v>355</v>
      </c>
      <c r="L29" s="50">
        <v>25.69</v>
      </c>
      <c r="M29" s="50">
        <v>100.61</v>
      </c>
      <c r="N29" s="50">
        <v>2.8</v>
      </c>
      <c r="O29" s="50">
        <v>2.4</v>
      </c>
      <c r="P29" s="50">
        <v>0.5</v>
      </c>
      <c r="Q29" s="50">
        <v>4.63</v>
      </c>
    </row>
    <row r="30" spans="1:17" customFormat="1">
      <c r="A30" s="49">
        <v>45544.916666666664</v>
      </c>
      <c r="B30" s="50">
        <v>9.2100000000000009</v>
      </c>
      <c r="C30" s="50">
        <v>4.16</v>
      </c>
      <c r="D30" s="50">
        <v>14</v>
      </c>
      <c r="E30" s="50">
        <v>8.91</v>
      </c>
      <c r="F30" s="50">
        <v>2.84</v>
      </c>
      <c r="G30" s="50">
        <v>37.380000000000003</v>
      </c>
      <c r="H30" s="50">
        <v>12.4</v>
      </c>
      <c r="I30" s="50">
        <v>5.5</v>
      </c>
      <c r="J30" s="50">
        <v>1.06</v>
      </c>
      <c r="K30" s="50">
        <v>274.86</v>
      </c>
      <c r="L30" s="50">
        <v>25.55</v>
      </c>
      <c r="M30" s="50">
        <v>100.41</v>
      </c>
      <c r="N30" s="50">
        <v>2.7</v>
      </c>
      <c r="O30" s="50">
        <v>0.8</v>
      </c>
      <c r="P30" s="50">
        <v>0.53</v>
      </c>
      <c r="Q30" s="50">
        <v>4.6399999999999997</v>
      </c>
    </row>
    <row r="31" spans="1:17" customFormat="1">
      <c r="A31" s="49">
        <v>45544.958333333336</v>
      </c>
      <c r="B31" s="50">
        <v>9.2100000000000009</v>
      </c>
      <c r="C31" s="50">
        <v>4.17</v>
      </c>
      <c r="D31" s="50">
        <v>14</v>
      </c>
      <c r="E31" s="50">
        <v>7.33</v>
      </c>
      <c r="F31" s="50">
        <v>4.96</v>
      </c>
      <c r="G31" s="50">
        <v>27.02</v>
      </c>
      <c r="H31" s="50">
        <v>13.64</v>
      </c>
      <c r="I31" s="50">
        <v>6.69</v>
      </c>
      <c r="J31" s="50">
        <v>0.49</v>
      </c>
      <c r="K31" s="50">
        <v>281.77999999999997</v>
      </c>
      <c r="L31" s="50">
        <v>25.46</v>
      </c>
      <c r="M31" s="50">
        <v>100.19</v>
      </c>
      <c r="N31" s="50">
        <v>2.8</v>
      </c>
      <c r="O31" s="50">
        <v>10.4</v>
      </c>
      <c r="P31" s="50">
        <v>0.49</v>
      </c>
      <c r="Q31" s="50">
        <v>4.63</v>
      </c>
    </row>
    <row r="32" spans="1:17" customFormat="1">
      <c r="A32" s="49">
        <v>45545</v>
      </c>
      <c r="B32" s="50">
        <v>9.25</v>
      </c>
      <c r="C32" s="50">
        <v>4.13</v>
      </c>
      <c r="D32" s="50">
        <v>14</v>
      </c>
      <c r="E32" s="50">
        <v>7.36</v>
      </c>
      <c r="F32" s="50">
        <v>6.47</v>
      </c>
      <c r="G32" s="50">
        <v>23.74</v>
      </c>
      <c r="H32" s="50">
        <v>10.039999999999999</v>
      </c>
      <c r="I32" s="50">
        <v>5.67</v>
      </c>
      <c r="J32" s="50">
        <v>0.38</v>
      </c>
      <c r="K32" s="50">
        <v>269.26</v>
      </c>
      <c r="L32" s="50">
        <v>25.22</v>
      </c>
      <c r="M32" s="50">
        <v>100.23</v>
      </c>
      <c r="N32" s="50">
        <v>2.6</v>
      </c>
      <c r="O32" s="50">
        <v>2.2000000000000002</v>
      </c>
      <c r="P32" s="50">
        <v>0.48</v>
      </c>
      <c r="Q32" s="50">
        <v>4.6399999999999997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9.2100000000000009</v>
      </c>
      <c r="C34" s="40">
        <f t="shared" si="0"/>
        <v>4.0599999999999996</v>
      </c>
      <c r="D34" s="40">
        <f t="shared" si="0"/>
        <v>14</v>
      </c>
      <c r="E34" s="40">
        <f t="shared" si="0"/>
        <v>7.33</v>
      </c>
      <c r="F34" s="40">
        <f t="shared" si="0"/>
        <v>2.74</v>
      </c>
      <c r="G34" s="40">
        <f t="shared" si="0"/>
        <v>23.74</v>
      </c>
      <c r="H34" s="40">
        <f t="shared" si="0"/>
        <v>10.039999999999999</v>
      </c>
      <c r="I34" s="40">
        <f t="shared" si="0"/>
        <v>4.37</v>
      </c>
      <c r="J34" s="40">
        <f t="shared" si="0"/>
        <v>0.28000000000000003</v>
      </c>
      <c r="K34" s="40">
        <f t="shared" si="0"/>
        <v>48.94</v>
      </c>
      <c r="L34" s="40">
        <f t="shared" si="0"/>
        <v>25.22</v>
      </c>
      <c r="M34" s="40">
        <f t="shared" si="0"/>
        <v>73.08</v>
      </c>
      <c r="N34" s="40">
        <f t="shared" si="0"/>
        <v>2.4</v>
      </c>
      <c r="O34" s="40">
        <f t="shared" si="0"/>
        <v>0</v>
      </c>
      <c r="P34" s="40">
        <f t="shared" si="0"/>
        <v>0.41</v>
      </c>
      <c r="Q34" s="40">
        <f t="shared" si="0"/>
        <v>4.62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9.36</v>
      </c>
      <c r="C35" s="33">
        <f t="shared" si="1"/>
        <v>4.17</v>
      </c>
      <c r="D35" s="33">
        <f t="shared" si="1"/>
        <v>14.08</v>
      </c>
      <c r="E35" s="33">
        <f t="shared" si="1"/>
        <v>16.04</v>
      </c>
      <c r="F35" s="33">
        <f t="shared" si="1"/>
        <v>14.31</v>
      </c>
      <c r="G35" s="33">
        <f t="shared" si="1"/>
        <v>106.35</v>
      </c>
      <c r="H35" s="33">
        <f t="shared" si="1"/>
        <v>32.82</v>
      </c>
      <c r="I35" s="33">
        <f t="shared" si="1"/>
        <v>6.69</v>
      </c>
      <c r="J35" s="33">
        <f t="shared" si="1"/>
        <v>1.1200000000000001</v>
      </c>
      <c r="K35" s="33">
        <f t="shared" si="1"/>
        <v>355</v>
      </c>
      <c r="L35" s="33">
        <f t="shared" si="1"/>
        <v>31.98</v>
      </c>
      <c r="M35" s="33">
        <f t="shared" si="1"/>
        <v>100.61</v>
      </c>
      <c r="N35" s="33">
        <f t="shared" si="1"/>
        <v>455.4</v>
      </c>
      <c r="O35" s="33">
        <f t="shared" si="1"/>
        <v>10.4</v>
      </c>
      <c r="P35" s="33">
        <f t="shared" si="1"/>
        <v>0.66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9.2687499999999989</v>
      </c>
      <c r="C36" s="40">
        <f t="shared" si="2"/>
        <v>4.1091666666666669</v>
      </c>
      <c r="D36" s="40">
        <f t="shared" si="2"/>
        <v>14.016666666666667</v>
      </c>
      <c r="E36" s="40">
        <f t="shared" si="2"/>
        <v>11.687916666666668</v>
      </c>
      <c r="F36" s="40">
        <f t="shared" si="2"/>
        <v>7.3150000000000022</v>
      </c>
      <c r="G36" s="40">
        <f t="shared" si="2"/>
        <v>68.093333333333348</v>
      </c>
      <c r="H36" s="40">
        <f t="shared" si="2"/>
        <v>22.112499999999997</v>
      </c>
      <c r="I36" s="40">
        <f t="shared" si="2"/>
        <v>5.184166666666667</v>
      </c>
      <c r="J36" s="40">
        <f t="shared" si="2"/>
        <v>0.69166666666666654</v>
      </c>
      <c r="K36" s="40">
        <f t="shared" si="2"/>
        <v>138.73750000000004</v>
      </c>
      <c r="L36" s="40">
        <f t="shared" si="2"/>
        <v>27.981666666666669</v>
      </c>
      <c r="M36" s="40">
        <f t="shared" si="2"/>
        <v>92.576250000000002</v>
      </c>
      <c r="N36" s="40">
        <f t="shared" si="2"/>
        <v>112.2166666666667</v>
      </c>
      <c r="O36" s="40">
        <f t="shared" si="2"/>
        <v>0.97500000000000009</v>
      </c>
      <c r="P36" s="40">
        <f t="shared" si="2"/>
        <v>0.50541666666666674</v>
      </c>
      <c r="Q36" s="40">
        <f t="shared" si="2"/>
        <v>4.6429166666666664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3.7102970700236181E-2</v>
      </c>
      <c r="C37" s="40">
        <f t="shared" ref="C37:Q37" si="3">STDEV(C9:C32)</f>
        <v>3.1885210782848374E-2</v>
      </c>
      <c r="D37" s="40">
        <f t="shared" si="3"/>
        <v>2.0781820371926461E-2</v>
      </c>
      <c r="E37" s="40">
        <f t="shared" si="3"/>
        <v>2.5407957999613884</v>
      </c>
      <c r="F37" s="40">
        <f t="shared" si="3"/>
        <v>3.4977408858215582</v>
      </c>
      <c r="G37" s="40">
        <f t="shared" si="3"/>
        <v>23.207783302097162</v>
      </c>
      <c r="H37" s="40">
        <f t="shared" si="3"/>
        <v>6.5883449462239678</v>
      </c>
      <c r="I37" s="40">
        <f t="shared" si="3"/>
        <v>0.5345043756006399</v>
      </c>
      <c r="J37" s="40">
        <f t="shared" si="3"/>
        <v>0.24561664485918749</v>
      </c>
      <c r="K37" s="40">
        <f t="shared" si="3"/>
        <v>106.13117889012959</v>
      </c>
      <c r="L37" s="40">
        <f t="shared" si="3"/>
        <v>2.2068877685981936</v>
      </c>
      <c r="M37" s="40">
        <f t="shared" si="3"/>
        <v>9.164321561027565</v>
      </c>
      <c r="N37" s="40">
        <f t="shared" si="3"/>
        <v>148.01667258224268</v>
      </c>
      <c r="O37" s="40">
        <f t="shared" si="3"/>
        <v>2.2552836513011147</v>
      </c>
      <c r="P37" s="40">
        <f t="shared" si="3"/>
        <v>5.1497502401797894E-2</v>
      </c>
      <c r="Q37" s="40">
        <f t="shared" si="3"/>
        <v>1.0826363421183476E-2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45545.041666666664</v>
      </c>
      <c r="B9" s="50">
        <v>9.31</v>
      </c>
      <c r="C9" s="50">
        <v>4.0599999999999996</v>
      </c>
      <c r="D9" s="50">
        <v>14.04</v>
      </c>
      <c r="E9" s="50">
        <v>7.18</v>
      </c>
      <c r="F9" s="50">
        <v>7.63</v>
      </c>
      <c r="G9" s="50">
        <v>17.829999999999998</v>
      </c>
      <c r="H9" s="50">
        <v>7.19</v>
      </c>
      <c r="I9" s="50">
        <v>5.61</v>
      </c>
      <c r="J9" s="50">
        <v>0.37</v>
      </c>
      <c r="K9" s="50">
        <v>332.15</v>
      </c>
      <c r="L9" s="50">
        <v>25.12</v>
      </c>
      <c r="M9" s="50">
        <v>100.18</v>
      </c>
      <c r="N9" s="50">
        <v>2.6</v>
      </c>
      <c r="O9" s="50">
        <v>1</v>
      </c>
      <c r="P9" s="50">
        <v>0.48</v>
      </c>
      <c r="Q9" s="50">
        <v>4.6500000000000004</v>
      </c>
    </row>
    <row r="10" spans="1:21" customFormat="1">
      <c r="A10" s="49">
        <v>45545.083333333336</v>
      </c>
      <c r="B10" s="50">
        <v>9.32</v>
      </c>
      <c r="C10" s="50">
        <v>4.07</v>
      </c>
      <c r="D10" s="50">
        <v>14.04</v>
      </c>
      <c r="E10" s="50">
        <v>8.23</v>
      </c>
      <c r="F10" s="50">
        <v>4.08</v>
      </c>
      <c r="G10" s="50">
        <v>13.52</v>
      </c>
      <c r="H10" s="50">
        <v>5.34</v>
      </c>
      <c r="I10" s="50">
        <v>5.8</v>
      </c>
      <c r="J10" s="50">
        <v>0.22</v>
      </c>
      <c r="K10" s="50">
        <v>316.05</v>
      </c>
      <c r="L10" s="50">
        <v>25.17</v>
      </c>
      <c r="M10" s="50">
        <v>100.15</v>
      </c>
      <c r="N10" s="50">
        <v>2.7</v>
      </c>
      <c r="O10" s="50">
        <v>2</v>
      </c>
      <c r="P10" s="50">
        <v>0.5</v>
      </c>
      <c r="Q10" s="50">
        <v>4.6399999999999997</v>
      </c>
    </row>
    <row r="11" spans="1:21" customFormat="1">
      <c r="A11" s="49">
        <v>45545.125</v>
      </c>
      <c r="B11" s="50">
        <v>9.33</v>
      </c>
      <c r="C11" s="50">
        <v>4.0999999999999996</v>
      </c>
      <c r="D11" s="50">
        <v>14.06</v>
      </c>
      <c r="E11" s="50">
        <v>11.89</v>
      </c>
      <c r="F11" s="50">
        <v>3.55</v>
      </c>
      <c r="G11" s="50">
        <v>14.87</v>
      </c>
      <c r="H11" s="50">
        <v>6.25</v>
      </c>
      <c r="I11" s="50">
        <v>5.77</v>
      </c>
      <c r="J11" s="50">
        <v>0.28999999999999998</v>
      </c>
      <c r="K11" s="50">
        <v>295.69</v>
      </c>
      <c r="L11" s="50">
        <v>25.17</v>
      </c>
      <c r="M11" s="50">
        <v>100.15</v>
      </c>
      <c r="N11" s="50">
        <v>2.6</v>
      </c>
      <c r="O11" s="50">
        <v>1.4</v>
      </c>
      <c r="P11" s="50">
        <v>0.5</v>
      </c>
      <c r="Q11" s="50">
        <v>4.67</v>
      </c>
    </row>
    <row r="12" spans="1:21" customFormat="1">
      <c r="A12" s="49">
        <v>45545.166666666664</v>
      </c>
      <c r="B12" s="50">
        <v>9.36</v>
      </c>
      <c r="C12" s="50">
        <v>4.07</v>
      </c>
      <c r="D12" s="50">
        <v>14.08</v>
      </c>
      <c r="E12" s="50">
        <v>12.24</v>
      </c>
      <c r="F12" s="50">
        <v>3.31</v>
      </c>
      <c r="G12" s="50">
        <v>11.58</v>
      </c>
      <c r="H12" s="50">
        <v>4.45</v>
      </c>
      <c r="I12" s="50">
        <v>5.52</v>
      </c>
      <c r="J12" s="50">
        <v>0.34</v>
      </c>
      <c r="K12" s="50">
        <v>271.13</v>
      </c>
      <c r="L12" s="50">
        <v>25.09</v>
      </c>
      <c r="M12" s="50">
        <v>100.21</v>
      </c>
      <c r="N12" s="50">
        <v>2.4</v>
      </c>
      <c r="O12" s="50">
        <v>1</v>
      </c>
      <c r="P12" s="50">
        <v>0.49</v>
      </c>
      <c r="Q12" s="50">
        <v>4.66</v>
      </c>
    </row>
    <row r="13" spans="1:21" customFormat="1">
      <c r="A13" s="49">
        <v>45545.208333333336</v>
      </c>
      <c r="B13" s="50">
        <v>9.3699999999999992</v>
      </c>
      <c r="C13" s="50">
        <v>4.07</v>
      </c>
      <c r="D13" s="50">
        <v>14.08</v>
      </c>
      <c r="E13" s="50">
        <v>12.91</v>
      </c>
      <c r="F13" s="50">
        <v>2.71</v>
      </c>
      <c r="G13" s="50">
        <v>15.38</v>
      </c>
      <c r="H13" s="50">
        <v>4.67</v>
      </c>
      <c r="I13" s="50">
        <v>5.43</v>
      </c>
      <c r="J13" s="50">
        <v>0.37</v>
      </c>
      <c r="K13" s="50">
        <v>303.3</v>
      </c>
      <c r="L13" s="50">
        <v>25.17</v>
      </c>
      <c r="M13" s="50">
        <v>100.59</v>
      </c>
      <c r="N13" s="50">
        <v>2.5</v>
      </c>
      <c r="O13" s="50">
        <v>1.2</v>
      </c>
      <c r="P13" s="50">
        <v>0.49</v>
      </c>
      <c r="Q13" s="50">
        <v>4.6500000000000004</v>
      </c>
    </row>
    <row r="14" spans="1:21" customFormat="1">
      <c r="A14" s="49">
        <v>45545.25</v>
      </c>
      <c r="B14" s="50">
        <v>9.3699999999999992</v>
      </c>
      <c r="C14" s="50">
        <v>4.09</v>
      </c>
      <c r="D14" s="50">
        <v>14.09</v>
      </c>
      <c r="E14" s="50">
        <v>12.63</v>
      </c>
      <c r="F14" s="50">
        <v>3.21</v>
      </c>
      <c r="G14" s="50">
        <v>18.14</v>
      </c>
      <c r="H14" s="50">
        <v>6.3</v>
      </c>
      <c r="I14" s="50">
        <v>5.34</v>
      </c>
      <c r="J14" s="50">
        <v>0.37</v>
      </c>
      <c r="K14" s="50">
        <v>325.67</v>
      </c>
      <c r="L14" s="50">
        <v>25.26</v>
      </c>
      <c r="M14" s="50">
        <v>100.36</v>
      </c>
      <c r="N14" s="50">
        <v>2.8</v>
      </c>
      <c r="O14" s="50">
        <v>0.2</v>
      </c>
      <c r="P14" s="50">
        <v>0.47</v>
      </c>
      <c r="Q14" s="50">
        <v>4.66</v>
      </c>
    </row>
    <row r="15" spans="1:21" customFormat="1">
      <c r="A15" s="49">
        <v>45545.291666666664</v>
      </c>
      <c r="B15" s="50">
        <v>9.3699999999999992</v>
      </c>
      <c r="C15" s="50">
        <v>4.08</v>
      </c>
      <c r="D15" s="50">
        <v>14.09</v>
      </c>
      <c r="E15" s="50">
        <v>12.41</v>
      </c>
      <c r="F15" s="50">
        <v>3.3</v>
      </c>
      <c r="G15" s="50">
        <v>21.78</v>
      </c>
      <c r="H15" s="50">
        <v>6.23</v>
      </c>
      <c r="I15" s="50">
        <v>5.3</v>
      </c>
      <c r="J15" s="50">
        <v>1.1499999999999999</v>
      </c>
      <c r="K15" s="50">
        <v>289.06</v>
      </c>
      <c r="L15" s="50">
        <v>25.08</v>
      </c>
      <c r="M15" s="50">
        <v>100.31</v>
      </c>
      <c r="N15" s="50">
        <v>4.4000000000000004</v>
      </c>
      <c r="O15" s="50">
        <v>6.8</v>
      </c>
      <c r="P15" s="50">
        <v>0.44</v>
      </c>
      <c r="Q15" s="50">
        <v>4.6500000000000004</v>
      </c>
    </row>
    <row r="16" spans="1:21" customFormat="1">
      <c r="A16" s="49">
        <v>45545.333333333336</v>
      </c>
      <c r="B16" s="50">
        <v>9.36</v>
      </c>
      <c r="C16" s="50">
        <v>4.07</v>
      </c>
      <c r="D16" s="50">
        <v>14.08</v>
      </c>
      <c r="E16" s="50">
        <v>10.32</v>
      </c>
      <c r="F16" s="50">
        <v>2.95</v>
      </c>
      <c r="G16" s="50">
        <v>16.53</v>
      </c>
      <c r="H16" s="50">
        <v>9.61</v>
      </c>
      <c r="I16" s="50">
        <v>5.15</v>
      </c>
      <c r="J16" s="50">
        <v>1.25</v>
      </c>
      <c r="K16" s="50">
        <v>285.54000000000002</v>
      </c>
      <c r="L16" s="50">
        <v>24.9</v>
      </c>
      <c r="M16" s="50">
        <v>100.45</v>
      </c>
      <c r="N16" s="50">
        <v>6.3</v>
      </c>
      <c r="O16" s="50">
        <v>13</v>
      </c>
      <c r="P16" s="50">
        <v>0.4</v>
      </c>
      <c r="Q16" s="50">
        <v>4.6399999999999997</v>
      </c>
    </row>
    <row r="17" spans="1:17" customFormat="1">
      <c r="A17" s="49">
        <v>45545.375</v>
      </c>
      <c r="B17" s="50">
        <v>9.32</v>
      </c>
      <c r="C17" s="50">
        <v>4.09</v>
      </c>
      <c r="D17" s="50">
        <v>14.06</v>
      </c>
      <c r="E17" s="50">
        <v>9.82</v>
      </c>
      <c r="F17" s="50">
        <v>3.74</v>
      </c>
      <c r="G17" s="50">
        <v>14.9</v>
      </c>
      <c r="H17" s="50">
        <v>8.85</v>
      </c>
      <c r="I17" s="50">
        <v>5.09</v>
      </c>
      <c r="J17" s="50">
        <v>1.22</v>
      </c>
      <c r="K17" s="50">
        <v>286.83</v>
      </c>
      <c r="L17" s="50">
        <v>24.95</v>
      </c>
      <c r="M17" s="50">
        <v>100.34</v>
      </c>
      <c r="N17" s="50">
        <v>28</v>
      </c>
      <c r="O17" s="50">
        <v>4</v>
      </c>
      <c r="P17" s="50">
        <v>0.37</v>
      </c>
      <c r="Q17" s="50">
        <v>4.6500000000000004</v>
      </c>
    </row>
    <row r="18" spans="1:17" customFormat="1">
      <c r="A18" s="49">
        <v>45545.416666666664</v>
      </c>
      <c r="B18" s="50">
        <v>9.34</v>
      </c>
      <c r="C18" s="50">
        <v>4.08</v>
      </c>
      <c r="D18" s="50">
        <v>14.07</v>
      </c>
      <c r="E18" s="50">
        <v>9.42</v>
      </c>
      <c r="F18" s="50">
        <v>3.88</v>
      </c>
      <c r="G18" s="50">
        <v>10.91</v>
      </c>
      <c r="H18" s="50">
        <v>7.96</v>
      </c>
      <c r="I18" s="50">
        <v>4.8099999999999996</v>
      </c>
      <c r="J18" s="50">
        <v>1.2</v>
      </c>
      <c r="K18" s="50">
        <v>277.45999999999998</v>
      </c>
      <c r="L18" s="50">
        <v>25</v>
      </c>
      <c r="M18" s="50">
        <v>100.29</v>
      </c>
      <c r="N18" s="50">
        <v>24.6</v>
      </c>
      <c r="O18" s="50">
        <v>0.4</v>
      </c>
      <c r="P18" s="50">
        <v>0.36</v>
      </c>
      <c r="Q18" s="50">
        <v>4.6500000000000004</v>
      </c>
    </row>
    <row r="19" spans="1:17" customFormat="1">
      <c r="A19" s="49">
        <v>45545.458333333336</v>
      </c>
      <c r="B19" s="50">
        <v>9.32</v>
      </c>
      <c r="C19" s="50">
        <v>4.08</v>
      </c>
      <c r="D19" s="50">
        <v>14.05</v>
      </c>
      <c r="E19" s="50">
        <v>10.02</v>
      </c>
      <c r="F19" s="50">
        <v>4.17</v>
      </c>
      <c r="G19" s="50">
        <v>8.19</v>
      </c>
      <c r="H19" s="50">
        <v>6.46</v>
      </c>
      <c r="I19" s="50">
        <v>4.8899999999999997</v>
      </c>
      <c r="J19" s="50">
        <v>1.4</v>
      </c>
      <c r="K19" s="50">
        <v>278.33999999999997</v>
      </c>
      <c r="L19" s="50">
        <v>25.18</v>
      </c>
      <c r="M19" s="50">
        <v>100.37</v>
      </c>
      <c r="N19" s="50">
        <v>78.8</v>
      </c>
      <c r="O19" s="50">
        <v>0</v>
      </c>
      <c r="P19" s="50">
        <v>0.4</v>
      </c>
      <c r="Q19" s="50">
        <v>4.6500000000000004</v>
      </c>
    </row>
    <row r="20" spans="1:17" customFormat="1">
      <c r="A20" s="49">
        <v>45545.5</v>
      </c>
      <c r="B20" s="50">
        <v>9.35</v>
      </c>
      <c r="C20" s="50">
        <v>4.07</v>
      </c>
      <c r="D20" s="50">
        <v>14.06</v>
      </c>
      <c r="E20" s="50">
        <v>10.73</v>
      </c>
      <c r="F20" s="50">
        <v>3.81</v>
      </c>
      <c r="G20" s="50">
        <v>8.7899999999999991</v>
      </c>
      <c r="H20" s="50">
        <v>4.95</v>
      </c>
      <c r="I20" s="50">
        <v>4.9000000000000004</v>
      </c>
      <c r="J20" s="50">
        <v>1.18</v>
      </c>
      <c r="K20" s="50">
        <v>279</v>
      </c>
      <c r="L20" s="50">
        <v>25.59</v>
      </c>
      <c r="M20" s="50">
        <v>100.42</v>
      </c>
      <c r="N20" s="50">
        <v>96.9</v>
      </c>
      <c r="O20" s="50">
        <v>0</v>
      </c>
      <c r="P20" s="50">
        <v>0.46</v>
      </c>
      <c r="Q20" s="50">
        <v>4.66</v>
      </c>
    </row>
    <row r="21" spans="1:17" customFormat="1">
      <c r="A21" s="49">
        <v>45545.541666666664</v>
      </c>
      <c r="B21" s="50">
        <v>9.35</v>
      </c>
      <c r="C21" s="50">
        <v>4.08</v>
      </c>
      <c r="D21" s="50">
        <v>14.08</v>
      </c>
      <c r="E21" s="50">
        <v>11.29</v>
      </c>
      <c r="F21" s="50">
        <v>3.53</v>
      </c>
      <c r="G21" s="50">
        <v>10.65</v>
      </c>
      <c r="H21" s="50">
        <v>4.7</v>
      </c>
      <c r="I21" s="50">
        <v>5.68</v>
      </c>
      <c r="J21" s="50">
        <v>1.0900000000000001</v>
      </c>
      <c r="K21" s="50">
        <v>277.73</v>
      </c>
      <c r="L21" s="50">
        <v>26.3</v>
      </c>
      <c r="M21" s="50">
        <v>100.27</v>
      </c>
      <c r="N21" s="50">
        <v>115.2</v>
      </c>
      <c r="O21" s="50">
        <v>0</v>
      </c>
      <c r="P21" s="50">
        <v>0.45</v>
      </c>
      <c r="Q21" s="50">
        <v>4.6399999999999997</v>
      </c>
    </row>
    <row r="22" spans="1:17" customFormat="1">
      <c r="A22" s="49">
        <v>45545.583333333336</v>
      </c>
      <c r="B22" s="50">
        <v>9.35</v>
      </c>
      <c r="C22" s="50">
        <v>4.09</v>
      </c>
      <c r="D22" s="50">
        <v>14.07</v>
      </c>
      <c r="E22" s="50">
        <v>11.83</v>
      </c>
      <c r="F22" s="50">
        <v>3.74</v>
      </c>
      <c r="G22" s="50">
        <v>13.01</v>
      </c>
      <c r="H22" s="50">
        <v>5.93</v>
      </c>
      <c r="I22" s="50">
        <v>5.55</v>
      </c>
      <c r="J22" s="50">
        <v>1.33</v>
      </c>
      <c r="K22" s="50">
        <v>279.04000000000002</v>
      </c>
      <c r="L22" s="50">
        <v>26.96</v>
      </c>
      <c r="M22" s="50">
        <v>94.88</v>
      </c>
      <c r="N22" s="50">
        <v>178.6</v>
      </c>
      <c r="O22" s="50">
        <v>0</v>
      </c>
      <c r="P22" s="50">
        <v>0.43</v>
      </c>
      <c r="Q22" s="50">
        <v>4.6500000000000004</v>
      </c>
    </row>
    <row r="23" spans="1:17" customFormat="1">
      <c r="A23" s="49">
        <v>45545.625</v>
      </c>
      <c r="B23" s="50">
        <v>9.35</v>
      </c>
      <c r="C23" s="50">
        <v>4.09</v>
      </c>
      <c r="D23" s="50">
        <v>14.08</v>
      </c>
      <c r="E23" s="50">
        <v>12.02</v>
      </c>
      <c r="F23" s="50">
        <v>3.82</v>
      </c>
      <c r="G23" s="50">
        <v>9.5</v>
      </c>
      <c r="H23" s="50">
        <v>5.24</v>
      </c>
      <c r="I23" s="50">
        <v>5.25</v>
      </c>
      <c r="J23" s="50">
        <v>1.23</v>
      </c>
      <c r="K23" s="50">
        <v>278.41000000000003</v>
      </c>
      <c r="L23" s="50">
        <v>26.74</v>
      </c>
      <c r="M23" s="50">
        <v>92.13</v>
      </c>
      <c r="N23" s="50">
        <v>97.7</v>
      </c>
      <c r="O23" s="50">
        <v>0</v>
      </c>
      <c r="P23" s="50">
        <v>0.43</v>
      </c>
      <c r="Q23" s="50">
        <v>4.6500000000000004</v>
      </c>
    </row>
    <row r="24" spans="1:17" customFormat="1">
      <c r="A24" s="49">
        <v>45545.666666666664</v>
      </c>
      <c r="B24" s="50">
        <v>9.34</v>
      </c>
      <c r="C24" s="50">
        <v>4.08</v>
      </c>
      <c r="D24" s="50">
        <v>14.06</v>
      </c>
      <c r="E24" s="50">
        <v>12.39</v>
      </c>
      <c r="F24" s="50">
        <v>5.34</v>
      </c>
      <c r="G24" s="50">
        <v>7.39</v>
      </c>
      <c r="H24" s="50">
        <v>4.01</v>
      </c>
      <c r="I24" s="50">
        <v>4.83</v>
      </c>
      <c r="J24" s="50">
        <v>1.19</v>
      </c>
      <c r="K24" s="50">
        <v>277.95999999999998</v>
      </c>
      <c r="L24" s="50">
        <v>26.97</v>
      </c>
      <c r="M24" s="50">
        <v>89.28</v>
      </c>
      <c r="N24" s="50">
        <v>102.2</v>
      </c>
      <c r="O24" s="50">
        <v>0</v>
      </c>
      <c r="P24" s="50">
        <v>0.41</v>
      </c>
      <c r="Q24" s="50">
        <v>4.6500000000000004</v>
      </c>
    </row>
    <row r="25" spans="1:17" customFormat="1">
      <c r="A25" s="49">
        <v>45545.708333333336</v>
      </c>
      <c r="B25" s="50">
        <v>9.34</v>
      </c>
      <c r="C25" s="50">
        <v>4.09</v>
      </c>
      <c r="D25" s="50">
        <v>14.05</v>
      </c>
      <c r="E25" s="50">
        <v>11.16</v>
      </c>
      <c r="F25" s="50">
        <v>6.17</v>
      </c>
      <c r="G25" s="50">
        <v>5.83</v>
      </c>
      <c r="H25" s="50">
        <v>2.95</v>
      </c>
      <c r="I25" s="50">
        <v>4.55</v>
      </c>
      <c r="J25" s="50">
        <v>1.06</v>
      </c>
      <c r="K25" s="50">
        <v>277.97000000000003</v>
      </c>
      <c r="L25" s="50">
        <v>26.89</v>
      </c>
      <c r="M25" s="50">
        <v>88.69</v>
      </c>
      <c r="N25" s="50">
        <v>65.3</v>
      </c>
      <c r="O25" s="50">
        <v>0</v>
      </c>
      <c r="P25" s="50">
        <v>0.38</v>
      </c>
      <c r="Q25" s="50">
        <v>4.6399999999999997</v>
      </c>
    </row>
    <row r="26" spans="1:17" customFormat="1">
      <c r="A26" s="49">
        <v>45545.75</v>
      </c>
      <c r="B26" s="50">
        <v>9.32</v>
      </c>
      <c r="C26" s="50">
        <v>4.08</v>
      </c>
      <c r="D26" s="50">
        <v>14.05</v>
      </c>
      <c r="E26" s="50">
        <v>10.7</v>
      </c>
      <c r="F26" s="50">
        <v>5.97</v>
      </c>
      <c r="G26" s="50">
        <v>4.88</v>
      </c>
      <c r="H26" s="50">
        <v>2.5299999999999998</v>
      </c>
      <c r="I26" s="50">
        <v>4.2</v>
      </c>
      <c r="J26" s="50">
        <v>1</v>
      </c>
      <c r="K26" s="50">
        <v>276.48</v>
      </c>
      <c r="L26" s="50">
        <v>26.81</v>
      </c>
      <c r="M26" s="50">
        <v>89.17</v>
      </c>
      <c r="N26" s="50">
        <v>19.600000000000001</v>
      </c>
      <c r="O26" s="50">
        <v>0</v>
      </c>
      <c r="P26" s="50">
        <v>0.35</v>
      </c>
      <c r="Q26" s="50">
        <v>4.6399999999999997</v>
      </c>
    </row>
    <row r="27" spans="1:17" customFormat="1">
      <c r="A27" s="49">
        <v>45545.791666666664</v>
      </c>
      <c r="B27" s="50">
        <v>9.33</v>
      </c>
      <c r="C27" s="50">
        <v>4.05</v>
      </c>
      <c r="D27" s="50">
        <v>14.03</v>
      </c>
      <c r="E27" s="50">
        <v>9.02</v>
      </c>
      <c r="F27" s="50">
        <v>8</v>
      </c>
      <c r="G27" s="50">
        <v>5.63</v>
      </c>
      <c r="H27" s="50">
        <v>2.12</v>
      </c>
      <c r="I27" s="50">
        <v>4.04</v>
      </c>
      <c r="J27" s="50">
        <v>1.0900000000000001</v>
      </c>
      <c r="K27" s="50">
        <v>277.38</v>
      </c>
      <c r="L27" s="50">
        <v>26.47</v>
      </c>
      <c r="M27" s="50">
        <v>89.99</v>
      </c>
      <c r="N27" s="50">
        <v>2.7</v>
      </c>
      <c r="O27" s="50">
        <v>0</v>
      </c>
      <c r="P27" s="50">
        <v>0.33</v>
      </c>
      <c r="Q27" s="50">
        <v>4.66</v>
      </c>
    </row>
    <row r="28" spans="1:17" customFormat="1">
      <c r="A28" s="49">
        <v>45545.833333333336</v>
      </c>
      <c r="B28" s="50">
        <v>9.32</v>
      </c>
      <c r="C28" s="50">
        <v>4.08</v>
      </c>
      <c r="D28" s="50">
        <v>14.03</v>
      </c>
      <c r="E28" s="50">
        <v>9.1300000000000008</v>
      </c>
      <c r="F28" s="50">
        <v>6.77</v>
      </c>
      <c r="G28" s="50">
        <v>6.92</v>
      </c>
      <c r="H28" s="50">
        <v>1.93</v>
      </c>
      <c r="I28" s="50">
        <v>3.99</v>
      </c>
      <c r="J28" s="50">
        <v>0.94</v>
      </c>
      <c r="K28" s="50">
        <v>275.98</v>
      </c>
      <c r="L28" s="50">
        <v>26.02</v>
      </c>
      <c r="M28" s="50">
        <v>92.43</v>
      </c>
      <c r="N28" s="50">
        <v>2.4</v>
      </c>
      <c r="O28" s="50">
        <v>0</v>
      </c>
      <c r="P28" s="50">
        <v>0.35</v>
      </c>
      <c r="Q28" s="50">
        <v>4.66</v>
      </c>
    </row>
    <row r="29" spans="1:17" customFormat="1">
      <c r="A29" s="49">
        <v>45545.875</v>
      </c>
      <c r="B29" s="50">
        <v>9.33</v>
      </c>
      <c r="C29" s="50">
        <v>4.08</v>
      </c>
      <c r="D29" s="50">
        <v>14.04</v>
      </c>
      <c r="E29" s="50">
        <v>9.31</v>
      </c>
      <c r="F29" s="50">
        <v>6.86</v>
      </c>
      <c r="G29" s="50">
        <v>10.199999999999999</v>
      </c>
      <c r="H29" s="50">
        <v>1.71</v>
      </c>
      <c r="I29" s="50">
        <v>3.82</v>
      </c>
      <c r="J29" s="50">
        <v>1.02</v>
      </c>
      <c r="K29" s="50">
        <v>276.38</v>
      </c>
      <c r="L29" s="50">
        <v>26.25</v>
      </c>
      <c r="M29" s="50">
        <v>90.87</v>
      </c>
      <c r="N29" s="50">
        <v>2.4</v>
      </c>
      <c r="O29" s="50">
        <v>0</v>
      </c>
      <c r="P29" s="50">
        <v>0.35</v>
      </c>
      <c r="Q29" s="50">
        <v>4.6399999999999997</v>
      </c>
    </row>
    <row r="30" spans="1:17" customFormat="1">
      <c r="A30" s="49">
        <v>45545.916666666664</v>
      </c>
      <c r="B30" s="50">
        <v>9.32</v>
      </c>
      <c r="C30" s="50">
        <v>4.07</v>
      </c>
      <c r="D30" s="50">
        <v>14.05</v>
      </c>
      <c r="E30" s="50">
        <v>10.23</v>
      </c>
      <c r="F30" s="50">
        <v>5.23</v>
      </c>
      <c r="G30" s="50">
        <v>11.32</v>
      </c>
      <c r="H30" s="50">
        <v>1.59</v>
      </c>
      <c r="I30" s="50">
        <v>3.6</v>
      </c>
      <c r="J30" s="50">
        <v>1.17</v>
      </c>
      <c r="K30" s="50">
        <v>276.45</v>
      </c>
      <c r="L30" s="50">
        <v>26.37</v>
      </c>
      <c r="M30" s="50">
        <v>89.1</v>
      </c>
      <c r="N30" s="50">
        <v>2.4</v>
      </c>
      <c r="O30" s="50">
        <v>0</v>
      </c>
      <c r="P30" s="50">
        <v>0.35</v>
      </c>
      <c r="Q30" s="50">
        <v>4.6399999999999997</v>
      </c>
    </row>
    <row r="31" spans="1:17" customFormat="1">
      <c r="A31" s="49">
        <v>45545.958333333336</v>
      </c>
      <c r="B31" s="50">
        <v>9.32</v>
      </c>
      <c r="C31" s="50">
        <v>4.09</v>
      </c>
      <c r="D31" s="50">
        <v>14.05</v>
      </c>
      <c r="E31" s="50">
        <v>10.95</v>
      </c>
      <c r="F31" s="50">
        <v>5.39</v>
      </c>
      <c r="G31" s="50">
        <v>8.5399999999999991</v>
      </c>
      <c r="H31" s="50">
        <v>1.49</v>
      </c>
      <c r="I31" s="50">
        <v>3.54</v>
      </c>
      <c r="J31" s="50">
        <v>1.19</v>
      </c>
      <c r="K31" s="50">
        <v>277.24</v>
      </c>
      <c r="L31" s="50">
        <v>26.33</v>
      </c>
      <c r="M31" s="50">
        <v>90.66</v>
      </c>
      <c r="N31" s="50">
        <v>2.5</v>
      </c>
      <c r="O31" s="50">
        <v>0</v>
      </c>
      <c r="P31" s="50">
        <v>0.34</v>
      </c>
      <c r="Q31" s="50">
        <v>4.6500000000000004</v>
      </c>
    </row>
    <row r="32" spans="1:17" customFormat="1">
      <c r="A32" s="49">
        <v>45546</v>
      </c>
      <c r="B32" s="50">
        <v>9.32</v>
      </c>
      <c r="C32" s="50">
        <v>4.1100000000000003</v>
      </c>
      <c r="D32" s="50">
        <v>14.05</v>
      </c>
      <c r="E32" s="50">
        <v>11.11</v>
      </c>
      <c r="F32" s="50">
        <v>4.46</v>
      </c>
      <c r="G32" s="50">
        <v>10.66</v>
      </c>
      <c r="H32" s="50">
        <v>1.86</v>
      </c>
      <c r="I32" s="50">
        <v>3.53</v>
      </c>
      <c r="J32" s="50">
        <v>1.05</v>
      </c>
      <c r="K32" s="50">
        <v>277.02999999999997</v>
      </c>
      <c r="L32" s="50">
        <v>26.28</v>
      </c>
      <c r="M32" s="50">
        <v>91.37</v>
      </c>
      <c r="N32" s="50">
        <v>2.4</v>
      </c>
      <c r="O32" s="50">
        <v>0</v>
      </c>
      <c r="P32" s="50">
        <v>0.35</v>
      </c>
      <c r="Q32" s="50">
        <v>4.6500000000000004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9.31</v>
      </c>
      <c r="C34" s="40">
        <f t="shared" si="0"/>
        <v>4.05</v>
      </c>
      <c r="D34" s="40">
        <f t="shared" si="0"/>
        <v>14.03</v>
      </c>
      <c r="E34" s="40">
        <f t="shared" si="0"/>
        <v>7.18</v>
      </c>
      <c r="F34" s="40">
        <f t="shared" si="0"/>
        <v>2.71</v>
      </c>
      <c r="G34" s="40">
        <f t="shared" si="0"/>
        <v>4.88</v>
      </c>
      <c r="H34" s="40">
        <f t="shared" si="0"/>
        <v>1.49</v>
      </c>
      <c r="I34" s="40">
        <f t="shared" si="0"/>
        <v>3.53</v>
      </c>
      <c r="J34" s="40">
        <f t="shared" si="0"/>
        <v>0.22</v>
      </c>
      <c r="K34" s="40">
        <f t="shared" si="0"/>
        <v>271.13</v>
      </c>
      <c r="L34" s="40">
        <f t="shared" si="0"/>
        <v>24.9</v>
      </c>
      <c r="M34" s="40">
        <f t="shared" si="0"/>
        <v>88.69</v>
      </c>
      <c r="N34" s="40">
        <f t="shared" si="0"/>
        <v>2.4</v>
      </c>
      <c r="O34" s="40">
        <f t="shared" si="0"/>
        <v>0</v>
      </c>
      <c r="P34" s="40">
        <f t="shared" si="0"/>
        <v>0.33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4.1100000000000003</v>
      </c>
      <c r="D35" s="33">
        <f t="shared" si="1"/>
        <v>14.09</v>
      </c>
      <c r="E35" s="33">
        <f t="shared" si="1"/>
        <v>12.91</v>
      </c>
      <c r="F35" s="33">
        <f t="shared" si="1"/>
        <v>8</v>
      </c>
      <c r="G35" s="33">
        <f t="shared" si="1"/>
        <v>21.78</v>
      </c>
      <c r="H35" s="33">
        <f t="shared" si="1"/>
        <v>9.61</v>
      </c>
      <c r="I35" s="33">
        <f t="shared" si="1"/>
        <v>5.8</v>
      </c>
      <c r="J35" s="33">
        <f t="shared" si="1"/>
        <v>1.4</v>
      </c>
      <c r="K35" s="33">
        <f t="shared" si="1"/>
        <v>332.15</v>
      </c>
      <c r="L35" s="33">
        <f t="shared" si="1"/>
        <v>26.97</v>
      </c>
      <c r="M35" s="33">
        <f t="shared" si="1"/>
        <v>100.59</v>
      </c>
      <c r="N35" s="33">
        <f t="shared" si="1"/>
        <v>178.6</v>
      </c>
      <c r="O35" s="33">
        <f t="shared" si="1"/>
        <v>13</v>
      </c>
      <c r="P35" s="33">
        <f t="shared" si="1"/>
        <v>0.5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9.3379166666666649</v>
      </c>
      <c r="C36" s="40">
        <f t="shared" si="2"/>
        <v>4.08</v>
      </c>
      <c r="D36" s="40">
        <f t="shared" si="2"/>
        <v>14.060000000000002</v>
      </c>
      <c r="E36" s="40">
        <f t="shared" si="2"/>
        <v>10.705833333333333</v>
      </c>
      <c r="F36" s="40">
        <f t="shared" si="2"/>
        <v>4.6508333333333338</v>
      </c>
      <c r="G36" s="40">
        <f t="shared" si="2"/>
        <v>11.539583333333333</v>
      </c>
      <c r="H36" s="40">
        <f t="shared" si="2"/>
        <v>4.7633333333333328</v>
      </c>
      <c r="I36" s="40">
        <f t="shared" si="2"/>
        <v>4.8412499999999996</v>
      </c>
      <c r="J36" s="40">
        <f t="shared" si="2"/>
        <v>0.94666666666666666</v>
      </c>
      <c r="K36" s="40">
        <f t="shared" si="2"/>
        <v>286.1779166666667</v>
      </c>
      <c r="L36" s="40">
        <f t="shared" si="2"/>
        <v>25.836249999999996</v>
      </c>
      <c r="M36" s="40">
        <f t="shared" si="2"/>
        <v>95.944166666666675</v>
      </c>
      <c r="N36" s="40">
        <f t="shared" si="2"/>
        <v>35.333333333333336</v>
      </c>
      <c r="O36" s="40">
        <f t="shared" si="2"/>
        <v>1.2916666666666667</v>
      </c>
      <c r="P36" s="40">
        <f t="shared" si="2"/>
        <v>0.41166666666666657</v>
      </c>
      <c r="Q36" s="40">
        <f t="shared" si="2"/>
        <v>4.6500000000000012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1.8876985450810985E-2</v>
      </c>
      <c r="C37" s="40">
        <f t="shared" ref="C37:Q37" si="3">STDEV(C9:C32)</f>
        <v>1.2853691738342995E-2</v>
      </c>
      <c r="D37" s="40">
        <f t="shared" si="3"/>
        <v>1.8177865182927837E-2</v>
      </c>
      <c r="E37" s="40">
        <f t="shared" si="3"/>
        <v>1.4881821904202712</v>
      </c>
      <c r="F37" s="40">
        <f t="shared" si="3"/>
        <v>1.5313958300863293</v>
      </c>
      <c r="G37" s="40">
        <f t="shared" si="3"/>
        <v>4.3852395494199747</v>
      </c>
      <c r="H37" s="40">
        <f t="shared" si="3"/>
        <v>2.3807354849448026</v>
      </c>
      <c r="I37" s="40">
        <f t="shared" si="3"/>
        <v>0.75282836256232577</v>
      </c>
      <c r="J37" s="40">
        <f t="shared" si="3"/>
        <v>0.38024782155470849</v>
      </c>
      <c r="K37" s="40">
        <f t="shared" si="3"/>
        <v>16.577609566799033</v>
      </c>
      <c r="L37" s="40">
        <f t="shared" si="3"/>
        <v>0.75552925590064091</v>
      </c>
      <c r="M37" s="40">
        <f t="shared" si="3"/>
        <v>5.005857366227441</v>
      </c>
      <c r="N37" s="40">
        <f t="shared" si="3"/>
        <v>49.768688136624391</v>
      </c>
      <c r="O37" s="40">
        <f t="shared" si="3"/>
        <v>2.9547186530769016</v>
      </c>
      <c r="P37" s="40">
        <f t="shared" si="3"/>
        <v>5.8135274532143268E-2</v>
      </c>
      <c r="Q37" s="40">
        <f t="shared" si="3"/>
        <v>8.3405765622831356E-3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45546.041666666664</v>
      </c>
      <c r="B9" s="50">
        <v>9.24</v>
      </c>
      <c r="C9" s="50">
        <v>4.2</v>
      </c>
      <c r="D9" s="50">
        <v>14</v>
      </c>
      <c r="E9" s="50">
        <v>12.24</v>
      </c>
      <c r="F9" s="50">
        <v>4.0999999999999996</v>
      </c>
      <c r="G9" s="50">
        <v>14.97</v>
      </c>
      <c r="H9" s="50">
        <v>2.79</v>
      </c>
      <c r="I9" s="50">
        <v>3.33</v>
      </c>
      <c r="J9" s="50">
        <v>1.03</v>
      </c>
      <c r="K9" s="50">
        <v>278.29000000000002</v>
      </c>
      <c r="L9" s="50">
        <v>26.2</v>
      </c>
      <c r="M9" s="50">
        <v>93.4</v>
      </c>
      <c r="N9" s="50">
        <v>2.5</v>
      </c>
      <c r="O9" s="50">
        <v>0</v>
      </c>
      <c r="P9" s="50">
        <v>0.34</v>
      </c>
      <c r="Q9" s="50">
        <v>4.6399999999999997</v>
      </c>
    </row>
    <row r="10" spans="1:21" customFormat="1">
      <c r="A10" s="49">
        <v>45546.083333333336</v>
      </c>
      <c r="B10" s="50">
        <v>9.2100000000000009</v>
      </c>
      <c r="C10" s="50">
        <v>4.1500000000000004</v>
      </c>
      <c r="D10" s="50">
        <v>14</v>
      </c>
      <c r="E10" s="50">
        <v>10.91</v>
      </c>
      <c r="F10" s="50">
        <v>5.69</v>
      </c>
      <c r="G10" s="50">
        <v>18.920000000000002</v>
      </c>
      <c r="H10" s="50">
        <v>3.13</v>
      </c>
      <c r="I10" s="50">
        <v>3.41</v>
      </c>
      <c r="J10" s="50">
        <v>1.08</v>
      </c>
      <c r="K10" s="50">
        <v>276.77999999999997</v>
      </c>
      <c r="L10" s="50">
        <v>26.02</v>
      </c>
      <c r="M10" s="50">
        <v>92.8</v>
      </c>
      <c r="N10" s="50">
        <v>2.4</v>
      </c>
      <c r="O10" s="50">
        <v>0</v>
      </c>
      <c r="P10" s="50">
        <v>0.31</v>
      </c>
      <c r="Q10" s="50">
        <v>4.66</v>
      </c>
    </row>
    <row r="11" spans="1:21" customFormat="1">
      <c r="A11" s="49">
        <v>45546.125</v>
      </c>
      <c r="B11" s="50">
        <v>9.23</v>
      </c>
      <c r="C11" s="50">
        <v>4.1500000000000004</v>
      </c>
      <c r="D11" s="50">
        <v>14</v>
      </c>
      <c r="E11" s="50">
        <v>10.8</v>
      </c>
      <c r="F11" s="50">
        <v>5.98</v>
      </c>
      <c r="G11" s="50">
        <v>18.23</v>
      </c>
      <c r="H11" s="50">
        <v>3.13</v>
      </c>
      <c r="I11" s="50">
        <v>3.38</v>
      </c>
      <c r="J11" s="50">
        <v>1.08</v>
      </c>
      <c r="K11" s="50">
        <v>277.07</v>
      </c>
      <c r="L11" s="50">
        <v>25.92</v>
      </c>
      <c r="M11" s="50">
        <v>93.42</v>
      </c>
      <c r="N11" s="50">
        <v>2.4</v>
      </c>
      <c r="O11" s="50">
        <v>0</v>
      </c>
      <c r="P11" s="50">
        <v>0.28999999999999998</v>
      </c>
      <c r="Q11" s="50">
        <v>4.66</v>
      </c>
    </row>
    <row r="12" spans="1:21" customFormat="1">
      <c r="A12" s="49">
        <v>45546.166666666664</v>
      </c>
      <c r="B12" s="50">
        <v>9.2100000000000009</v>
      </c>
      <c r="C12" s="50">
        <v>4.16</v>
      </c>
      <c r="D12" s="50">
        <v>14</v>
      </c>
      <c r="E12" s="50">
        <v>9.67</v>
      </c>
      <c r="F12" s="50">
        <v>6.87</v>
      </c>
      <c r="G12" s="50">
        <v>20.149999999999999</v>
      </c>
      <c r="H12" s="50">
        <v>2.91</v>
      </c>
      <c r="I12" s="50">
        <v>3.29</v>
      </c>
      <c r="J12" s="50">
        <v>0.93</v>
      </c>
      <c r="K12" s="50">
        <v>276.83999999999997</v>
      </c>
      <c r="L12" s="50">
        <v>25.75</v>
      </c>
      <c r="M12" s="50">
        <v>93.25</v>
      </c>
      <c r="N12" s="50">
        <v>2.4</v>
      </c>
      <c r="O12" s="50">
        <v>0</v>
      </c>
      <c r="P12" s="50">
        <v>0.27</v>
      </c>
      <c r="Q12" s="50">
        <v>4.68</v>
      </c>
    </row>
    <row r="13" spans="1:21" customFormat="1">
      <c r="A13" s="49">
        <v>45546.208333333336</v>
      </c>
      <c r="B13" s="50">
        <v>9.2200000000000006</v>
      </c>
      <c r="C13" s="50">
        <v>4.29</v>
      </c>
      <c r="D13" s="50">
        <v>14</v>
      </c>
      <c r="E13" s="50">
        <v>9.49</v>
      </c>
      <c r="F13" s="50">
        <v>7.06</v>
      </c>
      <c r="G13" s="50">
        <v>15.72</v>
      </c>
      <c r="H13" s="50">
        <v>4.47</v>
      </c>
      <c r="I13" s="50">
        <v>3.15</v>
      </c>
      <c r="J13" s="50">
        <v>0.79</v>
      </c>
      <c r="K13" s="50">
        <v>275.82</v>
      </c>
      <c r="L13" s="50">
        <v>25.65</v>
      </c>
      <c r="M13" s="50">
        <v>93.19</v>
      </c>
      <c r="N13" s="50">
        <v>2.4</v>
      </c>
      <c r="O13" s="50">
        <v>0</v>
      </c>
      <c r="P13" s="50">
        <v>0.27</v>
      </c>
      <c r="Q13" s="50">
        <v>4.6500000000000004</v>
      </c>
    </row>
    <row r="14" spans="1:21" customFormat="1">
      <c r="A14" s="49">
        <v>45546.25</v>
      </c>
      <c r="B14" s="50">
        <v>9.09</v>
      </c>
      <c r="C14" s="50">
        <v>4.3499999999999996</v>
      </c>
      <c r="D14" s="50">
        <v>14</v>
      </c>
      <c r="E14" s="50">
        <v>10.039999999999999</v>
      </c>
      <c r="F14" s="50">
        <v>6.1</v>
      </c>
      <c r="G14" s="50">
        <v>17.86</v>
      </c>
      <c r="H14" s="50">
        <v>7.89</v>
      </c>
      <c r="I14" s="50">
        <v>3.29</v>
      </c>
      <c r="J14" s="50">
        <v>0.98</v>
      </c>
      <c r="K14" s="50">
        <v>276.87</v>
      </c>
      <c r="L14" s="50">
        <v>25.92</v>
      </c>
      <c r="M14" s="50">
        <v>92.65</v>
      </c>
      <c r="N14" s="50">
        <v>6.7</v>
      </c>
      <c r="O14" s="50">
        <v>0</v>
      </c>
      <c r="P14" s="50">
        <v>0.31</v>
      </c>
      <c r="Q14" s="50">
        <v>4.6500000000000004</v>
      </c>
    </row>
    <row r="15" spans="1:21" customFormat="1">
      <c r="A15" s="49">
        <v>45546.291666666664</v>
      </c>
      <c r="B15" s="50">
        <v>9.1</v>
      </c>
      <c r="C15" s="50">
        <v>4.34</v>
      </c>
      <c r="D15" s="50">
        <v>14</v>
      </c>
      <c r="E15" s="50">
        <v>10.52</v>
      </c>
      <c r="F15" s="50">
        <v>4.55</v>
      </c>
      <c r="G15" s="50">
        <v>18.82</v>
      </c>
      <c r="H15" s="50">
        <v>8.23</v>
      </c>
      <c r="I15" s="50">
        <v>3.19</v>
      </c>
      <c r="J15" s="50">
        <v>0.72</v>
      </c>
      <c r="K15" s="50">
        <v>275.29000000000002</v>
      </c>
      <c r="L15" s="50">
        <v>26.28</v>
      </c>
      <c r="M15" s="50">
        <v>91.38</v>
      </c>
      <c r="N15" s="50">
        <v>66.5</v>
      </c>
      <c r="O15" s="50">
        <v>0</v>
      </c>
      <c r="P15" s="50">
        <v>0.31</v>
      </c>
      <c r="Q15" s="50">
        <v>4.6500000000000004</v>
      </c>
    </row>
    <row r="16" spans="1:21" customFormat="1">
      <c r="A16" s="49">
        <v>45546.333333333336</v>
      </c>
      <c r="B16" s="50">
        <v>9.09</v>
      </c>
      <c r="C16" s="50">
        <v>4.37</v>
      </c>
      <c r="D16" s="50">
        <v>14</v>
      </c>
      <c r="E16" s="50">
        <v>11.08</v>
      </c>
      <c r="F16" s="50">
        <v>4.6100000000000003</v>
      </c>
      <c r="G16" s="50">
        <v>20.82</v>
      </c>
      <c r="H16" s="50">
        <v>9.59</v>
      </c>
      <c r="I16" s="50">
        <v>3.17</v>
      </c>
      <c r="J16" s="50">
        <v>0.99</v>
      </c>
      <c r="K16" s="50">
        <v>274.82</v>
      </c>
      <c r="L16" s="50">
        <v>26.74</v>
      </c>
      <c r="M16" s="50">
        <v>89.66</v>
      </c>
      <c r="N16" s="50">
        <v>88.7</v>
      </c>
      <c r="O16" s="50">
        <v>0</v>
      </c>
      <c r="P16" s="50">
        <v>0.32</v>
      </c>
      <c r="Q16" s="50">
        <v>4.6500000000000004</v>
      </c>
    </row>
    <row r="17" spans="1:17" customFormat="1">
      <c r="A17" s="49">
        <v>45546.375</v>
      </c>
      <c r="B17" s="50">
        <v>9.09</v>
      </c>
      <c r="C17" s="50">
        <v>4.38</v>
      </c>
      <c r="D17" s="50">
        <v>14</v>
      </c>
      <c r="E17" s="50">
        <v>11.73</v>
      </c>
      <c r="F17" s="50">
        <v>4.6399999999999997</v>
      </c>
      <c r="G17" s="50">
        <v>22.42</v>
      </c>
      <c r="H17" s="50">
        <v>14.15</v>
      </c>
      <c r="I17" s="50">
        <v>3.19</v>
      </c>
      <c r="J17" s="50">
        <v>1.1399999999999999</v>
      </c>
      <c r="K17" s="50">
        <v>276.87</v>
      </c>
      <c r="L17" s="50">
        <v>27.82</v>
      </c>
      <c r="M17" s="50">
        <v>87.61</v>
      </c>
      <c r="N17" s="50">
        <v>205.9</v>
      </c>
      <c r="O17" s="50">
        <v>0</v>
      </c>
      <c r="P17" s="50">
        <v>0.32</v>
      </c>
      <c r="Q17" s="50">
        <v>4.6500000000000004</v>
      </c>
    </row>
    <row r="18" spans="1:17" customFormat="1">
      <c r="A18" s="49">
        <v>45546.416666666664</v>
      </c>
      <c r="B18" s="50">
        <v>9.0500000000000007</v>
      </c>
      <c r="C18" s="50">
        <v>4.4000000000000004</v>
      </c>
      <c r="D18" s="50">
        <v>14</v>
      </c>
      <c r="E18" s="50">
        <v>12.42</v>
      </c>
      <c r="F18" s="50">
        <v>4.75</v>
      </c>
      <c r="G18" s="50">
        <v>25.07</v>
      </c>
      <c r="H18" s="50">
        <v>11.62</v>
      </c>
      <c r="I18" s="50">
        <v>2.96</v>
      </c>
      <c r="J18" s="50">
        <v>1.24</v>
      </c>
      <c r="K18" s="50">
        <v>277.56</v>
      </c>
      <c r="L18" s="50">
        <v>28.01</v>
      </c>
      <c r="M18" s="50">
        <v>83.95</v>
      </c>
      <c r="N18" s="50">
        <v>280.60000000000002</v>
      </c>
      <c r="O18" s="50">
        <v>0</v>
      </c>
      <c r="P18" s="50">
        <v>0.33</v>
      </c>
      <c r="Q18" s="50">
        <v>4.6500000000000004</v>
      </c>
    </row>
    <row r="19" spans="1:17" customFormat="1">
      <c r="A19" s="49">
        <v>45546.458333333336</v>
      </c>
      <c r="B19" s="50">
        <v>9.2200000000000006</v>
      </c>
      <c r="C19" s="50">
        <v>4.3</v>
      </c>
      <c r="D19" s="50">
        <v>14</v>
      </c>
      <c r="E19" s="50">
        <v>10.86</v>
      </c>
      <c r="F19" s="50">
        <v>5.24</v>
      </c>
      <c r="G19" s="50">
        <v>27.5</v>
      </c>
      <c r="H19" s="50">
        <v>9.8000000000000007</v>
      </c>
      <c r="I19" s="50">
        <v>3.05</v>
      </c>
      <c r="J19" s="50">
        <v>1.27</v>
      </c>
      <c r="K19" s="50">
        <v>277.99</v>
      </c>
      <c r="L19" s="50">
        <v>28.11</v>
      </c>
      <c r="M19" s="50">
        <v>82.18</v>
      </c>
      <c r="N19" s="50">
        <v>179.2</v>
      </c>
      <c r="O19" s="50">
        <v>0</v>
      </c>
      <c r="P19" s="50">
        <v>0.33</v>
      </c>
      <c r="Q19" s="50">
        <v>4.6399999999999997</v>
      </c>
    </row>
    <row r="20" spans="1:17" customFormat="1">
      <c r="A20" s="49">
        <v>45546.5</v>
      </c>
      <c r="B20" s="50">
        <v>9.25</v>
      </c>
      <c r="C20" s="50">
        <v>4.13</v>
      </c>
      <c r="D20" s="50">
        <v>14</v>
      </c>
      <c r="E20" s="50">
        <v>10.24</v>
      </c>
      <c r="F20" s="50">
        <v>5.55</v>
      </c>
      <c r="G20" s="50">
        <v>22.03</v>
      </c>
      <c r="H20" s="50">
        <v>9.5399999999999991</v>
      </c>
      <c r="I20" s="50">
        <v>3.11</v>
      </c>
      <c r="J20" s="50">
        <v>1.28</v>
      </c>
      <c r="K20" s="50">
        <v>276.86</v>
      </c>
      <c r="L20" s="50">
        <v>28.18</v>
      </c>
      <c r="M20" s="50">
        <v>83.01</v>
      </c>
      <c r="N20" s="50">
        <v>233.7</v>
      </c>
      <c r="O20" s="50">
        <v>0</v>
      </c>
      <c r="P20" s="50">
        <v>0.33</v>
      </c>
      <c r="Q20" s="50">
        <v>4.6399999999999997</v>
      </c>
    </row>
    <row r="21" spans="1:17" customFormat="1">
      <c r="A21" s="49">
        <v>45546.541666666664</v>
      </c>
      <c r="B21" s="50">
        <v>9.27</v>
      </c>
      <c r="C21" s="50">
        <v>4.08</v>
      </c>
      <c r="D21" s="50">
        <v>14.01</v>
      </c>
      <c r="E21" s="50">
        <v>9.4600000000000009</v>
      </c>
      <c r="F21" s="50">
        <v>5.58</v>
      </c>
      <c r="G21" s="50">
        <v>25.36</v>
      </c>
      <c r="H21" s="50">
        <v>12.02</v>
      </c>
      <c r="I21" s="50">
        <v>3.12</v>
      </c>
      <c r="J21" s="50">
        <v>1.3</v>
      </c>
      <c r="K21" s="50">
        <v>275.94</v>
      </c>
      <c r="L21" s="50">
        <v>29.28</v>
      </c>
      <c r="M21" s="50">
        <v>79.56</v>
      </c>
      <c r="N21" s="50">
        <v>547.1</v>
      </c>
      <c r="O21" s="50">
        <v>0</v>
      </c>
      <c r="P21" s="50">
        <v>0.33</v>
      </c>
      <c r="Q21" s="50">
        <v>4.63</v>
      </c>
    </row>
    <row r="22" spans="1:17" customFormat="1">
      <c r="A22" s="49">
        <v>45546.583333333336</v>
      </c>
      <c r="B22" s="50">
        <v>9.23</v>
      </c>
      <c r="C22" s="50">
        <v>4.16</v>
      </c>
      <c r="D22" s="50">
        <v>14</v>
      </c>
      <c r="E22" s="50">
        <v>9.61</v>
      </c>
      <c r="F22" s="50">
        <v>4.72</v>
      </c>
      <c r="G22" s="50">
        <v>24.37</v>
      </c>
      <c r="H22" s="50">
        <v>15.61</v>
      </c>
      <c r="I22" s="50">
        <v>3.12</v>
      </c>
      <c r="J22" s="50">
        <v>1.1200000000000001</v>
      </c>
      <c r="K22" s="50">
        <v>275.39</v>
      </c>
      <c r="L22" s="50">
        <v>29.23</v>
      </c>
      <c r="M22" s="50">
        <v>80.14</v>
      </c>
      <c r="N22" s="50">
        <v>204.6</v>
      </c>
      <c r="O22" s="50">
        <v>0</v>
      </c>
      <c r="P22" s="50">
        <v>0.33</v>
      </c>
      <c r="Q22" s="50">
        <v>4.63</v>
      </c>
    </row>
    <row r="23" spans="1:17" customFormat="1">
      <c r="A23" s="49">
        <v>45546.625</v>
      </c>
      <c r="B23" s="50">
        <v>9.3000000000000007</v>
      </c>
      <c r="C23" s="50">
        <v>4.18</v>
      </c>
      <c r="D23" s="50">
        <v>14.03</v>
      </c>
      <c r="E23" s="50">
        <v>9.17</v>
      </c>
      <c r="F23" s="50">
        <v>6.16</v>
      </c>
      <c r="G23" s="50">
        <v>27.17</v>
      </c>
      <c r="H23" s="50">
        <v>11.57</v>
      </c>
      <c r="I23" s="50">
        <v>3.1</v>
      </c>
      <c r="J23" s="50">
        <v>1.26</v>
      </c>
      <c r="K23" s="50">
        <v>276.83999999999997</v>
      </c>
      <c r="L23" s="50">
        <v>29.29</v>
      </c>
      <c r="M23" s="50">
        <v>77.540000000000006</v>
      </c>
      <c r="N23" s="50">
        <v>297</v>
      </c>
      <c r="O23" s="50">
        <v>0</v>
      </c>
      <c r="P23" s="50">
        <v>0.27</v>
      </c>
      <c r="Q23" s="50">
        <v>4.66</v>
      </c>
    </row>
    <row r="24" spans="1:17" customFormat="1">
      <c r="A24" s="49">
        <v>45546.666666666664</v>
      </c>
      <c r="B24" s="50">
        <v>9.23</v>
      </c>
      <c r="C24" s="50">
        <v>4.1500000000000004</v>
      </c>
      <c r="D24" s="50">
        <v>14</v>
      </c>
      <c r="E24" s="50">
        <v>9.7100000000000009</v>
      </c>
      <c r="F24" s="50">
        <v>6.81</v>
      </c>
      <c r="G24" s="50">
        <v>23.46</v>
      </c>
      <c r="H24" s="50">
        <v>9.3800000000000008</v>
      </c>
      <c r="I24" s="50">
        <v>2.9</v>
      </c>
      <c r="J24" s="50">
        <v>1.33</v>
      </c>
      <c r="K24" s="50">
        <v>275.74</v>
      </c>
      <c r="L24" s="50">
        <v>29.46</v>
      </c>
      <c r="M24" s="50">
        <v>76.17</v>
      </c>
      <c r="N24" s="50">
        <v>298.2</v>
      </c>
      <c r="O24" s="50">
        <v>0</v>
      </c>
      <c r="P24" s="50">
        <v>0.25</v>
      </c>
      <c r="Q24" s="50">
        <v>4.67</v>
      </c>
    </row>
    <row r="25" spans="1:17" customFormat="1">
      <c r="A25" s="49">
        <v>45546.708333333336</v>
      </c>
      <c r="B25" s="50">
        <v>9.2100000000000009</v>
      </c>
      <c r="C25" s="50">
        <v>4.17</v>
      </c>
      <c r="D25" s="50">
        <v>14</v>
      </c>
      <c r="E25" s="50">
        <v>10.33</v>
      </c>
      <c r="F25" s="50">
        <v>7.94</v>
      </c>
      <c r="G25" s="50">
        <v>19.13</v>
      </c>
      <c r="H25" s="50">
        <v>8.6199999999999992</v>
      </c>
      <c r="I25" s="50">
        <v>2.84</v>
      </c>
      <c r="J25" s="50">
        <v>1.21</v>
      </c>
      <c r="K25" s="50">
        <v>276.3</v>
      </c>
      <c r="L25" s="50">
        <v>29.26</v>
      </c>
      <c r="M25" s="50">
        <v>79.66</v>
      </c>
      <c r="N25" s="50">
        <v>76.7</v>
      </c>
      <c r="O25" s="50">
        <v>0</v>
      </c>
      <c r="P25" s="50">
        <v>0.25</v>
      </c>
      <c r="Q25" s="50">
        <v>4.67</v>
      </c>
    </row>
    <row r="26" spans="1:17" customFormat="1">
      <c r="A26" s="49">
        <v>45546.75</v>
      </c>
      <c r="B26" s="50">
        <v>9.19</v>
      </c>
      <c r="C26" s="50">
        <v>4.2</v>
      </c>
      <c r="D26" s="50">
        <v>14</v>
      </c>
      <c r="E26" s="50">
        <v>10.79</v>
      </c>
      <c r="F26" s="50">
        <v>6.65</v>
      </c>
      <c r="G26" s="50">
        <v>22.31</v>
      </c>
      <c r="H26" s="50">
        <v>10.31</v>
      </c>
      <c r="I26" s="50">
        <v>2.77</v>
      </c>
      <c r="J26" s="50">
        <v>0.94</v>
      </c>
      <c r="K26" s="50">
        <v>275.3</v>
      </c>
      <c r="L26" s="50">
        <v>28.45</v>
      </c>
      <c r="M26" s="50">
        <v>83.26</v>
      </c>
      <c r="N26" s="50">
        <v>26.8</v>
      </c>
      <c r="O26" s="50">
        <v>0</v>
      </c>
      <c r="P26" s="50">
        <v>0.26</v>
      </c>
      <c r="Q26" s="50">
        <v>4.66</v>
      </c>
    </row>
    <row r="27" spans="1:17" customFormat="1">
      <c r="A27" s="49">
        <v>45546.791666666664</v>
      </c>
      <c r="B27" s="50">
        <v>9.19</v>
      </c>
      <c r="C27" s="50">
        <v>4.1900000000000004</v>
      </c>
      <c r="D27" s="50">
        <v>14</v>
      </c>
      <c r="E27" s="50">
        <v>10.18</v>
      </c>
      <c r="F27" s="50">
        <v>5.87</v>
      </c>
      <c r="G27" s="50">
        <v>21.73</v>
      </c>
      <c r="H27" s="50">
        <v>7.26</v>
      </c>
      <c r="I27" s="50">
        <v>2.85</v>
      </c>
      <c r="J27" s="50">
        <v>0.64</v>
      </c>
      <c r="K27" s="50">
        <v>274.95999999999998</v>
      </c>
      <c r="L27" s="50">
        <v>27.63</v>
      </c>
      <c r="M27" s="50">
        <v>87.06</v>
      </c>
      <c r="N27" s="50">
        <v>2.6</v>
      </c>
      <c r="O27" s="50">
        <v>0</v>
      </c>
      <c r="P27" s="50">
        <v>0.28000000000000003</v>
      </c>
      <c r="Q27" s="50">
        <v>4.6500000000000004</v>
      </c>
    </row>
    <row r="28" spans="1:17" customFormat="1">
      <c r="A28" s="49">
        <v>45546.833333333336</v>
      </c>
      <c r="B28" s="50">
        <v>9.1999999999999993</v>
      </c>
      <c r="C28" s="50">
        <v>4.21</v>
      </c>
      <c r="D28" s="50">
        <v>14</v>
      </c>
      <c r="E28" s="50">
        <v>10.66</v>
      </c>
      <c r="F28" s="50">
        <v>7.98</v>
      </c>
      <c r="G28" s="50">
        <v>26.28</v>
      </c>
      <c r="H28" s="50">
        <v>7.7</v>
      </c>
      <c r="I28" s="50">
        <v>3.03</v>
      </c>
      <c r="J28" s="50">
        <v>0.75</v>
      </c>
      <c r="K28" s="50">
        <v>275.12</v>
      </c>
      <c r="L28" s="50">
        <v>27.2</v>
      </c>
      <c r="M28" s="50">
        <v>88.16</v>
      </c>
      <c r="N28" s="50">
        <v>2.4</v>
      </c>
      <c r="O28" s="50">
        <v>0</v>
      </c>
      <c r="P28" s="50">
        <v>0.28000000000000003</v>
      </c>
      <c r="Q28" s="50">
        <v>4.6500000000000004</v>
      </c>
    </row>
    <row r="29" spans="1:17" customFormat="1">
      <c r="A29" s="49">
        <v>45546.875</v>
      </c>
      <c r="B29" s="50">
        <v>9.24</v>
      </c>
      <c r="C29" s="50">
        <v>4.1500000000000004</v>
      </c>
      <c r="D29" s="50">
        <v>14</v>
      </c>
      <c r="E29" s="50">
        <v>10.19</v>
      </c>
      <c r="F29" s="50">
        <v>11.13</v>
      </c>
      <c r="G29" s="50">
        <v>28.66</v>
      </c>
      <c r="H29" s="50">
        <v>9.8699999999999992</v>
      </c>
      <c r="I29" s="50">
        <v>3.03</v>
      </c>
      <c r="J29" s="50">
        <v>0.59</v>
      </c>
      <c r="K29" s="50">
        <v>271.98</v>
      </c>
      <c r="L29" s="50">
        <v>26.87</v>
      </c>
      <c r="M29" s="50">
        <v>89.79</v>
      </c>
      <c r="N29" s="50">
        <v>2.2999999999999998</v>
      </c>
      <c r="O29" s="50">
        <v>0</v>
      </c>
      <c r="P29" s="50">
        <v>0.26</v>
      </c>
      <c r="Q29" s="50">
        <v>4.66</v>
      </c>
    </row>
    <row r="30" spans="1:17" customFormat="1">
      <c r="A30" s="49">
        <v>45546.916666666664</v>
      </c>
      <c r="B30" s="50">
        <v>9.23</v>
      </c>
      <c r="C30" s="50">
        <v>4.1100000000000003</v>
      </c>
      <c r="D30" s="50">
        <v>14</v>
      </c>
      <c r="E30" s="50">
        <v>9.39</v>
      </c>
      <c r="F30" s="50">
        <v>10.01</v>
      </c>
      <c r="G30" s="50">
        <v>23.77</v>
      </c>
      <c r="H30" s="50">
        <v>9.7100000000000009</v>
      </c>
      <c r="I30" s="50">
        <v>3.02</v>
      </c>
      <c r="J30" s="50">
        <v>0.51</v>
      </c>
      <c r="K30" s="50">
        <v>270.20999999999998</v>
      </c>
      <c r="L30" s="50">
        <v>26.31</v>
      </c>
      <c r="M30" s="50">
        <v>92.4</v>
      </c>
      <c r="N30" s="50">
        <v>2.2000000000000002</v>
      </c>
      <c r="O30" s="50">
        <v>0</v>
      </c>
      <c r="P30" s="50">
        <v>0.25</v>
      </c>
      <c r="Q30" s="50">
        <v>4.66</v>
      </c>
    </row>
    <row r="31" spans="1:17" customFormat="1">
      <c r="A31" s="49">
        <v>45546.958333333336</v>
      </c>
      <c r="B31" s="50">
        <v>9.23</v>
      </c>
      <c r="C31" s="50">
        <v>4.1900000000000004</v>
      </c>
      <c r="D31" s="50">
        <v>14</v>
      </c>
      <c r="E31" s="50">
        <v>8.7799999999999994</v>
      </c>
      <c r="F31" s="50">
        <v>7.9</v>
      </c>
      <c r="G31" s="50">
        <v>32.799999999999997</v>
      </c>
      <c r="H31" s="50">
        <v>14.32</v>
      </c>
      <c r="I31" s="50">
        <v>3.04</v>
      </c>
      <c r="J31" s="50">
        <v>0.47</v>
      </c>
      <c r="K31" s="50">
        <v>270.94</v>
      </c>
      <c r="L31" s="50">
        <v>26.19</v>
      </c>
      <c r="M31" s="50">
        <v>92.13</v>
      </c>
      <c r="N31" s="50">
        <v>2.1</v>
      </c>
      <c r="O31" s="50">
        <v>0</v>
      </c>
      <c r="P31" s="50">
        <v>0.24</v>
      </c>
      <c r="Q31" s="50">
        <v>4.66</v>
      </c>
    </row>
    <row r="32" spans="1:17" customFormat="1">
      <c r="A32" s="49">
        <v>45547</v>
      </c>
      <c r="B32" s="50">
        <v>9.17</v>
      </c>
      <c r="C32" s="50">
        <v>4.29</v>
      </c>
      <c r="D32" s="50">
        <v>14</v>
      </c>
      <c r="E32" s="50">
        <v>8.3699999999999992</v>
      </c>
      <c r="F32" s="50">
        <v>7.7</v>
      </c>
      <c r="G32" s="50">
        <v>23.16</v>
      </c>
      <c r="H32" s="50">
        <v>10.75</v>
      </c>
      <c r="I32" s="50">
        <v>2.93</v>
      </c>
      <c r="J32" s="50">
        <v>0.52</v>
      </c>
      <c r="K32" s="50">
        <v>274.11</v>
      </c>
      <c r="L32" s="50">
        <v>25.97</v>
      </c>
      <c r="M32" s="50">
        <v>92.25</v>
      </c>
      <c r="N32" s="50">
        <v>2.2000000000000002</v>
      </c>
      <c r="O32" s="50">
        <v>0</v>
      </c>
      <c r="P32" s="50">
        <v>0.23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9.0500000000000007</v>
      </c>
      <c r="C34" s="40">
        <f t="shared" si="0"/>
        <v>4.08</v>
      </c>
      <c r="D34" s="40">
        <f t="shared" si="0"/>
        <v>14</v>
      </c>
      <c r="E34" s="40">
        <f t="shared" si="0"/>
        <v>8.3699999999999992</v>
      </c>
      <c r="F34" s="40">
        <f t="shared" si="0"/>
        <v>4.0999999999999996</v>
      </c>
      <c r="G34" s="40">
        <f t="shared" si="0"/>
        <v>14.97</v>
      </c>
      <c r="H34" s="40">
        <f t="shared" si="0"/>
        <v>2.79</v>
      </c>
      <c r="I34" s="40">
        <f t="shared" si="0"/>
        <v>2.77</v>
      </c>
      <c r="J34" s="40">
        <f t="shared" si="0"/>
        <v>0.47</v>
      </c>
      <c r="K34" s="40">
        <f t="shared" si="0"/>
        <v>270.20999999999998</v>
      </c>
      <c r="L34" s="40">
        <f t="shared" si="0"/>
        <v>25.65</v>
      </c>
      <c r="M34" s="40">
        <f t="shared" si="0"/>
        <v>76.17</v>
      </c>
      <c r="N34" s="40">
        <f t="shared" si="0"/>
        <v>2.1</v>
      </c>
      <c r="O34" s="40">
        <f t="shared" si="0"/>
        <v>0</v>
      </c>
      <c r="P34" s="40">
        <f t="shared" si="0"/>
        <v>0.23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9.3000000000000007</v>
      </c>
      <c r="C35" s="33">
        <f t="shared" si="1"/>
        <v>4.4000000000000004</v>
      </c>
      <c r="D35" s="33">
        <f t="shared" si="1"/>
        <v>14.03</v>
      </c>
      <c r="E35" s="33">
        <f t="shared" si="1"/>
        <v>12.42</v>
      </c>
      <c r="F35" s="33">
        <f t="shared" si="1"/>
        <v>11.13</v>
      </c>
      <c r="G35" s="33">
        <f t="shared" si="1"/>
        <v>32.799999999999997</v>
      </c>
      <c r="H35" s="33">
        <f t="shared" si="1"/>
        <v>15.61</v>
      </c>
      <c r="I35" s="33">
        <f t="shared" si="1"/>
        <v>3.41</v>
      </c>
      <c r="J35" s="33">
        <f t="shared" si="1"/>
        <v>1.33</v>
      </c>
      <c r="K35" s="33">
        <f t="shared" si="1"/>
        <v>278.29000000000002</v>
      </c>
      <c r="L35" s="33">
        <f t="shared" si="1"/>
        <v>29.46</v>
      </c>
      <c r="M35" s="33">
        <f t="shared" si="1"/>
        <v>93.42</v>
      </c>
      <c r="N35" s="33">
        <f t="shared" si="1"/>
        <v>547.1</v>
      </c>
      <c r="O35" s="33">
        <f t="shared" si="1"/>
        <v>0</v>
      </c>
      <c r="P35" s="33">
        <f t="shared" si="1"/>
        <v>0.34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9.1954166666666648</v>
      </c>
      <c r="C36" s="40">
        <f t="shared" si="2"/>
        <v>4.2208333333333341</v>
      </c>
      <c r="D36" s="40">
        <f t="shared" si="2"/>
        <v>14.001666666666665</v>
      </c>
      <c r="E36" s="40">
        <f t="shared" si="2"/>
        <v>10.276666666666667</v>
      </c>
      <c r="F36" s="40">
        <f t="shared" si="2"/>
        <v>6.3995833333333332</v>
      </c>
      <c r="G36" s="40">
        <f t="shared" si="2"/>
        <v>22.529583333333335</v>
      </c>
      <c r="H36" s="40">
        <f t="shared" si="2"/>
        <v>8.9320833333333329</v>
      </c>
      <c r="I36" s="40">
        <f t="shared" si="2"/>
        <v>3.0945833333333339</v>
      </c>
      <c r="J36" s="40">
        <f t="shared" si="2"/>
        <v>0.9654166666666667</v>
      </c>
      <c r="K36" s="40">
        <f t="shared" si="2"/>
        <v>275.57874999999996</v>
      </c>
      <c r="L36" s="40">
        <f t="shared" si="2"/>
        <v>27.322500000000005</v>
      </c>
      <c r="M36" s="40">
        <f t="shared" si="2"/>
        <v>87.275833333333352</v>
      </c>
      <c r="N36" s="40">
        <f t="shared" si="2"/>
        <v>105.73333333333331</v>
      </c>
      <c r="O36" s="40">
        <f t="shared" si="2"/>
        <v>0</v>
      </c>
      <c r="P36" s="40">
        <f t="shared" si="2"/>
        <v>0.29000000000000004</v>
      </c>
      <c r="Q36" s="40">
        <f t="shared" si="2"/>
        <v>4.6533333333333333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6.446968729341071E-2</v>
      </c>
      <c r="C37" s="40">
        <f t="shared" ref="C37:Q37" si="3">STDEV(C9:C32)</f>
        <v>9.3572416349318246E-2</v>
      </c>
      <c r="D37" s="40">
        <f t="shared" si="3"/>
        <v>6.3702205727059272E-3</v>
      </c>
      <c r="E37" s="40">
        <f t="shared" si="3"/>
        <v>1.001601615963893</v>
      </c>
      <c r="F37" s="40">
        <f t="shared" si="3"/>
        <v>1.7384237717383308</v>
      </c>
      <c r="G37" s="40">
        <f t="shared" si="3"/>
        <v>4.2514043502441838</v>
      </c>
      <c r="H37" s="40">
        <f t="shared" si="3"/>
        <v>3.6129814006508938</v>
      </c>
      <c r="I37" s="40">
        <f t="shared" si="3"/>
        <v>0.17108297419079832</v>
      </c>
      <c r="J37" s="40">
        <f t="shared" si="3"/>
        <v>0.27831760347810708</v>
      </c>
      <c r="K37" s="40">
        <f t="shared" si="3"/>
        <v>2.0479604116903323</v>
      </c>
      <c r="L37" s="40">
        <f t="shared" si="3"/>
        <v>1.3359421036659538</v>
      </c>
      <c r="M37" s="40">
        <f t="shared" si="3"/>
        <v>5.7770467230738491</v>
      </c>
      <c r="N37" s="40">
        <f t="shared" si="3"/>
        <v>143.98966649718662</v>
      </c>
      <c r="O37" s="40">
        <f t="shared" si="3"/>
        <v>0</v>
      </c>
      <c r="P37" s="40">
        <f t="shared" si="3"/>
        <v>3.4641016151377588E-2</v>
      </c>
      <c r="Q37" s="40">
        <f t="shared" si="3"/>
        <v>1.2038585308576941E-2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G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45547.041666666664</v>
      </c>
      <c r="B9" s="50">
        <v>9.32</v>
      </c>
      <c r="C9" s="50">
        <v>4.1100000000000003</v>
      </c>
      <c r="D9" s="50">
        <v>14.03</v>
      </c>
      <c r="E9" s="50">
        <v>9.23</v>
      </c>
      <c r="F9" s="50">
        <v>5.24</v>
      </c>
      <c r="G9" s="50">
        <v>20.79</v>
      </c>
      <c r="H9" s="50">
        <v>7.75</v>
      </c>
      <c r="I9" s="50">
        <v>2.95</v>
      </c>
      <c r="J9" s="50">
        <v>0.56999999999999995</v>
      </c>
      <c r="K9" s="50">
        <v>272.88</v>
      </c>
      <c r="L9" s="50">
        <v>25.84</v>
      </c>
      <c r="M9" s="50">
        <v>92.3</v>
      </c>
      <c r="N9" s="50">
        <v>2.1</v>
      </c>
      <c r="O9" s="50">
        <v>0</v>
      </c>
      <c r="P9" s="50">
        <v>0.26</v>
      </c>
      <c r="Q9" s="50">
        <v>4.6500000000000004</v>
      </c>
    </row>
    <row r="10" spans="1:21" customFormat="1">
      <c r="A10" s="49">
        <v>45547.083333333336</v>
      </c>
      <c r="B10" s="50">
        <v>9.2899999999999991</v>
      </c>
      <c r="C10" s="50">
        <v>4.0999999999999996</v>
      </c>
      <c r="D10" s="50">
        <v>14.03</v>
      </c>
      <c r="E10" s="50">
        <v>9.2899999999999991</v>
      </c>
      <c r="F10" s="50">
        <v>3.93</v>
      </c>
      <c r="G10" s="50">
        <v>16.77</v>
      </c>
      <c r="H10" s="50">
        <v>5.48</v>
      </c>
      <c r="I10" s="50">
        <v>2.96</v>
      </c>
      <c r="J10" s="50">
        <v>0.61</v>
      </c>
      <c r="K10" s="50">
        <v>271.74</v>
      </c>
      <c r="L10" s="50">
        <v>25.74</v>
      </c>
      <c r="M10" s="50">
        <v>92.35</v>
      </c>
      <c r="N10" s="50">
        <v>2.2999999999999998</v>
      </c>
      <c r="O10" s="50">
        <v>0</v>
      </c>
      <c r="P10" s="50">
        <v>0.26</v>
      </c>
      <c r="Q10" s="50">
        <v>4.66</v>
      </c>
    </row>
    <row r="11" spans="1:21" customFormat="1">
      <c r="A11" s="49">
        <v>45547.125</v>
      </c>
      <c r="B11" s="50">
        <v>9.31</v>
      </c>
      <c r="C11" s="50">
        <v>4.0599999999999996</v>
      </c>
      <c r="D11" s="50">
        <v>14.03</v>
      </c>
      <c r="E11" s="50">
        <v>8.6199999999999992</v>
      </c>
      <c r="F11" s="50">
        <v>2.95</v>
      </c>
      <c r="G11" s="50">
        <v>21.09</v>
      </c>
      <c r="H11" s="50">
        <v>4.46</v>
      </c>
      <c r="I11" s="50">
        <v>2.99</v>
      </c>
      <c r="J11" s="50">
        <v>0.44</v>
      </c>
      <c r="K11" s="50">
        <v>270.63</v>
      </c>
      <c r="L11" s="50">
        <v>25.64</v>
      </c>
      <c r="M11" s="50">
        <v>92.7</v>
      </c>
      <c r="N11" s="50">
        <v>2.2999999999999998</v>
      </c>
      <c r="O11" s="50">
        <v>0</v>
      </c>
      <c r="P11" s="50">
        <v>0.26</v>
      </c>
      <c r="Q11" s="50">
        <v>4.66</v>
      </c>
    </row>
    <row r="12" spans="1:21" customFormat="1">
      <c r="A12" s="49">
        <v>45547.166666666664</v>
      </c>
      <c r="B12" s="50">
        <v>9.31</v>
      </c>
      <c r="C12" s="50">
        <v>4.1100000000000003</v>
      </c>
      <c r="D12" s="50">
        <v>14.06</v>
      </c>
      <c r="E12" s="50">
        <v>9.2200000000000006</v>
      </c>
      <c r="F12" s="50">
        <v>2.4300000000000002</v>
      </c>
      <c r="G12" s="50">
        <v>19.600000000000001</v>
      </c>
      <c r="H12" s="50">
        <v>3.7</v>
      </c>
      <c r="I12" s="50">
        <v>2.88</v>
      </c>
      <c r="J12" s="50">
        <v>0.39</v>
      </c>
      <c r="K12" s="50">
        <v>268.82</v>
      </c>
      <c r="L12" s="50">
        <v>25.47</v>
      </c>
      <c r="M12" s="50">
        <v>95.08</v>
      </c>
      <c r="N12" s="50">
        <v>2.4</v>
      </c>
      <c r="O12" s="50">
        <v>0</v>
      </c>
      <c r="P12" s="50">
        <v>0.25</v>
      </c>
      <c r="Q12" s="50">
        <v>4.66</v>
      </c>
    </row>
    <row r="13" spans="1:21" customFormat="1">
      <c r="A13" s="49">
        <v>45547.208333333336</v>
      </c>
      <c r="B13" s="50">
        <v>9.31</v>
      </c>
      <c r="C13" s="50">
        <v>4.08</v>
      </c>
      <c r="D13" s="50">
        <v>14.04</v>
      </c>
      <c r="E13" s="50">
        <v>10.130000000000001</v>
      </c>
      <c r="F13" s="50">
        <v>2.2799999999999998</v>
      </c>
      <c r="G13" s="50">
        <v>16.45</v>
      </c>
      <c r="H13" s="50">
        <v>3.21</v>
      </c>
      <c r="I13" s="50">
        <v>2.99</v>
      </c>
      <c r="J13" s="50">
        <v>0.38</v>
      </c>
      <c r="K13" s="50">
        <v>272.58999999999997</v>
      </c>
      <c r="L13" s="50">
        <v>25.41</v>
      </c>
      <c r="M13" s="50">
        <v>94.11</v>
      </c>
      <c r="N13" s="50">
        <v>2.2999999999999998</v>
      </c>
      <c r="O13" s="50">
        <v>0</v>
      </c>
      <c r="P13" s="50">
        <v>0.26</v>
      </c>
      <c r="Q13" s="50">
        <v>4.66</v>
      </c>
    </row>
    <row r="14" spans="1:21" customFormat="1">
      <c r="A14" s="49">
        <v>45547.25</v>
      </c>
      <c r="B14" s="50">
        <v>9.35</v>
      </c>
      <c r="C14" s="50">
        <v>4.0999999999999996</v>
      </c>
      <c r="D14" s="50">
        <v>14.09</v>
      </c>
      <c r="E14" s="50">
        <v>9.91</v>
      </c>
      <c r="F14" s="50">
        <v>2.83</v>
      </c>
      <c r="G14" s="50">
        <v>12.78</v>
      </c>
      <c r="H14" s="50">
        <v>2.44</v>
      </c>
      <c r="I14" s="50">
        <v>3.15</v>
      </c>
      <c r="J14" s="50">
        <v>0.43</v>
      </c>
      <c r="K14" s="50">
        <v>270.36</v>
      </c>
      <c r="L14" s="50">
        <v>25.2</v>
      </c>
      <c r="M14" s="50">
        <v>94.39</v>
      </c>
      <c r="N14" s="50">
        <v>10.4</v>
      </c>
      <c r="O14" s="50">
        <v>0</v>
      </c>
      <c r="P14" s="50">
        <v>0.25</v>
      </c>
      <c r="Q14" s="50">
        <v>4.66</v>
      </c>
    </row>
    <row r="15" spans="1:21" customFormat="1">
      <c r="A15" s="49">
        <v>45547.291666666664</v>
      </c>
      <c r="B15" s="50">
        <v>9.41</v>
      </c>
      <c r="C15" s="50">
        <v>4.07</v>
      </c>
      <c r="D15" s="50">
        <v>14.1</v>
      </c>
      <c r="E15" s="50">
        <v>8.14</v>
      </c>
      <c r="F15" s="50">
        <v>3.9</v>
      </c>
      <c r="G15" s="50">
        <v>16.29</v>
      </c>
      <c r="H15" s="50">
        <v>1.86</v>
      </c>
      <c r="I15" s="50">
        <v>3.14</v>
      </c>
      <c r="J15" s="50">
        <v>0.59</v>
      </c>
      <c r="K15" s="50">
        <v>271.83</v>
      </c>
      <c r="L15" s="50">
        <v>25.72</v>
      </c>
      <c r="M15" s="50">
        <v>95.05</v>
      </c>
      <c r="N15" s="50">
        <v>42.8</v>
      </c>
      <c r="O15" s="50">
        <v>0</v>
      </c>
      <c r="P15" s="50">
        <v>0.23</v>
      </c>
      <c r="Q15" s="50">
        <v>4.66</v>
      </c>
    </row>
    <row r="16" spans="1:21" customFormat="1">
      <c r="A16" s="49">
        <v>45547.333333333336</v>
      </c>
      <c r="B16" s="50">
        <v>9.3800000000000008</v>
      </c>
      <c r="C16" s="50">
        <v>4.1100000000000003</v>
      </c>
      <c r="D16" s="50">
        <v>14.1</v>
      </c>
      <c r="E16" s="50">
        <v>7.69</v>
      </c>
      <c r="F16" s="50">
        <v>4.22</v>
      </c>
      <c r="G16" s="50">
        <v>13.05</v>
      </c>
      <c r="H16" s="50">
        <v>1.61</v>
      </c>
      <c r="I16" s="50">
        <v>3.11</v>
      </c>
      <c r="J16" s="50">
        <v>0.79</v>
      </c>
      <c r="K16" s="50">
        <v>274.95999999999998</v>
      </c>
      <c r="L16" s="50">
        <v>27.41</v>
      </c>
      <c r="M16" s="50">
        <v>90.02</v>
      </c>
      <c r="N16" s="50">
        <v>187.7</v>
      </c>
      <c r="O16" s="50">
        <v>0</v>
      </c>
      <c r="P16" s="50">
        <v>0.22</v>
      </c>
      <c r="Q16" s="50">
        <v>4.66</v>
      </c>
    </row>
    <row r="17" spans="1:17" customFormat="1">
      <c r="A17" s="49">
        <v>45547.375</v>
      </c>
      <c r="B17" s="50">
        <v>9.34</v>
      </c>
      <c r="C17" s="50">
        <v>4.09</v>
      </c>
      <c r="D17" s="50">
        <v>14.08</v>
      </c>
      <c r="E17" s="50">
        <v>7.77</v>
      </c>
      <c r="F17" s="50">
        <v>5.18</v>
      </c>
      <c r="G17" s="50">
        <v>11.72</v>
      </c>
      <c r="H17" s="50">
        <v>1.38</v>
      </c>
      <c r="I17" s="50">
        <v>3.14</v>
      </c>
      <c r="J17" s="50">
        <v>1.4</v>
      </c>
      <c r="K17" s="50">
        <v>278.23</v>
      </c>
      <c r="L17" s="50">
        <v>28.43</v>
      </c>
      <c r="M17" s="50">
        <v>83.75</v>
      </c>
      <c r="N17" s="50">
        <v>351.5</v>
      </c>
      <c r="O17" s="50">
        <v>0</v>
      </c>
      <c r="P17" s="50">
        <v>0.22</v>
      </c>
      <c r="Q17" s="50">
        <v>4.66</v>
      </c>
    </row>
    <row r="18" spans="1:17" customFormat="1">
      <c r="A18" s="49">
        <v>45547.416666666664</v>
      </c>
      <c r="B18" s="50">
        <v>9.34</v>
      </c>
      <c r="C18" s="50">
        <v>4.08</v>
      </c>
      <c r="D18" s="50">
        <v>14.07</v>
      </c>
      <c r="E18" s="50">
        <v>7.49</v>
      </c>
      <c r="F18" s="50">
        <v>6.16</v>
      </c>
      <c r="G18" s="50">
        <v>10.84</v>
      </c>
      <c r="H18" s="50">
        <v>1.49</v>
      </c>
      <c r="I18" s="50">
        <v>3.05</v>
      </c>
      <c r="J18" s="50">
        <v>1.1100000000000001</v>
      </c>
      <c r="K18" s="50">
        <v>278.16000000000003</v>
      </c>
      <c r="L18" s="50">
        <v>30.23</v>
      </c>
      <c r="M18" s="50">
        <v>78</v>
      </c>
      <c r="N18" s="50">
        <v>591.79999999999995</v>
      </c>
      <c r="O18" s="50">
        <v>0</v>
      </c>
      <c r="P18" s="50">
        <v>0.25</v>
      </c>
      <c r="Q18" s="50">
        <v>4.66</v>
      </c>
    </row>
    <row r="19" spans="1:17" customFormat="1">
      <c r="A19" s="49">
        <v>45547.458333333336</v>
      </c>
      <c r="B19" s="50">
        <v>9.34</v>
      </c>
      <c r="C19" s="50">
        <v>4.07</v>
      </c>
      <c r="D19" s="50">
        <v>14.05</v>
      </c>
      <c r="E19" s="50">
        <v>9.25</v>
      </c>
      <c r="F19" s="50">
        <v>6.63</v>
      </c>
      <c r="G19" s="50">
        <v>17.11</v>
      </c>
      <c r="H19" s="50">
        <v>1.58</v>
      </c>
      <c r="I19" s="50">
        <v>3</v>
      </c>
      <c r="J19" s="50">
        <v>1.33</v>
      </c>
      <c r="K19" s="50">
        <v>288.37</v>
      </c>
      <c r="L19" s="50">
        <v>30.71</v>
      </c>
      <c r="M19" s="50">
        <v>72.63</v>
      </c>
      <c r="N19" s="50">
        <v>430.7</v>
      </c>
      <c r="O19" s="50">
        <v>0</v>
      </c>
      <c r="P19" s="50">
        <v>0.26</v>
      </c>
      <c r="Q19" s="50">
        <v>4.66</v>
      </c>
    </row>
    <row r="20" spans="1:17" customFormat="1">
      <c r="A20" s="49">
        <v>45547.5</v>
      </c>
      <c r="B20" s="50">
        <v>9.33</v>
      </c>
      <c r="C20" s="50">
        <v>4.08</v>
      </c>
      <c r="D20" s="50">
        <v>14.05</v>
      </c>
      <c r="E20" s="50">
        <v>10.57</v>
      </c>
      <c r="F20" s="50">
        <v>7.19</v>
      </c>
      <c r="G20" s="50">
        <v>20.03</v>
      </c>
      <c r="H20" s="50">
        <v>2.2599999999999998</v>
      </c>
      <c r="I20" s="50">
        <v>3.33</v>
      </c>
      <c r="J20" s="50">
        <v>1.21</v>
      </c>
      <c r="K20" s="50">
        <v>285.76</v>
      </c>
      <c r="L20" s="50">
        <v>31.01</v>
      </c>
      <c r="M20" s="50">
        <v>71.11</v>
      </c>
      <c r="N20" s="50">
        <v>675.1</v>
      </c>
      <c r="O20" s="50">
        <v>0</v>
      </c>
      <c r="P20" s="50">
        <v>0.27</v>
      </c>
      <c r="Q20" s="50">
        <v>4.6500000000000004</v>
      </c>
    </row>
    <row r="21" spans="1:17" customFormat="1">
      <c r="A21" s="49">
        <v>45547.541666666664</v>
      </c>
      <c r="B21" s="50">
        <v>9.3800000000000008</v>
      </c>
      <c r="C21" s="50">
        <v>4.07</v>
      </c>
      <c r="D21" s="50">
        <v>14.09</v>
      </c>
      <c r="E21" s="50">
        <v>10.65</v>
      </c>
      <c r="F21" s="50">
        <v>5.79</v>
      </c>
      <c r="G21" s="50">
        <v>27.66</v>
      </c>
      <c r="H21" s="50">
        <v>3.51</v>
      </c>
      <c r="I21" s="50">
        <v>3.38</v>
      </c>
      <c r="J21" s="50">
        <v>1.2</v>
      </c>
      <c r="K21" s="50">
        <v>276.99</v>
      </c>
      <c r="L21" s="50">
        <v>31.62</v>
      </c>
      <c r="M21" s="50">
        <v>67.72</v>
      </c>
      <c r="N21" s="50">
        <v>758.9</v>
      </c>
      <c r="O21" s="50">
        <v>0</v>
      </c>
      <c r="P21" s="50">
        <v>0.27</v>
      </c>
      <c r="Q21" s="50">
        <v>4.67</v>
      </c>
    </row>
    <row r="22" spans="1:17" customFormat="1">
      <c r="A22" s="49">
        <v>45547.583333333336</v>
      </c>
      <c r="B22" s="50">
        <v>9.3800000000000008</v>
      </c>
      <c r="C22" s="50">
        <v>4.0999999999999996</v>
      </c>
      <c r="D22" s="50">
        <v>14.1</v>
      </c>
      <c r="E22" s="50">
        <v>8.2799999999999994</v>
      </c>
      <c r="F22" s="50">
        <v>9.5299999999999994</v>
      </c>
      <c r="G22" s="11" t="s">
        <v>12</v>
      </c>
      <c r="H22" s="11" t="s">
        <v>12</v>
      </c>
      <c r="I22" s="50">
        <v>3.31</v>
      </c>
      <c r="J22" s="50">
        <v>0.98</v>
      </c>
      <c r="K22" s="50">
        <v>278.54000000000002</v>
      </c>
      <c r="L22" s="50">
        <v>31.55</v>
      </c>
      <c r="M22" s="50">
        <v>67.94</v>
      </c>
      <c r="N22" s="50">
        <v>467.5</v>
      </c>
      <c r="O22" s="50">
        <v>0</v>
      </c>
      <c r="P22" s="50">
        <v>0.28000000000000003</v>
      </c>
      <c r="Q22" s="50">
        <v>4.66</v>
      </c>
    </row>
    <row r="23" spans="1:17" customFormat="1">
      <c r="A23" s="49">
        <v>45547.625</v>
      </c>
      <c r="B23" s="50">
        <v>9.5</v>
      </c>
      <c r="C23" s="50">
        <v>4.03</v>
      </c>
      <c r="D23" s="50">
        <v>14.16</v>
      </c>
      <c r="E23" s="50">
        <v>10.54</v>
      </c>
      <c r="F23" s="50">
        <v>10.83</v>
      </c>
      <c r="G23" s="50">
        <v>27.06</v>
      </c>
      <c r="H23" s="11" t="s">
        <v>12</v>
      </c>
      <c r="I23" s="50">
        <v>3.3</v>
      </c>
      <c r="J23" s="50">
        <v>1.35</v>
      </c>
      <c r="K23" s="50">
        <v>276.52999999999997</v>
      </c>
      <c r="L23" s="50">
        <v>31.42</v>
      </c>
      <c r="M23" s="50">
        <v>66.25</v>
      </c>
      <c r="N23" s="50">
        <v>409.8</v>
      </c>
      <c r="O23" s="50">
        <v>0</v>
      </c>
      <c r="P23" s="50">
        <v>0.3</v>
      </c>
      <c r="Q23" s="50">
        <v>4.6500000000000004</v>
      </c>
    </row>
    <row r="24" spans="1:17" customFormat="1">
      <c r="A24" s="49">
        <v>45547.666666666664</v>
      </c>
      <c r="B24" s="50">
        <v>9.34</v>
      </c>
      <c r="C24" s="50">
        <v>4.09</v>
      </c>
      <c r="D24" s="50">
        <v>14.08</v>
      </c>
      <c r="E24" s="50">
        <v>9.7899999999999991</v>
      </c>
      <c r="F24" s="50">
        <v>8.17</v>
      </c>
      <c r="G24" s="50">
        <v>27.06</v>
      </c>
      <c r="H24" s="11" t="s">
        <v>12</v>
      </c>
      <c r="I24" s="50">
        <v>3.29</v>
      </c>
      <c r="J24" s="50">
        <v>1.19</v>
      </c>
      <c r="K24" s="50">
        <v>277.64</v>
      </c>
      <c r="L24" s="50">
        <v>31.08</v>
      </c>
      <c r="M24" s="50">
        <v>65.66</v>
      </c>
      <c r="N24" s="50">
        <v>425.1</v>
      </c>
      <c r="O24" s="50">
        <v>0</v>
      </c>
      <c r="P24" s="50">
        <v>0.3</v>
      </c>
      <c r="Q24" s="50">
        <v>4.63</v>
      </c>
    </row>
    <row r="25" spans="1:17" customFormat="1">
      <c r="A25" s="49">
        <v>45547.708333333336</v>
      </c>
      <c r="B25" s="50">
        <v>9.35</v>
      </c>
      <c r="C25" s="50">
        <v>4.1100000000000003</v>
      </c>
      <c r="D25" s="50">
        <v>14.08</v>
      </c>
      <c r="E25" s="50">
        <v>9.58</v>
      </c>
      <c r="F25" s="50">
        <v>7.18</v>
      </c>
      <c r="G25" s="50">
        <v>22.33</v>
      </c>
      <c r="H25" s="50">
        <v>3.11</v>
      </c>
      <c r="I25" s="50">
        <v>3.28</v>
      </c>
      <c r="J25" s="50">
        <v>1.08</v>
      </c>
      <c r="K25" s="50">
        <v>275.62</v>
      </c>
      <c r="L25" s="50">
        <v>30.63</v>
      </c>
      <c r="M25" s="50">
        <v>70.62</v>
      </c>
      <c r="N25" s="50">
        <v>82.5</v>
      </c>
      <c r="O25" s="50">
        <v>0</v>
      </c>
      <c r="P25" s="50">
        <v>0.3</v>
      </c>
      <c r="Q25" s="50">
        <v>4.6500000000000004</v>
      </c>
    </row>
    <row r="26" spans="1:17" customFormat="1">
      <c r="A26" s="49">
        <v>45547.75</v>
      </c>
      <c r="B26" s="50">
        <v>9.34</v>
      </c>
      <c r="C26" s="50">
        <v>4.0999999999999996</v>
      </c>
      <c r="D26" s="50">
        <v>14.07</v>
      </c>
      <c r="E26" s="50">
        <v>9.41</v>
      </c>
      <c r="F26" s="50">
        <v>7.53</v>
      </c>
      <c r="G26" s="50">
        <v>16.510000000000002</v>
      </c>
      <c r="H26" s="50">
        <v>3.11</v>
      </c>
      <c r="I26" s="50">
        <v>3.31</v>
      </c>
      <c r="J26" s="50">
        <v>0.85</v>
      </c>
      <c r="K26" s="50">
        <v>274.63</v>
      </c>
      <c r="L26" s="50">
        <v>29.75</v>
      </c>
      <c r="M26" s="50">
        <v>73.28</v>
      </c>
      <c r="N26" s="50">
        <v>22.9</v>
      </c>
      <c r="O26" s="50">
        <v>0</v>
      </c>
      <c r="P26" s="50">
        <v>0.3</v>
      </c>
      <c r="Q26" s="50">
        <v>4.6500000000000004</v>
      </c>
    </row>
    <row r="27" spans="1:17" customFormat="1">
      <c r="A27" s="49">
        <v>45547.791666666664</v>
      </c>
      <c r="B27" s="50">
        <v>9.35</v>
      </c>
      <c r="C27" s="50">
        <v>4.08</v>
      </c>
      <c r="D27" s="50">
        <v>14.07</v>
      </c>
      <c r="E27" s="50">
        <v>9.67</v>
      </c>
      <c r="F27" s="50">
        <v>8.2200000000000006</v>
      </c>
      <c r="G27" s="50">
        <v>14.34</v>
      </c>
      <c r="H27" s="50">
        <v>2.99</v>
      </c>
      <c r="I27" s="50">
        <v>3.36</v>
      </c>
      <c r="J27" s="50">
        <v>0.64</v>
      </c>
      <c r="K27" s="50">
        <v>272</v>
      </c>
      <c r="L27" s="50">
        <v>29.13</v>
      </c>
      <c r="M27" s="50">
        <v>78.89</v>
      </c>
      <c r="N27" s="50">
        <v>2.5</v>
      </c>
      <c r="O27" s="50">
        <v>0</v>
      </c>
      <c r="P27" s="50">
        <v>0.31</v>
      </c>
      <c r="Q27" s="50">
        <v>4.6399999999999997</v>
      </c>
    </row>
    <row r="28" spans="1:17" customFormat="1">
      <c r="A28" s="49">
        <v>45547.833333333336</v>
      </c>
      <c r="B28" s="50">
        <v>9.4600000000000009</v>
      </c>
      <c r="C28" s="50">
        <v>4.12</v>
      </c>
      <c r="D28" s="50">
        <v>14.17</v>
      </c>
      <c r="E28" s="50">
        <v>10.54</v>
      </c>
      <c r="F28" s="50">
        <v>8.2899999999999991</v>
      </c>
      <c r="G28" s="50">
        <v>18.46</v>
      </c>
      <c r="H28" s="50">
        <v>3.62</v>
      </c>
      <c r="I28" s="50">
        <v>3.52</v>
      </c>
      <c r="J28" s="50">
        <v>0.69</v>
      </c>
      <c r="K28" s="50">
        <v>271.52999999999997</v>
      </c>
      <c r="L28" s="50">
        <v>28.51</v>
      </c>
      <c r="M28" s="50">
        <v>79.510000000000005</v>
      </c>
      <c r="N28" s="50">
        <v>2.2999999999999998</v>
      </c>
      <c r="O28" s="50">
        <v>0</v>
      </c>
      <c r="P28" s="50">
        <v>0.31</v>
      </c>
      <c r="Q28" s="50">
        <v>4.66</v>
      </c>
    </row>
    <row r="29" spans="1:17" customFormat="1">
      <c r="A29" s="49">
        <v>45547.875</v>
      </c>
      <c r="B29" s="50">
        <v>9.39</v>
      </c>
      <c r="C29" s="50">
        <v>4.09</v>
      </c>
      <c r="D29" s="50">
        <v>14.11</v>
      </c>
      <c r="E29" s="50">
        <v>11.71</v>
      </c>
      <c r="F29" s="50">
        <v>5.52</v>
      </c>
      <c r="G29" s="50">
        <v>18.46</v>
      </c>
      <c r="H29" s="50">
        <v>3.62</v>
      </c>
      <c r="I29" s="50">
        <v>3.97</v>
      </c>
      <c r="J29" s="50">
        <v>0.74</v>
      </c>
      <c r="K29" s="50">
        <v>277.27999999999997</v>
      </c>
      <c r="L29" s="50">
        <v>28.22</v>
      </c>
      <c r="M29" s="50">
        <v>78.92</v>
      </c>
      <c r="N29" s="50">
        <v>2.2999999999999998</v>
      </c>
      <c r="O29" s="50">
        <v>0</v>
      </c>
      <c r="P29" s="50">
        <v>0.41</v>
      </c>
      <c r="Q29" s="50">
        <v>4.67</v>
      </c>
    </row>
    <row r="30" spans="1:17" customFormat="1">
      <c r="A30" s="49">
        <v>45547.916666666664</v>
      </c>
      <c r="B30" s="50">
        <v>9.32</v>
      </c>
      <c r="C30" s="50">
        <v>4.09</v>
      </c>
      <c r="D30" s="50">
        <v>14.05</v>
      </c>
      <c r="E30" s="50">
        <v>13.53</v>
      </c>
      <c r="F30" s="50">
        <v>4.8899999999999997</v>
      </c>
      <c r="G30" s="50">
        <v>30.25</v>
      </c>
      <c r="H30" s="50">
        <v>3.47</v>
      </c>
      <c r="I30" s="50">
        <v>5.88</v>
      </c>
      <c r="J30" s="50">
        <v>0.64</v>
      </c>
      <c r="K30" s="50">
        <v>272.83999999999997</v>
      </c>
      <c r="L30" s="50">
        <v>27.82</v>
      </c>
      <c r="M30" s="50">
        <v>80.989999999999995</v>
      </c>
      <c r="N30" s="50">
        <v>2.2999999999999998</v>
      </c>
      <c r="O30" s="50">
        <v>0</v>
      </c>
      <c r="P30" s="50">
        <v>0.56999999999999995</v>
      </c>
      <c r="Q30" s="50">
        <v>4.66</v>
      </c>
    </row>
    <row r="31" spans="1:17" customFormat="1">
      <c r="A31" s="49">
        <v>45547.958333333336</v>
      </c>
      <c r="B31" s="50">
        <v>9.32</v>
      </c>
      <c r="C31" s="50">
        <v>4.09</v>
      </c>
      <c r="D31" s="50">
        <v>14.06</v>
      </c>
      <c r="E31" s="50">
        <v>12.51</v>
      </c>
      <c r="F31" s="50">
        <v>5.84</v>
      </c>
      <c r="G31" s="50">
        <v>30.52</v>
      </c>
      <c r="H31" s="50">
        <v>4.1500000000000004</v>
      </c>
      <c r="I31" s="50">
        <v>7.91</v>
      </c>
      <c r="J31" s="50">
        <v>0.64</v>
      </c>
      <c r="K31" s="50">
        <v>270.05</v>
      </c>
      <c r="L31" s="50">
        <v>27.54</v>
      </c>
      <c r="M31" s="50">
        <v>84.67</v>
      </c>
      <c r="N31" s="50">
        <v>2.4</v>
      </c>
      <c r="O31" s="50">
        <v>0</v>
      </c>
      <c r="P31" s="50">
        <v>0.48</v>
      </c>
      <c r="Q31" s="50">
        <v>4.67</v>
      </c>
    </row>
    <row r="32" spans="1:17" customFormat="1">
      <c r="A32" s="49">
        <v>45548</v>
      </c>
      <c r="B32" s="50">
        <v>9.32</v>
      </c>
      <c r="C32" s="50">
        <v>4.1100000000000003</v>
      </c>
      <c r="D32" s="50">
        <v>14.06</v>
      </c>
      <c r="E32" s="50">
        <v>12.84</v>
      </c>
      <c r="F32" s="50">
        <v>5.51</v>
      </c>
      <c r="G32" s="50">
        <v>30.52</v>
      </c>
      <c r="H32" s="50">
        <v>4.1500000000000004</v>
      </c>
      <c r="I32" s="50">
        <v>5.88</v>
      </c>
      <c r="J32" s="50">
        <v>0.8</v>
      </c>
      <c r="K32" s="50">
        <v>274.91000000000003</v>
      </c>
      <c r="L32" s="50">
        <v>27.13</v>
      </c>
      <c r="M32" s="50">
        <v>87.48</v>
      </c>
      <c r="N32" s="50">
        <v>2.2999999999999998</v>
      </c>
      <c r="O32" s="50">
        <v>0</v>
      </c>
      <c r="P32" s="50">
        <v>0.46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9.2899999999999991</v>
      </c>
      <c r="C34" s="40">
        <f t="shared" si="0"/>
        <v>4.03</v>
      </c>
      <c r="D34" s="40">
        <f t="shared" si="0"/>
        <v>14.03</v>
      </c>
      <c r="E34" s="40">
        <f t="shared" si="0"/>
        <v>7.49</v>
      </c>
      <c r="F34" s="40">
        <f t="shared" si="0"/>
        <v>2.2799999999999998</v>
      </c>
      <c r="G34" s="40">
        <f t="shared" si="0"/>
        <v>10.84</v>
      </c>
      <c r="H34" s="40">
        <f t="shared" si="0"/>
        <v>1.38</v>
      </c>
      <c r="I34" s="40">
        <f t="shared" si="0"/>
        <v>2.88</v>
      </c>
      <c r="J34" s="40">
        <f t="shared" si="0"/>
        <v>0.38</v>
      </c>
      <c r="K34" s="40">
        <f t="shared" si="0"/>
        <v>268.82</v>
      </c>
      <c r="L34" s="40">
        <f t="shared" si="0"/>
        <v>25.2</v>
      </c>
      <c r="M34" s="40">
        <f t="shared" si="0"/>
        <v>65.66</v>
      </c>
      <c r="N34" s="40">
        <f t="shared" si="0"/>
        <v>2.1</v>
      </c>
      <c r="O34" s="40">
        <f t="shared" si="0"/>
        <v>0</v>
      </c>
      <c r="P34" s="40">
        <f t="shared" si="0"/>
        <v>0.22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9.5</v>
      </c>
      <c r="C35" s="33">
        <f t="shared" si="1"/>
        <v>4.12</v>
      </c>
      <c r="D35" s="33">
        <f t="shared" si="1"/>
        <v>14.17</v>
      </c>
      <c r="E35" s="33">
        <f t="shared" si="1"/>
        <v>13.53</v>
      </c>
      <c r="F35" s="33">
        <f t="shared" si="1"/>
        <v>10.83</v>
      </c>
      <c r="G35" s="33">
        <f t="shared" si="1"/>
        <v>30.52</v>
      </c>
      <c r="H35" s="33">
        <f t="shared" si="1"/>
        <v>7.75</v>
      </c>
      <c r="I35" s="33">
        <f t="shared" si="1"/>
        <v>7.91</v>
      </c>
      <c r="J35" s="33">
        <f t="shared" si="1"/>
        <v>1.4</v>
      </c>
      <c r="K35" s="33">
        <f t="shared" si="1"/>
        <v>288.37</v>
      </c>
      <c r="L35" s="33">
        <f t="shared" si="1"/>
        <v>31.62</v>
      </c>
      <c r="M35" s="33">
        <f t="shared" si="1"/>
        <v>95.08</v>
      </c>
      <c r="N35" s="33">
        <f t="shared" si="1"/>
        <v>758.9</v>
      </c>
      <c r="O35" s="33">
        <f t="shared" si="1"/>
        <v>0</v>
      </c>
      <c r="P35" s="33">
        <f t="shared" si="1"/>
        <v>0.56999999999999995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9.3533333333333335</v>
      </c>
      <c r="C36" s="40">
        <f t="shared" si="2"/>
        <v>4.0891666666666664</v>
      </c>
      <c r="D36" s="40">
        <f t="shared" si="2"/>
        <v>14.076250000000003</v>
      </c>
      <c r="E36" s="40">
        <f t="shared" si="2"/>
        <v>9.8483333333333327</v>
      </c>
      <c r="F36" s="40">
        <f t="shared" si="2"/>
        <v>5.8433333333333328</v>
      </c>
      <c r="G36" s="40">
        <f t="shared" si="2"/>
        <v>19.986521739130431</v>
      </c>
      <c r="H36" s="40">
        <f t="shared" si="2"/>
        <v>3.2833333333333337</v>
      </c>
      <c r="I36" s="40">
        <f t="shared" si="2"/>
        <v>3.6283333333333334</v>
      </c>
      <c r="J36" s="40">
        <f t="shared" si="2"/>
        <v>0.8354166666666667</v>
      </c>
      <c r="K36" s="40">
        <f t="shared" si="2"/>
        <v>275.12041666666664</v>
      </c>
      <c r="L36" s="40">
        <f t="shared" si="2"/>
        <v>28.383749999999996</v>
      </c>
      <c r="M36" s="40">
        <f t="shared" si="2"/>
        <v>81.392499999999998</v>
      </c>
      <c r="N36" s="40">
        <f t="shared" si="2"/>
        <v>186.75833333333335</v>
      </c>
      <c r="O36" s="40">
        <f t="shared" si="2"/>
        <v>0</v>
      </c>
      <c r="P36" s="40">
        <f t="shared" si="2"/>
        <v>0.30333333333333329</v>
      </c>
      <c r="Q36" s="40">
        <f t="shared" si="2"/>
        <v>4.6570833333333335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4.8960202708683453E-2</v>
      </c>
      <c r="C37" s="40">
        <f t="shared" ref="C37:Q37" si="3">STDEV(C9:C32)</f>
        <v>2.0198292365760862E-2</v>
      </c>
      <c r="D37" s="40">
        <f t="shared" si="3"/>
        <v>3.5972513661550458E-2</v>
      </c>
      <c r="E37" s="40">
        <f t="shared" si="3"/>
        <v>1.5938896003083278</v>
      </c>
      <c r="F37" s="40">
        <f t="shared" si="3"/>
        <v>2.250355849477006</v>
      </c>
      <c r="G37" s="40">
        <f t="shared" si="3"/>
        <v>6.1760877648436621</v>
      </c>
      <c r="H37" s="40">
        <f t="shared" si="3"/>
        <v>1.4937480822860767</v>
      </c>
      <c r="I37" s="40">
        <f t="shared" si="3"/>
        <v>1.2042593490233506</v>
      </c>
      <c r="J37" s="40">
        <f t="shared" si="3"/>
        <v>0.32568295021073917</v>
      </c>
      <c r="K37" s="40">
        <f t="shared" si="3"/>
        <v>4.691080786906431</v>
      </c>
      <c r="L37" s="40">
        <f t="shared" si="3"/>
        <v>2.2776929832808701</v>
      </c>
      <c r="M37" s="40">
        <f t="shared" si="3"/>
        <v>10.29121839662122</v>
      </c>
      <c r="N37" s="40">
        <f t="shared" si="3"/>
        <v>252.43565330192763</v>
      </c>
      <c r="O37" s="40">
        <f t="shared" si="3"/>
        <v>0</v>
      </c>
      <c r="P37" s="40">
        <f t="shared" si="3"/>
        <v>8.8054660231051199E-2</v>
      </c>
      <c r="Q37" s="40">
        <f t="shared" si="3"/>
        <v>9.078961186825503E-3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45548.041666666664</v>
      </c>
      <c r="B9" s="50">
        <v>9.3000000000000007</v>
      </c>
      <c r="C9" s="50">
        <v>4.16</v>
      </c>
      <c r="D9" s="50">
        <v>14.08</v>
      </c>
      <c r="E9" s="50">
        <v>12.57</v>
      </c>
      <c r="F9" s="50">
        <v>6.24</v>
      </c>
      <c r="G9" s="50">
        <v>28.64</v>
      </c>
      <c r="H9" s="50">
        <v>6.91</v>
      </c>
      <c r="I9" s="50">
        <v>5.59</v>
      </c>
      <c r="J9" s="50">
        <v>0.67</v>
      </c>
      <c r="K9" s="50">
        <v>272.60000000000002</v>
      </c>
      <c r="L9" s="50">
        <v>26.72</v>
      </c>
      <c r="M9" s="50">
        <v>89.71</v>
      </c>
      <c r="N9" s="50">
        <v>2.1</v>
      </c>
      <c r="O9" s="50">
        <v>0</v>
      </c>
      <c r="P9" s="50">
        <v>0.43</v>
      </c>
      <c r="Q9" s="50">
        <v>4.6500000000000004</v>
      </c>
    </row>
    <row r="10" spans="1:21" customFormat="1">
      <c r="A10" s="49">
        <v>45548.083333333336</v>
      </c>
      <c r="B10" s="50">
        <v>9.24</v>
      </c>
      <c r="C10" s="50">
        <v>4.1100000000000003</v>
      </c>
      <c r="D10" s="50">
        <v>14</v>
      </c>
      <c r="E10" s="50">
        <v>10.94</v>
      </c>
      <c r="F10" s="50">
        <v>6.21</v>
      </c>
      <c r="G10" s="50">
        <v>29.22</v>
      </c>
      <c r="H10" s="50">
        <v>8.89</v>
      </c>
      <c r="I10" s="50">
        <v>5.51</v>
      </c>
      <c r="J10" s="50">
        <v>0.87</v>
      </c>
      <c r="K10" s="50">
        <v>275.05</v>
      </c>
      <c r="L10" s="50">
        <v>26.48</v>
      </c>
      <c r="M10" s="50">
        <v>89.8</v>
      </c>
      <c r="N10" s="50">
        <v>2.2000000000000002</v>
      </c>
      <c r="O10" s="50">
        <v>0</v>
      </c>
      <c r="P10" s="50">
        <v>0.42</v>
      </c>
      <c r="Q10" s="50">
        <v>4.6500000000000004</v>
      </c>
    </row>
    <row r="11" spans="1:21" customFormat="1">
      <c r="A11" s="49">
        <v>45548.125</v>
      </c>
      <c r="B11" s="50">
        <v>9.27</v>
      </c>
      <c r="C11" s="50">
        <v>4.07</v>
      </c>
      <c r="D11" s="50">
        <v>14.01</v>
      </c>
      <c r="E11" s="50">
        <v>11.65</v>
      </c>
      <c r="F11" s="50">
        <v>6.59</v>
      </c>
      <c r="G11" s="50">
        <v>29.22</v>
      </c>
      <c r="H11" s="50">
        <v>8.89</v>
      </c>
      <c r="I11" s="50">
        <v>5.83</v>
      </c>
      <c r="J11" s="50">
        <v>0.35</v>
      </c>
      <c r="K11" s="50">
        <v>268.89</v>
      </c>
      <c r="L11" s="50">
        <v>26.17</v>
      </c>
      <c r="M11" s="50">
        <v>94.49</v>
      </c>
      <c r="N11" s="50">
        <v>2.4</v>
      </c>
      <c r="O11" s="50">
        <v>0</v>
      </c>
      <c r="P11" s="50">
        <v>0.43</v>
      </c>
      <c r="Q11" s="50">
        <v>4.67</v>
      </c>
    </row>
    <row r="12" spans="1:21" customFormat="1">
      <c r="A12" s="49">
        <v>45548.166666666664</v>
      </c>
      <c r="B12" s="50">
        <v>9.2799999999999994</v>
      </c>
      <c r="C12" s="50">
        <v>4.0599999999999996</v>
      </c>
      <c r="D12" s="50">
        <v>14.01</v>
      </c>
      <c r="E12" s="50">
        <v>10.77</v>
      </c>
      <c r="F12" s="50">
        <v>6.99</v>
      </c>
      <c r="G12" s="50">
        <v>23.24</v>
      </c>
      <c r="H12" s="50">
        <v>6.92</v>
      </c>
      <c r="I12" s="50">
        <v>5.03</v>
      </c>
      <c r="J12" s="50">
        <v>0.32</v>
      </c>
      <c r="K12" s="50">
        <v>272.43</v>
      </c>
      <c r="L12" s="50">
        <v>25.82</v>
      </c>
      <c r="M12" s="50">
        <v>96.82</v>
      </c>
      <c r="N12" s="50">
        <v>2.1</v>
      </c>
      <c r="O12" s="50">
        <v>0</v>
      </c>
      <c r="P12" s="50">
        <v>0.37</v>
      </c>
      <c r="Q12" s="50">
        <v>4.6500000000000004</v>
      </c>
    </row>
    <row r="13" spans="1:21" customFormat="1">
      <c r="A13" s="49">
        <v>45548.208333333336</v>
      </c>
      <c r="B13" s="50">
        <v>9.2799999999999994</v>
      </c>
      <c r="C13" s="50">
        <v>4.07</v>
      </c>
      <c r="D13" s="50">
        <v>14.01</v>
      </c>
      <c r="E13" s="50">
        <v>11.01</v>
      </c>
      <c r="F13" s="50">
        <v>7.1</v>
      </c>
      <c r="G13" s="50">
        <v>23.24</v>
      </c>
      <c r="H13" s="50">
        <v>6.2</v>
      </c>
      <c r="I13" s="50">
        <v>4.6500000000000004</v>
      </c>
      <c r="J13" s="50">
        <v>0.68</v>
      </c>
      <c r="K13" s="50">
        <v>272.91000000000003</v>
      </c>
      <c r="L13" s="50">
        <v>25.86</v>
      </c>
      <c r="M13" s="50">
        <v>96.95</v>
      </c>
      <c r="N13" s="50">
        <v>2.2000000000000002</v>
      </c>
      <c r="O13" s="50">
        <v>0</v>
      </c>
      <c r="P13" s="50">
        <v>0.36</v>
      </c>
      <c r="Q13" s="50">
        <v>4.66</v>
      </c>
    </row>
    <row r="14" spans="1:21" customFormat="1">
      <c r="A14" s="49">
        <v>45548.25</v>
      </c>
      <c r="B14" s="50">
        <v>9.2799999999999994</v>
      </c>
      <c r="C14" s="50">
        <v>4.0599999999999996</v>
      </c>
      <c r="D14" s="50">
        <v>14.01</v>
      </c>
      <c r="E14" s="50">
        <v>11</v>
      </c>
      <c r="F14" s="50">
        <v>6.53</v>
      </c>
      <c r="G14" s="50">
        <v>19.260000000000002</v>
      </c>
      <c r="H14" s="50">
        <v>6.2</v>
      </c>
      <c r="I14" s="50">
        <v>4.59</v>
      </c>
      <c r="J14" s="50">
        <v>0.73</v>
      </c>
      <c r="K14" s="50">
        <v>274.16000000000003</v>
      </c>
      <c r="L14" s="50">
        <v>25.89</v>
      </c>
      <c r="M14" s="50">
        <v>93.44</v>
      </c>
      <c r="N14" s="50">
        <v>7.3</v>
      </c>
      <c r="O14" s="50">
        <v>0</v>
      </c>
      <c r="P14" s="50">
        <v>0.36</v>
      </c>
      <c r="Q14" s="50">
        <v>4.66</v>
      </c>
    </row>
    <row r="15" spans="1:21" customFormat="1">
      <c r="A15" s="49">
        <v>45548.291666666664</v>
      </c>
      <c r="B15" s="50">
        <v>9.2799999999999994</v>
      </c>
      <c r="C15" s="50">
        <v>4.09</v>
      </c>
      <c r="D15" s="50">
        <v>14.03</v>
      </c>
      <c r="E15" s="50">
        <v>11.79</v>
      </c>
      <c r="F15" s="50">
        <v>5.73</v>
      </c>
      <c r="G15" s="50">
        <v>19.260000000000002</v>
      </c>
      <c r="H15" s="50">
        <v>4.79</v>
      </c>
      <c r="I15" s="50">
        <v>4.33</v>
      </c>
      <c r="J15" s="50">
        <v>0.83</v>
      </c>
      <c r="K15" s="50">
        <v>275.02</v>
      </c>
      <c r="L15" s="50">
        <v>26</v>
      </c>
      <c r="M15" s="50">
        <v>92.95</v>
      </c>
      <c r="N15" s="50">
        <v>31.9</v>
      </c>
      <c r="O15" s="50">
        <v>0</v>
      </c>
      <c r="P15" s="50">
        <v>0.34</v>
      </c>
      <c r="Q15" s="50">
        <v>4.67</v>
      </c>
    </row>
    <row r="16" spans="1:21" customFormat="1">
      <c r="A16" s="49">
        <v>45548.333333333336</v>
      </c>
      <c r="B16" s="50">
        <v>9.3000000000000007</v>
      </c>
      <c r="C16" s="50">
        <v>4.08</v>
      </c>
      <c r="D16" s="50">
        <v>14.03</v>
      </c>
      <c r="E16" s="50">
        <v>12.24</v>
      </c>
      <c r="F16" s="50">
        <v>4.93</v>
      </c>
      <c r="G16" s="50">
        <v>20.89</v>
      </c>
      <c r="H16" s="50">
        <v>6.02</v>
      </c>
      <c r="I16" s="50">
        <v>4.28</v>
      </c>
      <c r="J16" s="50">
        <v>0.89</v>
      </c>
      <c r="K16" s="50">
        <v>275.85000000000002</v>
      </c>
      <c r="L16" s="50">
        <v>26.6</v>
      </c>
      <c r="M16" s="50">
        <v>90.9</v>
      </c>
      <c r="N16" s="50">
        <v>82.5</v>
      </c>
      <c r="O16" s="50">
        <v>0</v>
      </c>
      <c r="P16" s="50">
        <v>0.36</v>
      </c>
      <c r="Q16" s="50">
        <v>4.66</v>
      </c>
    </row>
    <row r="17" spans="1:17" customFormat="1">
      <c r="A17" s="49">
        <v>45548.375</v>
      </c>
      <c r="B17" s="50">
        <v>9.2799999999999994</v>
      </c>
      <c r="C17" s="50">
        <v>4.1100000000000003</v>
      </c>
      <c r="D17" s="50">
        <v>14.02</v>
      </c>
      <c r="E17" s="50">
        <v>12.77</v>
      </c>
      <c r="F17" s="50">
        <v>4.72</v>
      </c>
      <c r="G17" s="50">
        <v>29.27</v>
      </c>
      <c r="H17" s="50">
        <v>6.02</v>
      </c>
      <c r="I17" s="50">
        <v>5.0999999999999996</v>
      </c>
      <c r="J17" s="50">
        <v>0.86</v>
      </c>
      <c r="K17" s="50">
        <v>282.45</v>
      </c>
      <c r="L17" s="50">
        <v>27.73</v>
      </c>
      <c r="M17" s="50">
        <v>87.55</v>
      </c>
      <c r="N17" s="50">
        <v>270.10000000000002</v>
      </c>
      <c r="O17" s="50">
        <v>0</v>
      </c>
      <c r="P17" s="50">
        <v>0.42</v>
      </c>
      <c r="Q17" s="50">
        <v>4.6500000000000004</v>
      </c>
    </row>
    <row r="18" spans="1:17" customFormat="1">
      <c r="A18" s="49">
        <v>45548.416666666664</v>
      </c>
      <c r="B18" s="50">
        <v>9.39</v>
      </c>
      <c r="C18" s="50">
        <v>4.0999999999999996</v>
      </c>
      <c r="D18" s="50">
        <v>14.11</v>
      </c>
      <c r="E18" s="50">
        <v>13.32</v>
      </c>
      <c r="F18" s="50">
        <v>6.36</v>
      </c>
      <c r="G18" s="50">
        <v>32.03</v>
      </c>
      <c r="H18" s="50">
        <v>6.8</v>
      </c>
      <c r="I18" s="50">
        <v>5.71</v>
      </c>
      <c r="J18" s="50">
        <v>0.66</v>
      </c>
      <c r="K18" s="50">
        <v>300.72000000000003</v>
      </c>
      <c r="L18" s="50">
        <v>29.76</v>
      </c>
      <c r="M18" s="50">
        <v>79.680000000000007</v>
      </c>
      <c r="N18" s="50">
        <v>399.6</v>
      </c>
      <c r="O18" s="50">
        <v>0</v>
      </c>
      <c r="P18" s="50">
        <v>0.44</v>
      </c>
      <c r="Q18" s="50">
        <v>4.66</v>
      </c>
    </row>
    <row r="19" spans="1:17" customFormat="1">
      <c r="A19" s="49">
        <v>45548.458333333336</v>
      </c>
      <c r="B19" s="50">
        <v>9.4700000000000006</v>
      </c>
      <c r="C19" s="50">
        <v>4.07</v>
      </c>
      <c r="D19" s="50">
        <v>14.17</v>
      </c>
      <c r="E19" s="50">
        <v>9.82</v>
      </c>
      <c r="F19" s="50">
        <v>7.06</v>
      </c>
      <c r="G19" s="50">
        <v>50</v>
      </c>
      <c r="H19" s="50">
        <v>13.95</v>
      </c>
      <c r="I19" s="50">
        <v>5.95</v>
      </c>
      <c r="J19" s="50">
        <v>0.69</v>
      </c>
      <c r="K19" s="50">
        <v>319.14</v>
      </c>
      <c r="L19" s="50">
        <v>29.96</v>
      </c>
      <c r="M19" s="50">
        <v>71.98</v>
      </c>
      <c r="N19" s="50">
        <v>317.8</v>
      </c>
      <c r="O19" s="50">
        <v>0</v>
      </c>
      <c r="P19" s="50">
        <v>0.45</v>
      </c>
      <c r="Q19" s="50">
        <v>4.6399999999999997</v>
      </c>
    </row>
    <row r="20" spans="1:17" customFormat="1">
      <c r="A20" s="49">
        <v>45548.5</v>
      </c>
      <c r="B20" s="50">
        <v>9.48</v>
      </c>
      <c r="C20" s="50">
        <v>4.09</v>
      </c>
      <c r="D20" s="50">
        <v>14.17</v>
      </c>
      <c r="E20" s="50">
        <v>9.1300000000000008</v>
      </c>
      <c r="F20" s="50">
        <v>7.78</v>
      </c>
      <c r="G20" s="50">
        <v>51.12</v>
      </c>
      <c r="H20" s="50">
        <v>13.95</v>
      </c>
      <c r="I20" s="50">
        <v>5.85</v>
      </c>
      <c r="J20" s="50">
        <v>0.56999999999999995</v>
      </c>
      <c r="K20" s="50">
        <v>317.36</v>
      </c>
      <c r="L20" s="50">
        <v>30.22</v>
      </c>
      <c r="M20" s="50">
        <v>70.760000000000005</v>
      </c>
      <c r="N20" s="50">
        <v>257.3</v>
      </c>
      <c r="O20" s="50">
        <v>0</v>
      </c>
      <c r="P20" s="50">
        <v>0.46</v>
      </c>
      <c r="Q20" s="50">
        <v>4.6500000000000004</v>
      </c>
    </row>
    <row r="21" spans="1:17" customFormat="1">
      <c r="A21" s="49">
        <v>45548.541666666664</v>
      </c>
      <c r="B21" s="50">
        <v>9.4600000000000009</v>
      </c>
      <c r="C21" s="50">
        <v>4.1100000000000003</v>
      </c>
      <c r="D21" s="50">
        <v>14.17</v>
      </c>
      <c r="E21" s="50">
        <v>8.75</v>
      </c>
      <c r="F21" s="50">
        <v>7.04</v>
      </c>
      <c r="G21" s="50">
        <v>52.81</v>
      </c>
      <c r="H21" s="50">
        <v>13.54</v>
      </c>
      <c r="I21" s="50">
        <v>5.67</v>
      </c>
      <c r="J21" s="50">
        <v>0.5</v>
      </c>
      <c r="K21" s="50">
        <v>307.58</v>
      </c>
      <c r="L21" s="50">
        <v>30.3</v>
      </c>
      <c r="M21" s="50">
        <v>69.87</v>
      </c>
      <c r="N21" s="50">
        <v>205.4</v>
      </c>
      <c r="O21" s="50">
        <v>0</v>
      </c>
      <c r="P21" s="50">
        <v>0.46</v>
      </c>
      <c r="Q21" s="50">
        <v>4.6500000000000004</v>
      </c>
    </row>
    <row r="22" spans="1:17" customFormat="1">
      <c r="A22" s="49">
        <v>45548.583333333336</v>
      </c>
      <c r="B22" s="50">
        <v>9.5</v>
      </c>
      <c r="C22" s="50">
        <v>4.0999999999999996</v>
      </c>
      <c r="D22" s="50">
        <v>14.2</v>
      </c>
      <c r="E22" s="50">
        <v>8.6999999999999993</v>
      </c>
      <c r="F22" s="50">
        <v>8.2799999999999994</v>
      </c>
      <c r="G22" s="50">
        <v>56.14</v>
      </c>
      <c r="H22" s="50">
        <v>15.68</v>
      </c>
      <c r="I22" s="50">
        <v>5.59</v>
      </c>
      <c r="J22" s="50">
        <v>0.71</v>
      </c>
      <c r="K22" s="50">
        <v>322.98</v>
      </c>
      <c r="L22" s="50">
        <v>30.24</v>
      </c>
      <c r="M22" s="50">
        <v>78.2</v>
      </c>
      <c r="N22" s="50">
        <v>191.9</v>
      </c>
      <c r="O22" s="50">
        <v>0</v>
      </c>
      <c r="P22" s="50">
        <v>0.46</v>
      </c>
      <c r="Q22" s="50">
        <v>4.6399999999999997</v>
      </c>
    </row>
    <row r="23" spans="1:17" customFormat="1">
      <c r="A23" s="49">
        <v>45548.625</v>
      </c>
      <c r="B23" s="50">
        <v>9.5299999999999994</v>
      </c>
      <c r="C23" s="50">
        <v>4.1100000000000003</v>
      </c>
      <c r="D23" s="50">
        <v>14.24</v>
      </c>
      <c r="E23" s="50">
        <v>8.6</v>
      </c>
      <c r="F23" s="50">
        <v>8.01</v>
      </c>
      <c r="G23" s="50">
        <v>56.14</v>
      </c>
      <c r="H23" s="50">
        <v>18.96</v>
      </c>
      <c r="I23" s="50">
        <v>5.32</v>
      </c>
      <c r="J23" s="50">
        <v>0.3</v>
      </c>
      <c r="K23" s="50">
        <v>307.33999999999997</v>
      </c>
      <c r="L23" s="50">
        <v>28.4</v>
      </c>
      <c r="M23" s="50">
        <v>83.22</v>
      </c>
      <c r="N23" s="50">
        <v>94</v>
      </c>
      <c r="O23" s="50">
        <v>0</v>
      </c>
      <c r="P23" s="50">
        <v>0.39</v>
      </c>
      <c r="Q23" s="50">
        <v>4.66</v>
      </c>
    </row>
    <row r="24" spans="1:17" customFormat="1">
      <c r="A24" s="49">
        <v>45548.666666666664</v>
      </c>
      <c r="B24" s="50">
        <v>9.42</v>
      </c>
      <c r="C24" s="50">
        <v>4.09</v>
      </c>
      <c r="D24" s="50">
        <v>14.14</v>
      </c>
      <c r="E24" s="50">
        <v>9.59</v>
      </c>
      <c r="F24" s="50">
        <v>9.93</v>
      </c>
      <c r="G24" s="50">
        <v>47.44</v>
      </c>
      <c r="H24" s="50">
        <v>18.96</v>
      </c>
      <c r="I24" s="50">
        <v>4.7300000000000004</v>
      </c>
      <c r="J24" s="50">
        <v>0.6</v>
      </c>
      <c r="K24" s="50">
        <v>272.02</v>
      </c>
      <c r="L24" s="50">
        <v>29.64</v>
      </c>
      <c r="M24" s="50">
        <v>81.38</v>
      </c>
      <c r="N24" s="50">
        <v>136.69999999999999</v>
      </c>
      <c r="O24" s="50">
        <v>0</v>
      </c>
      <c r="P24" s="50">
        <v>0.39</v>
      </c>
      <c r="Q24" s="50">
        <v>4.66</v>
      </c>
    </row>
    <row r="25" spans="1:17" customFormat="1">
      <c r="A25" s="49">
        <v>45548.708333333336</v>
      </c>
      <c r="B25" s="50">
        <v>9.4700000000000006</v>
      </c>
      <c r="C25" s="50">
        <v>4.07</v>
      </c>
      <c r="D25" s="50">
        <v>14.17</v>
      </c>
      <c r="E25" s="50">
        <v>9.91</v>
      </c>
      <c r="F25" s="50">
        <v>9.0399999999999991</v>
      </c>
      <c r="G25" s="50">
        <v>50.91</v>
      </c>
      <c r="H25" s="50">
        <v>15.23</v>
      </c>
      <c r="I25" s="50">
        <v>4.66</v>
      </c>
      <c r="J25" s="50">
        <v>0.67</v>
      </c>
      <c r="K25" s="50">
        <v>272.83</v>
      </c>
      <c r="L25" s="50">
        <v>29.03</v>
      </c>
      <c r="M25" s="50">
        <v>82.75</v>
      </c>
      <c r="N25" s="50">
        <v>69.2</v>
      </c>
      <c r="O25" s="50">
        <v>0</v>
      </c>
      <c r="P25" s="50">
        <v>0.39</v>
      </c>
      <c r="Q25" s="50">
        <v>4.66</v>
      </c>
    </row>
    <row r="26" spans="1:17" customFormat="1">
      <c r="A26" s="49">
        <v>45548.75</v>
      </c>
      <c r="B26" s="50">
        <v>9.44</v>
      </c>
      <c r="C26" s="50">
        <v>4.07</v>
      </c>
      <c r="D26" s="50">
        <v>14.15</v>
      </c>
      <c r="E26" s="50">
        <v>10.210000000000001</v>
      </c>
      <c r="F26" s="50">
        <v>7.17</v>
      </c>
      <c r="G26" s="50">
        <v>50.91</v>
      </c>
      <c r="H26" s="50">
        <v>14.77</v>
      </c>
      <c r="I26" s="50">
        <v>4.83</v>
      </c>
      <c r="J26" s="50">
        <v>0.67</v>
      </c>
      <c r="K26" s="50">
        <v>289.45999999999998</v>
      </c>
      <c r="L26" s="50">
        <v>28.42</v>
      </c>
      <c r="M26" s="50">
        <v>80.849999999999994</v>
      </c>
      <c r="N26" s="50">
        <v>31.8</v>
      </c>
      <c r="O26" s="50">
        <v>0</v>
      </c>
      <c r="P26" s="50">
        <v>0.43</v>
      </c>
      <c r="Q26" s="50">
        <v>4.6500000000000004</v>
      </c>
    </row>
    <row r="27" spans="1:17" customFormat="1">
      <c r="A27" s="49">
        <v>45548.791666666664</v>
      </c>
      <c r="B27" s="50">
        <v>9.44</v>
      </c>
      <c r="C27" s="50">
        <v>4.12</v>
      </c>
      <c r="D27" s="50">
        <v>14.17</v>
      </c>
      <c r="E27" s="50">
        <v>10.49</v>
      </c>
      <c r="F27" s="50">
        <v>6.92</v>
      </c>
      <c r="G27" s="50">
        <v>45.14</v>
      </c>
      <c r="H27" s="50">
        <v>15.3</v>
      </c>
      <c r="I27" s="50">
        <v>4.9000000000000004</v>
      </c>
      <c r="J27" s="50">
        <v>0.72</v>
      </c>
      <c r="K27" s="50">
        <v>286.08</v>
      </c>
      <c r="L27" s="50">
        <v>27.91</v>
      </c>
      <c r="M27" s="50">
        <v>80.760000000000005</v>
      </c>
      <c r="N27" s="50">
        <v>2.8</v>
      </c>
      <c r="O27" s="50">
        <v>0</v>
      </c>
      <c r="P27" s="50">
        <v>0.45</v>
      </c>
      <c r="Q27" s="50">
        <v>4.67</v>
      </c>
    </row>
    <row r="28" spans="1:17" customFormat="1">
      <c r="A28" s="49">
        <v>45548.833333333336</v>
      </c>
      <c r="B28" s="50">
        <v>9.44</v>
      </c>
      <c r="C28" s="50">
        <v>4.0999999999999996</v>
      </c>
      <c r="D28" s="50">
        <v>14.15</v>
      </c>
      <c r="E28" s="50">
        <v>10.23</v>
      </c>
      <c r="F28" s="50">
        <v>6.03</v>
      </c>
      <c r="G28" s="50">
        <v>47.26</v>
      </c>
      <c r="H28" s="50">
        <v>15.3</v>
      </c>
      <c r="I28" s="50">
        <v>5.27</v>
      </c>
      <c r="J28" s="50">
        <v>0.61</v>
      </c>
      <c r="K28" s="50">
        <v>290.76</v>
      </c>
      <c r="L28" s="50">
        <v>27.44</v>
      </c>
      <c r="M28" s="50">
        <v>80.459999999999994</v>
      </c>
      <c r="N28" s="50">
        <v>2.4</v>
      </c>
      <c r="O28" s="50">
        <v>0</v>
      </c>
      <c r="P28" s="50">
        <v>0.47</v>
      </c>
      <c r="Q28" s="50">
        <v>4.6500000000000004</v>
      </c>
    </row>
    <row r="29" spans="1:17" customFormat="1">
      <c r="A29" s="49">
        <v>45548.875</v>
      </c>
      <c r="B29" s="50">
        <v>9.42</v>
      </c>
      <c r="C29" s="50">
        <v>4.1100000000000003</v>
      </c>
      <c r="D29" s="50">
        <v>14.13</v>
      </c>
      <c r="E29" s="50">
        <v>9.43</v>
      </c>
      <c r="F29" s="50">
        <v>5.84</v>
      </c>
      <c r="G29" s="50">
        <v>50.3</v>
      </c>
      <c r="H29" s="50">
        <v>13.74</v>
      </c>
      <c r="I29" s="50">
        <v>5.5</v>
      </c>
      <c r="J29" s="50">
        <v>0.71</v>
      </c>
      <c r="K29" s="50">
        <v>288.77</v>
      </c>
      <c r="L29" s="50">
        <v>27.31</v>
      </c>
      <c r="M29" s="50">
        <v>80.37</v>
      </c>
      <c r="N29" s="50">
        <v>2.4</v>
      </c>
      <c r="O29" s="50">
        <v>0</v>
      </c>
      <c r="P29" s="50">
        <v>0.48</v>
      </c>
      <c r="Q29" s="50">
        <v>4.6500000000000004</v>
      </c>
    </row>
    <row r="30" spans="1:17" customFormat="1">
      <c r="A30" s="49">
        <v>45548.916666666664</v>
      </c>
      <c r="B30" s="50">
        <v>9.43</v>
      </c>
      <c r="C30" s="50">
        <v>4.08</v>
      </c>
      <c r="D30" s="50">
        <v>14.13</v>
      </c>
      <c r="E30" s="50">
        <v>8.19</v>
      </c>
      <c r="F30" s="50">
        <v>6.64</v>
      </c>
      <c r="G30" s="50">
        <v>52.33</v>
      </c>
      <c r="H30" s="50">
        <v>10.24</v>
      </c>
      <c r="I30" s="50">
        <v>5.47</v>
      </c>
      <c r="J30" s="50">
        <v>0.68</v>
      </c>
      <c r="K30" s="50">
        <v>280.70999999999998</v>
      </c>
      <c r="L30" s="50">
        <v>27.01</v>
      </c>
      <c r="M30" s="50">
        <v>83.2</v>
      </c>
      <c r="N30" s="50">
        <v>2.4</v>
      </c>
      <c r="O30" s="50">
        <v>0</v>
      </c>
      <c r="P30" s="50">
        <v>0.47</v>
      </c>
      <c r="Q30" s="50">
        <v>4.67</v>
      </c>
    </row>
    <row r="31" spans="1:17" customFormat="1">
      <c r="A31" s="49">
        <v>45548.958333333336</v>
      </c>
      <c r="B31" s="50">
        <v>9.43</v>
      </c>
      <c r="C31" s="50">
        <v>4.0999999999999996</v>
      </c>
      <c r="D31" s="50">
        <v>14.15</v>
      </c>
      <c r="E31" s="50">
        <v>7.45</v>
      </c>
      <c r="F31" s="50">
        <v>6.02</v>
      </c>
      <c r="G31" s="50">
        <v>52.33</v>
      </c>
      <c r="H31" s="50">
        <v>14.33</v>
      </c>
      <c r="I31" s="50">
        <v>5.45</v>
      </c>
      <c r="J31" s="50">
        <v>0.46</v>
      </c>
      <c r="K31" s="50">
        <v>286.94</v>
      </c>
      <c r="L31" s="50">
        <v>26.86</v>
      </c>
      <c r="M31" s="50">
        <v>85.41</v>
      </c>
      <c r="N31" s="50">
        <v>2.4</v>
      </c>
      <c r="O31" s="50">
        <v>0</v>
      </c>
      <c r="P31" s="50">
        <v>0.48</v>
      </c>
      <c r="Q31" s="50">
        <v>4.6399999999999997</v>
      </c>
    </row>
    <row r="32" spans="1:17" customFormat="1">
      <c r="A32" s="49">
        <v>45549</v>
      </c>
      <c r="B32" s="50">
        <v>9.42</v>
      </c>
      <c r="C32" s="50">
        <v>4.0599999999999996</v>
      </c>
      <c r="D32" s="50">
        <v>14.13</v>
      </c>
      <c r="E32" s="50">
        <v>8.48</v>
      </c>
      <c r="F32" s="50">
        <v>6.77</v>
      </c>
      <c r="G32" s="50">
        <v>55.14</v>
      </c>
      <c r="H32" s="50">
        <v>15.67</v>
      </c>
      <c r="I32" s="50">
        <v>5.82</v>
      </c>
      <c r="J32" s="50">
        <v>0.46</v>
      </c>
      <c r="K32" s="50">
        <v>283.42</v>
      </c>
      <c r="L32" s="50">
        <v>26.52</v>
      </c>
      <c r="M32" s="50">
        <v>86.4</v>
      </c>
      <c r="N32" s="50">
        <v>2.2999999999999998</v>
      </c>
      <c r="O32" s="50">
        <v>0</v>
      </c>
      <c r="P32" s="50">
        <v>0.49</v>
      </c>
      <c r="Q32" s="50">
        <v>4.6500000000000004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9.24</v>
      </c>
      <c r="C34" s="40">
        <f t="shared" si="0"/>
        <v>4.0599999999999996</v>
      </c>
      <c r="D34" s="40">
        <f t="shared" si="0"/>
        <v>14</v>
      </c>
      <c r="E34" s="40">
        <f t="shared" si="0"/>
        <v>7.45</v>
      </c>
      <c r="F34" s="40">
        <f t="shared" si="0"/>
        <v>4.72</v>
      </c>
      <c r="G34" s="40">
        <f t="shared" si="0"/>
        <v>19.260000000000002</v>
      </c>
      <c r="H34" s="40">
        <f t="shared" si="0"/>
        <v>4.79</v>
      </c>
      <c r="I34" s="40">
        <f t="shared" si="0"/>
        <v>4.28</v>
      </c>
      <c r="J34" s="40">
        <f t="shared" si="0"/>
        <v>0.3</v>
      </c>
      <c r="K34" s="40">
        <f t="shared" si="0"/>
        <v>268.89</v>
      </c>
      <c r="L34" s="40">
        <f t="shared" si="0"/>
        <v>25.82</v>
      </c>
      <c r="M34" s="40">
        <f t="shared" si="0"/>
        <v>69.87</v>
      </c>
      <c r="N34" s="40">
        <f t="shared" si="0"/>
        <v>2.1</v>
      </c>
      <c r="O34" s="40">
        <f t="shared" si="0"/>
        <v>0</v>
      </c>
      <c r="P34" s="40">
        <f t="shared" si="0"/>
        <v>0.34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9.5299999999999994</v>
      </c>
      <c r="C35" s="33">
        <f t="shared" si="1"/>
        <v>4.16</v>
      </c>
      <c r="D35" s="33">
        <f t="shared" si="1"/>
        <v>14.24</v>
      </c>
      <c r="E35" s="33">
        <f t="shared" si="1"/>
        <v>13.32</v>
      </c>
      <c r="F35" s="33">
        <f t="shared" si="1"/>
        <v>9.93</v>
      </c>
      <c r="G35" s="33">
        <f t="shared" si="1"/>
        <v>56.14</v>
      </c>
      <c r="H35" s="33">
        <f t="shared" si="1"/>
        <v>18.96</v>
      </c>
      <c r="I35" s="33">
        <f t="shared" si="1"/>
        <v>5.95</v>
      </c>
      <c r="J35" s="33">
        <f t="shared" si="1"/>
        <v>0.89</v>
      </c>
      <c r="K35" s="33">
        <f t="shared" si="1"/>
        <v>322.98</v>
      </c>
      <c r="L35" s="33">
        <f t="shared" si="1"/>
        <v>30.3</v>
      </c>
      <c r="M35" s="33">
        <f t="shared" si="1"/>
        <v>96.95</v>
      </c>
      <c r="N35" s="33">
        <f t="shared" si="1"/>
        <v>399.6</v>
      </c>
      <c r="O35" s="33">
        <f t="shared" si="1"/>
        <v>0</v>
      </c>
      <c r="P35" s="33">
        <f t="shared" si="1"/>
        <v>0.49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9.3854166666666661</v>
      </c>
      <c r="C36" s="40">
        <f t="shared" si="2"/>
        <v>4.0912499999999987</v>
      </c>
      <c r="D36" s="40">
        <f t="shared" si="2"/>
        <v>14.107499999999996</v>
      </c>
      <c r="E36" s="40">
        <f t="shared" si="2"/>
        <v>10.293333333333331</v>
      </c>
      <c r="F36" s="40">
        <f t="shared" si="2"/>
        <v>6.8304166666666672</v>
      </c>
      <c r="G36" s="40">
        <f t="shared" si="2"/>
        <v>40.51</v>
      </c>
      <c r="H36" s="40">
        <f t="shared" si="2"/>
        <v>11.552500000000004</v>
      </c>
      <c r="I36" s="40">
        <f t="shared" si="2"/>
        <v>5.2345833333333331</v>
      </c>
      <c r="J36" s="40">
        <f t="shared" si="2"/>
        <v>0.63375000000000015</v>
      </c>
      <c r="K36" s="40">
        <f t="shared" si="2"/>
        <v>287.31124999999997</v>
      </c>
      <c r="L36" s="40">
        <f t="shared" si="2"/>
        <v>27.762083333333333</v>
      </c>
      <c r="M36" s="40">
        <f t="shared" si="2"/>
        <v>84.495833333333351</v>
      </c>
      <c r="N36" s="40">
        <f t="shared" si="2"/>
        <v>88.383333333333383</v>
      </c>
      <c r="O36" s="40">
        <f t="shared" si="2"/>
        <v>0</v>
      </c>
      <c r="P36" s="40">
        <f t="shared" si="2"/>
        <v>0.42499999999999999</v>
      </c>
      <c r="Q36" s="40">
        <f t="shared" si="2"/>
        <v>4.6550000000000002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8.9441706382312108E-2</v>
      </c>
      <c r="C37" s="40">
        <f t="shared" ref="C37:Q37" si="3">STDEV(C9:C32)</f>
        <v>2.3831382305873457E-2</v>
      </c>
      <c r="D37" s="40">
        <f t="shared" si="3"/>
        <v>7.3321804100293125E-2</v>
      </c>
      <c r="E37" s="40">
        <f t="shared" si="3"/>
        <v>1.5687842611305998</v>
      </c>
      <c r="F37" s="40">
        <f t="shared" si="3"/>
        <v>1.1776855680110225</v>
      </c>
      <c r="G37" s="40">
        <f t="shared" si="3"/>
        <v>13.580379709105268</v>
      </c>
      <c r="H37" s="40">
        <f t="shared" si="3"/>
        <v>4.5175428584863244</v>
      </c>
      <c r="I37" s="40">
        <f t="shared" si="3"/>
        <v>0.50732871743695951</v>
      </c>
      <c r="J37" s="40">
        <f t="shared" si="3"/>
        <v>0.16497200025933206</v>
      </c>
      <c r="K37" s="40">
        <f t="shared" si="3"/>
        <v>16.572023914731947</v>
      </c>
      <c r="L37" s="40">
        <f t="shared" si="3"/>
        <v>1.5781964917799514</v>
      </c>
      <c r="M37" s="40">
        <f t="shared" si="3"/>
        <v>7.7098372602607466</v>
      </c>
      <c r="N37" s="40">
        <f t="shared" si="3"/>
        <v>120.2589042772759</v>
      </c>
      <c r="O37" s="40">
        <f t="shared" si="3"/>
        <v>0</v>
      </c>
      <c r="P37" s="40">
        <f t="shared" si="3"/>
        <v>4.4818474451657812E-2</v>
      </c>
      <c r="Q37" s="40">
        <f t="shared" si="3"/>
        <v>9.3250480824031267E-3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45549.041666666664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45549.041666666664</v>
      </c>
      <c r="B9" s="50">
        <v>9.26</v>
      </c>
      <c r="C9" s="50">
        <v>4.1100000000000003</v>
      </c>
      <c r="D9" s="50">
        <v>14.02</v>
      </c>
      <c r="E9" s="50">
        <v>8.39</v>
      </c>
      <c r="F9" s="50">
        <v>5.94</v>
      </c>
      <c r="G9" s="50">
        <v>55.14</v>
      </c>
      <c r="H9" s="50">
        <v>15.67</v>
      </c>
      <c r="I9" s="50">
        <v>5.87</v>
      </c>
      <c r="J9" s="50">
        <v>0.6</v>
      </c>
      <c r="K9" s="50">
        <v>286.41000000000003</v>
      </c>
      <c r="L9" s="50">
        <v>26.4</v>
      </c>
      <c r="M9" s="50">
        <v>85.13</v>
      </c>
      <c r="N9" s="50">
        <v>2.2000000000000002</v>
      </c>
      <c r="O9" s="50">
        <v>0</v>
      </c>
      <c r="P9" s="50">
        <v>0.48</v>
      </c>
      <c r="Q9" s="50">
        <v>4.66</v>
      </c>
    </row>
    <row r="10" spans="1:21" customFormat="1">
      <c r="A10" s="49">
        <v>45549.083333333336</v>
      </c>
      <c r="B10" s="50">
        <v>9.27</v>
      </c>
      <c r="C10" s="50">
        <v>4.09</v>
      </c>
      <c r="D10" s="50">
        <v>14</v>
      </c>
      <c r="E10" s="50">
        <v>8.35</v>
      </c>
      <c r="F10" s="50">
        <v>5.53</v>
      </c>
      <c r="G10" s="50">
        <v>50.31</v>
      </c>
      <c r="H10" s="50">
        <v>14.59</v>
      </c>
      <c r="I10" s="50">
        <v>5.71</v>
      </c>
      <c r="J10" s="50">
        <v>0.67</v>
      </c>
      <c r="K10" s="50">
        <v>294.49</v>
      </c>
      <c r="L10" s="50">
        <v>26.34</v>
      </c>
      <c r="M10" s="50">
        <v>84.7</v>
      </c>
      <c r="N10" s="50">
        <v>2.2000000000000002</v>
      </c>
      <c r="O10" s="50">
        <v>0</v>
      </c>
      <c r="P10" s="50">
        <v>0.46</v>
      </c>
      <c r="Q10" s="50">
        <v>4.6500000000000004</v>
      </c>
    </row>
    <row r="11" spans="1:21" customFormat="1">
      <c r="A11" s="49">
        <v>45549.125</v>
      </c>
      <c r="B11" s="50">
        <v>9.27</v>
      </c>
      <c r="C11" s="50">
        <v>4.08</v>
      </c>
      <c r="D11" s="50">
        <v>14.01</v>
      </c>
      <c r="E11" s="50">
        <v>10.07</v>
      </c>
      <c r="F11" s="50">
        <v>5.01</v>
      </c>
      <c r="G11" s="50">
        <v>49.54</v>
      </c>
      <c r="H11" s="50">
        <v>14.07</v>
      </c>
      <c r="I11" s="50">
        <v>5.29</v>
      </c>
      <c r="J11" s="50">
        <v>0.57999999999999996</v>
      </c>
      <c r="K11" s="50">
        <v>287.33</v>
      </c>
      <c r="L11" s="50">
        <v>26.06</v>
      </c>
      <c r="M11" s="50">
        <v>86.92</v>
      </c>
      <c r="N11" s="50">
        <v>2.2000000000000002</v>
      </c>
      <c r="O11" s="50">
        <v>0</v>
      </c>
      <c r="P11" s="50">
        <v>0.43</v>
      </c>
      <c r="Q11" s="50">
        <v>4.67</v>
      </c>
    </row>
    <row r="12" spans="1:21" customFormat="1">
      <c r="A12" s="49">
        <v>45549.166666666664</v>
      </c>
      <c r="B12" s="50">
        <v>9.2799999999999994</v>
      </c>
      <c r="C12" s="50">
        <v>4.07</v>
      </c>
      <c r="D12" s="50">
        <v>14.01</v>
      </c>
      <c r="E12" s="50">
        <v>10.25</v>
      </c>
      <c r="F12" s="50">
        <v>4.4800000000000004</v>
      </c>
      <c r="G12" s="50">
        <v>47.3</v>
      </c>
      <c r="H12" s="50">
        <v>10.199999999999999</v>
      </c>
      <c r="I12" s="50">
        <v>5.0599999999999996</v>
      </c>
      <c r="J12" s="50">
        <v>0.32</v>
      </c>
      <c r="K12" s="50">
        <v>265.62</v>
      </c>
      <c r="L12" s="50">
        <v>25.73</v>
      </c>
      <c r="M12" s="50">
        <v>90.84</v>
      </c>
      <c r="N12" s="50">
        <v>2.1</v>
      </c>
      <c r="O12" s="50">
        <v>0</v>
      </c>
      <c r="P12" s="50">
        <v>0.4</v>
      </c>
      <c r="Q12" s="50">
        <v>4.6500000000000004</v>
      </c>
    </row>
    <row r="13" spans="1:21" customFormat="1">
      <c r="A13" s="49">
        <v>45549.208333333336</v>
      </c>
      <c r="B13" s="50">
        <v>9.34</v>
      </c>
      <c r="C13" s="50">
        <v>4.09</v>
      </c>
      <c r="D13" s="50">
        <v>14.07</v>
      </c>
      <c r="E13" s="50">
        <v>10.45</v>
      </c>
      <c r="F13" s="50">
        <v>3.84</v>
      </c>
      <c r="G13" s="50">
        <v>45.83</v>
      </c>
      <c r="H13" s="50">
        <v>9.7200000000000006</v>
      </c>
      <c r="I13" s="50">
        <v>5.0999999999999996</v>
      </c>
      <c r="J13" s="50">
        <v>0.24</v>
      </c>
      <c r="K13" s="50">
        <v>270.92</v>
      </c>
      <c r="L13" s="50">
        <v>25.3</v>
      </c>
      <c r="M13" s="50">
        <v>96.67</v>
      </c>
      <c r="N13" s="50">
        <v>2.2000000000000002</v>
      </c>
      <c r="O13" s="50">
        <v>0</v>
      </c>
      <c r="P13" s="50">
        <v>0.41</v>
      </c>
      <c r="Q13" s="50">
        <v>4.6500000000000004</v>
      </c>
    </row>
    <row r="14" spans="1:21" customFormat="1">
      <c r="A14" s="49">
        <v>45549.25</v>
      </c>
      <c r="B14" s="50">
        <v>9.33</v>
      </c>
      <c r="C14" s="50">
        <v>4.0599999999999996</v>
      </c>
      <c r="D14" s="50">
        <v>14.05</v>
      </c>
      <c r="E14" s="50">
        <v>9.49</v>
      </c>
      <c r="F14" s="50">
        <v>3.95</v>
      </c>
      <c r="G14" s="50">
        <v>45.83</v>
      </c>
      <c r="H14" s="50">
        <v>9.36</v>
      </c>
      <c r="I14" s="50">
        <v>5.5</v>
      </c>
      <c r="J14" s="50">
        <v>0.26</v>
      </c>
      <c r="K14" s="50">
        <v>270.26</v>
      </c>
      <c r="L14" s="50">
        <v>24.9</v>
      </c>
      <c r="M14" s="50">
        <v>97.44</v>
      </c>
      <c r="N14" s="50">
        <v>10</v>
      </c>
      <c r="O14" s="50">
        <v>0</v>
      </c>
      <c r="P14" s="50">
        <v>0.41</v>
      </c>
      <c r="Q14" s="50">
        <v>4.67</v>
      </c>
    </row>
    <row r="15" spans="1:21" customFormat="1">
      <c r="A15" s="49">
        <v>45549.291666666664</v>
      </c>
      <c r="B15" s="50">
        <v>9.2899999999999991</v>
      </c>
      <c r="C15" s="50">
        <v>4.08</v>
      </c>
      <c r="D15" s="50">
        <v>14.03</v>
      </c>
      <c r="E15" s="50">
        <v>8.67</v>
      </c>
      <c r="F15" s="50">
        <v>4.43</v>
      </c>
      <c r="G15" s="50">
        <v>42.68</v>
      </c>
      <c r="H15" s="50">
        <v>11.25</v>
      </c>
      <c r="I15" s="50">
        <v>5.45</v>
      </c>
      <c r="J15" s="50">
        <v>0.45</v>
      </c>
      <c r="K15" s="50">
        <v>270.04000000000002</v>
      </c>
      <c r="L15" s="50">
        <v>25.52</v>
      </c>
      <c r="M15" s="50">
        <v>97.21</v>
      </c>
      <c r="N15" s="50">
        <v>48.5</v>
      </c>
      <c r="O15" s="50">
        <v>0</v>
      </c>
      <c r="P15" s="50">
        <v>0.38</v>
      </c>
      <c r="Q15" s="50">
        <v>4.66</v>
      </c>
    </row>
    <row r="16" spans="1:21" customFormat="1">
      <c r="A16" s="49">
        <v>45549.333333333336</v>
      </c>
      <c r="B16" s="50">
        <v>9.2799999999999994</v>
      </c>
      <c r="C16" s="50">
        <v>4.05</v>
      </c>
      <c r="D16" s="50">
        <v>14.01</v>
      </c>
      <c r="E16" s="50">
        <v>8.66</v>
      </c>
      <c r="F16" s="50">
        <v>5.65</v>
      </c>
      <c r="G16" s="50">
        <v>45.92</v>
      </c>
      <c r="H16" s="50">
        <v>14.15</v>
      </c>
      <c r="I16" s="50">
        <v>5.96</v>
      </c>
      <c r="J16" s="50">
        <v>0.49</v>
      </c>
      <c r="K16" s="50">
        <v>272.47000000000003</v>
      </c>
      <c r="L16" s="50">
        <v>26.33</v>
      </c>
      <c r="M16" s="50">
        <v>91.18</v>
      </c>
      <c r="N16" s="50">
        <v>76.2</v>
      </c>
      <c r="O16" s="50">
        <v>0</v>
      </c>
      <c r="P16" s="50">
        <v>0.4</v>
      </c>
      <c r="Q16" s="50">
        <v>4.67</v>
      </c>
    </row>
    <row r="17" spans="1:17" customFormat="1">
      <c r="A17" s="49">
        <v>45549.375</v>
      </c>
      <c r="B17" s="50">
        <v>9.2799999999999994</v>
      </c>
      <c r="C17" s="50">
        <v>4.0999999999999996</v>
      </c>
      <c r="D17" s="50">
        <v>14.03</v>
      </c>
      <c r="E17" s="50">
        <v>8.8000000000000007</v>
      </c>
      <c r="F17" s="50">
        <v>6.39</v>
      </c>
      <c r="G17" s="50">
        <v>53.56</v>
      </c>
      <c r="H17" s="50">
        <v>14.15</v>
      </c>
      <c r="I17" s="50">
        <v>6.28</v>
      </c>
      <c r="J17" s="50">
        <v>0.63</v>
      </c>
      <c r="K17" s="50">
        <v>293.89999999999998</v>
      </c>
      <c r="L17" s="50">
        <v>27.1</v>
      </c>
      <c r="M17" s="50">
        <v>88.74</v>
      </c>
      <c r="N17" s="50">
        <v>117.4</v>
      </c>
      <c r="O17" s="50">
        <v>0</v>
      </c>
      <c r="P17" s="50">
        <v>0.43</v>
      </c>
      <c r="Q17" s="50">
        <v>4.66</v>
      </c>
    </row>
    <row r="18" spans="1:17" customFormat="1">
      <c r="A18" s="49">
        <v>45549.416666666664</v>
      </c>
      <c r="B18" s="50">
        <v>9.2799999999999994</v>
      </c>
      <c r="C18" s="50">
        <v>4.0999999999999996</v>
      </c>
      <c r="D18" s="50">
        <v>14.01</v>
      </c>
      <c r="E18" s="50">
        <v>8.2799999999999994</v>
      </c>
      <c r="F18" s="50">
        <v>6.47</v>
      </c>
      <c r="G18" s="50">
        <v>53.56</v>
      </c>
      <c r="H18" s="50">
        <v>10.7</v>
      </c>
      <c r="I18" s="50">
        <v>6.1</v>
      </c>
      <c r="J18" s="50">
        <v>0.79</v>
      </c>
      <c r="K18" s="50">
        <v>288.32</v>
      </c>
      <c r="L18" s="50">
        <v>27.45</v>
      </c>
      <c r="M18" s="50">
        <v>80.63</v>
      </c>
      <c r="N18" s="50">
        <v>121</v>
      </c>
      <c r="O18" s="50">
        <v>0</v>
      </c>
      <c r="P18" s="50">
        <v>0.45</v>
      </c>
      <c r="Q18" s="50">
        <v>4.66</v>
      </c>
    </row>
    <row r="19" spans="1:17" customFormat="1">
      <c r="A19" s="49">
        <v>45549.458333333336</v>
      </c>
      <c r="B19" s="50">
        <v>9.26</v>
      </c>
      <c r="C19" s="50">
        <v>4.12</v>
      </c>
      <c r="D19" s="50">
        <v>14</v>
      </c>
      <c r="E19" s="50">
        <v>10.65</v>
      </c>
      <c r="F19" s="50">
        <v>5.69</v>
      </c>
      <c r="G19" s="50">
        <v>55.4</v>
      </c>
      <c r="H19" s="50">
        <v>10.41</v>
      </c>
      <c r="I19" s="50">
        <v>6.03</v>
      </c>
      <c r="J19" s="50">
        <v>0.55000000000000004</v>
      </c>
      <c r="K19" s="50">
        <v>306.26</v>
      </c>
      <c r="L19" s="50">
        <v>27.94</v>
      </c>
      <c r="M19" s="50">
        <v>79.430000000000007</v>
      </c>
      <c r="N19" s="50">
        <v>149.4</v>
      </c>
      <c r="O19" s="50">
        <v>0</v>
      </c>
      <c r="P19" s="50">
        <v>0.48</v>
      </c>
      <c r="Q19" s="50">
        <v>4.67</v>
      </c>
    </row>
    <row r="20" spans="1:17" customFormat="1">
      <c r="A20" s="49">
        <v>45549.5</v>
      </c>
      <c r="B20" s="50">
        <v>9.23</v>
      </c>
      <c r="C20" s="50">
        <v>4.1399999999999997</v>
      </c>
      <c r="D20" s="50">
        <v>14</v>
      </c>
      <c r="E20" s="50">
        <v>10.34</v>
      </c>
      <c r="F20" s="50">
        <v>5.83</v>
      </c>
      <c r="G20" s="50">
        <v>64.430000000000007</v>
      </c>
      <c r="H20" s="50">
        <v>19.21</v>
      </c>
      <c r="I20" s="50">
        <v>5.87</v>
      </c>
      <c r="J20" s="50">
        <v>0.83</v>
      </c>
      <c r="K20" s="50">
        <v>306.02</v>
      </c>
      <c r="L20" s="50">
        <v>28.89</v>
      </c>
      <c r="M20" s="50">
        <v>76.94</v>
      </c>
      <c r="N20" s="50">
        <v>344.2</v>
      </c>
      <c r="O20" s="50">
        <v>0</v>
      </c>
      <c r="P20" s="50">
        <v>0.47</v>
      </c>
      <c r="Q20" s="50">
        <v>4.6399999999999997</v>
      </c>
    </row>
    <row r="21" spans="1:17" customFormat="1">
      <c r="A21" s="49">
        <v>45549.541666666664</v>
      </c>
      <c r="B21" s="50">
        <v>9.23</v>
      </c>
      <c r="C21" s="50">
        <v>4.1500000000000004</v>
      </c>
      <c r="D21" s="50">
        <v>14</v>
      </c>
      <c r="E21" s="50">
        <v>11.1</v>
      </c>
      <c r="F21" s="50">
        <v>5.99</v>
      </c>
      <c r="G21" s="50">
        <v>66.03</v>
      </c>
      <c r="H21" s="50">
        <v>19.21</v>
      </c>
      <c r="I21" s="50">
        <v>5.66</v>
      </c>
      <c r="J21" s="50">
        <v>0.84</v>
      </c>
      <c r="K21" s="50">
        <v>307.07</v>
      </c>
      <c r="L21" s="50">
        <v>29.6</v>
      </c>
      <c r="M21" s="50">
        <v>71.92</v>
      </c>
      <c r="N21" s="50">
        <v>500.6</v>
      </c>
      <c r="O21" s="50">
        <v>0</v>
      </c>
      <c r="P21" s="50">
        <v>0.45</v>
      </c>
      <c r="Q21" s="50">
        <v>4.6500000000000004</v>
      </c>
    </row>
    <row r="22" spans="1:17" customFormat="1">
      <c r="A22" s="49">
        <v>45549.583333333336</v>
      </c>
      <c r="B22" s="50">
        <v>9.23</v>
      </c>
      <c r="C22" s="50">
        <v>4.1399999999999997</v>
      </c>
      <c r="D22" s="50">
        <v>14</v>
      </c>
      <c r="E22" s="50">
        <v>11.18</v>
      </c>
      <c r="F22" s="50">
        <v>6.1</v>
      </c>
      <c r="G22" s="50">
        <v>74.459999999999994</v>
      </c>
      <c r="H22" s="50">
        <v>16.71</v>
      </c>
      <c r="I22" s="50">
        <v>5.3</v>
      </c>
      <c r="J22" s="50">
        <v>0.83</v>
      </c>
      <c r="K22" s="50">
        <v>300.38</v>
      </c>
      <c r="L22" s="50">
        <v>30.2</v>
      </c>
      <c r="M22" s="50">
        <v>68.61</v>
      </c>
      <c r="N22" s="50">
        <v>533.29999999999995</v>
      </c>
      <c r="O22" s="50">
        <v>0</v>
      </c>
      <c r="P22" s="50">
        <v>0.43</v>
      </c>
      <c r="Q22" s="50">
        <v>4.6500000000000004</v>
      </c>
    </row>
    <row r="23" spans="1:17" customFormat="1">
      <c r="A23" s="49">
        <v>45549.625</v>
      </c>
      <c r="B23" s="50">
        <v>9.2899999999999991</v>
      </c>
      <c r="C23" s="50">
        <v>4.12</v>
      </c>
      <c r="D23" s="50">
        <v>14.02</v>
      </c>
      <c r="E23" s="50">
        <v>11.49</v>
      </c>
      <c r="F23" s="50">
        <v>6.06</v>
      </c>
      <c r="G23" s="50">
        <v>74.459999999999994</v>
      </c>
      <c r="H23" s="50">
        <v>16.39</v>
      </c>
      <c r="I23" s="50">
        <v>5.07</v>
      </c>
      <c r="J23" s="50">
        <v>0.88</v>
      </c>
      <c r="K23" s="50">
        <v>299.39999999999998</v>
      </c>
      <c r="L23" s="50">
        <v>30.42</v>
      </c>
      <c r="M23" s="50">
        <v>68.22</v>
      </c>
      <c r="N23" s="50">
        <v>251.9</v>
      </c>
      <c r="O23" s="50">
        <v>0</v>
      </c>
      <c r="P23" s="50">
        <v>0.43</v>
      </c>
      <c r="Q23" s="50">
        <v>4.6399999999999997</v>
      </c>
    </row>
    <row r="24" spans="1:17" customFormat="1">
      <c r="A24" s="49">
        <v>45549.666666666664</v>
      </c>
      <c r="B24" s="50">
        <v>9.24</v>
      </c>
      <c r="C24" s="50">
        <v>4.1399999999999997</v>
      </c>
      <c r="D24" s="50">
        <v>14</v>
      </c>
      <c r="E24" s="50">
        <v>9.9600000000000009</v>
      </c>
      <c r="F24" s="50">
        <v>6.05</v>
      </c>
      <c r="G24" s="50">
        <v>66.58</v>
      </c>
      <c r="H24" s="50">
        <v>11.85</v>
      </c>
      <c r="I24" s="50">
        <v>5.0199999999999996</v>
      </c>
      <c r="J24" s="50">
        <v>0.83</v>
      </c>
      <c r="K24" s="50">
        <v>305.58</v>
      </c>
      <c r="L24" s="50">
        <v>30.07</v>
      </c>
      <c r="M24" s="50">
        <v>71.25</v>
      </c>
      <c r="N24" s="50">
        <v>207.6</v>
      </c>
      <c r="O24" s="50">
        <v>0</v>
      </c>
      <c r="P24" s="50">
        <v>0.42</v>
      </c>
      <c r="Q24" s="50">
        <v>4.63</v>
      </c>
    </row>
    <row r="25" spans="1:17" customFormat="1">
      <c r="A25" s="49">
        <v>45549.708333333336</v>
      </c>
      <c r="B25" s="50">
        <v>9.24</v>
      </c>
      <c r="C25" s="50">
        <v>4.12</v>
      </c>
      <c r="D25" s="50">
        <v>14</v>
      </c>
      <c r="E25" s="50">
        <v>9.74</v>
      </c>
      <c r="F25" s="50">
        <v>5.92</v>
      </c>
      <c r="G25" s="50">
        <v>66.58</v>
      </c>
      <c r="H25" s="50">
        <v>16.59</v>
      </c>
      <c r="I25" s="50">
        <v>4.8</v>
      </c>
      <c r="J25" s="50">
        <v>0.88</v>
      </c>
      <c r="K25" s="50">
        <v>300.7</v>
      </c>
      <c r="L25" s="50">
        <v>29.58</v>
      </c>
      <c r="M25" s="50">
        <v>72.790000000000006</v>
      </c>
      <c r="N25" s="50">
        <v>77.900000000000006</v>
      </c>
      <c r="O25" s="50">
        <v>0</v>
      </c>
      <c r="P25" s="50">
        <v>0.43</v>
      </c>
      <c r="Q25" s="50">
        <v>4.63</v>
      </c>
    </row>
    <row r="26" spans="1:17" customFormat="1">
      <c r="A26" s="49">
        <v>45549.75</v>
      </c>
      <c r="B26" s="50">
        <v>9.27</v>
      </c>
      <c r="C26" s="50">
        <v>4.09</v>
      </c>
      <c r="D26" s="50">
        <v>14.01</v>
      </c>
      <c r="E26" s="50">
        <v>9.42</v>
      </c>
      <c r="F26" s="50">
        <v>4.99</v>
      </c>
      <c r="G26" s="50">
        <v>64.180000000000007</v>
      </c>
      <c r="H26" s="50">
        <v>16.59</v>
      </c>
      <c r="I26" s="50">
        <v>4.79</v>
      </c>
      <c r="J26" s="50">
        <v>0.81</v>
      </c>
      <c r="K26" s="50">
        <v>288.01</v>
      </c>
      <c r="L26" s="50">
        <v>28.94</v>
      </c>
      <c r="M26" s="50">
        <v>74.290000000000006</v>
      </c>
      <c r="N26" s="50">
        <v>30.7</v>
      </c>
      <c r="O26" s="50">
        <v>0</v>
      </c>
      <c r="P26" s="50">
        <v>0.43</v>
      </c>
      <c r="Q26" s="50">
        <v>4.6399999999999997</v>
      </c>
    </row>
    <row r="27" spans="1:17" customFormat="1">
      <c r="A27" s="49">
        <v>45549.791666666664</v>
      </c>
      <c r="B27" s="50">
        <v>9.31</v>
      </c>
      <c r="C27" s="50">
        <v>4.08</v>
      </c>
      <c r="D27" s="50">
        <v>14.05</v>
      </c>
      <c r="E27" s="50">
        <v>10.08</v>
      </c>
      <c r="F27" s="50">
        <v>5.93</v>
      </c>
      <c r="G27" s="50">
        <v>62.39</v>
      </c>
      <c r="H27" s="50">
        <v>15.64</v>
      </c>
      <c r="I27" s="50">
        <v>4.8899999999999997</v>
      </c>
      <c r="J27" s="50">
        <v>0.83</v>
      </c>
      <c r="K27" s="50">
        <v>288.33999999999997</v>
      </c>
      <c r="L27" s="50">
        <v>28.34</v>
      </c>
      <c r="M27" s="50">
        <v>73.72</v>
      </c>
      <c r="N27" s="50">
        <v>2.6</v>
      </c>
      <c r="O27" s="50">
        <v>0</v>
      </c>
      <c r="P27" s="50">
        <v>0.44</v>
      </c>
      <c r="Q27" s="50">
        <v>4.66</v>
      </c>
    </row>
    <row r="28" spans="1:17" customFormat="1">
      <c r="A28" s="49">
        <v>45549.833333333336</v>
      </c>
      <c r="B28" s="50">
        <v>9.33</v>
      </c>
      <c r="C28" s="50">
        <v>4.0999999999999996</v>
      </c>
      <c r="D28" s="50">
        <v>14.07</v>
      </c>
      <c r="E28" s="50">
        <v>10.58</v>
      </c>
      <c r="F28" s="50">
        <v>6.72</v>
      </c>
      <c r="G28" s="50">
        <v>65.349999999999994</v>
      </c>
      <c r="H28" s="50">
        <v>15.64</v>
      </c>
      <c r="I28" s="50">
        <v>5.05</v>
      </c>
      <c r="J28" s="50">
        <v>0.77</v>
      </c>
      <c r="K28" s="50">
        <v>288.94</v>
      </c>
      <c r="L28" s="50">
        <v>28.06</v>
      </c>
      <c r="M28" s="50">
        <v>73.849999999999994</v>
      </c>
      <c r="N28" s="50">
        <v>2.4</v>
      </c>
      <c r="O28" s="50">
        <v>0</v>
      </c>
      <c r="P28" s="50">
        <v>0.45</v>
      </c>
      <c r="Q28" s="50">
        <v>4.6500000000000004</v>
      </c>
    </row>
    <row r="29" spans="1:17" customFormat="1">
      <c r="A29" s="49">
        <v>45549.875</v>
      </c>
      <c r="B29" s="50">
        <v>9.24</v>
      </c>
      <c r="C29" s="50">
        <v>4.13</v>
      </c>
      <c r="D29" s="50">
        <v>14</v>
      </c>
      <c r="E29" s="50">
        <v>11.52</v>
      </c>
      <c r="F29" s="50">
        <v>4.91</v>
      </c>
      <c r="G29" s="50">
        <v>65.349999999999994</v>
      </c>
      <c r="H29" s="50">
        <v>14.44</v>
      </c>
      <c r="I29" s="50">
        <v>5.25</v>
      </c>
      <c r="J29" s="50">
        <v>0.59</v>
      </c>
      <c r="K29" s="50">
        <v>284.31</v>
      </c>
      <c r="L29" s="50">
        <v>27.51</v>
      </c>
      <c r="M29" s="50">
        <v>75.78</v>
      </c>
      <c r="N29" s="50">
        <v>2.2999999999999998</v>
      </c>
      <c r="O29" s="50">
        <v>0</v>
      </c>
      <c r="P29" s="50">
        <v>0.49</v>
      </c>
      <c r="Q29" s="50">
        <v>4.6500000000000004</v>
      </c>
    </row>
    <row r="30" spans="1:17" customFormat="1">
      <c r="A30" s="49">
        <v>45549.916666666664</v>
      </c>
      <c r="B30" s="50">
        <v>9.26</v>
      </c>
      <c r="C30" s="50">
        <v>4.1100000000000003</v>
      </c>
      <c r="D30" s="50">
        <v>14.01</v>
      </c>
      <c r="E30" s="50">
        <v>11.79</v>
      </c>
      <c r="F30" s="50">
        <v>4.82</v>
      </c>
      <c r="G30" s="50">
        <v>64.319999999999993</v>
      </c>
      <c r="H30" s="50">
        <v>13.79</v>
      </c>
      <c r="I30" s="50">
        <v>5.86</v>
      </c>
      <c r="J30" s="50">
        <v>0.48</v>
      </c>
      <c r="K30" s="50">
        <v>270.75</v>
      </c>
      <c r="L30" s="50">
        <v>26.96</v>
      </c>
      <c r="M30" s="50">
        <v>81.23</v>
      </c>
      <c r="N30" s="50">
        <v>2.4</v>
      </c>
      <c r="O30" s="50">
        <v>0</v>
      </c>
      <c r="P30" s="50">
        <v>0.51</v>
      </c>
      <c r="Q30" s="50">
        <v>4.66</v>
      </c>
    </row>
    <row r="31" spans="1:17" customFormat="1">
      <c r="A31" s="49">
        <v>45549.958333333336</v>
      </c>
      <c r="B31" s="50">
        <v>9.27</v>
      </c>
      <c r="C31" s="50">
        <v>4.09</v>
      </c>
      <c r="D31" s="50">
        <v>14.01</v>
      </c>
      <c r="E31" s="50">
        <v>12.24</v>
      </c>
      <c r="F31" s="50">
        <v>4.6100000000000003</v>
      </c>
      <c r="G31" s="50">
        <v>66.34</v>
      </c>
      <c r="H31" s="50">
        <v>15.7</v>
      </c>
      <c r="I31" s="50">
        <v>6.29</v>
      </c>
      <c r="J31" s="50">
        <v>0.46</v>
      </c>
      <c r="K31" s="50">
        <v>277.55</v>
      </c>
      <c r="L31" s="50">
        <v>26.51</v>
      </c>
      <c r="M31" s="50">
        <v>83.93</v>
      </c>
      <c r="N31" s="50">
        <v>2.1</v>
      </c>
      <c r="O31" s="50">
        <v>0</v>
      </c>
      <c r="P31" s="50">
        <v>0.52</v>
      </c>
      <c r="Q31" s="50">
        <v>4.6500000000000004</v>
      </c>
    </row>
    <row r="32" spans="1:17" customFormat="1">
      <c r="A32" s="49">
        <v>45550</v>
      </c>
      <c r="B32" s="50">
        <v>9.36</v>
      </c>
      <c r="C32" s="50">
        <v>4.1100000000000003</v>
      </c>
      <c r="D32" s="50">
        <v>14.08</v>
      </c>
      <c r="E32" s="50">
        <v>12.7</v>
      </c>
      <c r="F32" s="50">
        <v>4.62</v>
      </c>
      <c r="G32" s="50">
        <v>73.849999999999994</v>
      </c>
      <c r="H32" s="50">
        <v>15.7</v>
      </c>
      <c r="I32" s="50">
        <v>6.53</v>
      </c>
      <c r="J32" s="50">
        <v>0.56999999999999995</v>
      </c>
      <c r="K32" s="50">
        <v>290.58</v>
      </c>
      <c r="L32" s="50">
        <v>26.53</v>
      </c>
      <c r="M32" s="50">
        <v>82.29</v>
      </c>
      <c r="N32" s="50">
        <v>2.2000000000000002</v>
      </c>
      <c r="O32" s="50">
        <v>0</v>
      </c>
      <c r="P32" s="50">
        <v>0.52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9.23</v>
      </c>
      <c r="C34" s="40">
        <f t="shared" si="0"/>
        <v>4.05</v>
      </c>
      <c r="D34" s="40">
        <f t="shared" si="0"/>
        <v>14</v>
      </c>
      <c r="E34" s="40">
        <f t="shared" si="0"/>
        <v>8.2799999999999994</v>
      </c>
      <c r="F34" s="40">
        <f t="shared" si="0"/>
        <v>3.84</v>
      </c>
      <c r="G34" s="40">
        <f t="shared" si="0"/>
        <v>42.68</v>
      </c>
      <c r="H34" s="40">
        <f t="shared" si="0"/>
        <v>9.36</v>
      </c>
      <c r="I34" s="40">
        <f t="shared" si="0"/>
        <v>4.79</v>
      </c>
      <c r="J34" s="40">
        <f t="shared" si="0"/>
        <v>0.24</v>
      </c>
      <c r="K34" s="40">
        <f t="shared" si="0"/>
        <v>265.62</v>
      </c>
      <c r="L34" s="40">
        <f t="shared" si="0"/>
        <v>24.9</v>
      </c>
      <c r="M34" s="40">
        <f t="shared" si="0"/>
        <v>68.22</v>
      </c>
      <c r="N34" s="40">
        <f t="shared" si="0"/>
        <v>2.1</v>
      </c>
      <c r="O34" s="40">
        <f t="shared" si="0"/>
        <v>0</v>
      </c>
      <c r="P34" s="40">
        <f t="shared" si="0"/>
        <v>0.38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9.36</v>
      </c>
      <c r="C35" s="33">
        <f t="shared" si="1"/>
        <v>4.1500000000000004</v>
      </c>
      <c r="D35" s="33">
        <f t="shared" si="1"/>
        <v>14.08</v>
      </c>
      <c r="E35" s="33">
        <f t="shared" si="1"/>
        <v>12.7</v>
      </c>
      <c r="F35" s="33">
        <f t="shared" si="1"/>
        <v>6.72</v>
      </c>
      <c r="G35" s="33">
        <f t="shared" si="1"/>
        <v>74.459999999999994</v>
      </c>
      <c r="H35" s="33">
        <f t="shared" si="1"/>
        <v>19.21</v>
      </c>
      <c r="I35" s="33">
        <f t="shared" si="1"/>
        <v>6.53</v>
      </c>
      <c r="J35" s="33">
        <f t="shared" si="1"/>
        <v>0.88</v>
      </c>
      <c r="K35" s="33">
        <f t="shared" si="1"/>
        <v>307.07</v>
      </c>
      <c r="L35" s="33">
        <f t="shared" si="1"/>
        <v>30.42</v>
      </c>
      <c r="M35" s="33">
        <f t="shared" si="1"/>
        <v>97.44</v>
      </c>
      <c r="N35" s="33">
        <f t="shared" si="1"/>
        <v>533.29999999999995</v>
      </c>
      <c r="O35" s="33">
        <f t="shared" si="1"/>
        <v>0</v>
      </c>
      <c r="P35" s="33">
        <f t="shared" si="1"/>
        <v>0.52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9.2766666666666691</v>
      </c>
      <c r="C36" s="40">
        <f t="shared" si="2"/>
        <v>4.1029166666666663</v>
      </c>
      <c r="D36" s="40">
        <f t="shared" si="2"/>
        <v>14.020416666666664</v>
      </c>
      <c r="E36" s="40">
        <f t="shared" si="2"/>
        <v>10.175000000000002</v>
      </c>
      <c r="F36" s="40">
        <f t="shared" si="2"/>
        <v>5.4137499999999976</v>
      </c>
      <c r="G36" s="40">
        <f t="shared" si="2"/>
        <v>59.141249999999992</v>
      </c>
      <c r="H36" s="40">
        <f t="shared" si="2"/>
        <v>14.238750000000001</v>
      </c>
      <c r="I36" s="40">
        <f t="shared" si="2"/>
        <v>5.5304166666666665</v>
      </c>
      <c r="J36" s="40">
        <f t="shared" si="2"/>
        <v>0.63250000000000017</v>
      </c>
      <c r="K36" s="40">
        <f t="shared" si="2"/>
        <v>288.06875000000002</v>
      </c>
      <c r="L36" s="40">
        <f t="shared" si="2"/>
        <v>27.528333333333332</v>
      </c>
      <c r="M36" s="40">
        <f t="shared" si="2"/>
        <v>81.404583333333335</v>
      </c>
      <c r="N36" s="40">
        <f t="shared" si="2"/>
        <v>103.89999999999998</v>
      </c>
      <c r="O36" s="40">
        <f t="shared" si="2"/>
        <v>0</v>
      </c>
      <c r="P36" s="40">
        <f t="shared" si="2"/>
        <v>0.44666666666666655</v>
      </c>
      <c r="Q36" s="40">
        <f t="shared" si="2"/>
        <v>4.6533333333333333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3.5954883161934972E-2</v>
      </c>
      <c r="C37" s="40">
        <f t="shared" ref="C37:Q37" si="3">STDEV(C9:C32)</f>
        <v>2.6454089297870593E-2</v>
      </c>
      <c r="D37" s="40">
        <f t="shared" si="3"/>
        <v>2.510485258248717E-2</v>
      </c>
      <c r="E37" s="40">
        <f t="shared" si="3"/>
        <v>1.2684053665579487</v>
      </c>
      <c r="F37" s="40">
        <f t="shared" si="3"/>
        <v>0.81301806226260298</v>
      </c>
      <c r="G37" s="40">
        <f t="shared" si="3"/>
        <v>9.9264776854194565</v>
      </c>
      <c r="H37" s="40">
        <f t="shared" si="3"/>
        <v>2.830174848646819</v>
      </c>
      <c r="I37" s="40">
        <f t="shared" si="3"/>
        <v>0.51429545870112026</v>
      </c>
      <c r="J37" s="40">
        <f t="shared" si="3"/>
        <v>0.19909032252156067</v>
      </c>
      <c r="K37" s="40">
        <f t="shared" si="3"/>
        <v>13.112154107013319</v>
      </c>
      <c r="L37" s="40">
        <f t="shared" si="3"/>
        <v>1.6600619859215433</v>
      </c>
      <c r="M37" s="40">
        <f t="shared" si="3"/>
        <v>9.0129163253857065</v>
      </c>
      <c r="N37" s="40">
        <f t="shared" si="3"/>
        <v>157.01281033309243</v>
      </c>
      <c r="O37" s="40">
        <f t="shared" si="3"/>
        <v>0</v>
      </c>
      <c r="P37" s="40">
        <f t="shared" si="3"/>
        <v>3.818338662943406E-2</v>
      </c>
      <c r="Q37" s="40">
        <f t="shared" si="3"/>
        <v>1.1671841502435333E-2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45550.041666666664</v>
      </c>
      <c r="B9" s="50">
        <v>9.31</v>
      </c>
      <c r="C9" s="50">
        <v>4.13</v>
      </c>
      <c r="D9" s="50">
        <v>14.06</v>
      </c>
      <c r="E9" s="50">
        <v>11.95</v>
      </c>
      <c r="F9" s="50">
        <v>5.55</v>
      </c>
      <c r="G9" s="50">
        <v>73.849999999999994</v>
      </c>
      <c r="H9" s="50">
        <v>14.6</v>
      </c>
      <c r="I9" s="50">
        <v>6.73</v>
      </c>
      <c r="J9" s="50">
        <v>0.43</v>
      </c>
      <c r="K9" s="50">
        <v>304.72000000000003</v>
      </c>
      <c r="L9" s="50">
        <v>26.36</v>
      </c>
      <c r="M9" s="50">
        <v>80.98</v>
      </c>
      <c r="N9" s="50">
        <v>2.1</v>
      </c>
      <c r="O9" s="50">
        <v>0</v>
      </c>
      <c r="P9" s="50">
        <v>0.51</v>
      </c>
      <c r="Q9" s="50">
        <v>4.6500000000000004</v>
      </c>
    </row>
    <row r="10" spans="1:21" customFormat="1">
      <c r="A10" s="49">
        <v>45550.083333333336</v>
      </c>
      <c r="B10" s="50">
        <v>9.33</v>
      </c>
      <c r="C10" s="50">
        <v>4.08</v>
      </c>
      <c r="D10" s="50">
        <v>14.05</v>
      </c>
      <c r="E10" s="50">
        <v>10.8</v>
      </c>
      <c r="F10" s="50">
        <v>6.72</v>
      </c>
      <c r="G10" s="50">
        <v>68.959999999999994</v>
      </c>
      <c r="H10" s="50">
        <v>15.04</v>
      </c>
      <c r="I10" s="50">
        <v>6.43</v>
      </c>
      <c r="J10" s="50">
        <v>0.52</v>
      </c>
      <c r="K10" s="50">
        <v>298.37</v>
      </c>
      <c r="L10" s="50">
        <v>26.16</v>
      </c>
      <c r="M10" s="50">
        <v>81.760000000000005</v>
      </c>
      <c r="N10" s="50">
        <v>2.1</v>
      </c>
      <c r="O10" s="50">
        <v>0</v>
      </c>
      <c r="P10" s="50">
        <v>0.47</v>
      </c>
      <c r="Q10" s="50">
        <v>4.66</v>
      </c>
    </row>
    <row r="11" spans="1:21" customFormat="1">
      <c r="A11" s="49">
        <v>45550.125</v>
      </c>
      <c r="B11" s="50">
        <v>9.34</v>
      </c>
      <c r="C11" s="50">
        <v>4.12</v>
      </c>
      <c r="D11" s="50">
        <v>14.07</v>
      </c>
      <c r="E11" s="50">
        <v>10.51</v>
      </c>
      <c r="F11" s="50">
        <v>5.72</v>
      </c>
      <c r="G11" s="50">
        <v>64.36</v>
      </c>
      <c r="H11" s="50">
        <v>15.04</v>
      </c>
      <c r="I11" s="50">
        <v>6.26</v>
      </c>
      <c r="J11" s="50">
        <v>0.56999999999999995</v>
      </c>
      <c r="K11" s="50">
        <v>289.79000000000002</v>
      </c>
      <c r="L11" s="50">
        <v>25.76</v>
      </c>
      <c r="M11" s="50">
        <v>82.44</v>
      </c>
      <c r="N11" s="50">
        <v>2.2000000000000002</v>
      </c>
      <c r="O11" s="50">
        <v>0</v>
      </c>
      <c r="P11" s="50">
        <v>0.43</v>
      </c>
      <c r="Q11" s="50">
        <v>4.66</v>
      </c>
    </row>
    <row r="12" spans="1:21" customFormat="1">
      <c r="A12" s="49">
        <v>45550.166666666664</v>
      </c>
      <c r="B12" s="50">
        <v>9.2899999999999991</v>
      </c>
      <c r="C12" s="50">
        <v>4.1100000000000003</v>
      </c>
      <c r="D12" s="50">
        <v>14.04</v>
      </c>
      <c r="E12" s="50">
        <v>10.1</v>
      </c>
      <c r="F12" s="50">
        <v>6.25</v>
      </c>
      <c r="G12" s="50">
        <v>54.6</v>
      </c>
      <c r="H12" s="50">
        <v>11.19</v>
      </c>
      <c r="I12" s="50">
        <v>5.99</v>
      </c>
      <c r="J12" s="50">
        <v>0.46</v>
      </c>
      <c r="K12" s="50">
        <v>308.06</v>
      </c>
      <c r="L12" s="50">
        <v>25.65</v>
      </c>
      <c r="M12" s="50">
        <v>82.69</v>
      </c>
      <c r="N12" s="50">
        <v>2.2000000000000002</v>
      </c>
      <c r="O12" s="50">
        <v>0</v>
      </c>
      <c r="P12" s="50">
        <v>0.4</v>
      </c>
      <c r="Q12" s="50">
        <v>4.66</v>
      </c>
    </row>
    <row r="13" spans="1:21" customFormat="1">
      <c r="A13" s="49">
        <v>45550.208333333336</v>
      </c>
      <c r="B13" s="50">
        <v>9.2899999999999991</v>
      </c>
      <c r="C13" s="50">
        <v>4.0999999999999996</v>
      </c>
      <c r="D13" s="50">
        <v>14.02</v>
      </c>
      <c r="E13" s="50">
        <v>9.59</v>
      </c>
      <c r="F13" s="50">
        <v>6.16</v>
      </c>
      <c r="G13" s="50">
        <v>54.6</v>
      </c>
      <c r="H13" s="50">
        <v>11.1</v>
      </c>
      <c r="I13" s="50">
        <v>5.55</v>
      </c>
      <c r="J13" s="50">
        <v>0.61</v>
      </c>
      <c r="K13" s="50">
        <v>279.48</v>
      </c>
      <c r="L13" s="50">
        <v>25.37</v>
      </c>
      <c r="M13" s="50">
        <v>83.91</v>
      </c>
      <c r="N13" s="50">
        <v>2.2000000000000002</v>
      </c>
      <c r="O13" s="50">
        <v>0</v>
      </c>
      <c r="P13" s="50">
        <v>0.4</v>
      </c>
      <c r="Q13" s="50">
        <v>4.66</v>
      </c>
    </row>
    <row r="14" spans="1:21" customFormat="1">
      <c r="A14" s="49">
        <v>45550.25</v>
      </c>
      <c r="B14" s="50">
        <v>9.2799999999999994</v>
      </c>
      <c r="C14" s="50">
        <v>4.08</v>
      </c>
      <c r="D14" s="50">
        <v>14.01</v>
      </c>
      <c r="E14" s="50">
        <v>10.07</v>
      </c>
      <c r="F14" s="50">
        <v>4.3499999999999996</v>
      </c>
      <c r="G14" s="50">
        <v>52.86</v>
      </c>
      <c r="H14" s="50">
        <v>15.07</v>
      </c>
      <c r="I14" s="50">
        <v>5.3</v>
      </c>
      <c r="J14" s="50">
        <v>0.62</v>
      </c>
      <c r="K14" s="50">
        <v>292.17</v>
      </c>
      <c r="L14" s="50">
        <v>25.37</v>
      </c>
      <c r="M14" s="50">
        <v>83.83</v>
      </c>
      <c r="N14" s="50">
        <v>8.3000000000000007</v>
      </c>
      <c r="O14" s="50">
        <v>0</v>
      </c>
      <c r="P14" s="50">
        <v>0.39</v>
      </c>
      <c r="Q14" s="50">
        <v>4.6500000000000004</v>
      </c>
    </row>
    <row r="15" spans="1:21" customFormat="1">
      <c r="A15" s="49">
        <v>45550.291666666664</v>
      </c>
      <c r="B15" s="50">
        <v>9.26</v>
      </c>
      <c r="C15" s="50">
        <v>4.12</v>
      </c>
      <c r="D15" s="50">
        <v>14</v>
      </c>
      <c r="E15" s="50">
        <v>10.76</v>
      </c>
      <c r="F15" s="50">
        <v>4.29</v>
      </c>
      <c r="G15" s="50">
        <v>51.27</v>
      </c>
      <c r="H15" s="50">
        <v>15.07</v>
      </c>
      <c r="I15" s="50">
        <v>4.97</v>
      </c>
      <c r="J15" s="50">
        <v>0.55000000000000004</v>
      </c>
      <c r="K15" s="50">
        <v>294.74</v>
      </c>
      <c r="L15" s="50">
        <v>25.96</v>
      </c>
      <c r="M15" s="50">
        <v>85.39</v>
      </c>
      <c r="N15" s="50">
        <v>46.4</v>
      </c>
      <c r="O15" s="50">
        <v>0</v>
      </c>
      <c r="P15" s="50">
        <v>0.38</v>
      </c>
      <c r="Q15" s="50">
        <v>4.6500000000000004</v>
      </c>
    </row>
    <row r="16" spans="1:21" customFormat="1">
      <c r="A16" s="49">
        <v>45550.333333333336</v>
      </c>
      <c r="B16" s="50">
        <v>9.25</v>
      </c>
      <c r="C16" s="50">
        <v>4.1100000000000003</v>
      </c>
      <c r="D16" s="50">
        <v>14.01</v>
      </c>
      <c r="E16" s="50">
        <v>11.48</v>
      </c>
      <c r="F16" s="50">
        <v>4.58</v>
      </c>
      <c r="G16" s="50">
        <v>51.03</v>
      </c>
      <c r="H16" s="50">
        <v>14.2</v>
      </c>
      <c r="I16" s="50">
        <v>4.84</v>
      </c>
      <c r="J16" s="50">
        <v>0.83</v>
      </c>
      <c r="K16" s="50">
        <v>317.56</v>
      </c>
      <c r="L16" s="50">
        <v>26.64</v>
      </c>
      <c r="M16" s="50">
        <v>79.77</v>
      </c>
      <c r="N16" s="50">
        <v>108.5</v>
      </c>
      <c r="O16" s="50">
        <v>0</v>
      </c>
      <c r="P16" s="50">
        <v>0.38</v>
      </c>
      <c r="Q16" s="50">
        <v>4.66</v>
      </c>
    </row>
    <row r="17" spans="1:17" customFormat="1">
      <c r="A17" s="49">
        <v>45550.375</v>
      </c>
      <c r="B17" s="50">
        <v>9.24</v>
      </c>
      <c r="C17" s="50">
        <v>4.12</v>
      </c>
      <c r="D17" s="50">
        <v>14</v>
      </c>
      <c r="E17" s="50">
        <v>11.36</v>
      </c>
      <c r="F17" s="50">
        <v>4.83</v>
      </c>
      <c r="G17" s="50">
        <v>48.59</v>
      </c>
      <c r="H17" s="50">
        <v>14.2</v>
      </c>
      <c r="I17" s="50">
        <v>4.7300000000000004</v>
      </c>
      <c r="J17" s="50">
        <v>0.93</v>
      </c>
      <c r="K17" s="50">
        <v>309.97000000000003</v>
      </c>
      <c r="L17" s="50">
        <v>28.04</v>
      </c>
      <c r="M17" s="50">
        <v>72.83</v>
      </c>
      <c r="N17" s="50">
        <v>292</v>
      </c>
      <c r="O17" s="50">
        <v>0</v>
      </c>
      <c r="P17" s="50">
        <v>0.38</v>
      </c>
      <c r="Q17" s="50">
        <v>4.6399999999999997</v>
      </c>
    </row>
    <row r="18" spans="1:17" customFormat="1">
      <c r="A18" s="49">
        <v>45550.416666666664</v>
      </c>
      <c r="B18" s="50">
        <v>9.3000000000000007</v>
      </c>
      <c r="C18" s="50">
        <v>4.08</v>
      </c>
      <c r="D18" s="50">
        <v>14.02</v>
      </c>
      <c r="E18" s="50">
        <v>11.45</v>
      </c>
      <c r="F18" s="50">
        <v>5.9</v>
      </c>
      <c r="G18" s="50">
        <v>52.32</v>
      </c>
      <c r="H18" s="50">
        <v>10.57</v>
      </c>
      <c r="I18" s="50">
        <v>4.8899999999999997</v>
      </c>
      <c r="J18" s="50">
        <v>0.94</v>
      </c>
      <c r="K18" s="50">
        <v>312.02</v>
      </c>
      <c r="L18" s="50">
        <v>28.78</v>
      </c>
      <c r="M18" s="50">
        <v>68.67</v>
      </c>
      <c r="N18" s="50">
        <v>414.1</v>
      </c>
      <c r="O18" s="50">
        <v>0</v>
      </c>
      <c r="P18" s="50">
        <v>0.38</v>
      </c>
      <c r="Q18" s="50">
        <v>4.6399999999999997</v>
      </c>
    </row>
    <row r="19" spans="1:17" customFormat="1">
      <c r="A19" s="49">
        <v>45550.458333333336</v>
      </c>
      <c r="B19" s="50">
        <v>9.2899999999999991</v>
      </c>
      <c r="C19" s="50">
        <v>4.1399999999999997</v>
      </c>
      <c r="D19" s="50">
        <v>14.03</v>
      </c>
      <c r="E19" s="50">
        <v>8.83</v>
      </c>
      <c r="F19" s="50">
        <v>5.83</v>
      </c>
      <c r="G19" s="50">
        <v>57.72</v>
      </c>
      <c r="H19" s="50">
        <v>10.050000000000001</v>
      </c>
      <c r="I19" s="50">
        <v>4.9000000000000004</v>
      </c>
      <c r="J19" s="50">
        <v>0.84</v>
      </c>
      <c r="K19" s="50">
        <v>307.88</v>
      </c>
      <c r="L19" s="50">
        <v>29.34</v>
      </c>
      <c r="M19" s="50">
        <v>68.22</v>
      </c>
      <c r="N19" s="50">
        <v>268.5</v>
      </c>
      <c r="O19" s="50">
        <v>0</v>
      </c>
      <c r="P19" s="50">
        <v>0.4</v>
      </c>
      <c r="Q19" s="50">
        <v>4.6500000000000004</v>
      </c>
    </row>
    <row r="20" spans="1:17" customFormat="1">
      <c r="A20" s="49">
        <v>45550.5</v>
      </c>
      <c r="B20" s="50">
        <v>9.26</v>
      </c>
      <c r="C20" s="50">
        <v>4.1399999999999997</v>
      </c>
      <c r="D20" s="50">
        <v>14.01</v>
      </c>
      <c r="E20" s="50">
        <v>9</v>
      </c>
      <c r="F20" s="50">
        <v>6.31</v>
      </c>
      <c r="G20" s="50">
        <v>57.72</v>
      </c>
      <c r="H20" s="50">
        <v>16.920000000000002</v>
      </c>
      <c r="I20" s="50">
        <v>4.8099999999999996</v>
      </c>
      <c r="J20" s="50">
        <v>0.9</v>
      </c>
      <c r="K20" s="50">
        <v>317.52</v>
      </c>
      <c r="L20" s="50">
        <v>30.05</v>
      </c>
      <c r="M20" s="50">
        <v>66.569999999999993</v>
      </c>
      <c r="N20" s="50">
        <v>479.6</v>
      </c>
      <c r="O20" s="50">
        <v>0</v>
      </c>
      <c r="P20" s="50">
        <v>0.41</v>
      </c>
      <c r="Q20" s="50">
        <v>4.6399999999999997</v>
      </c>
    </row>
    <row r="21" spans="1:17" customFormat="1">
      <c r="A21" s="49">
        <v>45550.541666666664</v>
      </c>
      <c r="B21" s="50">
        <v>9.2799999999999994</v>
      </c>
      <c r="C21" s="50">
        <v>4.07</v>
      </c>
      <c r="D21" s="50">
        <v>14.01</v>
      </c>
      <c r="E21" s="50">
        <v>9.3800000000000008</v>
      </c>
      <c r="F21" s="50">
        <v>6.82</v>
      </c>
      <c r="G21" s="50">
        <v>59.24</v>
      </c>
      <c r="H21" s="50">
        <v>16.920000000000002</v>
      </c>
      <c r="I21" s="50">
        <v>4.6399999999999997</v>
      </c>
      <c r="J21" s="50">
        <v>0.83</v>
      </c>
      <c r="K21" s="50">
        <v>328.43</v>
      </c>
      <c r="L21" s="50">
        <v>30.09</v>
      </c>
      <c r="M21" s="50">
        <v>64.61</v>
      </c>
      <c r="N21" s="50">
        <v>346.4</v>
      </c>
      <c r="O21" s="50">
        <v>0</v>
      </c>
      <c r="P21" s="50">
        <v>0.41</v>
      </c>
      <c r="Q21" s="50">
        <v>4.6399999999999997</v>
      </c>
    </row>
    <row r="22" spans="1:17" customFormat="1">
      <c r="A22" s="49">
        <v>45550.583333333336</v>
      </c>
      <c r="B22" s="50">
        <v>9.3000000000000007</v>
      </c>
      <c r="C22" s="50">
        <v>4.09</v>
      </c>
      <c r="D22" s="50">
        <v>14.05</v>
      </c>
      <c r="E22" s="50">
        <v>9.91</v>
      </c>
      <c r="F22" s="50">
        <v>8.02</v>
      </c>
      <c r="G22" s="50">
        <v>59.24</v>
      </c>
      <c r="H22" s="50">
        <v>18.25</v>
      </c>
      <c r="I22" s="50">
        <v>4.55</v>
      </c>
      <c r="J22" s="50">
        <v>0.62</v>
      </c>
      <c r="K22" s="50">
        <v>331.22</v>
      </c>
      <c r="L22" s="50">
        <v>31.03</v>
      </c>
      <c r="M22" s="50">
        <v>64.739999999999995</v>
      </c>
      <c r="N22" s="50">
        <v>254.8</v>
      </c>
      <c r="O22" s="50">
        <v>0</v>
      </c>
      <c r="P22" s="50">
        <v>0.41</v>
      </c>
      <c r="Q22" s="50">
        <v>4.67</v>
      </c>
    </row>
    <row r="23" spans="1:17" customFormat="1">
      <c r="A23" s="49">
        <v>45550.625</v>
      </c>
      <c r="B23" s="50">
        <v>9.26</v>
      </c>
      <c r="C23" s="50">
        <v>4.28</v>
      </c>
      <c r="D23" s="50">
        <v>14.02</v>
      </c>
      <c r="E23" s="50">
        <v>9.48</v>
      </c>
      <c r="F23" s="50">
        <v>8.11</v>
      </c>
      <c r="G23" s="50">
        <v>59</v>
      </c>
      <c r="H23" s="50">
        <v>18.25</v>
      </c>
      <c r="I23" s="50">
        <v>4.21</v>
      </c>
      <c r="J23" s="50">
        <v>0.75</v>
      </c>
      <c r="K23" s="50">
        <v>355.6</v>
      </c>
      <c r="L23" s="50">
        <v>31.04</v>
      </c>
      <c r="M23" s="50">
        <v>61.89</v>
      </c>
      <c r="N23" s="50">
        <v>162.9</v>
      </c>
      <c r="O23" s="50">
        <v>0</v>
      </c>
      <c r="P23" s="50">
        <v>0.39</v>
      </c>
      <c r="Q23" s="50">
        <v>4.67</v>
      </c>
    </row>
    <row r="24" spans="1:17" customFormat="1">
      <c r="A24" s="49">
        <v>45550.666666666664</v>
      </c>
      <c r="B24" s="50">
        <v>9.1300000000000008</v>
      </c>
      <c r="C24" s="50">
        <v>4.3</v>
      </c>
      <c r="D24" s="50">
        <v>14</v>
      </c>
      <c r="E24" s="50">
        <v>9.35</v>
      </c>
      <c r="F24" s="50">
        <v>8.7799999999999994</v>
      </c>
      <c r="G24" s="50">
        <v>52.61</v>
      </c>
      <c r="H24" s="50">
        <v>13.12</v>
      </c>
      <c r="I24" s="50">
        <v>4.0599999999999996</v>
      </c>
      <c r="J24" s="50">
        <v>0.77</v>
      </c>
      <c r="K24" s="50">
        <v>310.12</v>
      </c>
      <c r="L24" s="50">
        <v>30.55</v>
      </c>
      <c r="M24" s="50">
        <v>61.98</v>
      </c>
      <c r="N24" s="50">
        <v>144.4</v>
      </c>
      <c r="O24" s="50">
        <v>0</v>
      </c>
      <c r="P24" s="50">
        <v>0.39</v>
      </c>
      <c r="Q24" s="50">
        <v>4.68</v>
      </c>
    </row>
    <row r="25" spans="1:17" customFormat="1">
      <c r="A25" s="49">
        <v>45550.708333333336</v>
      </c>
      <c r="B25" s="50">
        <v>9.14</v>
      </c>
      <c r="C25" s="50">
        <v>4.3</v>
      </c>
      <c r="D25" s="50">
        <v>14</v>
      </c>
      <c r="E25" s="50">
        <v>9.67</v>
      </c>
      <c r="F25" s="50">
        <v>8.69</v>
      </c>
      <c r="G25" s="50">
        <v>55.1</v>
      </c>
      <c r="H25" s="50">
        <v>12.31</v>
      </c>
      <c r="I25" s="50">
        <v>3.93</v>
      </c>
      <c r="J25" s="50">
        <v>0.87</v>
      </c>
      <c r="K25" s="50">
        <v>290.26</v>
      </c>
      <c r="L25" s="50">
        <v>30.34</v>
      </c>
      <c r="M25" s="50">
        <v>64.599999999999994</v>
      </c>
      <c r="N25" s="50">
        <v>73.5</v>
      </c>
      <c r="O25" s="50">
        <v>0</v>
      </c>
      <c r="P25" s="50">
        <v>0.39</v>
      </c>
      <c r="Q25" s="50">
        <v>4.66</v>
      </c>
    </row>
    <row r="26" spans="1:17" customFormat="1">
      <c r="A26" s="49">
        <v>45550.75</v>
      </c>
      <c r="B26" s="50">
        <v>9.14</v>
      </c>
      <c r="C26" s="50">
        <v>4.26</v>
      </c>
      <c r="D26" s="50">
        <v>14</v>
      </c>
      <c r="E26" s="50">
        <v>10.02</v>
      </c>
      <c r="F26" s="50">
        <v>7.49</v>
      </c>
      <c r="G26" s="50">
        <v>55.1</v>
      </c>
      <c r="H26" s="50">
        <v>12.83</v>
      </c>
      <c r="I26" s="50">
        <v>3.95</v>
      </c>
      <c r="J26" s="50">
        <v>0.78</v>
      </c>
      <c r="K26" s="50">
        <v>291.20999999999998</v>
      </c>
      <c r="L26" s="50">
        <v>29.4</v>
      </c>
      <c r="M26" s="50">
        <v>66.23</v>
      </c>
      <c r="N26" s="50">
        <v>22.8</v>
      </c>
      <c r="O26" s="50">
        <v>0</v>
      </c>
      <c r="P26" s="50">
        <v>0.41</v>
      </c>
      <c r="Q26" s="50">
        <v>4.6500000000000004</v>
      </c>
    </row>
    <row r="27" spans="1:17" customFormat="1">
      <c r="A27" s="49">
        <v>45550.791666666664</v>
      </c>
      <c r="B27" s="50">
        <v>9.19</v>
      </c>
      <c r="C27" s="50">
        <v>4.2699999999999996</v>
      </c>
      <c r="D27" s="50">
        <v>14</v>
      </c>
      <c r="E27" s="50">
        <v>9.5399999999999991</v>
      </c>
      <c r="F27" s="50">
        <v>6.33</v>
      </c>
      <c r="G27" s="50">
        <v>52.62</v>
      </c>
      <c r="H27" s="50">
        <v>12.83</v>
      </c>
      <c r="I27" s="50">
        <v>4.3</v>
      </c>
      <c r="J27" s="50">
        <v>0.86</v>
      </c>
      <c r="K27" s="50">
        <v>289.97000000000003</v>
      </c>
      <c r="L27" s="50">
        <v>28.61</v>
      </c>
      <c r="M27" s="50">
        <v>68.02</v>
      </c>
      <c r="N27" s="50">
        <v>2.5</v>
      </c>
      <c r="O27" s="50">
        <v>0</v>
      </c>
      <c r="P27" s="50">
        <v>0.42</v>
      </c>
      <c r="Q27" s="50">
        <v>4.6500000000000004</v>
      </c>
    </row>
    <row r="28" spans="1:17" customFormat="1">
      <c r="A28" s="49">
        <v>45550.833333333336</v>
      </c>
      <c r="B28" s="50">
        <v>9.16</v>
      </c>
      <c r="C28" s="50">
        <v>4.26</v>
      </c>
      <c r="D28" s="50">
        <v>14</v>
      </c>
      <c r="E28" s="50">
        <v>8</v>
      </c>
      <c r="F28" s="50">
        <v>6.9</v>
      </c>
      <c r="G28" s="50">
        <v>48.14</v>
      </c>
      <c r="H28" s="50">
        <v>12.67</v>
      </c>
      <c r="I28" s="50">
        <v>4.9400000000000004</v>
      </c>
      <c r="J28" s="50">
        <v>1.01</v>
      </c>
      <c r="K28" s="50">
        <v>293.11</v>
      </c>
      <c r="L28" s="50">
        <v>28.49</v>
      </c>
      <c r="M28" s="50">
        <v>70.31</v>
      </c>
      <c r="N28" s="50">
        <v>2.2999999999999998</v>
      </c>
      <c r="O28" s="50">
        <v>0</v>
      </c>
      <c r="P28" s="50">
        <v>0.44</v>
      </c>
      <c r="Q28" s="50">
        <v>4.66</v>
      </c>
    </row>
    <row r="29" spans="1:17" customFormat="1">
      <c r="A29" s="49">
        <v>45550.875</v>
      </c>
      <c r="B29" s="50">
        <v>9.18</v>
      </c>
      <c r="C29" s="50">
        <v>4.21</v>
      </c>
      <c r="D29" s="50">
        <v>14</v>
      </c>
      <c r="E29" s="50">
        <v>8.41</v>
      </c>
      <c r="F29" s="50">
        <v>6.5</v>
      </c>
      <c r="G29" s="50">
        <v>47.62</v>
      </c>
      <c r="H29" s="50">
        <v>12.49</v>
      </c>
      <c r="I29" s="50">
        <v>5.37</v>
      </c>
      <c r="J29" s="50">
        <v>0.87</v>
      </c>
      <c r="K29" s="50">
        <v>290.2</v>
      </c>
      <c r="L29" s="50">
        <v>28.25</v>
      </c>
      <c r="M29" s="50">
        <v>73.2</v>
      </c>
      <c r="N29" s="50">
        <v>2.4</v>
      </c>
      <c r="O29" s="50">
        <v>0</v>
      </c>
      <c r="P29" s="50">
        <v>0.44</v>
      </c>
      <c r="Q29" s="50">
        <v>4.66</v>
      </c>
    </row>
    <row r="30" spans="1:17" customFormat="1">
      <c r="A30" s="49">
        <v>45550.916666666664</v>
      </c>
      <c r="B30" s="50">
        <v>9.23</v>
      </c>
      <c r="C30" s="50">
        <v>4.18</v>
      </c>
      <c r="D30" s="50">
        <v>14</v>
      </c>
      <c r="E30" s="50">
        <v>8.6999999999999993</v>
      </c>
      <c r="F30" s="50">
        <v>6.26</v>
      </c>
      <c r="G30" s="50">
        <v>46.33</v>
      </c>
      <c r="H30" s="50">
        <v>9.77</v>
      </c>
      <c r="I30" s="50">
        <v>5.49</v>
      </c>
      <c r="J30" s="50">
        <v>0.88</v>
      </c>
      <c r="K30" s="50">
        <v>291.14999999999998</v>
      </c>
      <c r="L30" s="50">
        <v>27.9</v>
      </c>
      <c r="M30" s="50">
        <v>72.86</v>
      </c>
      <c r="N30" s="50">
        <v>2.4</v>
      </c>
      <c r="O30" s="50">
        <v>0</v>
      </c>
      <c r="P30" s="50">
        <v>0.44</v>
      </c>
      <c r="Q30" s="50">
        <v>4.6500000000000004</v>
      </c>
    </row>
    <row r="31" spans="1:17" customFormat="1">
      <c r="A31" s="49">
        <v>45550.958333333336</v>
      </c>
      <c r="B31" s="50">
        <v>9.24</v>
      </c>
      <c r="C31" s="50">
        <v>4.12</v>
      </c>
      <c r="D31" s="50">
        <v>14</v>
      </c>
      <c r="E31" s="50">
        <v>8.35</v>
      </c>
      <c r="F31" s="50">
        <v>7.5</v>
      </c>
      <c r="G31" s="50">
        <v>46.33</v>
      </c>
      <c r="H31" s="50">
        <v>11.39</v>
      </c>
      <c r="I31" s="50">
        <v>5.32</v>
      </c>
      <c r="J31" s="50">
        <v>0.78</v>
      </c>
      <c r="K31" s="50">
        <v>286.17</v>
      </c>
      <c r="L31" s="50">
        <v>27.57</v>
      </c>
      <c r="M31" s="50">
        <v>72.900000000000006</v>
      </c>
      <c r="N31" s="50">
        <v>2.4</v>
      </c>
      <c r="O31" s="50">
        <v>0</v>
      </c>
      <c r="P31" s="50">
        <v>0.44</v>
      </c>
      <c r="Q31" s="50">
        <v>4.6500000000000004</v>
      </c>
    </row>
    <row r="32" spans="1:17" customFormat="1">
      <c r="A32" s="49">
        <v>45551</v>
      </c>
      <c r="B32" s="50">
        <v>9.24</v>
      </c>
      <c r="C32" s="50">
        <v>4.24</v>
      </c>
      <c r="D32" s="50">
        <v>14</v>
      </c>
      <c r="E32" s="50">
        <v>8</v>
      </c>
      <c r="F32" s="50">
        <v>7.47</v>
      </c>
      <c r="G32" s="50">
        <v>47.6</v>
      </c>
      <c r="H32" s="50">
        <v>11.39</v>
      </c>
      <c r="I32" s="50">
        <v>5.5</v>
      </c>
      <c r="J32" s="50">
        <v>0.72</v>
      </c>
      <c r="K32" s="50">
        <v>285.13</v>
      </c>
      <c r="L32" s="50">
        <v>27.19</v>
      </c>
      <c r="M32" s="50">
        <v>75.569999999999993</v>
      </c>
      <c r="N32" s="50">
        <v>2.4</v>
      </c>
      <c r="O32" s="50">
        <v>0</v>
      </c>
      <c r="P32" s="50">
        <v>0.44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9.1300000000000008</v>
      </c>
      <c r="C34" s="40">
        <f t="shared" si="0"/>
        <v>4.07</v>
      </c>
      <c r="D34" s="40">
        <f t="shared" si="0"/>
        <v>14</v>
      </c>
      <c r="E34" s="40">
        <f t="shared" si="0"/>
        <v>8</v>
      </c>
      <c r="F34" s="40">
        <f t="shared" si="0"/>
        <v>4.29</v>
      </c>
      <c r="G34" s="40">
        <f t="shared" si="0"/>
        <v>46.33</v>
      </c>
      <c r="H34" s="40">
        <f t="shared" si="0"/>
        <v>9.77</v>
      </c>
      <c r="I34" s="40">
        <f t="shared" si="0"/>
        <v>3.93</v>
      </c>
      <c r="J34" s="40">
        <f t="shared" si="0"/>
        <v>0.43</v>
      </c>
      <c r="K34" s="40">
        <f t="shared" si="0"/>
        <v>279.48</v>
      </c>
      <c r="L34" s="40">
        <f t="shared" si="0"/>
        <v>25.37</v>
      </c>
      <c r="M34" s="40">
        <f t="shared" si="0"/>
        <v>61.89</v>
      </c>
      <c r="N34" s="40">
        <f t="shared" si="0"/>
        <v>2.1</v>
      </c>
      <c r="O34" s="40">
        <f t="shared" si="0"/>
        <v>0</v>
      </c>
      <c r="P34" s="40">
        <f t="shared" si="0"/>
        <v>0.38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9.34</v>
      </c>
      <c r="C35" s="33">
        <f t="shared" si="1"/>
        <v>4.3</v>
      </c>
      <c r="D35" s="33">
        <f t="shared" si="1"/>
        <v>14.07</v>
      </c>
      <c r="E35" s="33">
        <f t="shared" si="1"/>
        <v>11.95</v>
      </c>
      <c r="F35" s="33">
        <f t="shared" si="1"/>
        <v>8.7799999999999994</v>
      </c>
      <c r="G35" s="33">
        <f t="shared" si="1"/>
        <v>73.849999999999994</v>
      </c>
      <c r="H35" s="33">
        <f t="shared" si="1"/>
        <v>18.25</v>
      </c>
      <c r="I35" s="33">
        <f t="shared" si="1"/>
        <v>6.73</v>
      </c>
      <c r="J35" s="33">
        <f t="shared" si="1"/>
        <v>1.01</v>
      </c>
      <c r="K35" s="33">
        <f t="shared" si="1"/>
        <v>355.6</v>
      </c>
      <c r="L35" s="33">
        <f t="shared" si="1"/>
        <v>31.04</v>
      </c>
      <c r="M35" s="33">
        <f t="shared" si="1"/>
        <v>85.39</v>
      </c>
      <c r="N35" s="33">
        <f t="shared" si="1"/>
        <v>479.6</v>
      </c>
      <c r="O35" s="33">
        <f t="shared" si="1"/>
        <v>0</v>
      </c>
      <c r="P35" s="33">
        <f t="shared" si="1"/>
        <v>0.51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9.2470833333333307</v>
      </c>
      <c r="C36" s="40">
        <f t="shared" si="2"/>
        <v>4.1629166666666659</v>
      </c>
      <c r="D36" s="40">
        <f t="shared" si="2"/>
        <v>14.016666666666666</v>
      </c>
      <c r="E36" s="40">
        <f t="shared" si="2"/>
        <v>9.7795833333333313</v>
      </c>
      <c r="F36" s="40">
        <f t="shared" si="2"/>
        <v>6.4733333333333327</v>
      </c>
      <c r="G36" s="40">
        <f t="shared" si="2"/>
        <v>54.867083333333333</v>
      </c>
      <c r="H36" s="40">
        <f t="shared" si="2"/>
        <v>13.552916666666668</v>
      </c>
      <c r="I36" s="40">
        <f t="shared" si="2"/>
        <v>5.0691666666666668</v>
      </c>
      <c r="J36" s="40">
        <f t="shared" si="2"/>
        <v>0.74749999999999972</v>
      </c>
      <c r="K36" s="40">
        <f t="shared" si="2"/>
        <v>303.11874999999998</v>
      </c>
      <c r="L36" s="40">
        <f t="shared" si="2"/>
        <v>28.080833333333334</v>
      </c>
      <c r="M36" s="40">
        <f t="shared" si="2"/>
        <v>73.08208333333333</v>
      </c>
      <c r="N36" s="40">
        <f t="shared" si="2"/>
        <v>110.30833333333338</v>
      </c>
      <c r="O36" s="40">
        <f t="shared" si="2"/>
        <v>0</v>
      </c>
      <c r="P36" s="40">
        <f t="shared" si="2"/>
        <v>0.41458333333333325</v>
      </c>
      <c r="Q36" s="40">
        <f t="shared" si="2"/>
        <v>4.6550000000000002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6.1040198206603391E-2</v>
      </c>
      <c r="C37" s="40">
        <f t="shared" ref="C37:Q37" si="3">STDEV(C9:C32)</f>
        <v>7.9042045314773282E-2</v>
      </c>
      <c r="D37" s="40">
        <f t="shared" si="3"/>
        <v>2.1802805297497497E-2</v>
      </c>
      <c r="E37" s="40">
        <f t="shared" si="3"/>
        <v>1.1258908710986244</v>
      </c>
      <c r="F37" s="40">
        <f t="shared" si="3"/>
        <v>1.2634344726445705</v>
      </c>
      <c r="G37" s="40">
        <f t="shared" si="3"/>
        <v>6.9313525119508572</v>
      </c>
      <c r="H37" s="40">
        <f t="shared" si="3"/>
        <v>2.457300532250196</v>
      </c>
      <c r="I37" s="40">
        <f t="shared" si="3"/>
        <v>0.76189076397596911</v>
      </c>
      <c r="J37" s="40">
        <f t="shared" si="3"/>
        <v>0.16224645772243679</v>
      </c>
      <c r="K37" s="40">
        <f t="shared" si="3"/>
        <v>17.785817337687863</v>
      </c>
      <c r="L37" s="40">
        <f t="shared" si="3"/>
        <v>1.8785515156900146</v>
      </c>
      <c r="M37" s="40">
        <f t="shared" si="3"/>
        <v>7.747356339657081</v>
      </c>
      <c r="N37" s="40">
        <f t="shared" si="3"/>
        <v>150.23153410845441</v>
      </c>
      <c r="O37" s="40">
        <f t="shared" si="3"/>
        <v>0</v>
      </c>
      <c r="P37" s="40">
        <f t="shared" si="3"/>
        <v>3.2029764237370265E-2</v>
      </c>
      <c r="Q37" s="40">
        <f t="shared" si="3"/>
        <v>1.0215078369104992E-2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45551.041666666664</v>
      </c>
      <c r="B9" s="50">
        <v>9.15</v>
      </c>
      <c r="C9" s="50">
        <v>4.25</v>
      </c>
      <c r="D9" s="50">
        <v>14</v>
      </c>
      <c r="E9" s="50">
        <v>8.43</v>
      </c>
      <c r="F9" s="50">
        <v>5.68</v>
      </c>
      <c r="G9" s="50">
        <v>47.65</v>
      </c>
      <c r="H9" s="50">
        <v>8.02</v>
      </c>
      <c r="I9" s="50">
        <v>5.66</v>
      </c>
      <c r="J9" s="50">
        <v>0.57999999999999996</v>
      </c>
      <c r="K9" s="50">
        <v>281.48</v>
      </c>
      <c r="L9" s="50">
        <v>26.76</v>
      </c>
      <c r="M9" s="50">
        <v>76.95</v>
      </c>
      <c r="N9" s="50">
        <v>2.2000000000000002</v>
      </c>
      <c r="O9" s="50">
        <v>0</v>
      </c>
      <c r="P9" s="50">
        <v>0.44</v>
      </c>
      <c r="Q9" s="50">
        <v>4.66</v>
      </c>
    </row>
    <row r="10" spans="1:21" customFormat="1">
      <c r="A10" s="49">
        <v>45551.083333333336</v>
      </c>
      <c r="B10" s="50">
        <v>9.16</v>
      </c>
      <c r="C10" s="50">
        <v>4.24</v>
      </c>
      <c r="D10" s="50">
        <v>14</v>
      </c>
      <c r="E10" s="50">
        <v>9.16</v>
      </c>
      <c r="F10" s="50">
        <v>6.59</v>
      </c>
      <c r="G10" s="50">
        <v>47.65</v>
      </c>
      <c r="H10" s="50">
        <v>9.7200000000000006</v>
      </c>
      <c r="I10" s="50">
        <v>5.71</v>
      </c>
      <c r="J10" s="50">
        <v>0.5</v>
      </c>
      <c r="K10" s="50">
        <v>303.33999999999997</v>
      </c>
      <c r="L10" s="50">
        <v>26.63</v>
      </c>
      <c r="M10" s="50">
        <v>77.23</v>
      </c>
      <c r="N10" s="50">
        <v>2.2999999999999998</v>
      </c>
      <c r="O10" s="50">
        <v>0</v>
      </c>
      <c r="P10" s="50">
        <v>0.42</v>
      </c>
      <c r="Q10" s="50">
        <v>4.66</v>
      </c>
    </row>
    <row r="11" spans="1:21" customFormat="1">
      <c r="A11" s="49">
        <v>45551.125</v>
      </c>
      <c r="B11" s="50">
        <v>9.1999999999999993</v>
      </c>
      <c r="C11" s="50">
        <v>4.2</v>
      </c>
      <c r="D11" s="50">
        <v>14</v>
      </c>
      <c r="E11" s="50">
        <v>10.39</v>
      </c>
      <c r="F11" s="50">
        <v>5.7</v>
      </c>
      <c r="G11" s="50">
        <v>46.72</v>
      </c>
      <c r="H11" s="50">
        <v>9.7200000000000006</v>
      </c>
      <c r="I11" s="50">
        <v>5.41</v>
      </c>
      <c r="J11" s="50">
        <v>0.66</v>
      </c>
      <c r="K11" s="50">
        <v>285.88</v>
      </c>
      <c r="L11" s="50">
        <v>26.42</v>
      </c>
      <c r="M11" s="50">
        <v>78.900000000000006</v>
      </c>
      <c r="N11" s="50">
        <v>2.2999999999999998</v>
      </c>
      <c r="O11" s="50">
        <v>0</v>
      </c>
      <c r="P11" s="50">
        <v>0.4</v>
      </c>
      <c r="Q11" s="50">
        <v>4.66</v>
      </c>
    </row>
    <row r="12" spans="1:21" customFormat="1">
      <c r="A12" s="49">
        <v>45551.166666666664</v>
      </c>
      <c r="B12" s="50">
        <v>9.2200000000000006</v>
      </c>
      <c r="C12" s="50">
        <v>4.17</v>
      </c>
      <c r="D12" s="50">
        <v>14</v>
      </c>
      <c r="E12" s="50">
        <v>10.83</v>
      </c>
      <c r="F12" s="50">
        <v>4.63</v>
      </c>
      <c r="G12" s="50">
        <v>41</v>
      </c>
      <c r="H12" s="50">
        <v>9.6300000000000008</v>
      </c>
      <c r="I12" s="50">
        <v>4.99</v>
      </c>
      <c r="J12" s="50">
        <v>0.67</v>
      </c>
      <c r="K12" s="50">
        <v>307.77999999999997</v>
      </c>
      <c r="L12" s="50">
        <v>26.3</v>
      </c>
      <c r="M12" s="50">
        <v>79.33</v>
      </c>
      <c r="N12" s="50">
        <v>2.4</v>
      </c>
      <c r="O12" s="50">
        <v>0</v>
      </c>
      <c r="P12" s="50">
        <v>0.39</v>
      </c>
      <c r="Q12" s="50">
        <v>4.6500000000000004</v>
      </c>
    </row>
    <row r="13" spans="1:21" customFormat="1">
      <c r="A13" s="49">
        <v>45551.208333333336</v>
      </c>
      <c r="B13" s="50">
        <v>9.26</v>
      </c>
      <c r="C13" s="50">
        <v>4.0999999999999996</v>
      </c>
      <c r="D13" s="50">
        <v>14.01</v>
      </c>
      <c r="E13" s="50">
        <v>10.210000000000001</v>
      </c>
      <c r="F13" s="50">
        <v>5.04</v>
      </c>
      <c r="G13" s="50">
        <v>39.520000000000003</v>
      </c>
      <c r="H13" s="50">
        <v>9.6300000000000008</v>
      </c>
      <c r="I13" s="50">
        <v>4.63</v>
      </c>
      <c r="J13" s="50">
        <v>0.63</v>
      </c>
      <c r="K13" s="50">
        <v>293.02999999999997</v>
      </c>
      <c r="L13" s="50">
        <v>26.14</v>
      </c>
      <c r="M13" s="50">
        <v>80.56</v>
      </c>
      <c r="N13" s="50">
        <v>2.4</v>
      </c>
      <c r="O13" s="50">
        <v>0</v>
      </c>
      <c r="P13" s="50">
        <v>0.37</v>
      </c>
      <c r="Q13" s="50">
        <v>4.66</v>
      </c>
    </row>
    <row r="14" spans="1:21" customFormat="1">
      <c r="A14" s="49">
        <v>45551.25</v>
      </c>
      <c r="B14" s="50">
        <v>9.27</v>
      </c>
      <c r="C14" s="50">
        <v>4.08</v>
      </c>
      <c r="D14" s="50">
        <v>14.01</v>
      </c>
      <c r="E14" s="50">
        <v>9.91</v>
      </c>
      <c r="F14" s="50">
        <v>5.85</v>
      </c>
      <c r="G14" s="50">
        <v>35.33</v>
      </c>
      <c r="H14" s="50">
        <v>9.49</v>
      </c>
      <c r="I14" s="50">
        <v>4.51</v>
      </c>
      <c r="J14" s="50">
        <v>0.57999999999999996</v>
      </c>
      <c r="K14" s="50">
        <v>303.37</v>
      </c>
      <c r="L14" s="50">
        <v>26.03</v>
      </c>
      <c r="M14" s="50">
        <v>81.91</v>
      </c>
      <c r="N14" s="50">
        <v>5.2</v>
      </c>
      <c r="O14" s="50">
        <v>0</v>
      </c>
      <c r="P14" s="50">
        <v>0.35</v>
      </c>
      <c r="Q14" s="50">
        <v>4.66</v>
      </c>
    </row>
    <row r="15" spans="1:21" customFormat="1">
      <c r="A15" s="49">
        <v>45551.291666666664</v>
      </c>
      <c r="B15" s="50">
        <v>9.27</v>
      </c>
      <c r="C15" s="50">
        <v>4.09</v>
      </c>
      <c r="D15" s="50">
        <v>14.02</v>
      </c>
      <c r="E15" s="50">
        <v>9.19</v>
      </c>
      <c r="F15" s="50">
        <v>6.03</v>
      </c>
      <c r="G15" s="50">
        <v>39.200000000000003</v>
      </c>
      <c r="H15" s="50">
        <v>11.5</v>
      </c>
      <c r="I15" s="50">
        <v>4.26</v>
      </c>
      <c r="J15" s="50">
        <v>0.56000000000000005</v>
      </c>
      <c r="K15" s="50">
        <v>317.27999999999997</v>
      </c>
      <c r="L15" s="50">
        <v>25.96</v>
      </c>
      <c r="M15" s="50">
        <v>81.739999999999995</v>
      </c>
      <c r="N15" s="50">
        <v>22</v>
      </c>
      <c r="O15" s="50">
        <v>0</v>
      </c>
      <c r="P15" s="50">
        <v>0.34</v>
      </c>
      <c r="Q15" s="50">
        <v>4.67</v>
      </c>
    </row>
    <row r="16" spans="1:21" customFormat="1">
      <c r="A16" s="49">
        <v>45551.333333333336</v>
      </c>
      <c r="B16" s="50">
        <v>9.3000000000000007</v>
      </c>
      <c r="C16" s="50">
        <v>4.09</v>
      </c>
      <c r="D16" s="50">
        <v>14.03</v>
      </c>
      <c r="E16" s="50">
        <v>9.11</v>
      </c>
      <c r="F16" s="50">
        <v>5.92</v>
      </c>
      <c r="G16" s="50">
        <v>47.44</v>
      </c>
      <c r="H16" s="50">
        <v>14.5</v>
      </c>
      <c r="I16" s="50">
        <v>4.28</v>
      </c>
      <c r="J16" s="50">
        <v>0.85</v>
      </c>
      <c r="K16" s="50">
        <v>291.18</v>
      </c>
      <c r="L16" s="50">
        <v>25.81</v>
      </c>
      <c r="M16" s="50">
        <v>86.79</v>
      </c>
      <c r="N16" s="50">
        <v>52.1</v>
      </c>
      <c r="O16" s="50">
        <v>0</v>
      </c>
      <c r="P16" s="50">
        <v>0.34</v>
      </c>
      <c r="Q16" s="50">
        <v>4.67</v>
      </c>
    </row>
    <row r="17" spans="1:17" customFormat="1">
      <c r="A17" s="49">
        <v>45551.375</v>
      </c>
      <c r="B17" s="50">
        <v>9.2899999999999991</v>
      </c>
      <c r="C17" s="50">
        <v>4.0999999999999996</v>
      </c>
      <c r="D17" s="50">
        <v>14.03</v>
      </c>
      <c r="E17" s="50">
        <v>8.43</v>
      </c>
      <c r="F17" s="50">
        <v>6.77</v>
      </c>
      <c r="G17" s="50">
        <v>48.24</v>
      </c>
      <c r="H17" s="50">
        <v>14.5</v>
      </c>
      <c r="I17" s="50">
        <v>4.25</v>
      </c>
      <c r="J17" s="50">
        <v>0.9</v>
      </c>
      <c r="K17" s="50">
        <v>307.3</v>
      </c>
      <c r="L17" s="50">
        <v>26.53</v>
      </c>
      <c r="M17" s="50">
        <v>82.89</v>
      </c>
      <c r="N17" s="50">
        <v>72.900000000000006</v>
      </c>
      <c r="O17" s="50">
        <v>0</v>
      </c>
      <c r="P17" s="50">
        <v>0.37</v>
      </c>
      <c r="Q17" s="50">
        <v>4.66</v>
      </c>
    </row>
    <row r="18" spans="1:17" customFormat="1">
      <c r="A18" s="49">
        <v>45551.416666666664</v>
      </c>
      <c r="B18" s="50">
        <v>9.2899999999999991</v>
      </c>
      <c r="C18" s="50">
        <v>4.1100000000000003</v>
      </c>
      <c r="D18" s="50">
        <v>14.04</v>
      </c>
      <c r="E18" s="50">
        <v>9.49</v>
      </c>
      <c r="F18" s="50">
        <v>6.17</v>
      </c>
      <c r="G18" s="50">
        <v>54.18</v>
      </c>
      <c r="H18" s="50">
        <v>14.34</v>
      </c>
      <c r="I18" s="50">
        <v>4.24</v>
      </c>
      <c r="J18" s="50">
        <v>0.93</v>
      </c>
      <c r="K18" s="50">
        <v>319.07</v>
      </c>
      <c r="L18" s="50">
        <v>27.39</v>
      </c>
      <c r="M18" s="50">
        <v>79.540000000000006</v>
      </c>
      <c r="N18" s="50">
        <v>184.1</v>
      </c>
      <c r="O18" s="50">
        <v>0</v>
      </c>
      <c r="P18" s="50">
        <v>0.4</v>
      </c>
      <c r="Q18" s="50">
        <v>4.66</v>
      </c>
    </row>
    <row r="19" spans="1:17" customFormat="1">
      <c r="A19" s="49">
        <v>45551.458333333336</v>
      </c>
      <c r="B19" s="50">
        <v>9.27</v>
      </c>
      <c r="C19" s="50">
        <v>4.09</v>
      </c>
      <c r="D19" s="50">
        <v>14.01</v>
      </c>
      <c r="E19" s="50">
        <v>9.93</v>
      </c>
      <c r="F19" s="50">
        <v>6.21</v>
      </c>
      <c r="G19" s="50">
        <v>64.08</v>
      </c>
      <c r="H19" s="50">
        <v>20.18</v>
      </c>
      <c r="I19" s="50">
        <v>4.41</v>
      </c>
      <c r="J19" s="50">
        <v>1.02</v>
      </c>
      <c r="K19" s="50">
        <v>314.7</v>
      </c>
      <c r="L19" s="50">
        <v>28.6</v>
      </c>
      <c r="M19" s="50">
        <v>73.92</v>
      </c>
      <c r="N19" s="50">
        <v>358</v>
      </c>
      <c r="O19" s="50">
        <v>0</v>
      </c>
      <c r="P19" s="50">
        <v>0.42</v>
      </c>
      <c r="Q19" s="50">
        <v>4.67</v>
      </c>
    </row>
    <row r="20" spans="1:17" customFormat="1">
      <c r="A20" s="49">
        <v>45551.5</v>
      </c>
      <c r="B20" s="50">
        <v>9.24</v>
      </c>
      <c r="C20" s="50">
        <v>4.1100000000000003</v>
      </c>
      <c r="D20" s="50">
        <v>14</v>
      </c>
      <c r="E20" s="50">
        <v>9.7799999999999994</v>
      </c>
      <c r="F20" s="50">
        <v>7.26</v>
      </c>
      <c r="G20" s="50">
        <v>66.709999999999994</v>
      </c>
      <c r="H20" s="50">
        <v>20.18</v>
      </c>
      <c r="I20" s="50">
        <v>4.42</v>
      </c>
      <c r="J20" s="50">
        <v>1.1100000000000001</v>
      </c>
      <c r="K20" s="50">
        <v>323.48</v>
      </c>
      <c r="L20" s="50">
        <v>29.56</v>
      </c>
      <c r="M20" s="50">
        <v>69.67</v>
      </c>
      <c r="N20" s="50">
        <v>513.29999999999995</v>
      </c>
      <c r="O20" s="50">
        <v>0</v>
      </c>
      <c r="P20" s="50">
        <v>0.41</v>
      </c>
      <c r="Q20" s="50">
        <v>4.66</v>
      </c>
    </row>
    <row r="21" spans="1:17" customFormat="1">
      <c r="A21" s="49">
        <v>45551.541666666664</v>
      </c>
      <c r="B21" s="50">
        <v>9.24</v>
      </c>
      <c r="C21" s="50">
        <v>4.0999999999999996</v>
      </c>
      <c r="D21" s="50">
        <v>14</v>
      </c>
      <c r="E21" s="50">
        <v>10.32</v>
      </c>
      <c r="F21" s="50">
        <v>6.65</v>
      </c>
      <c r="G21" s="50">
        <v>66.709999999999994</v>
      </c>
      <c r="H21" s="50">
        <v>17.46</v>
      </c>
      <c r="I21" s="50">
        <v>4.25</v>
      </c>
      <c r="J21" s="50">
        <v>1.31</v>
      </c>
      <c r="K21" s="50">
        <v>331.65</v>
      </c>
      <c r="L21" s="50">
        <v>28.47</v>
      </c>
      <c r="M21" s="50">
        <v>80.3</v>
      </c>
      <c r="N21" s="50">
        <v>129.5</v>
      </c>
      <c r="O21" s="50">
        <v>0.2</v>
      </c>
      <c r="P21" s="50">
        <v>0.4</v>
      </c>
      <c r="Q21" s="50">
        <v>4.66</v>
      </c>
    </row>
    <row r="22" spans="1:17" customFormat="1">
      <c r="A22" s="49">
        <v>45551.583333333336</v>
      </c>
      <c r="B22" s="50">
        <v>9.2799999999999994</v>
      </c>
      <c r="C22" s="50">
        <v>4.0999999999999996</v>
      </c>
      <c r="D22" s="50">
        <v>14.02</v>
      </c>
      <c r="E22" s="50">
        <v>10.33</v>
      </c>
      <c r="F22" s="50">
        <v>5.85</v>
      </c>
      <c r="G22" s="50">
        <v>65.8</v>
      </c>
      <c r="H22" s="50">
        <v>17.07</v>
      </c>
      <c r="I22" s="50">
        <v>4.3099999999999996</v>
      </c>
      <c r="J22" s="50">
        <v>0.92</v>
      </c>
      <c r="K22" s="50">
        <v>311.3</v>
      </c>
      <c r="L22" s="50">
        <v>27.51</v>
      </c>
      <c r="M22" s="50">
        <v>78.430000000000007</v>
      </c>
      <c r="N22" s="50">
        <v>58.6</v>
      </c>
      <c r="O22" s="50">
        <v>0</v>
      </c>
      <c r="P22" s="50">
        <v>0.41</v>
      </c>
      <c r="Q22" s="50">
        <v>4.6500000000000004</v>
      </c>
    </row>
    <row r="23" spans="1:17" customFormat="1">
      <c r="A23" s="49">
        <v>45551.625</v>
      </c>
      <c r="B23" s="50">
        <v>9.2899999999999991</v>
      </c>
      <c r="C23" s="50">
        <v>4.0999999999999996</v>
      </c>
      <c r="D23" s="50">
        <v>14.04</v>
      </c>
      <c r="E23" s="50">
        <v>9.81</v>
      </c>
      <c r="F23" s="50">
        <v>5.69</v>
      </c>
      <c r="G23" s="50">
        <v>65.8</v>
      </c>
      <c r="H23" s="50">
        <v>16.489999999999998</v>
      </c>
      <c r="I23" s="50">
        <v>4.33</v>
      </c>
      <c r="J23" s="50">
        <v>0.86</v>
      </c>
      <c r="K23" s="50">
        <v>316.27999999999997</v>
      </c>
      <c r="L23" s="50">
        <v>27.52</v>
      </c>
      <c r="M23" s="50">
        <v>77.67</v>
      </c>
      <c r="N23" s="50">
        <v>42.6</v>
      </c>
      <c r="O23" s="50">
        <v>0</v>
      </c>
      <c r="P23" s="50">
        <v>0.38</v>
      </c>
      <c r="Q23" s="50">
        <v>4.6399999999999997</v>
      </c>
    </row>
    <row r="24" spans="1:17" customFormat="1">
      <c r="A24" s="49">
        <v>45551.666666666664</v>
      </c>
      <c r="B24" s="50">
        <v>9.2799999999999994</v>
      </c>
      <c r="C24" s="50">
        <v>4.08</v>
      </c>
      <c r="D24" s="50">
        <v>14.02</v>
      </c>
      <c r="E24" s="50">
        <v>8.73</v>
      </c>
      <c r="F24" s="50">
        <v>6.23</v>
      </c>
      <c r="G24" s="50">
        <v>67.709999999999994</v>
      </c>
      <c r="H24" s="50">
        <v>14.62</v>
      </c>
      <c r="I24" s="50">
        <v>4.33</v>
      </c>
      <c r="J24" s="50">
        <v>0.82</v>
      </c>
      <c r="K24" s="50">
        <v>317.60000000000002</v>
      </c>
      <c r="L24" s="50">
        <v>27.82</v>
      </c>
      <c r="M24" s="50">
        <v>76.5</v>
      </c>
      <c r="N24" s="50">
        <v>59.5</v>
      </c>
      <c r="O24" s="50">
        <v>0</v>
      </c>
      <c r="P24" s="50">
        <v>0.38</v>
      </c>
      <c r="Q24" s="50">
        <v>4.6500000000000004</v>
      </c>
    </row>
    <row r="25" spans="1:17" customFormat="1">
      <c r="A25" s="49">
        <v>45551.708333333336</v>
      </c>
      <c r="B25" s="50">
        <v>9.26</v>
      </c>
      <c r="C25" s="50">
        <v>4.0999999999999996</v>
      </c>
      <c r="D25" s="50">
        <v>14</v>
      </c>
      <c r="E25" s="50">
        <v>8.52</v>
      </c>
      <c r="F25" s="50">
        <v>6.79</v>
      </c>
      <c r="G25" s="50">
        <v>69.98</v>
      </c>
      <c r="H25" s="50">
        <v>14.52</v>
      </c>
      <c r="I25" s="50">
        <v>4.4400000000000004</v>
      </c>
      <c r="J25" s="50">
        <v>0.83</v>
      </c>
      <c r="K25" s="50">
        <v>298.67</v>
      </c>
      <c r="L25" s="50">
        <v>28.05</v>
      </c>
      <c r="M25" s="50">
        <v>75.959999999999994</v>
      </c>
      <c r="N25" s="50">
        <v>50</v>
      </c>
      <c r="O25" s="50">
        <v>0</v>
      </c>
      <c r="P25" s="50">
        <v>0.38</v>
      </c>
      <c r="Q25" s="50">
        <v>4.6399999999999997</v>
      </c>
    </row>
    <row r="26" spans="1:17" customFormat="1">
      <c r="A26" s="49">
        <v>45551.75</v>
      </c>
      <c r="B26" s="50">
        <v>9.27</v>
      </c>
      <c r="C26" s="50">
        <v>4.09</v>
      </c>
      <c r="D26" s="50">
        <v>14</v>
      </c>
      <c r="E26" s="50">
        <v>8.16</v>
      </c>
      <c r="F26" s="50">
        <v>7.52</v>
      </c>
      <c r="G26" s="50">
        <v>69.98</v>
      </c>
      <c r="H26" s="50">
        <v>15.47</v>
      </c>
      <c r="I26" s="50">
        <v>4.42</v>
      </c>
      <c r="J26" s="50">
        <v>1.07</v>
      </c>
      <c r="K26" s="50">
        <v>301.95999999999998</v>
      </c>
      <c r="L26" s="50">
        <v>28.08</v>
      </c>
      <c r="M26" s="50">
        <v>74.14</v>
      </c>
      <c r="N26" s="50">
        <v>26.8</v>
      </c>
      <c r="O26" s="50">
        <v>0</v>
      </c>
      <c r="P26" s="50">
        <v>0.38</v>
      </c>
      <c r="Q26" s="50">
        <v>4.6500000000000004</v>
      </c>
    </row>
    <row r="27" spans="1:17" customFormat="1">
      <c r="A27" s="49">
        <v>45551.791666666664</v>
      </c>
      <c r="B27" s="50">
        <v>9.3000000000000007</v>
      </c>
      <c r="C27" s="50">
        <v>4.07</v>
      </c>
      <c r="D27" s="50">
        <v>14.03</v>
      </c>
      <c r="E27" s="50">
        <v>10.46</v>
      </c>
      <c r="F27" s="50">
        <v>6.82</v>
      </c>
      <c r="G27" s="50">
        <v>61.61</v>
      </c>
      <c r="H27" s="50">
        <v>18.09</v>
      </c>
      <c r="I27" s="50">
        <v>4.45</v>
      </c>
      <c r="J27" s="50">
        <v>1.3</v>
      </c>
      <c r="K27" s="50">
        <v>313.94</v>
      </c>
      <c r="L27" s="50">
        <v>27.47</v>
      </c>
      <c r="M27" s="50">
        <v>74.77</v>
      </c>
      <c r="N27" s="50">
        <v>2.6</v>
      </c>
      <c r="O27" s="50">
        <v>0</v>
      </c>
      <c r="P27" s="50">
        <v>0.4</v>
      </c>
      <c r="Q27" s="50">
        <v>4.67</v>
      </c>
    </row>
    <row r="28" spans="1:17" customFormat="1">
      <c r="A28" s="49">
        <v>45551.833333333336</v>
      </c>
      <c r="B28" s="50">
        <v>9.31</v>
      </c>
      <c r="C28" s="50">
        <v>4.08</v>
      </c>
      <c r="D28" s="50">
        <v>14.04</v>
      </c>
      <c r="E28" s="50">
        <v>10.81</v>
      </c>
      <c r="F28" s="50">
        <v>6.99</v>
      </c>
      <c r="G28" s="50">
        <v>58.9</v>
      </c>
      <c r="H28" s="50">
        <v>18.09</v>
      </c>
      <c r="I28" s="50">
        <v>4.37</v>
      </c>
      <c r="J28" s="50">
        <v>1.1200000000000001</v>
      </c>
      <c r="K28" s="50">
        <v>309.23</v>
      </c>
      <c r="L28" s="50">
        <v>26.98</v>
      </c>
      <c r="M28" s="50">
        <v>77.819999999999993</v>
      </c>
      <c r="N28" s="50">
        <v>2.5</v>
      </c>
      <c r="O28" s="50">
        <v>0</v>
      </c>
      <c r="P28" s="50">
        <v>0.41</v>
      </c>
      <c r="Q28" s="50">
        <v>4.66</v>
      </c>
    </row>
    <row r="29" spans="1:17" customFormat="1">
      <c r="A29" s="49">
        <v>45551.875</v>
      </c>
      <c r="B29" s="50">
        <v>9.33</v>
      </c>
      <c r="C29" s="50">
        <v>4.08</v>
      </c>
      <c r="D29" s="50">
        <v>14.06</v>
      </c>
      <c r="E29" s="50">
        <v>10.83</v>
      </c>
      <c r="F29" s="50">
        <v>6.65</v>
      </c>
      <c r="G29" s="50">
        <v>55.72</v>
      </c>
      <c r="H29" s="50">
        <v>12.7</v>
      </c>
      <c r="I29" s="50">
        <v>4.3600000000000003</v>
      </c>
      <c r="J29" s="50">
        <v>1.36</v>
      </c>
      <c r="K29" s="50">
        <v>314.86</v>
      </c>
      <c r="L29" s="50">
        <v>26.7</v>
      </c>
      <c r="M29" s="50">
        <v>78.05</v>
      </c>
      <c r="N29" s="50">
        <v>2.7</v>
      </c>
      <c r="O29" s="50">
        <v>0</v>
      </c>
      <c r="P29" s="50">
        <v>0.41</v>
      </c>
      <c r="Q29" s="50">
        <v>4.68</v>
      </c>
    </row>
    <row r="30" spans="1:17" customFormat="1">
      <c r="A30" s="49">
        <v>45551.916666666664</v>
      </c>
      <c r="B30" s="50">
        <v>9.27</v>
      </c>
      <c r="C30" s="50">
        <v>4.07</v>
      </c>
      <c r="D30" s="50">
        <v>14.01</v>
      </c>
      <c r="E30" s="50">
        <v>11.49</v>
      </c>
      <c r="F30" s="50">
        <v>5.35</v>
      </c>
      <c r="G30" s="50">
        <v>52.02</v>
      </c>
      <c r="H30" s="50">
        <v>12.03</v>
      </c>
      <c r="I30" s="50">
        <v>4.24</v>
      </c>
      <c r="J30" s="50">
        <v>0.88</v>
      </c>
      <c r="K30" s="50">
        <v>318.24</v>
      </c>
      <c r="L30" s="50">
        <v>25.9</v>
      </c>
      <c r="M30" s="50">
        <v>76.67</v>
      </c>
      <c r="N30" s="50">
        <v>2.8</v>
      </c>
      <c r="O30" s="50">
        <v>0</v>
      </c>
      <c r="P30" s="50">
        <v>0.4</v>
      </c>
      <c r="Q30" s="50">
        <v>4.66</v>
      </c>
    </row>
    <row r="31" spans="1:17" customFormat="1">
      <c r="A31" s="49">
        <v>45551.958333333336</v>
      </c>
      <c r="B31" s="50">
        <v>9.27</v>
      </c>
      <c r="C31" s="50">
        <v>4.09</v>
      </c>
      <c r="D31" s="50">
        <v>14</v>
      </c>
      <c r="E31" s="50">
        <v>11.71</v>
      </c>
      <c r="F31" s="50">
        <v>4.55</v>
      </c>
      <c r="G31" s="50">
        <v>47.98</v>
      </c>
      <c r="H31" s="50">
        <v>13.76</v>
      </c>
      <c r="I31" s="50">
        <v>4.1500000000000004</v>
      </c>
      <c r="J31" s="50">
        <v>0.77</v>
      </c>
      <c r="K31" s="50">
        <v>306.26</v>
      </c>
      <c r="L31" s="50">
        <v>25.3</v>
      </c>
      <c r="M31" s="50">
        <v>82.92</v>
      </c>
      <c r="N31" s="50">
        <v>2.5</v>
      </c>
      <c r="O31" s="50">
        <v>0</v>
      </c>
      <c r="P31" s="50">
        <v>0.39</v>
      </c>
      <c r="Q31" s="50">
        <v>4.6500000000000004</v>
      </c>
    </row>
    <row r="32" spans="1:17" customFormat="1">
      <c r="A32" s="49">
        <v>45552</v>
      </c>
      <c r="B32" s="50">
        <v>9.27</v>
      </c>
      <c r="C32" s="50">
        <v>4.1100000000000003</v>
      </c>
      <c r="D32" s="50">
        <v>14.02</v>
      </c>
      <c r="E32" s="50">
        <v>11.41</v>
      </c>
      <c r="F32" s="50">
        <v>4.6399999999999997</v>
      </c>
      <c r="G32" s="50">
        <v>43.22</v>
      </c>
      <c r="H32" s="50">
        <v>13.76</v>
      </c>
      <c r="I32" s="50">
        <v>4</v>
      </c>
      <c r="J32" s="50">
        <v>0.78</v>
      </c>
      <c r="K32" s="50">
        <v>294.14999999999998</v>
      </c>
      <c r="L32" s="50">
        <v>24.87</v>
      </c>
      <c r="M32" s="50">
        <v>81.819999999999993</v>
      </c>
      <c r="N32" s="50">
        <v>2.2999999999999998</v>
      </c>
      <c r="O32" s="50">
        <v>0</v>
      </c>
      <c r="P32" s="50">
        <v>0.37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9.15</v>
      </c>
      <c r="C34" s="40">
        <f t="shared" si="0"/>
        <v>4.07</v>
      </c>
      <c r="D34" s="40">
        <f t="shared" si="0"/>
        <v>14</v>
      </c>
      <c r="E34" s="40">
        <f t="shared" si="0"/>
        <v>8.16</v>
      </c>
      <c r="F34" s="40">
        <f t="shared" si="0"/>
        <v>4.55</v>
      </c>
      <c r="G34" s="40">
        <f t="shared" si="0"/>
        <v>35.33</v>
      </c>
      <c r="H34" s="40">
        <f t="shared" si="0"/>
        <v>8.02</v>
      </c>
      <c r="I34" s="40">
        <f t="shared" si="0"/>
        <v>4</v>
      </c>
      <c r="J34" s="40">
        <f t="shared" si="0"/>
        <v>0.5</v>
      </c>
      <c r="K34" s="40">
        <f t="shared" si="0"/>
        <v>281.48</v>
      </c>
      <c r="L34" s="40">
        <f t="shared" si="0"/>
        <v>24.87</v>
      </c>
      <c r="M34" s="40">
        <f t="shared" si="0"/>
        <v>69.67</v>
      </c>
      <c r="N34" s="40">
        <f t="shared" si="0"/>
        <v>2.2000000000000002</v>
      </c>
      <c r="O34" s="40">
        <f t="shared" si="0"/>
        <v>0</v>
      </c>
      <c r="P34" s="40">
        <f t="shared" si="0"/>
        <v>0.34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9.33</v>
      </c>
      <c r="C35" s="33">
        <f t="shared" si="1"/>
        <v>4.25</v>
      </c>
      <c r="D35" s="33">
        <f t="shared" si="1"/>
        <v>14.06</v>
      </c>
      <c r="E35" s="33">
        <f t="shared" si="1"/>
        <v>11.71</v>
      </c>
      <c r="F35" s="33">
        <f t="shared" si="1"/>
        <v>7.52</v>
      </c>
      <c r="G35" s="33">
        <f t="shared" si="1"/>
        <v>69.98</v>
      </c>
      <c r="H35" s="33">
        <f t="shared" si="1"/>
        <v>20.18</v>
      </c>
      <c r="I35" s="33">
        <f t="shared" si="1"/>
        <v>5.71</v>
      </c>
      <c r="J35" s="33">
        <f t="shared" si="1"/>
        <v>1.36</v>
      </c>
      <c r="K35" s="33">
        <f t="shared" si="1"/>
        <v>331.65</v>
      </c>
      <c r="L35" s="33">
        <f t="shared" si="1"/>
        <v>29.56</v>
      </c>
      <c r="M35" s="33">
        <f t="shared" si="1"/>
        <v>86.79</v>
      </c>
      <c r="N35" s="33">
        <f t="shared" si="1"/>
        <v>513.29999999999995</v>
      </c>
      <c r="O35" s="33">
        <f t="shared" si="1"/>
        <v>0.2</v>
      </c>
      <c r="P35" s="33">
        <f t="shared" si="1"/>
        <v>0.44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9.2620833333333348</v>
      </c>
      <c r="C36" s="40">
        <f t="shared" si="2"/>
        <v>4.1124999999999998</v>
      </c>
      <c r="D36" s="40">
        <f t="shared" si="2"/>
        <v>14.016249999999999</v>
      </c>
      <c r="E36" s="40">
        <f t="shared" si="2"/>
        <v>9.8933333333333344</v>
      </c>
      <c r="F36" s="40">
        <f t="shared" si="2"/>
        <v>6.065833333333333</v>
      </c>
      <c r="G36" s="40">
        <f t="shared" si="2"/>
        <v>54.297916666666673</v>
      </c>
      <c r="H36" s="40">
        <f t="shared" si="2"/>
        <v>13.977916666666665</v>
      </c>
      <c r="I36" s="40">
        <f t="shared" si="2"/>
        <v>4.517500000000001</v>
      </c>
      <c r="J36" s="40">
        <f t="shared" si="2"/>
        <v>0.87541666666666662</v>
      </c>
      <c r="K36" s="40">
        <f t="shared" si="2"/>
        <v>307.58458333333334</v>
      </c>
      <c r="L36" s="40">
        <f t="shared" si="2"/>
        <v>26.95</v>
      </c>
      <c r="M36" s="40">
        <f t="shared" si="2"/>
        <v>78.52</v>
      </c>
      <c r="N36" s="40">
        <f t="shared" si="2"/>
        <v>66.733333333333306</v>
      </c>
      <c r="O36" s="40">
        <f t="shared" si="2"/>
        <v>8.3333333333333332E-3</v>
      </c>
      <c r="P36" s="40">
        <f t="shared" si="2"/>
        <v>0.39000000000000007</v>
      </c>
      <c r="Q36" s="40">
        <f t="shared" si="2"/>
        <v>4.6587500000000004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4.3135697580972243E-2</v>
      </c>
      <c r="C37" s="40">
        <f t="shared" ref="C37:Q37" si="3">STDEV(C9:C32)</f>
        <v>4.9978256141611478E-2</v>
      </c>
      <c r="D37" s="40">
        <f t="shared" si="3"/>
        <v>1.7147062113680844E-2</v>
      </c>
      <c r="E37" s="40">
        <f t="shared" si="3"/>
        <v>1.0245324136730189</v>
      </c>
      <c r="F37" s="40">
        <f t="shared" si="3"/>
        <v>0.82082628923631029</v>
      </c>
      <c r="G37" s="40">
        <f t="shared" si="3"/>
        <v>11.027919894982224</v>
      </c>
      <c r="H37" s="40">
        <f t="shared" si="3"/>
        <v>3.5122419189317569</v>
      </c>
      <c r="I37" s="40">
        <f t="shared" si="3"/>
        <v>0.45605348656565681</v>
      </c>
      <c r="J37" s="40">
        <f t="shared" si="3"/>
        <v>0.24434436082436339</v>
      </c>
      <c r="K37" s="40">
        <f t="shared" si="3"/>
        <v>12.283563064436171</v>
      </c>
      <c r="L37" s="40">
        <f t="shared" si="3"/>
        <v>1.1268771778294846</v>
      </c>
      <c r="M37" s="40">
        <f t="shared" si="3"/>
        <v>3.6183565810774363</v>
      </c>
      <c r="N37" s="40">
        <f t="shared" si="3"/>
        <v>124.41821712925801</v>
      </c>
      <c r="O37" s="40">
        <f t="shared" si="3"/>
        <v>4.0824829046386311E-2</v>
      </c>
      <c r="P37" s="40">
        <f t="shared" si="3"/>
        <v>2.51948925120863E-2</v>
      </c>
      <c r="Q37" s="40">
        <f t="shared" si="3"/>
        <v>9.4696310933149522E-3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45552.041666666664</v>
      </c>
      <c r="B9" s="50">
        <v>9.35</v>
      </c>
      <c r="C9" s="50">
        <v>4.09</v>
      </c>
      <c r="D9" s="50">
        <v>14.08</v>
      </c>
      <c r="E9" s="50">
        <v>10.06</v>
      </c>
      <c r="F9" s="50">
        <v>4.88</v>
      </c>
      <c r="G9" s="50">
        <v>38.630000000000003</v>
      </c>
      <c r="H9" s="50">
        <v>10.01</v>
      </c>
      <c r="I9" s="50">
        <v>3.91</v>
      </c>
      <c r="J9" s="50">
        <v>1.03</v>
      </c>
      <c r="K9" s="50">
        <v>294.20999999999998</v>
      </c>
      <c r="L9" s="50">
        <v>24.91</v>
      </c>
      <c r="M9" s="50">
        <v>81.17</v>
      </c>
      <c r="N9" s="50">
        <v>2.4</v>
      </c>
      <c r="O9" s="50">
        <v>0</v>
      </c>
      <c r="P9" s="50">
        <v>0.34</v>
      </c>
      <c r="Q9" s="50">
        <v>4.66</v>
      </c>
    </row>
    <row r="10" spans="1:21" customFormat="1">
      <c r="A10" s="49">
        <v>45552.083333333336</v>
      </c>
      <c r="B10" s="50">
        <v>9.36</v>
      </c>
      <c r="C10" s="50">
        <v>4.0999999999999996</v>
      </c>
      <c r="D10" s="50">
        <v>14.1</v>
      </c>
      <c r="E10" s="50">
        <v>9.7899999999999991</v>
      </c>
      <c r="F10" s="50">
        <v>5.81</v>
      </c>
      <c r="G10" s="50">
        <v>29.79</v>
      </c>
      <c r="H10" s="50">
        <v>8.48</v>
      </c>
      <c r="I10" s="50">
        <v>3.78</v>
      </c>
      <c r="J10" s="50">
        <v>1.06</v>
      </c>
      <c r="K10" s="50">
        <v>292.61</v>
      </c>
      <c r="L10" s="50">
        <v>25.03</v>
      </c>
      <c r="M10" s="50">
        <v>79.86</v>
      </c>
      <c r="N10" s="50">
        <v>2.5</v>
      </c>
      <c r="O10" s="50">
        <v>0</v>
      </c>
      <c r="P10" s="50">
        <v>0.32</v>
      </c>
      <c r="Q10" s="50">
        <v>4.68</v>
      </c>
    </row>
    <row r="11" spans="1:21" customFormat="1">
      <c r="A11" s="49">
        <v>45552.125</v>
      </c>
      <c r="B11" s="50">
        <v>9.3699999999999992</v>
      </c>
      <c r="C11" s="50">
        <v>4.08</v>
      </c>
      <c r="D11" s="50">
        <v>14.08</v>
      </c>
      <c r="E11" s="50">
        <v>10.11</v>
      </c>
      <c r="F11" s="50">
        <v>5.18</v>
      </c>
      <c r="G11" s="50">
        <v>29.79</v>
      </c>
      <c r="H11" s="50">
        <v>8.9499999999999993</v>
      </c>
      <c r="I11" s="50">
        <v>3.79</v>
      </c>
      <c r="J11" s="50">
        <v>1.01</v>
      </c>
      <c r="K11" s="50">
        <v>291.7</v>
      </c>
      <c r="L11" s="50">
        <v>24.91</v>
      </c>
      <c r="M11" s="50">
        <v>83.88</v>
      </c>
      <c r="N11" s="50">
        <v>2.4</v>
      </c>
      <c r="O11" s="50">
        <v>0.2</v>
      </c>
      <c r="P11" s="50">
        <v>0.3</v>
      </c>
      <c r="Q11" s="50">
        <v>4.68</v>
      </c>
    </row>
    <row r="12" spans="1:21" customFormat="1">
      <c r="A12" s="49">
        <v>45552.166666666664</v>
      </c>
      <c r="B12" s="50">
        <v>9.36</v>
      </c>
      <c r="C12" s="50">
        <v>4.09</v>
      </c>
      <c r="D12" s="50">
        <v>14.09</v>
      </c>
      <c r="E12" s="50">
        <v>10.029999999999999</v>
      </c>
      <c r="F12" s="50">
        <v>5.88</v>
      </c>
      <c r="G12" s="50">
        <v>27.12</v>
      </c>
      <c r="H12" s="50">
        <v>8.9499999999999993</v>
      </c>
      <c r="I12" s="50">
        <v>3.82</v>
      </c>
      <c r="J12" s="50">
        <v>0.77</v>
      </c>
      <c r="K12" s="50">
        <v>292.11</v>
      </c>
      <c r="L12" s="50">
        <v>23.95</v>
      </c>
      <c r="M12" s="50">
        <v>93.99</v>
      </c>
      <c r="N12" s="50">
        <v>2.8</v>
      </c>
      <c r="O12" s="50">
        <v>1</v>
      </c>
      <c r="P12" s="50">
        <v>0.31</v>
      </c>
      <c r="Q12" s="50">
        <v>4.67</v>
      </c>
    </row>
    <row r="13" spans="1:21" customFormat="1">
      <c r="A13" s="49">
        <v>45552.208333333336</v>
      </c>
      <c r="B13" s="50">
        <v>9.35</v>
      </c>
      <c r="C13" s="50">
        <v>4.1100000000000003</v>
      </c>
      <c r="D13" s="50">
        <v>14.1</v>
      </c>
      <c r="E13" s="50">
        <v>10.31</v>
      </c>
      <c r="F13" s="50">
        <v>4.72</v>
      </c>
      <c r="G13" s="50">
        <v>25.58</v>
      </c>
      <c r="H13" s="50">
        <v>6.86</v>
      </c>
      <c r="I13" s="50">
        <v>3.41</v>
      </c>
      <c r="J13" s="50">
        <v>1.01</v>
      </c>
      <c r="K13" s="50">
        <v>295.29000000000002</v>
      </c>
      <c r="L13" s="50">
        <v>23.52</v>
      </c>
      <c r="M13" s="50">
        <v>94.94</v>
      </c>
      <c r="N13" s="50">
        <v>3.4</v>
      </c>
      <c r="O13" s="50">
        <v>0.2</v>
      </c>
      <c r="P13" s="50">
        <v>0.31</v>
      </c>
      <c r="Q13" s="50">
        <v>4.67</v>
      </c>
    </row>
    <row r="14" spans="1:21" customFormat="1">
      <c r="A14" s="49">
        <v>45552.25</v>
      </c>
      <c r="B14" s="50">
        <v>9.36</v>
      </c>
      <c r="C14" s="50">
        <v>4.09</v>
      </c>
      <c r="D14" s="50">
        <v>14.09</v>
      </c>
      <c r="E14" s="50">
        <v>11.26</v>
      </c>
      <c r="F14" s="50">
        <v>4.68</v>
      </c>
      <c r="G14" s="50">
        <v>25.13</v>
      </c>
      <c r="H14" s="50">
        <v>7.51</v>
      </c>
      <c r="I14" s="50">
        <v>3.4</v>
      </c>
      <c r="J14" s="50">
        <v>0.99</v>
      </c>
      <c r="K14" s="50">
        <v>283.69</v>
      </c>
      <c r="L14" s="50">
        <v>24.06</v>
      </c>
      <c r="M14" s="50">
        <v>97.13</v>
      </c>
      <c r="N14" s="50">
        <v>5.0999999999999996</v>
      </c>
      <c r="O14" s="50">
        <v>0</v>
      </c>
      <c r="P14" s="50">
        <v>0.3</v>
      </c>
      <c r="Q14" s="50">
        <v>4.66</v>
      </c>
    </row>
    <row r="15" spans="1:21" customFormat="1">
      <c r="A15" s="49">
        <v>45552.291666666664</v>
      </c>
      <c r="B15" s="50">
        <v>9.3800000000000008</v>
      </c>
      <c r="C15" s="50">
        <v>4.0999999999999996</v>
      </c>
      <c r="D15" s="50">
        <v>14.11</v>
      </c>
      <c r="E15" s="50">
        <v>11.3</v>
      </c>
      <c r="F15" s="50">
        <v>4.75</v>
      </c>
      <c r="G15" s="50">
        <v>25.79</v>
      </c>
      <c r="H15" s="50">
        <v>7.51</v>
      </c>
      <c r="I15" s="50">
        <v>3.43</v>
      </c>
      <c r="J15" s="50">
        <v>1.01</v>
      </c>
      <c r="K15" s="50">
        <v>281.95</v>
      </c>
      <c r="L15" s="50">
        <v>24.39</v>
      </c>
      <c r="M15" s="50">
        <v>90.63</v>
      </c>
      <c r="N15" s="50">
        <v>16.5</v>
      </c>
      <c r="O15" s="50">
        <v>0</v>
      </c>
      <c r="P15" s="50">
        <v>0.31</v>
      </c>
      <c r="Q15" s="50">
        <v>4.66</v>
      </c>
    </row>
    <row r="16" spans="1:21" customFormat="1">
      <c r="A16" s="49">
        <v>45552.333333333336</v>
      </c>
      <c r="B16" s="50">
        <v>9.4</v>
      </c>
      <c r="C16" s="50">
        <v>4.08</v>
      </c>
      <c r="D16" s="50">
        <v>14.1</v>
      </c>
      <c r="E16" s="50">
        <v>12.32</v>
      </c>
      <c r="F16" s="50">
        <v>4.82</v>
      </c>
      <c r="G16" s="50">
        <v>26.79</v>
      </c>
      <c r="H16" s="50">
        <v>6.82</v>
      </c>
      <c r="I16" s="50">
        <v>3.68</v>
      </c>
      <c r="J16" s="50">
        <v>0.93</v>
      </c>
      <c r="K16" s="50">
        <v>276.26</v>
      </c>
      <c r="L16" s="50">
        <v>24.93</v>
      </c>
      <c r="M16" s="50">
        <v>91.16</v>
      </c>
      <c r="N16" s="50">
        <v>36</v>
      </c>
      <c r="O16" s="50">
        <v>0</v>
      </c>
      <c r="P16" s="50">
        <v>0.34</v>
      </c>
      <c r="Q16" s="50">
        <v>4.6500000000000004</v>
      </c>
    </row>
    <row r="17" spans="1:17" customFormat="1">
      <c r="A17" s="49">
        <v>45552.375</v>
      </c>
      <c r="B17" s="50">
        <v>9.3800000000000008</v>
      </c>
      <c r="C17" s="50">
        <v>4.08</v>
      </c>
      <c r="D17" s="50">
        <v>14.11</v>
      </c>
      <c r="E17" s="50">
        <v>12.69</v>
      </c>
      <c r="F17" s="50">
        <v>4.88</v>
      </c>
      <c r="G17" s="50">
        <v>33.56</v>
      </c>
      <c r="H17" s="50">
        <v>8.0500000000000007</v>
      </c>
      <c r="I17" s="50">
        <v>3.97</v>
      </c>
      <c r="J17" s="50">
        <v>0.97</v>
      </c>
      <c r="K17" s="50">
        <v>279.99</v>
      </c>
      <c r="L17" s="50">
        <v>26.05</v>
      </c>
      <c r="M17" s="50">
        <v>87.78</v>
      </c>
      <c r="N17" s="50">
        <v>119.5</v>
      </c>
      <c r="O17" s="50">
        <v>0</v>
      </c>
      <c r="P17" s="50">
        <v>0.34</v>
      </c>
      <c r="Q17" s="50">
        <v>4.6399999999999997</v>
      </c>
    </row>
    <row r="18" spans="1:17" customFormat="1">
      <c r="A18" s="49">
        <v>45552.416666666664</v>
      </c>
      <c r="B18" s="50">
        <v>9.39</v>
      </c>
      <c r="C18" s="50">
        <v>4.07</v>
      </c>
      <c r="D18" s="50">
        <v>14.11</v>
      </c>
      <c r="E18" s="50">
        <v>11.8</v>
      </c>
      <c r="F18" s="50">
        <v>5.64</v>
      </c>
      <c r="G18" s="50">
        <v>38.82</v>
      </c>
      <c r="H18" s="50">
        <v>8.9</v>
      </c>
      <c r="I18" s="50">
        <v>4.0599999999999996</v>
      </c>
      <c r="J18" s="50">
        <v>1.32</v>
      </c>
      <c r="K18" s="50">
        <v>297.17</v>
      </c>
      <c r="L18" s="50">
        <v>28.34</v>
      </c>
      <c r="M18" s="50">
        <v>83.13</v>
      </c>
      <c r="N18" s="50">
        <v>334.4</v>
      </c>
      <c r="O18" s="50">
        <v>0</v>
      </c>
      <c r="P18" s="50">
        <v>0.36</v>
      </c>
      <c r="Q18" s="50">
        <v>4.66</v>
      </c>
    </row>
    <row r="19" spans="1:17" customFormat="1">
      <c r="A19" s="49">
        <v>45552.458333333336</v>
      </c>
      <c r="B19" s="50">
        <v>9.4</v>
      </c>
      <c r="C19" s="50">
        <v>4.09</v>
      </c>
      <c r="D19" s="50">
        <v>14.12</v>
      </c>
      <c r="E19" s="50">
        <v>8.2899999999999991</v>
      </c>
      <c r="F19" s="50">
        <v>18.2</v>
      </c>
      <c r="G19" s="50">
        <v>38.82</v>
      </c>
      <c r="H19" s="50">
        <v>10.71</v>
      </c>
      <c r="I19" s="50">
        <v>4.05</v>
      </c>
      <c r="J19" s="50">
        <v>1.33</v>
      </c>
      <c r="K19" s="50">
        <v>293.72000000000003</v>
      </c>
      <c r="L19" s="50">
        <v>29.34</v>
      </c>
      <c r="M19" s="50">
        <v>75.28</v>
      </c>
      <c r="N19" s="50">
        <v>367.3</v>
      </c>
      <c r="O19" s="50">
        <v>0.2</v>
      </c>
      <c r="P19" s="50">
        <v>0.41</v>
      </c>
      <c r="Q19" s="50">
        <v>4.6500000000000004</v>
      </c>
    </row>
    <row r="20" spans="1:17" customFormat="1">
      <c r="A20" s="49">
        <v>45552.5</v>
      </c>
      <c r="B20" s="50">
        <v>9.36</v>
      </c>
      <c r="C20" s="50">
        <v>4.12</v>
      </c>
      <c r="D20" s="50">
        <v>14.1</v>
      </c>
      <c r="E20" s="50">
        <v>7.4</v>
      </c>
      <c r="F20" s="50">
        <v>11.43</v>
      </c>
      <c r="G20" s="50">
        <v>36.31</v>
      </c>
      <c r="H20" s="50">
        <v>12</v>
      </c>
      <c r="I20" s="50">
        <v>3.92</v>
      </c>
      <c r="J20" s="50">
        <v>1.31</v>
      </c>
      <c r="K20" s="50">
        <v>293.68</v>
      </c>
      <c r="L20" s="50">
        <v>28.65</v>
      </c>
      <c r="M20" s="50">
        <v>74.06</v>
      </c>
      <c r="N20" s="50">
        <v>175.9</v>
      </c>
      <c r="O20" s="50">
        <v>0</v>
      </c>
      <c r="P20" s="50">
        <v>0.42</v>
      </c>
      <c r="Q20" s="50">
        <v>4.63</v>
      </c>
    </row>
    <row r="21" spans="1:17" customFormat="1">
      <c r="A21" s="49">
        <v>45552.541666666664</v>
      </c>
      <c r="B21" s="50">
        <v>9.4499999999999993</v>
      </c>
      <c r="C21" s="50">
        <v>4.08</v>
      </c>
      <c r="D21" s="50">
        <v>14.15</v>
      </c>
      <c r="E21" s="50">
        <v>7.52</v>
      </c>
      <c r="F21" s="50">
        <v>8.74</v>
      </c>
      <c r="G21" s="50">
        <v>35.450000000000003</v>
      </c>
      <c r="H21" s="50">
        <v>12</v>
      </c>
      <c r="I21" s="50">
        <v>4.1100000000000003</v>
      </c>
      <c r="J21" s="50">
        <v>1.08</v>
      </c>
      <c r="K21" s="50">
        <v>290.05</v>
      </c>
      <c r="L21" s="50">
        <v>28.27</v>
      </c>
      <c r="M21" s="50">
        <v>75.56</v>
      </c>
      <c r="N21" s="50">
        <v>140.19999999999999</v>
      </c>
      <c r="O21" s="50">
        <v>0</v>
      </c>
      <c r="P21" s="50">
        <v>0.42</v>
      </c>
      <c r="Q21" s="50">
        <v>4.67</v>
      </c>
    </row>
    <row r="22" spans="1:17" customFormat="1">
      <c r="A22" s="49">
        <v>45552.583333333336</v>
      </c>
      <c r="B22" s="50">
        <v>9.43</v>
      </c>
      <c r="C22" s="50">
        <v>4.0999999999999996</v>
      </c>
      <c r="D22" s="50">
        <v>14.15</v>
      </c>
      <c r="E22" s="50">
        <v>8.3800000000000008</v>
      </c>
      <c r="F22" s="50">
        <v>6.24</v>
      </c>
      <c r="G22" s="50">
        <v>31.19</v>
      </c>
      <c r="H22" s="50">
        <v>12.19</v>
      </c>
      <c r="I22" s="50">
        <v>4</v>
      </c>
      <c r="J22" s="50">
        <v>1.2</v>
      </c>
      <c r="K22" s="50">
        <v>278.17</v>
      </c>
      <c r="L22" s="50">
        <v>27.48</v>
      </c>
      <c r="M22" s="50">
        <v>80.52</v>
      </c>
      <c r="N22" s="50">
        <v>120.8</v>
      </c>
      <c r="O22" s="50">
        <v>0</v>
      </c>
      <c r="P22" s="50">
        <v>0.35</v>
      </c>
      <c r="Q22" s="50">
        <v>4.66</v>
      </c>
    </row>
    <row r="23" spans="1:17" customFormat="1">
      <c r="A23" s="49">
        <v>45552.625</v>
      </c>
      <c r="B23" s="50">
        <v>9.2799999999999994</v>
      </c>
      <c r="C23" s="50">
        <v>4.09</v>
      </c>
      <c r="D23" s="50">
        <v>14.03</v>
      </c>
      <c r="E23" s="50">
        <v>8.77</v>
      </c>
      <c r="F23" s="50">
        <v>6.05</v>
      </c>
      <c r="G23" s="50">
        <v>31.19</v>
      </c>
      <c r="H23" s="50">
        <v>12.19</v>
      </c>
      <c r="I23" s="50">
        <v>4.07</v>
      </c>
      <c r="J23" s="50">
        <v>1.08</v>
      </c>
      <c r="K23" s="50">
        <v>278.94</v>
      </c>
      <c r="L23" s="50">
        <v>28.41</v>
      </c>
      <c r="M23" s="50">
        <v>77.930000000000007</v>
      </c>
      <c r="N23" s="50">
        <v>159.30000000000001</v>
      </c>
      <c r="O23" s="50">
        <v>0</v>
      </c>
      <c r="P23" s="50">
        <v>0.4</v>
      </c>
      <c r="Q23" s="50">
        <v>4.67</v>
      </c>
    </row>
    <row r="24" spans="1:17" customFormat="1">
      <c r="A24" s="49">
        <v>45552.666666666664</v>
      </c>
      <c r="B24" s="50">
        <v>9.2899999999999991</v>
      </c>
      <c r="C24" s="50">
        <v>4.07</v>
      </c>
      <c r="D24" s="50">
        <v>14.01</v>
      </c>
      <c r="E24" s="50">
        <v>9.83</v>
      </c>
      <c r="F24" s="50">
        <v>7.34</v>
      </c>
      <c r="G24" s="50">
        <v>24.99</v>
      </c>
      <c r="H24" s="50">
        <v>9.67</v>
      </c>
      <c r="I24" s="50">
        <v>4.07</v>
      </c>
      <c r="J24" s="50">
        <v>0.87</v>
      </c>
      <c r="K24" s="50">
        <v>279.48</v>
      </c>
      <c r="L24" s="50">
        <v>29.42</v>
      </c>
      <c r="M24" s="50">
        <v>73.56</v>
      </c>
      <c r="N24" s="50">
        <v>346.4</v>
      </c>
      <c r="O24" s="50">
        <v>0</v>
      </c>
      <c r="P24" s="50">
        <v>0.42</v>
      </c>
      <c r="Q24" s="50">
        <v>4.66</v>
      </c>
    </row>
    <row r="25" spans="1:17" customFormat="1">
      <c r="A25" s="49">
        <v>45552.708333333336</v>
      </c>
      <c r="B25" s="50">
        <v>9.2899999999999991</v>
      </c>
      <c r="C25" s="50">
        <v>4.08</v>
      </c>
      <c r="D25" s="50">
        <v>14.02</v>
      </c>
      <c r="E25" s="50">
        <v>10.23</v>
      </c>
      <c r="F25" s="50">
        <v>7.47</v>
      </c>
      <c r="G25" s="50">
        <v>28.71</v>
      </c>
      <c r="H25" s="50">
        <v>9.06</v>
      </c>
      <c r="I25" s="50">
        <v>4.29</v>
      </c>
      <c r="J25" s="50">
        <v>0.73</v>
      </c>
      <c r="K25" s="50">
        <v>274.69</v>
      </c>
      <c r="L25" s="50">
        <v>28.49</v>
      </c>
      <c r="M25" s="50">
        <v>79.11</v>
      </c>
      <c r="N25" s="50">
        <v>70.8</v>
      </c>
      <c r="O25" s="50">
        <v>0</v>
      </c>
      <c r="P25" s="50">
        <v>0.42</v>
      </c>
      <c r="Q25" s="50">
        <v>4.66</v>
      </c>
    </row>
    <row r="26" spans="1:17" customFormat="1">
      <c r="A26" s="49">
        <v>45552.75</v>
      </c>
      <c r="B26" s="50">
        <v>9.31</v>
      </c>
      <c r="C26" s="50">
        <v>4.08</v>
      </c>
      <c r="D26" s="50">
        <v>14.04</v>
      </c>
      <c r="E26" s="50">
        <v>11.17</v>
      </c>
      <c r="F26" s="50">
        <v>6</v>
      </c>
      <c r="G26" s="50">
        <v>28.71</v>
      </c>
      <c r="H26" s="50">
        <v>9.31</v>
      </c>
      <c r="I26" s="50">
        <v>4.47</v>
      </c>
      <c r="J26" s="50">
        <v>0.68</v>
      </c>
      <c r="K26" s="50">
        <v>272.3</v>
      </c>
      <c r="L26" s="50">
        <v>27.36</v>
      </c>
      <c r="M26" s="50">
        <v>86.12</v>
      </c>
      <c r="N26" s="50">
        <v>7</v>
      </c>
      <c r="O26" s="50">
        <v>0</v>
      </c>
      <c r="P26" s="50">
        <v>0.45</v>
      </c>
      <c r="Q26" s="50">
        <v>4.6500000000000004</v>
      </c>
    </row>
    <row r="27" spans="1:17" customFormat="1">
      <c r="A27" s="49">
        <v>45552.791666666664</v>
      </c>
      <c r="B27" s="50">
        <v>9.31</v>
      </c>
      <c r="C27" s="50">
        <v>4.0999999999999996</v>
      </c>
      <c r="D27" s="50">
        <v>14.03</v>
      </c>
      <c r="E27" s="50">
        <v>8.43</v>
      </c>
      <c r="F27" s="50">
        <v>6.54</v>
      </c>
      <c r="G27" s="50">
        <v>26.19</v>
      </c>
      <c r="H27" s="50">
        <v>12.36</v>
      </c>
      <c r="I27" s="50">
        <v>4.5599999999999996</v>
      </c>
      <c r="J27" s="50">
        <v>0.57999999999999996</v>
      </c>
      <c r="K27" s="50">
        <v>273.32</v>
      </c>
      <c r="L27" s="50">
        <v>26.62</v>
      </c>
      <c r="M27" s="50">
        <v>87.72</v>
      </c>
      <c r="N27" s="50">
        <v>2.6</v>
      </c>
      <c r="O27" s="50">
        <v>0</v>
      </c>
      <c r="P27" s="50">
        <v>0.46</v>
      </c>
      <c r="Q27" s="50">
        <v>4.6500000000000004</v>
      </c>
    </row>
    <row r="28" spans="1:17" customFormat="1">
      <c r="A28" s="49">
        <v>45552.833333333336</v>
      </c>
      <c r="B28" s="50">
        <v>9.2799999999999994</v>
      </c>
      <c r="C28" s="50">
        <v>4.12</v>
      </c>
      <c r="D28" s="50">
        <v>14.01</v>
      </c>
      <c r="E28" s="50">
        <v>7.4</v>
      </c>
      <c r="F28" s="50">
        <v>6.78</v>
      </c>
      <c r="G28" s="50">
        <v>28.13</v>
      </c>
      <c r="H28" s="50">
        <v>12.36</v>
      </c>
      <c r="I28" s="50">
        <v>4.54</v>
      </c>
      <c r="J28" s="50">
        <v>0.69</v>
      </c>
      <c r="K28" s="50">
        <v>272.35000000000002</v>
      </c>
      <c r="L28" s="50">
        <v>26.28</v>
      </c>
      <c r="M28" s="50">
        <v>86.74</v>
      </c>
      <c r="N28" s="50">
        <v>2.4</v>
      </c>
      <c r="O28" s="50">
        <v>0</v>
      </c>
      <c r="P28" s="50">
        <v>0.44</v>
      </c>
      <c r="Q28" s="50">
        <v>4.66</v>
      </c>
    </row>
    <row r="29" spans="1:17" customFormat="1">
      <c r="A29" s="49">
        <v>45552.875</v>
      </c>
      <c r="B29" s="50">
        <v>9.23</v>
      </c>
      <c r="C29" s="50">
        <v>4.1500000000000004</v>
      </c>
      <c r="D29" s="50">
        <v>14</v>
      </c>
      <c r="E29" s="50">
        <v>7.54</v>
      </c>
      <c r="F29" s="50">
        <v>6.06</v>
      </c>
      <c r="G29" s="50">
        <v>28.13</v>
      </c>
      <c r="H29" s="50">
        <v>10.75</v>
      </c>
      <c r="I29" s="50">
        <v>4.29</v>
      </c>
      <c r="J29" s="50">
        <v>0.56999999999999995</v>
      </c>
      <c r="K29" s="50">
        <v>272</v>
      </c>
      <c r="L29" s="50">
        <v>26.2</v>
      </c>
      <c r="M29" s="50">
        <v>87.18</v>
      </c>
      <c r="N29" s="50">
        <v>2.4</v>
      </c>
      <c r="O29" s="50">
        <v>0</v>
      </c>
      <c r="P29" s="50">
        <v>0.42</v>
      </c>
      <c r="Q29" s="50">
        <v>4.66</v>
      </c>
    </row>
    <row r="30" spans="1:17" customFormat="1">
      <c r="A30" s="49">
        <v>45552.916666666664</v>
      </c>
      <c r="B30" s="50">
        <v>9.26</v>
      </c>
      <c r="C30" s="50">
        <v>4.0999999999999996</v>
      </c>
      <c r="D30" s="50">
        <v>14</v>
      </c>
      <c r="E30" s="50">
        <v>6.88</v>
      </c>
      <c r="F30" s="50">
        <v>7.19</v>
      </c>
      <c r="G30" s="50">
        <v>25.44</v>
      </c>
      <c r="H30" s="50">
        <v>10.75</v>
      </c>
      <c r="I30" s="50">
        <v>4.26</v>
      </c>
      <c r="J30" s="50">
        <v>0.38</v>
      </c>
      <c r="K30" s="50">
        <v>266.44</v>
      </c>
      <c r="L30" s="50">
        <v>26.02</v>
      </c>
      <c r="M30" s="50">
        <v>88.75</v>
      </c>
      <c r="N30" s="50">
        <v>2.4</v>
      </c>
      <c r="O30" s="50">
        <v>0</v>
      </c>
      <c r="P30" s="50">
        <v>0.41</v>
      </c>
      <c r="Q30" s="50">
        <v>4.66</v>
      </c>
    </row>
    <row r="31" spans="1:17" customFormat="1">
      <c r="A31" s="49">
        <v>45552.958333333336</v>
      </c>
      <c r="B31" s="50">
        <v>9.34</v>
      </c>
      <c r="C31" s="50">
        <v>4.07</v>
      </c>
      <c r="D31" s="50">
        <v>14.07</v>
      </c>
      <c r="E31" s="50">
        <v>7.17</v>
      </c>
      <c r="F31" s="50">
        <v>7.51</v>
      </c>
      <c r="G31" s="50">
        <v>25.44</v>
      </c>
      <c r="H31" s="50">
        <v>8.6199999999999992</v>
      </c>
      <c r="I31" s="50">
        <v>4.17</v>
      </c>
      <c r="J31" s="50">
        <v>0.24</v>
      </c>
      <c r="K31" s="50">
        <v>268.57</v>
      </c>
      <c r="L31" s="50">
        <v>25.78</v>
      </c>
      <c r="M31" s="50">
        <v>89.09</v>
      </c>
      <c r="N31" s="50">
        <v>2.4</v>
      </c>
      <c r="O31" s="50">
        <v>0</v>
      </c>
      <c r="P31" s="50">
        <v>0.4</v>
      </c>
      <c r="Q31" s="50">
        <v>4.6500000000000004</v>
      </c>
    </row>
    <row r="32" spans="1:17" customFormat="1">
      <c r="A32" s="49">
        <v>45553</v>
      </c>
      <c r="B32" s="50">
        <v>9.34</v>
      </c>
      <c r="C32" s="50">
        <v>4.0999999999999996</v>
      </c>
      <c r="D32" s="50">
        <v>14.07</v>
      </c>
      <c r="E32" s="50">
        <v>8.11</v>
      </c>
      <c r="F32" s="50">
        <v>6.2</v>
      </c>
      <c r="G32" s="50">
        <v>25.69</v>
      </c>
      <c r="H32" s="50">
        <v>8.32</v>
      </c>
      <c r="I32" s="50">
        <v>4.13</v>
      </c>
      <c r="J32" s="50">
        <v>0.12</v>
      </c>
      <c r="K32" s="50">
        <v>232.21</v>
      </c>
      <c r="L32" s="50">
        <v>25.47</v>
      </c>
      <c r="M32" s="50">
        <v>93.17</v>
      </c>
      <c r="N32" s="50">
        <v>2.2000000000000002</v>
      </c>
      <c r="O32" s="50">
        <v>0</v>
      </c>
      <c r="P32" s="50">
        <v>0.39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9.23</v>
      </c>
      <c r="C34" s="40">
        <f t="shared" si="0"/>
        <v>4.07</v>
      </c>
      <c r="D34" s="40">
        <f t="shared" si="0"/>
        <v>14</v>
      </c>
      <c r="E34" s="40">
        <f t="shared" si="0"/>
        <v>6.88</v>
      </c>
      <c r="F34" s="40">
        <f t="shared" si="0"/>
        <v>4.68</v>
      </c>
      <c r="G34" s="40">
        <f t="shared" si="0"/>
        <v>24.99</v>
      </c>
      <c r="H34" s="40">
        <f t="shared" si="0"/>
        <v>6.82</v>
      </c>
      <c r="I34" s="40">
        <f t="shared" si="0"/>
        <v>3.4</v>
      </c>
      <c r="J34" s="40">
        <f t="shared" si="0"/>
        <v>0.12</v>
      </c>
      <c r="K34" s="40">
        <f t="shared" si="0"/>
        <v>232.21</v>
      </c>
      <c r="L34" s="40">
        <f t="shared" si="0"/>
        <v>23.52</v>
      </c>
      <c r="M34" s="40">
        <f t="shared" si="0"/>
        <v>73.56</v>
      </c>
      <c r="N34" s="40">
        <f t="shared" si="0"/>
        <v>2.2000000000000002</v>
      </c>
      <c r="O34" s="40">
        <f t="shared" si="0"/>
        <v>0</v>
      </c>
      <c r="P34" s="40">
        <f t="shared" si="0"/>
        <v>0.3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9.4499999999999993</v>
      </c>
      <c r="C35" s="33">
        <f t="shared" si="1"/>
        <v>4.1500000000000004</v>
      </c>
      <c r="D35" s="33">
        <f t="shared" si="1"/>
        <v>14.15</v>
      </c>
      <c r="E35" s="33">
        <f t="shared" si="1"/>
        <v>12.69</v>
      </c>
      <c r="F35" s="33">
        <f t="shared" si="1"/>
        <v>18.2</v>
      </c>
      <c r="G35" s="33">
        <f t="shared" si="1"/>
        <v>38.82</v>
      </c>
      <c r="H35" s="33">
        <f t="shared" si="1"/>
        <v>12.36</v>
      </c>
      <c r="I35" s="33">
        <f t="shared" si="1"/>
        <v>4.5599999999999996</v>
      </c>
      <c r="J35" s="33">
        <f t="shared" si="1"/>
        <v>1.33</v>
      </c>
      <c r="K35" s="33">
        <f t="shared" si="1"/>
        <v>297.17</v>
      </c>
      <c r="L35" s="33">
        <f t="shared" si="1"/>
        <v>29.42</v>
      </c>
      <c r="M35" s="33">
        <f t="shared" si="1"/>
        <v>97.13</v>
      </c>
      <c r="N35" s="33">
        <f t="shared" si="1"/>
        <v>367.3</v>
      </c>
      <c r="O35" s="33">
        <f t="shared" si="1"/>
        <v>1</v>
      </c>
      <c r="P35" s="33">
        <f t="shared" si="1"/>
        <v>0.46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9.3445833333333326</v>
      </c>
      <c r="C36" s="40">
        <f t="shared" si="2"/>
        <v>4.0933333333333328</v>
      </c>
      <c r="D36" s="40">
        <f t="shared" si="2"/>
        <v>14.073749999999997</v>
      </c>
      <c r="E36" s="40">
        <f t="shared" si="2"/>
        <v>9.4495833333333348</v>
      </c>
      <c r="F36" s="40">
        <f t="shared" si="2"/>
        <v>6.7912499999999989</v>
      </c>
      <c r="G36" s="40">
        <f t="shared" si="2"/>
        <v>29.807916666666674</v>
      </c>
      <c r="H36" s="40">
        <f t="shared" si="2"/>
        <v>9.680416666666666</v>
      </c>
      <c r="I36" s="40">
        <f t="shared" si="2"/>
        <v>4.0075000000000012</v>
      </c>
      <c r="J36" s="40">
        <f t="shared" si="2"/>
        <v>0.87333333333333341</v>
      </c>
      <c r="K36" s="40">
        <f t="shared" si="2"/>
        <v>280.45416666666665</v>
      </c>
      <c r="L36" s="40">
        <f t="shared" si="2"/>
        <v>26.411666666666672</v>
      </c>
      <c r="M36" s="40">
        <f t="shared" si="2"/>
        <v>84.935833333333335</v>
      </c>
      <c r="N36" s="40">
        <f t="shared" si="2"/>
        <v>80.295833333333348</v>
      </c>
      <c r="O36" s="40">
        <f t="shared" si="2"/>
        <v>6.6666666666666666E-2</v>
      </c>
      <c r="P36" s="40">
        <f t="shared" si="2"/>
        <v>0.37666666666666671</v>
      </c>
      <c r="Q36" s="40">
        <f t="shared" si="2"/>
        <v>4.6591666666666667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5.4292217927952059E-2</v>
      </c>
      <c r="C37" s="40">
        <f t="shared" ref="C37:Q37" si="3">STDEV(C9:C32)</f>
        <v>1.8572224859501444E-2</v>
      </c>
      <c r="D37" s="40">
        <f t="shared" si="3"/>
        <v>4.5665370763375235E-2</v>
      </c>
      <c r="E37" s="40">
        <f t="shared" si="3"/>
        <v>1.7450089800856949</v>
      </c>
      <c r="F37" s="40">
        <f t="shared" si="3"/>
        <v>2.8678128501487476</v>
      </c>
      <c r="G37" s="40">
        <f t="shared" si="3"/>
        <v>4.680979996953984</v>
      </c>
      <c r="H37" s="40">
        <f t="shared" si="3"/>
        <v>1.8178450672171738</v>
      </c>
      <c r="I37" s="40">
        <f t="shared" si="3"/>
        <v>0.32370477693214733</v>
      </c>
      <c r="J37" s="40">
        <f t="shared" si="3"/>
        <v>0.32468937217869825</v>
      </c>
      <c r="K37" s="40">
        <f t="shared" si="3"/>
        <v>14.039829962015677</v>
      </c>
      <c r="L37" s="40">
        <f t="shared" si="3"/>
        <v>1.7996320074723173</v>
      </c>
      <c r="M37" s="40">
        <f t="shared" si="3"/>
        <v>6.9242528503970897</v>
      </c>
      <c r="N37" s="40">
        <f t="shared" si="3"/>
        <v>118.60813257242876</v>
      </c>
      <c r="O37" s="40">
        <f t="shared" si="3"/>
        <v>0.20989990713312084</v>
      </c>
      <c r="P37" s="40">
        <f t="shared" si="3"/>
        <v>5.2142502622237998E-2</v>
      </c>
      <c r="Q37" s="40">
        <f t="shared" si="3"/>
        <v>1.1389036172018E-2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45553.041666666664</v>
      </c>
      <c r="B9" s="50">
        <v>9.23</v>
      </c>
      <c r="C9" s="50">
        <v>4.16</v>
      </c>
      <c r="D9" s="50">
        <v>14</v>
      </c>
      <c r="E9" s="50">
        <v>8.41</v>
      </c>
      <c r="F9" s="50">
        <v>4.4000000000000004</v>
      </c>
      <c r="G9" s="50">
        <v>32.54</v>
      </c>
      <c r="H9" s="50">
        <v>10.99</v>
      </c>
      <c r="I9" s="50">
        <v>4.0199999999999996</v>
      </c>
      <c r="J9" s="50">
        <v>0.17</v>
      </c>
      <c r="K9" s="50">
        <v>246.8</v>
      </c>
      <c r="L9" s="50">
        <v>25</v>
      </c>
      <c r="M9" s="50">
        <v>95.74</v>
      </c>
      <c r="N9" s="50">
        <v>2.1</v>
      </c>
      <c r="O9" s="50">
        <v>0</v>
      </c>
      <c r="P9" s="50">
        <v>0.38</v>
      </c>
      <c r="Q9" s="50">
        <v>4.66</v>
      </c>
    </row>
    <row r="10" spans="1:21" customFormat="1">
      <c r="A10" s="49">
        <v>45553.083333333336</v>
      </c>
      <c r="B10" s="50">
        <v>9.23</v>
      </c>
      <c r="C10" s="50">
        <v>4.1399999999999997</v>
      </c>
      <c r="D10" s="50">
        <v>14</v>
      </c>
      <c r="E10" s="50">
        <v>9.1</v>
      </c>
      <c r="F10" s="50">
        <v>4.5599999999999996</v>
      </c>
      <c r="G10" s="50">
        <v>34.49</v>
      </c>
      <c r="H10" s="50">
        <v>16.440000000000001</v>
      </c>
      <c r="I10" s="50">
        <v>3.98</v>
      </c>
      <c r="J10" s="50">
        <v>0.38</v>
      </c>
      <c r="K10" s="50">
        <v>266.89999999999998</v>
      </c>
      <c r="L10" s="50">
        <v>24.93</v>
      </c>
      <c r="M10" s="50">
        <v>94.05</v>
      </c>
      <c r="N10" s="50">
        <v>2.1</v>
      </c>
      <c r="O10" s="50">
        <v>0</v>
      </c>
      <c r="P10" s="50">
        <v>0.38</v>
      </c>
      <c r="Q10" s="50">
        <v>4.66</v>
      </c>
    </row>
    <row r="11" spans="1:21" customFormat="1">
      <c r="A11" s="49">
        <v>45553.125</v>
      </c>
      <c r="B11" s="50">
        <v>9.24</v>
      </c>
      <c r="C11" s="50">
        <v>4.1500000000000004</v>
      </c>
      <c r="D11" s="50">
        <v>14</v>
      </c>
      <c r="E11" s="50">
        <v>8.44</v>
      </c>
      <c r="F11" s="50">
        <v>4.21</v>
      </c>
      <c r="G11" s="50">
        <v>34.49</v>
      </c>
      <c r="H11" s="50">
        <v>16.440000000000001</v>
      </c>
      <c r="I11" s="50">
        <v>3.81</v>
      </c>
      <c r="J11" s="50">
        <v>0.32</v>
      </c>
      <c r="K11" s="50">
        <v>270.5</v>
      </c>
      <c r="L11" s="50">
        <v>24.9</v>
      </c>
      <c r="M11" s="50">
        <v>93.36</v>
      </c>
      <c r="N11" s="50">
        <v>2.1</v>
      </c>
      <c r="O11" s="50">
        <v>0</v>
      </c>
      <c r="P11" s="50">
        <v>0.38</v>
      </c>
      <c r="Q11" s="50">
        <v>4.66</v>
      </c>
    </row>
    <row r="12" spans="1:21" customFormat="1">
      <c r="A12" s="49">
        <v>45553.166666666664</v>
      </c>
      <c r="B12" s="50">
        <v>9.24</v>
      </c>
      <c r="C12" s="50">
        <v>4.17</v>
      </c>
      <c r="D12" s="50">
        <v>14</v>
      </c>
      <c r="E12" s="50">
        <v>8.61</v>
      </c>
      <c r="F12" s="50">
        <v>4</v>
      </c>
      <c r="G12" s="50">
        <v>34.82</v>
      </c>
      <c r="H12" s="50">
        <v>13.19</v>
      </c>
      <c r="I12" s="50">
        <v>4</v>
      </c>
      <c r="J12" s="50">
        <v>0.3</v>
      </c>
      <c r="K12" s="50">
        <v>270.7</v>
      </c>
      <c r="L12" s="50">
        <v>24.39</v>
      </c>
      <c r="M12" s="50">
        <v>95.23</v>
      </c>
      <c r="N12" s="50">
        <v>2.1</v>
      </c>
      <c r="O12" s="50">
        <v>0</v>
      </c>
      <c r="P12" s="50">
        <v>0.38</v>
      </c>
      <c r="Q12" s="50">
        <v>4.66</v>
      </c>
    </row>
    <row r="13" spans="1:21" customFormat="1">
      <c r="A13" s="49">
        <v>45553.208333333336</v>
      </c>
      <c r="B13" s="50">
        <v>9.2200000000000006</v>
      </c>
      <c r="C13" s="50">
        <v>4.16</v>
      </c>
      <c r="D13" s="50">
        <v>14</v>
      </c>
      <c r="E13" s="50">
        <v>7.4</v>
      </c>
      <c r="F13" s="50">
        <v>3.98</v>
      </c>
      <c r="G13" s="50">
        <v>35.49</v>
      </c>
      <c r="H13" s="50">
        <v>9.5399999999999991</v>
      </c>
      <c r="I13" s="50">
        <v>4.0599999999999996</v>
      </c>
      <c r="J13" s="50">
        <v>0.28000000000000003</v>
      </c>
      <c r="K13" s="50">
        <v>268.83999999999997</v>
      </c>
      <c r="L13" s="50">
        <v>24.01</v>
      </c>
      <c r="M13" s="50">
        <v>95.37</v>
      </c>
      <c r="N13" s="50">
        <v>2.1</v>
      </c>
      <c r="O13" s="50">
        <v>0</v>
      </c>
      <c r="P13" s="50">
        <v>0.38</v>
      </c>
      <c r="Q13" s="50">
        <v>4.67</v>
      </c>
    </row>
    <row r="14" spans="1:21" customFormat="1">
      <c r="A14" s="49">
        <v>45553.25</v>
      </c>
      <c r="B14" s="50">
        <v>9.2200000000000006</v>
      </c>
      <c r="C14" s="50">
        <v>4.18</v>
      </c>
      <c r="D14" s="50">
        <v>14</v>
      </c>
      <c r="E14" s="50">
        <v>6.98</v>
      </c>
      <c r="F14" s="50">
        <v>3.91</v>
      </c>
      <c r="G14" s="50">
        <v>35.49</v>
      </c>
      <c r="H14" s="50">
        <v>9.42</v>
      </c>
      <c r="I14" s="50">
        <v>4.08</v>
      </c>
      <c r="J14" s="50">
        <v>0.09</v>
      </c>
      <c r="K14" s="50">
        <v>231.13</v>
      </c>
      <c r="L14" s="50">
        <v>24.06</v>
      </c>
      <c r="M14" s="50">
        <v>97.34</v>
      </c>
      <c r="N14" s="50">
        <v>10.6</v>
      </c>
      <c r="O14" s="50">
        <v>0</v>
      </c>
      <c r="P14" s="50">
        <v>0.37</v>
      </c>
      <c r="Q14" s="50">
        <v>4.67</v>
      </c>
    </row>
    <row r="15" spans="1:21" customFormat="1">
      <c r="A15" s="49">
        <v>45553.291666666664</v>
      </c>
      <c r="B15" s="50">
        <v>9.1999999999999993</v>
      </c>
      <c r="C15" s="50">
        <v>4.2</v>
      </c>
      <c r="D15" s="50">
        <v>14</v>
      </c>
      <c r="E15" s="50">
        <v>6.79</v>
      </c>
      <c r="F15" s="50">
        <v>4.17</v>
      </c>
      <c r="G15" s="50">
        <v>33.53</v>
      </c>
      <c r="H15" s="50">
        <v>10.7</v>
      </c>
      <c r="I15" s="50">
        <v>4.13</v>
      </c>
      <c r="J15" s="50">
        <v>0.18</v>
      </c>
      <c r="K15" s="50">
        <v>278.35000000000002</v>
      </c>
      <c r="L15" s="50">
        <v>25.03</v>
      </c>
      <c r="M15" s="50">
        <v>97.19</v>
      </c>
      <c r="N15" s="50">
        <v>52.5</v>
      </c>
      <c r="O15" s="50">
        <v>0</v>
      </c>
      <c r="P15" s="50">
        <v>0.37</v>
      </c>
      <c r="Q15" s="50">
        <v>4.68</v>
      </c>
    </row>
    <row r="16" spans="1:21" customFormat="1">
      <c r="A16" s="49">
        <v>45553.333333333336</v>
      </c>
      <c r="B16" s="50">
        <v>9.17</v>
      </c>
      <c r="C16" s="50">
        <v>4.24</v>
      </c>
      <c r="D16" s="50">
        <v>14</v>
      </c>
      <c r="E16" s="50">
        <v>6.59</v>
      </c>
      <c r="F16" s="50">
        <v>6.55</v>
      </c>
      <c r="G16" s="50">
        <v>33.53</v>
      </c>
      <c r="H16" s="50">
        <v>12.3</v>
      </c>
      <c r="I16" s="50">
        <v>4.09</v>
      </c>
      <c r="J16" s="50">
        <v>0.48</v>
      </c>
      <c r="K16" s="50">
        <v>272.58</v>
      </c>
      <c r="L16" s="50">
        <v>26.72</v>
      </c>
      <c r="M16" s="50">
        <v>91.48</v>
      </c>
      <c r="N16" s="50">
        <v>216.6</v>
      </c>
      <c r="O16" s="50">
        <v>0</v>
      </c>
      <c r="P16" s="50">
        <v>0.37</v>
      </c>
      <c r="Q16" s="50">
        <v>4.67</v>
      </c>
    </row>
    <row r="17" spans="1:17" customFormat="1">
      <c r="A17" s="49">
        <v>45553.375</v>
      </c>
      <c r="B17" s="50">
        <v>9.15</v>
      </c>
      <c r="C17" s="50">
        <v>4.26</v>
      </c>
      <c r="D17" s="50">
        <v>14</v>
      </c>
      <c r="E17" s="50">
        <v>7.07</v>
      </c>
      <c r="F17" s="50">
        <v>5.0999999999999996</v>
      </c>
      <c r="G17" s="50">
        <v>35.97</v>
      </c>
      <c r="H17" s="50">
        <v>12.3</v>
      </c>
      <c r="I17" s="50">
        <v>4.34</v>
      </c>
      <c r="J17" s="50">
        <v>0.5</v>
      </c>
      <c r="K17" s="50">
        <v>277.86</v>
      </c>
      <c r="L17" s="50">
        <v>27.89</v>
      </c>
      <c r="M17" s="50">
        <v>82.09</v>
      </c>
      <c r="N17" s="50">
        <v>185.4</v>
      </c>
      <c r="O17" s="50">
        <v>0</v>
      </c>
      <c r="P17" s="50">
        <v>0.42</v>
      </c>
      <c r="Q17" s="50">
        <v>4.6500000000000004</v>
      </c>
    </row>
    <row r="18" spans="1:17" customFormat="1">
      <c r="A18" s="49">
        <v>45553.416666666664</v>
      </c>
      <c r="B18" s="50">
        <v>9.17</v>
      </c>
      <c r="C18" s="50">
        <v>4.2699999999999996</v>
      </c>
      <c r="D18" s="50">
        <v>14</v>
      </c>
      <c r="E18" s="50">
        <v>8.43</v>
      </c>
      <c r="F18" s="50">
        <v>5.35</v>
      </c>
      <c r="G18" s="50">
        <v>35.97</v>
      </c>
      <c r="H18" s="50">
        <v>12.58</v>
      </c>
      <c r="I18" s="50">
        <v>4.57</v>
      </c>
      <c r="J18" s="50">
        <v>0.4</v>
      </c>
      <c r="K18" s="50">
        <v>259.37</v>
      </c>
      <c r="L18" s="50">
        <v>28.75</v>
      </c>
      <c r="M18" s="50">
        <v>74.78</v>
      </c>
      <c r="N18" s="50">
        <v>241</v>
      </c>
      <c r="O18" s="50">
        <v>0</v>
      </c>
      <c r="P18" s="50">
        <v>0.47</v>
      </c>
      <c r="Q18" s="50">
        <v>4.67</v>
      </c>
    </row>
    <row r="19" spans="1:17" customFormat="1">
      <c r="A19" s="49">
        <v>45553.458333333336</v>
      </c>
      <c r="B19" s="50">
        <v>9.18</v>
      </c>
      <c r="C19" s="50">
        <v>4.2</v>
      </c>
      <c r="D19" s="50">
        <v>14</v>
      </c>
      <c r="E19" s="50">
        <v>10.25</v>
      </c>
      <c r="F19" s="50">
        <v>6.03</v>
      </c>
      <c r="G19" s="50">
        <v>44.34</v>
      </c>
      <c r="H19" s="50">
        <v>12.58</v>
      </c>
      <c r="I19" s="50">
        <v>4.9800000000000004</v>
      </c>
      <c r="J19" s="50">
        <v>0.54</v>
      </c>
      <c r="K19" s="50">
        <v>265.70999999999998</v>
      </c>
      <c r="L19" s="50">
        <v>30.13</v>
      </c>
      <c r="M19" s="50">
        <v>69.25</v>
      </c>
      <c r="N19" s="50">
        <v>395.2</v>
      </c>
      <c r="O19" s="50">
        <v>0</v>
      </c>
      <c r="P19" s="50">
        <v>0.49</v>
      </c>
      <c r="Q19" s="50">
        <v>4.67</v>
      </c>
    </row>
    <row r="20" spans="1:17" customFormat="1">
      <c r="A20" s="49">
        <v>45553.5</v>
      </c>
      <c r="B20" s="50">
        <v>9.17</v>
      </c>
      <c r="C20" s="50">
        <v>4.24</v>
      </c>
      <c r="D20" s="50">
        <v>14</v>
      </c>
      <c r="E20" s="50">
        <v>10.81</v>
      </c>
      <c r="F20" s="50">
        <v>6.8</v>
      </c>
      <c r="G20" s="50">
        <v>46.77</v>
      </c>
      <c r="H20" s="50">
        <v>16.72</v>
      </c>
      <c r="I20" s="50">
        <v>4.99</v>
      </c>
      <c r="J20" s="50">
        <v>0.65</v>
      </c>
      <c r="K20" s="50">
        <v>271.25</v>
      </c>
      <c r="L20" s="50">
        <v>31.58</v>
      </c>
      <c r="M20" s="50">
        <v>66.290000000000006</v>
      </c>
      <c r="N20" s="50">
        <v>833</v>
      </c>
      <c r="O20" s="50">
        <v>0</v>
      </c>
      <c r="P20" s="50">
        <v>0.48</v>
      </c>
      <c r="Q20" s="50">
        <v>4.67</v>
      </c>
    </row>
    <row r="21" spans="1:17" customFormat="1">
      <c r="A21" s="49">
        <v>45553.541666666664</v>
      </c>
      <c r="B21" s="50">
        <v>9.2899999999999991</v>
      </c>
      <c r="C21" s="50">
        <v>4.25</v>
      </c>
      <c r="D21" s="50">
        <v>14.02</v>
      </c>
      <c r="E21" s="50">
        <v>11.24</v>
      </c>
      <c r="F21" s="50">
        <v>6.81</v>
      </c>
      <c r="G21" s="50">
        <v>46.77</v>
      </c>
      <c r="H21" s="50">
        <v>16.72</v>
      </c>
      <c r="I21" s="50">
        <v>4.84</v>
      </c>
      <c r="J21" s="50">
        <v>0.52</v>
      </c>
      <c r="K21" s="50">
        <v>265.77999999999997</v>
      </c>
      <c r="L21" s="50">
        <v>32.229999999999997</v>
      </c>
      <c r="M21" s="50">
        <v>62.87</v>
      </c>
      <c r="N21" s="50">
        <v>836.3</v>
      </c>
      <c r="O21" s="50">
        <v>0</v>
      </c>
      <c r="P21" s="50">
        <v>0.49</v>
      </c>
      <c r="Q21" s="50">
        <v>4.67</v>
      </c>
    </row>
    <row r="22" spans="1:17" customFormat="1">
      <c r="A22" s="49">
        <v>45553.583333333336</v>
      </c>
      <c r="B22" s="50">
        <v>9.25</v>
      </c>
      <c r="C22" s="50">
        <v>4.1399999999999997</v>
      </c>
      <c r="D22" s="50">
        <v>14</v>
      </c>
      <c r="E22" s="50">
        <v>10.72</v>
      </c>
      <c r="F22" s="50">
        <v>5.31</v>
      </c>
      <c r="G22" s="50">
        <v>40.18</v>
      </c>
      <c r="H22" s="50">
        <v>13.49</v>
      </c>
      <c r="I22" s="50">
        <v>4.82</v>
      </c>
      <c r="J22" s="50">
        <v>0.56999999999999995</v>
      </c>
      <c r="K22" s="50">
        <v>270.16000000000003</v>
      </c>
      <c r="L22" s="50">
        <v>32.1</v>
      </c>
      <c r="M22" s="50">
        <v>66.09</v>
      </c>
      <c r="N22" s="50">
        <v>697.8</v>
      </c>
      <c r="O22" s="50">
        <v>0</v>
      </c>
      <c r="P22" s="50">
        <v>0.5</v>
      </c>
      <c r="Q22" s="50">
        <v>4.6399999999999997</v>
      </c>
    </row>
    <row r="23" spans="1:17" customFormat="1">
      <c r="A23" s="49">
        <v>45553.625</v>
      </c>
      <c r="B23" s="50">
        <v>9.26</v>
      </c>
      <c r="C23" s="50">
        <v>4.0999999999999996</v>
      </c>
      <c r="D23" s="50">
        <v>14.01</v>
      </c>
      <c r="E23" s="50">
        <v>10.15</v>
      </c>
      <c r="F23" s="50">
        <v>4.62</v>
      </c>
      <c r="G23" s="50">
        <v>32.58</v>
      </c>
      <c r="H23" s="50">
        <v>11.42</v>
      </c>
      <c r="I23" s="50">
        <v>4.97</v>
      </c>
      <c r="J23" s="50">
        <v>0.5</v>
      </c>
      <c r="K23" s="50">
        <v>289.74</v>
      </c>
      <c r="L23" s="50">
        <v>29.69</v>
      </c>
      <c r="M23" s="50">
        <v>72.12</v>
      </c>
      <c r="N23" s="50">
        <v>98.3</v>
      </c>
      <c r="O23" s="50">
        <v>0</v>
      </c>
      <c r="P23" s="50">
        <v>0.42</v>
      </c>
      <c r="Q23" s="50">
        <v>4.6500000000000004</v>
      </c>
    </row>
    <row r="24" spans="1:17" customFormat="1">
      <c r="A24" s="49">
        <v>45553.666666666664</v>
      </c>
      <c r="B24" s="50">
        <v>9.24</v>
      </c>
      <c r="C24" s="50">
        <v>4.0999999999999996</v>
      </c>
      <c r="D24" s="50">
        <v>14</v>
      </c>
      <c r="E24" s="50">
        <v>9.76</v>
      </c>
      <c r="F24" s="50">
        <v>4.8899999999999997</v>
      </c>
      <c r="G24" s="50">
        <v>36.659999999999997</v>
      </c>
      <c r="H24" s="50">
        <v>12.03</v>
      </c>
      <c r="I24" s="50">
        <v>4.8</v>
      </c>
      <c r="J24" s="50">
        <v>0.42</v>
      </c>
      <c r="K24" s="50">
        <v>290.24</v>
      </c>
      <c r="L24" s="50">
        <v>30.56</v>
      </c>
      <c r="M24" s="50">
        <v>73.319999999999993</v>
      </c>
      <c r="N24" s="50">
        <v>310.5</v>
      </c>
      <c r="O24" s="50">
        <v>0</v>
      </c>
      <c r="P24" s="50">
        <v>0.42</v>
      </c>
      <c r="Q24" s="50">
        <v>4.63</v>
      </c>
    </row>
    <row r="25" spans="1:17" customFormat="1">
      <c r="A25" s="49">
        <v>45553.708333333336</v>
      </c>
      <c r="B25" s="50">
        <v>9.26</v>
      </c>
      <c r="C25" s="50">
        <v>4.0999999999999996</v>
      </c>
      <c r="D25" s="50">
        <v>14</v>
      </c>
      <c r="E25" s="50">
        <v>10.09</v>
      </c>
      <c r="F25" s="50">
        <v>7.86</v>
      </c>
      <c r="G25" s="50">
        <v>36.659999999999997</v>
      </c>
      <c r="H25" s="50">
        <v>12.64</v>
      </c>
      <c r="I25" s="50">
        <v>4.7699999999999996</v>
      </c>
      <c r="J25" s="50">
        <v>0.44</v>
      </c>
      <c r="K25" s="50">
        <v>276.72000000000003</v>
      </c>
      <c r="L25" s="50">
        <v>30.33</v>
      </c>
      <c r="M25" s="50">
        <v>69.55</v>
      </c>
      <c r="N25" s="50">
        <v>71.7</v>
      </c>
      <c r="O25" s="50">
        <v>0</v>
      </c>
      <c r="P25" s="50">
        <v>0.41</v>
      </c>
      <c r="Q25" s="50">
        <v>4.6399999999999997</v>
      </c>
    </row>
    <row r="26" spans="1:17" customFormat="1">
      <c r="A26" s="49">
        <v>45553.75</v>
      </c>
      <c r="B26" s="50">
        <v>9.35</v>
      </c>
      <c r="C26" s="50">
        <v>4.09</v>
      </c>
      <c r="D26" s="50">
        <v>14.07</v>
      </c>
      <c r="E26" s="50">
        <v>9.65</v>
      </c>
      <c r="F26" s="50">
        <v>9.2100000000000009</v>
      </c>
      <c r="G26" s="50">
        <v>34.61</v>
      </c>
      <c r="H26" s="50">
        <v>12.64</v>
      </c>
      <c r="I26" s="50">
        <v>4.71</v>
      </c>
      <c r="J26" s="50">
        <v>0.4</v>
      </c>
      <c r="K26" s="50">
        <v>265.3</v>
      </c>
      <c r="L26" s="50">
        <v>29.34</v>
      </c>
      <c r="M26" s="50">
        <v>72.260000000000005</v>
      </c>
      <c r="N26" s="50">
        <v>23.2</v>
      </c>
      <c r="O26" s="50">
        <v>0</v>
      </c>
      <c r="P26" s="50">
        <v>0.35</v>
      </c>
      <c r="Q26" s="50">
        <v>4.67</v>
      </c>
    </row>
    <row r="27" spans="1:17" customFormat="1">
      <c r="A27" s="49">
        <v>45553.791666666664</v>
      </c>
      <c r="B27" s="50">
        <v>9.25</v>
      </c>
      <c r="C27" s="50">
        <v>4.1399999999999997</v>
      </c>
      <c r="D27" s="50">
        <v>14.01</v>
      </c>
      <c r="E27" s="50">
        <v>10.66</v>
      </c>
      <c r="F27" s="50">
        <v>9.34</v>
      </c>
      <c r="G27" s="50">
        <v>34.61</v>
      </c>
      <c r="H27" s="50">
        <v>12.18</v>
      </c>
      <c r="I27" s="50">
        <v>4.41</v>
      </c>
      <c r="J27" s="50">
        <v>0.21</v>
      </c>
      <c r="K27" s="50">
        <v>195.07</v>
      </c>
      <c r="L27" s="50">
        <v>27.94</v>
      </c>
      <c r="M27" s="50">
        <v>81.17</v>
      </c>
      <c r="N27" s="50">
        <v>2.5</v>
      </c>
      <c r="O27" s="50">
        <v>0</v>
      </c>
      <c r="P27" s="50">
        <v>0.33</v>
      </c>
      <c r="Q27" s="50">
        <v>4.6500000000000004</v>
      </c>
    </row>
    <row r="28" spans="1:17" customFormat="1">
      <c r="A28" s="49">
        <v>45553.833333333336</v>
      </c>
      <c r="B28" s="50">
        <v>9.25</v>
      </c>
      <c r="C28" s="50">
        <v>4.13</v>
      </c>
      <c r="D28" s="50">
        <v>14</v>
      </c>
      <c r="E28" s="50">
        <v>10.7</v>
      </c>
      <c r="F28" s="50">
        <v>7.51</v>
      </c>
      <c r="G28" s="50">
        <v>31.55</v>
      </c>
      <c r="H28" s="50">
        <v>12.18</v>
      </c>
      <c r="I28" s="50">
        <v>4.5999999999999996</v>
      </c>
      <c r="J28" s="50">
        <v>0.14000000000000001</v>
      </c>
      <c r="K28" s="50">
        <v>185.71</v>
      </c>
      <c r="L28" s="50">
        <v>26.8</v>
      </c>
      <c r="M28" s="50">
        <v>83.95</v>
      </c>
      <c r="N28" s="50">
        <v>2.1</v>
      </c>
      <c r="O28" s="50">
        <v>0</v>
      </c>
      <c r="P28" s="50">
        <v>0.36</v>
      </c>
      <c r="Q28" s="50">
        <v>4.67</v>
      </c>
    </row>
    <row r="29" spans="1:17" customFormat="1">
      <c r="A29" s="49">
        <v>45553.875</v>
      </c>
      <c r="B29" s="50">
        <v>9.2799999999999994</v>
      </c>
      <c r="C29" s="50">
        <v>4.08</v>
      </c>
      <c r="D29" s="50">
        <v>14.01</v>
      </c>
      <c r="E29" s="50">
        <v>10.86</v>
      </c>
      <c r="F29" s="50">
        <v>6.15</v>
      </c>
      <c r="G29" s="50">
        <v>36.159999999999997</v>
      </c>
      <c r="H29" s="50">
        <v>8.57</v>
      </c>
      <c r="I29" s="50">
        <v>5.0999999999999996</v>
      </c>
      <c r="J29" s="50">
        <v>0.17</v>
      </c>
      <c r="K29" s="50">
        <v>201.49</v>
      </c>
      <c r="L29" s="50">
        <v>26.49</v>
      </c>
      <c r="M29" s="50">
        <v>86.71</v>
      </c>
      <c r="N29" s="50">
        <v>2.1</v>
      </c>
      <c r="O29" s="50">
        <v>0</v>
      </c>
      <c r="P29" s="50">
        <v>0.4</v>
      </c>
      <c r="Q29" s="50">
        <v>4.67</v>
      </c>
    </row>
    <row r="30" spans="1:17" customFormat="1">
      <c r="A30" s="49">
        <v>45553.916666666664</v>
      </c>
      <c r="B30" s="50">
        <v>9.24</v>
      </c>
      <c r="C30" s="50">
        <v>4.1100000000000003</v>
      </c>
      <c r="D30" s="50">
        <v>14</v>
      </c>
      <c r="E30" s="50">
        <v>12.13</v>
      </c>
      <c r="F30" s="50">
        <v>4.71</v>
      </c>
      <c r="G30" s="50">
        <v>38.229999999999997</v>
      </c>
      <c r="H30" s="50">
        <v>6.72</v>
      </c>
      <c r="I30" s="50">
        <v>5.47</v>
      </c>
      <c r="J30" s="50">
        <v>0.17</v>
      </c>
      <c r="K30" s="50">
        <v>204.06</v>
      </c>
      <c r="L30" s="50">
        <v>26.17</v>
      </c>
      <c r="M30" s="50">
        <v>91.15</v>
      </c>
      <c r="N30" s="50">
        <v>2.1</v>
      </c>
      <c r="O30" s="50">
        <v>0</v>
      </c>
      <c r="P30" s="50">
        <v>0.45</v>
      </c>
      <c r="Q30" s="50">
        <v>4.66</v>
      </c>
    </row>
    <row r="31" spans="1:17" customFormat="1">
      <c r="A31" s="49">
        <v>45553.958333333336</v>
      </c>
      <c r="B31" s="50">
        <v>9.3000000000000007</v>
      </c>
      <c r="C31" s="50">
        <v>4.09</v>
      </c>
      <c r="D31" s="50">
        <v>14.03</v>
      </c>
      <c r="E31" s="50">
        <v>12.07</v>
      </c>
      <c r="F31" s="50">
        <v>4.1500000000000004</v>
      </c>
      <c r="G31" s="50">
        <v>42.77</v>
      </c>
      <c r="H31" s="50">
        <v>8.84</v>
      </c>
      <c r="I31" s="50">
        <v>5.92</v>
      </c>
      <c r="J31" s="50">
        <v>0.14000000000000001</v>
      </c>
      <c r="K31" s="50">
        <v>208.09</v>
      </c>
      <c r="L31" s="50">
        <v>25.58</v>
      </c>
      <c r="M31" s="50">
        <v>94.49</v>
      </c>
      <c r="N31" s="50">
        <v>2.1</v>
      </c>
      <c r="O31" s="50">
        <v>0</v>
      </c>
      <c r="P31" s="50">
        <v>0.47</v>
      </c>
      <c r="Q31" s="50">
        <v>4.6500000000000004</v>
      </c>
    </row>
    <row r="32" spans="1:17" customFormat="1">
      <c r="A32" s="49">
        <v>45554</v>
      </c>
      <c r="B32" s="50">
        <v>9.31</v>
      </c>
      <c r="C32" s="50">
        <v>4.0599999999999996</v>
      </c>
      <c r="D32" s="50">
        <v>14.03</v>
      </c>
      <c r="E32" s="50">
        <v>10.54</v>
      </c>
      <c r="F32" s="50">
        <v>4.09</v>
      </c>
      <c r="G32" s="50">
        <v>42.77</v>
      </c>
      <c r="H32" s="50">
        <v>8.84</v>
      </c>
      <c r="I32" s="50">
        <v>6.11</v>
      </c>
      <c r="J32" s="50">
        <v>0.13</v>
      </c>
      <c r="K32" s="50">
        <v>223.98</v>
      </c>
      <c r="L32" s="50">
        <v>25.11</v>
      </c>
      <c r="M32" s="50">
        <v>96.01</v>
      </c>
      <c r="N32" s="50">
        <v>2.1</v>
      </c>
      <c r="O32" s="50">
        <v>0</v>
      </c>
      <c r="P32" s="50">
        <v>0.48</v>
      </c>
      <c r="Q32" s="50">
        <v>4.6500000000000004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9.15</v>
      </c>
      <c r="C34" s="40">
        <f t="shared" si="0"/>
        <v>4.0599999999999996</v>
      </c>
      <c r="D34" s="40">
        <f t="shared" si="0"/>
        <v>14</v>
      </c>
      <c r="E34" s="40">
        <f t="shared" si="0"/>
        <v>6.59</v>
      </c>
      <c r="F34" s="40">
        <f t="shared" si="0"/>
        <v>3.91</v>
      </c>
      <c r="G34" s="40">
        <f t="shared" si="0"/>
        <v>31.55</v>
      </c>
      <c r="H34" s="40">
        <f t="shared" si="0"/>
        <v>6.72</v>
      </c>
      <c r="I34" s="40">
        <f t="shared" si="0"/>
        <v>3.81</v>
      </c>
      <c r="J34" s="40">
        <f t="shared" si="0"/>
        <v>0.09</v>
      </c>
      <c r="K34" s="40">
        <f t="shared" si="0"/>
        <v>185.71</v>
      </c>
      <c r="L34" s="40">
        <f t="shared" si="0"/>
        <v>24.01</v>
      </c>
      <c r="M34" s="40">
        <f t="shared" si="0"/>
        <v>62.87</v>
      </c>
      <c r="N34" s="40">
        <f t="shared" si="0"/>
        <v>2.1</v>
      </c>
      <c r="O34" s="40">
        <f t="shared" si="0"/>
        <v>0</v>
      </c>
      <c r="P34" s="40">
        <f t="shared" si="0"/>
        <v>0.33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9.35</v>
      </c>
      <c r="C35" s="33">
        <f t="shared" si="1"/>
        <v>4.2699999999999996</v>
      </c>
      <c r="D35" s="33">
        <f t="shared" si="1"/>
        <v>14.07</v>
      </c>
      <c r="E35" s="33">
        <f t="shared" si="1"/>
        <v>12.13</v>
      </c>
      <c r="F35" s="33">
        <f t="shared" si="1"/>
        <v>9.34</v>
      </c>
      <c r="G35" s="33">
        <f t="shared" si="1"/>
        <v>46.77</v>
      </c>
      <c r="H35" s="33">
        <f t="shared" si="1"/>
        <v>16.72</v>
      </c>
      <c r="I35" s="33">
        <f t="shared" si="1"/>
        <v>6.11</v>
      </c>
      <c r="J35" s="33">
        <f t="shared" si="1"/>
        <v>0.65</v>
      </c>
      <c r="K35" s="33">
        <f t="shared" si="1"/>
        <v>290.24</v>
      </c>
      <c r="L35" s="33">
        <f t="shared" si="1"/>
        <v>32.229999999999997</v>
      </c>
      <c r="M35" s="33">
        <f t="shared" si="1"/>
        <v>97.34</v>
      </c>
      <c r="N35" s="33">
        <f t="shared" si="1"/>
        <v>836.3</v>
      </c>
      <c r="O35" s="33">
        <f t="shared" si="1"/>
        <v>0</v>
      </c>
      <c r="P35" s="33">
        <f t="shared" si="1"/>
        <v>0.5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9.2375000000000007</v>
      </c>
      <c r="C36" s="40">
        <f t="shared" si="2"/>
        <v>4.1566666666666663</v>
      </c>
      <c r="D36" s="40">
        <f t="shared" si="2"/>
        <v>14.007499999999999</v>
      </c>
      <c r="E36" s="40">
        <f t="shared" si="2"/>
        <v>9.4770833333333311</v>
      </c>
      <c r="F36" s="40">
        <f t="shared" si="2"/>
        <v>5.5712500000000018</v>
      </c>
      <c r="G36" s="40">
        <f t="shared" si="2"/>
        <v>37.12416666666666</v>
      </c>
      <c r="H36" s="40">
        <f t="shared" si="2"/>
        <v>12.061249999999999</v>
      </c>
      <c r="I36" s="40">
        <f t="shared" si="2"/>
        <v>4.6487499999999988</v>
      </c>
      <c r="J36" s="40">
        <f t="shared" si="2"/>
        <v>0.33750000000000008</v>
      </c>
      <c r="K36" s="40">
        <f t="shared" si="2"/>
        <v>252.3470833333333</v>
      </c>
      <c r="L36" s="40">
        <f t="shared" si="2"/>
        <v>27.48875</v>
      </c>
      <c r="M36" s="40">
        <f t="shared" si="2"/>
        <v>83.410833333333343</v>
      </c>
      <c r="N36" s="40">
        <f t="shared" si="2"/>
        <v>166.48333333333329</v>
      </c>
      <c r="O36" s="40">
        <f t="shared" si="2"/>
        <v>0</v>
      </c>
      <c r="P36" s="40">
        <f t="shared" si="2"/>
        <v>0.41458333333333336</v>
      </c>
      <c r="Q36" s="40">
        <f t="shared" si="2"/>
        <v>4.660000000000001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4.874512238698079E-2</v>
      </c>
      <c r="C37" s="40">
        <f t="shared" ref="C37:Q37" si="3">STDEV(C9:C32)</f>
        <v>6.1902213675853482E-2</v>
      </c>
      <c r="D37" s="40">
        <f t="shared" si="3"/>
        <v>1.6218615177038636E-2</v>
      </c>
      <c r="E37" s="40">
        <f t="shared" si="3"/>
        <v>1.6650825261351505</v>
      </c>
      <c r="F37" s="40">
        <f t="shared" si="3"/>
        <v>1.6368642144422751</v>
      </c>
      <c r="G37" s="40">
        <f t="shared" si="3"/>
        <v>4.4342068715510852</v>
      </c>
      <c r="H37" s="40">
        <f t="shared" si="3"/>
        <v>2.6754671473448779</v>
      </c>
      <c r="I37" s="40">
        <f t="shared" si="3"/>
        <v>0.60595818839831428</v>
      </c>
      <c r="J37" s="40">
        <f t="shared" si="3"/>
        <v>0.16663550433310367</v>
      </c>
      <c r="K37" s="40">
        <f t="shared" si="3"/>
        <v>31.9299723551627</v>
      </c>
      <c r="L37" s="40">
        <f t="shared" si="3"/>
        <v>2.6965603089862293</v>
      </c>
      <c r="M37" s="40">
        <f t="shared" si="3"/>
        <v>11.962030479329307</v>
      </c>
      <c r="N37" s="40">
        <f t="shared" si="3"/>
        <v>265.82396212640379</v>
      </c>
      <c r="O37" s="40">
        <f t="shared" si="3"/>
        <v>0</v>
      </c>
      <c r="P37" s="40">
        <f t="shared" si="3"/>
        <v>5.1581861209121491E-2</v>
      </c>
      <c r="Q37" s="40">
        <f t="shared" si="3"/>
        <v>1.2510864843424436E-2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45554.041666666664</v>
      </c>
      <c r="B9" s="50">
        <v>9.31</v>
      </c>
      <c r="C9" s="50">
        <v>4.07</v>
      </c>
      <c r="D9" s="50">
        <v>14.04</v>
      </c>
      <c r="E9" s="50">
        <v>9.9700000000000006</v>
      </c>
      <c r="F9" s="50">
        <v>4.29</v>
      </c>
      <c r="G9" s="50">
        <v>49.59</v>
      </c>
      <c r="H9" s="50">
        <v>14.2</v>
      </c>
      <c r="I9" s="50">
        <v>6.18</v>
      </c>
      <c r="J9" s="50">
        <v>0.17</v>
      </c>
      <c r="K9" s="50">
        <v>214.23</v>
      </c>
      <c r="L9" s="50">
        <v>24.98</v>
      </c>
      <c r="M9" s="50">
        <v>97.2</v>
      </c>
      <c r="N9" s="50">
        <v>2.1</v>
      </c>
      <c r="O9" s="50">
        <v>0</v>
      </c>
      <c r="P9" s="50">
        <v>0.48</v>
      </c>
      <c r="Q9" s="50">
        <v>4.6500000000000004</v>
      </c>
    </row>
    <row r="10" spans="1:21" customFormat="1">
      <c r="A10" s="49">
        <v>45554.083333333336</v>
      </c>
      <c r="B10" s="50">
        <v>9.3000000000000007</v>
      </c>
      <c r="C10" s="50">
        <v>4.07</v>
      </c>
      <c r="D10" s="50">
        <v>14.03</v>
      </c>
      <c r="E10" s="50">
        <v>9.4499999999999993</v>
      </c>
      <c r="F10" s="50">
        <v>4.42</v>
      </c>
      <c r="G10" s="50">
        <v>49.59</v>
      </c>
      <c r="H10" s="50">
        <v>15.16</v>
      </c>
      <c r="I10" s="50">
        <v>6.09</v>
      </c>
      <c r="J10" s="50">
        <v>0.16</v>
      </c>
      <c r="K10" s="50">
        <v>220.08</v>
      </c>
      <c r="L10" s="50">
        <v>24.83</v>
      </c>
      <c r="M10" s="50">
        <v>97.45</v>
      </c>
      <c r="N10" s="50">
        <v>2.1</v>
      </c>
      <c r="O10" s="50">
        <v>0</v>
      </c>
      <c r="P10" s="50">
        <v>0.46</v>
      </c>
      <c r="Q10" s="50">
        <v>4.67</v>
      </c>
    </row>
    <row r="11" spans="1:21" customFormat="1">
      <c r="A11" s="49">
        <v>45554.125</v>
      </c>
      <c r="B11" s="50">
        <v>9.26</v>
      </c>
      <c r="C11" s="50">
        <v>4.0999999999999996</v>
      </c>
      <c r="D11" s="50">
        <v>14.01</v>
      </c>
      <c r="E11" s="50">
        <v>12.74</v>
      </c>
      <c r="F11" s="50">
        <v>4.68</v>
      </c>
      <c r="G11" s="50">
        <v>44.04</v>
      </c>
      <c r="H11" s="50">
        <v>15.16</v>
      </c>
      <c r="I11" s="50">
        <v>5.62</v>
      </c>
      <c r="J11" s="50">
        <v>0.14000000000000001</v>
      </c>
      <c r="K11" s="50">
        <v>210.52</v>
      </c>
      <c r="L11" s="50">
        <v>24.66</v>
      </c>
      <c r="M11" s="50">
        <v>98.11</v>
      </c>
      <c r="N11" s="50">
        <v>2.1</v>
      </c>
      <c r="O11" s="50">
        <v>0</v>
      </c>
      <c r="P11" s="50">
        <v>0.45</v>
      </c>
      <c r="Q11" s="50">
        <v>4.67</v>
      </c>
    </row>
    <row r="12" spans="1:21" customFormat="1">
      <c r="A12" s="49">
        <v>45554.166666666664</v>
      </c>
      <c r="B12" s="50">
        <v>9.2200000000000006</v>
      </c>
      <c r="C12" s="50">
        <v>4.18</v>
      </c>
      <c r="D12" s="50">
        <v>14</v>
      </c>
      <c r="E12" s="50">
        <v>13.24</v>
      </c>
      <c r="F12" s="50">
        <v>4.0199999999999996</v>
      </c>
      <c r="G12" s="50">
        <v>36.549999999999997</v>
      </c>
      <c r="H12" s="50">
        <v>13.18</v>
      </c>
      <c r="I12" s="50">
        <v>5.73</v>
      </c>
      <c r="J12" s="50">
        <v>0.12</v>
      </c>
      <c r="K12" s="50">
        <v>194.45</v>
      </c>
      <c r="L12" s="50">
        <v>24.62</v>
      </c>
      <c r="M12" s="50">
        <v>97.79</v>
      </c>
      <c r="N12" s="50">
        <v>2.1</v>
      </c>
      <c r="O12" s="50">
        <v>0</v>
      </c>
      <c r="P12" s="50">
        <v>0.42</v>
      </c>
      <c r="Q12" s="50">
        <v>4.67</v>
      </c>
    </row>
    <row r="13" spans="1:21" customFormat="1">
      <c r="A13" s="49">
        <v>45554.208333333336</v>
      </c>
      <c r="B13" s="50">
        <v>9.25</v>
      </c>
      <c r="C13" s="50">
        <v>4.18</v>
      </c>
      <c r="D13" s="50">
        <v>14</v>
      </c>
      <c r="E13" s="50">
        <v>13.74</v>
      </c>
      <c r="F13" s="50">
        <v>3.46</v>
      </c>
      <c r="G13" s="50">
        <v>30.55</v>
      </c>
      <c r="H13" s="50">
        <v>13.18</v>
      </c>
      <c r="I13" s="50">
        <v>5.51</v>
      </c>
      <c r="J13" s="50">
        <v>0.11</v>
      </c>
      <c r="K13" s="50">
        <v>187.98</v>
      </c>
      <c r="L13" s="50">
        <v>24.47</v>
      </c>
      <c r="M13" s="50">
        <v>97.79</v>
      </c>
      <c r="N13" s="50">
        <v>2.1</v>
      </c>
      <c r="O13" s="50">
        <v>0</v>
      </c>
      <c r="P13" s="50">
        <v>0.4</v>
      </c>
      <c r="Q13" s="50">
        <v>4.66</v>
      </c>
    </row>
    <row r="14" spans="1:21" customFormat="1">
      <c r="A14" s="49">
        <v>45554.25</v>
      </c>
      <c r="B14" s="50">
        <v>9.26</v>
      </c>
      <c r="C14" s="50">
        <v>4.12</v>
      </c>
      <c r="D14" s="50">
        <v>14</v>
      </c>
      <c r="E14" s="50">
        <v>14.06</v>
      </c>
      <c r="F14" s="50">
        <v>3.58</v>
      </c>
      <c r="G14" s="50">
        <v>27.52</v>
      </c>
      <c r="H14" s="50">
        <v>9.8699999999999992</v>
      </c>
      <c r="I14" s="50">
        <v>5.09</v>
      </c>
      <c r="J14" s="50">
        <v>0.12</v>
      </c>
      <c r="K14" s="50">
        <v>216.93</v>
      </c>
      <c r="L14" s="50">
        <v>24.3</v>
      </c>
      <c r="M14" s="50">
        <v>97.91</v>
      </c>
      <c r="N14" s="50">
        <v>8</v>
      </c>
      <c r="O14" s="50">
        <v>0</v>
      </c>
      <c r="P14" s="50">
        <v>0.39</v>
      </c>
      <c r="Q14" s="50">
        <v>4.66</v>
      </c>
    </row>
    <row r="15" spans="1:21" customFormat="1">
      <c r="A15" s="49">
        <v>45554.291666666664</v>
      </c>
      <c r="B15" s="50">
        <v>9.26</v>
      </c>
      <c r="C15" s="50">
        <v>4.0999999999999996</v>
      </c>
      <c r="D15" s="50">
        <v>14</v>
      </c>
      <c r="E15" s="50">
        <v>14.63</v>
      </c>
      <c r="F15" s="50">
        <v>3.47</v>
      </c>
      <c r="G15" s="50">
        <v>27.07</v>
      </c>
      <c r="H15" s="50">
        <v>12.14</v>
      </c>
      <c r="I15" s="50">
        <v>5.1100000000000003</v>
      </c>
      <c r="J15" s="50">
        <v>0.12</v>
      </c>
      <c r="K15" s="50">
        <v>221.24</v>
      </c>
      <c r="L15" s="50">
        <v>25.74</v>
      </c>
      <c r="M15" s="50">
        <v>97.64</v>
      </c>
      <c r="N15" s="50">
        <v>44</v>
      </c>
      <c r="O15" s="50">
        <v>0</v>
      </c>
      <c r="P15" s="50">
        <v>0.39</v>
      </c>
      <c r="Q15" s="50">
        <v>4.6500000000000004</v>
      </c>
    </row>
    <row r="16" spans="1:21" customFormat="1">
      <c r="A16" s="49">
        <v>45554.333333333336</v>
      </c>
      <c r="B16" s="50">
        <v>9.26</v>
      </c>
      <c r="C16" s="50">
        <v>4.09</v>
      </c>
      <c r="D16" s="50">
        <v>14</v>
      </c>
      <c r="E16" s="50">
        <v>15</v>
      </c>
      <c r="F16" s="50">
        <v>4.0999999999999996</v>
      </c>
      <c r="G16" s="50">
        <v>34.22</v>
      </c>
      <c r="H16" s="50">
        <v>12.14</v>
      </c>
      <c r="I16" s="50">
        <v>5.32</v>
      </c>
      <c r="J16" s="50">
        <v>0.14000000000000001</v>
      </c>
      <c r="K16" s="50">
        <v>226.71</v>
      </c>
      <c r="L16" s="50">
        <v>27.83</v>
      </c>
      <c r="M16" s="50">
        <v>89.34</v>
      </c>
      <c r="N16" s="50">
        <v>201.9</v>
      </c>
      <c r="O16" s="50">
        <v>0</v>
      </c>
      <c r="P16" s="50">
        <v>0.41</v>
      </c>
      <c r="Q16" s="50">
        <v>4.66</v>
      </c>
    </row>
    <row r="17" spans="1:17" customFormat="1">
      <c r="A17" s="49">
        <v>45554.375</v>
      </c>
      <c r="B17" s="50">
        <v>9.2899999999999991</v>
      </c>
      <c r="C17" s="50">
        <v>4.09</v>
      </c>
      <c r="D17" s="50">
        <v>14.02</v>
      </c>
      <c r="E17" s="50">
        <v>14.4</v>
      </c>
      <c r="F17" s="50">
        <v>6.22</v>
      </c>
      <c r="G17" s="50">
        <v>34.22</v>
      </c>
      <c r="H17" s="50">
        <v>9.31</v>
      </c>
      <c r="I17" s="50">
        <v>5.49</v>
      </c>
      <c r="J17" s="50">
        <v>0.24</v>
      </c>
      <c r="K17" s="50">
        <v>301.54000000000002</v>
      </c>
      <c r="L17" s="50">
        <v>30.09</v>
      </c>
      <c r="M17" s="50">
        <v>74.37</v>
      </c>
      <c r="N17" s="50">
        <v>312.8</v>
      </c>
      <c r="O17" s="50">
        <v>0</v>
      </c>
      <c r="P17" s="50">
        <v>0.52</v>
      </c>
      <c r="Q17" s="50">
        <v>4.66</v>
      </c>
    </row>
    <row r="18" spans="1:17" customFormat="1">
      <c r="A18" s="49">
        <v>45554.416666666664</v>
      </c>
      <c r="B18" s="50">
        <v>9.2799999999999994</v>
      </c>
      <c r="C18" s="50">
        <v>4.0999999999999996</v>
      </c>
      <c r="D18" s="50">
        <v>14.02</v>
      </c>
      <c r="E18" s="50">
        <v>14.52</v>
      </c>
      <c r="F18" s="50">
        <v>5.54</v>
      </c>
      <c r="G18" s="50">
        <v>51.47</v>
      </c>
      <c r="H18" s="50">
        <v>12.83</v>
      </c>
      <c r="I18" s="50">
        <v>6.02</v>
      </c>
      <c r="J18" s="50">
        <v>0.61</v>
      </c>
      <c r="K18" s="50">
        <v>291.19</v>
      </c>
      <c r="L18" s="50">
        <v>31.44</v>
      </c>
      <c r="M18" s="50">
        <v>65.92</v>
      </c>
      <c r="N18" s="50">
        <v>385.4</v>
      </c>
      <c r="O18" s="50">
        <v>0</v>
      </c>
      <c r="P18" s="50">
        <v>0.6</v>
      </c>
      <c r="Q18" s="50">
        <v>4.63</v>
      </c>
    </row>
    <row r="19" spans="1:17" customFormat="1">
      <c r="A19" s="49">
        <v>45554.458333333336</v>
      </c>
      <c r="B19" s="50">
        <v>9.32</v>
      </c>
      <c r="C19" s="50">
        <v>4.0999999999999996</v>
      </c>
      <c r="D19" s="50">
        <v>14.05</v>
      </c>
      <c r="E19" s="50">
        <v>12.64</v>
      </c>
      <c r="F19" s="50">
        <v>7.62</v>
      </c>
      <c r="G19" s="50">
        <v>55.81</v>
      </c>
      <c r="H19" s="50">
        <v>12.83</v>
      </c>
      <c r="I19" s="50">
        <v>6.56</v>
      </c>
      <c r="J19" s="50">
        <v>0.44</v>
      </c>
      <c r="K19" s="50">
        <v>261.66000000000003</v>
      </c>
      <c r="L19" s="50">
        <v>31.79</v>
      </c>
      <c r="M19" s="50">
        <v>65.05</v>
      </c>
      <c r="N19" s="50">
        <v>258.5</v>
      </c>
      <c r="O19" s="50">
        <v>0</v>
      </c>
      <c r="P19" s="50">
        <v>0.63</v>
      </c>
      <c r="Q19" s="50">
        <v>4.6399999999999997</v>
      </c>
    </row>
    <row r="20" spans="1:17" customFormat="1">
      <c r="A20" s="49">
        <v>45554.5</v>
      </c>
      <c r="B20" s="50">
        <v>9.2899999999999991</v>
      </c>
      <c r="C20" s="50">
        <v>4.1100000000000003</v>
      </c>
      <c r="D20" s="50">
        <v>14.04</v>
      </c>
      <c r="E20" s="50">
        <v>13.5</v>
      </c>
      <c r="F20" s="50">
        <v>9.56</v>
      </c>
      <c r="G20" s="50">
        <v>61.15</v>
      </c>
      <c r="H20" s="50">
        <v>27.12</v>
      </c>
      <c r="I20" s="50">
        <v>6.74</v>
      </c>
      <c r="J20" s="50">
        <v>0.2</v>
      </c>
      <c r="K20" s="50">
        <v>340.5</v>
      </c>
      <c r="L20" s="50">
        <v>31.77</v>
      </c>
      <c r="M20" s="50">
        <v>61.61</v>
      </c>
      <c r="N20" s="50">
        <v>465.2</v>
      </c>
      <c r="O20" s="50">
        <v>0</v>
      </c>
      <c r="P20" s="50">
        <v>0.65</v>
      </c>
      <c r="Q20" s="50">
        <v>4.6399999999999997</v>
      </c>
    </row>
    <row r="21" spans="1:17" customFormat="1">
      <c r="A21" s="49">
        <v>45554.541666666664</v>
      </c>
      <c r="B21" s="50">
        <v>9.3800000000000008</v>
      </c>
      <c r="C21" s="50">
        <v>4.08</v>
      </c>
      <c r="D21" s="50">
        <v>14.09</v>
      </c>
      <c r="E21" s="50">
        <v>19.11</v>
      </c>
      <c r="F21" s="50">
        <v>14.59</v>
      </c>
      <c r="G21" s="50">
        <v>92.39</v>
      </c>
      <c r="H21" s="50">
        <v>31.21</v>
      </c>
      <c r="I21" s="50">
        <v>6.79</v>
      </c>
      <c r="J21" s="50">
        <v>0.67</v>
      </c>
      <c r="K21" s="50">
        <v>66.67</v>
      </c>
      <c r="L21" s="50">
        <v>32.14</v>
      </c>
      <c r="M21" s="50">
        <v>62.51</v>
      </c>
      <c r="N21" s="50">
        <v>386.3</v>
      </c>
      <c r="O21" s="50">
        <v>0</v>
      </c>
      <c r="P21" s="50">
        <v>0.62</v>
      </c>
      <c r="Q21" s="50">
        <v>4.67</v>
      </c>
    </row>
    <row r="22" spans="1:17" customFormat="1">
      <c r="A22" s="49">
        <v>45554.583333333336</v>
      </c>
      <c r="B22" s="50">
        <v>9.25</v>
      </c>
      <c r="C22" s="50">
        <v>4.2</v>
      </c>
      <c r="D22" s="50">
        <v>14</v>
      </c>
      <c r="E22" s="50">
        <v>22.91</v>
      </c>
      <c r="F22" s="50">
        <v>14.1</v>
      </c>
      <c r="G22" s="50">
        <v>101.93</v>
      </c>
      <c r="H22" s="50">
        <v>37.729999999999997</v>
      </c>
      <c r="I22" s="50">
        <v>6.3</v>
      </c>
      <c r="J22" s="50">
        <v>0.69</v>
      </c>
      <c r="K22" s="50">
        <v>52</v>
      </c>
      <c r="L22" s="50">
        <v>32.119999999999997</v>
      </c>
      <c r="M22" s="50">
        <v>59.74</v>
      </c>
      <c r="N22" s="50">
        <v>269.10000000000002</v>
      </c>
      <c r="O22" s="50">
        <v>0</v>
      </c>
      <c r="P22" s="50">
        <v>0.6</v>
      </c>
      <c r="Q22" s="50">
        <v>4.67</v>
      </c>
    </row>
    <row r="23" spans="1:17" customFormat="1">
      <c r="A23" s="49">
        <v>45554.625</v>
      </c>
      <c r="B23" s="50">
        <v>9.19</v>
      </c>
      <c r="C23" s="50">
        <v>4.22</v>
      </c>
      <c r="D23" s="50">
        <v>14</v>
      </c>
      <c r="E23" s="50">
        <v>19.29</v>
      </c>
      <c r="F23" s="50">
        <v>11.48</v>
      </c>
      <c r="G23" s="50">
        <v>101.93</v>
      </c>
      <c r="H23" s="50">
        <v>37.729999999999997</v>
      </c>
      <c r="I23" s="50">
        <v>6.07</v>
      </c>
      <c r="J23" s="50">
        <v>0.69</v>
      </c>
      <c r="K23" s="50">
        <v>56.12</v>
      </c>
      <c r="L23" s="50">
        <v>31.77</v>
      </c>
      <c r="M23" s="50">
        <v>59.24</v>
      </c>
      <c r="N23" s="50">
        <v>229.6</v>
      </c>
      <c r="O23" s="50">
        <v>0</v>
      </c>
      <c r="P23" s="50">
        <v>0.54</v>
      </c>
      <c r="Q23" s="50">
        <v>4.68</v>
      </c>
    </row>
    <row r="24" spans="1:17" customFormat="1">
      <c r="A24" s="49">
        <v>45554.666666666664</v>
      </c>
      <c r="B24" s="50">
        <v>9.19</v>
      </c>
      <c r="C24" s="50">
        <v>4.2</v>
      </c>
      <c r="D24" s="50">
        <v>14</v>
      </c>
      <c r="E24" s="50">
        <v>15.5</v>
      </c>
      <c r="F24" s="50">
        <v>11.74</v>
      </c>
      <c r="G24" s="50">
        <v>89.01</v>
      </c>
      <c r="H24" s="50">
        <v>30.75</v>
      </c>
      <c r="I24" s="50">
        <v>5.94</v>
      </c>
      <c r="J24" s="50">
        <v>0.84</v>
      </c>
      <c r="K24" s="50">
        <v>57.16</v>
      </c>
      <c r="L24" s="50">
        <v>31.81</v>
      </c>
      <c r="M24" s="50">
        <v>57.64</v>
      </c>
      <c r="N24" s="50">
        <v>254.9</v>
      </c>
      <c r="O24" s="50">
        <v>0</v>
      </c>
      <c r="P24" s="50">
        <v>0.52</v>
      </c>
      <c r="Q24" s="50">
        <v>4.67</v>
      </c>
    </row>
    <row r="25" spans="1:17" customFormat="1">
      <c r="A25" s="49">
        <v>45554.708333333336</v>
      </c>
      <c r="B25" s="50">
        <v>9.18</v>
      </c>
      <c r="C25" s="50">
        <v>4.2</v>
      </c>
      <c r="D25" s="50">
        <v>14</v>
      </c>
      <c r="E25" s="50">
        <v>15.19</v>
      </c>
      <c r="F25" s="50">
        <v>11.89</v>
      </c>
      <c r="G25" s="50">
        <v>68.56</v>
      </c>
      <c r="H25" s="50">
        <v>26.27</v>
      </c>
      <c r="I25" s="50">
        <v>6.29</v>
      </c>
      <c r="J25" s="50">
        <v>0.95</v>
      </c>
      <c r="K25" s="50">
        <v>60.15</v>
      </c>
      <c r="L25" s="50">
        <v>31.24</v>
      </c>
      <c r="M25" s="50">
        <v>60.14</v>
      </c>
      <c r="N25" s="50">
        <v>64.8</v>
      </c>
      <c r="O25" s="50">
        <v>0</v>
      </c>
      <c r="P25" s="50">
        <v>0.53</v>
      </c>
      <c r="Q25" s="50">
        <v>4.67</v>
      </c>
    </row>
    <row r="26" spans="1:17" customFormat="1">
      <c r="A26" s="49">
        <v>45554.75</v>
      </c>
      <c r="B26" s="50">
        <v>9.23</v>
      </c>
      <c r="C26" s="50">
        <v>4.2</v>
      </c>
      <c r="D26" s="50">
        <v>14</v>
      </c>
      <c r="E26" s="50">
        <v>13.94</v>
      </c>
      <c r="F26" s="50">
        <v>12.23</v>
      </c>
      <c r="G26" s="50">
        <v>69.209999999999994</v>
      </c>
      <c r="H26" s="50">
        <v>26.27</v>
      </c>
      <c r="I26" s="50">
        <v>6.79</v>
      </c>
      <c r="J26" s="50">
        <v>0.59</v>
      </c>
      <c r="K26" s="50">
        <v>60.76</v>
      </c>
      <c r="L26" s="50">
        <v>30.89</v>
      </c>
      <c r="M26" s="50">
        <v>63.93</v>
      </c>
      <c r="N26" s="50">
        <v>30</v>
      </c>
      <c r="O26" s="50">
        <v>0</v>
      </c>
      <c r="P26" s="50">
        <v>0.6</v>
      </c>
      <c r="Q26" s="50">
        <v>4.6500000000000004</v>
      </c>
    </row>
    <row r="27" spans="1:17" customFormat="1">
      <c r="A27" s="49">
        <v>45554.791666666664</v>
      </c>
      <c r="B27" s="50">
        <v>9.27</v>
      </c>
      <c r="C27" s="50">
        <v>4.1399999999999997</v>
      </c>
      <c r="D27" s="50">
        <v>14.01</v>
      </c>
      <c r="E27" s="50">
        <v>9.41</v>
      </c>
      <c r="F27" s="50">
        <v>8.07</v>
      </c>
      <c r="G27" s="50">
        <v>80.83</v>
      </c>
      <c r="H27" s="50">
        <v>24.17</v>
      </c>
      <c r="I27" s="50">
        <v>6.39</v>
      </c>
      <c r="J27" s="50">
        <v>0.57999999999999996</v>
      </c>
      <c r="K27" s="50">
        <v>86.93</v>
      </c>
      <c r="L27" s="50">
        <v>29.78</v>
      </c>
      <c r="M27" s="50">
        <v>72.19</v>
      </c>
      <c r="N27" s="50">
        <v>2.5</v>
      </c>
      <c r="O27" s="50">
        <v>0</v>
      </c>
      <c r="P27" s="50">
        <v>0.67</v>
      </c>
      <c r="Q27" s="50">
        <v>4.6500000000000004</v>
      </c>
    </row>
    <row r="28" spans="1:17" customFormat="1">
      <c r="A28" s="49">
        <v>45554.833333333336</v>
      </c>
      <c r="B28" s="50">
        <v>9.25</v>
      </c>
      <c r="C28" s="50">
        <v>4.1399999999999997</v>
      </c>
      <c r="D28" s="50">
        <v>14</v>
      </c>
      <c r="E28" s="50">
        <v>9.44</v>
      </c>
      <c r="F28" s="50">
        <v>6.14</v>
      </c>
      <c r="G28" s="50">
        <v>80.83</v>
      </c>
      <c r="H28" s="50">
        <v>21.36</v>
      </c>
      <c r="I28" s="50">
        <v>6.92</v>
      </c>
      <c r="J28" s="50">
        <v>0.2</v>
      </c>
      <c r="K28" s="50">
        <v>192.87</v>
      </c>
      <c r="L28" s="50">
        <v>28.36</v>
      </c>
      <c r="M28" s="50">
        <v>84.74</v>
      </c>
      <c r="N28" s="50">
        <v>2.6</v>
      </c>
      <c r="O28" s="50">
        <v>0</v>
      </c>
      <c r="P28" s="50">
        <v>0.63</v>
      </c>
      <c r="Q28" s="50">
        <v>4.6399999999999997</v>
      </c>
    </row>
    <row r="29" spans="1:17" customFormat="1">
      <c r="A29" s="49">
        <v>45554.875</v>
      </c>
      <c r="B29" s="50">
        <v>9.25</v>
      </c>
      <c r="C29" s="50">
        <v>4.0999999999999996</v>
      </c>
      <c r="D29" s="50">
        <v>14</v>
      </c>
      <c r="E29" s="50">
        <v>9.1300000000000008</v>
      </c>
      <c r="F29" s="50">
        <v>4.6100000000000003</v>
      </c>
      <c r="G29" s="50">
        <v>80.47</v>
      </c>
      <c r="H29" s="50">
        <v>21.36</v>
      </c>
      <c r="I29" s="50">
        <v>7.09</v>
      </c>
      <c r="J29" s="50">
        <v>0.18</v>
      </c>
      <c r="K29" s="50">
        <v>204.95</v>
      </c>
      <c r="L29" s="50">
        <v>27.25</v>
      </c>
      <c r="M29" s="50">
        <v>88.62</v>
      </c>
      <c r="N29" s="50">
        <v>2.2999999999999998</v>
      </c>
      <c r="O29" s="50">
        <v>0</v>
      </c>
      <c r="P29" s="50">
        <v>0.63</v>
      </c>
      <c r="Q29" s="50">
        <v>4.6500000000000004</v>
      </c>
    </row>
    <row r="30" spans="1:17" customFormat="1">
      <c r="A30" s="49">
        <v>45554.916666666664</v>
      </c>
      <c r="B30" s="50">
        <v>9.3000000000000007</v>
      </c>
      <c r="C30" s="50">
        <v>4.09</v>
      </c>
      <c r="D30" s="50">
        <v>14.03</v>
      </c>
      <c r="E30" s="50">
        <v>8.9600000000000009</v>
      </c>
      <c r="F30" s="50">
        <v>7.62</v>
      </c>
      <c r="G30" s="50">
        <v>76.92</v>
      </c>
      <c r="H30" s="50">
        <v>19.73</v>
      </c>
      <c r="I30" s="50">
        <v>7.37</v>
      </c>
      <c r="J30" s="50">
        <v>0.21</v>
      </c>
      <c r="K30" s="50">
        <v>195.58</v>
      </c>
      <c r="L30" s="50">
        <v>27.06</v>
      </c>
      <c r="M30" s="50">
        <v>90.43</v>
      </c>
      <c r="N30" s="50">
        <v>2.1</v>
      </c>
      <c r="O30" s="50">
        <v>0</v>
      </c>
      <c r="P30" s="50">
        <v>0.64</v>
      </c>
      <c r="Q30" s="50">
        <v>4.67</v>
      </c>
    </row>
    <row r="31" spans="1:17" customFormat="1">
      <c r="A31" s="49">
        <v>45554.958333333336</v>
      </c>
      <c r="B31" s="50">
        <v>9.24</v>
      </c>
      <c r="C31" s="50">
        <v>4.1900000000000004</v>
      </c>
      <c r="D31" s="50">
        <v>14</v>
      </c>
      <c r="E31" s="50">
        <v>9.57</v>
      </c>
      <c r="F31" s="50">
        <v>7.84</v>
      </c>
      <c r="G31" s="50">
        <v>73.53</v>
      </c>
      <c r="H31" s="50">
        <v>22</v>
      </c>
      <c r="I31" s="50">
        <v>7.43</v>
      </c>
      <c r="J31" s="50">
        <v>0.16</v>
      </c>
      <c r="K31" s="50">
        <v>207.54</v>
      </c>
      <c r="L31" s="50">
        <v>26.68</v>
      </c>
      <c r="M31" s="50">
        <v>94.23</v>
      </c>
      <c r="N31" s="50">
        <v>2.1</v>
      </c>
      <c r="O31" s="50">
        <v>0</v>
      </c>
      <c r="P31" s="50">
        <v>0.64</v>
      </c>
      <c r="Q31" s="50">
        <v>4.67</v>
      </c>
    </row>
    <row r="32" spans="1:17" customFormat="1">
      <c r="A32" s="49">
        <v>45555</v>
      </c>
      <c r="B32" s="50">
        <v>9.18</v>
      </c>
      <c r="C32" s="50">
        <v>4.22</v>
      </c>
      <c r="D32" s="50">
        <v>14</v>
      </c>
      <c r="E32" s="50">
        <v>10.14</v>
      </c>
      <c r="F32" s="50">
        <v>6.2</v>
      </c>
      <c r="G32" s="50">
        <v>74.33</v>
      </c>
      <c r="H32" s="50">
        <v>26.47</v>
      </c>
      <c r="I32" s="50">
        <v>7.38</v>
      </c>
      <c r="J32" s="50">
        <v>0.14000000000000001</v>
      </c>
      <c r="K32" s="50">
        <v>201.13</v>
      </c>
      <c r="L32" s="50">
        <v>26.3</v>
      </c>
      <c r="M32" s="50">
        <v>95.09</v>
      </c>
      <c r="N32" s="50">
        <v>2.1</v>
      </c>
      <c r="O32" s="50">
        <v>0</v>
      </c>
      <c r="P32" s="50">
        <v>0.65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9.18</v>
      </c>
      <c r="C34" s="40">
        <f t="shared" si="0"/>
        <v>4.07</v>
      </c>
      <c r="D34" s="40">
        <f t="shared" si="0"/>
        <v>14</v>
      </c>
      <c r="E34" s="40">
        <f t="shared" si="0"/>
        <v>8.9600000000000009</v>
      </c>
      <c r="F34" s="40">
        <f t="shared" si="0"/>
        <v>3.46</v>
      </c>
      <c r="G34" s="40">
        <f t="shared" si="0"/>
        <v>27.07</v>
      </c>
      <c r="H34" s="40">
        <f t="shared" si="0"/>
        <v>9.31</v>
      </c>
      <c r="I34" s="40">
        <f t="shared" si="0"/>
        <v>5.09</v>
      </c>
      <c r="J34" s="40">
        <f t="shared" si="0"/>
        <v>0.11</v>
      </c>
      <c r="K34" s="40">
        <f t="shared" si="0"/>
        <v>52</v>
      </c>
      <c r="L34" s="40">
        <f t="shared" si="0"/>
        <v>24.3</v>
      </c>
      <c r="M34" s="40">
        <f t="shared" si="0"/>
        <v>57.64</v>
      </c>
      <c r="N34" s="40">
        <f t="shared" si="0"/>
        <v>2.1</v>
      </c>
      <c r="O34" s="40">
        <f t="shared" si="0"/>
        <v>0</v>
      </c>
      <c r="P34" s="40">
        <f t="shared" si="0"/>
        <v>0.39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9.3800000000000008</v>
      </c>
      <c r="C35" s="33">
        <f t="shared" si="1"/>
        <v>4.22</v>
      </c>
      <c r="D35" s="33">
        <f t="shared" si="1"/>
        <v>14.09</v>
      </c>
      <c r="E35" s="33">
        <f t="shared" si="1"/>
        <v>22.91</v>
      </c>
      <c r="F35" s="33">
        <f t="shared" si="1"/>
        <v>14.59</v>
      </c>
      <c r="G35" s="33">
        <f t="shared" si="1"/>
        <v>101.93</v>
      </c>
      <c r="H35" s="33">
        <f t="shared" si="1"/>
        <v>37.729999999999997</v>
      </c>
      <c r="I35" s="33">
        <f t="shared" si="1"/>
        <v>7.43</v>
      </c>
      <c r="J35" s="33">
        <f t="shared" si="1"/>
        <v>0.95</v>
      </c>
      <c r="K35" s="33">
        <f t="shared" si="1"/>
        <v>340.5</v>
      </c>
      <c r="L35" s="33">
        <f t="shared" si="1"/>
        <v>32.14</v>
      </c>
      <c r="M35" s="33">
        <f t="shared" si="1"/>
        <v>98.11</v>
      </c>
      <c r="N35" s="33">
        <f t="shared" si="1"/>
        <v>465.2</v>
      </c>
      <c r="O35" s="33">
        <f t="shared" si="1"/>
        <v>0</v>
      </c>
      <c r="P35" s="33">
        <f t="shared" si="1"/>
        <v>0.67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9.2587500000000009</v>
      </c>
      <c r="C36" s="40">
        <f t="shared" si="2"/>
        <v>4.1370833333333339</v>
      </c>
      <c r="D36" s="40">
        <f t="shared" si="2"/>
        <v>14.014166666666666</v>
      </c>
      <c r="E36" s="40">
        <f t="shared" si="2"/>
        <v>13.353333333333332</v>
      </c>
      <c r="F36" s="40">
        <f t="shared" si="2"/>
        <v>7.3945833333333324</v>
      </c>
      <c r="G36" s="40">
        <f t="shared" si="2"/>
        <v>62.155000000000001</v>
      </c>
      <c r="H36" s="40">
        <f t="shared" si="2"/>
        <v>20.507083333333338</v>
      </c>
      <c r="I36" s="40">
        <f t="shared" si="2"/>
        <v>6.2591666666666681</v>
      </c>
      <c r="J36" s="40">
        <f t="shared" si="2"/>
        <v>0.35291666666666671</v>
      </c>
      <c r="K36" s="40">
        <f t="shared" si="2"/>
        <v>180.37041666666664</v>
      </c>
      <c r="L36" s="40">
        <f t="shared" si="2"/>
        <v>28.413333333333327</v>
      </c>
      <c r="M36" s="40">
        <f t="shared" si="2"/>
        <v>80.361666666666679</v>
      </c>
      <c r="N36" s="40">
        <f t="shared" si="2"/>
        <v>122.27916666666665</v>
      </c>
      <c r="O36" s="40">
        <f t="shared" si="2"/>
        <v>0</v>
      </c>
      <c r="P36" s="40">
        <f t="shared" si="2"/>
        <v>0.54458333333333342</v>
      </c>
      <c r="Q36" s="40">
        <f t="shared" si="2"/>
        <v>4.6587500000000004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4.7485695786708686E-2</v>
      </c>
      <c r="C37" s="40">
        <f t="shared" ref="C37:Q37" si="3">STDEV(C9:C32)</f>
        <v>5.2293416882771823E-2</v>
      </c>
      <c r="D37" s="40">
        <f t="shared" si="3"/>
        <v>2.2634461349449114E-2</v>
      </c>
      <c r="E37" s="40">
        <f t="shared" si="3"/>
        <v>3.5857758443323222</v>
      </c>
      <c r="F37" s="40">
        <f t="shared" si="3"/>
        <v>3.5536337546684318</v>
      </c>
      <c r="G37" s="40">
        <f t="shared" si="3"/>
        <v>23.649554090841807</v>
      </c>
      <c r="H37" s="40">
        <f t="shared" si="3"/>
        <v>8.5386316382440874</v>
      </c>
      <c r="I37" s="40">
        <f t="shared" si="3"/>
        <v>0.70814464665045229</v>
      </c>
      <c r="J37" s="40">
        <f t="shared" si="3"/>
        <v>0.27014455336013143</v>
      </c>
      <c r="K37" s="40">
        <f t="shared" si="3"/>
        <v>85.448326031338866</v>
      </c>
      <c r="L37" s="40">
        <f t="shared" si="3"/>
        <v>2.9839012494831274</v>
      </c>
      <c r="M37" s="40">
        <f t="shared" si="3"/>
        <v>16.239629645238008</v>
      </c>
      <c r="N37" s="40">
        <f t="shared" si="3"/>
        <v>155.75992111375226</v>
      </c>
      <c r="O37" s="40">
        <f t="shared" si="3"/>
        <v>0</v>
      </c>
      <c r="P37" s="40">
        <f t="shared" si="3"/>
        <v>9.7131876586810065E-2</v>
      </c>
      <c r="Q37" s="40">
        <f t="shared" si="3"/>
        <v>1.2958965337120671E-2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45555.041666666664</v>
      </c>
      <c r="B9" s="50">
        <v>9.17</v>
      </c>
      <c r="C9" s="50">
        <v>4.24</v>
      </c>
      <c r="D9" s="50">
        <v>14</v>
      </c>
      <c r="E9" s="50">
        <v>10.42</v>
      </c>
      <c r="F9" s="50">
        <v>5.66</v>
      </c>
      <c r="G9" s="50">
        <v>74.33</v>
      </c>
      <c r="H9" s="50">
        <v>26.47</v>
      </c>
      <c r="I9" s="50">
        <v>7.4</v>
      </c>
      <c r="J9" s="50">
        <v>0.19</v>
      </c>
      <c r="K9" s="50">
        <v>195.37</v>
      </c>
      <c r="L9" s="50">
        <v>26.24</v>
      </c>
      <c r="M9" s="50">
        <v>95.43</v>
      </c>
      <c r="N9" s="50">
        <v>2.1</v>
      </c>
      <c r="O9" s="50">
        <v>0</v>
      </c>
      <c r="P9" s="50">
        <v>0.67</v>
      </c>
      <c r="Q9" s="50">
        <v>4.66</v>
      </c>
    </row>
    <row r="10" spans="1:21" customFormat="1">
      <c r="A10" s="49">
        <v>45555.083333333336</v>
      </c>
      <c r="B10" s="50">
        <v>9.16</v>
      </c>
      <c r="C10" s="50">
        <v>4.24</v>
      </c>
      <c r="D10" s="50">
        <v>14</v>
      </c>
      <c r="E10" s="50">
        <v>10.87</v>
      </c>
      <c r="F10" s="50">
        <v>5.0599999999999996</v>
      </c>
      <c r="G10" s="50">
        <v>71.39</v>
      </c>
      <c r="H10" s="50">
        <v>27.77</v>
      </c>
      <c r="I10" s="50">
        <v>7.44</v>
      </c>
      <c r="J10" s="50">
        <v>0.13</v>
      </c>
      <c r="K10" s="50">
        <v>196.29</v>
      </c>
      <c r="L10" s="50">
        <v>26.09</v>
      </c>
      <c r="M10" s="50">
        <v>96.74</v>
      </c>
      <c r="N10" s="50">
        <v>2.1</v>
      </c>
      <c r="O10" s="50">
        <v>0</v>
      </c>
      <c r="P10" s="50">
        <v>0.68</v>
      </c>
      <c r="Q10" s="50">
        <v>4.66</v>
      </c>
    </row>
    <row r="11" spans="1:21" customFormat="1">
      <c r="A11" s="49">
        <v>45555.125</v>
      </c>
      <c r="B11" s="50">
        <v>9.19</v>
      </c>
      <c r="C11" s="50">
        <v>4.24</v>
      </c>
      <c r="D11" s="50">
        <v>14</v>
      </c>
      <c r="E11" s="50">
        <v>10.44</v>
      </c>
      <c r="F11" s="50">
        <v>4.42</v>
      </c>
      <c r="G11" s="50">
        <v>63.9</v>
      </c>
      <c r="H11" s="50">
        <v>27.77</v>
      </c>
      <c r="I11" s="50">
        <v>7.46</v>
      </c>
      <c r="J11" s="50">
        <v>0.1</v>
      </c>
      <c r="K11" s="50">
        <v>207.36</v>
      </c>
      <c r="L11" s="50">
        <v>25.69</v>
      </c>
      <c r="M11" s="50">
        <v>97.37</v>
      </c>
      <c r="N11" s="50">
        <v>2.1</v>
      </c>
      <c r="O11" s="50">
        <v>0</v>
      </c>
      <c r="P11" s="50">
        <v>0.7</v>
      </c>
      <c r="Q11" s="50">
        <v>4.66</v>
      </c>
    </row>
    <row r="12" spans="1:21" customFormat="1">
      <c r="A12" s="49">
        <v>45555.166666666664</v>
      </c>
      <c r="B12" s="50">
        <v>9.18</v>
      </c>
      <c r="C12" s="50">
        <v>4.2300000000000004</v>
      </c>
      <c r="D12" s="50">
        <v>14</v>
      </c>
      <c r="E12" s="50">
        <v>9.35</v>
      </c>
      <c r="F12" s="50">
        <v>4.91</v>
      </c>
      <c r="G12" s="50">
        <v>62.75</v>
      </c>
      <c r="H12" s="50">
        <v>30.97</v>
      </c>
      <c r="I12" s="50">
        <v>7.69</v>
      </c>
      <c r="J12" s="50">
        <v>0.17</v>
      </c>
      <c r="K12" s="50">
        <v>203.93</v>
      </c>
      <c r="L12" s="50">
        <v>25.51</v>
      </c>
      <c r="M12" s="50">
        <v>98.42</v>
      </c>
      <c r="N12" s="50">
        <v>2.1</v>
      </c>
      <c r="O12" s="50">
        <v>0</v>
      </c>
      <c r="P12" s="50">
        <v>0.7</v>
      </c>
      <c r="Q12" s="50">
        <v>4.66</v>
      </c>
    </row>
    <row r="13" spans="1:21" customFormat="1">
      <c r="A13" s="49">
        <v>45555.208333333336</v>
      </c>
      <c r="B13" s="50">
        <v>9.17</v>
      </c>
      <c r="C13" s="50">
        <v>4.2300000000000004</v>
      </c>
      <c r="D13" s="50">
        <v>14</v>
      </c>
      <c r="E13" s="50">
        <v>9</v>
      </c>
      <c r="F13" s="50">
        <v>4.6900000000000004</v>
      </c>
      <c r="G13" s="50">
        <v>59.22</v>
      </c>
      <c r="H13" s="50">
        <v>30.97</v>
      </c>
      <c r="I13" s="50">
        <v>7.71</v>
      </c>
      <c r="J13" s="50">
        <v>0.14000000000000001</v>
      </c>
      <c r="K13" s="50">
        <v>209.92</v>
      </c>
      <c r="L13" s="50">
        <v>25.29</v>
      </c>
      <c r="M13" s="50">
        <v>98.73</v>
      </c>
      <c r="N13" s="50">
        <v>2.1</v>
      </c>
      <c r="O13" s="50">
        <v>0</v>
      </c>
      <c r="P13" s="50">
        <v>0.7</v>
      </c>
      <c r="Q13" s="50">
        <v>4.6500000000000004</v>
      </c>
    </row>
    <row r="14" spans="1:21" customFormat="1">
      <c r="A14" s="49">
        <v>45555.25</v>
      </c>
      <c r="B14" s="50">
        <v>9.17</v>
      </c>
      <c r="C14" s="50">
        <v>4.24</v>
      </c>
      <c r="D14" s="50">
        <v>14</v>
      </c>
      <c r="E14" s="50">
        <v>8.5299999999999994</v>
      </c>
      <c r="F14" s="50">
        <v>4.59</v>
      </c>
      <c r="G14" s="50">
        <v>55.78</v>
      </c>
      <c r="H14" s="50">
        <v>26.61</v>
      </c>
      <c r="I14" s="50">
        <v>7.58</v>
      </c>
      <c r="J14" s="50">
        <v>0.12</v>
      </c>
      <c r="K14" s="50">
        <v>207.85</v>
      </c>
      <c r="L14" s="50">
        <v>25.25</v>
      </c>
      <c r="M14" s="50">
        <v>99.17</v>
      </c>
      <c r="N14" s="50">
        <v>7.6</v>
      </c>
      <c r="O14" s="50">
        <v>0</v>
      </c>
      <c r="P14" s="50">
        <v>0.69</v>
      </c>
      <c r="Q14" s="50">
        <v>4.6500000000000004</v>
      </c>
    </row>
    <row r="15" spans="1:21" customFormat="1">
      <c r="A15" s="49">
        <v>45555.291666666664</v>
      </c>
      <c r="B15" s="50">
        <v>9.18</v>
      </c>
      <c r="C15" s="50">
        <v>4.2300000000000004</v>
      </c>
      <c r="D15" s="50">
        <v>14</v>
      </c>
      <c r="E15" s="50">
        <v>8.32</v>
      </c>
      <c r="F15" s="50">
        <v>5.44</v>
      </c>
      <c r="G15" s="50">
        <v>55.53</v>
      </c>
      <c r="H15" s="50">
        <v>24.02</v>
      </c>
      <c r="I15" s="50">
        <v>7.95</v>
      </c>
      <c r="J15" s="50">
        <v>0.15</v>
      </c>
      <c r="K15" s="50">
        <v>215.35</v>
      </c>
      <c r="L15" s="50">
        <v>26.79</v>
      </c>
      <c r="M15" s="50">
        <v>99.13</v>
      </c>
      <c r="N15" s="50">
        <v>46.7</v>
      </c>
      <c r="O15" s="50">
        <v>0</v>
      </c>
      <c r="P15" s="50">
        <v>0.7</v>
      </c>
      <c r="Q15" s="50">
        <v>4.6500000000000004</v>
      </c>
    </row>
    <row r="16" spans="1:21" customFormat="1">
      <c r="A16" s="49">
        <v>45555.333333333336</v>
      </c>
      <c r="B16" s="50">
        <v>9.18</v>
      </c>
      <c r="C16" s="50">
        <v>4.26</v>
      </c>
      <c r="D16" s="50">
        <v>14</v>
      </c>
      <c r="E16" s="50">
        <v>11.3</v>
      </c>
      <c r="F16" s="50">
        <v>8.77</v>
      </c>
      <c r="G16" s="50">
        <v>59.04</v>
      </c>
      <c r="H16" s="50">
        <v>27.8</v>
      </c>
      <c r="I16" s="50">
        <v>8.2100000000000009</v>
      </c>
      <c r="J16" s="50">
        <v>0.23</v>
      </c>
      <c r="K16" s="50">
        <v>238.38</v>
      </c>
      <c r="L16" s="50">
        <v>29.12</v>
      </c>
      <c r="M16" s="50">
        <v>90.47</v>
      </c>
      <c r="N16" s="50">
        <v>175.3</v>
      </c>
      <c r="O16" s="50">
        <v>0</v>
      </c>
      <c r="P16" s="50">
        <v>0.72</v>
      </c>
      <c r="Q16" s="50">
        <v>4.66</v>
      </c>
    </row>
    <row r="17" spans="1:17" customFormat="1">
      <c r="A17" s="49">
        <v>45555.375</v>
      </c>
      <c r="B17" s="50">
        <v>9.2100000000000009</v>
      </c>
      <c r="C17" s="50">
        <v>4.22</v>
      </c>
      <c r="D17" s="50">
        <v>14</v>
      </c>
      <c r="E17" s="50">
        <v>11.46</v>
      </c>
      <c r="F17" s="50">
        <v>10.19</v>
      </c>
      <c r="G17" s="50">
        <v>74.53</v>
      </c>
      <c r="H17" s="50">
        <v>33.18</v>
      </c>
      <c r="I17" s="50">
        <v>8.25</v>
      </c>
      <c r="J17" s="50">
        <v>0.46</v>
      </c>
      <c r="K17" s="50">
        <v>309.02999999999997</v>
      </c>
      <c r="L17" s="50">
        <v>31.08</v>
      </c>
      <c r="M17" s="50">
        <v>75.650000000000006</v>
      </c>
      <c r="N17" s="50">
        <v>288.5</v>
      </c>
      <c r="O17" s="50">
        <v>0</v>
      </c>
      <c r="P17" s="50">
        <v>0.71</v>
      </c>
      <c r="Q17" s="50">
        <v>4.67</v>
      </c>
    </row>
    <row r="18" spans="1:17" customFormat="1">
      <c r="A18" s="49">
        <v>45555.416666666664</v>
      </c>
      <c r="B18" s="50">
        <v>9.19</v>
      </c>
      <c r="C18" s="50">
        <v>4.21</v>
      </c>
      <c r="D18" s="50">
        <v>14</v>
      </c>
      <c r="E18" s="50">
        <v>13.99</v>
      </c>
      <c r="F18" s="50">
        <v>12.3</v>
      </c>
      <c r="G18" s="50">
        <v>102.78</v>
      </c>
      <c r="H18" s="50">
        <v>39.35</v>
      </c>
      <c r="I18" s="50">
        <v>7.83</v>
      </c>
      <c r="J18" s="50">
        <v>0.37</v>
      </c>
      <c r="K18" s="50">
        <v>309.3</v>
      </c>
      <c r="L18" s="50">
        <v>32.35</v>
      </c>
      <c r="M18" s="50">
        <v>68.41</v>
      </c>
      <c r="N18" s="50">
        <v>413.3</v>
      </c>
      <c r="O18" s="50">
        <v>0</v>
      </c>
      <c r="P18" s="50">
        <v>0.71</v>
      </c>
      <c r="Q18" s="50">
        <v>4.6900000000000004</v>
      </c>
    </row>
    <row r="19" spans="1:17" customFormat="1">
      <c r="A19" s="49">
        <v>45555.458333333336</v>
      </c>
      <c r="B19" s="50">
        <v>9.17</v>
      </c>
      <c r="C19" s="50">
        <v>4.22</v>
      </c>
      <c r="D19" s="50">
        <v>14</v>
      </c>
      <c r="E19" s="50">
        <v>24.57</v>
      </c>
      <c r="F19" s="50">
        <v>10.62</v>
      </c>
      <c r="G19" s="50">
        <v>102.78</v>
      </c>
      <c r="H19" s="50">
        <v>39.35</v>
      </c>
      <c r="I19" s="50">
        <v>7.52</v>
      </c>
      <c r="J19" s="50">
        <v>0.68</v>
      </c>
      <c r="K19" s="50">
        <v>55.26</v>
      </c>
      <c r="L19" s="50">
        <v>32.69</v>
      </c>
      <c r="M19" s="50">
        <v>69.28</v>
      </c>
      <c r="N19" s="50">
        <v>220.8</v>
      </c>
      <c r="O19" s="50">
        <v>0</v>
      </c>
      <c r="P19" s="50">
        <v>0.72</v>
      </c>
      <c r="Q19" s="50">
        <v>4.67</v>
      </c>
    </row>
    <row r="20" spans="1:17" customFormat="1">
      <c r="A20" s="49">
        <v>45555.5</v>
      </c>
      <c r="B20" s="50">
        <v>9.16</v>
      </c>
      <c r="C20" s="50">
        <v>4.29</v>
      </c>
      <c r="D20" s="50">
        <v>14</v>
      </c>
      <c r="E20" s="50">
        <v>20.85</v>
      </c>
      <c r="F20" s="50">
        <v>13.97</v>
      </c>
      <c r="G20" s="50">
        <v>117.96</v>
      </c>
      <c r="H20" s="50">
        <v>38.840000000000003</v>
      </c>
      <c r="I20" s="50">
        <v>7.31</v>
      </c>
      <c r="J20" s="50">
        <v>0.6</v>
      </c>
      <c r="K20" s="50">
        <v>52.72</v>
      </c>
      <c r="L20" s="50">
        <v>32.71</v>
      </c>
      <c r="M20" s="50">
        <v>65.760000000000005</v>
      </c>
      <c r="N20" s="50">
        <v>773.1</v>
      </c>
      <c r="O20" s="50">
        <v>0</v>
      </c>
      <c r="P20" s="50">
        <v>0.66</v>
      </c>
      <c r="Q20" s="50">
        <v>4.67</v>
      </c>
    </row>
    <row r="21" spans="1:17" customFormat="1">
      <c r="A21" s="49">
        <v>45555.541666666664</v>
      </c>
      <c r="B21" s="50">
        <v>9.24</v>
      </c>
      <c r="C21" s="50">
        <v>4.18</v>
      </c>
      <c r="D21" s="50">
        <v>14</v>
      </c>
      <c r="E21" s="50">
        <v>14.56</v>
      </c>
      <c r="F21" s="50">
        <v>13.21</v>
      </c>
      <c r="G21" s="50">
        <v>174.55</v>
      </c>
      <c r="H21" s="50">
        <v>38.840000000000003</v>
      </c>
      <c r="I21" s="50">
        <v>6.65</v>
      </c>
      <c r="J21" s="50">
        <v>1</v>
      </c>
      <c r="K21" s="50">
        <v>55.22</v>
      </c>
      <c r="L21" s="50">
        <v>32.83</v>
      </c>
      <c r="M21" s="50">
        <v>58.82</v>
      </c>
      <c r="N21" s="50">
        <v>743.1</v>
      </c>
      <c r="O21" s="50">
        <v>0</v>
      </c>
      <c r="P21" s="50">
        <v>0.66</v>
      </c>
      <c r="Q21" s="50">
        <v>4.6399999999999997</v>
      </c>
    </row>
    <row r="22" spans="1:17" customFormat="1">
      <c r="A22" s="49">
        <v>45555.583333333336</v>
      </c>
      <c r="B22" s="50">
        <v>9.18</v>
      </c>
      <c r="C22" s="50">
        <v>4.25</v>
      </c>
      <c r="D22" s="50">
        <v>14</v>
      </c>
      <c r="E22" s="50">
        <v>12.28</v>
      </c>
      <c r="F22" s="50">
        <v>12.08</v>
      </c>
      <c r="G22" s="50">
        <v>174.55</v>
      </c>
      <c r="H22" s="50">
        <v>34.479999999999997</v>
      </c>
      <c r="I22" s="50">
        <v>6.57</v>
      </c>
      <c r="J22" s="50">
        <v>0.78</v>
      </c>
      <c r="K22" s="50">
        <v>52.45</v>
      </c>
      <c r="L22" s="50">
        <v>33.21</v>
      </c>
      <c r="M22" s="50">
        <v>57.58</v>
      </c>
      <c r="N22" s="50">
        <v>621.29999999999995</v>
      </c>
      <c r="O22" s="50">
        <v>0</v>
      </c>
      <c r="P22" s="50">
        <v>0.65</v>
      </c>
      <c r="Q22" s="50">
        <v>4.6399999999999997</v>
      </c>
    </row>
    <row r="23" spans="1:17" customFormat="1">
      <c r="A23" s="49">
        <v>45555.625</v>
      </c>
      <c r="B23" s="50">
        <v>9.16</v>
      </c>
      <c r="C23" s="50">
        <v>4.28</v>
      </c>
      <c r="D23" s="50">
        <v>14</v>
      </c>
      <c r="E23" s="50">
        <v>11.95</v>
      </c>
      <c r="F23" s="50">
        <v>9.33</v>
      </c>
      <c r="G23" s="50">
        <v>138.4</v>
      </c>
      <c r="H23" s="50">
        <v>34.18</v>
      </c>
      <c r="I23" s="50">
        <v>6.59</v>
      </c>
      <c r="J23" s="50">
        <v>1</v>
      </c>
      <c r="K23" s="50">
        <v>57.71</v>
      </c>
      <c r="L23" s="50">
        <v>33.26</v>
      </c>
      <c r="M23" s="50">
        <v>60.79</v>
      </c>
      <c r="N23" s="50">
        <v>199.2</v>
      </c>
      <c r="O23" s="50">
        <v>0</v>
      </c>
      <c r="P23" s="50">
        <v>0.59</v>
      </c>
      <c r="Q23" s="50">
        <v>4.6399999999999997</v>
      </c>
    </row>
    <row r="24" spans="1:17" customFormat="1">
      <c r="A24" s="49">
        <v>45555.666666666664</v>
      </c>
      <c r="B24" s="50">
        <v>9.31</v>
      </c>
      <c r="C24" s="50">
        <v>4.12</v>
      </c>
      <c r="D24" s="50">
        <v>14.04</v>
      </c>
      <c r="E24" s="50">
        <v>11.32</v>
      </c>
      <c r="F24" s="50">
        <v>11.1</v>
      </c>
      <c r="G24" s="50">
        <v>116.25</v>
      </c>
      <c r="H24" s="50">
        <v>28.38</v>
      </c>
      <c r="I24" s="50">
        <v>6.71</v>
      </c>
      <c r="J24" s="50">
        <v>1.03</v>
      </c>
      <c r="K24" s="50">
        <v>56.8</v>
      </c>
      <c r="L24" s="50">
        <v>32.729999999999997</v>
      </c>
      <c r="M24" s="50">
        <v>61.29</v>
      </c>
      <c r="N24" s="50">
        <v>273.5</v>
      </c>
      <c r="O24" s="50">
        <v>0</v>
      </c>
      <c r="P24" s="50">
        <v>0.57999999999999996</v>
      </c>
      <c r="Q24" s="50">
        <v>4.6399999999999997</v>
      </c>
    </row>
    <row r="25" spans="1:17" customFormat="1">
      <c r="A25" s="49">
        <v>45555.708333333336</v>
      </c>
      <c r="B25" s="50">
        <v>9.4</v>
      </c>
      <c r="C25" s="50">
        <v>4.09</v>
      </c>
      <c r="D25" s="50">
        <v>14.12</v>
      </c>
      <c r="E25" s="50">
        <v>12.05</v>
      </c>
      <c r="F25" s="50">
        <v>18.77</v>
      </c>
      <c r="G25" s="50">
        <v>72.790000000000006</v>
      </c>
      <c r="H25" s="50">
        <v>28.37</v>
      </c>
      <c r="I25" s="50">
        <v>6.43</v>
      </c>
      <c r="J25" s="50">
        <v>0.87</v>
      </c>
      <c r="K25" s="50">
        <v>61.07</v>
      </c>
      <c r="L25" s="50">
        <v>32.25</v>
      </c>
      <c r="M25" s="50">
        <v>62.93</v>
      </c>
      <c r="N25" s="50">
        <v>60.4</v>
      </c>
      <c r="O25" s="50">
        <v>0</v>
      </c>
      <c r="P25" s="50">
        <v>0.55000000000000004</v>
      </c>
      <c r="Q25" s="50">
        <v>4.68</v>
      </c>
    </row>
    <row r="26" spans="1:17" customFormat="1">
      <c r="A26" s="49">
        <v>45555.75</v>
      </c>
      <c r="B26" s="50">
        <v>9.39</v>
      </c>
      <c r="C26" s="50">
        <v>4.0999999999999996</v>
      </c>
      <c r="D26" s="50">
        <v>14.1</v>
      </c>
      <c r="E26" s="50">
        <v>11.29</v>
      </c>
      <c r="F26" s="50">
        <v>12.76</v>
      </c>
      <c r="G26" s="50">
        <v>82.04</v>
      </c>
      <c r="H26" s="50">
        <v>28.37</v>
      </c>
      <c r="I26" s="50">
        <v>5.46</v>
      </c>
      <c r="J26" s="50">
        <v>0.49</v>
      </c>
      <c r="K26" s="50">
        <v>62.99</v>
      </c>
      <c r="L26" s="50">
        <v>31.62</v>
      </c>
      <c r="M26" s="50">
        <v>65.8</v>
      </c>
      <c r="N26" s="50">
        <v>19.100000000000001</v>
      </c>
      <c r="O26" s="50">
        <v>0</v>
      </c>
      <c r="P26" s="50">
        <v>0.5</v>
      </c>
      <c r="Q26" s="50">
        <v>4.67</v>
      </c>
    </row>
    <row r="27" spans="1:17" customFormat="1">
      <c r="A27" s="49">
        <v>45555.791666666664</v>
      </c>
      <c r="B27" s="50">
        <v>9.25</v>
      </c>
      <c r="C27" s="50">
        <v>4.0999999999999996</v>
      </c>
      <c r="D27" s="50">
        <v>14</v>
      </c>
      <c r="E27" s="50">
        <v>11.34</v>
      </c>
      <c r="F27" s="50">
        <v>8.67</v>
      </c>
      <c r="G27" s="50">
        <v>90.81</v>
      </c>
      <c r="H27" s="50">
        <v>26.61</v>
      </c>
      <c r="I27" s="50">
        <v>5.79</v>
      </c>
      <c r="J27" s="50">
        <v>0.28000000000000003</v>
      </c>
      <c r="K27" s="50">
        <v>179.11</v>
      </c>
      <c r="L27" s="50">
        <v>30.66</v>
      </c>
      <c r="M27" s="50">
        <v>81.23</v>
      </c>
      <c r="N27" s="50">
        <v>2.6</v>
      </c>
      <c r="O27" s="50">
        <v>0</v>
      </c>
      <c r="P27" s="50">
        <v>0.53</v>
      </c>
      <c r="Q27" s="50">
        <v>4.67</v>
      </c>
    </row>
    <row r="28" spans="1:17" customFormat="1">
      <c r="A28" s="49">
        <v>45555.833333333336</v>
      </c>
      <c r="B28" s="50">
        <v>9.25</v>
      </c>
      <c r="C28" s="50">
        <v>4.09</v>
      </c>
      <c r="D28" s="50">
        <v>14</v>
      </c>
      <c r="E28" s="50">
        <v>11.24</v>
      </c>
      <c r="F28" s="50">
        <v>5.44</v>
      </c>
      <c r="G28" s="50">
        <v>92.62</v>
      </c>
      <c r="H28" s="50">
        <v>26.61</v>
      </c>
      <c r="I28" s="50">
        <v>6.14</v>
      </c>
      <c r="J28" s="50">
        <v>0.24</v>
      </c>
      <c r="K28" s="50">
        <v>190.63</v>
      </c>
      <c r="L28" s="50">
        <v>29.09</v>
      </c>
      <c r="M28" s="50">
        <v>88.17</v>
      </c>
      <c r="N28" s="50">
        <v>2.4</v>
      </c>
      <c r="O28" s="50">
        <v>0</v>
      </c>
      <c r="P28" s="50">
        <v>0.54</v>
      </c>
      <c r="Q28" s="50">
        <v>4.68</v>
      </c>
    </row>
    <row r="29" spans="1:17" customFormat="1">
      <c r="A29" s="49">
        <v>45555.875</v>
      </c>
      <c r="B29" s="50">
        <v>9.25</v>
      </c>
      <c r="C29" s="50">
        <v>4.1100000000000003</v>
      </c>
      <c r="D29" s="50">
        <v>14</v>
      </c>
      <c r="E29" s="50">
        <v>11.15</v>
      </c>
      <c r="F29" s="50">
        <v>6.93</v>
      </c>
      <c r="G29" s="50">
        <v>92.62</v>
      </c>
      <c r="H29" s="50">
        <v>25.56</v>
      </c>
      <c r="I29" s="50">
        <v>6.64</v>
      </c>
      <c r="J29" s="50">
        <v>0.21</v>
      </c>
      <c r="K29" s="50">
        <v>187.5</v>
      </c>
      <c r="L29" s="50">
        <v>28.64</v>
      </c>
      <c r="M29" s="50">
        <v>91.82</v>
      </c>
      <c r="N29" s="50">
        <v>2.1</v>
      </c>
      <c r="O29" s="50">
        <v>0</v>
      </c>
      <c r="P29" s="50">
        <v>0.55000000000000004</v>
      </c>
      <c r="Q29" s="50">
        <v>4.67</v>
      </c>
    </row>
    <row r="30" spans="1:17" customFormat="1">
      <c r="A30" s="49">
        <v>45555.916666666664</v>
      </c>
      <c r="B30" s="50">
        <v>9.24</v>
      </c>
      <c r="C30" s="50">
        <v>4.12</v>
      </c>
      <c r="D30" s="50">
        <v>14</v>
      </c>
      <c r="E30" s="50">
        <v>11.35</v>
      </c>
      <c r="F30" s="50">
        <v>7.22</v>
      </c>
      <c r="G30" s="50">
        <v>89.58</v>
      </c>
      <c r="H30" s="50">
        <v>23.8</v>
      </c>
      <c r="I30" s="50">
        <v>6.35</v>
      </c>
      <c r="J30" s="50">
        <v>0.21</v>
      </c>
      <c r="K30" s="50">
        <v>190.3</v>
      </c>
      <c r="L30" s="50">
        <v>28.14</v>
      </c>
      <c r="M30" s="50">
        <v>97.21</v>
      </c>
      <c r="N30" s="50">
        <v>2.1</v>
      </c>
      <c r="O30" s="50">
        <v>0</v>
      </c>
      <c r="P30" s="50">
        <v>0.53</v>
      </c>
      <c r="Q30" s="50">
        <v>4.66</v>
      </c>
    </row>
    <row r="31" spans="1:17" customFormat="1">
      <c r="A31" s="49">
        <v>45555.958333333336</v>
      </c>
      <c r="B31" s="50">
        <v>9.24</v>
      </c>
      <c r="C31" s="50">
        <v>4.13</v>
      </c>
      <c r="D31" s="50">
        <v>14</v>
      </c>
      <c r="E31" s="50">
        <v>10.55</v>
      </c>
      <c r="F31" s="50">
        <v>6.51</v>
      </c>
      <c r="G31" s="50">
        <v>65.81</v>
      </c>
      <c r="H31" s="50">
        <v>21.89</v>
      </c>
      <c r="I31" s="50">
        <v>6.27</v>
      </c>
      <c r="J31" s="50">
        <v>0.16</v>
      </c>
      <c r="K31" s="50">
        <v>207.62</v>
      </c>
      <c r="L31" s="50">
        <v>27.53</v>
      </c>
      <c r="M31" s="50">
        <v>97.05</v>
      </c>
      <c r="N31" s="50">
        <v>2.1</v>
      </c>
      <c r="O31" s="50">
        <v>0</v>
      </c>
      <c r="P31" s="50">
        <v>0.54</v>
      </c>
      <c r="Q31" s="50">
        <v>4.6500000000000004</v>
      </c>
    </row>
    <row r="32" spans="1:17" customFormat="1">
      <c r="A32" s="49">
        <v>45556</v>
      </c>
      <c r="B32" s="50">
        <v>9.25</v>
      </c>
      <c r="C32" s="50">
        <v>4.13</v>
      </c>
      <c r="D32" s="50">
        <v>14</v>
      </c>
      <c r="E32" s="50">
        <v>9.7100000000000009</v>
      </c>
      <c r="F32" s="50">
        <v>5.35</v>
      </c>
      <c r="G32" s="50">
        <v>59.43</v>
      </c>
      <c r="H32" s="50">
        <v>21.89</v>
      </c>
      <c r="I32" s="50">
        <v>6.52</v>
      </c>
      <c r="J32" s="50">
        <v>0.21</v>
      </c>
      <c r="K32" s="50">
        <v>189.74</v>
      </c>
      <c r="L32" s="50">
        <v>27.18</v>
      </c>
      <c r="M32" s="50">
        <v>97.57</v>
      </c>
      <c r="N32" s="50">
        <v>2.1</v>
      </c>
      <c r="O32" s="50">
        <v>0</v>
      </c>
      <c r="P32" s="50">
        <v>0.54</v>
      </c>
      <c r="Q32" s="50">
        <v>4.6500000000000004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9.16</v>
      </c>
      <c r="C34" s="40">
        <f t="shared" si="0"/>
        <v>4.09</v>
      </c>
      <c r="D34" s="40">
        <f t="shared" si="0"/>
        <v>14</v>
      </c>
      <c r="E34" s="40">
        <f t="shared" si="0"/>
        <v>8.32</v>
      </c>
      <c r="F34" s="40">
        <f t="shared" si="0"/>
        <v>4.42</v>
      </c>
      <c r="G34" s="40">
        <f t="shared" si="0"/>
        <v>55.53</v>
      </c>
      <c r="H34" s="40">
        <f t="shared" si="0"/>
        <v>21.89</v>
      </c>
      <c r="I34" s="40">
        <f t="shared" si="0"/>
        <v>5.46</v>
      </c>
      <c r="J34" s="40">
        <f t="shared" si="0"/>
        <v>0.1</v>
      </c>
      <c r="K34" s="40">
        <f t="shared" si="0"/>
        <v>52.45</v>
      </c>
      <c r="L34" s="40">
        <f t="shared" si="0"/>
        <v>25.25</v>
      </c>
      <c r="M34" s="40">
        <f t="shared" si="0"/>
        <v>57.58</v>
      </c>
      <c r="N34" s="40">
        <f t="shared" si="0"/>
        <v>2.1</v>
      </c>
      <c r="O34" s="40">
        <f t="shared" si="0"/>
        <v>0</v>
      </c>
      <c r="P34" s="40">
        <f t="shared" si="0"/>
        <v>0.5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</v>
      </c>
      <c r="C35" s="33">
        <f t="shared" si="1"/>
        <v>4.29</v>
      </c>
      <c r="D35" s="33">
        <f t="shared" si="1"/>
        <v>14.12</v>
      </c>
      <c r="E35" s="33">
        <f t="shared" si="1"/>
        <v>24.57</v>
      </c>
      <c r="F35" s="33">
        <f t="shared" si="1"/>
        <v>18.77</v>
      </c>
      <c r="G35" s="33">
        <f t="shared" si="1"/>
        <v>174.55</v>
      </c>
      <c r="H35" s="33">
        <f t="shared" si="1"/>
        <v>39.35</v>
      </c>
      <c r="I35" s="33">
        <f t="shared" si="1"/>
        <v>8.25</v>
      </c>
      <c r="J35" s="33">
        <f t="shared" si="1"/>
        <v>1.03</v>
      </c>
      <c r="K35" s="33">
        <f t="shared" si="1"/>
        <v>309.3</v>
      </c>
      <c r="L35" s="33">
        <f t="shared" si="1"/>
        <v>33.26</v>
      </c>
      <c r="M35" s="33">
        <f t="shared" si="1"/>
        <v>99.17</v>
      </c>
      <c r="N35" s="33">
        <f t="shared" si="1"/>
        <v>773.1</v>
      </c>
      <c r="O35" s="33">
        <f t="shared" si="1"/>
        <v>0</v>
      </c>
      <c r="P35" s="33">
        <f t="shared" si="1"/>
        <v>0.72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9.2204166666666669</v>
      </c>
      <c r="C36" s="40">
        <f t="shared" si="2"/>
        <v>4.1895833333333332</v>
      </c>
      <c r="D36" s="40">
        <f t="shared" si="2"/>
        <v>14.010833333333332</v>
      </c>
      <c r="E36" s="40">
        <f t="shared" si="2"/>
        <v>11.995416666666666</v>
      </c>
      <c r="F36" s="40">
        <f t="shared" si="2"/>
        <v>8.666249999999998</v>
      </c>
      <c r="G36" s="40">
        <f t="shared" si="2"/>
        <v>89.559999999999988</v>
      </c>
      <c r="H36" s="40">
        <f t="shared" si="2"/>
        <v>29.669999999999998</v>
      </c>
      <c r="I36" s="40">
        <f t="shared" si="2"/>
        <v>7.0195833333333324</v>
      </c>
      <c r="J36" s="40">
        <f t="shared" si="2"/>
        <v>0.40916666666666673</v>
      </c>
      <c r="K36" s="40">
        <f t="shared" si="2"/>
        <v>162.16249999999999</v>
      </c>
      <c r="L36" s="40">
        <f t="shared" si="2"/>
        <v>29.414583333333326</v>
      </c>
      <c r="M36" s="40">
        <f t="shared" si="2"/>
        <v>82.28416666666665</v>
      </c>
      <c r="N36" s="40">
        <f t="shared" si="2"/>
        <v>161.07499999999996</v>
      </c>
      <c r="O36" s="40">
        <f t="shared" si="2"/>
        <v>0</v>
      </c>
      <c r="P36" s="40">
        <f t="shared" si="2"/>
        <v>0.63</v>
      </c>
      <c r="Q36" s="40">
        <f t="shared" si="2"/>
        <v>4.660000000000001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6.7015842816499901E-2</v>
      </c>
      <c r="C37" s="40">
        <f t="shared" ref="C37:Q37" si="3">STDEV(C9:C32)</f>
        <v>6.70158428164815E-2</v>
      </c>
      <c r="D37" s="40">
        <f t="shared" si="3"/>
        <v>3.174855925066114E-2</v>
      </c>
      <c r="E37" s="40">
        <f t="shared" si="3"/>
        <v>3.6474505440121496</v>
      </c>
      <c r="F37" s="40">
        <f t="shared" si="3"/>
        <v>3.8060064800374387</v>
      </c>
      <c r="G37" s="40">
        <f t="shared" si="3"/>
        <v>34.164996834416023</v>
      </c>
      <c r="H37" s="40">
        <f t="shared" si="3"/>
        <v>5.4100510324684885</v>
      </c>
      <c r="I37" s="40">
        <f t="shared" si="3"/>
        <v>0.76987564872046121</v>
      </c>
      <c r="J37" s="40">
        <f t="shared" si="3"/>
        <v>0.31721500960522109</v>
      </c>
      <c r="K37" s="40">
        <f t="shared" si="3"/>
        <v>82.510720107200015</v>
      </c>
      <c r="L37" s="40">
        <f t="shared" si="3"/>
        <v>2.9616211470816132</v>
      </c>
      <c r="M37" s="40">
        <f t="shared" si="3"/>
        <v>16.105442751811719</v>
      </c>
      <c r="N37" s="40">
        <f t="shared" si="3"/>
        <v>243.83973398436359</v>
      </c>
      <c r="O37" s="40">
        <f t="shared" si="3"/>
        <v>0</v>
      </c>
      <c r="P37" s="40">
        <f t="shared" si="3"/>
        <v>7.706575396882033E-2</v>
      </c>
      <c r="Q37" s="40">
        <f t="shared" si="3"/>
        <v>1.3831281496162504E-2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45556.041666666664</v>
      </c>
      <c r="B9" s="50">
        <v>9.26</v>
      </c>
      <c r="C9" s="50">
        <v>4.0999999999999996</v>
      </c>
      <c r="D9" s="50">
        <v>14</v>
      </c>
      <c r="E9" s="50">
        <v>9.4</v>
      </c>
      <c r="F9" s="50">
        <v>4.45</v>
      </c>
      <c r="G9" s="50">
        <v>56.27</v>
      </c>
      <c r="H9" s="50">
        <v>20.3</v>
      </c>
      <c r="I9" s="50">
        <v>6.64</v>
      </c>
      <c r="J9" s="50">
        <v>0.17</v>
      </c>
      <c r="K9" s="50">
        <v>187.91</v>
      </c>
      <c r="L9" s="50">
        <v>27.04</v>
      </c>
      <c r="M9" s="50">
        <v>96.9</v>
      </c>
      <c r="N9" s="50">
        <v>2.1</v>
      </c>
      <c r="O9" s="50">
        <v>0</v>
      </c>
      <c r="P9" s="50">
        <v>0.53</v>
      </c>
      <c r="Q9" s="50">
        <v>4.67</v>
      </c>
    </row>
    <row r="10" spans="1:21" customFormat="1">
      <c r="A10" s="49">
        <v>45556.083333333336</v>
      </c>
      <c r="B10" s="50">
        <v>9.2799999999999994</v>
      </c>
      <c r="C10" s="50">
        <v>4.09</v>
      </c>
      <c r="D10" s="50">
        <v>14.02</v>
      </c>
      <c r="E10" s="50">
        <v>9.25</v>
      </c>
      <c r="F10" s="50">
        <v>5.38</v>
      </c>
      <c r="G10" s="50">
        <v>57.78</v>
      </c>
      <c r="H10" s="50">
        <v>18.52</v>
      </c>
      <c r="I10" s="50">
        <v>6.9</v>
      </c>
      <c r="J10" s="50">
        <v>0.17</v>
      </c>
      <c r="K10" s="50">
        <v>199.03</v>
      </c>
      <c r="L10" s="50">
        <v>26.9</v>
      </c>
      <c r="M10" s="50">
        <v>97.32</v>
      </c>
      <c r="N10" s="50">
        <v>2.1</v>
      </c>
      <c r="O10" s="50">
        <v>0</v>
      </c>
      <c r="P10" s="50">
        <v>0.53</v>
      </c>
      <c r="Q10" s="50">
        <v>4.67</v>
      </c>
    </row>
    <row r="11" spans="1:21" customFormat="1">
      <c r="A11" s="49">
        <v>45556.125</v>
      </c>
      <c r="B11" s="50">
        <v>9.2899999999999991</v>
      </c>
      <c r="C11" s="50">
        <v>4.1399999999999997</v>
      </c>
      <c r="D11" s="50">
        <v>14.01</v>
      </c>
      <c r="E11" s="50">
        <v>10.34</v>
      </c>
      <c r="F11" s="50">
        <v>5.19</v>
      </c>
      <c r="G11" s="50">
        <v>57.78</v>
      </c>
      <c r="H11" s="50">
        <v>18.52</v>
      </c>
      <c r="I11" s="50">
        <v>6.65</v>
      </c>
      <c r="J11" s="50">
        <v>0.14000000000000001</v>
      </c>
      <c r="K11" s="50">
        <v>201.09</v>
      </c>
      <c r="L11" s="50">
        <v>26.75</v>
      </c>
      <c r="M11" s="50">
        <v>96.67</v>
      </c>
      <c r="N11" s="50">
        <v>2.1</v>
      </c>
      <c r="O11" s="50">
        <v>0</v>
      </c>
      <c r="P11" s="50">
        <v>0.45</v>
      </c>
      <c r="Q11" s="50">
        <v>4.66</v>
      </c>
    </row>
    <row r="12" spans="1:21" customFormat="1">
      <c r="A12" s="49">
        <v>45556.166666666664</v>
      </c>
      <c r="B12" s="50">
        <v>9.24</v>
      </c>
      <c r="C12" s="50">
        <v>4.1399999999999997</v>
      </c>
      <c r="D12" s="50">
        <v>14</v>
      </c>
      <c r="E12" s="50">
        <v>10.81</v>
      </c>
      <c r="F12" s="50">
        <v>4.45</v>
      </c>
      <c r="G12" s="50">
        <v>47.21</v>
      </c>
      <c r="H12" s="50">
        <v>15.43</v>
      </c>
      <c r="I12" s="50">
        <v>6.32</v>
      </c>
      <c r="J12" s="50">
        <v>0.23</v>
      </c>
      <c r="K12" s="50">
        <v>201.28</v>
      </c>
      <c r="L12" s="50">
        <v>26.97</v>
      </c>
      <c r="M12" s="50">
        <v>96.99</v>
      </c>
      <c r="N12" s="50">
        <v>2.1</v>
      </c>
      <c r="O12" s="50">
        <v>0</v>
      </c>
      <c r="P12" s="50">
        <v>0.43</v>
      </c>
      <c r="Q12" s="50">
        <v>4.67</v>
      </c>
    </row>
    <row r="13" spans="1:21" customFormat="1">
      <c r="A13" s="49">
        <v>45556.208333333336</v>
      </c>
      <c r="B13" s="50">
        <v>9.24</v>
      </c>
      <c r="C13" s="50">
        <v>4.12</v>
      </c>
      <c r="D13" s="50">
        <v>14</v>
      </c>
      <c r="E13" s="50">
        <v>11.54</v>
      </c>
      <c r="F13" s="50">
        <v>3.39</v>
      </c>
      <c r="G13" s="50">
        <v>49.28</v>
      </c>
      <c r="H13" s="50">
        <v>15.43</v>
      </c>
      <c r="I13" s="50">
        <v>6.47</v>
      </c>
      <c r="J13" s="50">
        <v>0.24</v>
      </c>
      <c r="K13" s="50">
        <v>183.3</v>
      </c>
      <c r="L13" s="50">
        <v>27.16</v>
      </c>
      <c r="M13" s="50">
        <v>95.63</v>
      </c>
      <c r="N13" s="50">
        <v>2.1</v>
      </c>
      <c r="O13" s="50">
        <v>0</v>
      </c>
      <c r="P13" s="50">
        <v>0.46</v>
      </c>
      <c r="Q13" s="50">
        <v>4.66</v>
      </c>
    </row>
    <row r="14" spans="1:21" customFormat="1">
      <c r="A14" s="49">
        <v>45556.25</v>
      </c>
      <c r="B14" s="50">
        <v>9.26</v>
      </c>
      <c r="C14" s="50">
        <v>4.13</v>
      </c>
      <c r="D14" s="50">
        <v>14</v>
      </c>
      <c r="E14" s="50">
        <v>11.98</v>
      </c>
      <c r="F14" s="50">
        <v>4.0199999999999996</v>
      </c>
      <c r="G14" s="50">
        <v>66.09</v>
      </c>
      <c r="H14" s="50">
        <v>27.94</v>
      </c>
      <c r="I14" s="50">
        <v>6.87</v>
      </c>
      <c r="J14" s="50">
        <v>0.13</v>
      </c>
      <c r="K14" s="50">
        <v>204.74</v>
      </c>
      <c r="L14" s="50">
        <v>26.9</v>
      </c>
      <c r="M14" s="50">
        <v>96.03</v>
      </c>
      <c r="N14" s="50">
        <v>6.7</v>
      </c>
      <c r="O14" s="50">
        <v>0</v>
      </c>
      <c r="P14" s="50">
        <v>0.5</v>
      </c>
      <c r="Q14" s="50">
        <v>4.67</v>
      </c>
    </row>
    <row r="15" spans="1:21" customFormat="1">
      <c r="A15" s="49">
        <v>45556.291666666664</v>
      </c>
      <c r="B15" s="50">
        <v>9.2100000000000009</v>
      </c>
      <c r="C15" s="50">
        <v>4.18</v>
      </c>
      <c r="D15" s="50">
        <v>14</v>
      </c>
      <c r="E15" s="50">
        <v>12.28</v>
      </c>
      <c r="F15" s="50">
        <v>4.76</v>
      </c>
      <c r="G15" s="50">
        <v>76.91</v>
      </c>
      <c r="H15" s="50">
        <v>27.94</v>
      </c>
      <c r="I15" s="50">
        <v>7.39</v>
      </c>
      <c r="J15" s="50">
        <v>0.35</v>
      </c>
      <c r="K15" s="50">
        <v>193.84</v>
      </c>
      <c r="L15" s="50">
        <v>27.84</v>
      </c>
      <c r="M15" s="50">
        <v>96.54</v>
      </c>
      <c r="N15" s="50">
        <v>55.1</v>
      </c>
      <c r="O15" s="50">
        <v>0</v>
      </c>
      <c r="P15" s="50">
        <v>0.54</v>
      </c>
      <c r="Q15" s="50">
        <v>4.67</v>
      </c>
    </row>
    <row r="16" spans="1:21" customFormat="1">
      <c r="A16" s="49">
        <v>45556.333333333336</v>
      </c>
      <c r="B16" s="50">
        <v>9.23</v>
      </c>
      <c r="C16" s="50">
        <v>4.12</v>
      </c>
      <c r="D16" s="50">
        <v>14</v>
      </c>
      <c r="E16" s="50">
        <v>13.62</v>
      </c>
      <c r="F16" s="50">
        <v>6.84</v>
      </c>
      <c r="G16" s="50">
        <v>91.27</v>
      </c>
      <c r="H16" s="50">
        <v>26.47</v>
      </c>
      <c r="I16" s="50">
        <v>7.58</v>
      </c>
      <c r="J16" s="50">
        <v>0.78</v>
      </c>
      <c r="K16" s="50">
        <v>65.819999999999993</v>
      </c>
      <c r="L16" s="50">
        <v>29.38</v>
      </c>
      <c r="M16" s="50">
        <v>86.84</v>
      </c>
      <c r="N16" s="50">
        <v>152.30000000000001</v>
      </c>
      <c r="O16" s="50">
        <v>0</v>
      </c>
      <c r="P16" s="50">
        <v>0.57999999999999996</v>
      </c>
      <c r="Q16" s="50">
        <v>4.6500000000000004</v>
      </c>
    </row>
    <row r="17" spans="1:17" customFormat="1">
      <c r="A17" s="49">
        <v>45556.375</v>
      </c>
      <c r="B17" s="50">
        <v>9.2799999999999994</v>
      </c>
      <c r="C17" s="50">
        <v>4.12</v>
      </c>
      <c r="D17" s="50">
        <v>14.01</v>
      </c>
      <c r="E17" s="50">
        <v>22.91</v>
      </c>
      <c r="F17" s="50">
        <v>6.68</v>
      </c>
      <c r="G17" s="50">
        <v>123.09</v>
      </c>
      <c r="H17" s="50">
        <v>27.53</v>
      </c>
      <c r="I17" s="50">
        <v>7.84</v>
      </c>
      <c r="J17" s="50">
        <v>0.56999999999999995</v>
      </c>
      <c r="K17" s="50">
        <v>328.82</v>
      </c>
      <c r="L17" s="50">
        <v>31.17</v>
      </c>
      <c r="M17" s="50">
        <v>79.73</v>
      </c>
      <c r="N17" s="50">
        <v>229</v>
      </c>
      <c r="O17" s="50">
        <v>0</v>
      </c>
      <c r="P17" s="50">
        <v>0.76</v>
      </c>
      <c r="Q17" s="50">
        <v>4.66</v>
      </c>
    </row>
    <row r="18" spans="1:17" customFormat="1">
      <c r="A18" s="49">
        <v>45556.416666666664</v>
      </c>
      <c r="B18" s="50">
        <v>9.3000000000000007</v>
      </c>
      <c r="C18" s="50">
        <v>4.07</v>
      </c>
      <c r="D18" s="50">
        <v>14.03</v>
      </c>
      <c r="E18" s="50">
        <v>23.09</v>
      </c>
      <c r="F18" s="50">
        <v>9.1300000000000008</v>
      </c>
      <c r="G18" s="50">
        <v>161.32</v>
      </c>
      <c r="H18" s="50">
        <v>35.28</v>
      </c>
      <c r="I18" s="50">
        <v>8.1199999999999992</v>
      </c>
      <c r="J18" s="50">
        <v>0.67</v>
      </c>
      <c r="K18" s="50">
        <v>61.29</v>
      </c>
      <c r="L18" s="50">
        <v>32.369999999999997</v>
      </c>
      <c r="M18" s="50">
        <v>71.83</v>
      </c>
      <c r="N18" s="50">
        <v>279.89999999999998</v>
      </c>
      <c r="O18" s="50">
        <v>0</v>
      </c>
      <c r="P18" s="50">
        <v>0.78</v>
      </c>
      <c r="Q18" s="50">
        <v>4.6399999999999997</v>
      </c>
    </row>
    <row r="19" spans="1:17" customFormat="1">
      <c r="A19" s="49">
        <v>45556.458333333336</v>
      </c>
      <c r="B19" s="50">
        <v>9.24</v>
      </c>
      <c r="C19" s="50">
        <v>4.2</v>
      </c>
      <c r="D19" s="50">
        <v>14</v>
      </c>
      <c r="E19" s="50">
        <v>15.62</v>
      </c>
      <c r="F19" s="50">
        <v>9.98</v>
      </c>
      <c r="G19" s="50">
        <v>161.32</v>
      </c>
      <c r="H19" s="50">
        <v>35.299999999999997</v>
      </c>
      <c r="I19" s="50">
        <v>8.0399999999999991</v>
      </c>
      <c r="J19" s="50">
        <v>0.7</v>
      </c>
      <c r="K19" s="50">
        <v>52.07</v>
      </c>
      <c r="L19" s="50">
        <v>32.630000000000003</v>
      </c>
      <c r="M19" s="50">
        <v>67.2</v>
      </c>
      <c r="N19" s="50">
        <v>284.89999999999998</v>
      </c>
      <c r="O19" s="50">
        <v>0</v>
      </c>
      <c r="P19" s="50">
        <v>0.76</v>
      </c>
      <c r="Q19" s="50">
        <v>4.6399999999999997</v>
      </c>
    </row>
    <row r="20" spans="1:17" customFormat="1">
      <c r="A20" s="49">
        <v>45556.5</v>
      </c>
      <c r="B20" s="50">
        <v>9.4499999999999993</v>
      </c>
      <c r="C20" s="50">
        <v>4.16</v>
      </c>
      <c r="D20" s="50">
        <v>14.16</v>
      </c>
      <c r="E20" s="50">
        <v>15.34</v>
      </c>
      <c r="F20" s="50">
        <v>26.44</v>
      </c>
      <c r="G20" s="50">
        <v>139.94</v>
      </c>
      <c r="H20" s="50">
        <v>35.299999999999997</v>
      </c>
      <c r="I20" s="50">
        <v>7.95</v>
      </c>
      <c r="J20" s="50">
        <v>1.04</v>
      </c>
      <c r="K20" s="50">
        <v>57.71</v>
      </c>
      <c r="L20" s="50">
        <v>32.9</v>
      </c>
      <c r="M20" s="50">
        <v>65.989999999999995</v>
      </c>
      <c r="N20" s="50">
        <v>501.8</v>
      </c>
      <c r="O20" s="50">
        <v>0</v>
      </c>
      <c r="P20" s="50">
        <v>0.74</v>
      </c>
      <c r="Q20" s="50">
        <v>4.68</v>
      </c>
    </row>
    <row r="21" spans="1:17" customFormat="1">
      <c r="A21" s="49">
        <v>45556.541666666664</v>
      </c>
      <c r="B21" s="50">
        <v>9.3800000000000008</v>
      </c>
      <c r="C21" s="50">
        <v>4.07</v>
      </c>
      <c r="D21" s="50">
        <v>14.1</v>
      </c>
      <c r="E21" s="50">
        <v>22.07</v>
      </c>
      <c r="F21" s="50">
        <v>23.39</v>
      </c>
      <c r="G21" s="50">
        <v>115.66</v>
      </c>
      <c r="H21" s="50">
        <v>33.729999999999997</v>
      </c>
      <c r="I21" s="50">
        <v>7.02</v>
      </c>
      <c r="J21" s="50">
        <v>1.06</v>
      </c>
      <c r="K21" s="50">
        <v>57.64</v>
      </c>
      <c r="L21" s="50">
        <v>33.31</v>
      </c>
      <c r="M21" s="50">
        <v>66</v>
      </c>
      <c r="N21" s="50">
        <v>588.4</v>
      </c>
      <c r="O21" s="50">
        <v>0</v>
      </c>
      <c r="P21" s="50">
        <v>0.56999999999999995</v>
      </c>
      <c r="Q21" s="50">
        <v>4.68</v>
      </c>
    </row>
    <row r="22" spans="1:17" customFormat="1">
      <c r="A22" s="49">
        <v>45556.583333333336</v>
      </c>
      <c r="B22" s="50">
        <v>9.27</v>
      </c>
      <c r="C22" s="50">
        <v>4.12</v>
      </c>
      <c r="D22" s="50">
        <v>14.02</v>
      </c>
      <c r="E22" s="50">
        <v>24.69</v>
      </c>
      <c r="F22" s="50">
        <v>26.34</v>
      </c>
      <c r="G22" s="50">
        <v>109.77</v>
      </c>
      <c r="H22" s="50">
        <v>35.22</v>
      </c>
      <c r="I22" s="50">
        <v>6.62</v>
      </c>
      <c r="J22" s="50">
        <v>1.1100000000000001</v>
      </c>
      <c r="K22" s="50">
        <v>56.58</v>
      </c>
      <c r="L22" s="50">
        <v>33.47</v>
      </c>
      <c r="M22" s="50">
        <v>62.86</v>
      </c>
      <c r="N22" s="50">
        <v>424</v>
      </c>
      <c r="O22" s="50">
        <v>0</v>
      </c>
      <c r="P22" s="50">
        <v>0.53</v>
      </c>
      <c r="Q22" s="50">
        <v>4.68</v>
      </c>
    </row>
    <row r="23" spans="1:17" customFormat="1">
      <c r="A23" s="49">
        <v>45556.625</v>
      </c>
      <c r="B23" s="50">
        <v>9.23</v>
      </c>
      <c r="C23" s="50">
        <v>4.2</v>
      </c>
      <c r="D23" s="50">
        <v>14</v>
      </c>
      <c r="E23" s="50">
        <v>22.86</v>
      </c>
      <c r="F23" s="50">
        <v>30.3</v>
      </c>
      <c r="G23" s="50">
        <v>109.77</v>
      </c>
      <c r="H23" s="50">
        <v>37.18</v>
      </c>
      <c r="I23" s="50">
        <v>6.22</v>
      </c>
      <c r="J23" s="50">
        <v>0.88</v>
      </c>
      <c r="K23" s="50">
        <v>65.209999999999994</v>
      </c>
      <c r="L23" s="50">
        <v>33.5</v>
      </c>
      <c r="M23" s="50">
        <v>63.42</v>
      </c>
      <c r="N23" s="50">
        <v>182.4</v>
      </c>
      <c r="O23" s="50">
        <v>0</v>
      </c>
      <c r="P23" s="50">
        <v>0.63</v>
      </c>
      <c r="Q23" s="50">
        <v>4.66</v>
      </c>
    </row>
    <row r="24" spans="1:17" customFormat="1">
      <c r="A24" s="49">
        <v>45556.666666666664</v>
      </c>
      <c r="B24" s="50">
        <v>9.2100000000000009</v>
      </c>
      <c r="C24" s="50">
        <v>4.18</v>
      </c>
      <c r="D24" s="50">
        <v>14</v>
      </c>
      <c r="E24" s="50">
        <v>24.42</v>
      </c>
      <c r="F24" s="50">
        <v>25.86</v>
      </c>
      <c r="G24" s="50">
        <v>111.13</v>
      </c>
      <c r="H24" s="50">
        <v>38.42</v>
      </c>
      <c r="I24" s="50">
        <v>6.27</v>
      </c>
      <c r="J24" s="50">
        <v>0.97</v>
      </c>
      <c r="K24" s="50">
        <v>62.78</v>
      </c>
      <c r="L24" s="50">
        <v>32.659999999999997</v>
      </c>
      <c r="M24" s="50">
        <v>64.2</v>
      </c>
      <c r="N24" s="50">
        <v>110.6</v>
      </c>
      <c r="O24" s="50">
        <v>0</v>
      </c>
      <c r="P24" s="50">
        <v>0.6</v>
      </c>
      <c r="Q24" s="50">
        <v>4.68</v>
      </c>
    </row>
    <row r="25" spans="1:17" customFormat="1">
      <c r="A25" s="49">
        <v>45556.708333333336</v>
      </c>
      <c r="B25" s="50">
        <v>9.2799999999999994</v>
      </c>
      <c r="C25" s="50">
        <v>4.16</v>
      </c>
      <c r="D25" s="50">
        <v>14.03</v>
      </c>
      <c r="E25" s="50">
        <v>25.98</v>
      </c>
      <c r="F25" s="50">
        <v>29.38</v>
      </c>
      <c r="G25" s="50">
        <v>113.39</v>
      </c>
      <c r="H25" s="50">
        <v>44.91</v>
      </c>
      <c r="I25" s="50">
        <v>5.74</v>
      </c>
      <c r="J25" s="50">
        <v>0.91</v>
      </c>
      <c r="K25" s="50">
        <v>63.51</v>
      </c>
      <c r="L25" s="50">
        <v>32.39</v>
      </c>
      <c r="M25" s="50">
        <v>65.83</v>
      </c>
      <c r="N25" s="50">
        <v>61.6</v>
      </c>
      <c r="O25" s="50">
        <v>0</v>
      </c>
      <c r="P25" s="50">
        <v>0.66</v>
      </c>
      <c r="Q25" s="50">
        <v>4.67</v>
      </c>
    </row>
    <row r="26" spans="1:17" customFormat="1">
      <c r="A26" s="49">
        <v>45556.75</v>
      </c>
      <c r="B26" s="50">
        <v>9.2899999999999991</v>
      </c>
      <c r="C26" s="50">
        <v>4.08</v>
      </c>
      <c r="D26" s="50">
        <v>14.03</v>
      </c>
      <c r="E26" s="50">
        <v>20.74</v>
      </c>
      <c r="F26" s="50">
        <v>24.32</v>
      </c>
      <c r="G26" s="50">
        <v>113.39</v>
      </c>
      <c r="H26" s="50">
        <v>49.75</v>
      </c>
      <c r="I26" s="50">
        <v>6.49</v>
      </c>
      <c r="J26" s="50">
        <v>0.69</v>
      </c>
      <c r="K26" s="50">
        <v>175.37</v>
      </c>
      <c r="L26" s="50">
        <v>31.94</v>
      </c>
      <c r="M26" s="50">
        <v>76.03</v>
      </c>
      <c r="N26" s="50">
        <v>20.2</v>
      </c>
      <c r="O26" s="50">
        <v>0</v>
      </c>
      <c r="P26" s="50">
        <v>0.73</v>
      </c>
      <c r="Q26" s="50">
        <v>4.6500000000000004</v>
      </c>
    </row>
    <row r="27" spans="1:17" customFormat="1">
      <c r="A27" s="49">
        <v>45556.791666666664</v>
      </c>
      <c r="B27" s="50">
        <v>9.1999999999999993</v>
      </c>
      <c r="C27" s="50">
        <v>4.2</v>
      </c>
      <c r="D27" s="50">
        <v>14</v>
      </c>
      <c r="E27" s="50">
        <v>13.63</v>
      </c>
      <c r="F27" s="50">
        <v>26.48</v>
      </c>
      <c r="G27" s="50">
        <v>126.76</v>
      </c>
      <c r="H27" s="50">
        <v>50.27</v>
      </c>
      <c r="I27" s="50">
        <v>6.14</v>
      </c>
      <c r="J27" s="50">
        <v>0.2</v>
      </c>
      <c r="K27" s="50">
        <v>218.65</v>
      </c>
      <c r="L27" s="50">
        <v>30.59</v>
      </c>
      <c r="M27" s="50">
        <v>81.56</v>
      </c>
      <c r="N27" s="50">
        <v>2.5</v>
      </c>
      <c r="O27" s="50">
        <v>0</v>
      </c>
      <c r="P27" s="50">
        <v>0.69</v>
      </c>
      <c r="Q27" s="50">
        <v>4.63</v>
      </c>
    </row>
    <row r="28" spans="1:17" customFormat="1">
      <c r="A28" s="49">
        <v>45556.833333333336</v>
      </c>
      <c r="B28" s="50">
        <v>9.19</v>
      </c>
      <c r="C28" s="50">
        <v>4.21</v>
      </c>
      <c r="D28" s="50">
        <v>14</v>
      </c>
      <c r="E28" s="50">
        <v>12.31</v>
      </c>
      <c r="F28" s="50">
        <v>18.8</v>
      </c>
      <c r="G28" s="50">
        <v>126.76</v>
      </c>
      <c r="H28" s="50">
        <v>50.27</v>
      </c>
      <c r="I28" s="50">
        <v>6.16</v>
      </c>
      <c r="J28" s="50">
        <v>0.14000000000000001</v>
      </c>
      <c r="K28" s="50">
        <v>212.7</v>
      </c>
      <c r="L28" s="50">
        <v>29.58</v>
      </c>
      <c r="M28" s="50">
        <v>87.74</v>
      </c>
      <c r="N28" s="50">
        <v>2.2999999999999998</v>
      </c>
      <c r="O28" s="50">
        <v>0</v>
      </c>
      <c r="P28" s="50">
        <v>0.66</v>
      </c>
      <c r="Q28" s="50">
        <v>4.6500000000000004</v>
      </c>
    </row>
    <row r="29" spans="1:17" customFormat="1">
      <c r="A29" s="49">
        <v>45556.875</v>
      </c>
      <c r="B29" s="50">
        <v>9.25</v>
      </c>
      <c r="C29" s="50">
        <v>4.18</v>
      </c>
      <c r="D29" s="50">
        <v>14.01</v>
      </c>
      <c r="E29" s="50">
        <v>10.58</v>
      </c>
      <c r="F29" s="50">
        <v>14.26</v>
      </c>
      <c r="G29" s="50">
        <v>119.32</v>
      </c>
      <c r="H29" s="50">
        <v>49.69</v>
      </c>
      <c r="I29" s="50">
        <v>6.14</v>
      </c>
      <c r="J29" s="50">
        <v>0.13</v>
      </c>
      <c r="K29" s="50">
        <v>201.04</v>
      </c>
      <c r="L29" s="50">
        <v>29.02</v>
      </c>
      <c r="M29" s="50">
        <v>89.86</v>
      </c>
      <c r="N29" s="50">
        <v>2.1</v>
      </c>
      <c r="O29" s="50">
        <v>0</v>
      </c>
      <c r="P29" s="50">
        <v>0.66</v>
      </c>
      <c r="Q29" s="50">
        <v>4.67</v>
      </c>
    </row>
    <row r="30" spans="1:17" customFormat="1">
      <c r="A30" s="49">
        <v>45556.916666666664</v>
      </c>
      <c r="B30" s="50">
        <v>9.36</v>
      </c>
      <c r="C30" s="50">
        <v>4.08</v>
      </c>
      <c r="D30" s="50">
        <v>14.08</v>
      </c>
      <c r="E30" s="50">
        <v>11.23</v>
      </c>
      <c r="F30" s="50">
        <v>12.78</v>
      </c>
      <c r="G30" s="50">
        <v>119.32</v>
      </c>
      <c r="H30" s="50">
        <v>49.11</v>
      </c>
      <c r="I30" s="50">
        <v>6.18</v>
      </c>
      <c r="J30" s="50">
        <v>0.17</v>
      </c>
      <c r="K30" s="50">
        <v>223.32</v>
      </c>
      <c r="L30" s="50">
        <v>28.78</v>
      </c>
      <c r="M30" s="50">
        <v>91.41</v>
      </c>
      <c r="N30" s="50">
        <v>2.1</v>
      </c>
      <c r="O30" s="50">
        <v>0</v>
      </c>
      <c r="P30" s="50">
        <v>0.61</v>
      </c>
      <c r="Q30" s="50">
        <v>4.68</v>
      </c>
    </row>
    <row r="31" spans="1:17" customFormat="1">
      <c r="A31" s="49">
        <v>45556.958333333336</v>
      </c>
      <c r="B31" s="50">
        <v>9.25</v>
      </c>
      <c r="C31" s="50">
        <v>4.12</v>
      </c>
      <c r="D31" s="50">
        <v>14</v>
      </c>
      <c r="E31" s="50">
        <v>11.2</v>
      </c>
      <c r="F31" s="50">
        <v>9.17</v>
      </c>
      <c r="G31" s="50">
        <v>104.82</v>
      </c>
      <c r="H31" s="50">
        <v>47.22</v>
      </c>
      <c r="I31" s="50">
        <v>6.27</v>
      </c>
      <c r="J31" s="50">
        <v>0.14000000000000001</v>
      </c>
      <c r="K31" s="50">
        <v>218.45</v>
      </c>
      <c r="L31" s="50">
        <v>28.64</v>
      </c>
      <c r="M31" s="50">
        <v>92.55</v>
      </c>
      <c r="N31" s="50">
        <v>2.1</v>
      </c>
      <c r="O31" s="50">
        <v>0</v>
      </c>
      <c r="P31" s="50">
        <v>0.62</v>
      </c>
      <c r="Q31" s="50">
        <v>4.66</v>
      </c>
    </row>
    <row r="32" spans="1:17" customFormat="1">
      <c r="A32" s="49">
        <v>45557</v>
      </c>
      <c r="B32" s="50">
        <v>9.27</v>
      </c>
      <c r="C32" s="50">
        <v>4.09</v>
      </c>
      <c r="D32" s="50">
        <v>14.01</v>
      </c>
      <c r="E32" s="50">
        <v>11.57</v>
      </c>
      <c r="F32" s="50">
        <v>9.27</v>
      </c>
      <c r="G32" s="50">
        <v>95.12</v>
      </c>
      <c r="H32" s="50">
        <v>46.84</v>
      </c>
      <c r="I32" s="50">
        <v>6.4</v>
      </c>
      <c r="J32" s="50">
        <v>0.16</v>
      </c>
      <c r="K32" s="50">
        <v>244.6</v>
      </c>
      <c r="L32" s="50">
        <v>28.32</v>
      </c>
      <c r="M32" s="50">
        <v>92.33</v>
      </c>
      <c r="N32" s="50">
        <v>2.1</v>
      </c>
      <c r="O32" s="50">
        <v>0</v>
      </c>
      <c r="P32" s="50">
        <v>0.62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9.19</v>
      </c>
      <c r="C34" s="40">
        <f t="shared" si="0"/>
        <v>4.07</v>
      </c>
      <c r="D34" s="40">
        <f t="shared" si="0"/>
        <v>14</v>
      </c>
      <c r="E34" s="40">
        <f t="shared" si="0"/>
        <v>9.25</v>
      </c>
      <c r="F34" s="40">
        <f t="shared" si="0"/>
        <v>3.39</v>
      </c>
      <c r="G34" s="40">
        <f t="shared" si="0"/>
        <v>47.21</v>
      </c>
      <c r="H34" s="40">
        <f t="shared" si="0"/>
        <v>15.43</v>
      </c>
      <c r="I34" s="40">
        <f t="shared" si="0"/>
        <v>5.74</v>
      </c>
      <c r="J34" s="40">
        <f t="shared" si="0"/>
        <v>0.13</v>
      </c>
      <c r="K34" s="40">
        <f t="shared" si="0"/>
        <v>52.07</v>
      </c>
      <c r="L34" s="40">
        <f t="shared" si="0"/>
        <v>26.75</v>
      </c>
      <c r="M34" s="40">
        <f t="shared" si="0"/>
        <v>62.86</v>
      </c>
      <c r="N34" s="40">
        <f t="shared" si="0"/>
        <v>2.1</v>
      </c>
      <c r="O34" s="40">
        <f t="shared" si="0"/>
        <v>0</v>
      </c>
      <c r="P34" s="40">
        <f t="shared" si="0"/>
        <v>0.43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9.4499999999999993</v>
      </c>
      <c r="C35" s="33">
        <f t="shared" si="1"/>
        <v>4.21</v>
      </c>
      <c r="D35" s="33">
        <f t="shared" si="1"/>
        <v>14.16</v>
      </c>
      <c r="E35" s="33">
        <f t="shared" si="1"/>
        <v>25.98</v>
      </c>
      <c r="F35" s="33">
        <f t="shared" si="1"/>
        <v>30.3</v>
      </c>
      <c r="G35" s="33">
        <f t="shared" si="1"/>
        <v>161.32</v>
      </c>
      <c r="H35" s="33">
        <f t="shared" si="1"/>
        <v>50.27</v>
      </c>
      <c r="I35" s="33">
        <f t="shared" si="1"/>
        <v>8.1199999999999992</v>
      </c>
      <c r="J35" s="33">
        <f t="shared" si="1"/>
        <v>1.1100000000000001</v>
      </c>
      <c r="K35" s="33">
        <f t="shared" si="1"/>
        <v>328.82</v>
      </c>
      <c r="L35" s="33">
        <f t="shared" si="1"/>
        <v>33.5</v>
      </c>
      <c r="M35" s="33">
        <f t="shared" si="1"/>
        <v>97.32</v>
      </c>
      <c r="N35" s="33">
        <f t="shared" si="1"/>
        <v>588.4</v>
      </c>
      <c r="O35" s="33">
        <f t="shared" si="1"/>
        <v>0</v>
      </c>
      <c r="P35" s="33">
        <f t="shared" si="1"/>
        <v>0.78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9.269166666666667</v>
      </c>
      <c r="C36" s="40">
        <f t="shared" si="2"/>
        <v>4.1358333333333324</v>
      </c>
      <c r="D36" s="40">
        <f t="shared" si="2"/>
        <v>14.021249999999997</v>
      </c>
      <c r="E36" s="40">
        <f t="shared" si="2"/>
        <v>15.727500000000001</v>
      </c>
      <c r="F36" s="40">
        <f t="shared" si="2"/>
        <v>14.210833333333333</v>
      </c>
      <c r="G36" s="40">
        <f t="shared" si="2"/>
        <v>102.2279166666667</v>
      </c>
      <c r="H36" s="40">
        <f t="shared" si="2"/>
        <v>34.857083333333343</v>
      </c>
      <c r="I36" s="40">
        <f t="shared" si="2"/>
        <v>6.7674999999999992</v>
      </c>
      <c r="J36" s="40">
        <f t="shared" si="2"/>
        <v>0.48958333333333343</v>
      </c>
      <c r="K36" s="40">
        <f t="shared" si="2"/>
        <v>155.69791666666666</v>
      </c>
      <c r="L36" s="40">
        <f t="shared" si="2"/>
        <v>30.008750000000003</v>
      </c>
      <c r="M36" s="40">
        <f t="shared" si="2"/>
        <v>82.560833333333321</v>
      </c>
      <c r="N36" s="40">
        <f t="shared" si="2"/>
        <v>121.69166666666665</v>
      </c>
      <c r="O36" s="40">
        <f t="shared" si="2"/>
        <v>0</v>
      </c>
      <c r="P36" s="40">
        <f t="shared" si="2"/>
        <v>0.61</v>
      </c>
      <c r="Q36" s="40">
        <f t="shared" si="2"/>
        <v>4.6629166666666677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5.8970638727116068E-2</v>
      </c>
      <c r="C37" s="40">
        <f t="shared" ref="C37:Q37" si="3">STDEV(C9:C32)</f>
        <v>4.5004025584836044E-2</v>
      </c>
      <c r="D37" s="40">
        <f t="shared" si="3"/>
        <v>3.9044289233370978E-2</v>
      </c>
      <c r="E37" s="40">
        <f t="shared" si="3"/>
        <v>5.7742880231170428</v>
      </c>
      <c r="F37" s="40">
        <f t="shared" si="3"/>
        <v>9.6598226271710512</v>
      </c>
      <c r="G37" s="40">
        <f t="shared" si="3"/>
        <v>33.146447377236036</v>
      </c>
      <c r="H37" s="40">
        <f t="shared" si="3"/>
        <v>11.901564558883621</v>
      </c>
      <c r="I37" s="40">
        <f t="shared" si="3"/>
        <v>0.692865819245161</v>
      </c>
      <c r="J37" s="40">
        <f t="shared" si="3"/>
        <v>0.36441112910350687</v>
      </c>
      <c r="K37" s="40">
        <f t="shared" si="3"/>
        <v>80.705363486394234</v>
      </c>
      <c r="L37" s="40">
        <f t="shared" si="3"/>
        <v>2.4899368116655363</v>
      </c>
      <c r="M37" s="40">
        <f t="shared" si="3"/>
        <v>13.308146546110523</v>
      </c>
      <c r="N37" s="40">
        <f t="shared" si="3"/>
        <v>175.74268224400936</v>
      </c>
      <c r="O37" s="40">
        <f t="shared" si="3"/>
        <v>0</v>
      </c>
      <c r="P37" s="40">
        <f t="shared" si="3"/>
        <v>0.10193774741392926</v>
      </c>
      <c r="Q37" s="40">
        <f t="shared" si="3"/>
        <v>1.3981094896064163E-2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45557.041666666664</v>
      </c>
      <c r="B9" s="50">
        <v>9.27</v>
      </c>
      <c r="C9" s="50">
        <v>4.1500000000000004</v>
      </c>
      <c r="D9" s="50">
        <v>14.04</v>
      </c>
      <c r="E9" s="50">
        <v>12.67</v>
      </c>
      <c r="F9" s="50">
        <v>7.63</v>
      </c>
      <c r="G9" s="50">
        <v>90.16</v>
      </c>
      <c r="H9" s="50">
        <v>43.54</v>
      </c>
      <c r="I9" s="50">
        <v>6.92</v>
      </c>
      <c r="J9" s="50">
        <v>1.02</v>
      </c>
      <c r="K9" s="50">
        <v>190.55</v>
      </c>
      <c r="L9" s="50">
        <v>28.39</v>
      </c>
      <c r="M9" s="50">
        <v>92.4</v>
      </c>
      <c r="N9" s="50">
        <v>3.8</v>
      </c>
      <c r="O9" s="50">
        <v>0</v>
      </c>
      <c r="P9" s="50">
        <v>0.62</v>
      </c>
      <c r="Q9" s="50">
        <v>4.66</v>
      </c>
    </row>
    <row r="10" spans="1:21" customFormat="1">
      <c r="A10" s="49">
        <v>45557.083333333336</v>
      </c>
      <c r="B10" s="50">
        <v>9.24</v>
      </c>
      <c r="C10" s="50">
        <v>4.1100000000000003</v>
      </c>
      <c r="D10" s="50">
        <v>14</v>
      </c>
      <c r="E10" s="50">
        <v>15.67</v>
      </c>
      <c r="F10" s="50">
        <v>7.79</v>
      </c>
      <c r="G10" s="50">
        <v>87.9</v>
      </c>
      <c r="H10" s="50">
        <v>43.54</v>
      </c>
      <c r="I10" s="50">
        <v>6.6</v>
      </c>
      <c r="J10" s="50">
        <v>1.28</v>
      </c>
      <c r="K10" s="50">
        <v>54.38</v>
      </c>
      <c r="L10" s="50">
        <v>26.04</v>
      </c>
      <c r="M10" s="50">
        <v>90.29</v>
      </c>
      <c r="N10" s="50">
        <v>3.8</v>
      </c>
      <c r="O10" s="50">
        <v>0</v>
      </c>
      <c r="P10" s="50">
        <v>0.61</v>
      </c>
      <c r="Q10" s="50">
        <v>4.68</v>
      </c>
    </row>
    <row r="11" spans="1:21" customFormat="1">
      <c r="A11" s="49">
        <v>45557.125</v>
      </c>
      <c r="B11" s="50">
        <v>9.24</v>
      </c>
      <c r="C11" s="50">
        <v>4.17</v>
      </c>
      <c r="D11" s="50">
        <v>14</v>
      </c>
      <c r="E11" s="50">
        <v>12.11</v>
      </c>
      <c r="F11" s="50">
        <v>5.84</v>
      </c>
      <c r="G11" s="50">
        <v>77.47</v>
      </c>
      <c r="H11" s="50">
        <v>36.93</v>
      </c>
      <c r="I11" s="50">
        <v>6.38</v>
      </c>
      <c r="J11" s="50">
        <v>0.39</v>
      </c>
      <c r="K11" s="50">
        <v>311.75</v>
      </c>
      <c r="L11" s="50">
        <v>25.43</v>
      </c>
      <c r="M11" s="50">
        <v>87.87</v>
      </c>
      <c r="N11" s="50">
        <v>2.1</v>
      </c>
      <c r="O11" s="50">
        <v>0</v>
      </c>
      <c r="P11" s="50">
        <v>0.6</v>
      </c>
      <c r="Q11" s="50">
        <v>4.6500000000000004</v>
      </c>
    </row>
    <row r="12" spans="1:21" customFormat="1">
      <c r="A12" s="49">
        <v>45557.166666666664</v>
      </c>
      <c r="B12" s="50">
        <v>9.1999999999999993</v>
      </c>
      <c r="C12" s="50">
        <v>4.1900000000000004</v>
      </c>
      <c r="D12" s="50">
        <v>14</v>
      </c>
      <c r="E12" s="50">
        <v>11.02</v>
      </c>
      <c r="F12" s="50">
        <v>4.53</v>
      </c>
      <c r="G12" s="50">
        <v>57.88</v>
      </c>
      <c r="H12" s="50">
        <v>28.86</v>
      </c>
      <c r="I12" s="50">
        <v>6.34</v>
      </c>
      <c r="J12" s="50">
        <v>0.2</v>
      </c>
      <c r="K12" s="50">
        <v>197.68</v>
      </c>
      <c r="L12" s="50">
        <v>25.57</v>
      </c>
      <c r="M12" s="50">
        <v>89.76</v>
      </c>
      <c r="N12" s="50">
        <v>2.1</v>
      </c>
      <c r="O12" s="50">
        <v>0</v>
      </c>
      <c r="P12" s="50">
        <v>0.59</v>
      </c>
      <c r="Q12" s="50">
        <v>4.66</v>
      </c>
    </row>
    <row r="13" spans="1:21" customFormat="1">
      <c r="A13" s="49">
        <v>45557.208333333336</v>
      </c>
      <c r="B13" s="50">
        <v>9.19</v>
      </c>
      <c r="C13" s="50">
        <v>4.21</v>
      </c>
      <c r="D13" s="50">
        <v>14</v>
      </c>
      <c r="E13" s="50">
        <v>9.9700000000000006</v>
      </c>
      <c r="F13" s="50">
        <v>4.21</v>
      </c>
      <c r="G13" s="50">
        <v>60.24</v>
      </c>
      <c r="H13" s="50">
        <v>28.43</v>
      </c>
      <c r="I13" s="50">
        <v>5.85</v>
      </c>
      <c r="J13" s="50">
        <v>0.28999999999999998</v>
      </c>
      <c r="K13" s="50">
        <v>197.5</v>
      </c>
      <c r="L13" s="50">
        <v>25.61</v>
      </c>
      <c r="M13" s="50">
        <v>92.4</v>
      </c>
      <c r="N13" s="50">
        <v>2.1</v>
      </c>
      <c r="O13" s="50">
        <v>0</v>
      </c>
      <c r="P13" s="50">
        <v>0.59</v>
      </c>
      <c r="Q13" s="50">
        <v>4.6500000000000004</v>
      </c>
    </row>
    <row r="14" spans="1:21" customFormat="1">
      <c r="A14" s="49">
        <v>45557.25</v>
      </c>
      <c r="B14" s="50">
        <v>9.2100000000000009</v>
      </c>
      <c r="C14" s="50">
        <v>4.1900000000000004</v>
      </c>
      <c r="D14" s="50">
        <v>14</v>
      </c>
      <c r="E14" s="50">
        <v>9.41</v>
      </c>
      <c r="F14" s="50">
        <v>4.82</v>
      </c>
      <c r="G14" s="50">
        <v>67.89</v>
      </c>
      <c r="H14" s="50">
        <v>29.02</v>
      </c>
      <c r="I14" s="50">
        <v>5.75</v>
      </c>
      <c r="J14" s="50">
        <v>0.28000000000000003</v>
      </c>
      <c r="K14" s="50">
        <v>301.2</v>
      </c>
      <c r="L14" s="50">
        <v>25.82</v>
      </c>
      <c r="M14" s="50">
        <v>93.16</v>
      </c>
      <c r="N14" s="50">
        <v>9.1999999999999993</v>
      </c>
      <c r="O14" s="50">
        <v>0</v>
      </c>
      <c r="P14" s="50">
        <v>0.57999999999999996</v>
      </c>
      <c r="Q14" s="50">
        <v>4.67</v>
      </c>
    </row>
    <row r="15" spans="1:21" customFormat="1">
      <c r="A15" s="49">
        <v>45557.291666666664</v>
      </c>
      <c r="B15" s="50">
        <v>9.2200000000000006</v>
      </c>
      <c r="C15" s="50">
        <v>4.17</v>
      </c>
      <c r="D15" s="50">
        <v>14</v>
      </c>
      <c r="E15" s="50">
        <v>10.26</v>
      </c>
      <c r="F15" s="50">
        <v>5.04</v>
      </c>
      <c r="G15" s="50">
        <v>67.89</v>
      </c>
      <c r="H15" s="50">
        <v>29.02</v>
      </c>
      <c r="I15" s="50">
        <v>6.49</v>
      </c>
      <c r="J15" s="50">
        <v>0.2</v>
      </c>
      <c r="K15" s="50">
        <v>340.51</v>
      </c>
      <c r="L15" s="50">
        <v>26.5</v>
      </c>
      <c r="M15" s="50">
        <v>86.38</v>
      </c>
      <c r="N15" s="50">
        <v>55</v>
      </c>
      <c r="O15" s="50">
        <v>0</v>
      </c>
      <c r="P15" s="50">
        <v>0.59</v>
      </c>
      <c r="Q15" s="50">
        <v>4.6500000000000004</v>
      </c>
    </row>
    <row r="16" spans="1:21" customFormat="1">
      <c r="A16" s="49">
        <v>45557.333333333336</v>
      </c>
      <c r="B16" s="50">
        <v>9.26</v>
      </c>
      <c r="C16" s="50">
        <v>4.1100000000000003</v>
      </c>
      <c r="D16" s="50">
        <v>14</v>
      </c>
      <c r="E16" s="50">
        <v>13.19</v>
      </c>
      <c r="F16" s="50">
        <v>5.77</v>
      </c>
      <c r="G16" s="50">
        <v>74.97</v>
      </c>
      <c r="H16" s="50">
        <v>37.630000000000003</v>
      </c>
      <c r="I16" s="50">
        <v>6.66</v>
      </c>
      <c r="J16" s="50">
        <v>0.33</v>
      </c>
      <c r="K16" s="50">
        <v>341.83</v>
      </c>
      <c r="L16" s="50">
        <v>28.21</v>
      </c>
      <c r="M16" s="50">
        <v>83.33</v>
      </c>
      <c r="N16" s="50">
        <v>147.6</v>
      </c>
      <c r="O16" s="50">
        <v>0</v>
      </c>
      <c r="P16" s="50">
        <v>0.62</v>
      </c>
      <c r="Q16" s="50">
        <v>4.67</v>
      </c>
    </row>
    <row r="17" spans="1:17" customFormat="1">
      <c r="A17" s="49">
        <v>45557.375</v>
      </c>
      <c r="B17" s="50">
        <v>9.2899999999999991</v>
      </c>
      <c r="C17" s="50">
        <v>4.08</v>
      </c>
      <c r="D17" s="50">
        <v>14.02</v>
      </c>
      <c r="E17" s="50">
        <v>25.72</v>
      </c>
      <c r="F17" s="50">
        <v>6.87</v>
      </c>
      <c r="G17" s="50">
        <v>99.39</v>
      </c>
      <c r="H17" s="50">
        <v>46.1</v>
      </c>
      <c r="I17" s="50">
        <v>7.18</v>
      </c>
      <c r="J17" s="50">
        <v>0.69</v>
      </c>
      <c r="K17" s="50">
        <v>60.45</v>
      </c>
      <c r="L17" s="50">
        <v>29.67</v>
      </c>
      <c r="M17" s="50">
        <v>74.88</v>
      </c>
      <c r="N17" s="50">
        <v>201.4</v>
      </c>
      <c r="O17" s="50">
        <v>0</v>
      </c>
      <c r="P17" s="50">
        <v>0.73</v>
      </c>
      <c r="Q17" s="50">
        <v>4.66</v>
      </c>
    </row>
    <row r="18" spans="1:17" customFormat="1">
      <c r="A18" s="49">
        <v>45557.416666666664</v>
      </c>
      <c r="B18" s="50">
        <v>9.2799999999999994</v>
      </c>
      <c r="C18" s="50">
        <v>4.0999999999999996</v>
      </c>
      <c r="D18" s="50">
        <v>14.03</v>
      </c>
      <c r="E18" s="50">
        <v>21.26</v>
      </c>
      <c r="F18" s="50">
        <v>10.68</v>
      </c>
      <c r="G18" s="50">
        <v>136.24</v>
      </c>
      <c r="H18" s="50">
        <v>47.18</v>
      </c>
      <c r="I18" s="50">
        <v>7.3</v>
      </c>
      <c r="J18" s="50">
        <v>0.97</v>
      </c>
      <c r="K18" s="50">
        <v>58.64</v>
      </c>
      <c r="L18" s="50">
        <v>30.87</v>
      </c>
      <c r="M18" s="50">
        <v>73.430000000000007</v>
      </c>
      <c r="N18" s="50">
        <v>233</v>
      </c>
      <c r="O18" s="50">
        <v>0</v>
      </c>
      <c r="P18" s="50">
        <v>0.75</v>
      </c>
      <c r="Q18" s="50">
        <v>4.66</v>
      </c>
    </row>
    <row r="19" spans="1:17" customFormat="1">
      <c r="A19" s="49">
        <v>45557.458333333336</v>
      </c>
      <c r="B19" s="50">
        <v>9.2799999999999994</v>
      </c>
      <c r="C19" s="50">
        <v>4.08</v>
      </c>
      <c r="D19" s="50">
        <v>14.01</v>
      </c>
      <c r="E19" s="50">
        <v>16.940000000000001</v>
      </c>
      <c r="F19" s="50">
        <v>13.37</v>
      </c>
      <c r="G19" s="50">
        <v>136.24</v>
      </c>
      <c r="H19" s="50">
        <v>47.18</v>
      </c>
      <c r="I19" s="50">
        <v>7.16</v>
      </c>
      <c r="J19" s="50">
        <v>0.91</v>
      </c>
      <c r="K19" s="50">
        <v>55.65</v>
      </c>
      <c r="L19" s="50">
        <v>31.95</v>
      </c>
      <c r="M19" s="50">
        <v>71.97</v>
      </c>
      <c r="N19" s="50">
        <v>385.2</v>
      </c>
      <c r="O19" s="50">
        <v>0</v>
      </c>
      <c r="P19" s="50">
        <v>0.69</v>
      </c>
      <c r="Q19" s="50">
        <v>4.67</v>
      </c>
    </row>
    <row r="20" spans="1:17" customFormat="1">
      <c r="A20" s="49">
        <v>45557.5</v>
      </c>
      <c r="B20" s="50">
        <v>9.26</v>
      </c>
      <c r="C20" s="50">
        <v>4.1399999999999997</v>
      </c>
      <c r="D20" s="50">
        <v>14</v>
      </c>
      <c r="E20" s="50">
        <v>44.65</v>
      </c>
      <c r="F20" s="50">
        <v>10.71</v>
      </c>
      <c r="G20" s="50">
        <v>110.85</v>
      </c>
      <c r="H20" s="50">
        <v>45.02</v>
      </c>
      <c r="I20" s="50">
        <v>6.58</v>
      </c>
      <c r="J20" s="50">
        <v>1.04</v>
      </c>
      <c r="K20" s="50">
        <v>55.4</v>
      </c>
      <c r="L20" s="50">
        <v>32.29</v>
      </c>
      <c r="M20" s="50">
        <v>69.08</v>
      </c>
      <c r="N20" s="50">
        <v>362.5</v>
      </c>
      <c r="O20" s="50">
        <v>0</v>
      </c>
      <c r="P20" s="50">
        <v>0.7</v>
      </c>
      <c r="Q20" s="50">
        <v>4.6399999999999997</v>
      </c>
    </row>
    <row r="21" spans="1:17" customFormat="1">
      <c r="A21" s="49">
        <v>45557.541666666664</v>
      </c>
      <c r="B21" s="50">
        <v>9.19</v>
      </c>
      <c r="C21" s="50">
        <v>4.2</v>
      </c>
      <c r="D21" s="50">
        <v>14</v>
      </c>
      <c r="E21" s="50">
        <v>30.78</v>
      </c>
      <c r="F21" s="50">
        <v>15.1</v>
      </c>
      <c r="G21" s="50">
        <v>100.8</v>
      </c>
      <c r="H21" s="50">
        <v>45.02</v>
      </c>
      <c r="I21" s="50">
        <v>6.53</v>
      </c>
      <c r="J21" s="50">
        <v>1.03</v>
      </c>
      <c r="K21" s="50">
        <v>54.7</v>
      </c>
      <c r="L21" s="50">
        <v>32.75</v>
      </c>
      <c r="M21" s="50">
        <v>66.34</v>
      </c>
      <c r="N21" s="50">
        <v>493.4</v>
      </c>
      <c r="O21" s="50">
        <v>0</v>
      </c>
      <c r="P21" s="50">
        <v>0.71</v>
      </c>
      <c r="Q21" s="50">
        <v>4.6399999999999997</v>
      </c>
    </row>
    <row r="22" spans="1:17" customFormat="1">
      <c r="A22" s="49">
        <v>45557.583333333336</v>
      </c>
      <c r="B22" s="50">
        <v>9.27</v>
      </c>
      <c r="C22" s="50">
        <v>4.1500000000000004</v>
      </c>
      <c r="D22" s="50">
        <v>14.01</v>
      </c>
      <c r="E22" s="50">
        <v>20.14</v>
      </c>
      <c r="F22" s="50">
        <v>13.19</v>
      </c>
      <c r="G22" s="50">
        <v>100.09</v>
      </c>
      <c r="H22" s="50">
        <v>39.25</v>
      </c>
      <c r="I22" s="50">
        <v>6.64</v>
      </c>
      <c r="J22" s="50">
        <v>1.1599999999999999</v>
      </c>
      <c r="K22" s="50">
        <v>60.28</v>
      </c>
      <c r="L22" s="50">
        <v>33.1</v>
      </c>
      <c r="M22" s="50">
        <v>64.47</v>
      </c>
      <c r="N22" s="50">
        <v>310.10000000000002</v>
      </c>
      <c r="O22" s="50">
        <v>0</v>
      </c>
      <c r="P22" s="50">
        <v>0.7</v>
      </c>
      <c r="Q22" s="50">
        <v>4.63</v>
      </c>
    </row>
    <row r="23" spans="1:17" customFormat="1">
      <c r="A23" s="49">
        <v>45557.625</v>
      </c>
      <c r="B23" s="50">
        <v>9.35</v>
      </c>
      <c r="C23" s="50">
        <v>4.09</v>
      </c>
      <c r="D23" s="50">
        <v>14.07</v>
      </c>
      <c r="E23" s="50">
        <v>16.88</v>
      </c>
      <c r="F23" s="50">
        <v>11.26</v>
      </c>
      <c r="G23" s="50">
        <v>90.42</v>
      </c>
      <c r="H23" s="50">
        <v>39.25</v>
      </c>
      <c r="I23" s="50">
        <v>6.86</v>
      </c>
      <c r="J23" s="50">
        <v>0.98</v>
      </c>
      <c r="K23" s="50">
        <v>101.98</v>
      </c>
      <c r="L23" s="50">
        <v>32.630000000000003</v>
      </c>
      <c r="M23" s="50">
        <v>70.41</v>
      </c>
      <c r="N23" s="50">
        <v>116.7</v>
      </c>
      <c r="O23" s="50">
        <v>0</v>
      </c>
      <c r="P23" s="50">
        <v>0.54</v>
      </c>
      <c r="Q23" s="50">
        <v>4.63</v>
      </c>
    </row>
    <row r="24" spans="1:17" customFormat="1">
      <c r="A24" s="49">
        <v>45557.666666666664</v>
      </c>
      <c r="B24" s="50">
        <v>9.32</v>
      </c>
      <c r="C24" s="50">
        <v>4.1100000000000003</v>
      </c>
      <c r="D24" s="50">
        <v>14.05</v>
      </c>
      <c r="E24" s="50">
        <v>14.22</v>
      </c>
      <c r="F24" s="50">
        <v>10.15</v>
      </c>
      <c r="G24" s="50">
        <v>90.34</v>
      </c>
      <c r="H24" s="50">
        <v>41.18</v>
      </c>
      <c r="I24" s="50">
        <v>6.88</v>
      </c>
      <c r="J24" s="50">
        <v>1.08</v>
      </c>
      <c r="K24" s="50">
        <v>66.78</v>
      </c>
      <c r="L24" s="50">
        <v>31.9</v>
      </c>
      <c r="M24" s="50">
        <v>83.24</v>
      </c>
      <c r="N24" s="50">
        <v>212.1</v>
      </c>
      <c r="O24" s="50">
        <v>4.8</v>
      </c>
      <c r="P24" s="50">
        <v>0.55000000000000004</v>
      </c>
      <c r="Q24" s="50">
        <v>4.6500000000000004</v>
      </c>
    </row>
    <row r="25" spans="1:17" customFormat="1">
      <c r="A25" s="49">
        <v>45557.708333333336</v>
      </c>
      <c r="B25" s="50">
        <v>9.39</v>
      </c>
      <c r="C25" s="50">
        <v>4.09</v>
      </c>
      <c r="D25" s="50">
        <v>14.11</v>
      </c>
      <c r="E25" s="50">
        <v>10.19</v>
      </c>
      <c r="F25" s="50">
        <v>5.73</v>
      </c>
      <c r="G25" s="50">
        <v>90.34</v>
      </c>
      <c r="H25" s="50">
        <v>41.18</v>
      </c>
      <c r="I25" s="50">
        <v>6.22</v>
      </c>
      <c r="J25" s="50">
        <v>0.28000000000000003</v>
      </c>
      <c r="K25" s="50">
        <v>200.44</v>
      </c>
      <c r="L25" s="50">
        <v>25.72</v>
      </c>
      <c r="M25" s="50">
        <v>97.28</v>
      </c>
      <c r="N25" s="50">
        <v>16.8</v>
      </c>
      <c r="O25" s="50">
        <v>2</v>
      </c>
      <c r="P25" s="50">
        <v>0.4</v>
      </c>
      <c r="Q25" s="50">
        <v>4.66</v>
      </c>
    </row>
    <row r="26" spans="1:17" customFormat="1">
      <c r="A26" s="49">
        <v>45557.75</v>
      </c>
      <c r="B26" s="50">
        <v>9.2200000000000006</v>
      </c>
      <c r="C26" s="50">
        <v>4.17</v>
      </c>
      <c r="D26" s="50">
        <v>14</v>
      </c>
      <c r="E26" s="50">
        <v>10.76</v>
      </c>
      <c r="F26" s="50">
        <v>5.54</v>
      </c>
      <c r="G26" s="50">
        <v>73.680000000000007</v>
      </c>
      <c r="H26" s="50">
        <v>31.46</v>
      </c>
      <c r="I26" s="50">
        <v>5.39</v>
      </c>
      <c r="J26" s="50">
        <v>0.17</v>
      </c>
      <c r="K26" s="50">
        <v>237.28</v>
      </c>
      <c r="L26" s="50">
        <v>26.03</v>
      </c>
      <c r="M26" s="50">
        <v>94.09</v>
      </c>
      <c r="N26" s="50">
        <v>9.3000000000000007</v>
      </c>
      <c r="O26" s="50">
        <v>0</v>
      </c>
      <c r="P26" s="50">
        <v>0.37</v>
      </c>
      <c r="Q26" s="50">
        <v>4.68</v>
      </c>
    </row>
    <row r="27" spans="1:17" customFormat="1">
      <c r="A27" s="49">
        <v>45557.791666666664</v>
      </c>
      <c r="B27" s="50">
        <v>9.2200000000000006</v>
      </c>
      <c r="C27" s="50">
        <v>4.18</v>
      </c>
      <c r="D27" s="50">
        <v>14</v>
      </c>
      <c r="E27" s="50">
        <v>10.36</v>
      </c>
      <c r="F27" s="50">
        <v>5.04</v>
      </c>
      <c r="G27" s="50">
        <v>56.57</v>
      </c>
      <c r="H27" s="50">
        <v>24.92</v>
      </c>
      <c r="I27" s="50">
        <v>5.04</v>
      </c>
      <c r="J27" s="50">
        <v>0.15</v>
      </c>
      <c r="K27" s="50">
        <v>236.19</v>
      </c>
      <c r="L27" s="50">
        <v>25.71</v>
      </c>
      <c r="M27" s="50">
        <v>95.46</v>
      </c>
      <c r="N27" s="50">
        <v>2.8</v>
      </c>
      <c r="O27" s="50">
        <v>0</v>
      </c>
      <c r="P27" s="50">
        <v>0.36</v>
      </c>
      <c r="Q27" s="50">
        <v>4.67</v>
      </c>
    </row>
    <row r="28" spans="1:17" customFormat="1">
      <c r="A28" s="49">
        <v>45557.833333333336</v>
      </c>
      <c r="B28" s="50">
        <v>9.23</v>
      </c>
      <c r="C28" s="50">
        <v>4.16</v>
      </c>
      <c r="D28" s="50">
        <v>14</v>
      </c>
      <c r="E28" s="50">
        <v>10.68</v>
      </c>
      <c r="F28" s="50">
        <v>5.78</v>
      </c>
      <c r="G28" s="50">
        <v>47.55</v>
      </c>
      <c r="H28" s="50">
        <v>24.92</v>
      </c>
      <c r="I28" s="50">
        <v>4.88</v>
      </c>
      <c r="J28" s="50">
        <v>0.19</v>
      </c>
      <c r="K28" s="50">
        <v>209.61</v>
      </c>
      <c r="L28" s="50">
        <v>25.93</v>
      </c>
      <c r="M28" s="50">
        <v>94.48</v>
      </c>
      <c r="N28" s="50">
        <v>2.9</v>
      </c>
      <c r="O28" s="50">
        <v>0</v>
      </c>
      <c r="P28" s="50">
        <v>0.35</v>
      </c>
      <c r="Q28" s="50">
        <v>4.66</v>
      </c>
    </row>
    <row r="29" spans="1:17" customFormat="1">
      <c r="A29" s="49">
        <v>45557.875</v>
      </c>
      <c r="B29" s="50">
        <v>9.19</v>
      </c>
      <c r="C29" s="50">
        <v>4.1900000000000004</v>
      </c>
      <c r="D29" s="50">
        <v>14</v>
      </c>
      <c r="E29" s="50">
        <v>11.54</v>
      </c>
      <c r="F29" s="50">
        <v>4.8099999999999996</v>
      </c>
      <c r="G29" s="50">
        <v>47.55</v>
      </c>
      <c r="H29" s="50">
        <v>19.37</v>
      </c>
      <c r="I29" s="50">
        <v>4.7699999999999996</v>
      </c>
      <c r="J29" s="50">
        <v>0.14000000000000001</v>
      </c>
      <c r="K29" s="50">
        <v>213.54</v>
      </c>
      <c r="L29" s="50">
        <v>25.83</v>
      </c>
      <c r="M29" s="50">
        <v>96.98</v>
      </c>
      <c r="N29" s="50">
        <v>2.6</v>
      </c>
      <c r="O29" s="50">
        <v>0</v>
      </c>
      <c r="P29" s="50">
        <v>0.38</v>
      </c>
      <c r="Q29" s="50">
        <v>4.66</v>
      </c>
    </row>
    <row r="30" spans="1:17" customFormat="1">
      <c r="A30" s="49">
        <v>45557.916666666664</v>
      </c>
      <c r="B30" s="50">
        <v>9.2100000000000009</v>
      </c>
      <c r="C30" s="50">
        <v>4.18</v>
      </c>
      <c r="D30" s="50">
        <v>14</v>
      </c>
      <c r="E30" s="50">
        <v>10.95</v>
      </c>
      <c r="F30" s="50">
        <v>4.74</v>
      </c>
      <c r="G30" s="50">
        <v>41.37</v>
      </c>
      <c r="H30" s="50">
        <v>16.7</v>
      </c>
      <c r="I30" s="50">
        <v>4.9400000000000004</v>
      </c>
      <c r="J30" s="50">
        <v>0.13</v>
      </c>
      <c r="K30" s="50">
        <v>184.92</v>
      </c>
      <c r="L30" s="50">
        <v>25.73</v>
      </c>
      <c r="M30" s="50">
        <v>97.15</v>
      </c>
      <c r="N30" s="50">
        <v>2.4</v>
      </c>
      <c r="O30" s="50">
        <v>0</v>
      </c>
      <c r="P30" s="50">
        <v>0.38</v>
      </c>
      <c r="Q30" s="50">
        <v>4.66</v>
      </c>
    </row>
    <row r="31" spans="1:17" customFormat="1">
      <c r="A31" s="49">
        <v>45557.958333333336</v>
      </c>
      <c r="B31" s="50">
        <v>9.26</v>
      </c>
      <c r="C31" s="50">
        <v>4.1399999999999997</v>
      </c>
      <c r="D31" s="50">
        <v>14.01</v>
      </c>
      <c r="E31" s="50">
        <v>8.8800000000000008</v>
      </c>
      <c r="F31" s="50">
        <v>4.49</v>
      </c>
      <c r="G31" s="50">
        <v>42.41</v>
      </c>
      <c r="H31" s="50">
        <v>14.44</v>
      </c>
      <c r="I31" s="50">
        <v>5.0199999999999996</v>
      </c>
      <c r="J31" s="50">
        <v>0.28999999999999998</v>
      </c>
      <c r="K31" s="50">
        <v>264.33</v>
      </c>
      <c r="L31" s="50">
        <v>25.49</v>
      </c>
      <c r="M31" s="50">
        <v>97.88</v>
      </c>
      <c r="N31" s="50">
        <v>2.6</v>
      </c>
      <c r="O31" s="50">
        <v>0</v>
      </c>
      <c r="P31" s="50">
        <v>0.38</v>
      </c>
      <c r="Q31" s="50">
        <v>4.6500000000000004</v>
      </c>
    </row>
    <row r="32" spans="1:17" customFormat="1">
      <c r="A32" s="49">
        <v>45558</v>
      </c>
      <c r="B32" s="50">
        <v>9.3000000000000007</v>
      </c>
      <c r="C32" s="50">
        <v>4.09</v>
      </c>
      <c r="D32" s="50">
        <v>14.03</v>
      </c>
      <c r="E32" s="50">
        <v>8.58</v>
      </c>
      <c r="F32" s="50">
        <v>4.72</v>
      </c>
      <c r="G32" s="50">
        <v>42.41</v>
      </c>
      <c r="H32" s="50">
        <v>16.100000000000001</v>
      </c>
      <c r="I32" s="50">
        <v>5.05</v>
      </c>
      <c r="J32" s="50">
        <v>0.12</v>
      </c>
      <c r="K32" s="50">
        <v>229.1</v>
      </c>
      <c r="L32" s="50">
        <v>25.5</v>
      </c>
      <c r="M32" s="50">
        <v>97.58</v>
      </c>
      <c r="N32" s="50">
        <v>2.4</v>
      </c>
      <c r="O32" s="50">
        <v>0</v>
      </c>
      <c r="P32" s="50">
        <v>0.37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9.19</v>
      </c>
      <c r="C34" s="40">
        <f t="shared" si="0"/>
        <v>4.08</v>
      </c>
      <c r="D34" s="40">
        <f t="shared" si="0"/>
        <v>14</v>
      </c>
      <c r="E34" s="40">
        <f t="shared" si="0"/>
        <v>8.58</v>
      </c>
      <c r="F34" s="40">
        <f t="shared" si="0"/>
        <v>4.21</v>
      </c>
      <c r="G34" s="40">
        <f t="shared" si="0"/>
        <v>41.37</v>
      </c>
      <c r="H34" s="40">
        <f t="shared" si="0"/>
        <v>14.44</v>
      </c>
      <c r="I34" s="40">
        <f t="shared" si="0"/>
        <v>4.7699999999999996</v>
      </c>
      <c r="J34" s="40">
        <f t="shared" si="0"/>
        <v>0.12</v>
      </c>
      <c r="K34" s="40">
        <f t="shared" si="0"/>
        <v>54.38</v>
      </c>
      <c r="L34" s="40">
        <f t="shared" si="0"/>
        <v>25.43</v>
      </c>
      <c r="M34" s="40">
        <f t="shared" si="0"/>
        <v>64.47</v>
      </c>
      <c r="N34" s="40">
        <f t="shared" si="0"/>
        <v>2.1</v>
      </c>
      <c r="O34" s="40">
        <f t="shared" si="0"/>
        <v>0</v>
      </c>
      <c r="P34" s="40">
        <f t="shared" si="0"/>
        <v>0.35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9.39</v>
      </c>
      <c r="C35" s="33">
        <f t="shared" si="1"/>
        <v>4.21</v>
      </c>
      <c r="D35" s="33">
        <f t="shared" si="1"/>
        <v>14.11</v>
      </c>
      <c r="E35" s="33">
        <f t="shared" si="1"/>
        <v>44.65</v>
      </c>
      <c r="F35" s="33">
        <f t="shared" si="1"/>
        <v>15.1</v>
      </c>
      <c r="G35" s="33">
        <f t="shared" si="1"/>
        <v>136.24</v>
      </c>
      <c r="H35" s="33">
        <f t="shared" si="1"/>
        <v>47.18</v>
      </c>
      <c r="I35" s="33">
        <f t="shared" si="1"/>
        <v>7.3</v>
      </c>
      <c r="J35" s="33">
        <f t="shared" si="1"/>
        <v>1.28</v>
      </c>
      <c r="K35" s="33">
        <f t="shared" si="1"/>
        <v>341.83</v>
      </c>
      <c r="L35" s="33">
        <f t="shared" si="1"/>
        <v>33.1</v>
      </c>
      <c r="M35" s="33">
        <f t="shared" si="1"/>
        <v>97.88</v>
      </c>
      <c r="N35" s="33">
        <f t="shared" si="1"/>
        <v>493.4</v>
      </c>
      <c r="O35" s="33">
        <f t="shared" si="1"/>
        <v>4.8</v>
      </c>
      <c r="P35" s="33">
        <f t="shared" si="1"/>
        <v>0.75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9.2537499999999984</v>
      </c>
      <c r="C36" s="40">
        <f t="shared" si="2"/>
        <v>4.1437499999999998</v>
      </c>
      <c r="D36" s="40">
        <f t="shared" si="2"/>
        <v>14.015833333333331</v>
      </c>
      <c r="E36" s="40">
        <f t="shared" si="2"/>
        <v>15.284583333333336</v>
      </c>
      <c r="F36" s="40">
        <f t="shared" si="2"/>
        <v>7.4087499999999986</v>
      </c>
      <c r="G36" s="40">
        <f t="shared" si="2"/>
        <v>78.777083333333323</v>
      </c>
      <c r="H36" s="40">
        <f t="shared" si="2"/>
        <v>34.01</v>
      </c>
      <c r="I36" s="40">
        <f t="shared" si="2"/>
        <v>6.1429166666666672</v>
      </c>
      <c r="J36" s="40">
        <f t="shared" si="2"/>
        <v>0.55499999999999994</v>
      </c>
      <c r="K36" s="40">
        <f t="shared" si="2"/>
        <v>176.02875000000006</v>
      </c>
      <c r="L36" s="40">
        <f t="shared" si="2"/>
        <v>28.02791666666667</v>
      </c>
      <c r="M36" s="40">
        <f t="shared" si="2"/>
        <v>85.846250000000012</v>
      </c>
      <c r="N36" s="40">
        <f t="shared" si="2"/>
        <v>107.57916666666667</v>
      </c>
      <c r="O36" s="40">
        <f t="shared" si="2"/>
        <v>0.28333333333333333</v>
      </c>
      <c r="P36" s="40">
        <f t="shared" si="2"/>
        <v>0.54833333333333323</v>
      </c>
      <c r="Q36" s="40">
        <f t="shared" si="2"/>
        <v>4.6570833333333335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5.1483429161827098E-2</v>
      </c>
      <c r="C37" s="40">
        <f t="shared" ref="C37:Q37" si="3">STDEV(C9:C32)</f>
        <v>4.2304537735844389E-2</v>
      </c>
      <c r="D37" s="40">
        <f t="shared" si="3"/>
        <v>2.7649462085602757E-2</v>
      </c>
      <c r="E37" s="40">
        <f t="shared" si="3"/>
        <v>8.3804451366503017</v>
      </c>
      <c r="F37" s="40">
        <f t="shared" si="3"/>
        <v>3.3148012105128437</v>
      </c>
      <c r="G37" s="40">
        <f t="shared" si="3"/>
        <v>27.314538170560724</v>
      </c>
      <c r="H37" s="40">
        <f t="shared" si="3"/>
        <v>10.618786060153196</v>
      </c>
      <c r="I37" s="40">
        <f t="shared" si="3"/>
        <v>0.82887288146203442</v>
      </c>
      <c r="J37" s="40">
        <f t="shared" si="3"/>
        <v>0.41444567483725103</v>
      </c>
      <c r="K37" s="40">
        <f t="shared" si="3"/>
        <v>99.451469454354509</v>
      </c>
      <c r="L37" s="40">
        <f t="shared" si="3"/>
        <v>2.9526362269005353</v>
      </c>
      <c r="M37" s="40">
        <f t="shared" si="3"/>
        <v>11.259085534145886</v>
      </c>
      <c r="N37" s="40">
        <f t="shared" si="3"/>
        <v>150.42490537074337</v>
      </c>
      <c r="O37" s="40">
        <f t="shared" si="3"/>
        <v>1.0449325614464382</v>
      </c>
      <c r="P37" s="40">
        <f t="shared" si="3"/>
        <v>0.13741927801809511</v>
      </c>
      <c r="Q37" s="40">
        <f t="shared" si="3"/>
        <v>1.3344650993747525E-2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45558.041666666664</v>
      </c>
      <c r="B9" s="50">
        <v>9.27</v>
      </c>
      <c r="C9" s="50">
        <v>4.0999999999999996</v>
      </c>
      <c r="D9" s="50">
        <v>14.02</v>
      </c>
      <c r="E9" s="50">
        <v>7.88</v>
      </c>
      <c r="F9" s="50">
        <v>5.35</v>
      </c>
      <c r="G9" s="50">
        <v>35.47</v>
      </c>
      <c r="H9" s="50">
        <v>17.79</v>
      </c>
      <c r="I9" s="50">
        <v>5.0199999999999996</v>
      </c>
      <c r="J9" s="50">
        <v>0.34</v>
      </c>
      <c r="K9" s="50">
        <v>350.05</v>
      </c>
      <c r="L9" s="50">
        <v>25.5</v>
      </c>
      <c r="M9" s="50">
        <v>96.69</v>
      </c>
      <c r="N9" s="50">
        <v>2.4</v>
      </c>
      <c r="O9" s="50">
        <v>0</v>
      </c>
      <c r="P9" s="50">
        <v>0.35</v>
      </c>
      <c r="Q9" s="50">
        <v>4.6500000000000004</v>
      </c>
    </row>
    <row r="10" spans="1:21" customFormat="1">
      <c r="A10" s="49">
        <v>45558.083333333336</v>
      </c>
      <c r="B10" s="50">
        <v>9.26</v>
      </c>
      <c r="C10" s="50">
        <v>4.12</v>
      </c>
      <c r="D10" s="50">
        <v>14</v>
      </c>
      <c r="E10" s="50">
        <v>7.89</v>
      </c>
      <c r="F10" s="50">
        <v>5.54</v>
      </c>
      <c r="G10" s="50">
        <v>41.95</v>
      </c>
      <c r="H10" s="50">
        <v>20.22</v>
      </c>
      <c r="I10" s="50">
        <v>4.91</v>
      </c>
      <c r="J10" s="50">
        <v>0.19</v>
      </c>
      <c r="K10" s="50">
        <v>189.86</v>
      </c>
      <c r="L10" s="50">
        <v>25.67</v>
      </c>
      <c r="M10" s="50">
        <v>96.48</v>
      </c>
      <c r="N10" s="50">
        <v>2.2000000000000002</v>
      </c>
      <c r="O10" s="50">
        <v>0</v>
      </c>
      <c r="P10" s="50">
        <v>0.35</v>
      </c>
      <c r="Q10" s="50">
        <v>4.66</v>
      </c>
    </row>
    <row r="11" spans="1:21" customFormat="1">
      <c r="A11" s="49">
        <v>45558.125</v>
      </c>
      <c r="B11" s="50">
        <v>9.2100000000000009</v>
      </c>
      <c r="C11" s="50">
        <v>4.21</v>
      </c>
      <c r="D11" s="50">
        <v>14</v>
      </c>
      <c r="E11" s="50">
        <v>12.1</v>
      </c>
      <c r="F11" s="50">
        <v>4.84</v>
      </c>
      <c r="G11" s="50">
        <v>47.67</v>
      </c>
      <c r="H11" s="50">
        <v>24.96</v>
      </c>
      <c r="I11" s="50">
        <v>4.92</v>
      </c>
      <c r="J11" s="50">
        <v>0.25</v>
      </c>
      <c r="K11" s="50">
        <v>61.8</v>
      </c>
      <c r="L11" s="50">
        <v>25.71</v>
      </c>
      <c r="M11" s="50">
        <v>95.54</v>
      </c>
      <c r="N11" s="50">
        <v>2.4</v>
      </c>
      <c r="O11" s="50">
        <v>0</v>
      </c>
      <c r="P11" s="50">
        <v>0.38</v>
      </c>
      <c r="Q11" s="50">
        <v>4.66</v>
      </c>
    </row>
    <row r="12" spans="1:21" customFormat="1">
      <c r="A12" s="49">
        <v>45558.166666666664</v>
      </c>
      <c r="B12" s="50">
        <v>9.18</v>
      </c>
      <c r="C12" s="50">
        <v>4.2</v>
      </c>
      <c r="D12" s="50">
        <v>14</v>
      </c>
      <c r="E12" s="50">
        <v>12.22</v>
      </c>
      <c r="F12" s="50">
        <v>4.71</v>
      </c>
      <c r="G12" s="50">
        <v>72.92</v>
      </c>
      <c r="H12" s="50">
        <v>27.72</v>
      </c>
      <c r="I12" s="50">
        <v>5.33</v>
      </c>
      <c r="J12" s="50">
        <v>0.35</v>
      </c>
      <c r="K12" s="50">
        <v>62.17</v>
      </c>
      <c r="L12" s="50">
        <v>25.81</v>
      </c>
      <c r="M12" s="50">
        <v>95.05</v>
      </c>
      <c r="N12" s="50">
        <v>2.4</v>
      </c>
      <c r="O12" s="50">
        <v>0</v>
      </c>
      <c r="P12" s="50">
        <v>0.4</v>
      </c>
      <c r="Q12" s="50">
        <v>4.66</v>
      </c>
    </row>
    <row r="13" spans="1:21" customFormat="1">
      <c r="A13" s="49">
        <v>45558.208333333336</v>
      </c>
      <c r="B13" s="50">
        <v>9.1999999999999993</v>
      </c>
      <c r="C13" s="50">
        <v>4.18</v>
      </c>
      <c r="D13" s="50">
        <v>14</v>
      </c>
      <c r="E13" s="50">
        <v>12.58</v>
      </c>
      <c r="F13" s="50">
        <v>3.98</v>
      </c>
      <c r="G13" s="50">
        <v>93.77</v>
      </c>
      <c r="H13" s="50">
        <v>32.159999999999997</v>
      </c>
      <c r="I13" s="50">
        <v>5.48</v>
      </c>
      <c r="J13" s="50">
        <v>0.19</v>
      </c>
      <c r="K13" s="50">
        <v>81.260000000000005</v>
      </c>
      <c r="L13" s="50">
        <v>25.72</v>
      </c>
      <c r="M13" s="50">
        <v>95.75</v>
      </c>
      <c r="N13" s="50">
        <v>2.2999999999999998</v>
      </c>
      <c r="O13" s="50">
        <v>0</v>
      </c>
      <c r="P13" s="50">
        <v>0.43</v>
      </c>
      <c r="Q13" s="50">
        <v>4.67</v>
      </c>
    </row>
    <row r="14" spans="1:21" customFormat="1">
      <c r="A14" s="49">
        <v>45558.25</v>
      </c>
      <c r="B14" s="50">
        <v>9.2100000000000009</v>
      </c>
      <c r="C14" s="50">
        <v>4.2</v>
      </c>
      <c r="D14" s="50">
        <v>14</v>
      </c>
      <c r="E14" s="50">
        <v>12.85</v>
      </c>
      <c r="F14" s="50">
        <v>3.51</v>
      </c>
      <c r="G14" s="50">
        <v>97.51</v>
      </c>
      <c r="H14" s="50">
        <v>32.159999999999997</v>
      </c>
      <c r="I14" s="50">
        <v>5.69</v>
      </c>
      <c r="J14" s="50">
        <v>0.38</v>
      </c>
      <c r="K14" s="50">
        <v>90.94</v>
      </c>
      <c r="L14" s="50">
        <v>25.75</v>
      </c>
      <c r="M14" s="50">
        <v>96.02</v>
      </c>
      <c r="N14" s="50">
        <v>9.1999999999999993</v>
      </c>
      <c r="O14" s="50">
        <v>0</v>
      </c>
      <c r="P14" s="50">
        <v>0.47</v>
      </c>
      <c r="Q14" s="50">
        <v>4.66</v>
      </c>
    </row>
    <row r="15" spans="1:21" customFormat="1">
      <c r="A15" s="49">
        <v>45558.291666666664</v>
      </c>
      <c r="B15" s="50">
        <v>9.1999999999999993</v>
      </c>
      <c r="C15" s="50">
        <v>4.18</v>
      </c>
      <c r="D15" s="50">
        <v>14</v>
      </c>
      <c r="E15" s="50">
        <v>12.93</v>
      </c>
      <c r="F15" s="50">
        <v>5.19</v>
      </c>
      <c r="G15" s="50">
        <v>111.83</v>
      </c>
      <c r="H15" s="50">
        <v>32.21</v>
      </c>
      <c r="I15" s="50">
        <v>6.1</v>
      </c>
      <c r="J15" s="50">
        <v>0.74</v>
      </c>
      <c r="K15" s="50">
        <v>60.32</v>
      </c>
      <c r="L15" s="50">
        <v>26.41</v>
      </c>
      <c r="M15" s="50">
        <v>95.68</v>
      </c>
      <c r="N15" s="50">
        <v>44.4</v>
      </c>
      <c r="O15" s="50">
        <v>0</v>
      </c>
      <c r="P15" s="50">
        <v>0.51</v>
      </c>
      <c r="Q15" s="50">
        <v>4.6500000000000004</v>
      </c>
    </row>
    <row r="16" spans="1:21" customFormat="1">
      <c r="A16" s="49">
        <v>45558.333333333336</v>
      </c>
      <c r="B16" s="50">
        <v>9.24</v>
      </c>
      <c r="C16" s="50">
        <v>4.16</v>
      </c>
      <c r="D16" s="50">
        <v>14</v>
      </c>
      <c r="E16" s="50">
        <v>12.6</v>
      </c>
      <c r="F16" s="50">
        <v>6.93</v>
      </c>
      <c r="G16" s="50">
        <v>111.83</v>
      </c>
      <c r="H16" s="50">
        <v>32.21</v>
      </c>
      <c r="I16" s="50">
        <v>6.19</v>
      </c>
      <c r="J16" s="50">
        <v>0.87</v>
      </c>
      <c r="K16" s="50">
        <v>57.32</v>
      </c>
      <c r="L16" s="50">
        <v>27.97</v>
      </c>
      <c r="M16" s="50">
        <v>89.78</v>
      </c>
      <c r="N16" s="50">
        <v>184.3</v>
      </c>
      <c r="O16" s="50">
        <v>0</v>
      </c>
      <c r="P16" s="50">
        <v>0.5</v>
      </c>
      <c r="Q16" s="50">
        <v>4.66</v>
      </c>
    </row>
    <row r="17" spans="1:17" customFormat="1">
      <c r="A17" s="49">
        <v>45558.375</v>
      </c>
      <c r="B17" s="50">
        <v>9.25</v>
      </c>
      <c r="C17" s="50">
        <v>4.0999999999999996</v>
      </c>
      <c r="D17" s="50">
        <v>14.01</v>
      </c>
      <c r="E17" s="50">
        <v>12.56</v>
      </c>
      <c r="F17" s="50">
        <v>5.27</v>
      </c>
      <c r="G17" s="50">
        <v>93.55</v>
      </c>
      <c r="H17" s="50">
        <v>30.53</v>
      </c>
      <c r="I17" s="50">
        <v>6.14</v>
      </c>
      <c r="J17" s="50">
        <v>0.51</v>
      </c>
      <c r="K17" s="50">
        <v>72.180000000000007</v>
      </c>
      <c r="L17" s="50">
        <v>29.9</v>
      </c>
      <c r="M17" s="50">
        <v>80.56</v>
      </c>
      <c r="N17" s="50">
        <v>269.89999999999998</v>
      </c>
      <c r="O17" s="50">
        <v>0</v>
      </c>
      <c r="P17" s="50">
        <v>0.49</v>
      </c>
      <c r="Q17" s="50">
        <v>4.6500000000000004</v>
      </c>
    </row>
    <row r="18" spans="1:17" customFormat="1">
      <c r="A18" s="49">
        <v>45558.416666666664</v>
      </c>
      <c r="B18" s="50">
        <v>9.32</v>
      </c>
      <c r="C18" s="50">
        <v>4.09</v>
      </c>
      <c r="D18" s="50">
        <v>14.06</v>
      </c>
      <c r="E18" s="50">
        <v>12.86</v>
      </c>
      <c r="F18" s="50">
        <v>5.09</v>
      </c>
      <c r="G18" s="50">
        <v>80.91</v>
      </c>
      <c r="H18" s="50">
        <v>25.16</v>
      </c>
      <c r="I18" s="50">
        <v>6.13</v>
      </c>
      <c r="J18" s="50">
        <v>0.68</v>
      </c>
      <c r="K18" s="50">
        <v>65.11</v>
      </c>
      <c r="L18" s="50">
        <v>31.06</v>
      </c>
      <c r="M18" s="50">
        <v>72.53</v>
      </c>
      <c r="N18" s="50">
        <v>253.8</v>
      </c>
      <c r="O18" s="50">
        <v>0</v>
      </c>
      <c r="P18" s="50">
        <v>0.5</v>
      </c>
      <c r="Q18" s="50">
        <v>4.63</v>
      </c>
    </row>
    <row r="19" spans="1:17" customFormat="1">
      <c r="A19" s="49">
        <v>45558.458333333336</v>
      </c>
      <c r="B19" s="50">
        <v>9.33</v>
      </c>
      <c r="C19" s="50">
        <v>4.09</v>
      </c>
      <c r="D19" s="50">
        <v>14.07</v>
      </c>
      <c r="E19" s="50">
        <v>15.41</v>
      </c>
      <c r="F19" s="50">
        <v>9.11</v>
      </c>
      <c r="G19" s="50">
        <v>72.790000000000006</v>
      </c>
      <c r="H19" s="50">
        <v>25.16</v>
      </c>
      <c r="I19" s="50">
        <v>6.13</v>
      </c>
      <c r="J19" s="50">
        <v>0.63</v>
      </c>
      <c r="K19" s="50">
        <v>70.400000000000006</v>
      </c>
      <c r="L19" s="50">
        <v>32.369999999999997</v>
      </c>
      <c r="M19" s="50">
        <v>69.52</v>
      </c>
      <c r="N19" s="50">
        <v>578.29999999999995</v>
      </c>
      <c r="O19" s="50">
        <v>0</v>
      </c>
      <c r="P19" s="50">
        <v>0.5</v>
      </c>
      <c r="Q19" s="50">
        <v>4.68</v>
      </c>
    </row>
    <row r="20" spans="1:17" customFormat="1">
      <c r="A20" s="49">
        <v>45558.5</v>
      </c>
      <c r="B20" s="50">
        <v>9.3699999999999992</v>
      </c>
      <c r="C20" s="50">
        <v>4.1100000000000003</v>
      </c>
      <c r="D20" s="50">
        <v>14.08</v>
      </c>
      <c r="E20" s="50">
        <v>15.52</v>
      </c>
      <c r="F20" s="50">
        <v>15.81</v>
      </c>
      <c r="G20" s="50">
        <v>70.44</v>
      </c>
      <c r="H20" s="50">
        <v>23.36</v>
      </c>
      <c r="I20" s="50">
        <v>5.81</v>
      </c>
      <c r="J20" s="50">
        <v>0.89</v>
      </c>
      <c r="K20" s="50">
        <v>74.66</v>
      </c>
      <c r="L20" s="50">
        <v>33.08</v>
      </c>
      <c r="M20" s="50">
        <v>66.08</v>
      </c>
      <c r="N20" s="50">
        <v>710.9</v>
      </c>
      <c r="O20" s="50">
        <v>0</v>
      </c>
      <c r="P20" s="50">
        <v>0.4</v>
      </c>
      <c r="Q20" s="50">
        <v>4.68</v>
      </c>
    </row>
    <row r="21" spans="1:17" customFormat="1">
      <c r="A21" s="49">
        <v>45558.541666666664</v>
      </c>
      <c r="B21" s="50">
        <v>9.25</v>
      </c>
      <c r="C21" s="50">
        <v>4.13</v>
      </c>
      <c r="D21" s="50">
        <v>14</v>
      </c>
      <c r="E21" s="50">
        <v>15.57</v>
      </c>
      <c r="F21" s="50">
        <v>12.85</v>
      </c>
      <c r="G21" s="50">
        <v>70.42</v>
      </c>
      <c r="H21" s="50">
        <v>23.72</v>
      </c>
      <c r="I21" s="50">
        <v>5.49</v>
      </c>
      <c r="J21" s="50">
        <v>0.35</v>
      </c>
      <c r="K21" s="50">
        <v>113.79</v>
      </c>
      <c r="L21" s="50">
        <v>33.799999999999997</v>
      </c>
      <c r="M21" s="50">
        <v>63.73</v>
      </c>
      <c r="N21" s="50">
        <v>742.6</v>
      </c>
      <c r="O21" s="50">
        <v>0</v>
      </c>
      <c r="P21" s="50">
        <v>0.4</v>
      </c>
      <c r="Q21" s="50">
        <v>4.67</v>
      </c>
    </row>
    <row r="22" spans="1:17" customFormat="1">
      <c r="A22" s="49">
        <v>45558.583333333336</v>
      </c>
      <c r="B22" s="50">
        <v>9.23</v>
      </c>
      <c r="C22" s="50">
        <v>4.17</v>
      </c>
      <c r="D22" s="50">
        <v>14</v>
      </c>
      <c r="E22" s="50">
        <v>13.52</v>
      </c>
      <c r="F22" s="50">
        <v>16.7</v>
      </c>
      <c r="G22" s="50">
        <v>66.680000000000007</v>
      </c>
      <c r="H22" s="50">
        <v>26.32</v>
      </c>
      <c r="I22" s="50">
        <v>5.29</v>
      </c>
      <c r="J22" s="50">
        <v>0.36</v>
      </c>
      <c r="K22" s="50">
        <v>94.2</v>
      </c>
      <c r="L22" s="50">
        <v>34.049999999999997</v>
      </c>
      <c r="M22" s="50">
        <v>63.12</v>
      </c>
      <c r="N22" s="50">
        <v>662.9</v>
      </c>
      <c r="O22" s="50">
        <v>0</v>
      </c>
      <c r="P22" s="50">
        <v>0.38</v>
      </c>
      <c r="Q22" s="50">
        <v>4.67</v>
      </c>
    </row>
    <row r="23" spans="1:17" customFormat="1">
      <c r="A23" s="49">
        <v>45558.625</v>
      </c>
      <c r="B23" s="50">
        <v>9.23</v>
      </c>
      <c r="C23" s="50">
        <v>4.22</v>
      </c>
      <c r="D23" s="50">
        <v>14</v>
      </c>
      <c r="E23" s="50">
        <v>13.43</v>
      </c>
      <c r="F23" s="50">
        <v>19.82</v>
      </c>
      <c r="G23" s="50">
        <v>64.67</v>
      </c>
      <c r="H23" s="50">
        <v>26.32</v>
      </c>
      <c r="I23" s="50">
        <v>5.04</v>
      </c>
      <c r="J23" s="50">
        <v>0.79</v>
      </c>
      <c r="K23" s="50">
        <v>123.92</v>
      </c>
      <c r="L23" s="50">
        <v>34.03</v>
      </c>
      <c r="M23" s="50">
        <v>61.8</v>
      </c>
      <c r="N23" s="50">
        <v>144.4</v>
      </c>
      <c r="O23" s="50">
        <v>0</v>
      </c>
      <c r="P23" s="50">
        <v>0.51</v>
      </c>
      <c r="Q23" s="50">
        <v>4.67</v>
      </c>
    </row>
    <row r="24" spans="1:17" customFormat="1">
      <c r="A24" s="49">
        <v>45558.666666666664</v>
      </c>
      <c r="B24" s="50">
        <v>9.2200000000000006</v>
      </c>
      <c r="C24" s="50">
        <v>4.2</v>
      </c>
      <c r="D24" s="50">
        <v>14</v>
      </c>
      <c r="E24" s="50">
        <v>18.260000000000002</v>
      </c>
      <c r="F24" s="50">
        <v>22</v>
      </c>
      <c r="G24" s="50">
        <v>59.8</v>
      </c>
      <c r="H24" s="50">
        <v>25.36</v>
      </c>
      <c r="I24" s="50">
        <v>4.8600000000000003</v>
      </c>
      <c r="J24" s="50">
        <v>0.79</v>
      </c>
      <c r="K24" s="50">
        <v>56.96</v>
      </c>
      <c r="L24" s="50">
        <v>33.51</v>
      </c>
      <c r="M24" s="50">
        <v>61.92</v>
      </c>
      <c r="N24" s="50">
        <v>284.89999999999998</v>
      </c>
      <c r="O24" s="50">
        <v>0</v>
      </c>
      <c r="P24" s="50">
        <v>0.56000000000000005</v>
      </c>
      <c r="Q24" s="50">
        <v>4.67</v>
      </c>
    </row>
    <row r="25" spans="1:17" customFormat="1">
      <c r="A25" s="49">
        <v>45558.708333333336</v>
      </c>
      <c r="B25" s="50">
        <v>9.27</v>
      </c>
      <c r="C25" s="50">
        <v>4.12</v>
      </c>
      <c r="D25" s="50">
        <v>14.03</v>
      </c>
      <c r="E25" s="50">
        <v>19.440000000000001</v>
      </c>
      <c r="F25" s="50">
        <v>24.38</v>
      </c>
      <c r="G25" s="50">
        <v>68.42</v>
      </c>
      <c r="H25" s="50">
        <v>26.52</v>
      </c>
      <c r="I25" s="50">
        <v>5.26</v>
      </c>
      <c r="J25" s="50">
        <v>0.6</v>
      </c>
      <c r="K25" s="50">
        <v>119.43</v>
      </c>
      <c r="L25" s="50">
        <v>32.75</v>
      </c>
      <c r="M25" s="50">
        <v>67.33</v>
      </c>
      <c r="N25" s="50">
        <v>60.1</v>
      </c>
      <c r="O25" s="50">
        <v>0</v>
      </c>
      <c r="P25" s="50">
        <v>0.6</v>
      </c>
      <c r="Q25" s="50">
        <v>4.6500000000000004</v>
      </c>
    </row>
    <row r="26" spans="1:17" customFormat="1">
      <c r="A26" s="49">
        <v>45558.75</v>
      </c>
      <c r="B26" s="50">
        <v>9.2200000000000006</v>
      </c>
      <c r="C26" s="50">
        <v>4.1500000000000004</v>
      </c>
      <c r="D26" s="50">
        <v>14</v>
      </c>
      <c r="E26" s="50">
        <v>16.670000000000002</v>
      </c>
      <c r="F26" s="50">
        <v>16.559999999999999</v>
      </c>
      <c r="G26" s="50">
        <v>68.42</v>
      </c>
      <c r="H26" s="50">
        <v>34.1</v>
      </c>
      <c r="I26" s="50">
        <v>5.25</v>
      </c>
      <c r="J26" s="50">
        <v>0.21</v>
      </c>
      <c r="K26" s="50">
        <v>203.28</v>
      </c>
      <c r="L26" s="50">
        <v>31.61</v>
      </c>
      <c r="M26" s="50">
        <v>80.59</v>
      </c>
      <c r="N26" s="50">
        <v>17.899999999999999</v>
      </c>
      <c r="O26" s="50">
        <v>0</v>
      </c>
      <c r="P26" s="50">
        <v>0.6</v>
      </c>
      <c r="Q26" s="50">
        <v>4.63</v>
      </c>
    </row>
    <row r="27" spans="1:17" customFormat="1">
      <c r="A27" s="49">
        <v>45558.791666666664</v>
      </c>
      <c r="B27" s="50">
        <v>9.18</v>
      </c>
      <c r="C27" s="50">
        <v>4.29</v>
      </c>
      <c r="D27" s="50">
        <v>14</v>
      </c>
      <c r="E27" s="50">
        <v>13.68</v>
      </c>
      <c r="F27" s="50">
        <v>13.14</v>
      </c>
      <c r="G27" s="50">
        <v>75.37</v>
      </c>
      <c r="H27" s="50">
        <v>34.1</v>
      </c>
      <c r="I27" s="50">
        <v>5.44</v>
      </c>
      <c r="J27" s="50">
        <v>0.32</v>
      </c>
      <c r="K27" s="50">
        <v>206.07</v>
      </c>
      <c r="L27" s="50">
        <v>30.12</v>
      </c>
      <c r="M27" s="50">
        <v>83.63</v>
      </c>
      <c r="N27" s="50">
        <v>2.7</v>
      </c>
      <c r="O27" s="50">
        <v>0</v>
      </c>
      <c r="P27" s="50">
        <v>0.65</v>
      </c>
      <c r="Q27" s="50">
        <v>4.6500000000000004</v>
      </c>
    </row>
    <row r="28" spans="1:17" customFormat="1">
      <c r="A28" s="49">
        <v>45558.833333333336</v>
      </c>
      <c r="B28" s="50">
        <v>9.1300000000000008</v>
      </c>
      <c r="C28" s="50">
        <v>4.3</v>
      </c>
      <c r="D28" s="50">
        <v>14</v>
      </c>
      <c r="E28" s="50">
        <v>12.48</v>
      </c>
      <c r="F28" s="50">
        <v>9.02</v>
      </c>
      <c r="G28" s="50">
        <v>81.66</v>
      </c>
      <c r="H28" s="50">
        <v>33.92</v>
      </c>
      <c r="I28" s="50">
        <v>5.88</v>
      </c>
      <c r="J28" s="50">
        <v>0.24</v>
      </c>
      <c r="K28" s="50">
        <v>260.27999999999997</v>
      </c>
      <c r="L28" s="50">
        <v>29.18</v>
      </c>
      <c r="M28" s="50">
        <v>88.19</v>
      </c>
      <c r="N28" s="50">
        <v>2.4</v>
      </c>
      <c r="O28" s="50">
        <v>0</v>
      </c>
      <c r="P28" s="50">
        <v>0.71</v>
      </c>
      <c r="Q28" s="50">
        <v>4.6399999999999997</v>
      </c>
    </row>
    <row r="29" spans="1:17" customFormat="1">
      <c r="A29" s="49">
        <v>45558.875</v>
      </c>
      <c r="B29" s="50">
        <v>9.34</v>
      </c>
      <c r="C29" s="50">
        <v>4.22</v>
      </c>
      <c r="D29" s="50">
        <v>14.08</v>
      </c>
      <c r="E29" s="50">
        <v>11.76</v>
      </c>
      <c r="F29" s="50">
        <v>10.16</v>
      </c>
      <c r="G29" s="50">
        <v>89.68</v>
      </c>
      <c r="H29" s="50">
        <v>33.92</v>
      </c>
      <c r="I29" s="50">
        <v>6.42</v>
      </c>
      <c r="J29" s="50">
        <v>0.2</v>
      </c>
      <c r="K29" s="50">
        <v>212.88</v>
      </c>
      <c r="L29" s="50">
        <v>28.74</v>
      </c>
      <c r="M29" s="50">
        <v>88.58</v>
      </c>
      <c r="N29" s="50">
        <v>2.2999999999999998</v>
      </c>
      <c r="O29" s="50">
        <v>0</v>
      </c>
      <c r="P29" s="50">
        <v>0.7</v>
      </c>
      <c r="Q29" s="50">
        <v>4.68</v>
      </c>
    </row>
    <row r="30" spans="1:17" customFormat="1">
      <c r="A30" s="49">
        <v>45558.916666666664</v>
      </c>
      <c r="B30" s="50">
        <v>9.2899999999999991</v>
      </c>
      <c r="C30" s="50">
        <v>4.08</v>
      </c>
      <c r="D30" s="50">
        <v>14.02</v>
      </c>
      <c r="E30" s="50">
        <v>12.91</v>
      </c>
      <c r="F30" s="50">
        <v>8</v>
      </c>
      <c r="G30" s="50">
        <v>91.91</v>
      </c>
      <c r="H30" s="50">
        <v>34.72</v>
      </c>
      <c r="I30" s="50">
        <v>6.62</v>
      </c>
      <c r="J30" s="50">
        <v>0.19</v>
      </c>
      <c r="K30" s="50">
        <v>253.04</v>
      </c>
      <c r="L30" s="50">
        <v>28.67</v>
      </c>
      <c r="M30" s="50">
        <v>87.32</v>
      </c>
      <c r="N30" s="50">
        <v>2.4</v>
      </c>
      <c r="O30" s="50">
        <v>0</v>
      </c>
      <c r="P30" s="50">
        <v>0.72</v>
      </c>
      <c r="Q30" s="50">
        <v>4.66</v>
      </c>
    </row>
    <row r="31" spans="1:17" customFormat="1">
      <c r="A31" s="49">
        <v>45558.958333333336</v>
      </c>
      <c r="B31" s="50">
        <v>9.27</v>
      </c>
      <c r="C31" s="50">
        <v>4.1500000000000004</v>
      </c>
      <c r="D31" s="50">
        <v>14.01</v>
      </c>
      <c r="E31" s="50">
        <v>13.4</v>
      </c>
      <c r="F31" s="50">
        <v>6.37</v>
      </c>
      <c r="G31" s="50">
        <v>98.77</v>
      </c>
      <c r="H31" s="50">
        <v>37.93</v>
      </c>
      <c r="I31" s="50">
        <v>6.85</v>
      </c>
      <c r="J31" s="50">
        <v>0.19</v>
      </c>
      <c r="K31" s="50">
        <v>253.52</v>
      </c>
      <c r="L31" s="50">
        <v>28.18</v>
      </c>
      <c r="M31" s="50">
        <v>90.7</v>
      </c>
      <c r="N31" s="50">
        <v>2.4</v>
      </c>
      <c r="O31" s="50">
        <v>0</v>
      </c>
      <c r="P31" s="50">
        <v>0.74</v>
      </c>
      <c r="Q31" s="50">
        <v>4.66</v>
      </c>
    </row>
    <row r="32" spans="1:17" customFormat="1">
      <c r="A32" s="49">
        <v>45559</v>
      </c>
      <c r="B32" s="50">
        <v>9.2200000000000006</v>
      </c>
      <c r="C32" s="50">
        <v>4.1500000000000004</v>
      </c>
      <c r="D32" s="50">
        <v>14</v>
      </c>
      <c r="E32" s="50">
        <v>12.49</v>
      </c>
      <c r="F32" s="50">
        <v>6.19</v>
      </c>
      <c r="G32" s="50">
        <v>98.77</v>
      </c>
      <c r="H32" s="50">
        <v>37.93</v>
      </c>
      <c r="I32" s="50">
        <v>6.81</v>
      </c>
      <c r="J32" s="50">
        <v>0.18</v>
      </c>
      <c r="K32" s="50">
        <v>248.6</v>
      </c>
      <c r="L32" s="50">
        <v>27.66</v>
      </c>
      <c r="M32" s="50">
        <v>88.76</v>
      </c>
      <c r="N32" s="50">
        <v>2.2999999999999998</v>
      </c>
      <c r="O32" s="50">
        <v>0</v>
      </c>
      <c r="P32" s="50">
        <v>0.71</v>
      </c>
      <c r="Q32" s="50">
        <v>4.6500000000000004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9.1300000000000008</v>
      </c>
      <c r="C34" s="40">
        <f t="shared" si="0"/>
        <v>4.08</v>
      </c>
      <c r="D34" s="40">
        <f t="shared" si="0"/>
        <v>14</v>
      </c>
      <c r="E34" s="40">
        <f t="shared" si="0"/>
        <v>7.88</v>
      </c>
      <c r="F34" s="40">
        <f t="shared" si="0"/>
        <v>3.51</v>
      </c>
      <c r="G34" s="40">
        <f t="shared" si="0"/>
        <v>35.47</v>
      </c>
      <c r="H34" s="40">
        <f t="shared" si="0"/>
        <v>17.79</v>
      </c>
      <c r="I34" s="40">
        <f t="shared" si="0"/>
        <v>4.8600000000000003</v>
      </c>
      <c r="J34" s="40">
        <f t="shared" si="0"/>
        <v>0.18</v>
      </c>
      <c r="K34" s="40">
        <f t="shared" si="0"/>
        <v>56.96</v>
      </c>
      <c r="L34" s="40">
        <f t="shared" si="0"/>
        <v>25.5</v>
      </c>
      <c r="M34" s="40">
        <f t="shared" si="0"/>
        <v>61.8</v>
      </c>
      <c r="N34" s="40">
        <f t="shared" si="0"/>
        <v>2.2000000000000002</v>
      </c>
      <c r="O34" s="40">
        <f t="shared" si="0"/>
        <v>0</v>
      </c>
      <c r="P34" s="40">
        <f t="shared" si="0"/>
        <v>0.35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4.3</v>
      </c>
      <c r="D35" s="33">
        <f t="shared" si="1"/>
        <v>14.08</v>
      </c>
      <c r="E35" s="33">
        <f t="shared" si="1"/>
        <v>19.440000000000001</v>
      </c>
      <c r="F35" s="33">
        <f t="shared" si="1"/>
        <v>24.38</v>
      </c>
      <c r="G35" s="33">
        <f t="shared" si="1"/>
        <v>111.83</v>
      </c>
      <c r="H35" s="33">
        <f t="shared" si="1"/>
        <v>37.93</v>
      </c>
      <c r="I35" s="33">
        <f t="shared" si="1"/>
        <v>6.85</v>
      </c>
      <c r="J35" s="33">
        <f t="shared" si="1"/>
        <v>0.89</v>
      </c>
      <c r="K35" s="33">
        <f t="shared" si="1"/>
        <v>350.05</v>
      </c>
      <c r="L35" s="33">
        <f t="shared" si="1"/>
        <v>34.049999999999997</v>
      </c>
      <c r="M35" s="33">
        <f t="shared" si="1"/>
        <v>96.69</v>
      </c>
      <c r="N35" s="33">
        <f t="shared" si="1"/>
        <v>742.6</v>
      </c>
      <c r="O35" s="33">
        <f t="shared" si="1"/>
        <v>0</v>
      </c>
      <c r="P35" s="33">
        <f t="shared" si="1"/>
        <v>0.74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9.2454166666666673</v>
      </c>
      <c r="C36" s="40">
        <f t="shared" si="2"/>
        <v>4.163333333333334</v>
      </c>
      <c r="D36" s="40">
        <f t="shared" si="2"/>
        <v>14.015833333333331</v>
      </c>
      <c r="E36" s="40">
        <f t="shared" si="2"/>
        <v>13.375416666666668</v>
      </c>
      <c r="F36" s="40">
        <f t="shared" si="2"/>
        <v>10.021666666666667</v>
      </c>
      <c r="G36" s="40">
        <f t="shared" si="2"/>
        <v>77.717083333333349</v>
      </c>
      <c r="H36" s="40">
        <f t="shared" si="2"/>
        <v>29.104166666666661</v>
      </c>
      <c r="I36" s="40">
        <f t="shared" si="2"/>
        <v>5.7108333333333343</v>
      </c>
      <c r="J36" s="40">
        <f t="shared" si="2"/>
        <v>0.43499999999999989</v>
      </c>
      <c r="K36" s="40">
        <f t="shared" si="2"/>
        <v>140.91833333333332</v>
      </c>
      <c r="L36" s="40">
        <f t="shared" si="2"/>
        <v>29.468749999999996</v>
      </c>
      <c r="M36" s="40">
        <f t="shared" si="2"/>
        <v>82.306249999999991</v>
      </c>
      <c r="N36" s="40">
        <f t="shared" si="2"/>
        <v>166.2416666666667</v>
      </c>
      <c r="O36" s="40">
        <f t="shared" si="2"/>
        <v>0</v>
      </c>
      <c r="P36" s="40">
        <f t="shared" si="2"/>
        <v>0.52333333333333343</v>
      </c>
      <c r="Q36" s="40">
        <f t="shared" si="2"/>
        <v>4.6587500000000013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5.60263266274195E-2</v>
      </c>
      <c r="C37" s="40">
        <f t="shared" ref="C37:Q37" si="3">STDEV(C9:C32)</f>
        <v>5.9685164325648875E-2</v>
      </c>
      <c r="D37" s="40">
        <f t="shared" si="3"/>
        <v>2.7333156591864128E-2</v>
      </c>
      <c r="E37" s="40">
        <f t="shared" si="3"/>
        <v>2.5998895949245702</v>
      </c>
      <c r="F37" s="40">
        <f t="shared" si="3"/>
        <v>6.1639369594910471</v>
      </c>
      <c r="G37" s="40">
        <f t="shared" si="3"/>
        <v>20.212056341648424</v>
      </c>
      <c r="H37" s="40">
        <f t="shared" si="3"/>
        <v>5.4332206132168288</v>
      </c>
      <c r="I37" s="40">
        <f t="shared" si="3"/>
        <v>0.61226533511190251</v>
      </c>
      <c r="J37" s="40">
        <f t="shared" si="3"/>
        <v>0.24678806256804053</v>
      </c>
      <c r="K37" s="40">
        <f t="shared" si="3"/>
        <v>86.751101266868588</v>
      </c>
      <c r="L37" s="40">
        <f t="shared" si="3"/>
        <v>3.0941871342469272</v>
      </c>
      <c r="M37" s="40">
        <f t="shared" si="3"/>
        <v>12.961053302775673</v>
      </c>
      <c r="N37" s="40">
        <f t="shared" si="3"/>
        <v>250.80107814182421</v>
      </c>
      <c r="O37" s="40">
        <f t="shared" si="3"/>
        <v>0</v>
      </c>
      <c r="P37" s="40">
        <f t="shared" si="3"/>
        <v>0.12805116730930363</v>
      </c>
      <c r="Q37" s="40">
        <f t="shared" si="3"/>
        <v>1.3929168644626009E-2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45559.041666666664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45559.041666666664</v>
      </c>
      <c r="B9" s="50">
        <v>9.33</v>
      </c>
      <c r="C9" s="50">
        <v>4.07</v>
      </c>
      <c r="D9" s="50">
        <v>14.04</v>
      </c>
      <c r="E9" s="50">
        <v>12.44</v>
      </c>
      <c r="F9" s="50">
        <v>6.43</v>
      </c>
      <c r="G9" s="50">
        <v>81.06</v>
      </c>
      <c r="H9" s="50">
        <v>35.82</v>
      </c>
      <c r="I9" s="50">
        <v>6.45</v>
      </c>
      <c r="J9" s="50">
        <v>0.36</v>
      </c>
      <c r="K9" s="50">
        <v>138.26</v>
      </c>
      <c r="L9" s="50">
        <v>27.15</v>
      </c>
      <c r="M9" s="50">
        <v>99.83</v>
      </c>
      <c r="N9" s="50">
        <v>6.6</v>
      </c>
      <c r="O9" s="50">
        <v>5.8</v>
      </c>
      <c r="P9" s="50">
        <v>0.67</v>
      </c>
      <c r="Q9" s="50">
        <v>4.67</v>
      </c>
    </row>
    <row r="10" spans="1:21" customFormat="1">
      <c r="A10" s="49">
        <v>45559.083333333336</v>
      </c>
      <c r="B10" s="50">
        <v>9.2899999999999991</v>
      </c>
      <c r="C10" s="50">
        <v>4.0999999999999996</v>
      </c>
      <c r="D10" s="50">
        <v>14.04</v>
      </c>
      <c r="E10" s="50">
        <v>12.57</v>
      </c>
      <c r="F10" s="50">
        <v>4.34</v>
      </c>
      <c r="G10" s="50">
        <v>58.88</v>
      </c>
      <c r="H10" s="50">
        <v>23.28</v>
      </c>
      <c r="I10" s="50">
        <v>5.87</v>
      </c>
      <c r="J10" s="50">
        <v>0.16</v>
      </c>
      <c r="K10" s="50">
        <v>240.96</v>
      </c>
      <c r="L10" s="50">
        <v>23.51</v>
      </c>
      <c r="M10" s="50">
        <v>100.13</v>
      </c>
      <c r="N10" s="50">
        <v>2.2000000000000002</v>
      </c>
      <c r="O10" s="50">
        <v>0.6</v>
      </c>
      <c r="P10" s="50">
        <v>0.63</v>
      </c>
      <c r="Q10" s="50">
        <v>4.6500000000000004</v>
      </c>
    </row>
    <row r="11" spans="1:21" customFormat="1">
      <c r="A11" s="49">
        <v>45559.125</v>
      </c>
      <c r="B11" s="50">
        <v>9.3000000000000007</v>
      </c>
      <c r="C11" s="50">
        <v>4.09</v>
      </c>
      <c r="D11" s="50">
        <v>14.04</v>
      </c>
      <c r="E11" s="50">
        <v>11.04</v>
      </c>
      <c r="F11" s="50">
        <v>4.16</v>
      </c>
      <c r="G11" s="50">
        <v>32.75</v>
      </c>
      <c r="H11" s="50">
        <v>15.73</v>
      </c>
      <c r="I11" s="50">
        <v>5.8</v>
      </c>
      <c r="J11" s="50">
        <v>0.12</v>
      </c>
      <c r="K11" s="50">
        <v>249.53</v>
      </c>
      <c r="L11" s="50">
        <v>23.62</v>
      </c>
      <c r="M11" s="50">
        <v>100.27</v>
      </c>
      <c r="N11" s="50">
        <v>2.4</v>
      </c>
      <c r="O11" s="50">
        <v>0.4</v>
      </c>
      <c r="P11" s="50">
        <v>0.6</v>
      </c>
      <c r="Q11" s="50">
        <v>4.6500000000000004</v>
      </c>
    </row>
    <row r="12" spans="1:21" customFormat="1">
      <c r="A12" s="49">
        <v>45559.166666666664</v>
      </c>
      <c r="B12" s="50">
        <v>9.31</v>
      </c>
      <c r="C12" s="50">
        <v>4.09</v>
      </c>
      <c r="D12" s="50">
        <v>14.05</v>
      </c>
      <c r="E12" s="50">
        <v>10.38</v>
      </c>
      <c r="F12" s="50">
        <v>3.85</v>
      </c>
      <c r="G12" s="50">
        <v>19.04</v>
      </c>
      <c r="H12" s="50">
        <v>11.33</v>
      </c>
      <c r="I12" s="50">
        <v>5.4</v>
      </c>
      <c r="J12" s="50">
        <v>0.14000000000000001</v>
      </c>
      <c r="K12" s="50">
        <v>246.09</v>
      </c>
      <c r="L12" s="50">
        <v>23.79</v>
      </c>
      <c r="M12" s="50">
        <v>100.19</v>
      </c>
      <c r="N12" s="50">
        <v>2.5</v>
      </c>
      <c r="O12" s="50">
        <v>0</v>
      </c>
      <c r="P12" s="50">
        <v>0.56999999999999995</v>
      </c>
      <c r="Q12" s="50">
        <v>4.6500000000000004</v>
      </c>
    </row>
    <row r="13" spans="1:21" customFormat="1">
      <c r="A13" s="49">
        <v>45559.208333333336</v>
      </c>
      <c r="B13" s="50">
        <v>9.27</v>
      </c>
      <c r="C13" s="50">
        <v>4.07</v>
      </c>
      <c r="D13" s="50">
        <v>14.01</v>
      </c>
      <c r="E13" s="50">
        <v>9.81</v>
      </c>
      <c r="F13" s="50">
        <v>3.87</v>
      </c>
      <c r="G13" s="50">
        <v>12.14</v>
      </c>
      <c r="H13" s="50">
        <v>8.7100000000000009</v>
      </c>
      <c r="I13" s="50">
        <v>5.28</v>
      </c>
      <c r="J13" s="50">
        <v>0.13</v>
      </c>
      <c r="K13" s="50">
        <v>260.98</v>
      </c>
      <c r="L13" s="50">
        <v>23.98</v>
      </c>
      <c r="M13" s="50">
        <v>100.2</v>
      </c>
      <c r="N13" s="50">
        <v>2.6</v>
      </c>
      <c r="O13" s="50">
        <v>0</v>
      </c>
      <c r="P13" s="50">
        <v>0.54</v>
      </c>
      <c r="Q13" s="50">
        <v>4.66</v>
      </c>
    </row>
    <row r="14" spans="1:21" customFormat="1">
      <c r="A14" s="49">
        <v>45559.25</v>
      </c>
      <c r="B14" s="50">
        <v>9.2799999999999994</v>
      </c>
      <c r="C14" s="50">
        <v>4.09</v>
      </c>
      <c r="D14" s="50">
        <v>14.02</v>
      </c>
      <c r="E14" s="50">
        <v>9.36</v>
      </c>
      <c r="F14" s="50">
        <v>4.3</v>
      </c>
      <c r="G14" s="50">
        <v>7.6</v>
      </c>
      <c r="H14" s="50">
        <v>6.51</v>
      </c>
      <c r="I14" s="50">
        <v>5.12</v>
      </c>
      <c r="J14" s="50">
        <v>0.16</v>
      </c>
      <c r="K14" s="50">
        <v>229.65</v>
      </c>
      <c r="L14" s="50">
        <v>24.13</v>
      </c>
      <c r="M14" s="50">
        <v>100.3</v>
      </c>
      <c r="N14" s="50">
        <v>5</v>
      </c>
      <c r="O14" s="50">
        <v>0</v>
      </c>
      <c r="P14" s="50">
        <v>0.52</v>
      </c>
      <c r="Q14" s="50">
        <v>4.66</v>
      </c>
    </row>
    <row r="15" spans="1:21" customFormat="1">
      <c r="A15" s="49">
        <v>45559.291666666664</v>
      </c>
      <c r="B15" s="50">
        <v>9.2799999999999994</v>
      </c>
      <c r="C15" s="50">
        <v>4.1100000000000003</v>
      </c>
      <c r="D15" s="50">
        <v>14.01</v>
      </c>
      <c r="E15" s="50">
        <v>9.64</v>
      </c>
      <c r="F15" s="50">
        <v>4.33</v>
      </c>
      <c r="G15" s="50">
        <v>9.19</v>
      </c>
      <c r="H15" s="50">
        <v>4.88</v>
      </c>
      <c r="I15" s="50">
        <v>4.8600000000000003</v>
      </c>
      <c r="J15" s="50">
        <v>0.14000000000000001</v>
      </c>
      <c r="K15" s="50">
        <v>226.17</v>
      </c>
      <c r="L15" s="50">
        <v>24.52</v>
      </c>
      <c r="M15" s="50">
        <v>100.28</v>
      </c>
      <c r="N15" s="50">
        <v>21</v>
      </c>
      <c r="O15" s="50">
        <v>0</v>
      </c>
      <c r="P15" s="50">
        <v>0.47</v>
      </c>
      <c r="Q15" s="50">
        <v>4.66</v>
      </c>
    </row>
    <row r="16" spans="1:21" customFormat="1">
      <c r="A16" s="49">
        <v>45559.333333333336</v>
      </c>
      <c r="B16" s="50">
        <v>9.23</v>
      </c>
      <c r="C16" s="50">
        <v>4.16</v>
      </c>
      <c r="D16" s="50">
        <v>14</v>
      </c>
      <c r="E16" s="50">
        <v>10.76</v>
      </c>
      <c r="F16" s="50">
        <v>5.63</v>
      </c>
      <c r="G16" s="50">
        <v>16.07</v>
      </c>
      <c r="H16" s="50">
        <v>3.74</v>
      </c>
      <c r="I16" s="50">
        <v>4.6900000000000004</v>
      </c>
      <c r="J16" s="50">
        <v>0.37</v>
      </c>
      <c r="K16" s="50">
        <v>54.1</v>
      </c>
      <c r="L16" s="50">
        <v>25.25</v>
      </c>
      <c r="M16" s="50">
        <v>99.98</v>
      </c>
      <c r="N16" s="50">
        <v>50.5</v>
      </c>
      <c r="O16" s="50">
        <v>0</v>
      </c>
      <c r="P16" s="50">
        <v>0.51</v>
      </c>
      <c r="Q16" s="50">
        <v>4.67</v>
      </c>
    </row>
    <row r="17" spans="1:17" customFormat="1">
      <c r="A17" s="49">
        <v>45559.375</v>
      </c>
      <c r="B17" s="50">
        <v>9.23</v>
      </c>
      <c r="C17" s="50">
        <v>4.13</v>
      </c>
      <c r="D17" s="50">
        <v>14</v>
      </c>
      <c r="E17" s="50">
        <v>11.89</v>
      </c>
      <c r="F17" s="50">
        <v>4.63</v>
      </c>
      <c r="G17" s="50">
        <v>45.45</v>
      </c>
      <c r="H17" s="50">
        <v>9.2899999999999991</v>
      </c>
      <c r="I17" s="50">
        <v>5.59</v>
      </c>
      <c r="J17" s="50">
        <v>0.5</v>
      </c>
      <c r="K17" s="50">
        <v>52.81</v>
      </c>
      <c r="L17" s="50">
        <v>26.03</v>
      </c>
      <c r="M17" s="50">
        <v>92.78</v>
      </c>
      <c r="N17" s="50">
        <v>114.2</v>
      </c>
      <c r="O17" s="50">
        <v>0</v>
      </c>
      <c r="P17" s="50">
        <v>0.61</v>
      </c>
      <c r="Q17" s="50">
        <v>4.67</v>
      </c>
    </row>
    <row r="18" spans="1:17" customFormat="1">
      <c r="A18" s="49">
        <v>45559.416666666664</v>
      </c>
      <c r="B18" s="50">
        <v>9.2200000000000006</v>
      </c>
      <c r="C18" s="50">
        <v>4.1500000000000004</v>
      </c>
      <c r="D18" s="50">
        <v>14</v>
      </c>
      <c r="E18" s="50">
        <v>12.43</v>
      </c>
      <c r="F18" s="50">
        <v>4.68</v>
      </c>
      <c r="G18" s="50">
        <v>82</v>
      </c>
      <c r="H18" s="50">
        <v>22.15</v>
      </c>
      <c r="I18" s="50">
        <v>6.33</v>
      </c>
      <c r="J18" s="50">
        <v>0.39</v>
      </c>
      <c r="K18" s="50">
        <v>350</v>
      </c>
      <c r="L18" s="50">
        <v>27.45</v>
      </c>
      <c r="M18" s="50">
        <v>89.04</v>
      </c>
      <c r="N18" s="50">
        <v>163.6</v>
      </c>
      <c r="O18" s="50">
        <v>0</v>
      </c>
      <c r="P18" s="50">
        <v>0.68</v>
      </c>
      <c r="Q18" s="50">
        <v>4.66</v>
      </c>
    </row>
    <row r="19" spans="1:17" customFormat="1">
      <c r="A19" s="49">
        <v>45559.458333333336</v>
      </c>
      <c r="B19" s="50">
        <v>9.23</v>
      </c>
      <c r="C19" s="50">
        <v>4.1399999999999997</v>
      </c>
      <c r="D19" s="50">
        <v>14</v>
      </c>
      <c r="E19" s="50">
        <v>13.04</v>
      </c>
      <c r="F19" s="50">
        <v>4.97</v>
      </c>
      <c r="G19" s="50">
        <v>107.96</v>
      </c>
      <c r="H19" s="50">
        <v>36.26</v>
      </c>
      <c r="I19" s="50">
        <v>6.73</v>
      </c>
      <c r="J19" s="50">
        <v>0.5</v>
      </c>
      <c r="K19" s="50">
        <v>357.95</v>
      </c>
      <c r="L19" s="50">
        <v>28.63</v>
      </c>
      <c r="M19" s="50">
        <v>82.59</v>
      </c>
      <c r="N19" s="50">
        <v>262.89999999999998</v>
      </c>
      <c r="O19" s="50">
        <v>0</v>
      </c>
      <c r="P19" s="50">
        <v>0.74</v>
      </c>
      <c r="Q19" s="50">
        <v>4.66</v>
      </c>
    </row>
    <row r="20" spans="1:17" customFormat="1">
      <c r="A20" s="49">
        <v>45559.5</v>
      </c>
      <c r="B20" s="50">
        <v>9.2899999999999991</v>
      </c>
      <c r="C20" s="50">
        <v>4.0999999999999996</v>
      </c>
      <c r="D20" s="50">
        <v>14.04</v>
      </c>
      <c r="E20" s="50">
        <v>14.01</v>
      </c>
      <c r="F20" s="50">
        <v>5.42</v>
      </c>
      <c r="G20" s="50">
        <v>112.89</v>
      </c>
      <c r="H20" s="50">
        <v>36.26</v>
      </c>
      <c r="I20" s="50">
        <v>6.97</v>
      </c>
      <c r="J20" s="50">
        <v>0.38</v>
      </c>
      <c r="K20" s="50">
        <v>64.94</v>
      </c>
      <c r="L20" s="50">
        <v>29.88</v>
      </c>
      <c r="M20" s="50">
        <v>74</v>
      </c>
      <c r="N20" s="50">
        <v>366</v>
      </c>
      <c r="O20" s="50">
        <v>0</v>
      </c>
      <c r="P20" s="50">
        <v>0.76</v>
      </c>
      <c r="Q20" s="50">
        <v>4.6399999999999997</v>
      </c>
    </row>
    <row r="21" spans="1:17" customFormat="1">
      <c r="A21" s="49">
        <v>45559.541666666664</v>
      </c>
      <c r="B21" s="50">
        <v>9.3000000000000007</v>
      </c>
      <c r="C21" s="50">
        <v>4.07</v>
      </c>
      <c r="D21" s="50">
        <v>14.03</v>
      </c>
      <c r="E21" s="50">
        <v>12.75</v>
      </c>
      <c r="F21" s="50">
        <v>4.4400000000000004</v>
      </c>
      <c r="G21" s="50">
        <v>120.6</v>
      </c>
      <c r="H21" s="50">
        <v>41.71</v>
      </c>
      <c r="I21" s="50">
        <v>7.05</v>
      </c>
      <c r="J21" s="50">
        <v>0.54</v>
      </c>
      <c r="K21" s="50">
        <v>95.59</v>
      </c>
      <c r="L21" s="50">
        <v>30.98</v>
      </c>
      <c r="M21" s="50">
        <v>73.08</v>
      </c>
      <c r="N21" s="50">
        <v>466.4</v>
      </c>
      <c r="O21" s="50">
        <v>0</v>
      </c>
      <c r="P21" s="50">
        <v>0.77</v>
      </c>
      <c r="Q21" s="50">
        <v>4.66</v>
      </c>
    </row>
    <row r="22" spans="1:17" customFormat="1">
      <c r="A22" s="49">
        <v>45559.583333333336</v>
      </c>
      <c r="B22" s="50">
        <v>9.34</v>
      </c>
      <c r="C22" s="50">
        <v>4.07</v>
      </c>
      <c r="D22" s="50">
        <v>14.06</v>
      </c>
      <c r="E22" s="50">
        <v>12.96</v>
      </c>
      <c r="F22" s="50">
        <v>5.52</v>
      </c>
      <c r="G22" s="50">
        <v>120.6</v>
      </c>
      <c r="H22" s="50">
        <v>41.71</v>
      </c>
      <c r="I22" s="50">
        <v>7.07</v>
      </c>
      <c r="J22" s="50">
        <v>0.25</v>
      </c>
      <c r="K22" s="50">
        <v>186.12</v>
      </c>
      <c r="L22" s="50">
        <v>31.64</v>
      </c>
      <c r="M22" s="50">
        <v>67.72</v>
      </c>
      <c r="N22" s="50">
        <v>512.9</v>
      </c>
      <c r="O22" s="50">
        <v>0</v>
      </c>
      <c r="P22" s="50">
        <v>0.76</v>
      </c>
      <c r="Q22" s="50">
        <v>4.6399999999999997</v>
      </c>
    </row>
    <row r="23" spans="1:17" customFormat="1">
      <c r="A23" s="49">
        <v>45559.625</v>
      </c>
      <c r="B23" s="50">
        <v>9.3000000000000007</v>
      </c>
      <c r="C23" s="50">
        <v>4.09</v>
      </c>
      <c r="D23" s="50">
        <v>14.03</v>
      </c>
      <c r="E23" s="50">
        <v>11.34</v>
      </c>
      <c r="F23" s="50">
        <v>5.42</v>
      </c>
      <c r="G23" s="50">
        <v>112.84</v>
      </c>
      <c r="H23" s="50">
        <v>31.94</v>
      </c>
      <c r="I23" s="50">
        <v>7.02</v>
      </c>
      <c r="J23" s="50">
        <v>0.3</v>
      </c>
      <c r="K23" s="50">
        <v>189.62</v>
      </c>
      <c r="L23" s="50">
        <v>30.92</v>
      </c>
      <c r="M23" s="50">
        <v>74.94</v>
      </c>
      <c r="N23" s="50">
        <v>165.5</v>
      </c>
      <c r="O23" s="50">
        <v>0</v>
      </c>
      <c r="P23" s="50">
        <v>0.61</v>
      </c>
      <c r="Q23" s="50">
        <v>4.6399999999999997</v>
      </c>
    </row>
    <row r="24" spans="1:17" customFormat="1">
      <c r="A24" s="49">
        <v>45559.666666666664</v>
      </c>
      <c r="B24" s="50">
        <v>9.4499999999999993</v>
      </c>
      <c r="C24" s="50">
        <v>4.0999999999999996</v>
      </c>
      <c r="D24" s="50">
        <v>14.17</v>
      </c>
      <c r="E24" s="50">
        <v>14.5</v>
      </c>
      <c r="F24" s="50">
        <v>13.23</v>
      </c>
      <c r="G24" s="50">
        <v>109.04</v>
      </c>
      <c r="H24" s="50">
        <v>30.55</v>
      </c>
      <c r="I24" s="50">
        <v>6.98</v>
      </c>
      <c r="J24" s="50">
        <v>0.34</v>
      </c>
      <c r="K24" s="50">
        <v>178.53</v>
      </c>
      <c r="L24" s="50">
        <v>30.82</v>
      </c>
      <c r="M24" s="50">
        <v>74.290000000000006</v>
      </c>
      <c r="N24" s="50">
        <v>166.1</v>
      </c>
      <c r="O24" s="50">
        <v>0</v>
      </c>
      <c r="P24" s="50">
        <v>0.56000000000000005</v>
      </c>
      <c r="Q24" s="50">
        <v>4.6900000000000004</v>
      </c>
    </row>
    <row r="25" spans="1:17" customFormat="1">
      <c r="A25" s="49">
        <v>45559.708333333336</v>
      </c>
      <c r="B25" s="50">
        <v>9.34</v>
      </c>
      <c r="C25" s="50">
        <v>4.08</v>
      </c>
      <c r="D25" s="50">
        <v>14.06</v>
      </c>
      <c r="E25" s="50">
        <v>15.92</v>
      </c>
      <c r="F25" s="50">
        <v>17.95</v>
      </c>
      <c r="G25" s="50">
        <v>92.34</v>
      </c>
      <c r="H25" s="50">
        <v>30.55</v>
      </c>
      <c r="I25" s="50">
        <v>6.3</v>
      </c>
      <c r="J25" s="50">
        <v>0.27</v>
      </c>
      <c r="K25" s="50">
        <v>163.46</v>
      </c>
      <c r="L25" s="50">
        <v>30.44</v>
      </c>
      <c r="M25" s="50">
        <v>79.7</v>
      </c>
      <c r="N25" s="50">
        <v>53.2</v>
      </c>
      <c r="O25" s="50">
        <v>0</v>
      </c>
      <c r="P25" s="50">
        <v>0.49</v>
      </c>
      <c r="Q25" s="50">
        <v>4.68</v>
      </c>
    </row>
    <row r="26" spans="1:17" customFormat="1">
      <c r="A26" s="49">
        <v>45559.75</v>
      </c>
      <c r="B26" s="50">
        <v>9.31</v>
      </c>
      <c r="C26" s="50">
        <v>4.09</v>
      </c>
      <c r="D26" s="50">
        <v>14.05</v>
      </c>
      <c r="E26" s="50">
        <v>14.87</v>
      </c>
      <c r="F26" s="50">
        <v>11.32</v>
      </c>
      <c r="G26" s="50">
        <v>90.05</v>
      </c>
      <c r="H26" s="50">
        <v>33.4</v>
      </c>
      <c r="I26" s="50">
        <v>6.09</v>
      </c>
      <c r="J26" s="50">
        <v>0.24</v>
      </c>
      <c r="K26" s="50">
        <v>170.92</v>
      </c>
      <c r="L26" s="50">
        <v>29.5</v>
      </c>
      <c r="M26" s="50">
        <v>83.67</v>
      </c>
      <c r="N26" s="50">
        <v>12.2</v>
      </c>
      <c r="O26" s="50">
        <v>0</v>
      </c>
      <c r="P26" s="50">
        <v>0.52</v>
      </c>
      <c r="Q26" s="50">
        <v>4.67</v>
      </c>
    </row>
    <row r="27" spans="1:17" customFormat="1">
      <c r="A27" s="49">
        <v>45559.791666666664</v>
      </c>
      <c r="B27" s="50">
        <v>9.34</v>
      </c>
      <c r="C27" s="50">
        <v>4.0599999999999996</v>
      </c>
      <c r="D27" s="50">
        <v>14.06</v>
      </c>
      <c r="E27" s="50">
        <v>13</v>
      </c>
      <c r="F27" s="50">
        <v>8.75</v>
      </c>
      <c r="G27" s="50">
        <v>96.68</v>
      </c>
      <c r="H27" s="50">
        <v>33.4</v>
      </c>
      <c r="I27" s="50">
        <v>6.48</v>
      </c>
      <c r="J27" s="50">
        <v>0.27</v>
      </c>
      <c r="K27" s="50">
        <v>129.26</v>
      </c>
      <c r="L27" s="50">
        <v>29</v>
      </c>
      <c r="M27" s="50">
        <v>82.56</v>
      </c>
      <c r="N27" s="50">
        <v>2.5</v>
      </c>
      <c r="O27" s="50">
        <v>0</v>
      </c>
      <c r="P27" s="50">
        <v>0.57999999999999996</v>
      </c>
      <c r="Q27" s="50">
        <v>4.67</v>
      </c>
    </row>
    <row r="28" spans="1:17" customFormat="1">
      <c r="A28" s="49">
        <v>45559.833333333336</v>
      </c>
      <c r="B28" s="50">
        <v>9.32</v>
      </c>
      <c r="C28" s="50">
        <v>4.09</v>
      </c>
      <c r="D28" s="50">
        <v>14.06</v>
      </c>
      <c r="E28" s="50">
        <v>13.11</v>
      </c>
      <c r="F28" s="50">
        <v>7.49</v>
      </c>
      <c r="G28" s="50">
        <v>96.68</v>
      </c>
      <c r="H28" s="50">
        <v>30.14</v>
      </c>
      <c r="I28" s="50">
        <v>6.63</v>
      </c>
      <c r="J28" s="50">
        <v>1.32</v>
      </c>
      <c r="K28" s="50">
        <v>61.43</v>
      </c>
      <c r="L28" s="50">
        <v>28.1</v>
      </c>
      <c r="M28" s="50">
        <v>97.2</v>
      </c>
      <c r="N28" s="50">
        <v>4.5999999999999996</v>
      </c>
      <c r="O28" s="50">
        <v>0.8</v>
      </c>
      <c r="P28" s="50">
        <v>0.56999999999999995</v>
      </c>
      <c r="Q28" s="50">
        <v>4.67</v>
      </c>
    </row>
    <row r="29" spans="1:17" customFormat="1">
      <c r="A29" s="49">
        <v>45559.875</v>
      </c>
      <c r="B29" s="50">
        <v>9.3000000000000007</v>
      </c>
      <c r="C29" s="50">
        <v>4.0999999999999996</v>
      </c>
      <c r="D29" s="50">
        <v>14.03</v>
      </c>
      <c r="E29" s="50">
        <v>11.58</v>
      </c>
      <c r="F29" s="50">
        <v>5.47</v>
      </c>
      <c r="G29" s="50">
        <v>93.94</v>
      </c>
      <c r="H29" s="50">
        <v>28.2</v>
      </c>
      <c r="I29" s="50">
        <v>6.38</v>
      </c>
      <c r="J29" s="50">
        <v>0.51</v>
      </c>
      <c r="K29" s="50">
        <v>152.33000000000001</v>
      </c>
      <c r="L29" s="50">
        <v>25.81</v>
      </c>
      <c r="M29" s="50">
        <v>102.57</v>
      </c>
      <c r="N29" s="50">
        <v>2.8</v>
      </c>
      <c r="O29" s="50">
        <v>0</v>
      </c>
      <c r="P29" s="50">
        <v>0.54</v>
      </c>
      <c r="Q29" s="50">
        <v>4.66</v>
      </c>
    </row>
    <row r="30" spans="1:17" customFormat="1">
      <c r="A30" s="49">
        <v>45559.916666666664</v>
      </c>
      <c r="B30" s="50">
        <v>9.3000000000000007</v>
      </c>
      <c r="C30" s="50">
        <v>4.0999999999999996</v>
      </c>
      <c r="D30" s="50">
        <v>14.05</v>
      </c>
      <c r="E30" s="50">
        <v>10.220000000000001</v>
      </c>
      <c r="F30" s="50">
        <v>4.76</v>
      </c>
      <c r="G30" s="50">
        <v>70.319999999999993</v>
      </c>
      <c r="H30" s="50">
        <v>23.03</v>
      </c>
      <c r="I30" s="50">
        <v>6.26</v>
      </c>
      <c r="J30" s="50">
        <v>0.27</v>
      </c>
      <c r="K30" s="50">
        <v>181.59</v>
      </c>
      <c r="L30" s="50">
        <v>25.8</v>
      </c>
      <c r="M30" s="50">
        <v>101.82</v>
      </c>
      <c r="N30" s="50">
        <v>3</v>
      </c>
      <c r="O30" s="50">
        <v>0</v>
      </c>
      <c r="P30" s="50">
        <v>0.53</v>
      </c>
      <c r="Q30" s="50">
        <v>4.66</v>
      </c>
    </row>
    <row r="31" spans="1:17" customFormat="1">
      <c r="A31" s="49">
        <v>45559.958333333336</v>
      </c>
      <c r="B31" s="50">
        <v>9.3000000000000007</v>
      </c>
      <c r="C31" s="50">
        <v>4.0999999999999996</v>
      </c>
      <c r="D31" s="50">
        <v>14.04</v>
      </c>
      <c r="E31" s="50">
        <v>9.91</v>
      </c>
      <c r="F31" s="50">
        <v>4.96</v>
      </c>
      <c r="G31" s="50">
        <v>69.56</v>
      </c>
      <c r="H31" s="50">
        <v>19.600000000000001</v>
      </c>
      <c r="I31" s="50">
        <v>5.94</v>
      </c>
      <c r="J31" s="50">
        <v>0.12</v>
      </c>
      <c r="K31" s="50">
        <v>172.66</v>
      </c>
      <c r="L31" s="50">
        <v>25.73</v>
      </c>
      <c r="M31" s="50">
        <v>97.23</v>
      </c>
      <c r="N31" s="50">
        <v>2.8</v>
      </c>
      <c r="O31" s="50">
        <v>0</v>
      </c>
      <c r="P31" s="50">
        <v>0.52</v>
      </c>
      <c r="Q31" s="50">
        <v>4.67</v>
      </c>
    </row>
    <row r="32" spans="1:17" customFormat="1">
      <c r="A32" s="49">
        <v>45560</v>
      </c>
      <c r="B32" s="50">
        <v>9.3000000000000007</v>
      </c>
      <c r="C32" s="50">
        <v>4.09</v>
      </c>
      <c r="D32" s="50">
        <v>14.04</v>
      </c>
      <c r="E32" s="50">
        <v>10.26</v>
      </c>
      <c r="F32" s="50">
        <v>4.78</v>
      </c>
      <c r="G32" s="50">
        <v>57.82</v>
      </c>
      <c r="H32" s="50">
        <v>17.739999999999998</v>
      </c>
      <c r="I32" s="50">
        <v>5.75</v>
      </c>
      <c r="J32" s="50">
        <v>0.12</v>
      </c>
      <c r="K32" s="50">
        <v>187.24</v>
      </c>
      <c r="L32" s="50">
        <v>25.74</v>
      </c>
      <c r="M32" s="50">
        <v>95.03</v>
      </c>
      <c r="N32" s="50">
        <v>2.7</v>
      </c>
      <c r="O32" s="50">
        <v>0</v>
      </c>
      <c r="P32" s="50">
        <v>0.49</v>
      </c>
      <c r="Q32" s="50">
        <v>4.6500000000000004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9.2200000000000006</v>
      </c>
      <c r="C34" s="40">
        <f t="shared" si="0"/>
        <v>4.0599999999999996</v>
      </c>
      <c r="D34" s="40">
        <f t="shared" si="0"/>
        <v>14</v>
      </c>
      <c r="E34" s="40">
        <f t="shared" si="0"/>
        <v>9.36</v>
      </c>
      <c r="F34" s="40">
        <f t="shared" si="0"/>
        <v>3.85</v>
      </c>
      <c r="G34" s="40">
        <f t="shared" si="0"/>
        <v>7.6</v>
      </c>
      <c r="H34" s="40">
        <f t="shared" si="0"/>
        <v>3.74</v>
      </c>
      <c r="I34" s="40">
        <f t="shared" si="0"/>
        <v>4.6900000000000004</v>
      </c>
      <c r="J34" s="40">
        <f t="shared" si="0"/>
        <v>0.12</v>
      </c>
      <c r="K34" s="40">
        <f t="shared" si="0"/>
        <v>52.81</v>
      </c>
      <c r="L34" s="40">
        <f t="shared" si="0"/>
        <v>23.51</v>
      </c>
      <c r="M34" s="40">
        <f t="shared" si="0"/>
        <v>67.72</v>
      </c>
      <c r="N34" s="40">
        <f t="shared" si="0"/>
        <v>2.2000000000000002</v>
      </c>
      <c r="O34" s="40">
        <f t="shared" si="0"/>
        <v>0</v>
      </c>
      <c r="P34" s="40">
        <f t="shared" si="0"/>
        <v>0.47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9.4499999999999993</v>
      </c>
      <c r="C35" s="33">
        <f t="shared" si="1"/>
        <v>4.16</v>
      </c>
      <c r="D35" s="33">
        <f t="shared" si="1"/>
        <v>14.17</v>
      </c>
      <c r="E35" s="33">
        <f t="shared" si="1"/>
        <v>15.92</v>
      </c>
      <c r="F35" s="33">
        <f t="shared" si="1"/>
        <v>17.95</v>
      </c>
      <c r="G35" s="33">
        <f t="shared" si="1"/>
        <v>120.6</v>
      </c>
      <c r="H35" s="33">
        <f t="shared" si="1"/>
        <v>41.71</v>
      </c>
      <c r="I35" s="33">
        <f t="shared" si="1"/>
        <v>7.07</v>
      </c>
      <c r="J35" s="33">
        <f t="shared" si="1"/>
        <v>1.32</v>
      </c>
      <c r="K35" s="33">
        <f t="shared" si="1"/>
        <v>357.95</v>
      </c>
      <c r="L35" s="33">
        <f t="shared" si="1"/>
        <v>31.64</v>
      </c>
      <c r="M35" s="33">
        <f t="shared" si="1"/>
        <v>102.57</v>
      </c>
      <c r="N35" s="33">
        <f t="shared" si="1"/>
        <v>512.9</v>
      </c>
      <c r="O35" s="33">
        <f t="shared" si="1"/>
        <v>5.8</v>
      </c>
      <c r="P35" s="33">
        <f t="shared" si="1"/>
        <v>0.77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9.2983333333333356</v>
      </c>
      <c r="C36" s="40">
        <f t="shared" si="2"/>
        <v>4.0974999999999993</v>
      </c>
      <c r="D36" s="40">
        <f t="shared" si="2"/>
        <v>14.03875</v>
      </c>
      <c r="E36" s="40">
        <f t="shared" si="2"/>
        <v>11.991250000000001</v>
      </c>
      <c r="F36" s="40">
        <f t="shared" si="2"/>
        <v>6.2791666666666677</v>
      </c>
      <c r="G36" s="40">
        <f t="shared" si="2"/>
        <v>71.479166666666671</v>
      </c>
      <c r="H36" s="40">
        <f t="shared" si="2"/>
        <v>23.997083333333332</v>
      </c>
      <c r="I36" s="40">
        <f t="shared" si="2"/>
        <v>6.126666666666666</v>
      </c>
      <c r="J36" s="40">
        <f t="shared" si="2"/>
        <v>0.32916666666666666</v>
      </c>
      <c r="K36" s="40">
        <f t="shared" si="2"/>
        <v>180.84125000000003</v>
      </c>
      <c r="L36" s="40">
        <f t="shared" si="2"/>
        <v>27.184166666666666</v>
      </c>
      <c r="M36" s="40">
        <f t="shared" si="2"/>
        <v>90.391666666666666</v>
      </c>
      <c r="N36" s="40">
        <f t="shared" si="2"/>
        <v>99.758333333333326</v>
      </c>
      <c r="O36" s="40">
        <f t="shared" si="2"/>
        <v>0.31666666666666665</v>
      </c>
      <c r="P36" s="40">
        <f t="shared" si="2"/>
        <v>0.59333333333333327</v>
      </c>
      <c r="Q36" s="40">
        <f t="shared" si="2"/>
        <v>4.6608333333333336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4.742652593558614E-2</v>
      </c>
      <c r="C37" s="40">
        <f t="shared" ref="C37:Q37" si="3">STDEV(C9:C32)</f>
        <v>2.5409686615797594E-2</v>
      </c>
      <c r="D37" s="40">
        <f t="shared" si="3"/>
        <v>3.4680216136932528E-2</v>
      </c>
      <c r="E37" s="40">
        <f t="shared" si="3"/>
        <v>1.7815462568278613</v>
      </c>
      <c r="F37" s="40">
        <f t="shared" si="3"/>
        <v>3.3943481370304847</v>
      </c>
      <c r="G37" s="40">
        <f t="shared" si="3"/>
        <v>38.209724794096317</v>
      </c>
      <c r="H37" s="40">
        <f t="shared" si="3"/>
        <v>11.929111807443704</v>
      </c>
      <c r="I37" s="40">
        <f t="shared" si="3"/>
        <v>0.70849912808185578</v>
      </c>
      <c r="J37" s="40">
        <f t="shared" si="3"/>
        <v>0.25122165280998321</v>
      </c>
      <c r="K37" s="40">
        <f t="shared" si="3"/>
        <v>82.554963472959827</v>
      </c>
      <c r="L37" s="40">
        <f t="shared" si="3"/>
        <v>2.7063611325375683</v>
      </c>
      <c r="M37" s="40">
        <f t="shared" si="3"/>
        <v>11.46786840686185</v>
      </c>
      <c r="N37" s="40">
        <f t="shared" si="3"/>
        <v>154.03758975643257</v>
      </c>
      <c r="O37" s="40">
        <f t="shared" si="3"/>
        <v>1.1867627383354473</v>
      </c>
      <c r="P37" s="40">
        <f t="shared" si="3"/>
        <v>9.2156137197630592E-2</v>
      </c>
      <c r="Q37" s="40">
        <f t="shared" si="3"/>
        <v>1.2481870911416917E-2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45560.041666666664</v>
      </c>
      <c r="B9" s="50">
        <v>9.2100000000000009</v>
      </c>
      <c r="C9" s="50">
        <v>4.1900000000000004</v>
      </c>
      <c r="D9" s="50">
        <v>14.01</v>
      </c>
      <c r="E9" s="50">
        <v>9.57</v>
      </c>
      <c r="F9" s="50">
        <v>5.47</v>
      </c>
      <c r="G9" s="50">
        <v>50.06</v>
      </c>
      <c r="H9" s="50">
        <v>17.739999999999998</v>
      </c>
      <c r="I9" s="50">
        <v>5.54</v>
      </c>
      <c r="J9" s="50">
        <v>0.13</v>
      </c>
      <c r="K9" s="50">
        <v>194.99</v>
      </c>
      <c r="L9" s="50">
        <v>26</v>
      </c>
      <c r="M9" s="50">
        <v>96.68</v>
      </c>
      <c r="N9" s="50">
        <v>2.5</v>
      </c>
      <c r="O9" s="50">
        <v>0</v>
      </c>
      <c r="P9" s="50">
        <v>0.47</v>
      </c>
      <c r="Q9" s="50">
        <v>4.66</v>
      </c>
    </row>
    <row r="10" spans="1:21" customFormat="1">
      <c r="A10" s="49">
        <v>45560.083333333336</v>
      </c>
      <c r="B10" s="50">
        <v>9.17</v>
      </c>
      <c r="C10" s="50">
        <v>4.2300000000000004</v>
      </c>
      <c r="D10" s="50">
        <v>14</v>
      </c>
      <c r="E10" s="50">
        <v>10.039999999999999</v>
      </c>
      <c r="F10" s="50">
        <v>6.64</v>
      </c>
      <c r="G10" s="50">
        <v>48.77</v>
      </c>
      <c r="H10" s="50">
        <v>17.989999999999998</v>
      </c>
      <c r="I10" s="50">
        <v>5.17</v>
      </c>
      <c r="J10" s="50">
        <v>0.38</v>
      </c>
      <c r="K10" s="50">
        <v>83.59</v>
      </c>
      <c r="L10" s="50">
        <v>25.88</v>
      </c>
      <c r="M10" s="50">
        <v>96.67</v>
      </c>
      <c r="N10" s="50">
        <v>2.5</v>
      </c>
      <c r="O10" s="50">
        <v>0</v>
      </c>
      <c r="P10" s="50">
        <v>0.41</v>
      </c>
      <c r="Q10" s="50">
        <v>4.66</v>
      </c>
    </row>
    <row r="11" spans="1:21" customFormat="1">
      <c r="A11" s="49">
        <v>45560.125</v>
      </c>
      <c r="B11" s="50">
        <v>9.17</v>
      </c>
      <c r="C11" s="50">
        <v>4.22</v>
      </c>
      <c r="D11" s="50">
        <v>14</v>
      </c>
      <c r="E11" s="50">
        <v>10.95</v>
      </c>
      <c r="F11" s="50">
        <v>5.38</v>
      </c>
      <c r="G11" s="50">
        <v>48.77</v>
      </c>
      <c r="H11" s="50">
        <v>17.989999999999998</v>
      </c>
      <c r="I11" s="50">
        <v>4.9400000000000004</v>
      </c>
      <c r="J11" s="50">
        <v>0.5</v>
      </c>
      <c r="K11" s="50">
        <v>90.15</v>
      </c>
      <c r="L11" s="50">
        <v>25.83</v>
      </c>
      <c r="M11" s="50">
        <v>97.12</v>
      </c>
      <c r="N11" s="50">
        <v>2.5</v>
      </c>
      <c r="O11" s="50">
        <v>0</v>
      </c>
      <c r="P11" s="50">
        <v>0.39</v>
      </c>
      <c r="Q11" s="50">
        <v>4.68</v>
      </c>
    </row>
    <row r="12" spans="1:21" customFormat="1">
      <c r="A12" s="49">
        <v>45560.166666666664</v>
      </c>
      <c r="B12" s="50">
        <v>9.1999999999999993</v>
      </c>
      <c r="C12" s="50">
        <v>4.24</v>
      </c>
      <c r="D12" s="50">
        <v>14</v>
      </c>
      <c r="E12" s="50">
        <v>11.58</v>
      </c>
      <c r="F12" s="50">
        <v>5.4</v>
      </c>
      <c r="G12" s="50">
        <v>47.86</v>
      </c>
      <c r="H12" s="50">
        <v>15.49</v>
      </c>
      <c r="I12" s="50">
        <v>4.7300000000000004</v>
      </c>
      <c r="J12" s="50">
        <v>0.25</v>
      </c>
      <c r="K12" s="50">
        <v>161.16999999999999</v>
      </c>
      <c r="L12" s="50">
        <v>25.54</v>
      </c>
      <c r="M12" s="50">
        <v>97.31</v>
      </c>
      <c r="N12" s="50">
        <v>2.2000000000000002</v>
      </c>
      <c r="O12" s="50">
        <v>0</v>
      </c>
      <c r="P12" s="50">
        <v>0.37</v>
      </c>
      <c r="Q12" s="50">
        <v>4.68</v>
      </c>
    </row>
    <row r="13" spans="1:21" customFormat="1">
      <c r="A13" s="49">
        <v>45560.208333333336</v>
      </c>
      <c r="B13" s="50">
        <v>9.2200000000000006</v>
      </c>
      <c r="C13" s="50">
        <v>4.1500000000000004</v>
      </c>
      <c r="D13" s="50">
        <v>14</v>
      </c>
      <c r="E13" s="50">
        <v>11.33</v>
      </c>
      <c r="F13" s="50">
        <v>4.83</v>
      </c>
      <c r="G13" s="50">
        <v>41.17</v>
      </c>
      <c r="H13" s="50">
        <v>15.49</v>
      </c>
      <c r="I13" s="50">
        <v>4.5199999999999996</v>
      </c>
      <c r="J13" s="50">
        <v>0.44</v>
      </c>
      <c r="K13" s="50">
        <v>148.01</v>
      </c>
      <c r="L13" s="50">
        <v>25.54</v>
      </c>
      <c r="M13" s="50">
        <v>97.08</v>
      </c>
      <c r="N13" s="50">
        <v>2.2000000000000002</v>
      </c>
      <c r="O13" s="50">
        <v>0</v>
      </c>
      <c r="P13" s="50">
        <v>0.36</v>
      </c>
      <c r="Q13" s="50">
        <v>4.66</v>
      </c>
    </row>
    <row r="14" spans="1:21" customFormat="1">
      <c r="A14" s="49">
        <v>45560.25</v>
      </c>
      <c r="B14" s="50">
        <v>9.23</v>
      </c>
      <c r="C14" s="50">
        <v>4.16</v>
      </c>
      <c r="D14" s="50">
        <v>14</v>
      </c>
      <c r="E14" s="50">
        <v>12.08</v>
      </c>
      <c r="F14" s="50">
        <v>4.25</v>
      </c>
      <c r="G14" s="50">
        <v>36.94</v>
      </c>
      <c r="H14" s="50">
        <v>17.34</v>
      </c>
      <c r="I14" s="50">
        <v>4.6900000000000004</v>
      </c>
      <c r="J14" s="50">
        <v>0.39</v>
      </c>
      <c r="K14" s="50">
        <v>151.34</v>
      </c>
      <c r="L14" s="50">
        <v>25.76</v>
      </c>
      <c r="M14" s="50">
        <v>96.93</v>
      </c>
      <c r="N14" s="50">
        <v>10.5</v>
      </c>
      <c r="O14" s="50">
        <v>0</v>
      </c>
      <c r="P14" s="50">
        <v>0.37</v>
      </c>
      <c r="Q14" s="50">
        <v>4.6500000000000004</v>
      </c>
    </row>
    <row r="15" spans="1:21" customFormat="1">
      <c r="A15" s="49">
        <v>45560.291666666664</v>
      </c>
      <c r="B15" s="50">
        <v>9.1999999999999993</v>
      </c>
      <c r="C15" s="50">
        <v>4.1900000000000004</v>
      </c>
      <c r="D15" s="50">
        <v>14</v>
      </c>
      <c r="E15" s="50">
        <v>10.71</v>
      </c>
      <c r="F15" s="50">
        <v>5.15</v>
      </c>
      <c r="G15" s="50">
        <v>43.59</v>
      </c>
      <c r="H15" s="50">
        <v>17.34</v>
      </c>
      <c r="I15" s="50">
        <v>4.7699999999999996</v>
      </c>
      <c r="J15" s="50">
        <v>0.57999999999999996</v>
      </c>
      <c r="K15" s="50">
        <v>60.87</v>
      </c>
      <c r="L15" s="50">
        <v>25.84</v>
      </c>
      <c r="M15" s="50">
        <v>97.34</v>
      </c>
      <c r="N15" s="50">
        <v>26.8</v>
      </c>
      <c r="O15" s="50">
        <v>0</v>
      </c>
      <c r="P15" s="50">
        <v>0.38</v>
      </c>
      <c r="Q15" s="50">
        <v>4.6399999999999997</v>
      </c>
    </row>
    <row r="16" spans="1:21" customFormat="1">
      <c r="A16" s="49">
        <v>45560.333333333336</v>
      </c>
      <c r="B16" s="50">
        <v>9.2100000000000009</v>
      </c>
      <c r="C16" s="50">
        <v>4.17</v>
      </c>
      <c r="D16" s="50">
        <v>14</v>
      </c>
      <c r="E16" s="50">
        <v>11.37</v>
      </c>
      <c r="F16" s="50">
        <v>6.64</v>
      </c>
      <c r="G16" s="50">
        <v>53.94</v>
      </c>
      <c r="H16" s="50">
        <v>17.670000000000002</v>
      </c>
      <c r="I16" s="50">
        <v>4.8600000000000003</v>
      </c>
      <c r="J16" s="50">
        <v>0.72</v>
      </c>
      <c r="K16" s="50">
        <v>57.83</v>
      </c>
      <c r="L16" s="50">
        <v>26.54</v>
      </c>
      <c r="M16" s="50">
        <v>94.64</v>
      </c>
      <c r="N16" s="50">
        <v>77.8</v>
      </c>
      <c r="O16" s="50">
        <v>0</v>
      </c>
      <c r="P16" s="50">
        <v>0.4</v>
      </c>
      <c r="Q16" s="50">
        <v>4.66</v>
      </c>
    </row>
    <row r="17" spans="1:17" customFormat="1">
      <c r="A17" s="49">
        <v>45560.375</v>
      </c>
      <c r="B17" s="50">
        <v>9.1999999999999993</v>
      </c>
      <c r="C17" s="50">
        <v>4.2</v>
      </c>
      <c r="D17" s="50">
        <v>14</v>
      </c>
      <c r="E17" s="50">
        <v>10.84</v>
      </c>
      <c r="F17" s="50">
        <v>5.85</v>
      </c>
      <c r="G17" s="50">
        <v>53.94</v>
      </c>
      <c r="H17" s="50">
        <v>17.670000000000002</v>
      </c>
      <c r="I17" s="50">
        <v>4.93</v>
      </c>
      <c r="J17" s="50">
        <v>0.77</v>
      </c>
      <c r="K17" s="50">
        <v>119.44</v>
      </c>
      <c r="L17" s="50">
        <v>27.71</v>
      </c>
      <c r="M17" s="50">
        <v>89.16</v>
      </c>
      <c r="N17" s="50">
        <v>129.4</v>
      </c>
      <c r="O17" s="50">
        <v>0</v>
      </c>
      <c r="P17" s="50">
        <v>0.4</v>
      </c>
      <c r="Q17" s="50">
        <v>4.66</v>
      </c>
    </row>
    <row r="18" spans="1:17" customFormat="1">
      <c r="A18" s="49">
        <v>45560.416666666664</v>
      </c>
      <c r="B18" s="50">
        <v>9.2100000000000009</v>
      </c>
      <c r="C18" s="50">
        <v>4.2</v>
      </c>
      <c r="D18" s="50">
        <v>14</v>
      </c>
      <c r="E18" s="50">
        <v>11.28</v>
      </c>
      <c r="F18" s="50">
        <v>4.95</v>
      </c>
      <c r="G18" s="50">
        <v>46.3</v>
      </c>
      <c r="H18" s="50">
        <v>14.66</v>
      </c>
      <c r="I18" s="50">
        <v>5.0599999999999996</v>
      </c>
      <c r="J18" s="50">
        <v>0.26</v>
      </c>
      <c r="K18" s="50">
        <v>171.11</v>
      </c>
      <c r="L18" s="50">
        <v>29.4</v>
      </c>
      <c r="M18" s="50">
        <v>85.06</v>
      </c>
      <c r="N18" s="50">
        <v>253.5</v>
      </c>
      <c r="O18" s="50">
        <v>0</v>
      </c>
      <c r="P18" s="50">
        <v>0.41</v>
      </c>
      <c r="Q18" s="50">
        <v>4.66</v>
      </c>
    </row>
    <row r="19" spans="1:17" customFormat="1">
      <c r="A19" s="49">
        <v>45560.458333333336</v>
      </c>
      <c r="B19" s="50">
        <v>9.1999999999999993</v>
      </c>
      <c r="C19" s="50">
        <v>4.1900000000000004</v>
      </c>
      <c r="D19" s="50">
        <v>14</v>
      </c>
      <c r="E19" s="50">
        <v>13.95</v>
      </c>
      <c r="F19" s="50">
        <v>5.36</v>
      </c>
      <c r="G19" s="50">
        <v>46.3</v>
      </c>
      <c r="H19" s="50">
        <v>11.2</v>
      </c>
      <c r="I19" s="50">
        <v>5.07</v>
      </c>
      <c r="J19" s="50">
        <v>0.24</v>
      </c>
      <c r="K19" s="50">
        <v>171.56</v>
      </c>
      <c r="L19" s="50">
        <v>28.78</v>
      </c>
      <c r="M19" s="50">
        <v>85.47</v>
      </c>
      <c r="N19" s="50">
        <v>104.7</v>
      </c>
      <c r="O19" s="50">
        <v>0</v>
      </c>
      <c r="P19" s="50">
        <v>0.39</v>
      </c>
      <c r="Q19" s="50">
        <v>4.68</v>
      </c>
    </row>
    <row r="20" spans="1:17" customFormat="1">
      <c r="A20" s="49">
        <v>45560.5</v>
      </c>
      <c r="B20" s="50">
        <v>9.23</v>
      </c>
      <c r="C20" s="50">
        <v>4.18</v>
      </c>
      <c r="D20" s="50">
        <v>14</v>
      </c>
      <c r="E20" s="50">
        <v>14.19</v>
      </c>
      <c r="F20" s="50">
        <v>6.9</v>
      </c>
      <c r="G20" s="50">
        <v>36.07</v>
      </c>
      <c r="H20" s="50">
        <v>15.28</v>
      </c>
      <c r="I20" s="50">
        <v>4.63</v>
      </c>
      <c r="J20" s="50">
        <v>0.31</v>
      </c>
      <c r="K20" s="50">
        <v>297.23</v>
      </c>
      <c r="L20" s="50">
        <v>27.56</v>
      </c>
      <c r="M20" s="50">
        <v>94.81</v>
      </c>
      <c r="N20" s="50">
        <v>198.8</v>
      </c>
      <c r="O20" s="50">
        <v>1</v>
      </c>
      <c r="P20" s="50">
        <v>0.36</v>
      </c>
      <c r="Q20" s="50">
        <v>4.66</v>
      </c>
    </row>
    <row r="21" spans="1:17" customFormat="1">
      <c r="A21" s="49">
        <v>45560.541666666664</v>
      </c>
      <c r="B21" s="50">
        <v>9.23</v>
      </c>
      <c r="C21" s="50">
        <v>4.1900000000000004</v>
      </c>
      <c r="D21" s="50">
        <v>14</v>
      </c>
      <c r="E21" s="50">
        <v>14.93</v>
      </c>
      <c r="F21" s="50">
        <v>7.53</v>
      </c>
      <c r="G21" s="50">
        <v>33.26</v>
      </c>
      <c r="H21" s="50">
        <v>15.28</v>
      </c>
      <c r="I21" s="50">
        <v>4.54</v>
      </c>
      <c r="J21" s="50">
        <v>0.16</v>
      </c>
      <c r="K21" s="50">
        <v>283.77999999999997</v>
      </c>
      <c r="L21" s="50">
        <v>28.56</v>
      </c>
      <c r="M21" s="50">
        <v>86.91</v>
      </c>
      <c r="N21" s="50">
        <v>263.10000000000002</v>
      </c>
      <c r="O21" s="50">
        <v>0</v>
      </c>
      <c r="P21" s="50">
        <v>0.36</v>
      </c>
      <c r="Q21" s="50">
        <v>4.66</v>
      </c>
    </row>
    <row r="22" spans="1:17" customFormat="1">
      <c r="A22" s="49">
        <v>45560.583333333336</v>
      </c>
      <c r="B22" s="50">
        <v>9.19</v>
      </c>
      <c r="C22" s="50">
        <v>4.2</v>
      </c>
      <c r="D22" s="50">
        <v>14</v>
      </c>
      <c r="E22" s="50">
        <v>15.01</v>
      </c>
      <c r="F22" s="50">
        <v>7.24</v>
      </c>
      <c r="G22" s="50">
        <v>38.69</v>
      </c>
      <c r="H22" s="50">
        <v>16.260000000000002</v>
      </c>
      <c r="I22" s="50">
        <v>4.47</v>
      </c>
      <c r="J22" s="50">
        <v>0.24</v>
      </c>
      <c r="K22" s="50">
        <v>273.10000000000002</v>
      </c>
      <c r="L22" s="50">
        <v>29.74</v>
      </c>
      <c r="M22" s="50">
        <v>82.94</v>
      </c>
      <c r="N22" s="50">
        <v>177.9</v>
      </c>
      <c r="O22" s="50">
        <v>0</v>
      </c>
      <c r="P22" s="50">
        <v>0.36</v>
      </c>
      <c r="Q22" s="50">
        <v>4.66</v>
      </c>
    </row>
    <row r="23" spans="1:17" customFormat="1">
      <c r="A23" s="49">
        <v>45560.625</v>
      </c>
      <c r="B23" s="50">
        <v>9.19</v>
      </c>
      <c r="C23" s="50">
        <v>4.1900000000000004</v>
      </c>
      <c r="D23" s="50">
        <v>14</v>
      </c>
      <c r="E23" s="50">
        <v>16.29</v>
      </c>
      <c r="F23" s="50">
        <v>7.94</v>
      </c>
      <c r="G23" s="50">
        <v>38.69</v>
      </c>
      <c r="H23" s="50">
        <v>16.260000000000002</v>
      </c>
      <c r="I23" s="50">
        <v>4.53</v>
      </c>
      <c r="J23" s="50">
        <v>0.3</v>
      </c>
      <c r="K23" s="50">
        <v>230.15</v>
      </c>
      <c r="L23" s="50">
        <v>29.78</v>
      </c>
      <c r="M23" s="50">
        <v>79.599999999999994</v>
      </c>
      <c r="N23" s="50">
        <v>131.19999999999999</v>
      </c>
      <c r="O23" s="50">
        <v>0</v>
      </c>
      <c r="P23" s="50">
        <v>0.45</v>
      </c>
      <c r="Q23" s="50">
        <v>4.66</v>
      </c>
    </row>
    <row r="24" spans="1:17" customFormat="1">
      <c r="A24" s="49">
        <v>45560.666666666664</v>
      </c>
      <c r="B24" s="50">
        <v>9.2100000000000009</v>
      </c>
      <c r="C24" s="50">
        <v>4.1900000000000004</v>
      </c>
      <c r="D24" s="50">
        <v>14</v>
      </c>
      <c r="E24" s="50">
        <v>17.32</v>
      </c>
      <c r="F24" s="50">
        <v>7.52</v>
      </c>
      <c r="G24" s="50">
        <v>48.77</v>
      </c>
      <c r="H24" s="50">
        <v>18.260000000000002</v>
      </c>
      <c r="I24" s="50">
        <v>4.7300000000000004</v>
      </c>
      <c r="J24" s="50">
        <v>0.33</v>
      </c>
      <c r="K24" s="50">
        <v>112.06</v>
      </c>
      <c r="L24" s="50">
        <v>29.64</v>
      </c>
      <c r="M24" s="50">
        <v>79.760000000000005</v>
      </c>
      <c r="N24" s="50">
        <v>119.9</v>
      </c>
      <c r="O24" s="50">
        <v>0</v>
      </c>
      <c r="P24" s="50">
        <v>0.49</v>
      </c>
      <c r="Q24" s="50">
        <v>4.6500000000000004</v>
      </c>
    </row>
    <row r="25" spans="1:17" customFormat="1">
      <c r="A25" s="49">
        <v>45560.708333333336</v>
      </c>
      <c r="B25" s="50">
        <v>9.2200000000000006</v>
      </c>
      <c r="C25" s="50">
        <v>4.2</v>
      </c>
      <c r="D25" s="50">
        <v>14</v>
      </c>
      <c r="E25" s="50">
        <v>20.149999999999999</v>
      </c>
      <c r="F25" s="50">
        <v>7.9</v>
      </c>
      <c r="G25" s="50">
        <v>62.8</v>
      </c>
      <c r="H25" s="50">
        <v>22.79</v>
      </c>
      <c r="I25" s="50">
        <v>4.93</v>
      </c>
      <c r="J25" s="50">
        <v>0.38</v>
      </c>
      <c r="K25" s="50">
        <v>92.31</v>
      </c>
      <c r="L25" s="50">
        <v>29.34</v>
      </c>
      <c r="M25" s="50">
        <v>82.1</v>
      </c>
      <c r="N25" s="50">
        <v>57.9</v>
      </c>
      <c r="O25" s="50">
        <v>0</v>
      </c>
      <c r="P25" s="50">
        <v>0.55000000000000004</v>
      </c>
      <c r="Q25" s="50">
        <v>4.6500000000000004</v>
      </c>
    </row>
    <row r="26" spans="1:17" customFormat="1">
      <c r="A26" s="49">
        <v>45560.75</v>
      </c>
      <c r="B26" s="50">
        <v>9.17</v>
      </c>
      <c r="C26" s="50">
        <v>4.2699999999999996</v>
      </c>
      <c r="D26" s="50">
        <v>14</v>
      </c>
      <c r="E26" s="50">
        <v>15.56</v>
      </c>
      <c r="F26" s="50">
        <v>5.91</v>
      </c>
      <c r="G26" s="50">
        <v>74.78</v>
      </c>
      <c r="H26" s="50">
        <v>23.63</v>
      </c>
      <c r="I26" s="50">
        <v>5.35</v>
      </c>
      <c r="J26" s="50">
        <v>0.8</v>
      </c>
      <c r="K26" s="50">
        <v>63.54</v>
      </c>
      <c r="L26" s="50">
        <v>28.81</v>
      </c>
      <c r="M26" s="50">
        <v>84.87</v>
      </c>
      <c r="N26" s="50">
        <v>16</v>
      </c>
      <c r="O26" s="50">
        <v>0</v>
      </c>
      <c r="P26" s="50">
        <v>0.6</v>
      </c>
      <c r="Q26" s="50">
        <v>4.63</v>
      </c>
    </row>
    <row r="27" spans="1:17" customFormat="1">
      <c r="A27" s="49">
        <v>45560.791666666664</v>
      </c>
      <c r="B27" s="50">
        <v>9.15</v>
      </c>
      <c r="C27" s="50">
        <v>4.24</v>
      </c>
      <c r="D27" s="50">
        <v>14</v>
      </c>
      <c r="E27" s="50">
        <v>13.52</v>
      </c>
      <c r="F27" s="50">
        <v>5.29</v>
      </c>
      <c r="G27" s="50">
        <v>86.98</v>
      </c>
      <c r="H27" s="50">
        <v>26.08</v>
      </c>
      <c r="I27" s="50">
        <v>7</v>
      </c>
      <c r="J27" s="50">
        <v>0.6</v>
      </c>
      <c r="K27" s="50">
        <v>63.64</v>
      </c>
      <c r="L27" s="50">
        <v>27.95</v>
      </c>
      <c r="M27" s="50">
        <v>87.47</v>
      </c>
      <c r="N27" s="50">
        <v>2.6</v>
      </c>
      <c r="O27" s="50">
        <v>0</v>
      </c>
      <c r="P27" s="50">
        <v>0.64</v>
      </c>
      <c r="Q27" s="50">
        <v>4.63</v>
      </c>
    </row>
    <row r="28" spans="1:17" customFormat="1">
      <c r="A28" s="49">
        <v>45560.833333333336</v>
      </c>
      <c r="B28" s="50">
        <v>9.27</v>
      </c>
      <c r="C28" s="50">
        <v>4.3099999999999996</v>
      </c>
      <c r="D28" s="50">
        <v>14.01</v>
      </c>
      <c r="E28" s="50">
        <v>12.86</v>
      </c>
      <c r="F28" s="50">
        <v>5.81</v>
      </c>
      <c r="G28" s="50">
        <v>95.34</v>
      </c>
      <c r="H28" s="50">
        <v>26.38</v>
      </c>
      <c r="I28" s="50">
        <v>7.49</v>
      </c>
      <c r="J28" s="50">
        <v>0.47</v>
      </c>
      <c r="K28" s="50">
        <v>80.87</v>
      </c>
      <c r="L28" s="50">
        <v>27.43</v>
      </c>
      <c r="M28" s="50">
        <v>91.39</v>
      </c>
      <c r="N28" s="50">
        <v>2.2999999999999998</v>
      </c>
      <c r="O28" s="50">
        <v>0</v>
      </c>
      <c r="P28" s="50">
        <v>0.65</v>
      </c>
      <c r="Q28" s="50">
        <v>4.66</v>
      </c>
    </row>
    <row r="29" spans="1:17" customFormat="1">
      <c r="A29" s="49">
        <v>45560.875</v>
      </c>
      <c r="B29" s="50">
        <v>9.27</v>
      </c>
      <c r="C29" s="50">
        <v>4.29</v>
      </c>
      <c r="D29" s="50">
        <v>14.01</v>
      </c>
      <c r="E29" s="50">
        <v>12.66</v>
      </c>
      <c r="F29" s="50">
        <v>6.06</v>
      </c>
      <c r="G29" s="50">
        <v>99.4</v>
      </c>
      <c r="H29" s="50">
        <v>26.38</v>
      </c>
      <c r="I29" s="50">
        <v>8.4499999999999993</v>
      </c>
      <c r="J29" s="50">
        <v>0.42</v>
      </c>
      <c r="K29" s="50">
        <v>151.22</v>
      </c>
      <c r="L29" s="50">
        <v>27.4</v>
      </c>
      <c r="M29" s="50">
        <v>91.01</v>
      </c>
      <c r="N29" s="50">
        <v>2.2999999999999998</v>
      </c>
      <c r="O29" s="50">
        <v>0</v>
      </c>
      <c r="P29" s="50">
        <v>0.6</v>
      </c>
      <c r="Q29" s="50">
        <v>4.68</v>
      </c>
    </row>
    <row r="30" spans="1:17" customFormat="1">
      <c r="A30" s="49">
        <v>45560.916666666664</v>
      </c>
      <c r="B30" s="50">
        <v>9.1300000000000008</v>
      </c>
      <c r="C30" s="50">
        <v>4.3</v>
      </c>
      <c r="D30" s="50">
        <v>14</v>
      </c>
      <c r="E30" s="50">
        <v>12.79</v>
      </c>
      <c r="F30" s="50">
        <v>5.42</v>
      </c>
      <c r="G30" s="50">
        <v>101.99</v>
      </c>
      <c r="H30" s="50">
        <v>25.92</v>
      </c>
      <c r="I30" s="50">
        <v>7.66</v>
      </c>
      <c r="J30" s="50">
        <v>0.14000000000000001</v>
      </c>
      <c r="K30" s="50">
        <v>210.05</v>
      </c>
      <c r="L30" s="50">
        <v>27.19</v>
      </c>
      <c r="M30" s="50">
        <v>94.06</v>
      </c>
      <c r="N30" s="50">
        <v>2.4</v>
      </c>
      <c r="O30" s="50">
        <v>0</v>
      </c>
      <c r="P30" s="50">
        <v>0.61</v>
      </c>
      <c r="Q30" s="50">
        <v>4.67</v>
      </c>
    </row>
    <row r="31" spans="1:17" customFormat="1">
      <c r="A31" s="49">
        <v>45560.958333333336</v>
      </c>
      <c r="B31" s="50">
        <v>9.15</v>
      </c>
      <c r="C31" s="50">
        <v>4.24</v>
      </c>
      <c r="D31" s="50">
        <v>14</v>
      </c>
      <c r="E31" s="50">
        <v>12.7</v>
      </c>
      <c r="F31" s="50">
        <v>3.91</v>
      </c>
      <c r="G31" s="50">
        <v>101.99</v>
      </c>
      <c r="H31" s="50">
        <v>26.99</v>
      </c>
      <c r="I31" s="50">
        <v>7.21</v>
      </c>
      <c r="J31" s="50">
        <v>0.14000000000000001</v>
      </c>
      <c r="K31" s="50">
        <v>234.26</v>
      </c>
      <c r="L31" s="50">
        <v>26.66</v>
      </c>
      <c r="M31" s="50">
        <v>96.38</v>
      </c>
      <c r="N31" s="50">
        <v>2.1</v>
      </c>
      <c r="O31" s="50">
        <v>0</v>
      </c>
      <c r="P31" s="50">
        <v>0.57999999999999996</v>
      </c>
      <c r="Q31" s="50">
        <v>4.67</v>
      </c>
    </row>
    <row r="32" spans="1:17" customFormat="1">
      <c r="A32" s="49">
        <v>45561</v>
      </c>
      <c r="B32" s="50">
        <v>9.17</v>
      </c>
      <c r="C32" s="50">
        <v>4.24</v>
      </c>
      <c r="D32" s="50">
        <v>14</v>
      </c>
      <c r="E32" s="50">
        <v>13.06</v>
      </c>
      <c r="F32" s="50">
        <v>4.47</v>
      </c>
      <c r="G32" s="50">
        <v>85.17</v>
      </c>
      <c r="H32" s="50">
        <v>26.99</v>
      </c>
      <c r="I32" s="50">
        <v>6.97</v>
      </c>
      <c r="J32" s="50">
        <v>0.14000000000000001</v>
      </c>
      <c r="K32" s="50">
        <v>201.58</v>
      </c>
      <c r="L32" s="50">
        <v>26.49</v>
      </c>
      <c r="M32" s="50">
        <v>97.66</v>
      </c>
      <c r="N32" s="50">
        <v>2.2000000000000002</v>
      </c>
      <c r="O32" s="50">
        <v>0</v>
      </c>
      <c r="P32" s="50">
        <v>0.56999999999999995</v>
      </c>
      <c r="Q32" s="50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9.1300000000000008</v>
      </c>
      <c r="C34" s="40">
        <f t="shared" si="0"/>
        <v>4.1500000000000004</v>
      </c>
      <c r="D34" s="40">
        <f t="shared" si="0"/>
        <v>14</v>
      </c>
      <c r="E34" s="40">
        <f t="shared" si="0"/>
        <v>9.57</v>
      </c>
      <c r="F34" s="40">
        <f t="shared" si="0"/>
        <v>3.91</v>
      </c>
      <c r="G34" s="40">
        <f t="shared" si="0"/>
        <v>33.26</v>
      </c>
      <c r="H34" s="40">
        <f t="shared" si="0"/>
        <v>11.2</v>
      </c>
      <c r="I34" s="40">
        <f t="shared" si="0"/>
        <v>4.47</v>
      </c>
      <c r="J34" s="40">
        <f t="shared" si="0"/>
        <v>0.13</v>
      </c>
      <c r="K34" s="40">
        <f t="shared" si="0"/>
        <v>57.83</v>
      </c>
      <c r="L34" s="40">
        <f t="shared" si="0"/>
        <v>25.54</v>
      </c>
      <c r="M34" s="40">
        <f t="shared" si="0"/>
        <v>79.599999999999994</v>
      </c>
      <c r="N34" s="40">
        <f t="shared" si="0"/>
        <v>2.1</v>
      </c>
      <c r="O34" s="40">
        <f t="shared" si="0"/>
        <v>0</v>
      </c>
      <c r="P34" s="40">
        <f t="shared" si="0"/>
        <v>0.36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9.27</v>
      </c>
      <c r="C35" s="33">
        <f t="shared" si="1"/>
        <v>4.3099999999999996</v>
      </c>
      <c r="D35" s="33">
        <f t="shared" si="1"/>
        <v>14.01</v>
      </c>
      <c r="E35" s="33">
        <f t="shared" si="1"/>
        <v>20.149999999999999</v>
      </c>
      <c r="F35" s="33">
        <f t="shared" si="1"/>
        <v>7.94</v>
      </c>
      <c r="G35" s="33">
        <f t="shared" si="1"/>
        <v>101.99</v>
      </c>
      <c r="H35" s="33">
        <f t="shared" si="1"/>
        <v>26.99</v>
      </c>
      <c r="I35" s="33">
        <f t="shared" si="1"/>
        <v>8.4499999999999993</v>
      </c>
      <c r="J35" s="33">
        <f t="shared" si="1"/>
        <v>0.8</v>
      </c>
      <c r="K35" s="33">
        <f t="shared" si="1"/>
        <v>297.23</v>
      </c>
      <c r="L35" s="33">
        <f t="shared" si="1"/>
        <v>29.78</v>
      </c>
      <c r="M35" s="33">
        <f t="shared" si="1"/>
        <v>97.66</v>
      </c>
      <c r="N35" s="33">
        <f t="shared" si="1"/>
        <v>263.10000000000002</v>
      </c>
      <c r="O35" s="33">
        <f t="shared" si="1"/>
        <v>1</v>
      </c>
      <c r="P35" s="33">
        <f t="shared" si="1"/>
        <v>0.65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9.2000000000000011</v>
      </c>
      <c r="C36" s="40">
        <f t="shared" si="2"/>
        <v>4.2158333333333333</v>
      </c>
      <c r="D36" s="40">
        <f t="shared" si="2"/>
        <v>14.001249999999999</v>
      </c>
      <c r="E36" s="40">
        <f t="shared" si="2"/>
        <v>13.114166666666669</v>
      </c>
      <c r="F36" s="40">
        <f t="shared" si="2"/>
        <v>5.9091666666666667</v>
      </c>
      <c r="G36" s="40">
        <f t="shared" si="2"/>
        <v>59.232083333333343</v>
      </c>
      <c r="H36" s="40">
        <f t="shared" si="2"/>
        <v>19.46166666666667</v>
      </c>
      <c r="I36" s="40">
        <f t="shared" si="2"/>
        <v>5.5100000000000007</v>
      </c>
      <c r="J36" s="40">
        <f t="shared" si="2"/>
        <v>0.37875000000000009</v>
      </c>
      <c r="K36" s="40">
        <f t="shared" si="2"/>
        <v>154.32708333333332</v>
      </c>
      <c r="L36" s="40">
        <f t="shared" si="2"/>
        <v>27.473749999999995</v>
      </c>
      <c r="M36" s="40">
        <f t="shared" si="2"/>
        <v>90.934166666666655</v>
      </c>
      <c r="N36" s="40">
        <f t="shared" si="2"/>
        <v>66.387500000000003</v>
      </c>
      <c r="O36" s="40">
        <f t="shared" si="2"/>
        <v>4.1666666666666664E-2</v>
      </c>
      <c r="P36" s="40">
        <f t="shared" si="2"/>
        <v>0.46541666666666665</v>
      </c>
      <c r="Q36" s="40">
        <f t="shared" si="2"/>
        <v>4.659583333333333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3.4515277020850985E-2</v>
      </c>
      <c r="C37" s="40">
        <f t="shared" ref="C37:Q37" si="3">STDEV(C9:C32)</f>
        <v>4.3129397486357496E-2</v>
      </c>
      <c r="D37" s="40">
        <f t="shared" si="3"/>
        <v>3.3783196234608093E-3</v>
      </c>
      <c r="E37" s="40">
        <f t="shared" si="3"/>
        <v>2.4968012869803231</v>
      </c>
      <c r="F37" s="40">
        <f t="shared" si="3"/>
        <v>1.1478672725373438</v>
      </c>
      <c r="G37" s="40">
        <f t="shared" si="3"/>
        <v>23.149847586908638</v>
      </c>
      <c r="H37" s="40">
        <f t="shared" si="3"/>
        <v>4.7801206703584791</v>
      </c>
      <c r="I37" s="40">
        <f t="shared" si="3"/>
        <v>1.2079591124666877</v>
      </c>
      <c r="J37" s="40">
        <f t="shared" si="3"/>
        <v>0.20089609038115863</v>
      </c>
      <c r="K37" s="40">
        <f t="shared" si="3"/>
        <v>74.302688609507641</v>
      </c>
      <c r="L37" s="40">
        <f t="shared" si="3"/>
        <v>1.4801727645932756</v>
      </c>
      <c r="M37" s="40">
        <f t="shared" si="3"/>
        <v>6.2588142484904949</v>
      </c>
      <c r="N37" s="40">
        <f t="shared" si="3"/>
        <v>85.649672262628357</v>
      </c>
      <c r="O37" s="40">
        <f t="shared" si="3"/>
        <v>0.20412414523193151</v>
      </c>
      <c r="P37" s="40">
        <f t="shared" si="3"/>
        <v>0.10421462664039609</v>
      </c>
      <c r="Q37" s="40">
        <f t="shared" si="3"/>
        <v>1.3666578295931969E-2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tabSelected="1"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H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45561.041666666664</v>
      </c>
      <c r="B9" s="50">
        <v>9.3699999999999992</v>
      </c>
      <c r="C9" s="50">
        <v>4.08</v>
      </c>
      <c r="D9" s="50">
        <v>14.09</v>
      </c>
      <c r="E9" s="50">
        <v>13.37</v>
      </c>
      <c r="F9" s="50">
        <v>4.2699999999999996</v>
      </c>
      <c r="G9" s="50">
        <v>76.78</v>
      </c>
      <c r="H9" s="50">
        <v>26.27</v>
      </c>
      <c r="I9" s="50">
        <v>6.68</v>
      </c>
      <c r="J9" s="50">
        <v>0.13</v>
      </c>
      <c r="K9" s="50">
        <v>179.14</v>
      </c>
      <c r="L9" s="50">
        <v>26.58</v>
      </c>
      <c r="M9" s="50">
        <v>97.96</v>
      </c>
      <c r="N9" s="50">
        <v>2.1</v>
      </c>
      <c r="O9" s="50">
        <v>0</v>
      </c>
      <c r="P9" s="50">
        <v>0.59</v>
      </c>
      <c r="Q9" s="50">
        <v>4.66</v>
      </c>
    </row>
    <row r="10" spans="1:21" customFormat="1">
      <c r="A10" s="49">
        <v>45561.083333333336</v>
      </c>
      <c r="B10" s="50">
        <v>9.31</v>
      </c>
      <c r="C10" s="50">
        <v>4.08</v>
      </c>
      <c r="D10" s="50">
        <v>14.03</v>
      </c>
      <c r="E10" s="50">
        <v>12.92</v>
      </c>
      <c r="F10" s="50">
        <v>4.8899999999999997</v>
      </c>
      <c r="G10" s="50">
        <v>69.540000000000006</v>
      </c>
      <c r="H10" s="50">
        <v>26.27</v>
      </c>
      <c r="I10" s="50">
        <v>6.61</v>
      </c>
      <c r="J10" s="50">
        <v>0.14000000000000001</v>
      </c>
      <c r="K10" s="50">
        <v>272.05</v>
      </c>
      <c r="L10" s="50">
        <v>26.53</v>
      </c>
      <c r="M10" s="50">
        <v>98.02</v>
      </c>
      <c r="N10" s="50">
        <v>2.5</v>
      </c>
      <c r="O10" s="50">
        <v>0</v>
      </c>
      <c r="P10" s="50">
        <v>0.57999999999999996</v>
      </c>
      <c r="Q10" s="50">
        <v>4.66</v>
      </c>
    </row>
    <row r="11" spans="1:21" customFormat="1">
      <c r="A11" s="49">
        <v>45561.125</v>
      </c>
      <c r="B11" s="50">
        <v>9.2799999999999994</v>
      </c>
      <c r="C11" s="50">
        <v>4.09</v>
      </c>
      <c r="D11" s="50">
        <v>14</v>
      </c>
      <c r="E11" s="50">
        <v>10.3</v>
      </c>
      <c r="F11" s="50">
        <v>4.6500000000000004</v>
      </c>
      <c r="G11" s="50">
        <v>66.290000000000006</v>
      </c>
      <c r="H11" s="50">
        <v>23.63</v>
      </c>
      <c r="I11" s="50">
        <v>6.48</v>
      </c>
      <c r="J11" s="50">
        <v>0.12</v>
      </c>
      <c r="K11" s="50">
        <v>258.98</v>
      </c>
      <c r="L11" s="50">
        <v>25.77</v>
      </c>
      <c r="M11" s="50">
        <v>97.25</v>
      </c>
      <c r="N11" s="50">
        <v>2.4</v>
      </c>
      <c r="O11" s="50">
        <v>0</v>
      </c>
      <c r="P11" s="50">
        <v>0.56999999999999995</v>
      </c>
      <c r="Q11" s="50">
        <v>4.6500000000000004</v>
      </c>
    </row>
    <row r="12" spans="1:21" customFormat="1">
      <c r="A12" s="49">
        <v>45561.166666666664</v>
      </c>
      <c r="B12" s="50">
        <v>9.27</v>
      </c>
      <c r="C12" s="50">
        <v>4.0999999999999996</v>
      </c>
      <c r="D12" s="50">
        <v>14.02</v>
      </c>
      <c r="E12" s="50">
        <v>9.65</v>
      </c>
      <c r="F12" s="50">
        <v>4.25</v>
      </c>
      <c r="G12" s="50">
        <v>43.62</v>
      </c>
      <c r="H12" s="50">
        <v>16.559999999999999</v>
      </c>
      <c r="I12" s="50">
        <v>6.2</v>
      </c>
      <c r="J12" s="50">
        <v>0.14000000000000001</v>
      </c>
      <c r="K12" s="50">
        <v>249.91</v>
      </c>
      <c r="L12" s="50">
        <v>25.65</v>
      </c>
      <c r="M12" s="50">
        <v>97.89</v>
      </c>
      <c r="N12" s="50">
        <v>2.2999999999999998</v>
      </c>
      <c r="O12" s="50">
        <v>0</v>
      </c>
      <c r="P12" s="50">
        <v>0.54</v>
      </c>
      <c r="Q12" s="50">
        <v>4.6399999999999997</v>
      </c>
    </row>
    <row r="13" spans="1:21" customFormat="1">
      <c r="A13" s="49">
        <v>45561.208333333336</v>
      </c>
      <c r="B13" s="50">
        <v>9.2799999999999994</v>
      </c>
      <c r="C13" s="50">
        <v>4.09</v>
      </c>
      <c r="D13" s="50">
        <v>14.02</v>
      </c>
      <c r="E13" s="50">
        <v>9.56</v>
      </c>
      <c r="F13" s="50">
        <v>4.25</v>
      </c>
      <c r="G13" s="50">
        <v>31.28</v>
      </c>
      <c r="H13" s="50">
        <v>11.62</v>
      </c>
      <c r="I13" s="50">
        <v>6.28</v>
      </c>
      <c r="J13" s="50">
        <v>0.13</v>
      </c>
      <c r="K13" s="50">
        <v>257.13</v>
      </c>
      <c r="L13" s="50">
        <v>25.7</v>
      </c>
      <c r="M13" s="50">
        <v>98.46</v>
      </c>
      <c r="N13" s="50">
        <v>2.2000000000000002</v>
      </c>
      <c r="O13" s="50">
        <v>0</v>
      </c>
      <c r="P13" s="50">
        <v>0.51</v>
      </c>
      <c r="Q13" s="50">
        <v>4.6500000000000004</v>
      </c>
    </row>
    <row r="14" spans="1:21" customFormat="1">
      <c r="A14" s="49">
        <v>45561.25</v>
      </c>
      <c r="B14" s="50">
        <v>9.2899999999999991</v>
      </c>
      <c r="C14" s="50">
        <v>4.08</v>
      </c>
      <c r="D14" s="50">
        <v>14.03</v>
      </c>
      <c r="E14" s="50">
        <v>9.51</v>
      </c>
      <c r="F14" s="50">
        <v>4.8499999999999996</v>
      </c>
      <c r="G14" s="50">
        <v>24.71</v>
      </c>
      <c r="H14" s="50">
        <v>10.46</v>
      </c>
      <c r="I14" s="50">
        <v>5.8</v>
      </c>
      <c r="J14" s="50">
        <v>0.13</v>
      </c>
      <c r="K14" s="50">
        <v>251</v>
      </c>
      <c r="L14" s="50">
        <v>25.89</v>
      </c>
      <c r="M14" s="50">
        <v>98.63</v>
      </c>
      <c r="N14" s="50">
        <v>5.3</v>
      </c>
      <c r="O14" s="50">
        <v>0</v>
      </c>
      <c r="P14" s="50">
        <v>0.46</v>
      </c>
      <c r="Q14" s="50">
        <v>4.67</v>
      </c>
    </row>
    <row r="15" spans="1:21" customFormat="1">
      <c r="A15" s="49">
        <v>45561.291666666664</v>
      </c>
      <c r="B15" s="50">
        <v>9.3000000000000007</v>
      </c>
      <c r="C15" s="50">
        <v>4.07</v>
      </c>
      <c r="D15" s="50">
        <v>14.04</v>
      </c>
      <c r="E15" s="50">
        <v>10.1</v>
      </c>
      <c r="F15" s="50">
        <v>4.84</v>
      </c>
      <c r="G15" s="50">
        <v>21.93</v>
      </c>
      <c r="H15" s="50">
        <v>9.68</v>
      </c>
      <c r="I15" s="50">
        <v>5.46</v>
      </c>
      <c r="J15" s="50">
        <v>0.34</v>
      </c>
      <c r="K15" s="50">
        <v>258.95999999999998</v>
      </c>
      <c r="L15" s="50">
        <v>26.02</v>
      </c>
      <c r="M15" s="50">
        <v>97.48</v>
      </c>
      <c r="N15" s="50">
        <v>30.6</v>
      </c>
      <c r="O15" s="50">
        <v>0</v>
      </c>
      <c r="P15" s="50">
        <v>0.44</v>
      </c>
      <c r="Q15" s="50">
        <v>4.67</v>
      </c>
    </row>
    <row r="16" spans="1:21" customFormat="1">
      <c r="A16" s="49">
        <v>45561.333333333336</v>
      </c>
      <c r="B16" s="50">
        <v>9.33</v>
      </c>
      <c r="C16" s="50">
        <v>4.0599999999999996</v>
      </c>
      <c r="D16" s="50">
        <v>14.04</v>
      </c>
      <c r="E16" s="50">
        <v>10.73</v>
      </c>
      <c r="F16" s="50">
        <v>4.95</v>
      </c>
      <c r="G16" s="50">
        <v>21.93</v>
      </c>
      <c r="H16" s="50">
        <v>9.68</v>
      </c>
      <c r="I16" s="50">
        <v>5.34</v>
      </c>
      <c r="J16" s="50">
        <v>0.28999999999999998</v>
      </c>
      <c r="K16" s="50">
        <v>261.95999999999998</v>
      </c>
      <c r="L16" s="50">
        <v>26.9</v>
      </c>
      <c r="M16" s="50">
        <v>94.54</v>
      </c>
      <c r="N16" s="50">
        <v>78.3</v>
      </c>
      <c r="O16" s="50">
        <v>0</v>
      </c>
      <c r="P16" s="50">
        <v>0.43</v>
      </c>
      <c r="Q16" s="50">
        <v>4.66</v>
      </c>
    </row>
    <row r="17" spans="1:17" customFormat="1">
      <c r="A17" s="49">
        <v>45561.375</v>
      </c>
      <c r="B17" s="50">
        <v>9.31</v>
      </c>
      <c r="C17" s="50">
        <v>4.08</v>
      </c>
      <c r="D17" s="50">
        <v>14.04</v>
      </c>
      <c r="E17" s="50">
        <v>10.93</v>
      </c>
      <c r="F17" s="50">
        <v>4.8099999999999996</v>
      </c>
      <c r="G17" s="50">
        <v>16.84</v>
      </c>
      <c r="H17" s="50">
        <v>6.92</v>
      </c>
      <c r="I17" s="50">
        <v>5.17</v>
      </c>
      <c r="J17" s="50">
        <v>0.38</v>
      </c>
      <c r="K17" s="50">
        <v>264.51</v>
      </c>
      <c r="L17" s="50">
        <v>27.59</v>
      </c>
      <c r="M17" s="50">
        <v>90.19</v>
      </c>
      <c r="N17" s="50">
        <v>115.8</v>
      </c>
      <c r="O17" s="50">
        <v>0</v>
      </c>
      <c r="P17" s="50">
        <v>0.42</v>
      </c>
      <c r="Q17" s="50">
        <v>4.66</v>
      </c>
    </row>
    <row r="18" spans="1:17" customFormat="1">
      <c r="A18" s="49">
        <v>45561.416666666664</v>
      </c>
      <c r="B18" s="50">
        <v>9.35</v>
      </c>
      <c r="C18" s="50">
        <v>4.07</v>
      </c>
      <c r="D18" s="50">
        <v>14.07</v>
      </c>
      <c r="E18" s="50">
        <v>11.23</v>
      </c>
      <c r="F18" s="50">
        <v>4.54</v>
      </c>
      <c r="G18" s="50">
        <v>12.56</v>
      </c>
      <c r="H18" s="50">
        <v>5.36</v>
      </c>
      <c r="I18" s="50">
        <v>4.97</v>
      </c>
      <c r="J18" s="50">
        <v>0.75</v>
      </c>
      <c r="K18" s="50">
        <v>274.31</v>
      </c>
      <c r="L18" s="50">
        <v>28.82</v>
      </c>
      <c r="M18" s="50">
        <v>85.12</v>
      </c>
      <c r="N18" s="50">
        <v>199.5</v>
      </c>
      <c r="O18" s="50">
        <v>0</v>
      </c>
      <c r="P18" s="50">
        <v>0.43</v>
      </c>
      <c r="Q18" s="50">
        <v>4.66</v>
      </c>
    </row>
    <row r="19" spans="1:17" customFormat="1">
      <c r="A19" s="49">
        <v>45561.458333333336</v>
      </c>
      <c r="B19" s="50">
        <v>9.2899999999999991</v>
      </c>
      <c r="C19" s="50">
        <v>4.1100000000000003</v>
      </c>
      <c r="D19" s="50">
        <v>14.03</v>
      </c>
      <c r="E19" s="50">
        <v>11.51</v>
      </c>
      <c r="F19" s="50">
        <v>5.1100000000000003</v>
      </c>
      <c r="G19" s="50">
        <v>9.43</v>
      </c>
      <c r="H19" s="50">
        <v>4.13</v>
      </c>
      <c r="I19" s="50">
        <v>4.83</v>
      </c>
      <c r="J19" s="50">
        <v>0.64</v>
      </c>
      <c r="K19" s="50">
        <v>275.75</v>
      </c>
      <c r="L19" s="50">
        <v>29.72</v>
      </c>
      <c r="M19" s="50">
        <v>82.29</v>
      </c>
      <c r="N19" s="50">
        <v>256.10000000000002</v>
      </c>
      <c r="O19" s="50">
        <v>0</v>
      </c>
      <c r="P19" s="50">
        <v>0.44</v>
      </c>
      <c r="Q19" s="50">
        <v>4.66</v>
      </c>
    </row>
    <row r="20" spans="1:17" customFormat="1">
      <c r="A20" s="49">
        <v>45561.5</v>
      </c>
      <c r="B20" s="50">
        <v>9.3699999999999992</v>
      </c>
      <c r="C20" s="50">
        <v>4.0999999999999996</v>
      </c>
      <c r="D20" s="50">
        <v>14.09</v>
      </c>
      <c r="E20" s="50">
        <v>10.97</v>
      </c>
      <c r="F20" s="50">
        <v>4.76</v>
      </c>
      <c r="G20" s="50">
        <v>13.01</v>
      </c>
      <c r="H20" s="50">
        <v>6.25</v>
      </c>
      <c r="I20" s="50">
        <v>4.96</v>
      </c>
      <c r="J20" s="50">
        <v>0.5</v>
      </c>
      <c r="K20" s="50">
        <v>284.37</v>
      </c>
      <c r="L20" s="50">
        <v>29.78</v>
      </c>
      <c r="M20" s="50">
        <v>77.78</v>
      </c>
      <c r="N20" s="50">
        <v>206.9</v>
      </c>
      <c r="O20" s="50">
        <v>0</v>
      </c>
      <c r="P20" s="50">
        <v>0.46</v>
      </c>
      <c r="Q20" s="50">
        <v>4.6399999999999997</v>
      </c>
    </row>
    <row r="21" spans="1:17" customFormat="1">
      <c r="A21" s="49">
        <v>45561.541666666664</v>
      </c>
      <c r="B21" s="50">
        <v>9.3699999999999992</v>
      </c>
      <c r="C21" s="50">
        <v>4.09</v>
      </c>
      <c r="D21" s="50">
        <v>14.1</v>
      </c>
      <c r="E21" s="50">
        <v>10.96</v>
      </c>
      <c r="F21" s="50">
        <v>9.91</v>
      </c>
      <c r="G21" s="50">
        <v>13.01</v>
      </c>
      <c r="H21" s="50">
        <v>6.25</v>
      </c>
      <c r="I21" s="50">
        <v>5.8</v>
      </c>
      <c r="J21" s="50">
        <v>0.4</v>
      </c>
      <c r="K21" s="50">
        <v>274.99</v>
      </c>
      <c r="L21" s="50">
        <v>28.83</v>
      </c>
      <c r="M21" s="50">
        <v>98.22</v>
      </c>
      <c r="N21" s="50">
        <v>31.7</v>
      </c>
      <c r="O21" s="50">
        <v>2</v>
      </c>
      <c r="P21" s="50">
        <v>0.55000000000000004</v>
      </c>
      <c r="Q21" s="50">
        <v>4.6399999999999997</v>
      </c>
    </row>
    <row r="22" spans="1:17" customFormat="1">
      <c r="A22" s="49">
        <v>45561.583333333336</v>
      </c>
      <c r="B22" s="50">
        <v>9.31</v>
      </c>
      <c r="C22" s="50">
        <v>4.0999999999999996</v>
      </c>
      <c r="D22" s="50">
        <v>14.05</v>
      </c>
      <c r="E22" s="50">
        <v>8.26</v>
      </c>
      <c r="F22" s="50">
        <v>6.4</v>
      </c>
      <c r="G22" s="11" t="s">
        <v>12</v>
      </c>
      <c r="H22" s="11" t="s">
        <v>12</v>
      </c>
      <c r="I22" s="50">
        <v>5.38</v>
      </c>
      <c r="J22" s="50">
        <v>0.14000000000000001</v>
      </c>
      <c r="K22" s="50">
        <v>174.27</v>
      </c>
      <c r="L22" s="50">
        <v>26.39</v>
      </c>
      <c r="M22" s="50">
        <v>100.22</v>
      </c>
      <c r="N22" s="50">
        <v>63.7</v>
      </c>
      <c r="O22" s="50">
        <v>0.2</v>
      </c>
      <c r="P22" s="50">
        <v>0.43</v>
      </c>
      <c r="Q22" s="50">
        <v>4.6399999999999997</v>
      </c>
    </row>
    <row r="23" spans="1:17" customFormat="1">
      <c r="A23" s="49">
        <v>45561.625</v>
      </c>
      <c r="B23" s="50">
        <v>9.4499999999999993</v>
      </c>
      <c r="C23" s="50">
        <v>4.09</v>
      </c>
      <c r="D23" s="50">
        <v>14.15</v>
      </c>
      <c r="E23" s="50">
        <v>7.19</v>
      </c>
      <c r="F23" s="50">
        <v>5.53</v>
      </c>
      <c r="G23" s="11" t="s">
        <v>12</v>
      </c>
      <c r="H23" s="11" t="s">
        <v>12</v>
      </c>
      <c r="I23" s="50">
        <v>4.37</v>
      </c>
      <c r="J23" s="50">
        <v>0.16</v>
      </c>
      <c r="K23" s="50">
        <v>192.61</v>
      </c>
      <c r="L23" s="50">
        <v>27.07</v>
      </c>
      <c r="M23" s="50">
        <v>99.35</v>
      </c>
      <c r="N23" s="50">
        <v>41.5</v>
      </c>
      <c r="O23" s="50">
        <v>0</v>
      </c>
      <c r="P23" s="50">
        <v>0.39</v>
      </c>
      <c r="Q23" s="50">
        <v>4.66</v>
      </c>
    </row>
    <row r="24" spans="1:17" customFormat="1">
      <c r="A24" s="49">
        <v>45561.666666666664</v>
      </c>
      <c r="B24" s="50">
        <v>9.39</v>
      </c>
      <c r="C24" s="50">
        <v>4.12</v>
      </c>
      <c r="D24" s="50">
        <v>14.12</v>
      </c>
      <c r="E24" s="50">
        <v>8.35</v>
      </c>
      <c r="F24" s="50">
        <v>5.73</v>
      </c>
      <c r="G24" s="50">
        <v>1.19</v>
      </c>
      <c r="H24" s="11" t="s">
        <v>12</v>
      </c>
      <c r="I24" s="50">
        <v>3.71</v>
      </c>
      <c r="J24" s="50">
        <v>0.15</v>
      </c>
      <c r="K24" s="50">
        <v>196.53</v>
      </c>
      <c r="L24" s="50">
        <v>26.89</v>
      </c>
      <c r="M24" s="50">
        <v>98.03</v>
      </c>
      <c r="N24" s="50">
        <v>28.5</v>
      </c>
      <c r="O24" s="50">
        <v>0.6</v>
      </c>
      <c r="P24" s="50">
        <v>0.32</v>
      </c>
      <c r="Q24" s="50">
        <v>4.68</v>
      </c>
    </row>
    <row r="25" spans="1:17" customFormat="1">
      <c r="A25" s="49">
        <v>45561.708333333336</v>
      </c>
      <c r="B25" s="50">
        <v>9.36</v>
      </c>
      <c r="C25" s="50">
        <v>4.09</v>
      </c>
      <c r="D25" s="50">
        <v>14.09</v>
      </c>
      <c r="E25" s="50">
        <v>9.2200000000000006</v>
      </c>
      <c r="F25" s="50">
        <v>5.42</v>
      </c>
      <c r="G25" s="50">
        <v>2.94</v>
      </c>
      <c r="H25" s="50">
        <v>0.11</v>
      </c>
      <c r="I25" s="50">
        <v>3.51</v>
      </c>
      <c r="J25" s="50">
        <v>0.17</v>
      </c>
      <c r="K25" s="50">
        <v>252.69</v>
      </c>
      <c r="L25" s="50">
        <v>26.32</v>
      </c>
      <c r="M25" s="50">
        <v>100.26</v>
      </c>
      <c r="N25" s="50">
        <v>7.5</v>
      </c>
      <c r="O25" s="50">
        <v>0.6</v>
      </c>
      <c r="P25" s="50">
        <v>0.33</v>
      </c>
      <c r="Q25" s="50">
        <v>4.66</v>
      </c>
    </row>
    <row r="26" spans="1:17" customFormat="1">
      <c r="A26" s="49">
        <v>45561.75</v>
      </c>
      <c r="B26" s="50">
        <v>9.3699999999999992</v>
      </c>
      <c r="C26" s="50">
        <v>4.09</v>
      </c>
      <c r="D26" s="50">
        <v>14.09</v>
      </c>
      <c r="E26" s="50">
        <v>10.02</v>
      </c>
      <c r="F26" s="50">
        <v>5.68</v>
      </c>
      <c r="G26" s="50">
        <v>2.4500000000000002</v>
      </c>
      <c r="H26" s="50">
        <v>1.84</v>
      </c>
      <c r="I26" s="50">
        <v>3.64</v>
      </c>
      <c r="J26" s="50">
        <v>0.13</v>
      </c>
      <c r="K26" s="50">
        <v>290.72000000000003</v>
      </c>
      <c r="L26" s="50">
        <v>25.84</v>
      </c>
      <c r="M26" s="50">
        <v>100.2</v>
      </c>
      <c r="N26" s="50">
        <v>4.5</v>
      </c>
      <c r="O26" s="50">
        <v>0.2</v>
      </c>
      <c r="P26" s="50">
        <v>0.35</v>
      </c>
      <c r="Q26" s="50">
        <v>4.66</v>
      </c>
    </row>
    <row r="27" spans="1:17" customFormat="1">
      <c r="A27" s="49">
        <v>45561.791666666664</v>
      </c>
      <c r="B27" s="50">
        <v>9.36</v>
      </c>
      <c r="C27" s="50">
        <v>4.07</v>
      </c>
      <c r="D27" s="50">
        <v>14.08</v>
      </c>
      <c r="E27" s="50">
        <v>7.79</v>
      </c>
      <c r="F27" s="50">
        <v>4.51</v>
      </c>
      <c r="G27" s="50">
        <v>7.2</v>
      </c>
      <c r="H27" s="50">
        <v>1.69</v>
      </c>
      <c r="I27" s="50">
        <v>3.68</v>
      </c>
      <c r="J27" s="50">
        <v>0.09</v>
      </c>
      <c r="K27" s="50">
        <v>251.89</v>
      </c>
      <c r="L27" s="50">
        <v>25.18</v>
      </c>
      <c r="M27" s="50">
        <v>99.79</v>
      </c>
      <c r="N27" s="50">
        <v>2.5</v>
      </c>
      <c r="O27" s="50">
        <v>0.2</v>
      </c>
      <c r="P27" s="50">
        <v>0.35</v>
      </c>
      <c r="Q27" s="50">
        <v>4.6500000000000004</v>
      </c>
    </row>
    <row r="28" spans="1:17" customFormat="1">
      <c r="A28" s="49">
        <v>45561.833333333336</v>
      </c>
      <c r="B28" s="50">
        <v>9.3800000000000008</v>
      </c>
      <c r="C28" s="50">
        <v>4.09</v>
      </c>
      <c r="D28" s="50">
        <v>14.09</v>
      </c>
      <c r="E28" s="50">
        <v>8.2100000000000009</v>
      </c>
      <c r="F28" s="50">
        <v>5.15</v>
      </c>
      <c r="G28" s="50">
        <v>5.25</v>
      </c>
      <c r="H28" s="50">
        <v>1.36</v>
      </c>
      <c r="I28" s="50">
        <v>3.67</v>
      </c>
      <c r="J28" s="50">
        <v>0.19</v>
      </c>
      <c r="K28" s="50">
        <v>125.14</v>
      </c>
      <c r="L28" s="50">
        <v>24.91</v>
      </c>
      <c r="M28" s="50">
        <v>100.57</v>
      </c>
      <c r="N28" s="50">
        <v>2.4</v>
      </c>
      <c r="O28" s="50">
        <v>0.4</v>
      </c>
      <c r="P28" s="50">
        <v>0.36</v>
      </c>
      <c r="Q28" s="50">
        <v>4.6500000000000004</v>
      </c>
    </row>
    <row r="29" spans="1:17" customFormat="1">
      <c r="A29" s="49">
        <v>45561.875</v>
      </c>
      <c r="B29" s="50">
        <v>9.4</v>
      </c>
      <c r="C29" s="50">
        <v>4.07</v>
      </c>
      <c r="D29" s="50">
        <v>14.11</v>
      </c>
      <c r="E29" s="50">
        <v>7.04</v>
      </c>
      <c r="F29" s="50">
        <v>4.9800000000000004</v>
      </c>
      <c r="G29" s="50">
        <v>4.0599999999999996</v>
      </c>
      <c r="H29" s="50">
        <v>1.19</v>
      </c>
      <c r="I29" s="50">
        <v>3.82</v>
      </c>
      <c r="J29" s="50">
        <v>0.15</v>
      </c>
      <c r="K29" s="50">
        <v>194.9</v>
      </c>
      <c r="L29" s="50">
        <v>24.96</v>
      </c>
      <c r="M29" s="50">
        <v>100.6</v>
      </c>
      <c r="N29" s="50">
        <v>2.2999999999999998</v>
      </c>
      <c r="O29" s="50">
        <v>0</v>
      </c>
      <c r="P29" s="50">
        <v>0.37</v>
      </c>
      <c r="Q29" s="50">
        <v>4.6500000000000004</v>
      </c>
    </row>
    <row r="30" spans="1:17" customFormat="1">
      <c r="A30" s="49">
        <v>45561.916666666664</v>
      </c>
      <c r="B30" s="50">
        <v>9.3800000000000008</v>
      </c>
      <c r="C30" s="50">
        <v>4.07</v>
      </c>
      <c r="D30" s="50">
        <v>14.09</v>
      </c>
      <c r="E30" s="50">
        <v>6.79</v>
      </c>
      <c r="F30" s="50">
        <v>4.91</v>
      </c>
      <c r="G30" s="50">
        <v>3.93</v>
      </c>
      <c r="H30" s="50">
        <v>1.1100000000000001</v>
      </c>
      <c r="I30" s="50">
        <v>4.0599999999999996</v>
      </c>
      <c r="J30" s="50">
        <v>0.12</v>
      </c>
      <c r="K30" s="50">
        <v>278.75</v>
      </c>
      <c r="L30" s="50">
        <v>24.97</v>
      </c>
      <c r="M30" s="50">
        <v>100.78</v>
      </c>
      <c r="N30" s="50">
        <v>2.4</v>
      </c>
      <c r="O30" s="50">
        <v>0</v>
      </c>
      <c r="P30" s="50">
        <v>0.36</v>
      </c>
      <c r="Q30" s="50">
        <v>4.6500000000000004</v>
      </c>
    </row>
    <row r="31" spans="1:17" customFormat="1">
      <c r="A31" s="49">
        <v>45561.958333333336</v>
      </c>
      <c r="B31" s="50">
        <v>9.3699999999999992</v>
      </c>
      <c r="C31" s="50">
        <v>4.1100000000000003</v>
      </c>
      <c r="D31" s="50">
        <v>14.11</v>
      </c>
      <c r="E31" s="50">
        <v>6.47</v>
      </c>
      <c r="F31" s="50">
        <v>4.6500000000000004</v>
      </c>
      <c r="G31" s="50">
        <v>9.85</v>
      </c>
      <c r="H31" s="50">
        <v>0.99</v>
      </c>
      <c r="I31" s="50">
        <v>4.13</v>
      </c>
      <c r="J31" s="50">
        <v>0.08</v>
      </c>
      <c r="K31" s="50">
        <v>175.86</v>
      </c>
      <c r="L31" s="50">
        <v>24.92</v>
      </c>
      <c r="M31" s="50">
        <v>100.76</v>
      </c>
      <c r="N31" s="50">
        <v>2.4</v>
      </c>
      <c r="O31" s="50">
        <v>0</v>
      </c>
      <c r="P31" s="50">
        <v>0.36</v>
      </c>
      <c r="Q31" s="50">
        <v>4.6500000000000004</v>
      </c>
    </row>
    <row r="32" spans="1:17" customFormat="1">
      <c r="A32" s="49">
        <v>45562</v>
      </c>
      <c r="B32" s="50">
        <v>9.36</v>
      </c>
      <c r="C32" s="50">
        <v>4.1100000000000003</v>
      </c>
      <c r="D32" s="50">
        <v>14.09</v>
      </c>
      <c r="E32" s="50">
        <v>6.19</v>
      </c>
      <c r="F32" s="50">
        <v>5.57</v>
      </c>
      <c r="G32" s="50">
        <v>9.02</v>
      </c>
      <c r="H32" s="50">
        <v>1.0900000000000001</v>
      </c>
      <c r="I32" s="50">
        <v>4.16</v>
      </c>
      <c r="J32" s="50">
        <v>0.11</v>
      </c>
      <c r="K32" s="50">
        <v>270.76</v>
      </c>
      <c r="L32" s="50">
        <v>24.8</v>
      </c>
      <c r="M32" s="50">
        <v>100.8</v>
      </c>
      <c r="N32" s="50">
        <v>2.4</v>
      </c>
      <c r="O32" s="50">
        <v>0</v>
      </c>
      <c r="P32" s="50">
        <v>0.35</v>
      </c>
      <c r="Q32" s="50">
        <v>4.6500000000000004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9.27</v>
      </c>
      <c r="C34" s="40">
        <f t="shared" si="0"/>
        <v>4.0599999999999996</v>
      </c>
      <c r="D34" s="40">
        <f t="shared" si="0"/>
        <v>14</v>
      </c>
      <c r="E34" s="40">
        <f t="shared" si="0"/>
        <v>6.19</v>
      </c>
      <c r="F34" s="40">
        <f t="shared" si="0"/>
        <v>4.25</v>
      </c>
      <c r="G34" s="40">
        <f t="shared" si="0"/>
        <v>1.19</v>
      </c>
      <c r="H34" s="40">
        <f t="shared" si="0"/>
        <v>0.11</v>
      </c>
      <c r="I34" s="40">
        <f t="shared" si="0"/>
        <v>3.51</v>
      </c>
      <c r="J34" s="40">
        <f t="shared" si="0"/>
        <v>0.08</v>
      </c>
      <c r="K34" s="40">
        <f t="shared" si="0"/>
        <v>125.14</v>
      </c>
      <c r="L34" s="40">
        <f t="shared" si="0"/>
        <v>24.8</v>
      </c>
      <c r="M34" s="40">
        <f t="shared" si="0"/>
        <v>77.78</v>
      </c>
      <c r="N34" s="40">
        <f t="shared" si="0"/>
        <v>2.1</v>
      </c>
      <c r="O34" s="40">
        <f t="shared" si="0"/>
        <v>0</v>
      </c>
      <c r="P34" s="40">
        <f t="shared" si="0"/>
        <v>0.32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9.4499999999999993</v>
      </c>
      <c r="C35" s="33">
        <f t="shared" si="1"/>
        <v>4.12</v>
      </c>
      <c r="D35" s="33">
        <f t="shared" si="1"/>
        <v>14.15</v>
      </c>
      <c r="E35" s="33">
        <f t="shared" si="1"/>
        <v>13.37</v>
      </c>
      <c r="F35" s="33">
        <f t="shared" si="1"/>
        <v>9.91</v>
      </c>
      <c r="G35" s="33">
        <f t="shared" si="1"/>
        <v>76.78</v>
      </c>
      <c r="H35" s="33">
        <f t="shared" si="1"/>
        <v>26.27</v>
      </c>
      <c r="I35" s="33">
        <f t="shared" si="1"/>
        <v>6.68</v>
      </c>
      <c r="J35" s="33">
        <f t="shared" si="1"/>
        <v>0.75</v>
      </c>
      <c r="K35" s="33">
        <f t="shared" si="1"/>
        <v>290.72000000000003</v>
      </c>
      <c r="L35" s="33">
        <f t="shared" si="1"/>
        <v>29.78</v>
      </c>
      <c r="M35" s="33">
        <f t="shared" si="1"/>
        <v>100.8</v>
      </c>
      <c r="N35" s="33">
        <f t="shared" si="1"/>
        <v>256.10000000000002</v>
      </c>
      <c r="O35" s="33">
        <f t="shared" si="1"/>
        <v>2</v>
      </c>
      <c r="P35" s="33">
        <f t="shared" si="1"/>
        <v>0.59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9.34375</v>
      </c>
      <c r="C36" s="40">
        <f t="shared" si="2"/>
        <v>4.0879166666666675</v>
      </c>
      <c r="D36" s="40">
        <f t="shared" si="2"/>
        <v>14.069583333333332</v>
      </c>
      <c r="E36" s="40">
        <f t="shared" si="2"/>
        <v>9.4695833333333326</v>
      </c>
      <c r="F36" s="40">
        <f t="shared" si="2"/>
        <v>5.1920833333333336</v>
      </c>
      <c r="G36" s="40">
        <f t="shared" si="2"/>
        <v>21.219090909090905</v>
      </c>
      <c r="H36" s="40">
        <f t="shared" si="2"/>
        <v>8.2123809523809559</v>
      </c>
      <c r="I36" s="40">
        <f t="shared" si="2"/>
        <v>4.9462499999999991</v>
      </c>
      <c r="J36" s="40">
        <f t="shared" si="2"/>
        <v>0.23250000000000007</v>
      </c>
      <c r="K36" s="40">
        <f t="shared" si="2"/>
        <v>240.29916666666671</v>
      </c>
      <c r="L36" s="40">
        <f t="shared" si="2"/>
        <v>26.501249999999999</v>
      </c>
      <c r="M36" s="40">
        <f t="shared" si="2"/>
        <v>96.466250000000016</v>
      </c>
      <c r="N36" s="40">
        <f t="shared" si="2"/>
        <v>45.658333333333353</v>
      </c>
      <c r="O36" s="40">
        <f t="shared" si="2"/>
        <v>0.17500000000000004</v>
      </c>
      <c r="P36" s="40">
        <f t="shared" si="2"/>
        <v>0.43291666666666656</v>
      </c>
      <c r="Q36" s="40">
        <f t="shared" si="2"/>
        <v>4.6550000000000011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4.5855396534152333E-2</v>
      </c>
      <c r="C37" s="40">
        <f t="shared" ref="C37:Q37" si="3">STDEV(C9:C32)</f>
        <v>1.5597983890531323E-2</v>
      </c>
      <c r="D37" s="40">
        <f t="shared" si="3"/>
        <v>3.8275791721191943E-2</v>
      </c>
      <c r="E37" s="40">
        <f t="shared" si="3"/>
        <v>1.9696225177223345</v>
      </c>
      <c r="F37" s="40">
        <f t="shared" si="3"/>
        <v>1.1327956151915017</v>
      </c>
      <c r="G37" s="40">
        <f t="shared" si="3"/>
        <v>22.728192249796788</v>
      </c>
      <c r="H37" s="40">
        <f t="shared" si="3"/>
        <v>8.405615923156315</v>
      </c>
      <c r="I37" s="40">
        <f t="shared" si="3"/>
        <v>1.059252453794455</v>
      </c>
      <c r="J37" s="40">
        <f t="shared" si="3"/>
        <v>0.18012676695569993</v>
      </c>
      <c r="K37" s="40">
        <f t="shared" si="3"/>
        <v>44.629830238321858</v>
      </c>
      <c r="L37" s="40">
        <f t="shared" si="3"/>
        <v>1.4908104376041695</v>
      </c>
      <c r="M37" s="40">
        <f t="shared" si="3"/>
        <v>6.2415701846216907</v>
      </c>
      <c r="N37" s="40">
        <f t="shared" si="3"/>
        <v>74.133357607388376</v>
      </c>
      <c r="O37" s="40">
        <f t="shared" si="3"/>
        <v>0.43062139125767507</v>
      </c>
      <c r="P37" s="40">
        <f t="shared" si="3"/>
        <v>8.4363559342452987E-2</v>
      </c>
      <c r="Q37" s="40">
        <f t="shared" si="3"/>
        <v>1.021507836910499E-2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45562.041666666664</v>
      </c>
      <c r="B9" s="50">
        <v>9.2799999999999994</v>
      </c>
      <c r="C9" s="50">
        <v>4.13</v>
      </c>
      <c r="D9" s="50">
        <v>14.03</v>
      </c>
      <c r="E9" s="50">
        <v>6.31</v>
      </c>
      <c r="F9" s="50">
        <v>6.09</v>
      </c>
      <c r="G9" s="50">
        <v>10.029999999999999</v>
      </c>
      <c r="H9" s="50">
        <v>1.04</v>
      </c>
      <c r="I9" s="50">
        <v>4.12</v>
      </c>
      <c r="J9" s="50">
        <v>0.12</v>
      </c>
      <c r="K9" s="50">
        <v>184.6</v>
      </c>
      <c r="L9" s="50">
        <v>24.86</v>
      </c>
      <c r="M9" s="50">
        <v>100.5</v>
      </c>
      <c r="N9" s="50">
        <v>2.2999999999999998</v>
      </c>
      <c r="O9" s="50">
        <v>0</v>
      </c>
      <c r="P9" s="50">
        <v>0.34</v>
      </c>
      <c r="Q9" s="50">
        <v>4.66</v>
      </c>
    </row>
    <row r="10" spans="1:21" customFormat="1">
      <c r="A10" s="49">
        <v>45562.083333333336</v>
      </c>
      <c r="B10" s="50">
        <v>9.23</v>
      </c>
      <c r="C10" s="50">
        <v>4.1500000000000004</v>
      </c>
      <c r="D10" s="50">
        <v>14</v>
      </c>
      <c r="E10" s="50">
        <v>7.26</v>
      </c>
      <c r="F10" s="50">
        <v>6.71</v>
      </c>
      <c r="G10" s="50">
        <v>11.93</v>
      </c>
      <c r="H10" s="50">
        <v>1.07</v>
      </c>
      <c r="I10" s="50">
        <v>3.8</v>
      </c>
      <c r="J10" s="50">
        <v>0.13</v>
      </c>
      <c r="K10" s="50">
        <v>181.33</v>
      </c>
      <c r="L10" s="50">
        <v>25.04</v>
      </c>
      <c r="M10" s="50">
        <v>100.62</v>
      </c>
      <c r="N10" s="50">
        <v>2.4</v>
      </c>
      <c r="O10" s="50">
        <v>0</v>
      </c>
      <c r="P10" s="50">
        <v>0.33</v>
      </c>
      <c r="Q10" s="50">
        <v>4.68</v>
      </c>
    </row>
    <row r="11" spans="1:21" customFormat="1">
      <c r="A11" s="49">
        <v>45562.125</v>
      </c>
      <c r="B11" s="50">
        <v>9.24</v>
      </c>
      <c r="C11" s="50">
        <v>4.12</v>
      </c>
      <c r="D11" s="50">
        <v>14</v>
      </c>
      <c r="E11" s="50">
        <v>11.36</v>
      </c>
      <c r="F11" s="50">
        <v>4.87</v>
      </c>
      <c r="G11" s="50">
        <v>9.23</v>
      </c>
      <c r="H11" s="50">
        <v>1.03</v>
      </c>
      <c r="I11" s="50">
        <v>3.69</v>
      </c>
      <c r="J11" s="50">
        <v>0.16</v>
      </c>
      <c r="K11" s="50">
        <v>142.01</v>
      </c>
      <c r="L11" s="50">
        <v>25.15</v>
      </c>
      <c r="M11" s="50">
        <v>100.7</v>
      </c>
      <c r="N11" s="50">
        <v>2.4</v>
      </c>
      <c r="O11" s="50">
        <v>0</v>
      </c>
      <c r="P11" s="50">
        <v>0.32</v>
      </c>
      <c r="Q11" s="50">
        <v>4.66</v>
      </c>
    </row>
    <row r="12" spans="1:21" customFormat="1">
      <c r="A12" s="49">
        <v>45562.166666666664</v>
      </c>
      <c r="B12" s="50">
        <v>9.24</v>
      </c>
      <c r="C12" s="50">
        <v>4.1100000000000003</v>
      </c>
      <c r="D12" s="50">
        <v>14</v>
      </c>
      <c r="E12" s="50">
        <v>12.02</v>
      </c>
      <c r="F12" s="50">
        <v>4.57</v>
      </c>
      <c r="G12" s="50">
        <v>13.64</v>
      </c>
      <c r="H12" s="50">
        <v>1.01</v>
      </c>
      <c r="I12" s="50">
        <v>3.59</v>
      </c>
      <c r="J12" s="50">
        <v>0.1</v>
      </c>
      <c r="K12" s="50">
        <v>260.43</v>
      </c>
      <c r="L12" s="50">
        <v>25.08</v>
      </c>
      <c r="M12" s="50">
        <v>100.68</v>
      </c>
      <c r="N12" s="50">
        <v>2.5</v>
      </c>
      <c r="O12" s="50">
        <v>0</v>
      </c>
      <c r="P12" s="50">
        <v>0.31</v>
      </c>
      <c r="Q12" s="50">
        <v>4.66</v>
      </c>
    </row>
    <row r="13" spans="1:21" customFormat="1">
      <c r="A13" s="49">
        <v>45562.208333333336</v>
      </c>
      <c r="B13" s="50">
        <v>9.24</v>
      </c>
      <c r="C13" s="50">
        <v>4.12</v>
      </c>
      <c r="D13" s="50">
        <v>14</v>
      </c>
      <c r="E13" s="50">
        <v>12.96</v>
      </c>
      <c r="F13" s="50">
        <v>5.31</v>
      </c>
      <c r="G13" s="50">
        <v>9.69</v>
      </c>
      <c r="H13" s="50">
        <v>1</v>
      </c>
      <c r="I13" s="50">
        <v>3.47</v>
      </c>
      <c r="J13" s="50">
        <v>0.22</v>
      </c>
      <c r="K13" s="50">
        <v>270.62</v>
      </c>
      <c r="L13" s="50">
        <v>25.1</v>
      </c>
      <c r="M13" s="50">
        <v>100.49</v>
      </c>
      <c r="N13" s="50">
        <v>2.8</v>
      </c>
      <c r="O13" s="50">
        <v>0.2</v>
      </c>
      <c r="P13" s="50">
        <v>0.32</v>
      </c>
      <c r="Q13" s="50">
        <v>4.66</v>
      </c>
    </row>
    <row r="14" spans="1:21" customFormat="1">
      <c r="A14" s="49">
        <v>45562.25</v>
      </c>
      <c r="B14" s="50">
        <v>9.2899999999999991</v>
      </c>
      <c r="C14" s="50">
        <v>4.0999999999999996</v>
      </c>
      <c r="D14" s="50">
        <v>14.03</v>
      </c>
      <c r="E14" s="50">
        <v>12.51</v>
      </c>
      <c r="F14" s="50">
        <v>4.8899999999999997</v>
      </c>
      <c r="G14" s="50">
        <v>10.6</v>
      </c>
      <c r="H14" s="50">
        <v>1.1100000000000001</v>
      </c>
      <c r="I14" s="50">
        <v>3.58</v>
      </c>
      <c r="J14" s="50">
        <v>0.15</v>
      </c>
      <c r="K14" s="50">
        <v>274.67</v>
      </c>
      <c r="L14" s="50">
        <v>24.82</v>
      </c>
      <c r="M14" s="50">
        <v>100.67</v>
      </c>
      <c r="N14" s="50">
        <v>5.3</v>
      </c>
      <c r="O14" s="50">
        <v>0</v>
      </c>
      <c r="P14" s="50">
        <v>0.33</v>
      </c>
      <c r="Q14" s="50">
        <v>4.6500000000000004</v>
      </c>
    </row>
    <row r="15" spans="1:21" customFormat="1">
      <c r="A15" s="49">
        <v>45562.291666666664</v>
      </c>
      <c r="B15" s="50">
        <v>9.2899999999999991</v>
      </c>
      <c r="C15" s="50">
        <v>4.09</v>
      </c>
      <c r="D15" s="50">
        <v>14.02</v>
      </c>
      <c r="E15" s="50">
        <v>11.51</v>
      </c>
      <c r="F15" s="50">
        <v>5.29</v>
      </c>
      <c r="G15" s="50">
        <v>14.59</v>
      </c>
      <c r="H15" s="50">
        <v>1.45</v>
      </c>
      <c r="I15" s="50">
        <v>3.62</v>
      </c>
      <c r="J15" s="50">
        <v>0.12</v>
      </c>
      <c r="K15" s="50">
        <v>358.19</v>
      </c>
      <c r="L15" s="50">
        <v>25.49</v>
      </c>
      <c r="M15" s="50">
        <v>100.58</v>
      </c>
      <c r="N15" s="50">
        <v>49.3</v>
      </c>
      <c r="O15" s="50">
        <v>0</v>
      </c>
      <c r="P15" s="50">
        <v>0.33</v>
      </c>
      <c r="Q15" s="50">
        <v>4.66</v>
      </c>
    </row>
    <row r="16" spans="1:21" customFormat="1">
      <c r="A16" s="49">
        <v>45562.333333333336</v>
      </c>
      <c r="B16" s="50">
        <v>9.2899999999999991</v>
      </c>
      <c r="C16" s="50">
        <v>4.1100000000000003</v>
      </c>
      <c r="D16" s="50">
        <v>14.03</v>
      </c>
      <c r="E16" s="50">
        <v>11.39</v>
      </c>
      <c r="F16" s="50">
        <v>5.6</v>
      </c>
      <c r="G16" s="50">
        <v>10.81</v>
      </c>
      <c r="H16" s="50">
        <v>1.45</v>
      </c>
      <c r="I16" s="50">
        <v>3.72</v>
      </c>
      <c r="J16" s="50">
        <v>0.21</v>
      </c>
      <c r="K16" s="50">
        <v>282.8</v>
      </c>
      <c r="L16" s="50">
        <v>27.04</v>
      </c>
      <c r="M16" s="50">
        <v>100.17</v>
      </c>
      <c r="N16" s="50">
        <v>106.7</v>
      </c>
      <c r="O16" s="50">
        <v>0</v>
      </c>
      <c r="P16" s="50">
        <v>0.33</v>
      </c>
      <c r="Q16" s="50">
        <v>4.67</v>
      </c>
    </row>
    <row r="17" spans="1:17" customFormat="1">
      <c r="A17" s="49">
        <v>45562.375</v>
      </c>
      <c r="B17" s="50">
        <v>9.35</v>
      </c>
      <c r="C17" s="50">
        <v>4.07</v>
      </c>
      <c r="D17" s="50">
        <v>14.07</v>
      </c>
      <c r="E17" s="50">
        <v>10.99</v>
      </c>
      <c r="F17" s="50">
        <v>5.44</v>
      </c>
      <c r="G17" s="50">
        <v>8.25</v>
      </c>
      <c r="H17" s="50">
        <v>1.48</v>
      </c>
      <c r="I17" s="50">
        <v>3.79</v>
      </c>
      <c r="J17" s="50">
        <v>0.47</v>
      </c>
      <c r="K17" s="50">
        <v>261.22000000000003</v>
      </c>
      <c r="L17" s="50">
        <v>28.76</v>
      </c>
      <c r="M17" s="50">
        <v>90.16</v>
      </c>
      <c r="N17" s="50">
        <v>265.89999999999998</v>
      </c>
      <c r="O17" s="50">
        <v>0</v>
      </c>
      <c r="P17" s="50">
        <v>0.35</v>
      </c>
      <c r="Q17" s="50">
        <v>4.66</v>
      </c>
    </row>
    <row r="18" spans="1:17" customFormat="1">
      <c r="A18" s="49">
        <v>45562.416666666664</v>
      </c>
      <c r="B18" s="50">
        <v>9.39</v>
      </c>
      <c r="C18" s="50">
        <v>4.09</v>
      </c>
      <c r="D18" s="50">
        <v>14.11</v>
      </c>
      <c r="E18" s="50">
        <v>11.31</v>
      </c>
      <c r="F18" s="50">
        <v>7.4</v>
      </c>
      <c r="G18" s="50">
        <v>12.21</v>
      </c>
      <c r="H18" s="50">
        <v>1.6</v>
      </c>
      <c r="I18" s="50">
        <v>3.84</v>
      </c>
      <c r="J18" s="50">
        <v>0.46</v>
      </c>
      <c r="K18" s="50">
        <v>262.7</v>
      </c>
      <c r="L18" s="50">
        <v>29.57</v>
      </c>
      <c r="M18" s="50">
        <v>85.4</v>
      </c>
      <c r="N18" s="50">
        <v>176.8</v>
      </c>
      <c r="O18" s="50">
        <v>0</v>
      </c>
      <c r="P18" s="50">
        <v>0.35</v>
      </c>
      <c r="Q18" s="50">
        <v>4.67</v>
      </c>
    </row>
    <row r="19" spans="1:17" customFormat="1">
      <c r="A19" s="49">
        <v>45562.458333333336</v>
      </c>
      <c r="B19" s="50">
        <v>9.3000000000000007</v>
      </c>
      <c r="C19" s="50">
        <v>4.0999999999999996</v>
      </c>
      <c r="D19" s="50">
        <v>14.04</v>
      </c>
      <c r="E19" s="50">
        <v>11.2</v>
      </c>
      <c r="F19" s="50">
        <v>9.77</v>
      </c>
      <c r="G19" s="50">
        <v>9.82</v>
      </c>
      <c r="H19" s="50">
        <v>3.4</v>
      </c>
      <c r="I19" s="50">
        <v>3.58</v>
      </c>
      <c r="J19" s="50">
        <v>0.66</v>
      </c>
      <c r="K19" s="50">
        <v>262.83999999999997</v>
      </c>
      <c r="L19" s="50">
        <v>29.8</v>
      </c>
      <c r="M19" s="50">
        <v>90.92</v>
      </c>
      <c r="N19" s="50">
        <v>592.9</v>
      </c>
      <c r="O19" s="50">
        <v>0.6</v>
      </c>
      <c r="P19" s="50">
        <v>0.31</v>
      </c>
      <c r="Q19" s="50">
        <v>4.68</v>
      </c>
    </row>
    <row r="20" spans="1:17" customFormat="1">
      <c r="A20" s="49">
        <v>45562.5</v>
      </c>
      <c r="B20" s="50">
        <v>9.33</v>
      </c>
      <c r="C20" s="50">
        <v>4.05</v>
      </c>
      <c r="D20" s="50">
        <v>14.03</v>
      </c>
      <c r="E20" s="50">
        <v>11.96</v>
      </c>
      <c r="F20" s="50">
        <v>7.75</v>
      </c>
      <c r="G20" s="50">
        <v>19.46</v>
      </c>
      <c r="H20" s="50">
        <v>4.6900000000000004</v>
      </c>
      <c r="I20" s="50">
        <v>3.35</v>
      </c>
      <c r="J20" s="50">
        <v>0.7</v>
      </c>
      <c r="K20" s="50">
        <v>263.86</v>
      </c>
      <c r="L20" s="50">
        <v>31.63</v>
      </c>
      <c r="M20" s="50">
        <v>81.61</v>
      </c>
      <c r="N20" s="50">
        <v>804.7</v>
      </c>
      <c r="O20" s="50">
        <v>0</v>
      </c>
      <c r="P20" s="50">
        <v>0.3</v>
      </c>
      <c r="Q20" s="50">
        <v>4.66</v>
      </c>
    </row>
    <row r="21" spans="1:17" customFormat="1">
      <c r="A21" s="49">
        <v>45562.541666666664</v>
      </c>
      <c r="B21" s="50">
        <v>9.31</v>
      </c>
      <c r="C21" s="50">
        <v>4.0599999999999996</v>
      </c>
      <c r="D21" s="50">
        <v>14.04</v>
      </c>
      <c r="E21" s="50">
        <v>12.1</v>
      </c>
      <c r="F21" s="50">
        <v>8.17</v>
      </c>
      <c r="G21" s="50">
        <v>20.48</v>
      </c>
      <c r="H21" s="50">
        <v>4.8499999999999996</v>
      </c>
      <c r="I21" s="50">
        <v>3.35</v>
      </c>
      <c r="J21" s="50">
        <v>0.61</v>
      </c>
      <c r="K21" s="50">
        <v>263.86</v>
      </c>
      <c r="L21" s="50">
        <v>31.83</v>
      </c>
      <c r="M21" s="50">
        <v>77.33</v>
      </c>
      <c r="N21" s="50">
        <v>636</v>
      </c>
      <c r="O21" s="50">
        <v>0</v>
      </c>
      <c r="P21" s="50">
        <v>0.3</v>
      </c>
      <c r="Q21" s="50">
        <v>4.67</v>
      </c>
    </row>
    <row r="22" spans="1:17" customFormat="1">
      <c r="A22" s="49">
        <v>45562.583333333336</v>
      </c>
      <c r="B22" s="50">
        <v>9.2799999999999994</v>
      </c>
      <c r="C22" s="50">
        <v>4.08</v>
      </c>
      <c r="D22" s="50">
        <v>14.02</v>
      </c>
      <c r="E22" s="50">
        <v>12.48</v>
      </c>
      <c r="F22" s="50">
        <v>8.65</v>
      </c>
      <c r="G22" s="50">
        <v>14.89</v>
      </c>
      <c r="H22" s="50">
        <v>4.82</v>
      </c>
      <c r="I22" s="50">
        <v>3.24</v>
      </c>
      <c r="J22" s="50">
        <v>0.56999999999999995</v>
      </c>
      <c r="K22" s="50">
        <v>260.52999999999997</v>
      </c>
      <c r="L22" s="50">
        <v>31.81</v>
      </c>
      <c r="M22" s="50">
        <v>76.650000000000006</v>
      </c>
      <c r="N22" s="50">
        <v>429.4</v>
      </c>
      <c r="O22" s="50">
        <v>0</v>
      </c>
      <c r="P22" s="50">
        <v>0.28999999999999998</v>
      </c>
      <c r="Q22" s="50">
        <v>4.67</v>
      </c>
    </row>
    <row r="23" spans="1:17" customFormat="1">
      <c r="A23" s="49">
        <v>45562.625</v>
      </c>
      <c r="B23" s="50">
        <v>9.3000000000000007</v>
      </c>
      <c r="C23" s="50">
        <v>4.13</v>
      </c>
      <c r="D23" s="50">
        <v>14.04</v>
      </c>
      <c r="E23" s="50">
        <v>12.65</v>
      </c>
      <c r="F23" s="50">
        <v>7.37</v>
      </c>
      <c r="G23" s="50">
        <v>11.2</v>
      </c>
      <c r="H23" s="50">
        <v>3.59</v>
      </c>
      <c r="I23" s="50">
        <v>3.2</v>
      </c>
      <c r="J23" s="50">
        <v>0.19</v>
      </c>
      <c r="K23" s="50">
        <v>243.76</v>
      </c>
      <c r="L23" s="50">
        <v>29.82</v>
      </c>
      <c r="M23" s="50">
        <v>81.16</v>
      </c>
      <c r="N23" s="50">
        <v>106.8</v>
      </c>
      <c r="O23" s="50">
        <v>0</v>
      </c>
      <c r="P23" s="50">
        <v>0.32</v>
      </c>
      <c r="Q23" s="50">
        <v>4.6500000000000004</v>
      </c>
    </row>
    <row r="24" spans="1:17" customFormat="1">
      <c r="A24" s="49">
        <v>45562.666666666664</v>
      </c>
      <c r="B24" s="50">
        <v>9.4</v>
      </c>
      <c r="C24" s="50">
        <v>4.1100000000000003</v>
      </c>
      <c r="D24" s="50">
        <v>14.12</v>
      </c>
      <c r="E24" s="50">
        <v>12.16</v>
      </c>
      <c r="F24" s="50">
        <v>7.7</v>
      </c>
      <c r="G24" s="50">
        <v>8.9700000000000006</v>
      </c>
      <c r="H24" s="50">
        <v>2.57</v>
      </c>
      <c r="I24" s="50">
        <v>3.41</v>
      </c>
      <c r="J24" s="50">
        <v>0.18</v>
      </c>
      <c r="K24" s="50">
        <v>231.35</v>
      </c>
      <c r="L24" s="50">
        <v>30.06</v>
      </c>
      <c r="M24" s="50">
        <v>83.51</v>
      </c>
      <c r="N24" s="50">
        <v>103.2</v>
      </c>
      <c r="O24" s="50">
        <v>0</v>
      </c>
      <c r="P24" s="50">
        <v>0.34</v>
      </c>
      <c r="Q24" s="50">
        <v>4.63</v>
      </c>
    </row>
    <row r="25" spans="1:17" customFormat="1">
      <c r="A25" s="49">
        <v>45562.708333333336</v>
      </c>
      <c r="B25" s="50">
        <v>9.32</v>
      </c>
      <c r="C25" s="50">
        <v>4.1100000000000003</v>
      </c>
      <c r="D25" s="50">
        <v>14.07</v>
      </c>
      <c r="E25" s="50">
        <v>12.36</v>
      </c>
      <c r="F25" s="50">
        <v>6.52</v>
      </c>
      <c r="G25" s="50">
        <v>8.09</v>
      </c>
      <c r="H25" s="50">
        <v>2.37</v>
      </c>
      <c r="I25" s="50">
        <v>3.7</v>
      </c>
      <c r="J25" s="50">
        <v>0.15</v>
      </c>
      <c r="K25" s="50">
        <v>210.16</v>
      </c>
      <c r="L25" s="50">
        <v>29.17</v>
      </c>
      <c r="M25" s="50">
        <v>88.32</v>
      </c>
      <c r="N25" s="50">
        <v>27.2</v>
      </c>
      <c r="O25" s="50">
        <v>0</v>
      </c>
      <c r="P25" s="50">
        <v>0.35</v>
      </c>
      <c r="Q25" s="50">
        <v>4.6399999999999997</v>
      </c>
    </row>
    <row r="26" spans="1:17" customFormat="1">
      <c r="A26" s="49">
        <v>45562.75</v>
      </c>
      <c r="B26" s="50">
        <v>9.33</v>
      </c>
      <c r="C26" s="50">
        <v>4.08</v>
      </c>
      <c r="D26" s="50">
        <v>14.06</v>
      </c>
      <c r="E26" s="50">
        <v>11.91</v>
      </c>
      <c r="F26" s="50">
        <v>6.3</v>
      </c>
      <c r="G26" s="50">
        <v>6.75</v>
      </c>
      <c r="H26" s="50">
        <v>2.96</v>
      </c>
      <c r="I26" s="50">
        <v>3.75</v>
      </c>
      <c r="J26" s="50">
        <v>0.12</v>
      </c>
      <c r="K26" s="50">
        <v>259.20999999999998</v>
      </c>
      <c r="L26" s="50">
        <v>28.7</v>
      </c>
      <c r="M26" s="50">
        <v>88.7</v>
      </c>
      <c r="N26" s="50">
        <v>12.8</v>
      </c>
      <c r="O26" s="50">
        <v>0</v>
      </c>
      <c r="P26" s="50">
        <v>0.36</v>
      </c>
      <c r="Q26" s="50">
        <v>4.6399999999999997</v>
      </c>
    </row>
    <row r="27" spans="1:17" customFormat="1">
      <c r="A27" s="49">
        <v>45562.791666666664</v>
      </c>
      <c r="B27" s="50">
        <v>9.35</v>
      </c>
      <c r="C27" s="50">
        <v>4.08</v>
      </c>
      <c r="D27" s="50">
        <v>14.07</v>
      </c>
      <c r="E27" s="50">
        <v>10.15</v>
      </c>
      <c r="F27" s="50">
        <v>6.28</v>
      </c>
      <c r="G27" s="50">
        <v>10.64</v>
      </c>
      <c r="H27" s="50">
        <v>7.22</v>
      </c>
      <c r="I27" s="50">
        <v>3.89</v>
      </c>
      <c r="J27" s="50">
        <v>0.15</v>
      </c>
      <c r="K27" s="50">
        <v>233.49</v>
      </c>
      <c r="L27" s="50">
        <v>28.24</v>
      </c>
      <c r="M27" s="50">
        <v>92.25</v>
      </c>
      <c r="N27" s="50">
        <v>2.4</v>
      </c>
      <c r="O27" s="50">
        <v>0</v>
      </c>
      <c r="P27" s="50">
        <v>0.37</v>
      </c>
      <c r="Q27" s="50">
        <v>4.6399999999999997</v>
      </c>
    </row>
    <row r="28" spans="1:17" customFormat="1">
      <c r="A28" s="49">
        <v>45562.833333333336</v>
      </c>
      <c r="B28" s="50">
        <v>9.4499999999999993</v>
      </c>
      <c r="C28" s="50">
        <v>4.07</v>
      </c>
      <c r="D28" s="50">
        <v>14.14</v>
      </c>
      <c r="E28" s="50">
        <v>10.4</v>
      </c>
      <c r="F28" s="50">
        <v>6.13</v>
      </c>
      <c r="G28" s="50">
        <v>15.43</v>
      </c>
      <c r="H28" s="50">
        <v>5.77</v>
      </c>
      <c r="I28" s="50">
        <v>3.85</v>
      </c>
      <c r="J28" s="50">
        <v>0.11</v>
      </c>
      <c r="K28" s="50">
        <v>213.34</v>
      </c>
      <c r="L28" s="50">
        <v>28.03</v>
      </c>
      <c r="M28" s="50">
        <v>96.92</v>
      </c>
      <c r="N28" s="50">
        <v>2.4</v>
      </c>
      <c r="O28" s="50">
        <v>0</v>
      </c>
      <c r="P28" s="50">
        <v>0.31</v>
      </c>
      <c r="Q28" s="50">
        <v>4.67</v>
      </c>
    </row>
    <row r="29" spans="1:17" customFormat="1">
      <c r="A29" s="49">
        <v>45562.875</v>
      </c>
      <c r="B29" s="50">
        <v>9.3000000000000007</v>
      </c>
      <c r="C29" s="50">
        <v>4.08</v>
      </c>
      <c r="D29" s="50">
        <v>14.02</v>
      </c>
      <c r="E29" s="50">
        <v>10.76</v>
      </c>
      <c r="F29" s="50">
        <v>5.26</v>
      </c>
      <c r="G29" s="50">
        <v>12.79</v>
      </c>
      <c r="H29" s="50">
        <v>4.1100000000000003</v>
      </c>
      <c r="I29" s="50">
        <v>3.6</v>
      </c>
      <c r="J29" s="50">
        <v>0.11</v>
      </c>
      <c r="K29" s="50">
        <v>198.67</v>
      </c>
      <c r="L29" s="50">
        <v>27.35</v>
      </c>
      <c r="M29" s="50">
        <v>96.33</v>
      </c>
      <c r="N29" s="50">
        <v>2.2000000000000002</v>
      </c>
      <c r="O29" s="50">
        <v>0</v>
      </c>
      <c r="P29" s="50">
        <v>0.32</v>
      </c>
      <c r="Q29" s="50">
        <v>4.67</v>
      </c>
    </row>
    <row r="30" spans="1:17" customFormat="1">
      <c r="A30" s="49">
        <v>45562.916666666664</v>
      </c>
      <c r="B30" s="50">
        <v>9.27</v>
      </c>
      <c r="C30" s="50">
        <v>4.08</v>
      </c>
      <c r="D30" s="50">
        <v>14.01</v>
      </c>
      <c r="E30" s="50">
        <v>11.28</v>
      </c>
      <c r="F30" s="50">
        <v>5</v>
      </c>
      <c r="G30" s="50">
        <v>17.2</v>
      </c>
      <c r="H30" s="50">
        <v>2.92</v>
      </c>
      <c r="I30" s="50">
        <v>3.71</v>
      </c>
      <c r="J30" s="50">
        <v>0.13</v>
      </c>
      <c r="K30" s="50">
        <v>209.69</v>
      </c>
      <c r="L30" s="50">
        <v>26.94</v>
      </c>
      <c r="M30" s="50">
        <v>97.3</v>
      </c>
      <c r="N30" s="50">
        <v>2.1</v>
      </c>
      <c r="O30" s="50">
        <v>0</v>
      </c>
      <c r="P30" s="50">
        <v>0.33</v>
      </c>
      <c r="Q30" s="50">
        <v>4.67</v>
      </c>
    </row>
    <row r="31" spans="1:17" customFormat="1">
      <c r="A31" s="49">
        <v>45562.958333333336</v>
      </c>
      <c r="B31" s="50">
        <v>9.31</v>
      </c>
      <c r="C31" s="50">
        <v>4.0999999999999996</v>
      </c>
      <c r="D31" s="50">
        <v>14.04</v>
      </c>
      <c r="E31" s="50">
        <v>11.5</v>
      </c>
      <c r="F31" s="50">
        <v>4.59</v>
      </c>
      <c r="G31" s="50">
        <v>12.43</v>
      </c>
      <c r="H31" s="50">
        <v>2.89</v>
      </c>
      <c r="I31" s="50">
        <v>3.82</v>
      </c>
      <c r="J31" s="50">
        <v>0.1</v>
      </c>
      <c r="K31" s="50">
        <v>218.41</v>
      </c>
      <c r="L31" s="50">
        <v>26.76</v>
      </c>
      <c r="M31" s="50">
        <v>98.3</v>
      </c>
      <c r="N31" s="50">
        <v>2.1</v>
      </c>
      <c r="O31" s="50">
        <v>0</v>
      </c>
      <c r="P31" s="50">
        <v>0.35</v>
      </c>
      <c r="Q31" s="50">
        <v>4.67</v>
      </c>
    </row>
    <row r="32" spans="1:17" customFormat="1">
      <c r="A32" s="49">
        <v>45563</v>
      </c>
      <c r="B32" s="50">
        <v>9.31</v>
      </c>
      <c r="C32" s="50">
        <v>4.09</v>
      </c>
      <c r="D32" s="50">
        <v>14.05</v>
      </c>
      <c r="E32" s="50">
        <v>11.87</v>
      </c>
      <c r="F32" s="50">
        <v>5.09</v>
      </c>
      <c r="G32" s="50">
        <v>17.57</v>
      </c>
      <c r="H32" s="50">
        <v>5.16</v>
      </c>
      <c r="I32" s="50">
        <v>3.8</v>
      </c>
      <c r="J32" s="50">
        <v>0.23</v>
      </c>
      <c r="K32" s="50">
        <v>271.66000000000003</v>
      </c>
      <c r="L32" s="50">
        <v>26.57</v>
      </c>
      <c r="M32" s="50">
        <v>98.79</v>
      </c>
      <c r="N32" s="50">
        <v>2.1</v>
      </c>
      <c r="O32" s="50">
        <v>0</v>
      </c>
      <c r="P32" s="50">
        <v>0.35</v>
      </c>
      <c r="Q32" s="50">
        <v>4.68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9.23</v>
      </c>
      <c r="C34" s="40">
        <f t="shared" si="0"/>
        <v>4.05</v>
      </c>
      <c r="D34" s="40">
        <f t="shared" si="0"/>
        <v>14</v>
      </c>
      <c r="E34" s="40">
        <f t="shared" si="0"/>
        <v>6.31</v>
      </c>
      <c r="F34" s="40">
        <f t="shared" si="0"/>
        <v>4.57</v>
      </c>
      <c r="G34" s="40">
        <f t="shared" si="0"/>
        <v>6.75</v>
      </c>
      <c r="H34" s="40">
        <f t="shared" si="0"/>
        <v>1</v>
      </c>
      <c r="I34" s="40">
        <f t="shared" si="0"/>
        <v>3.2</v>
      </c>
      <c r="J34" s="40">
        <f t="shared" si="0"/>
        <v>0.1</v>
      </c>
      <c r="K34" s="40">
        <f t="shared" si="0"/>
        <v>142.01</v>
      </c>
      <c r="L34" s="40">
        <f t="shared" si="0"/>
        <v>24.82</v>
      </c>
      <c r="M34" s="40">
        <f t="shared" si="0"/>
        <v>76.650000000000006</v>
      </c>
      <c r="N34" s="40">
        <f t="shared" si="0"/>
        <v>2.1</v>
      </c>
      <c r="O34" s="40">
        <f t="shared" si="0"/>
        <v>0</v>
      </c>
      <c r="P34" s="40">
        <f t="shared" si="0"/>
        <v>0.28999999999999998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9.4499999999999993</v>
      </c>
      <c r="C35" s="33">
        <f t="shared" si="1"/>
        <v>4.1500000000000004</v>
      </c>
      <c r="D35" s="33">
        <f t="shared" si="1"/>
        <v>14.14</v>
      </c>
      <c r="E35" s="33">
        <f t="shared" si="1"/>
        <v>12.96</v>
      </c>
      <c r="F35" s="33">
        <f t="shared" si="1"/>
        <v>9.77</v>
      </c>
      <c r="G35" s="33">
        <f t="shared" si="1"/>
        <v>20.48</v>
      </c>
      <c r="H35" s="33">
        <f t="shared" si="1"/>
        <v>7.22</v>
      </c>
      <c r="I35" s="33">
        <f t="shared" si="1"/>
        <v>4.12</v>
      </c>
      <c r="J35" s="33">
        <f t="shared" si="1"/>
        <v>0.7</v>
      </c>
      <c r="K35" s="33">
        <f t="shared" si="1"/>
        <v>358.19</v>
      </c>
      <c r="L35" s="33">
        <f t="shared" si="1"/>
        <v>31.83</v>
      </c>
      <c r="M35" s="33">
        <f t="shared" si="1"/>
        <v>100.7</v>
      </c>
      <c r="N35" s="33">
        <f t="shared" si="1"/>
        <v>804.7</v>
      </c>
      <c r="O35" s="33">
        <f t="shared" si="1"/>
        <v>0.6</v>
      </c>
      <c r="P35" s="33">
        <f t="shared" si="1"/>
        <v>0.37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9.3083333333333336</v>
      </c>
      <c r="C36" s="40">
        <f t="shared" si="2"/>
        <v>4.0962500000000004</v>
      </c>
      <c r="D36" s="40">
        <f t="shared" si="2"/>
        <v>14.043333333333335</v>
      </c>
      <c r="E36" s="40">
        <f t="shared" si="2"/>
        <v>11.266666666666666</v>
      </c>
      <c r="F36" s="40">
        <f t="shared" si="2"/>
        <v>6.28125</v>
      </c>
      <c r="G36" s="40">
        <f t="shared" si="2"/>
        <v>12.362499999999999</v>
      </c>
      <c r="H36" s="40">
        <f t="shared" si="2"/>
        <v>2.8983333333333334</v>
      </c>
      <c r="I36" s="40">
        <f t="shared" si="2"/>
        <v>3.6445833333333328</v>
      </c>
      <c r="J36" s="40">
        <f t="shared" si="2"/>
        <v>0.25625000000000009</v>
      </c>
      <c r="K36" s="40">
        <f t="shared" si="2"/>
        <v>242.47499999999999</v>
      </c>
      <c r="L36" s="40">
        <f t="shared" si="2"/>
        <v>27.817499999999999</v>
      </c>
      <c r="M36" s="40">
        <f t="shared" si="2"/>
        <v>92.835833333333326</v>
      </c>
      <c r="N36" s="40">
        <f t="shared" si="2"/>
        <v>139.27916666666667</v>
      </c>
      <c r="O36" s="40">
        <f t="shared" si="2"/>
        <v>3.3333333333333333E-2</v>
      </c>
      <c r="P36" s="40">
        <f t="shared" si="2"/>
        <v>0.32958333333333334</v>
      </c>
      <c r="Q36" s="40">
        <f t="shared" si="2"/>
        <v>4.6612499999999999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5.2805357655274401E-2</v>
      </c>
      <c r="C37" s="40">
        <f t="shared" ref="C37:Q37" si="3">STDEV(C9:C32)</f>
        <v>2.4103490636618763E-2</v>
      </c>
      <c r="D37" s="40">
        <f t="shared" si="3"/>
        <v>3.7954969505256286E-2</v>
      </c>
      <c r="E37" s="40">
        <f t="shared" si="3"/>
        <v>1.5521420448967511</v>
      </c>
      <c r="F37" s="40">
        <f t="shared" si="3"/>
        <v>1.4014691437450784</v>
      </c>
      <c r="G37" s="40">
        <f t="shared" si="3"/>
        <v>3.6501807578827394</v>
      </c>
      <c r="H37" s="40">
        <f t="shared" si="3"/>
        <v>1.792337959849883</v>
      </c>
      <c r="I37" s="40">
        <f t="shared" si="3"/>
        <v>0.22139830655389273</v>
      </c>
      <c r="J37" s="40">
        <f t="shared" si="3"/>
        <v>0.1986216087898314</v>
      </c>
      <c r="K37" s="40">
        <f t="shared" si="3"/>
        <v>43.52324046839302</v>
      </c>
      <c r="L37" s="40">
        <f t="shared" si="3"/>
        <v>2.3168686701629468</v>
      </c>
      <c r="M37" s="40">
        <f t="shared" si="3"/>
        <v>8.1992835936609652</v>
      </c>
      <c r="N37" s="40">
        <f t="shared" si="3"/>
        <v>234.16916586680154</v>
      </c>
      <c r="O37" s="40">
        <f t="shared" si="3"/>
        <v>0.12740441145412124</v>
      </c>
      <c r="P37" s="40">
        <f t="shared" si="3"/>
        <v>2.0531876948163018E-2</v>
      </c>
      <c r="Q37" s="40">
        <f t="shared" si="3"/>
        <v>1.3613452426057146E-2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45563.041666666664</v>
      </c>
      <c r="B9" s="50">
        <v>9.2799999999999994</v>
      </c>
      <c r="C9" s="50">
        <v>4.08</v>
      </c>
      <c r="D9" s="50">
        <v>14.01</v>
      </c>
      <c r="E9" s="50">
        <v>11.09</v>
      </c>
      <c r="F9" s="50">
        <v>5.54</v>
      </c>
      <c r="G9" s="50">
        <v>20.89</v>
      </c>
      <c r="H9" s="50">
        <v>6.25</v>
      </c>
      <c r="I9" s="50">
        <v>3.73</v>
      </c>
      <c r="J9" s="50">
        <v>0.22</v>
      </c>
      <c r="K9" s="50">
        <v>267.51</v>
      </c>
      <c r="L9" s="50">
        <v>26.36</v>
      </c>
      <c r="M9" s="50">
        <v>96.54</v>
      </c>
      <c r="N9" s="50">
        <v>2.2000000000000002</v>
      </c>
      <c r="O9" s="50">
        <v>0</v>
      </c>
      <c r="P9" s="50">
        <v>0.35</v>
      </c>
      <c r="Q9" s="50">
        <v>4.66</v>
      </c>
    </row>
    <row r="10" spans="1:21" customFormat="1">
      <c r="A10" s="49">
        <v>45563.083333333336</v>
      </c>
      <c r="B10" s="50">
        <v>9.26</v>
      </c>
      <c r="C10" s="50">
        <v>4.09</v>
      </c>
      <c r="D10" s="50">
        <v>14</v>
      </c>
      <c r="E10" s="50">
        <v>10.42</v>
      </c>
      <c r="F10" s="50">
        <v>5.44</v>
      </c>
      <c r="G10" s="50">
        <v>20.22</v>
      </c>
      <c r="H10" s="50">
        <v>5.84</v>
      </c>
      <c r="I10" s="50">
        <v>3.74</v>
      </c>
      <c r="J10" s="50">
        <v>0.19</v>
      </c>
      <c r="K10" s="50">
        <v>265.76</v>
      </c>
      <c r="L10" s="50">
        <v>26.01</v>
      </c>
      <c r="M10" s="50">
        <v>95.81</v>
      </c>
      <c r="N10" s="50">
        <v>2.1</v>
      </c>
      <c r="O10" s="50">
        <v>0</v>
      </c>
      <c r="P10" s="50">
        <v>0.35</v>
      </c>
      <c r="Q10" s="50">
        <v>4.66</v>
      </c>
    </row>
    <row r="11" spans="1:21" customFormat="1">
      <c r="A11" s="49">
        <v>45563.125</v>
      </c>
      <c r="B11" s="50">
        <v>9.27</v>
      </c>
      <c r="C11" s="50">
        <v>4.09</v>
      </c>
      <c r="D11" s="50">
        <v>14.01</v>
      </c>
      <c r="E11" s="50">
        <v>11.89</v>
      </c>
      <c r="F11" s="50">
        <v>4.8499999999999996</v>
      </c>
      <c r="G11" s="50">
        <v>18.82</v>
      </c>
      <c r="H11" s="50">
        <v>6.24</v>
      </c>
      <c r="I11" s="50">
        <v>4.03</v>
      </c>
      <c r="J11" s="50">
        <v>0.18</v>
      </c>
      <c r="K11" s="50">
        <v>272.87</v>
      </c>
      <c r="L11" s="50">
        <v>25.57</v>
      </c>
      <c r="M11" s="50">
        <v>96.05</v>
      </c>
      <c r="N11" s="50">
        <v>2.1</v>
      </c>
      <c r="O11" s="50">
        <v>0</v>
      </c>
      <c r="P11" s="50">
        <v>0.34</v>
      </c>
      <c r="Q11" s="50">
        <v>4.67</v>
      </c>
    </row>
    <row r="12" spans="1:21" customFormat="1">
      <c r="A12" s="49">
        <v>45563.166666666664</v>
      </c>
      <c r="B12" s="50">
        <v>9.27</v>
      </c>
      <c r="C12" s="50">
        <v>4.09</v>
      </c>
      <c r="D12" s="50">
        <v>14.01</v>
      </c>
      <c r="E12" s="50">
        <v>11.89</v>
      </c>
      <c r="F12" s="50">
        <v>4.76</v>
      </c>
      <c r="G12" s="50">
        <v>13.4</v>
      </c>
      <c r="H12" s="50">
        <v>6.34</v>
      </c>
      <c r="I12" s="50">
        <v>3.99</v>
      </c>
      <c r="J12" s="50">
        <v>0.2</v>
      </c>
      <c r="K12" s="50">
        <v>288.37</v>
      </c>
      <c r="L12" s="50">
        <v>25.13</v>
      </c>
      <c r="M12" s="50">
        <v>95.98</v>
      </c>
      <c r="N12" s="50">
        <v>2.1</v>
      </c>
      <c r="O12" s="50">
        <v>0</v>
      </c>
      <c r="P12" s="50">
        <v>0.34</v>
      </c>
      <c r="Q12" s="50">
        <v>4.66</v>
      </c>
    </row>
    <row r="13" spans="1:21" customFormat="1">
      <c r="A13" s="49">
        <v>45563.208333333336</v>
      </c>
      <c r="B13" s="50">
        <v>9.3699999999999992</v>
      </c>
      <c r="C13" s="50">
        <v>4.09</v>
      </c>
      <c r="D13" s="50">
        <v>14.1</v>
      </c>
      <c r="E13" s="50">
        <v>11.98</v>
      </c>
      <c r="F13" s="50">
        <v>4.57</v>
      </c>
      <c r="G13" s="50">
        <v>16.940000000000001</v>
      </c>
      <c r="H13" s="50">
        <v>5.73</v>
      </c>
      <c r="I13" s="50">
        <v>3.96</v>
      </c>
      <c r="J13" s="50">
        <v>0.13</v>
      </c>
      <c r="K13" s="50">
        <v>264.36</v>
      </c>
      <c r="L13" s="50">
        <v>24.8</v>
      </c>
      <c r="M13" s="50">
        <v>96.3</v>
      </c>
      <c r="N13" s="50">
        <v>2.1</v>
      </c>
      <c r="O13" s="50">
        <v>0</v>
      </c>
      <c r="P13" s="50">
        <v>0.33</v>
      </c>
      <c r="Q13" s="50">
        <v>4.67</v>
      </c>
    </row>
    <row r="14" spans="1:21" customFormat="1">
      <c r="A14" s="49">
        <v>45563.25</v>
      </c>
      <c r="B14" s="50">
        <v>9.34</v>
      </c>
      <c r="C14" s="50">
        <v>4.09</v>
      </c>
      <c r="D14" s="50">
        <v>14.08</v>
      </c>
      <c r="E14" s="50">
        <v>12.23</v>
      </c>
      <c r="F14" s="50">
        <v>4.55</v>
      </c>
      <c r="G14" s="50">
        <v>15.39</v>
      </c>
      <c r="H14" s="50">
        <v>4.26</v>
      </c>
      <c r="I14" s="50">
        <v>3.71</v>
      </c>
      <c r="J14" s="50">
        <v>0.21</v>
      </c>
      <c r="K14" s="50">
        <v>272.2</v>
      </c>
      <c r="L14" s="50">
        <v>24.57</v>
      </c>
      <c r="M14" s="50">
        <v>96.83</v>
      </c>
      <c r="N14" s="50">
        <v>7.3</v>
      </c>
      <c r="O14" s="50">
        <v>0</v>
      </c>
      <c r="P14" s="50">
        <v>0.3</v>
      </c>
      <c r="Q14" s="50">
        <v>4.66</v>
      </c>
    </row>
    <row r="15" spans="1:21" customFormat="1">
      <c r="A15" s="49">
        <v>45563.291666666664</v>
      </c>
      <c r="B15" s="50">
        <v>9.26</v>
      </c>
      <c r="C15" s="50">
        <v>4.0999999999999996</v>
      </c>
      <c r="D15" s="50">
        <v>14</v>
      </c>
      <c r="E15" s="50">
        <v>12.94</v>
      </c>
      <c r="F15" s="50">
        <v>4.6900000000000004</v>
      </c>
      <c r="G15" s="50">
        <v>14.74</v>
      </c>
      <c r="H15" s="50">
        <v>6.55</v>
      </c>
      <c r="I15" s="50">
        <v>3.51</v>
      </c>
      <c r="J15" s="50">
        <v>0.27</v>
      </c>
      <c r="K15" s="50">
        <v>271.45</v>
      </c>
      <c r="L15" s="50">
        <v>25.34</v>
      </c>
      <c r="M15" s="50">
        <v>95.31</v>
      </c>
      <c r="N15" s="50">
        <v>38.700000000000003</v>
      </c>
      <c r="O15" s="50">
        <v>0</v>
      </c>
      <c r="P15" s="50">
        <v>0.28999999999999998</v>
      </c>
      <c r="Q15" s="50">
        <v>4.68</v>
      </c>
    </row>
    <row r="16" spans="1:21" customFormat="1">
      <c r="A16" s="49">
        <v>45563.333333333336</v>
      </c>
      <c r="B16" s="50">
        <v>9.2799999999999994</v>
      </c>
      <c r="C16" s="50">
        <v>4.09</v>
      </c>
      <c r="D16" s="50">
        <v>14.02</v>
      </c>
      <c r="E16" s="50">
        <v>13.16</v>
      </c>
      <c r="F16" s="50">
        <v>5.33</v>
      </c>
      <c r="G16" s="50">
        <v>19.690000000000001</v>
      </c>
      <c r="H16" s="50">
        <v>4.96</v>
      </c>
      <c r="I16" s="50">
        <v>3.47</v>
      </c>
      <c r="J16" s="50">
        <v>0.42</v>
      </c>
      <c r="K16" s="50">
        <v>261.72000000000003</v>
      </c>
      <c r="L16" s="50">
        <v>27.16</v>
      </c>
      <c r="M16" s="50">
        <v>89.97</v>
      </c>
      <c r="N16" s="50">
        <v>117.8</v>
      </c>
      <c r="O16" s="50">
        <v>0</v>
      </c>
      <c r="P16" s="50">
        <v>0.28999999999999998</v>
      </c>
      <c r="Q16" s="50">
        <v>4.67</v>
      </c>
    </row>
    <row r="17" spans="1:17" customFormat="1">
      <c r="A17" s="49">
        <v>45563.375</v>
      </c>
      <c r="B17" s="50">
        <v>9.27</v>
      </c>
      <c r="C17" s="50">
        <v>4.08</v>
      </c>
      <c r="D17" s="50">
        <v>14.01</v>
      </c>
      <c r="E17" s="50">
        <v>13.16</v>
      </c>
      <c r="F17" s="50">
        <v>5.89</v>
      </c>
      <c r="G17" s="50">
        <v>17.100000000000001</v>
      </c>
      <c r="H17" s="50">
        <v>4.41</v>
      </c>
      <c r="I17" s="50">
        <v>3.46</v>
      </c>
      <c r="J17" s="50">
        <v>0.77</v>
      </c>
      <c r="K17" s="50">
        <v>264.82</v>
      </c>
      <c r="L17" s="50">
        <v>29.13</v>
      </c>
      <c r="M17" s="50">
        <v>82.16</v>
      </c>
      <c r="N17" s="50">
        <v>217</v>
      </c>
      <c r="O17" s="50">
        <v>0</v>
      </c>
      <c r="P17" s="50">
        <v>0.3</v>
      </c>
      <c r="Q17" s="50">
        <v>4.68</v>
      </c>
    </row>
    <row r="18" spans="1:17" customFormat="1">
      <c r="A18" s="49">
        <v>45563.416666666664</v>
      </c>
      <c r="B18" s="50">
        <v>9.26</v>
      </c>
      <c r="C18" s="50">
        <v>4.1100000000000003</v>
      </c>
      <c r="D18" s="50">
        <v>14.01</v>
      </c>
      <c r="E18" s="50">
        <v>13.5</v>
      </c>
      <c r="F18" s="50">
        <v>6.18</v>
      </c>
      <c r="G18" s="50">
        <v>19.46</v>
      </c>
      <c r="H18" s="50">
        <v>8.3800000000000008</v>
      </c>
      <c r="I18" s="50">
        <v>3.44</v>
      </c>
      <c r="J18" s="50">
        <v>0.77</v>
      </c>
      <c r="K18" s="50">
        <v>267.51</v>
      </c>
      <c r="L18" s="50">
        <v>29.88</v>
      </c>
      <c r="M18" s="50">
        <v>77.44</v>
      </c>
      <c r="N18" s="50">
        <v>216.8</v>
      </c>
      <c r="O18" s="50">
        <v>0</v>
      </c>
      <c r="P18" s="50">
        <v>0.34</v>
      </c>
      <c r="Q18" s="50">
        <v>4.66</v>
      </c>
    </row>
    <row r="19" spans="1:17" customFormat="1">
      <c r="A19" s="49">
        <v>45563.458333333336</v>
      </c>
      <c r="B19" s="50">
        <v>9.2799999999999994</v>
      </c>
      <c r="C19" s="50">
        <v>4.08</v>
      </c>
      <c r="D19" s="50">
        <v>14.02</v>
      </c>
      <c r="E19" s="50">
        <v>9.5399999999999991</v>
      </c>
      <c r="F19" s="50">
        <v>7.1</v>
      </c>
      <c r="G19" s="50">
        <v>23.49</v>
      </c>
      <c r="H19" s="50">
        <v>11.53</v>
      </c>
      <c r="I19" s="50">
        <v>3.59</v>
      </c>
      <c r="J19" s="50">
        <v>0.84</v>
      </c>
      <c r="K19" s="50">
        <v>268.29000000000002</v>
      </c>
      <c r="L19" s="50">
        <v>30.58</v>
      </c>
      <c r="M19" s="50">
        <v>75.95</v>
      </c>
      <c r="N19" s="50">
        <v>430.7</v>
      </c>
      <c r="O19" s="50">
        <v>0</v>
      </c>
      <c r="P19" s="50">
        <v>0.36</v>
      </c>
      <c r="Q19" s="50">
        <v>4.63</v>
      </c>
    </row>
    <row r="20" spans="1:17" customFormat="1">
      <c r="A20" s="49">
        <v>45563.5</v>
      </c>
      <c r="B20" s="50">
        <v>9.3000000000000007</v>
      </c>
      <c r="C20" s="50">
        <v>4.09</v>
      </c>
      <c r="D20" s="50">
        <v>14.04</v>
      </c>
      <c r="E20" s="50">
        <v>9.15</v>
      </c>
      <c r="F20" s="50">
        <v>11.38</v>
      </c>
      <c r="G20" s="50">
        <v>20.79</v>
      </c>
      <c r="H20" s="50">
        <v>8.6999999999999993</v>
      </c>
      <c r="I20" s="50">
        <v>3.7</v>
      </c>
      <c r="J20" s="50">
        <v>0.86</v>
      </c>
      <c r="K20" s="50">
        <v>265.31</v>
      </c>
      <c r="L20" s="50">
        <v>31.47</v>
      </c>
      <c r="M20" s="50">
        <v>72.55</v>
      </c>
      <c r="N20" s="50">
        <v>704.3</v>
      </c>
      <c r="O20" s="50">
        <v>0</v>
      </c>
      <c r="P20" s="50">
        <v>0.36</v>
      </c>
      <c r="Q20" s="50">
        <v>4.63</v>
      </c>
    </row>
    <row r="21" spans="1:17" customFormat="1">
      <c r="A21" s="49">
        <v>45563.541666666664</v>
      </c>
      <c r="B21" s="50">
        <v>9.3699999999999992</v>
      </c>
      <c r="C21" s="50">
        <v>4.09</v>
      </c>
      <c r="D21" s="50">
        <v>14.1</v>
      </c>
      <c r="E21" s="50">
        <v>6.89</v>
      </c>
      <c r="F21" s="50">
        <v>9.91</v>
      </c>
      <c r="G21" s="50">
        <v>24.45</v>
      </c>
      <c r="H21" s="50">
        <v>6.36</v>
      </c>
      <c r="I21" s="50">
        <v>3.41</v>
      </c>
      <c r="J21" s="50">
        <v>0.92</v>
      </c>
      <c r="K21" s="50">
        <v>268.33</v>
      </c>
      <c r="L21" s="50">
        <v>32.29</v>
      </c>
      <c r="M21" s="50">
        <v>73.760000000000005</v>
      </c>
      <c r="N21" s="50">
        <v>767.4</v>
      </c>
      <c r="O21" s="50">
        <v>0</v>
      </c>
      <c r="P21" s="50">
        <v>0.36</v>
      </c>
      <c r="Q21" s="50">
        <v>4.62</v>
      </c>
    </row>
    <row r="22" spans="1:17" customFormat="1">
      <c r="A22" s="49">
        <v>45563.583333333336</v>
      </c>
      <c r="B22" s="50">
        <v>9.4</v>
      </c>
      <c r="C22" s="50">
        <v>4.0999999999999996</v>
      </c>
      <c r="D22" s="50">
        <v>14.13</v>
      </c>
      <c r="E22" s="50">
        <v>6.71</v>
      </c>
      <c r="F22" s="50">
        <v>6.08</v>
      </c>
      <c r="G22" s="50">
        <v>22.46</v>
      </c>
      <c r="H22" s="50">
        <v>8.17</v>
      </c>
      <c r="I22" s="50">
        <v>3.42</v>
      </c>
      <c r="J22" s="50">
        <v>0.62</v>
      </c>
      <c r="K22" s="50">
        <v>268.64</v>
      </c>
      <c r="L22" s="50">
        <v>32.5</v>
      </c>
      <c r="M22" s="50">
        <v>75.25</v>
      </c>
      <c r="N22" s="50">
        <v>465.2</v>
      </c>
      <c r="O22" s="50">
        <v>0</v>
      </c>
      <c r="P22" s="50">
        <v>0.36</v>
      </c>
      <c r="Q22" s="50">
        <v>4.6399999999999997</v>
      </c>
    </row>
    <row r="23" spans="1:17" customFormat="1">
      <c r="A23" s="49">
        <v>45563.625</v>
      </c>
      <c r="B23" s="50">
        <v>9.48</v>
      </c>
      <c r="C23" s="50">
        <v>4.09</v>
      </c>
      <c r="D23" s="50">
        <v>14.18</v>
      </c>
      <c r="E23" s="50">
        <v>5.77</v>
      </c>
      <c r="F23" s="50">
        <v>8.19</v>
      </c>
      <c r="G23" s="50">
        <v>22.71</v>
      </c>
      <c r="H23" s="50">
        <v>6</v>
      </c>
      <c r="I23" s="50">
        <v>3.46</v>
      </c>
      <c r="J23" s="50">
        <v>0.59</v>
      </c>
      <c r="K23" s="50">
        <v>266.62</v>
      </c>
      <c r="L23" s="50">
        <v>32.590000000000003</v>
      </c>
      <c r="M23" s="50">
        <v>73.05</v>
      </c>
      <c r="N23" s="50">
        <v>289</v>
      </c>
      <c r="O23" s="50">
        <v>0</v>
      </c>
      <c r="P23" s="50">
        <v>0.22</v>
      </c>
      <c r="Q23" s="50">
        <v>4.7</v>
      </c>
    </row>
    <row r="24" spans="1:17" customFormat="1">
      <c r="A24" s="49">
        <v>45563.666666666664</v>
      </c>
      <c r="B24" s="50">
        <v>9.31</v>
      </c>
      <c r="C24" s="50">
        <v>4.1100000000000003</v>
      </c>
      <c r="D24" s="50">
        <v>14.04</v>
      </c>
      <c r="E24" s="50">
        <v>6.1</v>
      </c>
      <c r="F24" s="50">
        <v>9.4499999999999993</v>
      </c>
      <c r="G24" s="50">
        <v>15.9</v>
      </c>
      <c r="H24" s="50">
        <v>4.2</v>
      </c>
      <c r="I24" s="50">
        <v>2.81</v>
      </c>
      <c r="J24" s="50">
        <v>0.47</v>
      </c>
      <c r="K24" s="50">
        <v>251.01</v>
      </c>
      <c r="L24" s="50">
        <v>31.8</v>
      </c>
      <c r="M24" s="50">
        <v>70.69</v>
      </c>
      <c r="N24" s="50">
        <v>205</v>
      </c>
      <c r="O24" s="50">
        <v>0</v>
      </c>
      <c r="P24" s="50">
        <v>0.21</v>
      </c>
      <c r="Q24" s="50">
        <v>4.67</v>
      </c>
    </row>
    <row r="25" spans="1:17" customFormat="1">
      <c r="A25" s="49">
        <v>45563.708333333336</v>
      </c>
      <c r="B25" s="50">
        <v>9.25</v>
      </c>
      <c r="C25" s="50">
        <v>4.1100000000000003</v>
      </c>
      <c r="D25" s="50">
        <v>14</v>
      </c>
      <c r="E25" s="50">
        <v>7.45</v>
      </c>
      <c r="F25" s="50">
        <v>11.7</v>
      </c>
      <c r="G25" s="50">
        <v>11.36</v>
      </c>
      <c r="H25" s="50">
        <v>2.94</v>
      </c>
      <c r="I25" s="50">
        <v>2.62</v>
      </c>
      <c r="J25" s="50">
        <v>0.22</v>
      </c>
      <c r="K25" s="50">
        <v>210.06</v>
      </c>
      <c r="L25" s="50">
        <v>31.26</v>
      </c>
      <c r="M25" s="50">
        <v>76.239999999999995</v>
      </c>
      <c r="N25" s="50">
        <v>47.7</v>
      </c>
      <c r="O25" s="50">
        <v>0</v>
      </c>
      <c r="P25" s="50">
        <v>0.23</v>
      </c>
      <c r="Q25" s="50">
        <v>4.67</v>
      </c>
    </row>
    <row r="26" spans="1:17" customFormat="1">
      <c r="A26" s="49">
        <v>45563.75</v>
      </c>
      <c r="B26" s="50">
        <v>9.25</v>
      </c>
      <c r="C26" s="50">
        <v>4.1399999999999997</v>
      </c>
      <c r="D26" s="50">
        <v>14</v>
      </c>
      <c r="E26" s="50">
        <v>7.59</v>
      </c>
      <c r="F26" s="50">
        <v>11.12</v>
      </c>
      <c r="G26" s="50">
        <v>16.39</v>
      </c>
      <c r="H26" s="50">
        <v>2.37</v>
      </c>
      <c r="I26" s="50">
        <v>2.68</v>
      </c>
      <c r="J26" s="50">
        <v>0.18</v>
      </c>
      <c r="K26" s="50">
        <v>204.94</v>
      </c>
      <c r="L26" s="50">
        <v>29.89</v>
      </c>
      <c r="M26" s="50">
        <v>82.66</v>
      </c>
      <c r="N26" s="50">
        <v>16.2</v>
      </c>
      <c r="O26" s="50">
        <v>0</v>
      </c>
      <c r="P26" s="50">
        <v>0.26</v>
      </c>
      <c r="Q26" s="50">
        <v>4.68</v>
      </c>
    </row>
    <row r="27" spans="1:17" customFormat="1">
      <c r="A27" s="49">
        <v>45563.791666666664</v>
      </c>
      <c r="B27" s="50">
        <v>9.2799999999999994</v>
      </c>
      <c r="C27" s="50">
        <v>4.12</v>
      </c>
      <c r="D27" s="50">
        <v>14.01</v>
      </c>
      <c r="E27" s="50">
        <v>10.74</v>
      </c>
      <c r="F27" s="50">
        <v>8.39</v>
      </c>
      <c r="G27" s="50">
        <v>19.91</v>
      </c>
      <c r="H27" s="50">
        <v>4.76</v>
      </c>
      <c r="I27" s="50">
        <v>3.2</v>
      </c>
      <c r="J27" s="50">
        <v>0.16</v>
      </c>
      <c r="K27" s="50">
        <v>181.75</v>
      </c>
      <c r="L27" s="50">
        <v>28.67</v>
      </c>
      <c r="M27" s="50">
        <v>95.58</v>
      </c>
      <c r="N27" s="50">
        <v>2.4</v>
      </c>
      <c r="O27" s="50">
        <v>0</v>
      </c>
      <c r="P27" s="50">
        <v>0.33</v>
      </c>
      <c r="Q27" s="50">
        <v>4.6500000000000004</v>
      </c>
    </row>
    <row r="28" spans="1:17" customFormat="1">
      <c r="A28" s="49">
        <v>45563.833333333336</v>
      </c>
      <c r="B28" s="50">
        <v>9.2899999999999991</v>
      </c>
      <c r="C28" s="50">
        <v>4.13</v>
      </c>
      <c r="D28" s="50">
        <v>14.02</v>
      </c>
      <c r="E28" s="50">
        <v>10.64</v>
      </c>
      <c r="F28" s="50">
        <v>6.43</v>
      </c>
      <c r="G28" s="50">
        <v>29.13</v>
      </c>
      <c r="H28" s="50">
        <v>11.8</v>
      </c>
      <c r="I28" s="50">
        <v>4.09</v>
      </c>
      <c r="J28" s="50">
        <v>0.11</v>
      </c>
      <c r="K28" s="50">
        <v>198.37</v>
      </c>
      <c r="L28" s="50">
        <v>27.65</v>
      </c>
      <c r="M28" s="50">
        <v>98</v>
      </c>
      <c r="N28" s="50">
        <v>2.1</v>
      </c>
      <c r="O28" s="50">
        <v>0</v>
      </c>
      <c r="P28" s="50">
        <v>0.38</v>
      </c>
      <c r="Q28" s="50">
        <v>4.66</v>
      </c>
    </row>
    <row r="29" spans="1:17" customFormat="1">
      <c r="A29" s="49">
        <v>45563.875</v>
      </c>
      <c r="B29" s="50">
        <v>9.23</v>
      </c>
      <c r="C29" s="50">
        <v>4.17</v>
      </c>
      <c r="D29" s="50">
        <v>14</v>
      </c>
      <c r="E29" s="50">
        <v>9.9700000000000006</v>
      </c>
      <c r="F29" s="50">
        <v>4.9800000000000004</v>
      </c>
      <c r="G29" s="50">
        <v>30.41</v>
      </c>
      <c r="H29" s="50">
        <v>12.34</v>
      </c>
      <c r="I29" s="50">
        <v>4.8499999999999996</v>
      </c>
      <c r="J29" s="50">
        <v>0.1</v>
      </c>
      <c r="K29" s="50">
        <v>239.03</v>
      </c>
      <c r="L29" s="50">
        <v>27.32</v>
      </c>
      <c r="M29" s="50">
        <v>97.49</v>
      </c>
      <c r="N29" s="50">
        <v>2.1</v>
      </c>
      <c r="O29" s="50">
        <v>0</v>
      </c>
      <c r="P29" s="50">
        <v>0.4</v>
      </c>
      <c r="Q29" s="50">
        <v>4.6399999999999997</v>
      </c>
    </row>
    <row r="30" spans="1:17" customFormat="1">
      <c r="A30" s="49">
        <v>45563.916666666664</v>
      </c>
      <c r="B30" s="50">
        <v>9.2100000000000009</v>
      </c>
      <c r="C30" s="50">
        <v>4.18</v>
      </c>
      <c r="D30" s="50">
        <v>14</v>
      </c>
      <c r="E30" s="50">
        <v>9.58</v>
      </c>
      <c r="F30" s="50">
        <v>4.6500000000000004</v>
      </c>
      <c r="G30" s="50">
        <v>33.57</v>
      </c>
      <c r="H30" s="50">
        <v>11.44</v>
      </c>
      <c r="I30" s="50">
        <v>5.03</v>
      </c>
      <c r="J30" s="50">
        <v>0.13</v>
      </c>
      <c r="K30" s="50">
        <v>220.06</v>
      </c>
      <c r="L30" s="50">
        <v>27.02</v>
      </c>
      <c r="M30" s="50">
        <v>97.25</v>
      </c>
      <c r="N30" s="50">
        <v>2.1</v>
      </c>
      <c r="O30" s="50">
        <v>0</v>
      </c>
      <c r="P30" s="50">
        <v>0.43</v>
      </c>
      <c r="Q30" s="50">
        <v>4.6399999999999997</v>
      </c>
    </row>
    <row r="31" spans="1:17" customFormat="1">
      <c r="A31" s="49">
        <v>45563.958333333336</v>
      </c>
      <c r="B31" s="50">
        <v>9.23</v>
      </c>
      <c r="C31" s="50">
        <v>4.16</v>
      </c>
      <c r="D31" s="50">
        <v>14</v>
      </c>
      <c r="E31" s="50">
        <v>9.76</v>
      </c>
      <c r="F31" s="50">
        <v>4.59</v>
      </c>
      <c r="G31" s="50">
        <v>32.700000000000003</v>
      </c>
      <c r="H31" s="50">
        <v>12.55</v>
      </c>
      <c r="I31" s="50">
        <v>5.28</v>
      </c>
      <c r="J31" s="50">
        <v>0.12</v>
      </c>
      <c r="K31" s="50">
        <v>175.46</v>
      </c>
      <c r="L31" s="50">
        <v>26.84</v>
      </c>
      <c r="M31" s="50">
        <v>100.57</v>
      </c>
      <c r="N31" s="50">
        <v>2.1</v>
      </c>
      <c r="O31" s="50">
        <v>0</v>
      </c>
      <c r="P31" s="50">
        <v>0.44</v>
      </c>
      <c r="Q31" s="50">
        <v>4.6399999999999997</v>
      </c>
    </row>
    <row r="32" spans="1:17" customFormat="1">
      <c r="A32" s="49">
        <v>45564</v>
      </c>
      <c r="B32" s="50">
        <v>9.3800000000000008</v>
      </c>
      <c r="C32" s="50">
        <v>4.09</v>
      </c>
      <c r="D32" s="50">
        <v>14.11</v>
      </c>
      <c r="E32" s="50">
        <v>9.84</v>
      </c>
      <c r="F32" s="50">
        <v>4.55</v>
      </c>
      <c r="G32" s="50">
        <v>36.729999999999997</v>
      </c>
      <c r="H32" s="50">
        <v>13.78</v>
      </c>
      <c r="I32" s="50">
        <v>5.35</v>
      </c>
      <c r="J32" s="50">
        <v>0.13</v>
      </c>
      <c r="K32" s="50">
        <v>234.17</v>
      </c>
      <c r="L32" s="50">
        <v>26.53</v>
      </c>
      <c r="M32" s="50">
        <v>99.41</v>
      </c>
      <c r="N32" s="50">
        <v>2.1</v>
      </c>
      <c r="O32" s="50">
        <v>0</v>
      </c>
      <c r="P32" s="50">
        <v>0.45</v>
      </c>
      <c r="Q32" s="50">
        <v>4.68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9.2100000000000009</v>
      </c>
      <c r="C34" s="40">
        <f t="shared" si="0"/>
        <v>4.08</v>
      </c>
      <c r="D34" s="40">
        <f t="shared" si="0"/>
        <v>14</v>
      </c>
      <c r="E34" s="40">
        <f t="shared" si="0"/>
        <v>5.77</v>
      </c>
      <c r="F34" s="40">
        <f t="shared" si="0"/>
        <v>4.55</v>
      </c>
      <c r="G34" s="40">
        <f t="shared" si="0"/>
        <v>11.36</v>
      </c>
      <c r="H34" s="40">
        <f t="shared" si="0"/>
        <v>2.37</v>
      </c>
      <c r="I34" s="40">
        <f t="shared" si="0"/>
        <v>2.62</v>
      </c>
      <c r="J34" s="40">
        <f t="shared" si="0"/>
        <v>0.1</v>
      </c>
      <c r="K34" s="40">
        <f t="shared" si="0"/>
        <v>175.46</v>
      </c>
      <c r="L34" s="40">
        <f t="shared" si="0"/>
        <v>24.57</v>
      </c>
      <c r="M34" s="40">
        <f t="shared" si="0"/>
        <v>70.69</v>
      </c>
      <c r="N34" s="40">
        <f t="shared" si="0"/>
        <v>2.1</v>
      </c>
      <c r="O34" s="40">
        <f t="shared" si="0"/>
        <v>0</v>
      </c>
      <c r="P34" s="40">
        <f t="shared" si="0"/>
        <v>0.21</v>
      </c>
      <c r="Q34" s="40">
        <f t="shared" si="0"/>
        <v>4.62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9.48</v>
      </c>
      <c r="C35" s="33">
        <f t="shared" si="1"/>
        <v>4.18</v>
      </c>
      <c r="D35" s="33">
        <f t="shared" si="1"/>
        <v>14.18</v>
      </c>
      <c r="E35" s="33">
        <f t="shared" si="1"/>
        <v>13.5</v>
      </c>
      <c r="F35" s="33">
        <f t="shared" si="1"/>
        <v>11.7</v>
      </c>
      <c r="G35" s="33">
        <f t="shared" si="1"/>
        <v>36.729999999999997</v>
      </c>
      <c r="H35" s="33">
        <f t="shared" si="1"/>
        <v>13.78</v>
      </c>
      <c r="I35" s="33">
        <f t="shared" si="1"/>
        <v>5.35</v>
      </c>
      <c r="J35" s="33">
        <f t="shared" si="1"/>
        <v>0.92</v>
      </c>
      <c r="K35" s="33">
        <f t="shared" si="1"/>
        <v>288.37</v>
      </c>
      <c r="L35" s="33">
        <f t="shared" si="1"/>
        <v>32.590000000000003</v>
      </c>
      <c r="M35" s="33">
        <f t="shared" si="1"/>
        <v>100.57</v>
      </c>
      <c r="N35" s="33">
        <f t="shared" si="1"/>
        <v>767.4</v>
      </c>
      <c r="O35" s="33">
        <f t="shared" si="1"/>
        <v>0</v>
      </c>
      <c r="P35" s="33">
        <f t="shared" si="1"/>
        <v>0.45</v>
      </c>
      <c r="Q35" s="33">
        <f t="shared" si="1"/>
        <v>4.7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9.2966666666666651</v>
      </c>
      <c r="C36" s="40">
        <f t="shared" si="2"/>
        <v>4.1070833333333328</v>
      </c>
      <c r="D36" s="40">
        <f t="shared" si="2"/>
        <v>14.0375</v>
      </c>
      <c r="E36" s="40">
        <f t="shared" si="2"/>
        <v>10.082916666666666</v>
      </c>
      <c r="F36" s="40">
        <f t="shared" si="2"/>
        <v>6.6800000000000006</v>
      </c>
      <c r="G36" s="40">
        <f t="shared" si="2"/>
        <v>21.527083333333334</v>
      </c>
      <c r="H36" s="40">
        <f t="shared" si="2"/>
        <v>7.3291666666666666</v>
      </c>
      <c r="I36" s="40">
        <f t="shared" si="2"/>
        <v>3.7720833333333328</v>
      </c>
      <c r="J36" s="40">
        <f t="shared" si="2"/>
        <v>0.36708333333333337</v>
      </c>
      <c r="K36" s="40">
        <f t="shared" si="2"/>
        <v>247.85874999999999</v>
      </c>
      <c r="L36" s="40">
        <f t="shared" si="2"/>
        <v>28.348333333333333</v>
      </c>
      <c r="M36" s="40">
        <f t="shared" si="2"/>
        <v>87.951666666666668</v>
      </c>
      <c r="N36" s="40">
        <f t="shared" si="2"/>
        <v>147.77499999999995</v>
      </c>
      <c r="O36" s="40">
        <f t="shared" si="2"/>
        <v>0</v>
      </c>
      <c r="P36" s="40">
        <f t="shared" si="2"/>
        <v>0.33416666666666667</v>
      </c>
      <c r="Q36" s="40">
        <f t="shared" si="2"/>
        <v>4.6591666666666667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6.3291366721293665E-2</v>
      </c>
      <c r="C37" s="40">
        <f t="shared" ref="C37:Q37" si="3">STDEV(C9:C32)</f>
        <v>2.8814121940264042E-2</v>
      </c>
      <c r="D37" s="40">
        <f t="shared" si="3"/>
        <v>5.0669431656056946E-2</v>
      </c>
      <c r="E37" s="40">
        <f t="shared" si="3"/>
        <v>2.3420846885639772</v>
      </c>
      <c r="F37" s="40">
        <f t="shared" si="3"/>
        <v>2.398794987343507</v>
      </c>
      <c r="G37" s="40">
        <f t="shared" si="3"/>
        <v>6.6739639998290778</v>
      </c>
      <c r="H37" s="40">
        <f t="shared" si="3"/>
        <v>3.2798832384661205</v>
      </c>
      <c r="I37" s="40">
        <f t="shared" si="3"/>
        <v>0.73117522533584967</v>
      </c>
      <c r="J37" s="40">
        <f t="shared" si="3"/>
        <v>0.28289618877458983</v>
      </c>
      <c r="K37" s="40">
        <f t="shared" si="3"/>
        <v>32.009136238227448</v>
      </c>
      <c r="L37" s="40">
        <f t="shared" si="3"/>
        <v>2.6787142708634044</v>
      </c>
      <c r="M37" s="40">
        <f t="shared" si="3"/>
        <v>10.779647758489139</v>
      </c>
      <c r="N37" s="40">
        <f t="shared" si="3"/>
        <v>228.45502316363203</v>
      </c>
      <c r="O37" s="40">
        <f t="shared" si="3"/>
        <v>0</v>
      </c>
      <c r="P37" s="40">
        <f t="shared" si="3"/>
        <v>6.4127364210450094E-2</v>
      </c>
      <c r="Q37" s="40">
        <f t="shared" si="3"/>
        <v>1.9541854005467721E-2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45564.041666666664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49">
        <v>45564.041666666664</v>
      </c>
      <c r="B9" s="50">
        <v>9.25</v>
      </c>
      <c r="C9" s="50">
        <v>4.2300000000000004</v>
      </c>
      <c r="D9" s="50">
        <v>14</v>
      </c>
      <c r="E9" s="50">
        <v>10.27</v>
      </c>
      <c r="F9" s="50">
        <v>4.4800000000000004</v>
      </c>
      <c r="G9" s="50">
        <v>35.56</v>
      </c>
      <c r="H9" s="50">
        <v>14.05</v>
      </c>
      <c r="I9" s="50">
        <v>5.2</v>
      </c>
      <c r="J9" s="50">
        <v>0.11</v>
      </c>
      <c r="K9" s="50">
        <v>225.89</v>
      </c>
      <c r="L9" s="50">
        <v>26.36</v>
      </c>
      <c r="M9" s="50">
        <v>97.54</v>
      </c>
      <c r="N9" s="50">
        <v>2.1</v>
      </c>
      <c r="O9" s="50">
        <v>0</v>
      </c>
      <c r="P9" s="50">
        <v>0.4</v>
      </c>
      <c r="Q9" s="50">
        <v>4.67</v>
      </c>
    </row>
    <row r="10" spans="1:21">
      <c r="A10" s="49">
        <v>45564.083333333336</v>
      </c>
      <c r="B10" s="50">
        <v>9.16</v>
      </c>
      <c r="C10" s="50">
        <v>4.24</v>
      </c>
      <c r="D10" s="50">
        <v>14</v>
      </c>
      <c r="E10" s="50">
        <v>10.8</v>
      </c>
      <c r="F10" s="50">
        <v>4.63</v>
      </c>
      <c r="G10" s="50">
        <v>29.17</v>
      </c>
      <c r="H10" s="50">
        <v>10.56</v>
      </c>
      <c r="I10" s="50">
        <v>5.31</v>
      </c>
      <c r="J10" s="50">
        <v>0.1</v>
      </c>
      <c r="K10" s="50">
        <v>187.47</v>
      </c>
      <c r="L10" s="50">
        <v>25.92</v>
      </c>
      <c r="M10" s="50">
        <v>97.39</v>
      </c>
      <c r="N10" s="50">
        <v>2.1</v>
      </c>
      <c r="O10" s="50">
        <v>0</v>
      </c>
      <c r="P10" s="50">
        <v>0.41</v>
      </c>
      <c r="Q10" s="50">
        <v>4.67</v>
      </c>
    </row>
    <row r="11" spans="1:21">
      <c r="A11" s="49">
        <v>45564.125</v>
      </c>
      <c r="B11" s="50">
        <v>9.16</v>
      </c>
      <c r="C11" s="50">
        <v>4.24</v>
      </c>
      <c r="D11" s="50">
        <v>14</v>
      </c>
      <c r="E11" s="50">
        <v>9.23</v>
      </c>
      <c r="F11" s="50">
        <v>4.3099999999999996</v>
      </c>
      <c r="G11" s="50">
        <v>28</v>
      </c>
      <c r="H11" s="50">
        <v>7.95</v>
      </c>
      <c r="I11" s="50">
        <v>5.26</v>
      </c>
      <c r="J11" s="50">
        <v>0.14000000000000001</v>
      </c>
      <c r="K11" s="50">
        <v>211.56</v>
      </c>
      <c r="L11" s="50">
        <v>25.77</v>
      </c>
      <c r="M11" s="50">
        <v>97.35</v>
      </c>
      <c r="N11" s="50">
        <v>2.1</v>
      </c>
      <c r="O11" s="50">
        <v>0</v>
      </c>
      <c r="P11" s="50">
        <v>0.4</v>
      </c>
      <c r="Q11" s="50">
        <v>4.67</v>
      </c>
    </row>
    <row r="12" spans="1:21">
      <c r="A12" s="49">
        <v>45564.166666666664</v>
      </c>
      <c r="B12" s="50">
        <v>9.1999999999999993</v>
      </c>
      <c r="C12" s="50">
        <v>4.2</v>
      </c>
      <c r="D12" s="50">
        <v>14</v>
      </c>
      <c r="E12" s="50">
        <v>9.56</v>
      </c>
      <c r="F12" s="50">
        <v>4.32</v>
      </c>
      <c r="G12" s="50">
        <v>31.04</v>
      </c>
      <c r="H12" s="50">
        <v>6.48</v>
      </c>
      <c r="I12" s="50">
        <v>5.41</v>
      </c>
      <c r="J12" s="50">
        <v>0.11</v>
      </c>
      <c r="K12" s="50">
        <v>194.05</v>
      </c>
      <c r="L12" s="50">
        <v>25.56</v>
      </c>
      <c r="M12" s="50">
        <v>97.95</v>
      </c>
      <c r="N12" s="50">
        <v>2.1</v>
      </c>
      <c r="O12" s="50">
        <v>0</v>
      </c>
      <c r="P12" s="50">
        <v>0.4</v>
      </c>
      <c r="Q12" s="50">
        <v>4.67</v>
      </c>
    </row>
    <row r="13" spans="1:21">
      <c r="A13" s="49">
        <v>45564.208333333336</v>
      </c>
      <c r="B13" s="50">
        <v>9.19</v>
      </c>
      <c r="C13" s="50">
        <v>4.22</v>
      </c>
      <c r="D13" s="50">
        <v>14</v>
      </c>
      <c r="E13" s="50">
        <v>9.82</v>
      </c>
      <c r="F13" s="50">
        <v>4.46</v>
      </c>
      <c r="G13" s="50">
        <v>22.55</v>
      </c>
      <c r="H13" s="50">
        <v>11.02</v>
      </c>
      <c r="I13" s="50">
        <v>5.23</v>
      </c>
      <c r="J13" s="50">
        <v>0.08</v>
      </c>
      <c r="K13" s="50">
        <v>214.92</v>
      </c>
      <c r="L13" s="50">
        <v>25.36</v>
      </c>
      <c r="M13" s="50">
        <v>98.74</v>
      </c>
      <c r="N13" s="50">
        <v>2.1</v>
      </c>
      <c r="O13" s="50">
        <v>0</v>
      </c>
      <c r="P13" s="50">
        <v>0.4</v>
      </c>
      <c r="Q13" s="50">
        <v>4.67</v>
      </c>
    </row>
    <row r="14" spans="1:21">
      <c r="A14" s="49">
        <v>45564.25</v>
      </c>
      <c r="B14" s="50">
        <v>9.14</v>
      </c>
      <c r="C14" s="50">
        <v>4.29</v>
      </c>
      <c r="D14" s="50">
        <v>14</v>
      </c>
      <c r="E14" s="50">
        <v>9.01</v>
      </c>
      <c r="F14" s="50">
        <v>4.53</v>
      </c>
      <c r="G14" s="50">
        <v>24.68</v>
      </c>
      <c r="H14" s="50">
        <v>7.81</v>
      </c>
      <c r="I14" s="50">
        <v>5.23</v>
      </c>
      <c r="J14" s="50">
        <v>0.13</v>
      </c>
      <c r="K14" s="50">
        <v>260.52999999999997</v>
      </c>
      <c r="L14" s="50">
        <v>25.13</v>
      </c>
      <c r="M14" s="50">
        <v>99.28</v>
      </c>
      <c r="N14" s="50">
        <v>7.5</v>
      </c>
      <c r="O14" s="50">
        <v>0</v>
      </c>
      <c r="P14" s="50">
        <v>0.39</v>
      </c>
      <c r="Q14" s="50">
        <v>4.67</v>
      </c>
    </row>
    <row r="15" spans="1:21">
      <c r="A15" s="49">
        <v>45564.291666666664</v>
      </c>
      <c r="B15" s="50">
        <v>9.19</v>
      </c>
      <c r="C15" s="50">
        <v>4.2300000000000004</v>
      </c>
      <c r="D15" s="50">
        <v>14</v>
      </c>
      <c r="E15" s="50">
        <v>8.15</v>
      </c>
      <c r="F15" s="50">
        <v>4.24</v>
      </c>
      <c r="G15" s="50">
        <v>26.17</v>
      </c>
      <c r="H15" s="50">
        <v>6.19</v>
      </c>
      <c r="I15" s="50">
        <v>5.21</v>
      </c>
      <c r="J15" s="50">
        <v>0.15</v>
      </c>
      <c r="K15" s="50">
        <v>252.46</v>
      </c>
      <c r="L15" s="50">
        <v>26.36</v>
      </c>
      <c r="M15" s="50">
        <v>99.09</v>
      </c>
      <c r="N15" s="50">
        <v>48</v>
      </c>
      <c r="O15" s="50">
        <v>0</v>
      </c>
      <c r="P15" s="50">
        <v>0.4</v>
      </c>
      <c r="Q15" s="50">
        <v>4.66</v>
      </c>
    </row>
    <row r="16" spans="1:21">
      <c r="A16" s="49">
        <v>45564.333333333336</v>
      </c>
      <c r="B16" s="50">
        <v>9.1999999999999993</v>
      </c>
      <c r="C16" s="50">
        <v>4.2</v>
      </c>
      <c r="D16" s="50">
        <v>14</v>
      </c>
      <c r="E16" s="50">
        <v>8.17</v>
      </c>
      <c r="F16" s="50">
        <v>4.8099999999999996</v>
      </c>
      <c r="G16" s="50">
        <v>29.24</v>
      </c>
      <c r="H16" s="50">
        <v>10.98</v>
      </c>
      <c r="I16" s="50">
        <v>5.3</v>
      </c>
      <c r="J16" s="50">
        <v>0.34</v>
      </c>
      <c r="K16" s="50">
        <v>260.99</v>
      </c>
      <c r="L16" s="50">
        <v>28.25</v>
      </c>
      <c r="M16" s="50">
        <v>91.01</v>
      </c>
      <c r="N16" s="50">
        <v>153.19999999999999</v>
      </c>
      <c r="O16" s="50">
        <v>0</v>
      </c>
      <c r="P16" s="50">
        <v>0.41</v>
      </c>
      <c r="Q16" s="50">
        <v>4.66</v>
      </c>
    </row>
    <row r="17" spans="1:17">
      <c r="A17" s="49">
        <v>45564.375</v>
      </c>
      <c r="B17" s="50">
        <v>9.23</v>
      </c>
      <c r="C17" s="50">
        <v>4.17</v>
      </c>
      <c r="D17" s="50">
        <v>14</v>
      </c>
      <c r="E17" s="50">
        <v>7.92</v>
      </c>
      <c r="F17" s="50">
        <v>7.91</v>
      </c>
      <c r="G17" s="50">
        <v>21.05</v>
      </c>
      <c r="H17" s="50">
        <v>8.2899999999999991</v>
      </c>
      <c r="I17" s="50">
        <v>5.3</v>
      </c>
      <c r="J17" s="50">
        <v>0.62</v>
      </c>
      <c r="K17" s="50">
        <v>264.52</v>
      </c>
      <c r="L17" s="50">
        <v>30.23</v>
      </c>
      <c r="M17" s="50">
        <v>81.09</v>
      </c>
      <c r="N17" s="50">
        <v>230.4</v>
      </c>
      <c r="O17" s="50">
        <v>0</v>
      </c>
      <c r="P17" s="50">
        <v>0.41</v>
      </c>
      <c r="Q17" s="50">
        <v>4.66</v>
      </c>
    </row>
    <row r="18" spans="1:17">
      <c r="A18" s="49">
        <v>45564.416666666664</v>
      </c>
      <c r="B18" s="50">
        <v>9.3000000000000007</v>
      </c>
      <c r="C18" s="50">
        <v>4.2300000000000004</v>
      </c>
      <c r="D18" s="50">
        <v>14.03</v>
      </c>
      <c r="E18" s="50">
        <v>7.87</v>
      </c>
      <c r="F18" s="50">
        <v>8.9600000000000009</v>
      </c>
      <c r="G18" s="50">
        <v>20.399999999999999</v>
      </c>
      <c r="H18" s="50">
        <v>10.85</v>
      </c>
      <c r="I18" s="50">
        <v>5.09</v>
      </c>
      <c r="J18" s="50">
        <v>0.78</v>
      </c>
      <c r="K18" s="50">
        <v>268.31</v>
      </c>
      <c r="L18" s="50">
        <v>31.37</v>
      </c>
      <c r="M18" s="50">
        <v>73.83</v>
      </c>
      <c r="N18" s="50">
        <v>219.2</v>
      </c>
      <c r="O18" s="50">
        <v>0</v>
      </c>
      <c r="P18" s="50">
        <v>0.35</v>
      </c>
      <c r="Q18" s="50">
        <v>4.68</v>
      </c>
    </row>
    <row r="19" spans="1:17">
      <c r="A19" s="49">
        <v>45564.458333333336</v>
      </c>
      <c r="B19" s="50">
        <v>9.14</v>
      </c>
      <c r="C19" s="50">
        <v>4.2699999999999996</v>
      </c>
      <c r="D19" s="50">
        <v>14</v>
      </c>
      <c r="E19" s="50">
        <v>10</v>
      </c>
      <c r="F19" s="50">
        <v>10.35</v>
      </c>
      <c r="G19" s="50">
        <v>19.78</v>
      </c>
      <c r="H19" s="50">
        <v>10.029999999999999</v>
      </c>
      <c r="I19" s="50">
        <v>4.47</v>
      </c>
      <c r="J19" s="50">
        <v>0.82</v>
      </c>
      <c r="K19" s="50">
        <v>266.56</v>
      </c>
      <c r="L19" s="50">
        <v>32.43</v>
      </c>
      <c r="M19" s="50">
        <v>71.39</v>
      </c>
      <c r="N19" s="50">
        <v>590.79999999999995</v>
      </c>
      <c r="O19" s="50">
        <v>0</v>
      </c>
      <c r="P19" s="50">
        <v>0.34</v>
      </c>
      <c r="Q19" s="50">
        <v>4.67</v>
      </c>
    </row>
    <row r="20" spans="1:17">
      <c r="A20" s="49">
        <v>45564.5</v>
      </c>
      <c r="B20" s="50">
        <v>9.14</v>
      </c>
      <c r="C20" s="50">
        <v>4.3099999999999996</v>
      </c>
      <c r="D20" s="50">
        <v>14</v>
      </c>
      <c r="E20" s="50">
        <v>10.37</v>
      </c>
      <c r="F20" s="50">
        <v>10.82</v>
      </c>
      <c r="G20" s="50">
        <v>26.16</v>
      </c>
      <c r="H20" s="50">
        <v>9.92</v>
      </c>
      <c r="I20" s="50">
        <v>4.16</v>
      </c>
      <c r="J20" s="50">
        <v>0.64</v>
      </c>
      <c r="K20" s="50">
        <v>263.38</v>
      </c>
      <c r="L20" s="50">
        <v>33.42</v>
      </c>
      <c r="M20" s="50">
        <v>67.11</v>
      </c>
      <c r="N20" s="50">
        <v>796.5</v>
      </c>
      <c r="O20" s="50">
        <v>0</v>
      </c>
      <c r="P20" s="50">
        <v>0.32</v>
      </c>
      <c r="Q20" s="50">
        <v>4.68</v>
      </c>
    </row>
    <row r="21" spans="1:17">
      <c r="A21" s="49">
        <v>45564.541666666664</v>
      </c>
      <c r="B21" s="50">
        <v>9.11</v>
      </c>
      <c r="C21" s="50">
        <v>4.33</v>
      </c>
      <c r="D21" s="50">
        <v>14</v>
      </c>
      <c r="E21" s="50">
        <v>10.38</v>
      </c>
      <c r="F21" s="50">
        <v>9.9</v>
      </c>
      <c r="G21" s="50">
        <v>27.96</v>
      </c>
      <c r="H21" s="50">
        <v>7.84</v>
      </c>
      <c r="I21" s="50">
        <v>4.04</v>
      </c>
      <c r="J21" s="50">
        <v>0.57999999999999996</v>
      </c>
      <c r="K21" s="50">
        <v>261.94</v>
      </c>
      <c r="L21" s="50">
        <v>33.729999999999997</v>
      </c>
      <c r="M21" s="50">
        <v>65.45</v>
      </c>
      <c r="N21" s="50">
        <v>843.3</v>
      </c>
      <c r="O21" s="50">
        <v>0</v>
      </c>
      <c r="P21" s="50">
        <v>0.3</v>
      </c>
      <c r="Q21" s="50">
        <v>4.66</v>
      </c>
    </row>
    <row r="22" spans="1:17">
      <c r="A22" s="49">
        <v>45564.583333333336</v>
      </c>
      <c r="B22" s="50">
        <v>9.14</v>
      </c>
      <c r="C22" s="50">
        <v>4.3099999999999996</v>
      </c>
      <c r="D22" s="50">
        <v>14</v>
      </c>
      <c r="E22" s="50">
        <v>10.26</v>
      </c>
      <c r="F22" s="50">
        <v>10.95</v>
      </c>
      <c r="G22" s="50">
        <v>25.3</v>
      </c>
      <c r="H22" s="50">
        <v>12.09</v>
      </c>
      <c r="I22" s="50">
        <v>3.8</v>
      </c>
      <c r="J22" s="50">
        <v>0.56000000000000005</v>
      </c>
      <c r="K22" s="50">
        <v>275.01</v>
      </c>
      <c r="L22" s="50">
        <v>33.46</v>
      </c>
      <c r="M22" s="50">
        <v>68.099999999999994</v>
      </c>
      <c r="N22" s="50">
        <v>511.6</v>
      </c>
      <c r="O22" s="50">
        <v>0</v>
      </c>
      <c r="P22" s="50">
        <v>0.33</v>
      </c>
      <c r="Q22" s="50">
        <v>4.67</v>
      </c>
    </row>
    <row r="23" spans="1:17">
      <c r="A23" s="49">
        <v>45564.625</v>
      </c>
      <c r="B23" s="50">
        <v>9.14</v>
      </c>
      <c r="C23" s="50">
        <v>4.29</v>
      </c>
      <c r="D23" s="50">
        <v>14</v>
      </c>
      <c r="E23" s="50">
        <v>10.32</v>
      </c>
      <c r="F23" s="50">
        <v>9.3000000000000007</v>
      </c>
      <c r="G23" s="50">
        <v>27.5</v>
      </c>
      <c r="H23" s="50">
        <v>8.66</v>
      </c>
      <c r="I23" s="50">
        <v>3.89</v>
      </c>
      <c r="J23" s="50">
        <v>0.52</v>
      </c>
      <c r="K23" s="50">
        <v>278.64999999999998</v>
      </c>
      <c r="L23" s="50">
        <v>32.83</v>
      </c>
      <c r="M23" s="50">
        <v>65.13</v>
      </c>
      <c r="N23" s="50">
        <v>337.4</v>
      </c>
      <c r="O23" s="50">
        <v>0</v>
      </c>
      <c r="P23" s="50">
        <v>0.37</v>
      </c>
      <c r="Q23" s="50">
        <v>4.6500000000000004</v>
      </c>
    </row>
    <row r="24" spans="1:17">
      <c r="A24" s="49">
        <v>45564.666666666664</v>
      </c>
      <c r="B24" s="50">
        <v>9.16</v>
      </c>
      <c r="C24" s="50">
        <v>4.2699999999999996</v>
      </c>
      <c r="D24" s="50">
        <v>14</v>
      </c>
      <c r="E24" s="50">
        <v>10.01</v>
      </c>
      <c r="F24" s="50">
        <v>7.04</v>
      </c>
      <c r="G24" s="50">
        <v>24.71</v>
      </c>
      <c r="H24" s="50">
        <v>9.0299999999999994</v>
      </c>
      <c r="I24" s="50">
        <v>4.07</v>
      </c>
      <c r="J24" s="50">
        <v>0.41</v>
      </c>
      <c r="K24" s="50">
        <v>267.75</v>
      </c>
      <c r="L24" s="50">
        <v>32.270000000000003</v>
      </c>
      <c r="M24" s="50">
        <v>67.97</v>
      </c>
      <c r="N24" s="50">
        <v>113.9</v>
      </c>
      <c r="O24" s="50">
        <v>0</v>
      </c>
      <c r="P24" s="50">
        <v>0.39</v>
      </c>
      <c r="Q24" s="50">
        <v>4.6500000000000004</v>
      </c>
    </row>
    <row r="25" spans="1:17">
      <c r="A25" s="49">
        <v>45564.708333333336</v>
      </c>
      <c r="B25" s="50">
        <v>9.18</v>
      </c>
      <c r="C25" s="50">
        <v>4.22</v>
      </c>
      <c r="D25" s="50">
        <v>14</v>
      </c>
      <c r="E25" s="50">
        <v>10.37</v>
      </c>
      <c r="F25" s="50">
        <v>7.77</v>
      </c>
      <c r="G25" s="50">
        <v>25.16</v>
      </c>
      <c r="H25" s="50">
        <v>10.52</v>
      </c>
      <c r="I25" s="50">
        <v>4.18</v>
      </c>
      <c r="J25" s="50">
        <v>0.33</v>
      </c>
      <c r="K25" s="50">
        <v>247.58</v>
      </c>
      <c r="L25" s="50">
        <v>31.97</v>
      </c>
      <c r="M25" s="50">
        <v>72.73</v>
      </c>
      <c r="N25" s="50">
        <v>48.9</v>
      </c>
      <c r="O25" s="50">
        <v>0</v>
      </c>
      <c r="P25" s="50">
        <v>0.39</v>
      </c>
      <c r="Q25" s="50">
        <v>4.6399999999999997</v>
      </c>
    </row>
    <row r="26" spans="1:17">
      <c r="A26" s="49">
        <v>45564.75</v>
      </c>
      <c r="B26" s="50">
        <v>9.2100000000000009</v>
      </c>
      <c r="C26" s="50">
        <v>4.18</v>
      </c>
      <c r="D26" s="50">
        <v>14</v>
      </c>
      <c r="E26" s="50">
        <v>10.23</v>
      </c>
      <c r="F26" s="50">
        <v>6.75</v>
      </c>
      <c r="G26" s="50">
        <v>23.97</v>
      </c>
      <c r="H26" s="50">
        <v>7.66</v>
      </c>
      <c r="I26" s="50">
        <v>4.2699999999999996</v>
      </c>
      <c r="J26" s="50">
        <v>0.15</v>
      </c>
      <c r="K26" s="50">
        <v>192.33</v>
      </c>
      <c r="L26" s="50">
        <v>30.6</v>
      </c>
      <c r="M26" s="50">
        <v>78.510000000000005</v>
      </c>
      <c r="N26" s="50">
        <v>20.7</v>
      </c>
      <c r="O26" s="50">
        <v>0</v>
      </c>
      <c r="P26" s="50">
        <v>0.39</v>
      </c>
      <c r="Q26" s="50">
        <v>4.6500000000000004</v>
      </c>
    </row>
    <row r="27" spans="1:17">
      <c r="A27" s="49">
        <v>45564.791666666664</v>
      </c>
      <c r="B27" s="50">
        <v>9.3000000000000007</v>
      </c>
      <c r="C27" s="50">
        <v>4.1399999999999997</v>
      </c>
      <c r="D27" s="50">
        <v>14.04</v>
      </c>
      <c r="E27" s="50">
        <v>9.84</v>
      </c>
      <c r="F27" s="50">
        <v>14.77</v>
      </c>
      <c r="G27" s="50">
        <v>27.9</v>
      </c>
      <c r="H27" s="50">
        <v>11.88</v>
      </c>
      <c r="I27" s="50">
        <v>4.29</v>
      </c>
      <c r="J27" s="50">
        <v>0.2</v>
      </c>
      <c r="K27" s="50">
        <v>206.06</v>
      </c>
      <c r="L27" s="50">
        <v>29.42</v>
      </c>
      <c r="M27" s="50">
        <v>88.93</v>
      </c>
      <c r="N27" s="50">
        <v>2.4</v>
      </c>
      <c r="O27" s="50">
        <v>0</v>
      </c>
      <c r="P27" s="50">
        <v>0.38</v>
      </c>
      <c r="Q27" s="50">
        <v>4.68</v>
      </c>
    </row>
    <row r="28" spans="1:17">
      <c r="A28" s="49">
        <v>45564.833333333336</v>
      </c>
      <c r="B28" s="50">
        <v>9.23</v>
      </c>
      <c r="C28" s="50">
        <v>4.21</v>
      </c>
      <c r="D28" s="50">
        <v>14</v>
      </c>
      <c r="E28" s="50">
        <v>11.59</v>
      </c>
      <c r="F28" s="50">
        <v>10.23</v>
      </c>
      <c r="G28" s="50">
        <v>32.36</v>
      </c>
      <c r="H28" s="50">
        <v>13.35</v>
      </c>
      <c r="I28" s="50">
        <v>4.5</v>
      </c>
      <c r="J28" s="50">
        <v>0.18</v>
      </c>
      <c r="K28" s="50">
        <v>210.67</v>
      </c>
      <c r="L28" s="50">
        <v>28.93</v>
      </c>
      <c r="M28" s="50">
        <v>90.25</v>
      </c>
      <c r="N28" s="50">
        <v>2.1</v>
      </c>
      <c r="O28" s="50">
        <v>0</v>
      </c>
      <c r="P28" s="50">
        <v>0.37</v>
      </c>
      <c r="Q28" s="50">
        <v>4.68</v>
      </c>
    </row>
    <row r="29" spans="1:17">
      <c r="A29" s="49">
        <v>45564.875</v>
      </c>
      <c r="B29" s="50">
        <v>9.17</v>
      </c>
      <c r="C29" s="50">
        <v>4.22</v>
      </c>
      <c r="D29" s="50">
        <v>14</v>
      </c>
      <c r="E29" s="50">
        <v>12.13</v>
      </c>
      <c r="F29" s="50">
        <v>9.49</v>
      </c>
      <c r="G29" s="50">
        <v>37.6</v>
      </c>
      <c r="H29" s="50">
        <v>11.83</v>
      </c>
      <c r="I29" s="50">
        <v>4.87</v>
      </c>
      <c r="J29" s="50">
        <v>0.22</v>
      </c>
      <c r="K29" s="50">
        <v>209.74</v>
      </c>
      <c r="L29" s="50">
        <v>28.63</v>
      </c>
      <c r="M29" s="50">
        <v>89.79</v>
      </c>
      <c r="N29" s="50">
        <v>2.1</v>
      </c>
      <c r="O29" s="50">
        <v>0</v>
      </c>
      <c r="P29" s="50">
        <v>0.4</v>
      </c>
      <c r="Q29" s="50">
        <v>4.66</v>
      </c>
    </row>
    <row r="30" spans="1:17">
      <c r="A30" s="49">
        <v>45564.916666666664</v>
      </c>
      <c r="B30" s="50">
        <v>9.19</v>
      </c>
      <c r="C30" s="50">
        <v>4.2</v>
      </c>
      <c r="D30" s="50">
        <v>14</v>
      </c>
      <c r="E30" s="50">
        <v>12.04</v>
      </c>
      <c r="F30" s="50">
        <v>7.33</v>
      </c>
      <c r="G30" s="50">
        <v>47.38</v>
      </c>
      <c r="H30" s="50">
        <v>16.510000000000002</v>
      </c>
      <c r="I30" s="50">
        <v>5.07</v>
      </c>
      <c r="J30" s="50">
        <v>0.17</v>
      </c>
      <c r="K30" s="50">
        <v>199.86</v>
      </c>
      <c r="L30" s="50">
        <v>28.24</v>
      </c>
      <c r="M30" s="50">
        <v>91.74</v>
      </c>
      <c r="N30" s="50">
        <v>2.2000000000000002</v>
      </c>
      <c r="O30" s="50">
        <v>0</v>
      </c>
      <c r="P30" s="50">
        <v>0.43</v>
      </c>
      <c r="Q30" s="50">
        <v>4.66</v>
      </c>
    </row>
    <row r="31" spans="1:17">
      <c r="A31" s="49">
        <v>45564.958333333336</v>
      </c>
      <c r="B31" s="50">
        <v>9.19</v>
      </c>
      <c r="C31" s="50">
        <v>4.1900000000000004</v>
      </c>
      <c r="D31" s="50">
        <v>14</v>
      </c>
      <c r="E31" s="50">
        <v>12.2</v>
      </c>
      <c r="F31" s="50">
        <v>6.94</v>
      </c>
      <c r="G31" s="50">
        <v>49.63</v>
      </c>
      <c r="H31" s="50">
        <v>16.75</v>
      </c>
      <c r="I31" s="50">
        <v>5.51</v>
      </c>
      <c r="J31" s="50">
        <v>0.11</v>
      </c>
      <c r="K31" s="50">
        <v>205.36</v>
      </c>
      <c r="L31" s="50">
        <v>27.78</v>
      </c>
      <c r="M31" s="50">
        <v>93.51</v>
      </c>
      <c r="N31" s="50">
        <v>2.1</v>
      </c>
      <c r="O31" s="50">
        <v>0</v>
      </c>
      <c r="P31" s="50">
        <v>0.45</v>
      </c>
      <c r="Q31" s="50">
        <v>4.66</v>
      </c>
    </row>
    <row r="32" spans="1:17">
      <c r="A32" s="49">
        <v>45565</v>
      </c>
      <c r="B32" s="50">
        <v>9.1999999999999993</v>
      </c>
      <c r="C32" s="50">
        <v>4.2300000000000004</v>
      </c>
      <c r="D32" s="50">
        <v>14</v>
      </c>
      <c r="E32" s="50">
        <v>12.81</v>
      </c>
      <c r="F32" s="50">
        <v>6.61</v>
      </c>
      <c r="G32" s="50">
        <v>46.75</v>
      </c>
      <c r="H32" s="50">
        <v>15.25</v>
      </c>
      <c r="I32" s="50">
        <v>5.63</v>
      </c>
      <c r="J32" s="50">
        <v>0.12</v>
      </c>
      <c r="K32" s="50">
        <v>195.65</v>
      </c>
      <c r="L32" s="50">
        <v>27.48</v>
      </c>
      <c r="M32" s="50">
        <v>95.48</v>
      </c>
      <c r="N32" s="50">
        <v>2.1</v>
      </c>
      <c r="O32" s="50">
        <v>0</v>
      </c>
      <c r="P32" s="50">
        <v>0.47</v>
      </c>
      <c r="Q32" s="50">
        <v>4.6399999999999997</v>
      </c>
    </row>
    <row r="33" spans="1:2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>
      <c r="A34" s="32" t="s">
        <v>48</v>
      </c>
      <c r="B34" s="40">
        <f t="shared" ref="B34:Q34" si="0">MIN(B9:B32)</f>
        <v>9.11</v>
      </c>
      <c r="C34" s="40">
        <f t="shared" si="0"/>
        <v>4.1399999999999997</v>
      </c>
      <c r="D34" s="40">
        <f t="shared" si="0"/>
        <v>14</v>
      </c>
      <c r="E34" s="40">
        <f t="shared" si="0"/>
        <v>7.87</v>
      </c>
      <c r="F34" s="40">
        <f t="shared" si="0"/>
        <v>4.24</v>
      </c>
      <c r="G34" s="40">
        <f t="shared" si="0"/>
        <v>19.78</v>
      </c>
      <c r="H34" s="40">
        <f t="shared" si="0"/>
        <v>6.19</v>
      </c>
      <c r="I34" s="40">
        <f t="shared" si="0"/>
        <v>3.8</v>
      </c>
      <c r="J34" s="40">
        <f t="shared" si="0"/>
        <v>0.08</v>
      </c>
      <c r="K34" s="40">
        <f t="shared" si="0"/>
        <v>187.47</v>
      </c>
      <c r="L34" s="40">
        <f t="shared" si="0"/>
        <v>25.13</v>
      </c>
      <c r="M34" s="40">
        <f t="shared" si="0"/>
        <v>65.13</v>
      </c>
      <c r="N34" s="40">
        <f t="shared" si="0"/>
        <v>2.1</v>
      </c>
      <c r="O34" s="40">
        <f t="shared" si="0"/>
        <v>0</v>
      </c>
      <c r="P34" s="40">
        <f t="shared" si="0"/>
        <v>0.3</v>
      </c>
      <c r="Q34" s="40">
        <f t="shared" si="0"/>
        <v>4.6399999999999997</v>
      </c>
      <c r="R34" s="40"/>
      <c r="S34" s="40"/>
      <c r="T34" s="40"/>
      <c r="U34" s="40"/>
    </row>
    <row r="35" spans="1:21">
      <c r="A35" s="32" t="s">
        <v>49</v>
      </c>
      <c r="B35" s="33">
        <f t="shared" ref="B35:Q35" si="1">MAX(B9:B32)</f>
        <v>9.3000000000000007</v>
      </c>
      <c r="C35" s="33">
        <f t="shared" si="1"/>
        <v>4.33</v>
      </c>
      <c r="D35" s="33">
        <f t="shared" si="1"/>
        <v>14.04</v>
      </c>
      <c r="E35" s="33">
        <f t="shared" si="1"/>
        <v>12.81</v>
      </c>
      <c r="F35" s="33">
        <f t="shared" si="1"/>
        <v>14.77</v>
      </c>
      <c r="G35" s="33">
        <f t="shared" si="1"/>
        <v>49.63</v>
      </c>
      <c r="H35" s="33">
        <f t="shared" si="1"/>
        <v>16.75</v>
      </c>
      <c r="I35" s="33">
        <f t="shared" si="1"/>
        <v>5.63</v>
      </c>
      <c r="J35" s="33">
        <f t="shared" si="1"/>
        <v>0.82</v>
      </c>
      <c r="K35" s="33">
        <f t="shared" si="1"/>
        <v>278.64999999999998</v>
      </c>
      <c r="L35" s="33">
        <f t="shared" si="1"/>
        <v>33.729999999999997</v>
      </c>
      <c r="M35" s="33">
        <f t="shared" si="1"/>
        <v>99.28</v>
      </c>
      <c r="N35" s="33">
        <f t="shared" si="1"/>
        <v>843.3</v>
      </c>
      <c r="O35" s="33">
        <f t="shared" si="1"/>
        <v>0</v>
      </c>
      <c r="P35" s="33">
        <f t="shared" si="1"/>
        <v>0.47</v>
      </c>
      <c r="Q35" s="33">
        <f t="shared" si="1"/>
        <v>4.68</v>
      </c>
      <c r="R35" s="33"/>
      <c r="S35" s="33"/>
      <c r="T35" s="33"/>
      <c r="U35" s="33"/>
    </row>
    <row r="36" spans="1:21">
      <c r="A36" s="32" t="s">
        <v>50</v>
      </c>
      <c r="B36" s="40">
        <f t="shared" ref="B36:Q36" si="2">AVERAGE(B9:B32)</f>
        <v>9.1883333333333326</v>
      </c>
      <c r="C36" s="40">
        <f t="shared" si="2"/>
        <v>4.2341666666666669</v>
      </c>
      <c r="D36" s="40">
        <f t="shared" si="2"/>
        <v>14.002916666666666</v>
      </c>
      <c r="E36" s="40">
        <f t="shared" si="2"/>
        <v>10.139583333333333</v>
      </c>
      <c r="F36" s="40">
        <f t="shared" si="2"/>
        <v>7.5375000000000014</v>
      </c>
      <c r="G36" s="40">
        <f t="shared" si="2"/>
        <v>29.584166666666665</v>
      </c>
      <c r="H36" s="40">
        <f t="shared" si="2"/>
        <v>10.645833333333334</v>
      </c>
      <c r="I36" s="40">
        <f t="shared" si="2"/>
        <v>4.80375</v>
      </c>
      <c r="J36" s="40">
        <f t="shared" si="2"/>
        <v>0.31541666666666668</v>
      </c>
      <c r="K36" s="40">
        <f t="shared" si="2"/>
        <v>234.21833333333333</v>
      </c>
      <c r="L36" s="40">
        <f t="shared" si="2"/>
        <v>29.229166666666661</v>
      </c>
      <c r="M36" s="40">
        <f t="shared" si="2"/>
        <v>84.973333333333329</v>
      </c>
      <c r="N36" s="40">
        <f t="shared" si="2"/>
        <v>164.37083333333331</v>
      </c>
      <c r="O36" s="40">
        <f t="shared" si="2"/>
        <v>0</v>
      </c>
      <c r="P36" s="40">
        <f t="shared" si="2"/>
        <v>0.38750000000000001</v>
      </c>
      <c r="Q36" s="40">
        <f t="shared" si="2"/>
        <v>4.6637500000000012</v>
      </c>
      <c r="R36" s="40"/>
      <c r="S36" s="40"/>
      <c r="T36" s="40"/>
      <c r="U36" s="40"/>
    </row>
    <row r="37" spans="1:21">
      <c r="A37" s="32" t="s">
        <v>51</v>
      </c>
      <c r="B37" s="40">
        <f>STDEV(B9:B32)</f>
        <v>4.8334582692498532E-2</v>
      </c>
      <c r="C37" s="40">
        <f t="shared" ref="C37:Q37" si="3">STDEV(C9:C32)</f>
        <v>4.7632348039017974E-2</v>
      </c>
      <c r="D37" s="40">
        <f t="shared" si="3"/>
        <v>9.9909379229232483E-3</v>
      </c>
      <c r="E37" s="40">
        <f t="shared" si="3"/>
        <v>1.35628161487231</v>
      </c>
      <c r="F37" s="40">
        <f t="shared" si="3"/>
        <v>2.8140397234611614</v>
      </c>
      <c r="G37" s="40">
        <f t="shared" si="3"/>
        <v>8.285706874238139</v>
      </c>
      <c r="H37" s="40">
        <f t="shared" si="3"/>
        <v>2.9443577828829168</v>
      </c>
      <c r="I37" s="40">
        <f t="shared" si="3"/>
        <v>0.58491034244202955</v>
      </c>
      <c r="J37" s="40">
        <f t="shared" si="3"/>
        <v>0.23759628101808161</v>
      </c>
      <c r="K37" s="40">
        <f t="shared" si="3"/>
        <v>31.885852344106411</v>
      </c>
      <c r="L37" s="40">
        <f t="shared" si="3"/>
        <v>2.9143839928827191</v>
      </c>
      <c r="M37" s="40">
        <f t="shared" si="3"/>
        <v>12.756277113527345</v>
      </c>
      <c r="N37" s="40">
        <f t="shared" si="3"/>
        <v>260.81520107600875</v>
      </c>
      <c r="O37" s="40">
        <f t="shared" si="3"/>
        <v>0</v>
      </c>
      <c r="P37" s="40">
        <f t="shared" si="3"/>
        <v>3.8925793393382639E-2</v>
      </c>
      <c r="Q37" s="40">
        <f t="shared" si="3"/>
        <v>1.1726039399558481E-2</v>
      </c>
      <c r="R37" s="40"/>
      <c r="S37" s="40"/>
      <c r="T37" s="40"/>
      <c r="U37" s="40"/>
    </row>
    <row r="38" spans="1:2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8"/>
      <c r="O41" s="48"/>
      <c r="P41" s="48"/>
      <c r="Q41" s="48"/>
      <c r="R41" s="48"/>
      <c r="S41" s="48"/>
      <c r="T41" s="48"/>
      <c r="U41" s="48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45565.041666666664</v>
      </c>
      <c r="B9" s="50">
        <v>9.18</v>
      </c>
      <c r="C9" s="50">
        <v>4.38</v>
      </c>
      <c r="D9" s="50">
        <v>14</v>
      </c>
      <c r="E9" s="50">
        <v>11.89</v>
      </c>
      <c r="F9" s="50">
        <v>6.42</v>
      </c>
      <c r="G9" s="50">
        <v>45.74</v>
      </c>
      <c r="H9" s="50">
        <v>15.97</v>
      </c>
      <c r="I9" s="50">
        <v>5.58</v>
      </c>
      <c r="J9" s="50">
        <v>0.13</v>
      </c>
      <c r="K9" s="50">
        <v>238.68</v>
      </c>
      <c r="L9" s="50">
        <v>27.21</v>
      </c>
      <c r="M9" s="50">
        <v>95.17</v>
      </c>
      <c r="N9" s="50">
        <v>2.1</v>
      </c>
      <c r="O9" s="50">
        <v>0</v>
      </c>
      <c r="P9" s="50">
        <v>0.47</v>
      </c>
      <c r="Q9" s="50">
        <v>4.66</v>
      </c>
    </row>
    <row r="10" spans="1:21" customFormat="1">
      <c r="A10" s="49">
        <v>45565.083333333336</v>
      </c>
      <c r="B10" s="50">
        <v>9.06</v>
      </c>
      <c r="C10" s="50">
        <v>4.41</v>
      </c>
      <c r="D10" s="50">
        <v>14</v>
      </c>
      <c r="E10" s="50">
        <v>11.43</v>
      </c>
      <c r="F10" s="50">
        <v>6.11</v>
      </c>
      <c r="G10" s="50">
        <v>42.8</v>
      </c>
      <c r="H10" s="50">
        <v>16</v>
      </c>
      <c r="I10" s="50">
        <v>5.61</v>
      </c>
      <c r="J10" s="50">
        <v>0.14000000000000001</v>
      </c>
      <c r="K10" s="50">
        <v>199.57</v>
      </c>
      <c r="L10" s="50">
        <v>27.04</v>
      </c>
      <c r="M10" s="50">
        <v>98.5</v>
      </c>
      <c r="N10" s="50">
        <v>2.1</v>
      </c>
      <c r="O10" s="50">
        <v>0</v>
      </c>
      <c r="P10" s="50">
        <v>0.47</v>
      </c>
      <c r="Q10" s="50">
        <v>4.6500000000000004</v>
      </c>
    </row>
    <row r="11" spans="1:21" customFormat="1">
      <c r="A11" s="49">
        <v>45565.125</v>
      </c>
      <c r="B11" s="50">
        <v>9.07</v>
      </c>
      <c r="C11" s="50">
        <v>4.42</v>
      </c>
      <c r="D11" s="50">
        <v>14</v>
      </c>
      <c r="E11" s="50">
        <v>10.69</v>
      </c>
      <c r="F11" s="50">
        <v>4.6900000000000004</v>
      </c>
      <c r="G11" s="50">
        <v>40.29</v>
      </c>
      <c r="H11" s="50">
        <v>14.88</v>
      </c>
      <c r="I11" s="50">
        <v>5.68</v>
      </c>
      <c r="J11" s="50">
        <v>0.15</v>
      </c>
      <c r="K11" s="50">
        <v>193.84</v>
      </c>
      <c r="L11" s="50">
        <v>26.78</v>
      </c>
      <c r="M11" s="50">
        <v>99.21</v>
      </c>
      <c r="N11" s="50">
        <v>2.1</v>
      </c>
      <c r="O11" s="50">
        <v>0</v>
      </c>
      <c r="P11" s="50">
        <v>0.47</v>
      </c>
      <c r="Q11" s="50">
        <v>4.6500000000000004</v>
      </c>
    </row>
    <row r="12" spans="1:21" customFormat="1">
      <c r="A12" s="49">
        <v>45565.166666666664</v>
      </c>
      <c r="B12" s="50">
        <v>9.15</v>
      </c>
      <c r="C12" s="50">
        <v>4.42</v>
      </c>
      <c r="D12" s="50">
        <v>14</v>
      </c>
      <c r="E12" s="50">
        <v>10.38</v>
      </c>
      <c r="F12" s="50">
        <v>5.97</v>
      </c>
      <c r="G12" s="50">
        <v>31.35</v>
      </c>
      <c r="H12" s="50">
        <v>10.8</v>
      </c>
      <c r="I12" s="50">
        <v>5.58</v>
      </c>
      <c r="J12" s="50">
        <v>0.14000000000000001</v>
      </c>
      <c r="K12" s="50">
        <v>189.93</v>
      </c>
      <c r="L12" s="50">
        <v>26.48</v>
      </c>
      <c r="M12" s="50">
        <v>100.98</v>
      </c>
      <c r="N12" s="50">
        <v>2.1</v>
      </c>
      <c r="O12" s="50">
        <v>0</v>
      </c>
      <c r="P12" s="50">
        <v>0.47</v>
      </c>
      <c r="Q12" s="50">
        <v>4.68</v>
      </c>
    </row>
    <row r="13" spans="1:21" customFormat="1">
      <c r="A13" s="49">
        <v>45565.208333333336</v>
      </c>
      <c r="B13" s="50">
        <v>9.19</v>
      </c>
      <c r="C13" s="50">
        <v>4.3</v>
      </c>
      <c r="D13" s="50">
        <v>14</v>
      </c>
      <c r="E13" s="50">
        <v>10.55</v>
      </c>
      <c r="F13" s="50">
        <v>5.58</v>
      </c>
      <c r="G13" s="50">
        <v>31.43</v>
      </c>
      <c r="H13" s="50">
        <v>13.15</v>
      </c>
      <c r="I13" s="50">
        <v>5.34</v>
      </c>
      <c r="J13" s="50">
        <v>0.14000000000000001</v>
      </c>
      <c r="K13" s="50">
        <v>196.15</v>
      </c>
      <c r="L13" s="50">
        <v>26.31</v>
      </c>
      <c r="M13" s="50">
        <v>101</v>
      </c>
      <c r="N13" s="50">
        <v>2.1</v>
      </c>
      <c r="O13" s="50">
        <v>0</v>
      </c>
      <c r="P13" s="50">
        <v>0.39</v>
      </c>
      <c r="Q13" s="50">
        <v>4.66</v>
      </c>
    </row>
    <row r="14" spans="1:21" customFormat="1">
      <c r="A14" s="49">
        <v>45565.25</v>
      </c>
      <c r="B14" s="50">
        <v>9.1199999999999992</v>
      </c>
      <c r="C14" s="50">
        <v>4.3</v>
      </c>
      <c r="D14" s="50">
        <v>14</v>
      </c>
      <c r="E14" s="50">
        <v>10.88</v>
      </c>
      <c r="F14" s="50">
        <v>4.6500000000000004</v>
      </c>
      <c r="G14" s="50">
        <v>31.19</v>
      </c>
      <c r="H14" s="50">
        <v>13.11</v>
      </c>
      <c r="I14" s="50">
        <v>4.9400000000000004</v>
      </c>
      <c r="J14" s="50">
        <v>0.1</v>
      </c>
      <c r="K14" s="50">
        <v>223.66</v>
      </c>
      <c r="L14" s="50">
        <v>26.22</v>
      </c>
      <c r="M14" s="50">
        <v>101.52</v>
      </c>
      <c r="N14" s="50">
        <v>7.4</v>
      </c>
      <c r="O14" s="50">
        <v>0</v>
      </c>
      <c r="P14" s="50">
        <v>0.38</v>
      </c>
      <c r="Q14" s="50">
        <v>4.67</v>
      </c>
    </row>
    <row r="15" spans="1:21" customFormat="1">
      <c r="A15" s="49">
        <v>45565.291666666664</v>
      </c>
      <c r="B15" s="50">
        <v>9.1300000000000008</v>
      </c>
      <c r="C15" s="50">
        <v>4.29</v>
      </c>
      <c r="D15" s="50">
        <v>14</v>
      </c>
      <c r="E15" s="50">
        <v>11.78</v>
      </c>
      <c r="F15" s="50">
        <v>4.5</v>
      </c>
      <c r="G15" s="50">
        <v>30.02</v>
      </c>
      <c r="H15" s="50">
        <v>10.42</v>
      </c>
      <c r="I15" s="50">
        <v>4.8499999999999996</v>
      </c>
      <c r="J15" s="50">
        <v>0.25</v>
      </c>
      <c r="K15" s="50">
        <v>260.47000000000003</v>
      </c>
      <c r="L15" s="50">
        <v>27.2</v>
      </c>
      <c r="M15" s="50">
        <v>100.6</v>
      </c>
      <c r="N15" s="50">
        <v>38</v>
      </c>
      <c r="O15" s="50">
        <v>0</v>
      </c>
      <c r="P15" s="50">
        <v>0.38</v>
      </c>
      <c r="Q15" s="50">
        <v>4.6900000000000004</v>
      </c>
    </row>
    <row r="16" spans="1:21" customFormat="1">
      <c r="A16" s="49">
        <v>45565.333333333336</v>
      </c>
      <c r="B16" s="50">
        <v>9.15</v>
      </c>
      <c r="C16" s="50">
        <v>4.26</v>
      </c>
      <c r="D16" s="50">
        <v>14</v>
      </c>
      <c r="E16" s="50">
        <v>11.64</v>
      </c>
      <c r="F16" s="50">
        <v>6.23</v>
      </c>
      <c r="G16" s="50">
        <v>39.619999999999997</v>
      </c>
      <c r="H16" s="50">
        <v>12.09</v>
      </c>
      <c r="I16" s="50">
        <v>4.9400000000000004</v>
      </c>
      <c r="J16" s="50">
        <v>0.6</v>
      </c>
      <c r="K16" s="50">
        <v>267.87</v>
      </c>
      <c r="L16" s="50">
        <v>28.99</v>
      </c>
      <c r="M16" s="50">
        <v>93.52</v>
      </c>
      <c r="N16" s="50">
        <v>175.8</v>
      </c>
      <c r="O16" s="50">
        <v>0</v>
      </c>
      <c r="P16" s="50">
        <v>0.39</v>
      </c>
      <c r="Q16" s="50">
        <v>4.67</v>
      </c>
    </row>
    <row r="17" spans="1:17" customFormat="1">
      <c r="A17" s="49">
        <v>45565.375</v>
      </c>
      <c r="B17" s="50">
        <v>9.14</v>
      </c>
      <c r="C17" s="50">
        <v>4.28</v>
      </c>
      <c r="D17" s="50">
        <v>14</v>
      </c>
      <c r="E17" s="50">
        <v>11.33</v>
      </c>
      <c r="F17" s="50">
        <v>7.15</v>
      </c>
      <c r="G17" s="50">
        <v>28.48</v>
      </c>
      <c r="H17" s="50">
        <v>13.86</v>
      </c>
      <c r="I17" s="50">
        <v>4.7300000000000004</v>
      </c>
      <c r="J17" s="50">
        <v>0.62</v>
      </c>
      <c r="K17" s="50">
        <v>281.05</v>
      </c>
      <c r="L17" s="50">
        <v>30.95</v>
      </c>
      <c r="M17" s="50">
        <v>84.32</v>
      </c>
      <c r="N17" s="50">
        <v>252.9</v>
      </c>
      <c r="O17" s="50">
        <v>0</v>
      </c>
      <c r="P17" s="50">
        <v>0.4</v>
      </c>
      <c r="Q17" s="50">
        <v>4.68</v>
      </c>
    </row>
    <row r="18" spans="1:17" customFormat="1">
      <c r="A18" s="49">
        <v>45565.416666666664</v>
      </c>
      <c r="B18" s="50">
        <v>9.15</v>
      </c>
      <c r="C18" s="50">
        <v>4.2699999999999996</v>
      </c>
      <c r="D18" s="50">
        <v>14</v>
      </c>
      <c r="E18" s="50">
        <v>11.75</v>
      </c>
      <c r="F18" s="50">
        <v>6.85</v>
      </c>
      <c r="G18" s="50">
        <v>29.26</v>
      </c>
      <c r="H18" s="50">
        <v>10.42</v>
      </c>
      <c r="I18" s="50">
        <v>5.15</v>
      </c>
      <c r="J18" s="50">
        <v>0.7</v>
      </c>
      <c r="K18" s="50">
        <v>280.06</v>
      </c>
      <c r="L18" s="50">
        <v>31.56</v>
      </c>
      <c r="M18" s="50">
        <v>76.36</v>
      </c>
      <c r="N18" s="50">
        <v>186.9</v>
      </c>
      <c r="O18" s="50">
        <v>0</v>
      </c>
      <c r="P18" s="50">
        <v>0.5</v>
      </c>
      <c r="Q18" s="50">
        <v>4.6500000000000004</v>
      </c>
    </row>
    <row r="19" spans="1:17" customFormat="1">
      <c r="A19" s="49">
        <v>45565.458333333336</v>
      </c>
      <c r="B19" s="50">
        <v>9.1300000000000008</v>
      </c>
      <c r="C19" s="50">
        <v>4.29</v>
      </c>
      <c r="D19" s="50">
        <v>14</v>
      </c>
      <c r="E19" s="50">
        <v>11.35</v>
      </c>
      <c r="F19" s="50">
        <v>6.4</v>
      </c>
      <c r="G19" s="50">
        <v>38.9</v>
      </c>
      <c r="H19" s="50">
        <v>16</v>
      </c>
      <c r="I19" s="50">
        <v>6.24</v>
      </c>
      <c r="J19" s="50">
        <v>0.7</v>
      </c>
      <c r="K19" s="50">
        <v>270.64</v>
      </c>
      <c r="L19" s="50">
        <v>32.68</v>
      </c>
      <c r="M19" s="50">
        <v>77.819999999999993</v>
      </c>
      <c r="N19" s="50">
        <v>411.9</v>
      </c>
      <c r="O19" s="50">
        <v>0</v>
      </c>
      <c r="P19" s="50">
        <v>0.55000000000000004</v>
      </c>
      <c r="Q19" s="50">
        <v>4.6399999999999997</v>
      </c>
    </row>
    <row r="20" spans="1:17" customFormat="1">
      <c r="A20" s="49">
        <v>45565.5</v>
      </c>
      <c r="B20" s="50">
        <v>9.14</v>
      </c>
      <c r="C20" s="50">
        <v>4.3</v>
      </c>
      <c r="D20" s="50">
        <v>14</v>
      </c>
      <c r="E20" s="50">
        <v>11.31</v>
      </c>
      <c r="F20" s="50">
        <v>6.07</v>
      </c>
      <c r="G20" s="50">
        <v>42.74</v>
      </c>
      <c r="H20" s="50">
        <v>17.82</v>
      </c>
      <c r="I20" s="50">
        <v>6.57</v>
      </c>
      <c r="J20" s="50">
        <v>0.85</v>
      </c>
      <c r="K20" s="50">
        <v>302.51</v>
      </c>
      <c r="L20" s="50">
        <v>32.380000000000003</v>
      </c>
      <c r="M20" s="50">
        <v>74.599999999999994</v>
      </c>
      <c r="N20" s="50">
        <v>479</v>
      </c>
      <c r="O20" s="50">
        <v>0</v>
      </c>
      <c r="P20" s="50">
        <v>0.56999999999999995</v>
      </c>
      <c r="Q20" s="50">
        <v>4.6399999999999997</v>
      </c>
    </row>
    <row r="21" spans="1:17" customFormat="1">
      <c r="A21" s="49">
        <v>45565.541666666664</v>
      </c>
      <c r="B21" s="50">
        <v>9.1199999999999992</v>
      </c>
      <c r="C21" s="50">
        <v>4.34</v>
      </c>
      <c r="D21" s="50">
        <v>14</v>
      </c>
      <c r="E21" s="50">
        <v>11.69</v>
      </c>
      <c r="F21" s="50">
        <v>5.09</v>
      </c>
      <c r="G21" s="50">
        <v>42.22</v>
      </c>
      <c r="H21" s="50">
        <v>17.25</v>
      </c>
      <c r="I21" s="50">
        <v>7.32</v>
      </c>
      <c r="J21" s="50">
        <v>0.74</v>
      </c>
      <c r="K21" s="50">
        <v>305.95999999999998</v>
      </c>
      <c r="L21" s="50">
        <v>32.590000000000003</v>
      </c>
      <c r="M21" s="50">
        <v>74.62</v>
      </c>
      <c r="N21" s="50">
        <v>438.2</v>
      </c>
      <c r="O21" s="50">
        <v>0</v>
      </c>
      <c r="P21" s="50">
        <v>0.6</v>
      </c>
      <c r="Q21" s="50">
        <v>4.63</v>
      </c>
    </row>
    <row r="22" spans="1:17" customFormat="1">
      <c r="A22" s="49">
        <v>45565.583333333336</v>
      </c>
      <c r="B22" s="50">
        <v>9.2200000000000006</v>
      </c>
      <c r="C22" s="50">
        <v>4.24</v>
      </c>
      <c r="D22" s="50">
        <v>14</v>
      </c>
      <c r="E22" s="50">
        <v>11.35</v>
      </c>
      <c r="F22" s="50">
        <v>14.26</v>
      </c>
      <c r="G22" s="50">
        <v>51.05</v>
      </c>
      <c r="H22" s="50">
        <v>16.86</v>
      </c>
      <c r="I22" s="50">
        <v>7.44</v>
      </c>
      <c r="J22" s="50">
        <v>0.38</v>
      </c>
      <c r="K22" s="50">
        <v>303.43</v>
      </c>
      <c r="L22" s="50">
        <v>32.99</v>
      </c>
      <c r="M22" s="50">
        <v>72.87</v>
      </c>
      <c r="N22" s="50">
        <v>301.2</v>
      </c>
      <c r="O22" s="50">
        <v>0</v>
      </c>
      <c r="P22" s="50">
        <v>0.57999999999999996</v>
      </c>
      <c r="Q22" s="50">
        <v>4.6900000000000004</v>
      </c>
    </row>
    <row r="23" spans="1:17" customFormat="1">
      <c r="A23" s="49">
        <v>45565.625</v>
      </c>
      <c r="B23" s="50">
        <v>9.18</v>
      </c>
      <c r="C23" s="50">
        <v>4.3600000000000003</v>
      </c>
      <c r="D23" s="50">
        <v>14</v>
      </c>
      <c r="E23" s="50">
        <v>11.67</v>
      </c>
      <c r="F23" s="50">
        <v>15.09</v>
      </c>
      <c r="G23" s="50">
        <v>46.91</v>
      </c>
      <c r="H23" s="50">
        <v>14.69</v>
      </c>
      <c r="I23" s="50">
        <v>6.49</v>
      </c>
      <c r="J23" s="50">
        <v>0.52</v>
      </c>
      <c r="K23" s="50">
        <v>316.39</v>
      </c>
      <c r="L23" s="50">
        <v>32.46</v>
      </c>
      <c r="M23" s="50">
        <v>73.02</v>
      </c>
      <c r="N23" s="50">
        <v>185</v>
      </c>
      <c r="O23" s="50">
        <v>0</v>
      </c>
      <c r="P23" s="50">
        <v>0.47</v>
      </c>
      <c r="Q23" s="50">
        <v>4.68</v>
      </c>
    </row>
    <row r="24" spans="1:17" customFormat="1">
      <c r="A24" s="49">
        <v>45565.666666666664</v>
      </c>
      <c r="B24" s="50">
        <v>9.07</v>
      </c>
      <c r="C24" s="50">
        <v>4.3899999999999997</v>
      </c>
      <c r="D24" s="50">
        <v>14</v>
      </c>
      <c r="E24" s="50">
        <v>11.75</v>
      </c>
      <c r="F24" s="50">
        <v>15.75</v>
      </c>
      <c r="G24" s="50">
        <v>58.35</v>
      </c>
      <c r="H24" s="50">
        <v>12.73</v>
      </c>
      <c r="I24" s="50">
        <v>6.29</v>
      </c>
      <c r="J24" s="50">
        <v>0.79</v>
      </c>
      <c r="K24" s="50">
        <v>303.5</v>
      </c>
      <c r="L24" s="50">
        <v>30.04</v>
      </c>
      <c r="M24" s="50">
        <v>98.15</v>
      </c>
      <c r="N24" s="50">
        <v>89.2</v>
      </c>
      <c r="O24" s="50">
        <v>3.4</v>
      </c>
      <c r="P24" s="50">
        <v>0.47</v>
      </c>
      <c r="Q24" s="50">
        <v>4.67</v>
      </c>
    </row>
    <row r="25" spans="1:17" customFormat="1">
      <c r="A25" s="49">
        <v>45565.708333333336</v>
      </c>
      <c r="B25" s="50">
        <v>9.09</v>
      </c>
      <c r="C25" s="50">
        <v>4.3899999999999997</v>
      </c>
      <c r="D25" s="50">
        <v>14</v>
      </c>
      <c r="E25" s="50">
        <v>11.08</v>
      </c>
      <c r="F25" s="50">
        <v>15.53</v>
      </c>
      <c r="G25" s="50">
        <v>54.96</v>
      </c>
      <c r="H25" s="50">
        <v>18.899999999999999</v>
      </c>
      <c r="I25" s="50">
        <v>5.76</v>
      </c>
      <c r="J25" s="50">
        <v>0.39</v>
      </c>
      <c r="K25" s="50">
        <v>257.51</v>
      </c>
      <c r="L25" s="50">
        <v>28.67</v>
      </c>
      <c r="M25" s="50">
        <v>95.65</v>
      </c>
      <c r="N25" s="50">
        <v>48.5</v>
      </c>
      <c r="O25" s="50">
        <v>0</v>
      </c>
      <c r="P25" s="50">
        <v>0.43</v>
      </c>
      <c r="Q25" s="50">
        <v>4.68</v>
      </c>
    </row>
    <row r="26" spans="1:17" customFormat="1">
      <c r="A26" s="49">
        <v>45565.75</v>
      </c>
      <c r="B26" s="50">
        <v>9.1</v>
      </c>
      <c r="C26" s="50">
        <v>4.34</v>
      </c>
      <c r="D26" s="50">
        <v>14</v>
      </c>
      <c r="E26" s="50">
        <v>10.83</v>
      </c>
      <c r="F26" s="50">
        <v>10.44</v>
      </c>
      <c r="G26" s="50">
        <v>46.03</v>
      </c>
      <c r="H26" s="50">
        <v>18.93</v>
      </c>
      <c r="I26" s="50">
        <v>5.43</v>
      </c>
      <c r="J26" s="50">
        <v>0.24</v>
      </c>
      <c r="K26" s="50">
        <v>203.69</v>
      </c>
      <c r="L26" s="50">
        <v>27.95</v>
      </c>
      <c r="M26" s="50">
        <v>95.93</v>
      </c>
      <c r="N26" s="50">
        <v>29.3</v>
      </c>
      <c r="O26" s="50">
        <v>0</v>
      </c>
      <c r="P26" s="50">
        <v>0.41</v>
      </c>
      <c r="Q26" s="50">
        <v>4.68</v>
      </c>
    </row>
    <row r="27" spans="1:17" customFormat="1">
      <c r="A27" s="49">
        <v>45565.791666666664</v>
      </c>
      <c r="B27" s="50">
        <v>9.1</v>
      </c>
      <c r="C27" s="50">
        <v>4.34</v>
      </c>
      <c r="D27" s="50">
        <v>14</v>
      </c>
      <c r="E27" s="50">
        <v>9.7100000000000009</v>
      </c>
      <c r="F27" s="50">
        <v>8.43</v>
      </c>
      <c r="G27" s="50">
        <v>44.58</v>
      </c>
      <c r="H27" s="50">
        <v>19.23</v>
      </c>
      <c r="I27" s="50">
        <v>5.49</v>
      </c>
      <c r="J27" s="50">
        <v>0.17</v>
      </c>
      <c r="K27" s="50">
        <v>180.85</v>
      </c>
      <c r="L27" s="50">
        <v>27.57</v>
      </c>
      <c r="M27" s="50">
        <v>101.02</v>
      </c>
      <c r="N27" s="50">
        <v>2.2999999999999998</v>
      </c>
      <c r="O27" s="50">
        <v>0</v>
      </c>
      <c r="P27" s="50">
        <v>0.5</v>
      </c>
      <c r="Q27" s="50">
        <v>4.6500000000000004</v>
      </c>
    </row>
    <row r="28" spans="1:17" customFormat="1">
      <c r="A28" s="49">
        <v>45565.833333333336</v>
      </c>
      <c r="B28" s="50">
        <v>9.08</v>
      </c>
      <c r="C28" s="50">
        <v>4.42</v>
      </c>
      <c r="D28" s="50">
        <v>14</v>
      </c>
      <c r="E28" s="50">
        <v>9.6199999999999992</v>
      </c>
      <c r="F28" s="50">
        <v>7.46</v>
      </c>
      <c r="G28" s="50">
        <v>45.25</v>
      </c>
      <c r="H28" s="50">
        <v>21.2</v>
      </c>
      <c r="I28" s="50">
        <v>6.1</v>
      </c>
      <c r="J28" s="50">
        <v>0.14000000000000001</v>
      </c>
      <c r="K28" s="50">
        <v>200.11</v>
      </c>
      <c r="L28" s="50">
        <v>27.63</v>
      </c>
      <c r="M28" s="50">
        <v>101.65</v>
      </c>
      <c r="N28" s="50">
        <v>2.5</v>
      </c>
      <c r="O28" s="50">
        <v>0</v>
      </c>
      <c r="P28" s="50">
        <v>0.53</v>
      </c>
      <c r="Q28" s="50">
        <v>4.6500000000000004</v>
      </c>
    </row>
    <row r="29" spans="1:17" customFormat="1">
      <c r="A29" s="49">
        <v>45565.875</v>
      </c>
      <c r="B29" s="50">
        <v>9.0399999999999991</v>
      </c>
      <c r="C29" s="50">
        <v>4.4800000000000004</v>
      </c>
      <c r="D29" s="50">
        <v>14</v>
      </c>
      <c r="E29" s="50">
        <v>9.0299999999999994</v>
      </c>
      <c r="F29" s="50">
        <v>7.68</v>
      </c>
      <c r="G29" s="50">
        <v>49.05</v>
      </c>
      <c r="H29" s="50">
        <v>20.5</v>
      </c>
      <c r="I29" s="50">
        <v>6.4</v>
      </c>
      <c r="J29" s="50">
        <v>0.18</v>
      </c>
      <c r="K29" s="50">
        <v>203.8</v>
      </c>
      <c r="L29" s="50">
        <v>27.36</v>
      </c>
      <c r="M29" s="50">
        <v>99.35</v>
      </c>
      <c r="N29" s="50">
        <v>2.4</v>
      </c>
      <c r="O29" s="50">
        <v>0</v>
      </c>
      <c r="P29" s="50">
        <v>0.54</v>
      </c>
      <c r="Q29" s="50">
        <v>4.6500000000000004</v>
      </c>
    </row>
    <row r="30" spans="1:17" customFormat="1">
      <c r="A30" s="49">
        <v>45565.916666666664</v>
      </c>
      <c r="B30" s="50">
        <v>9.01</v>
      </c>
      <c r="C30" s="50">
        <v>4.49</v>
      </c>
      <c r="D30" s="50">
        <v>14</v>
      </c>
      <c r="E30" s="50">
        <v>9.11</v>
      </c>
      <c r="F30" s="50">
        <v>7.9</v>
      </c>
      <c r="G30" s="50">
        <v>48.88</v>
      </c>
      <c r="H30" s="50">
        <v>15.94</v>
      </c>
      <c r="I30" s="50">
        <v>6.22</v>
      </c>
      <c r="J30" s="50">
        <v>0.18</v>
      </c>
      <c r="K30" s="50">
        <v>253.46</v>
      </c>
      <c r="L30" s="50">
        <v>27.33</v>
      </c>
      <c r="M30" s="50">
        <v>97.75</v>
      </c>
      <c r="N30" s="50">
        <v>2.4</v>
      </c>
      <c r="O30" s="50">
        <v>0</v>
      </c>
      <c r="P30" s="50">
        <v>0.51</v>
      </c>
      <c r="Q30" s="50">
        <v>4.6500000000000004</v>
      </c>
    </row>
    <row r="31" spans="1:17" customFormat="1">
      <c r="A31" s="49">
        <v>45565.958333333336</v>
      </c>
      <c r="B31" s="50">
        <v>9.1999999999999993</v>
      </c>
      <c r="C31" s="50">
        <v>4.4400000000000004</v>
      </c>
      <c r="D31" s="50">
        <v>14</v>
      </c>
      <c r="E31" s="50">
        <v>8.85</v>
      </c>
      <c r="F31" s="50">
        <v>6.53</v>
      </c>
      <c r="G31" s="50">
        <v>42.93</v>
      </c>
      <c r="H31" s="50">
        <v>13.72</v>
      </c>
      <c r="I31" s="50">
        <v>6.2</v>
      </c>
      <c r="J31" s="50">
        <v>0.27</v>
      </c>
      <c r="K31" s="50">
        <v>259.97000000000003</v>
      </c>
      <c r="L31" s="50">
        <v>27.02</v>
      </c>
      <c r="M31" s="50">
        <v>94.53</v>
      </c>
      <c r="N31" s="50">
        <v>2.2000000000000002</v>
      </c>
      <c r="O31" s="50">
        <v>0</v>
      </c>
      <c r="P31" s="50">
        <v>0.51</v>
      </c>
      <c r="Q31" s="50">
        <v>4.67</v>
      </c>
    </row>
    <row r="32" spans="1:17" customFormat="1">
      <c r="A32" s="49">
        <v>45566</v>
      </c>
      <c r="B32" s="50">
        <v>9.23</v>
      </c>
      <c r="C32" s="50">
        <v>4.25</v>
      </c>
      <c r="D32" s="50">
        <v>14</v>
      </c>
      <c r="E32" s="50">
        <v>9.6999999999999993</v>
      </c>
      <c r="F32" s="50">
        <v>6.53</v>
      </c>
      <c r="G32" s="50">
        <v>43.93</v>
      </c>
      <c r="H32" s="50">
        <v>11.98</v>
      </c>
      <c r="I32" s="50">
        <v>5.81</v>
      </c>
      <c r="J32" s="50">
        <v>0.23</v>
      </c>
      <c r="K32" s="50">
        <v>254.94</v>
      </c>
      <c r="L32" s="50">
        <v>26.77</v>
      </c>
      <c r="M32" s="50">
        <v>94.83</v>
      </c>
      <c r="N32" s="50">
        <v>2.2000000000000002</v>
      </c>
      <c r="O32" s="50">
        <v>0</v>
      </c>
      <c r="P32" s="50">
        <v>0.42</v>
      </c>
      <c r="Q32" s="50">
        <v>4.67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9.01</v>
      </c>
      <c r="C34" s="40">
        <f t="shared" si="0"/>
        <v>4.24</v>
      </c>
      <c r="D34" s="40">
        <f t="shared" si="0"/>
        <v>14</v>
      </c>
      <c r="E34" s="40">
        <f t="shared" si="0"/>
        <v>8.85</v>
      </c>
      <c r="F34" s="40">
        <f t="shared" si="0"/>
        <v>4.5</v>
      </c>
      <c r="G34" s="40">
        <f t="shared" si="0"/>
        <v>28.48</v>
      </c>
      <c r="H34" s="40">
        <f t="shared" si="0"/>
        <v>10.42</v>
      </c>
      <c r="I34" s="40">
        <f t="shared" si="0"/>
        <v>4.7300000000000004</v>
      </c>
      <c r="J34" s="40">
        <f t="shared" si="0"/>
        <v>0.1</v>
      </c>
      <c r="K34" s="40">
        <f t="shared" si="0"/>
        <v>180.85</v>
      </c>
      <c r="L34" s="40">
        <f t="shared" si="0"/>
        <v>26.22</v>
      </c>
      <c r="M34" s="40">
        <f t="shared" si="0"/>
        <v>72.87</v>
      </c>
      <c r="N34" s="40">
        <f t="shared" si="0"/>
        <v>2.1</v>
      </c>
      <c r="O34" s="40">
        <f t="shared" si="0"/>
        <v>0</v>
      </c>
      <c r="P34" s="40">
        <f t="shared" si="0"/>
        <v>0.38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9.23</v>
      </c>
      <c r="C35" s="33">
        <f t="shared" si="1"/>
        <v>4.49</v>
      </c>
      <c r="D35" s="33">
        <f t="shared" si="1"/>
        <v>14</v>
      </c>
      <c r="E35" s="33">
        <f t="shared" si="1"/>
        <v>11.89</v>
      </c>
      <c r="F35" s="33">
        <f t="shared" si="1"/>
        <v>15.75</v>
      </c>
      <c r="G35" s="33">
        <f t="shared" si="1"/>
        <v>58.35</v>
      </c>
      <c r="H35" s="33">
        <f t="shared" si="1"/>
        <v>21.2</v>
      </c>
      <c r="I35" s="33">
        <f t="shared" si="1"/>
        <v>7.44</v>
      </c>
      <c r="J35" s="33">
        <f t="shared" si="1"/>
        <v>0.85</v>
      </c>
      <c r="K35" s="33">
        <f t="shared" si="1"/>
        <v>316.39</v>
      </c>
      <c r="L35" s="33">
        <f t="shared" si="1"/>
        <v>32.99</v>
      </c>
      <c r="M35" s="33">
        <f t="shared" si="1"/>
        <v>101.65</v>
      </c>
      <c r="N35" s="33">
        <f t="shared" si="1"/>
        <v>479</v>
      </c>
      <c r="O35" s="33">
        <f t="shared" si="1"/>
        <v>3.4</v>
      </c>
      <c r="P35" s="33">
        <f t="shared" si="1"/>
        <v>0.6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9.1270833333333314</v>
      </c>
      <c r="C36" s="40">
        <f t="shared" si="2"/>
        <v>4.3500000000000005</v>
      </c>
      <c r="D36" s="40">
        <f t="shared" si="2"/>
        <v>14</v>
      </c>
      <c r="E36" s="40">
        <f t="shared" si="2"/>
        <v>10.807083333333333</v>
      </c>
      <c r="F36" s="40">
        <f t="shared" si="2"/>
        <v>7.9712500000000013</v>
      </c>
      <c r="G36" s="40">
        <f t="shared" si="2"/>
        <v>41.914999999999992</v>
      </c>
      <c r="H36" s="40">
        <f t="shared" si="2"/>
        <v>15.268750000000002</v>
      </c>
      <c r="I36" s="40">
        <f t="shared" si="2"/>
        <v>5.84</v>
      </c>
      <c r="J36" s="40">
        <f t="shared" si="2"/>
        <v>0.36458333333333331</v>
      </c>
      <c r="K36" s="40">
        <f t="shared" si="2"/>
        <v>247.83500000000001</v>
      </c>
      <c r="L36" s="40">
        <f t="shared" si="2"/>
        <v>28.840833333333336</v>
      </c>
      <c r="M36" s="40">
        <f t="shared" si="2"/>
        <v>91.790416666666658</v>
      </c>
      <c r="N36" s="40">
        <f t="shared" si="2"/>
        <v>111.15833333333335</v>
      </c>
      <c r="O36" s="40">
        <f t="shared" si="2"/>
        <v>0.14166666666666666</v>
      </c>
      <c r="P36" s="40">
        <f t="shared" si="2"/>
        <v>0.4754166666666666</v>
      </c>
      <c r="Q36" s="40">
        <f t="shared" si="2"/>
        <v>4.6629166666666677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5.6528497366308626E-2</v>
      </c>
      <c r="C37" s="40">
        <f t="shared" ref="C37:Q37" si="3">STDEV(C9:C32)</f>
        <v>7.3306978136301867E-2</v>
      </c>
      <c r="D37" s="40">
        <f t="shared" si="3"/>
        <v>0</v>
      </c>
      <c r="E37" s="40">
        <f t="shared" si="3"/>
        <v>0.97062274571160834</v>
      </c>
      <c r="F37" s="40">
        <f t="shared" si="3"/>
        <v>3.5353424439016043</v>
      </c>
      <c r="G37" s="40">
        <f t="shared" si="3"/>
        <v>8.1833654180427473</v>
      </c>
      <c r="H37" s="40">
        <f t="shared" si="3"/>
        <v>3.1497457626870671</v>
      </c>
      <c r="I37" s="40">
        <f t="shared" si="3"/>
        <v>0.71607019330449462</v>
      </c>
      <c r="J37" s="40">
        <f t="shared" si="3"/>
        <v>0.25219004508620024</v>
      </c>
      <c r="K37" s="40">
        <f t="shared" si="3"/>
        <v>43.435565271270299</v>
      </c>
      <c r="L37" s="40">
        <f t="shared" si="3"/>
        <v>2.4011807180175686</v>
      </c>
      <c r="M37" s="40">
        <f t="shared" si="3"/>
        <v>10.652665916247914</v>
      </c>
      <c r="N37" s="40">
        <f t="shared" si="3"/>
        <v>156.32139111087957</v>
      </c>
      <c r="O37" s="40">
        <f t="shared" si="3"/>
        <v>0.69402209378856705</v>
      </c>
      <c r="P37" s="40">
        <f t="shared" si="3"/>
        <v>6.5870701190759731E-2</v>
      </c>
      <c r="Q37" s="40">
        <f t="shared" si="3"/>
        <v>1.680558050862517E-2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54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39" sqref="A39:XFD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45536.041666666664</v>
      </c>
      <c r="B9" s="17">
        <f>'01'!B36</f>
        <v>9.0854166666666671</v>
      </c>
      <c r="C9" s="17">
        <f>'01'!C36</f>
        <v>4.37</v>
      </c>
      <c r="D9" s="17">
        <f>'01'!D36</f>
        <v>14</v>
      </c>
      <c r="E9" s="17">
        <f>'01'!E36</f>
        <v>10.601250000000002</v>
      </c>
      <c r="F9" s="17">
        <f>'01'!F36</f>
        <v>4.9254166666666661</v>
      </c>
      <c r="G9" s="17">
        <f>'01'!G36</f>
        <v>37.690416666666671</v>
      </c>
      <c r="H9" s="17">
        <f>'01'!H36</f>
        <v>9.0345833333333356</v>
      </c>
      <c r="I9" s="17">
        <f>'01'!I36</f>
        <v>4.0908333333333333</v>
      </c>
      <c r="J9" s="17">
        <f>'01'!J36</f>
        <v>0.81791666666666663</v>
      </c>
      <c r="K9" s="17">
        <f>'01'!K36</f>
        <v>79.463333333333352</v>
      </c>
      <c r="L9" s="17">
        <f>'01'!L36</f>
        <v>28.741666666666664</v>
      </c>
      <c r="M9" s="17">
        <f>'01'!M36</f>
        <v>82.533333333333346</v>
      </c>
      <c r="N9" s="17">
        <f>'01'!N36</f>
        <v>129.43333333333337</v>
      </c>
      <c r="O9" s="17">
        <f>'01'!O36</f>
        <v>3.3333333333333333E-2</v>
      </c>
      <c r="P9" s="17">
        <f>'01'!P36</f>
        <v>0.34250000000000003</v>
      </c>
      <c r="Q9" s="17">
        <f>'01'!Q36</f>
        <v>5.0437500000000002</v>
      </c>
      <c r="R9" s="34"/>
      <c r="S9" s="34"/>
      <c r="T9" s="34"/>
      <c r="U9" s="35"/>
    </row>
    <row r="10" spans="1:21" s="2" customFormat="1">
      <c r="A10" s="16">
        <f>'02'!$B$2</f>
        <v>45537.041666666664</v>
      </c>
      <c r="B10" s="17">
        <f>'02'!B36</f>
        <v>9.3345833333333328</v>
      </c>
      <c r="C10" s="17">
        <f>'02'!C36</f>
        <v>4.0962500000000013</v>
      </c>
      <c r="D10" s="17">
        <f>'02'!D36</f>
        <v>14.066249999999998</v>
      </c>
      <c r="E10" s="17">
        <f>'02'!E36</f>
        <v>9.1237499999999994</v>
      </c>
      <c r="F10" s="17">
        <f>'02'!F36</f>
        <v>4.55375</v>
      </c>
      <c r="G10" s="17">
        <f>'02'!G36</f>
        <v>22.786249999999999</v>
      </c>
      <c r="H10" s="17">
        <f>'02'!H36</f>
        <v>4.3812499999999988</v>
      </c>
      <c r="I10" s="17">
        <f>'02'!I36</f>
        <v>3.3033333333333332</v>
      </c>
      <c r="J10" s="17">
        <f>'02'!J36</f>
        <v>0.43999999999999995</v>
      </c>
      <c r="K10" s="17">
        <f>'02'!K36</f>
        <v>120.12375000000002</v>
      </c>
      <c r="L10" s="17">
        <f>'02'!L36</f>
        <v>28.919583333333335</v>
      </c>
      <c r="M10" s="17">
        <f>'02'!M36</f>
        <v>81.91458333333334</v>
      </c>
      <c r="N10" s="17">
        <f>'02'!N36</f>
        <v>148.95833333333331</v>
      </c>
      <c r="O10" s="17">
        <f>'02'!O36</f>
        <v>0</v>
      </c>
      <c r="P10" s="17">
        <f>'02'!P36</f>
        <v>0.33958333333333335</v>
      </c>
      <c r="Q10" s="17">
        <f>'02'!Q36</f>
        <v>5.0458333333333334</v>
      </c>
      <c r="R10" s="36"/>
      <c r="S10" s="36"/>
      <c r="T10" s="36"/>
      <c r="U10" s="36"/>
    </row>
    <row r="11" spans="1:21" s="2" customFormat="1">
      <c r="A11" s="16">
        <f>'03'!$B$2</f>
        <v>45538.041666666664</v>
      </c>
      <c r="B11" s="17">
        <f>'03'!B36</f>
        <v>9.2483333333333348</v>
      </c>
      <c r="C11" s="17">
        <f>'03'!C36</f>
        <v>4.1304166666666671</v>
      </c>
      <c r="D11" s="17">
        <f>'03'!D36</f>
        <v>14.010416666666666</v>
      </c>
      <c r="E11" s="17">
        <f>'03'!E36</f>
        <v>10.494999999999999</v>
      </c>
      <c r="F11" s="17">
        <f>'03'!F36</f>
        <v>5.5370833333333351</v>
      </c>
      <c r="G11" s="17">
        <f>'03'!G36</f>
        <v>23.149999999999995</v>
      </c>
      <c r="H11" s="17">
        <f>'03'!H36</f>
        <v>5.4649999999999999</v>
      </c>
      <c r="I11" s="17">
        <f>'03'!I36</f>
        <v>3.4150000000000005</v>
      </c>
      <c r="J11" s="17">
        <f>'03'!J36</f>
        <v>0.29833333333333334</v>
      </c>
      <c r="K11" s="17">
        <f>'03'!K36</f>
        <v>172.9325</v>
      </c>
      <c r="L11" s="17">
        <f>'03'!L36</f>
        <v>28.994999999999994</v>
      </c>
      <c r="M11" s="17">
        <f>'03'!M36</f>
        <v>81.031250000000014</v>
      </c>
      <c r="N11" s="17">
        <f>'03'!N36</f>
        <v>133.20416666666665</v>
      </c>
      <c r="O11" s="17">
        <f>'03'!O36</f>
        <v>0</v>
      </c>
      <c r="P11" s="17">
        <f>'03'!P36</f>
        <v>0.34125</v>
      </c>
      <c r="Q11" s="17">
        <f>'03'!Q36</f>
        <v>5.0425000000000004</v>
      </c>
      <c r="R11" s="36"/>
      <c r="S11" s="36"/>
      <c r="T11" s="36"/>
      <c r="U11" s="36"/>
    </row>
    <row r="12" spans="1:21" s="2" customFormat="1">
      <c r="A12" s="16">
        <f>'04'!$B$2</f>
        <v>45539.041666666664</v>
      </c>
      <c r="B12" s="17">
        <f>'04'!B36</f>
        <v>9.3258333333333336</v>
      </c>
      <c r="C12" s="17">
        <f>'04'!C36</f>
        <v>4.0879166666666666</v>
      </c>
      <c r="D12" s="17">
        <f>'04'!D36</f>
        <v>14.054166666666667</v>
      </c>
      <c r="E12" s="17">
        <f>'04'!E36</f>
        <v>9.6870833333333337</v>
      </c>
      <c r="F12" s="17">
        <f>'04'!F36</f>
        <v>5.5545833333333334</v>
      </c>
      <c r="G12" s="17">
        <f>'04'!G36</f>
        <v>44.943750000000001</v>
      </c>
      <c r="H12" s="17">
        <f>'04'!H36</f>
        <v>10.504166666666668</v>
      </c>
      <c r="I12" s="17">
        <f>'04'!I36</f>
        <v>4.5083333333333337</v>
      </c>
      <c r="J12" s="17">
        <f>'04'!J36</f>
        <v>0.32291666666666657</v>
      </c>
      <c r="K12" s="17">
        <f>'04'!K36</f>
        <v>234.8208333333333</v>
      </c>
      <c r="L12" s="17">
        <f>'04'!L36</f>
        <v>28.356666666666673</v>
      </c>
      <c r="M12" s="17">
        <f>'04'!M36</f>
        <v>88.927500000000009</v>
      </c>
      <c r="N12" s="17">
        <f>'04'!N36</f>
        <v>122.15416666666663</v>
      </c>
      <c r="O12" s="17">
        <f>'04'!O36</f>
        <v>7.4999999999999997E-2</v>
      </c>
      <c r="P12" s="17">
        <f>'04'!P36</f>
        <v>0.41791666666666677</v>
      </c>
      <c r="Q12" s="17">
        <f>'04'!Q36</f>
        <v>5.0483333333333338</v>
      </c>
      <c r="R12" s="36"/>
      <c r="S12" s="36"/>
      <c r="T12" s="36"/>
      <c r="U12" s="36"/>
    </row>
    <row r="13" spans="1:21" s="2" customFormat="1">
      <c r="A13" s="16">
        <f>'05'!$B$2</f>
        <v>45540.041666666664</v>
      </c>
      <c r="B13" s="17">
        <f>'05'!B36</f>
        <v>8.7062500000000007</v>
      </c>
      <c r="C13" s="17">
        <f>'05'!C36</f>
        <v>5.0483333333333329</v>
      </c>
      <c r="D13" s="17">
        <f>'05'!D36</f>
        <v>14.036250000000001</v>
      </c>
      <c r="E13" s="17">
        <f>'05'!E36</f>
        <v>10.50578947368421</v>
      </c>
      <c r="F13" s="17">
        <f>'05'!F36</f>
        <v>6.7966666666666677</v>
      </c>
      <c r="G13" s="17">
        <f>'05'!G36</f>
        <v>35.045833333333334</v>
      </c>
      <c r="H13" s="17">
        <f>'05'!H36</f>
        <v>12.770833333333336</v>
      </c>
      <c r="I13" s="17">
        <f>'05'!I36</f>
        <v>4.7049999999999992</v>
      </c>
      <c r="J13" s="17">
        <f>'05'!J36</f>
        <v>0.40458333333333335</v>
      </c>
      <c r="K13" s="17">
        <f>'05'!K36</f>
        <v>239.32791666666662</v>
      </c>
      <c r="L13" s="17">
        <f>'05'!L36</f>
        <v>27.64125000000001</v>
      </c>
      <c r="M13" s="17">
        <f>'05'!M36</f>
        <v>92.205833333333331</v>
      </c>
      <c r="N13" s="17">
        <f>'05'!N36</f>
        <v>119.79583333333336</v>
      </c>
      <c r="O13" s="17">
        <f>'05'!O36</f>
        <v>1.5666666666666667</v>
      </c>
      <c r="P13" s="17">
        <f>'05'!P36</f>
        <v>0.43625000000000019</v>
      </c>
      <c r="Q13" s="17">
        <f>'05'!Q36</f>
        <v>4.83391304347826</v>
      </c>
      <c r="R13" s="36"/>
      <c r="S13" s="36"/>
      <c r="T13" s="36"/>
      <c r="U13" s="36"/>
    </row>
    <row r="14" spans="1:21" s="2" customFormat="1">
      <c r="A14" s="16">
        <f>'06'!$B$2</f>
        <v>45541.041666666664</v>
      </c>
      <c r="B14" s="18">
        <f>'06'!B36</f>
        <v>9.2845833333333321</v>
      </c>
      <c r="C14" s="18">
        <f>'06'!C36</f>
        <v>4.1012500000000003</v>
      </c>
      <c r="D14" s="18">
        <f>'06'!D36</f>
        <v>14.025833333333329</v>
      </c>
      <c r="E14" s="18">
        <f>'06'!E36</f>
        <v>13.213749999999999</v>
      </c>
      <c r="F14" s="18">
        <f>'06'!F36</f>
        <v>7.6075000000000008</v>
      </c>
      <c r="G14" s="18">
        <f>'06'!G36</f>
        <v>57.326249999999995</v>
      </c>
      <c r="H14" s="18">
        <f>'06'!H36</f>
        <v>18.547499999999999</v>
      </c>
      <c r="I14" s="18">
        <f>'06'!I36</f>
        <v>5.1449999999999996</v>
      </c>
      <c r="J14" s="18">
        <f>'06'!J36</f>
        <v>0.45458333333333334</v>
      </c>
      <c r="K14" s="18">
        <f>'06'!K36</f>
        <v>183.84583333333333</v>
      </c>
      <c r="L14" s="18">
        <f>'06'!L36</f>
        <v>28.148333333333326</v>
      </c>
      <c r="M14" s="18">
        <f>'06'!M36</f>
        <v>86.736666666666679</v>
      </c>
      <c r="N14" s="18">
        <f>'06'!N36</f>
        <v>160.31666666666666</v>
      </c>
      <c r="O14" s="18">
        <f>'06'!O36</f>
        <v>0</v>
      </c>
      <c r="P14" s="18">
        <f>'06'!P36</f>
        <v>0.47041666666666671</v>
      </c>
      <c r="Q14" s="18">
        <f>'06'!Q36</f>
        <v>4.6229166666666668</v>
      </c>
      <c r="R14" s="36"/>
      <c r="S14" s="36"/>
      <c r="T14" s="36"/>
      <c r="U14" s="36"/>
    </row>
    <row r="15" spans="1:21" s="2" customFormat="1">
      <c r="A15" s="16">
        <f>'07'!$B$2</f>
        <v>45542.041666666664</v>
      </c>
      <c r="B15" s="18">
        <f>'07'!B36</f>
        <v>9.5120833333333312</v>
      </c>
      <c r="C15" s="18">
        <f>'07'!C36</f>
        <v>4.105833333333333</v>
      </c>
      <c r="D15" s="18">
        <f>'07'!D36</f>
        <v>14.215833333333331</v>
      </c>
      <c r="E15" s="18">
        <f>'07'!E36</f>
        <v>10.420833333333333</v>
      </c>
      <c r="F15" s="18">
        <f>'07'!F36</f>
        <v>12.187083333333332</v>
      </c>
      <c r="G15" s="18">
        <f>'07'!G36</f>
        <v>45.310833333333328</v>
      </c>
      <c r="H15" s="18">
        <f>'07'!H36</f>
        <v>18.5275</v>
      </c>
      <c r="I15" s="18">
        <f>'07'!I36</f>
        <v>6.1037500000000007</v>
      </c>
      <c r="J15" s="18">
        <f>'07'!J36</f>
        <v>0.37208333333333349</v>
      </c>
      <c r="K15" s="18">
        <f>'07'!K36</f>
        <v>253.07708333333335</v>
      </c>
      <c r="L15" s="18">
        <f>'07'!L36</f>
        <v>28.860833333333332</v>
      </c>
      <c r="M15" s="18">
        <f>'07'!M36</f>
        <v>87.192916666666676</v>
      </c>
      <c r="N15" s="18">
        <f>'07'!N36</f>
        <v>139.82916666666671</v>
      </c>
      <c r="O15" s="18">
        <f>'07'!O36</f>
        <v>2.5000000000000005E-2</v>
      </c>
      <c r="P15" s="18">
        <f>'07'!P36</f>
        <v>0.49458333333333337</v>
      </c>
      <c r="Q15" s="18">
        <f>'07'!Q36</f>
        <v>4.6316666666666668</v>
      </c>
      <c r="R15" s="36"/>
      <c r="S15" s="36"/>
      <c r="T15" s="36"/>
      <c r="U15" s="36"/>
    </row>
    <row r="16" spans="1:21" s="2" customFormat="1">
      <c r="A16" s="16">
        <f>'08'!$B$2</f>
        <v>45543.041666666664</v>
      </c>
      <c r="B16" s="18">
        <f>'08'!B36</f>
        <v>9.3112500000000029</v>
      </c>
      <c r="C16" s="18">
        <f>'08'!C36</f>
        <v>4.0916666666666668</v>
      </c>
      <c r="D16" s="18">
        <f>'08'!D36</f>
        <v>14.042499999999999</v>
      </c>
      <c r="E16" s="18">
        <f>'08'!E36</f>
        <v>13.4475</v>
      </c>
      <c r="F16" s="18">
        <f>'08'!F36</f>
        <v>7.6129166666666661</v>
      </c>
      <c r="G16" s="18">
        <f>'08'!G36</f>
        <v>84.190833333333345</v>
      </c>
      <c r="H16" s="18">
        <f>'08'!H36</f>
        <v>32.662916666666661</v>
      </c>
      <c r="I16" s="18">
        <f>'08'!I36</f>
        <v>6.0995833333333325</v>
      </c>
      <c r="J16" s="18">
        <f>'08'!J36</f>
        <v>0.45500000000000002</v>
      </c>
      <c r="K16" s="18">
        <f>'08'!K36</f>
        <v>245.22916666666666</v>
      </c>
      <c r="L16" s="18">
        <f>'08'!L36</f>
        <v>28.55125</v>
      </c>
      <c r="M16" s="18">
        <f>'08'!M36</f>
        <v>91.702916666666681</v>
      </c>
      <c r="N16" s="18">
        <f>'08'!N36</f>
        <v>121.70833333333331</v>
      </c>
      <c r="O16" s="18">
        <f>'08'!O36</f>
        <v>0.80833333333333324</v>
      </c>
      <c r="P16" s="18">
        <f>'08'!P36</f>
        <v>0.57541666666666658</v>
      </c>
      <c r="Q16" s="18">
        <f>'08'!Q36</f>
        <v>4.6387500000000008</v>
      </c>
      <c r="R16" s="36"/>
      <c r="S16" s="36"/>
      <c r="T16" s="36"/>
      <c r="U16" s="36"/>
    </row>
    <row r="17" spans="1:24" s="2" customFormat="1">
      <c r="A17" s="16">
        <f>'09'!$B$2</f>
        <v>45544.041666666664</v>
      </c>
      <c r="B17" s="18">
        <f>'09'!B36</f>
        <v>9.2687499999999989</v>
      </c>
      <c r="C17" s="18">
        <f>'09'!C36</f>
        <v>4.1091666666666669</v>
      </c>
      <c r="D17" s="18">
        <f>'09'!D36</f>
        <v>14.016666666666667</v>
      </c>
      <c r="E17" s="18">
        <f>'09'!E36</f>
        <v>11.687916666666668</v>
      </c>
      <c r="F17" s="18">
        <f>'09'!F36</f>
        <v>7.3150000000000022</v>
      </c>
      <c r="G17" s="18">
        <f>'09'!G36</f>
        <v>68.093333333333348</v>
      </c>
      <c r="H17" s="18">
        <f>'09'!H36</f>
        <v>22.112499999999997</v>
      </c>
      <c r="I17" s="18">
        <f>'09'!I36</f>
        <v>5.184166666666667</v>
      </c>
      <c r="J17" s="18">
        <f>'09'!J36</f>
        <v>0.69166666666666654</v>
      </c>
      <c r="K17" s="18">
        <f>'09'!K36</f>
        <v>138.73750000000004</v>
      </c>
      <c r="L17" s="18">
        <f>'09'!L36</f>
        <v>27.981666666666669</v>
      </c>
      <c r="M17" s="18">
        <f>'09'!M36</f>
        <v>92.576250000000002</v>
      </c>
      <c r="N17" s="18">
        <f>'09'!N36</f>
        <v>112.2166666666667</v>
      </c>
      <c r="O17" s="18">
        <f>'09'!O36</f>
        <v>0.97500000000000009</v>
      </c>
      <c r="P17" s="18">
        <f>'09'!P36</f>
        <v>0.50541666666666674</v>
      </c>
      <c r="Q17" s="18">
        <f>'09'!Q36</f>
        <v>4.6429166666666664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45545.041666666664</v>
      </c>
      <c r="B18" s="18">
        <f>'10'!B36</f>
        <v>9.3379166666666649</v>
      </c>
      <c r="C18" s="18">
        <f>'10'!C36</f>
        <v>4.08</v>
      </c>
      <c r="D18" s="18">
        <f>'10'!D36</f>
        <v>14.060000000000002</v>
      </c>
      <c r="E18" s="18">
        <f>'10'!E36</f>
        <v>10.705833333333333</v>
      </c>
      <c r="F18" s="18">
        <f>'10'!F36</f>
        <v>4.6508333333333338</v>
      </c>
      <c r="G18" s="18">
        <f>'10'!G36</f>
        <v>11.539583333333333</v>
      </c>
      <c r="H18" s="18">
        <f>'10'!H36</f>
        <v>4.7633333333333328</v>
      </c>
      <c r="I18" s="18">
        <f>'10'!I36</f>
        <v>4.8412499999999996</v>
      </c>
      <c r="J18" s="18">
        <f>'10'!J36</f>
        <v>0.94666666666666666</v>
      </c>
      <c r="K18" s="18">
        <f>'10'!K36</f>
        <v>286.1779166666667</v>
      </c>
      <c r="L18" s="18">
        <f>'10'!L36</f>
        <v>25.836249999999996</v>
      </c>
      <c r="M18" s="18">
        <f>'10'!M36</f>
        <v>95.944166666666675</v>
      </c>
      <c r="N18" s="18">
        <f>'10'!N36</f>
        <v>35.333333333333336</v>
      </c>
      <c r="O18" s="18">
        <f>'10'!O36</f>
        <v>1.2916666666666667</v>
      </c>
      <c r="P18" s="18">
        <f>'10'!P36</f>
        <v>0.41166666666666657</v>
      </c>
      <c r="Q18" s="18">
        <f>'10'!Q36</f>
        <v>4.6500000000000012</v>
      </c>
      <c r="R18" s="36"/>
      <c r="S18" s="36"/>
      <c r="T18" s="36"/>
      <c r="U18" s="36"/>
    </row>
    <row r="19" spans="1:24" s="2" customFormat="1">
      <c r="A19" s="16">
        <f>'11'!$B$2</f>
        <v>45546.041666666664</v>
      </c>
      <c r="B19" s="18">
        <f>'11'!B36</f>
        <v>9.1954166666666648</v>
      </c>
      <c r="C19" s="18">
        <f>'11'!C36</f>
        <v>4.2208333333333341</v>
      </c>
      <c r="D19" s="18">
        <f>'11'!D36</f>
        <v>14.001666666666665</v>
      </c>
      <c r="E19" s="18">
        <f>'11'!E36</f>
        <v>10.276666666666667</v>
      </c>
      <c r="F19" s="18">
        <f>'11'!F36</f>
        <v>6.3995833333333332</v>
      </c>
      <c r="G19" s="18">
        <f>'11'!G36</f>
        <v>22.529583333333335</v>
      </c>
      <c r="H19" s="18">
        <f>'11'!H36</f>
        <v>8.9320833333333329</v>
      </c>
      <c r="I19" s="18">
        <f>'11'!I36</f>
        <v>3.0945833333333339</v>
      </c>
      <c r="J19" s="18">
        <f>'11'!J36</f>
        <v>0.9654166666666667</v>
      </c>
      <c r="K19" s="18">
        <f>'11'!K36</f>
        <v>275.57874999999996</v>
      </c>
      <c r="L19" s="18">
        <f>'11'!L36</f>
        <v>27.322500000000005</v>
      </c>
      <c r="M19" s="18">
        <f>'11'!M36</f>
        <v>87.275833333333352</v>
      </c>
      <c r="N19" s="18">
        <f>'11'!N36</f>
        <v>105.73333333333331</v>
      </c>
      <c r="O19" s="18">
        <f>'11'!O36</f>
        <v>0</v>
      </c>
      <c r="P19" s="18">
        <f>'11'!P36</f>
        <v>0.29000000000000004</v>
      </c>
      <c r="Q19" s="18">
        <f>'11'!Q36</f>
        <v>4.6533333333333333</v>
      </c>
      <c r="R19" s="36"/>
      <c r="S19" s="36"/>
      <c r="T19" s="36"/>
      <c r="U19" s="36"/>
    </row>
    <row r="20" spans="1:24" s="2" customFormat="1">
      <c r="A20" s="16">
        <f>'12'!$B$2</f>
        <v>45547.041666666664</v>
      </c>
      <c r="B20" s="18">
        <f>'12'!B36</f>
        <v>9.3533333333333335</v>
      </c>
      <c r="C20" s="18">
        <f>'12'!C36</f>
        <v>4.0891666666666664</v>
      </c>
      <c r="D20" s="18">
        <f>'12'!D36</f>
        <v>14.076250000000003</v>
      </c>
      <c r="E20" s="18">
        <f>'12'!E36</f>
        <v>9.8483333333333327</v>
      </c>
      <c r="F20" s="18">
        <f>'12'!F36</f>
        <v>5.8433333333333328</v>
      </c>
      <c r="G20" s="18">
        <f>'12'!G36</f>
        <v>19.986521739130431</v>
      </c>
      <c r="H20" s="18">
        <f>'12'!H36</f>
        <v>3.2833333333333337</v>
      </c>
      <c r="I20" s="18">
        <f>'12'!I36</f>
        <v>3.6283333333333334</v>
      </c>
      <c r="J20" s="18">
        <f>'12'!J36</f>
        <v>0.8354166666666667</v>
      </c>
      <c r="K20" s="18">
        <f>'12'!K36</f>
        <v>275.12041666666664</v>
      </c>
      <c r="L20" s="18">
        <f>'12'!L36</f>
        <v>28.383749999999996</v>
      </c>
      <c r="M20" s="18">
        <f>'12'!M36</f>
        <v>81.392499999999998</v>
      </c>
      <c r="N20" s="18">
        <f>'12'!N36</f>
        <v>186.75833333333335</v>
      </c>
      <c r="O20" s="18">
        <f>'12'!O36</f>
        <v>0</v>
      </c>
      <c r="P20" s="18">
        <f>'12'!P36</f>
        <v>0.30333333333333329</v>
      </c>
      <c r="Q20" s="18">
        <f>'12'!Q36</f>
        <v>4.6570833333333335</v>
      </c>
      <c r="R20" s="36"/>
      <c r="S20" s="36"/>
      <c r="T20" s="36"/>
      <c r="U20" s="36"/>
    </row>
    <row r="21" spans="1:24" s="2" customFormat="1">
      <c r="A21" s="16">
        <f>'13'!$B$2</f>
        <v>45548.041666666664</v>
      </c>
      <c r="B21" s="18">
        <f>'13'!B36</f>
        <v>9.3854166666666661</v>
      </c>
      <c r="C21" s="18">
        <f>'13'!C36</f>
        <v>4.0912499999999987</v>
      </c>
      <c r="D21" s="18">
        <f>'13'!D36</f>
        <v>14.107499999999996</v>
      </c>
      <c r="E21" s="18">
        <f>'13'!E36</f>
        <v>10.293333333333331</v>
      </c>
      <c r="F21" s="18">
        <f>'13'!F36</f>
        <v>6.8304166666666672</v>
      </c>
      <c r="G21" s="18">
        <f>'13'!G36</f>
        <v>40.51</v>
      </c>
      <c r="H21" s="18">
        <f>'13'!H36</f>
        <v>11.552500000000004</v>
      </c>
      <c r="I21" s="18">
        <f>'13'!I36</f>
        <v>5.2345833333333331</v>
      </c>
      <c r="J21" s="18">
        <f>'13'!J36</f>
        <v>0.63375000000000015</v>
      </c>
      <c r="K21" s="18">
        <f>'13'!K36</f>
        <v>287.31124999999997</v>
      </c>
      <c r="L21" s="18">
        <f>'13'!L36</f>
        <v>27.762083333333333</v>
      </c>
      <c r="M21" s="18">
        <f>'13'!M36</f>
        <v>84.495833333333351</v>
      </c>
      <c r="N21" s="18">
        <f>'13'!N36</f>
        <v>88.383333333333383</v>
      </c>
      <c r="O21" s="18">
        <f>'13'!O36</f>
        <v>0</v>
      </c>
      <c r="P21" s="18">
        <f>'13'!P36</f>
        <v>0.42499999999999999</v>
      </c>
      <c r="Q21" s="18">
        <f>'13'!Q36</f>
        <v>4.6550000000000002</v>
      </c>
      <c r="R21" s="36"/>
      <c r="S21" s="36"/>
      <c r="T21" s="36"/>
      <c r="U21" s="36"/>
    </row>
    <row r="22" spans="1:24" s="2" customFormat="1">
      <c r="A22" s="16">
        <f>'14'!$B$2</f>
        <v>45549.041666666664</v>
      </c>
      <c r="B22" s="18">
        <f>'14'!B36</f>
        <v>9.2766666666666691</v>
      </c>
      <c r="C22" s="18">
        <f>'14'!C36</f>
        <v>4.1029166666666663</v>
      </c>
      <c r="D22" s="18">
        <f>'14'!D36</f>
        <v>14.020416666666664</v>
      </c>
      <c r="E22" s="18">
        <f>'14'!E36</f>
        <v>10.175000000000002</v>
      </c>
      <c r="F22" s="18">
        <f>'14'!F36</f>
        <v>5.4137499999999976</v>
      </c>
      <c r="G22" s="18">
        <f>'14'!G36</f>
        <v>59.141249999999992</v>
      </c>
      <c r="H22" s="18">
        <f>'14'!H36</f>
        <v>14.238750000000001</v>
      </c>
      <c r="I22" s="18">
        <f>'14'!I36</f>
        <v>5.5304166666666665</v>
      </c>
      <c r="J22" s="18">
        <f>'14'!J36</f>
        <v>0.63250000000000017</v>
      </c>
      <c r="K22" s="18">
        <f>'14'!K36</f>
        <v>288.06875000000002</v>
      </c>
      <c r="L22" s="18">
        <f>'14'!L36</f>
        <v>27.528333333333332</v>
      </c>
      <c r="M22" s="18">
        <f>'14'!M36</f>
        <v>81.404583333333335</v>
      </c>
      <c r="N22" s="18">
        <f>'14'!N36</f>
        <v>103.89999999999998</v>
      </c>
      <c r="O22" s="18">
        <f>'14'!O36</f>
        <v>0</v>
      </c>
      <c r="P22" s="18">
        <f>'14'!P36</f>
        <v>0.44666666666666655</v>
      </c>
      <c r="Q22" s="18">
        <f>'14'!Q36</f>
        <v>4.6533333333333333</v>
      </c>
      <c r="R22" s="38"/>
      <c r="S22" s="38"/>
      <c r="T22" s="38"/>
      <c r="U22" s="38"/>
    </row>
    <row r="23" spans="1:24" s="2" customFormat="1">
      <c r="A23" s="16">
        <f>'15'!$B$2</f>
        <v>45550.041666666664</v>
      </c>
      <c r="B23" s="19">
        <f>'15'!B36</f>
        <v>9.2470833333333307</v>
      </c>
      <c r="C23" s="19">
        <f>'15'!C36</f>
        <v>4.1629166666666659</v>
      </c>
      <c r="D23" s="19">
        <f>'15'!D36</f>
        <v>14.016666666666666</v>
      </c>
      <c r="E23" s="19">
        <f>'15'!E36</f>
        <v>9.7795833333333313</v>
      </c>
      <c r="F23" s="19">
        <f>'15'!F36</f>
        <v>6.4733333333333327</v>
      </c>
      <c r="G23" s="19">
        <f>'15'!G36</f>
        <v>54.867083333333333</v>
      </c>
      <c r="H23" s="19">
        <f>'15'!H36</f>
        <v>13.552916666666668</v>
      </c>
      <c r="I23" s="19">
        <f>'15'!I36</f>
        <v>5.0691666666666668</v>
      </c>
      <c r="J23" s="19">
        <f>'15'!J36</f>
        <v>0.74749999999999972</v>
      </c>
      <c r="K23" s="19">
        <f>'15'!K36</f>
        <v>303.11874999999998</v>
      </c>
      <c r="L23" s="19">
        <f>'15'!L36</f>
        <v>28.080833333333334</v>
      </c>
      <c r="M23" s="19">
        <f>'15'!M36</f>
        <v>73.08208333333333</v>
      </c>
      <c r="N23" s="19">
        <f>'15'!N36</f>
        <v>110.30833333333338</v>
      </c>
      <c r="O23" s="19">
        <f>'15'!O36</f>
        <v>0</v>
      </c>
      <c r="P23" s="19">
        <f>'15'!P36</f>
        <v>0.41458333333333325</v>
      </c>
      <c r="Q23" s="19">
        <f>'15'!Q36</f>
        <v>4.6550000000000002</v>
      </c>
      <c r="R23" s="38"/>
      <c r="S23" s="38"/>
      <c r="T23" s="38"/>
      <c r="U23" s="36"/>
    </row>
    <row r="24" spans="1:24" s="2" customFormat="1">
      <c r="A24" s="16">
        <f>'16'!$B$2</f>
        <v>45551.041666666664</v>
      </c>
      <c r="B24" s="18">
        <f>'16'!B36</f>
        <v>9.2620833333333348</v>
      </c>
      <c r="C24" s="18">
        <f>'16'!C36</f>
        <v>4.1124999999999998</v>
      </c>
      <c r="D24" s="18">
        <f>'16'!D36</f>
        <v>14.016249999999999</v>
      </c>
      <c r="E24" s="18">
        <f>'16'!E36</f>
        <v>9.8933333333333344</v>
      </c>
      <c r="F24" s="18">
        <f>'16'!F36</f>
        <v>6.065833333333333</v>
      </c>
      <c r="G24" s="18">
        <f>'16'!G36</f>
        <v>54.297916666666673</v>
      </c>
      <c r="H24" s="18">
        <f>'16'!H36</f>
        <v>13.977916666666665</v>
      </c>
      <c r="I24" s="18">
        <f>'16'!I36</f>
        <v>4.517500000000001</v>
      </c>
      <c r="J24" s="18">
        <f>'16'!J36</f>
        <v>0.87541666666666662</v>
      </c>
      <c r="K24" s="18">
        <f>'16'!K36</f>
        <v>307.58458333333334</v>
      </c>
      <c r="L24" s="18">
        <f>'16'!L36</f>
        <v>26.95</v>
      </c>
      <c r="M24" s="18">
        <f>'16'!M36</f>
        <v>78.52</v>
      </c>
      <c r="N24" s="18">
        <f>'16'!N36</f>
        <v>66.733333333333306</v>
      </c>
      <c r="O24" s="18">
        <f>'16'!O36</f>
        <v>8.3333333333333332E-3</v>
      </c>
      <c r="P24" s="18">
        <f>'16'!P36</f>
        <v>0.39000000000000007</v>
      </c>
      <c r="Q24" s="18">
        <f>'16'!Q36</f>
        <v>4.6587500000000004</v>
      </c>
      <c r="R24" s="38"/>
      <c r="S24" s="38"/>
      <c r="T24" s="38"/>
      <c r="U24" s="36"/>
    </row>
    <row r="25" spans="1:24" s="2" customFormat="1">
      <c r="A25" s="16">
        <f>'17'!$B$2</f>
        <v>45552.041666666664</v>
      </c>
      <c r="B25" s="18">
        <f>'17'!B36</f>
        <v>9.3445833333333326</v>
      </c>
      <c r="C25" s="18">
        <f>'17'!C36</f>
        <v>4.0933333333333328</v>
      </c>
      <c r="D25" s="18">
        <f>'17'!D36</f>
        <v>14.073749999999997</v>
      </c>
      <c r="E25" s="18">
        <f>'17'!E36</f>
        <v>9.4495833333333348</v>
      </c>
      <c r="F25" s="18">
        <f>'17'!F36</f>
        <v>6.7912499999999989</v>
      </c>
      <c r="G25" s="18">
        <f>'17'!G36</f>
        <v>29.807916666666674</v>
      </c>
      <c r="H25" s="18">
        <f>'17'!H36</f>
        <v>9.680416666666666</v>
      </c>
      <c r="I25" s="18">
        <f>'17'!I36</f>
        <v>4.0075000000000012</v>
      </c>
      <c r="J25" s="18">
        <f>'17'!J36</f>
        <v>0.87333333333333341</v>
      </c>
      <c r="K25" s="18">
        <f>'17'!K36</f>
        <v>280.45416666666665</v>
      </c>
      <c r="L25" s="18">
        <f>'17'!L36</f>
        <v>26.411666666666672</v>
      </c>
      <c r="M25" s="18">
        <f>'17'!M36</f>
        <v>84.935833333333335</v>
      </c>
      <c r="N25" s="18">
        <f>'17'!N36</f>
        <v>80.295833333333348</v>
      </c>
      <c r="O25" s="18">
        <f>'17'!O36</f>
        <v>6.6666666666666666E-2</v>
      </c>
      <c r="P25" s="18">
        <f>'17'!P36</f>
        <v>0.37666666666666671</v>
      </c>
      <c r="Q25" s="18">
        <f>'17'!Q36</f>
        <v>4.6591666666666667</v>
      </c>
      <c r="R25" s="38"/>
      <c r="S25" s="38"/>
      <c r="T25" s="38"/>
      <c r="U25" s="36"/>
    </row>
    <row r="26" spans="1:24" s="2" customFormat="1">
      <c r="A26" s="16">
        <f>'18'!$B$2</f>
        <v>45553.041666666664</v>
      </c>
      <c r="B26" s="18">
        <f>'18'!B36</f>
        <v>9.2375000000000007</v>
      </c>
      <c r="C26" s="18">
        <f>'18'!C36</f>
        <v>4.1566666666666663</v>
      </c>
      <c r="D26" s="18">
        <f>'18'!D36</f>
        <v>14.007499999999999</v>
      </c>
      <c r="E26" s="18">
        <f>'18'!E36</f>
        <v>9.4770833333333311</v>
      </c>
      <c r="F26" s="18">
        <f>'18'!F36</f>
        <v>5.5712500000000018</v>
      </c>
      <c r="G26" s="18">
        <f>'18'!G36</f>
        <v>37.12416666666666</v>
      </c>
      <c r="H26" s="18">
        <f>'18'!H36</f>
        <v>12.061249999999999</v>
      </c>
      <c r="I26" s="18">
        <f>'18'!I36</f>
        <v>4.6487499999999988</v>
      </c>
      <c r="J26" s="18">
        <f>'18'!J36</f>
        <v>0.33750000000000008</v>
      </c>
      <c r="K26" s="18">
        <f>'18'!K36</f>
        <v>252.3470833333333</v>
      </c>
      <c r="L26" s="18">
        <f>'18'!L36</f>
        <v>27.48875</v>
      </c>
      <c r="M26" s="18">
        <f>'18'!M36</f>
        <v>83.410833333333343</v>
      </c>
      <c r="N26" s="18">
        <f>'18'!N36</f>
        <v>166.48333333333329</v>
      </c>
      <c r="O26" s="18">
        <f>'18'!O36</f>
        <v>0</v>
      </c>
      <c r="P26" s="18">
        <f>'18'!P36</f>
        <v>0.41458333333333336</v>
      </c>
      <c r="Q26" s="18">
        <f>'18'!Q36</f>
        <v>4.660000000000001</v>
      </c>
      <c r="R26" s="38"/>
      <c r="S26" s="38"/>
      <c r="T26" s="38"/>
      <c r="U26" s="36"/>
    </row>
    <row r="27" spans="1:24" s="2" customFormat="1">
      <c r="A27" s="16">
        <f>'19'!$B$2</f>
        <v>45554.041666666664</v>
      </c>
      <c r="B27" s="18">
        <f>'19'!B36</f>
        <v>9.2587500000000009</v>
      </c>
      <c r="C27" s="18">
        <f>'19'!C36</f>
        <v>4.1370833333333339</v>
      </c>
      <c r="D27" s="18">
        <f>'19'!D36</f>
        <v>14.014166666666666</v>
      </c>
      <c r="E27" s="18">
        <f>'19'!E36</f>
        <v>13.353333333333332</v>
      </c>
      <c r="F27" s="18">
        <f>'19'!F36</f>
        <v>7.3945833333333324</v>
      </c>
      <c r="G27" s="18">
        <f>'19'!G36</f>
        <v>62.155000000000001</v>
      </c>
      <c r="H27" s="18">
        <f>'19'!H36</f>
        <v>20.507083333333338</v>
      </c>
      <c r="I27" s="18">
        <f>'19'!I36</f>
        <v>6.2591666666666681</v>
      </c>
      <c r="J27" s="18">
        <f>'19'!J36</f>
        <v>0.35291666666666671</v>
      </c>
      <c r="K27" s="18">
        <f>'19'!K36</f>
        <v>180.37041666666664</v>
      </c>
      <c r="L27" s="18">
        <f>'19'!L36</f>
        <v>28.413333333333327</v>
      </c>
      <c r="M27" s="18">
        <f>'19'!M36</f>
        <v>80.361666666666679</v>
      </c>
      <c r="N27" s="18">
        <f>'19'!N36</f>
        <v>122.27916666666665</v>
      </c>
      <c r="O27" s="18">
        <f>'19'!O36</f>
        <v>0</v>
      </c>
      <c r="P27" s="18">
        <f>'19'!P36</f>
        <v>0.54458333333333342</v>
      </c>
      <c r="Q27" s="18">
        <f>'19'!Q36</f>
        <v>4.6587500000000004</v>
      </c>
      <c r="R27" s="38"/>
      <c r="S27" s="38"/>
      <c r="T27" s="38"/>
      <c r="U27" s="36"/>
    </row>
    <row r="28" spans="1:24" s="2" customFormat="1">
      <c r="A28" s="16">
        <f>'20'!$B$2</f>
        <v>45555.041666666664</v>
      </c>
      <c r="B28" s="18">
        <f>'20'!B36</f>
        <v>9.2204166666666669</v>
      </c>
      <c r="C28" s="18">
        <f>'20'!C36</f>
        <v>4.1895833333333332</v>
      </c>
      <c r="D28" s="18">
        <f>'20'!D36</f>
        <v>14.010833333333332</v>
      </c>
      <c r="E28" s="18">
        <f>'20'!E36</f>
        <v>11.995416666666666</v>
      </c>
      <c r="F28" s="18">
        <f>'20'!F36</f>
        <v>8.666249999999998</v>
      </c>
      <c r="G28" s="18">
        <f>'20'!G36</f>
        <v>89.559999999999988</v>
      </c>
      <c r="H28" s="18">
        <f>'20'!H36</f>
        <v>29.669999999999998</v>
      </c>
      <c r="I28" s="18">
        <f>'20'!I36</f>
        <v>7.0195833333333324</v>
      </c>
      <c r="J28" s="18">
        <f>'20'!J36</f>
        <v>0.40916666666666673</v>
      </c>
      <c r="K28" s="18">
        <f>'20'!K36</f>
        <v>162.16249999999999</v>
      </c>
      <c r="L28" s="18">
        <f>'20'!L36</f>
        <v>29.414583333333326</v>
      </c>
      <c r="M28" s="18">
        <f>'20'!M36</f>
        <v>82.28416666666665</v>
      </c>
      <c r="N28" s="18">
        <f>'20'!N36</f>
        <v>161.07499999999996</v>
      </c>
      <c r="O28" s="18">
        <f>'20'!O36</f>
        <v>0</v>
      </c>
      <c r="P28" s="18">
        <f>'20'!P36</f>
        <v>0.63</v>
      </c>
      <c r="Q28" s="18">
        <f>'20'!Q36</f>
        <v>4.660000000000001</v>
      </c>
      <c r="R28" s="38"/>
      <c r="S28" s="38"/>
      <c r="T28" s="38"/>
      <c r="U28" s="36"/>
    </row>
    <row r="29" spans="1:24" s="2" customFormat="1">
      <c r="A29" s="16">
        <f>'21'!$B$2</f>
        <v>45556.041666666664</v>
      </c>
      <c r="B29" s="18">
        <f>'21'!B36</f>
        <v>9.269166666666667</v>
      </c>
      <c r="C29" s="18">
        <f>'21'!C36</f>
        <v>4.1358333333333324</v>
      </c>
      <c r="D29" s="18">
        <f>'21'!D36</f>
        <v>14.021249999999997</v>
      </c>
      <c r="E29" s="18">
        <f>'21'!E36</f>
        <v>15.727500000000001</v>
      </c>
      <c r="F29" s="18">
        <f>'21'!F36</f>
        <v>14.210833333333333</v>
      </c>
      <c r="G29" s="18">
        <f>'21'!G36</f>
        <v>102.2279166666667</v>
      </c>
      <c r="H29" s="18">
        <f>'21'!H36</f>
        <v>34.857083333333343</v>
      </c>
      <c r="I29" s="18">
        <f>'21'!I36</f>
        <v>6.7674999999999992</v>
      </c>
      <c r="J29" s="18">
        <f>'21'!J36</f>
        <v>0.48958333333333343</v>
      </c>
      <c r="K29" s="18">
        <f>'21'!K36</f>
        <v>155.69791666666666</v>
      </c>
      <c r="L29" s="18">
        <f>'21'!L36</f>
        <v>30.008750000000003</v>
      </c>
      <c r="M29" s="18">
        <f>'21'!M36</f>
        <v>82.560833333333321</v>
      </c>
      <c r="N29" s="18">
        <f>'21'!N36</f>
        <v>121.69166666666665</v>
      </c>
      <c r="O29" s="18">
        <f>'21'!O36</f>
        <v>0</v>
      </c>
      <c r="P29" s="18">
        <f>'21'!P36</f>
        <v>0.61</v>
      </c>
      <c r="Q29" s="18">
        <f>'21'!Q36</f>
        <v>4.6629166666666677</v>
      </c>
      <c r="R29" s="38"/>
      <c r="S29" s="38"/>
      <c r="T29" s="38"/>
      <c r="U29" s="36"/>
    </row>
    <row r="30" spans="1:24" s="2" customFormat="1">
      <c r="A30" s="16">
        <f>'22'!$B$2</f>
        <v>45557.041666666664</v>
      </c>
      <c r="B30" s="18">
        <f>'22'!B36</f>
        <v>9.2537499999999984</v>
      </c>
      <c r="C30" s="18">
        <f>'22'!C36</f>
        <v>4.1437499999999998</v>
      </c>
      <c r="D30" s="18">
        <f>'22'!D36</f>
        <v>14.015833333333331</v>
      </c>
      <c r="E30" s="18">
        <f>'22'!E36</f>
        <v>15.284583333333336</v>
      </c>
      <c r="F30" s="18">
        <f>'22'!F36</f>
        <v>7.4087499999999986</v>
      </c>
      <c r="G30" s="18">
        <f>'22'!G36</f>
        <v>78.777083333333323</v>
      </c>
      <c r="H30" s="18">
        <f>'22'!H36</f>
        <v>34.01</v>
      </c>
      <c r="I30" s="18">
        <f>'22'!I36</f>
        <v>6.1429166666666672</v>
      </c>
      <c r="J30" s="18">
        <f>'22'!J36</f>
        <v>0.55499999999999994</v>
      </c>
      <c r="K30" s="18">
        <f>'22'!K36</f>
        <v>176.02875000000006</v>
      </c>
      <c r="L30" s="18">
        <f>'22'!L36</f>
        <v>28.02791666666667</v>
      </c>
      <c r="M30" s="18">
        <f>'22'!M36</f>
        <v>85.846250000000012</v>
      </c>
      <c r="N30" s="18">
        <f>'22'!N36</f>
        <v>107.57916666666667</v>
      </c>
      <c r="O30" s="18">
        <f>'22'!O36</f>
        <v>0.28333333333333333</v>
      </c>
      <c r="P30" s="18">
        <f>'22'!P36</f>
        <v>0.54833333333333323</v>
      </c>
      <c r="Q30" s="18">
        <f>'22'!Q36</f>
        <v>4.6570833333333335</v>
      </c>
      <c r="R30" s="38"/>
      <c r="S30" s="36"/>
      <c r="T30" s="36"/>
      <c r="U30" s="36"/>
    </row>
    <row r="31" spans="1:24" s="2" customFormat="1">
      <c r="A31" s="16">
        <f>'23'!$B$2</f>
        <v>45558.041666666664</v>
      </c>
      <c r="B31" s="18">
        <f>'23'!B36</f>
        <v>9.2454166666666673</v>
      </c>
      <c r="C31" s="18">
        <f>'23'!C36</f>
        <v>4.163333333333334</v>
      </c>
      <c r="D31" s="18">
        <f>'23'!D36</f>
        <v>14.015833333333331</v>
      </c>
      <c r="E31" s="18">
        <f>'23'!E36</f>
        <v>13.375416666666668</v>
      </c>
      <c r="F31" s="18">
        <f>'23'!F36</f>
        <v>10.021666666666667</v>
      </c>
      <c r="G31" s="18">
        <f>'23'!G36</f>
        <v>77.717083333333349</v>
      </c>
      <c r="H31" s="18">
        <f>'23'!H36</f>
        <v>29.104166666666661</v>
      </c>
      <c r="I31" s="18">
        <f>'23'!I36</f>
        <v>5.7108333333333343</v>
      </c>
      <c r="J31" s="18">
        <f>'23'!J36</f>
        <v>0.43499999999999989</v>
      </c>
      <c r="K31" s="18">
        <f>'23'!K36</f>
        <v>140.91833333333332</v>
      </c>
      <c r="L31" s="18">
        <f>'23'!L36</f>
        <v>29.468749999999996</v>
      </c>
      <c r="M31" s="18">
        <f>'23'!M36</f>
        <v>82.306249999999991</v>
      </c>
      <c r="N31" s="18">
        <f>'23'!N36</f>
        <v>166.2416666666667</v>
      </c>
      <c r="O31" s="18">
        <f>'23'!O36</f>
        <v>0</v>
      </c>
      <c r="P31" s="18">
        <f>'23'!P36</f>
        <v>0.52333333333333343</v>
      </c>
      <c r="Q31" s="18">
        <f>'23'!Q36</f>
        <v>4.6587500000000013</v>
      </c>
      <c r="R31" s="36"/>
      <c r="S31" s="36"/>
      <c r="T31" s="36"/>
      <c r="U31" s="36"/>
    </row>
    <row r="32" spans="1:24" s="2" customFormat="1">
      <c r="A32" s="16">
        <f>'24'!$B$2</f>
        <v>45559.041666666664</v>
      </c>
      <c r="B32" s="18">
        <f>'24'!B36</f>
        <v>9.2983333333333356</v>
      </c>
      <c r="C32" s="18">
        <f>'24'!C36</f>
        <v>4.0974999999999993</v>
      </c>
      <c r="D32" s="18">
        <f>'24'!D36</f>
        <v>14.03875</v>
      </c>
      <c r="E32" s="18">
        <f>'24'!E36</f>
        <v>11.991250000000001</v>
      </c>
      <c r="F32" s="18">
        <f>'24'!F36</f>
        <v>6.2791666666666677</v>
      </c>
      <c r="G32" s="18">
        <f>'24'!G36</f>
        <v>71.479166666666671</v>
      </c>
      <c r="H32" s="18">
        <f>'24'!H36</f>
        <v>23.997083333333332</v>
      </c>
      <c r="I32" s="18">
        <f>'24'!I36</f>
        <v>6.126666666666666</v>
      </c>
      <c r="J32" s="18">
        <f>'24'!J36</f>
        <v>0.32916666666666666</v>
      </c>
      <c r="K32" s="18">
        <f>'24'!K36</f>
        <v>180.84125000000003</v>
      </c>
      <c r="L32" s="18">
        <f>'24'!L36</f>
        <v>27.184166666666666</v>
      </c>
      <c r="M32" s="18">
        <f>'24'!M36</f>
        <v>90.391666666666666</v>
      </c>
      <c r="N32" s="18">
        <f>'24'!N36</f>
        <v>99.758333333333326</v>
      </c>
      <c r="O32" s="18">
        <f>'24'!O36</f>
        <v>0.31666666666666665</v>
      </c>
      <c r="P32" s="18">
        <f>'24'!P36</f>
        <v>0.59333333333333327</v>
      </c>
      <c r="Q32" s="18">
        <f>'24'!Q36</f>
        <v>4.6608333333333336</v>
      </c>
      <c r="R32" s="36"/>
      <c r="S32" s="36"/>
      <c r="T32" s="36"/>
      <c r="U32" s="36"/>
    </row>
    <row r="33" spans="1:21" s="2" customFormat="1">
      <c r="A33" s="16">
        <f>'25'!$B$2</f>
        <v>45560.041666666664</v>
      </c>
      <c r="B33" s="18">
        <f>'25'!B36</f>
        <v>9.2000000000000011</v>
      </c>
      <c r="C33" s="18">
        <f>'25'!C36</f>
        <v>4.2158333333333333</v>
      </c>
      <c r="D33" s="18">
        <f>'25'!D36</f>
        <v>14.001249999999999</v>
      </c>
      <c r="E33" s="18">
        <f>'25'!E36</f>
        <v>13.114166666666669</v>
      </c>
      <c r="F33" s="18">
        <f>'25'!F36</f>
        <v>5.9091666666666667</v>
      </c>
      <c r="G33" s="18">
        <f>'25'!G36</f>
        <v>59.232083333333343</v>
      </c>
      <c r="H33" s="18">
        <f>'25'!H36</f>
        <v>19.46166666666667</v>
      </c>
      <c r="I33" s="18">
        <f>'25'!I36</f>
        <v>5.5100000000000007</v>
      </c>
      <c r="J33" s="18">
        <f>'25'!J36</f>
        <v>0.37875000000000009</v>
      </c>
      <c r="K33" s="18">
        <f>'25'!K36</f>
        <v>154.32708333333332</v>
      </c>
      <c r="L33" s="18">
        <f>'25'!L36</f>
        <v>27.473749999999995</v>
      </c>
      <c r="M33" s="18">
        <f>'25'!M36</f>
        <v>90.934166666666655</v>
      </c>
      <c r="N33" s="18">
        <f>'25'!N36</f>
        <v>66.387500000000003</v>
      </c>
      <c r="O33" s="18">
        <f>'25'!O36</f>
        <v>4.1666666666666664E-2</v>
      </c>
      <c r="P33" s="18">
        <f>'25'!P36</f>
        <v>0.46541666666666665</v>
      </c>
      <c r="Q33" s="18">
        <f>'25'!Q36</f>
        <v>4.659583333333333</v>
      </c>
      <c r="R33" s="36"/>
      <c r="S33" s="36"/>
      <c r="T33" s="36"/>
      <c r="U33" s="36"/>
    </row>
    <row r="34" spans="1:21" s="2" customFormat="1">
      <c r="A34" s="16">
        <f>'26'!$B$2</f>
        <v>45561.041666666664</v>
      </c>
      <c r="B34" s="18">
        <f>'26'!B36</f>
        <v>9.34375</v>
      </c>
      <c r="C34" s="18">
        <f>'26'!C36</f>
        <v>4.0879166666666675</v>
      </c>
      <c r="D34" s="18">
        <f>'26'!D36</f>
        <v>14.069583333333332</v>
      </c>
      <c r="E34" s="18">
        <f>'26'!E36</f>
        <v>9.4695833333333326</v>
      </c>
      <c r="F34" s="18">
        <f>'26'!F36</f>
        <v>5.1920833333333336</v>
      </c>
      <c r="G34" s="18">
        <f>'26'!G36</f>
        <v>21.219090909090905</v>
      </c>
      <c r="H34" s="18">
        <f>'26'!H36</f>
        <v>8.2123809523809559</v>
      </c>
      <c r="I34" s="18">
        <f>'26'!I36</f>
        <v>4.9462499999999991</v>
      </c>
      <c r="J34" s="18">
        <f>'26'!J36</f>
        <v>0.23250000000000007</v>
      </c>
      <c r="K34" s="18">
        <f>'26'!K36</f>
        <v>240.29916666666671</v>
      </c>
      <c r="L34" s="18">
        <f>'26'!L36</f>
        <v>26.501249999999999</v>
      </c>
      <c r="M34" s="18">
        <f>'26'!M36</f>
        <v>96.466250000000016</v>
      </c>
      <c r="N34" s="18">
        <f>'26'!N36</f>
        <v>45.658333333333353</v>
      </c>
      <c r="O34" s="18">
        <f>'26'!O36</f>
        <v>0.17500000000000004</v>
      </c>
      <c r="P34" s="18">
        <f>'26'!P36</f>
        <v>0.43291666666666656</v>
      </c>
      <c r="Q34" s="18">
        <f>'26'!Q36</f>
        <v>4.6550000000000011</v>
      </c>
      <c r="R34" s="36"/>
      <c r="S34" s="36"/>
      <c r="T34" s="36"/>
      <c r="U34" s="36"/>
    </row>
    <row r="35" spans="1:21" s="2" customFormat="1">
      <c r="A35" s="16">
        <f>'27'!$B$2</f>
        <v>45562.041666666664</v>
      </c>
      <c r="B35" s="18">
        <f>'27'!B36</f>
        <v>9.3083333333333336</v>
      </c>
      <c r="C35" s="18">
        <f>'27'!C36</f>
        <v>4.0962500000000004</v>
      </c>
      <c r="D35" s="18">
        <f>'27'!D36</f>
        <v>14.043333333333335</v>
      </c>
      <c r="E35" s="18">
        <f>'27'!E36</f>
        <v>11.266666666666666</v>
      </c>
      <c r="F35" s="18">
        <f>'27'!F36</f>
        <v>6.28125</v>
      </c>
      <c r="G35" s="18">
        <f>'27'!G36</f>
        <v>12.362499999999999</v>
      </c>
      <c r="H35" s="18">
        <f>'27'!H36</f>
        <v>2.8983333333333334</v>
      </c>
      <c r="I35" s="18">
        <f>'27'!I36</f>
        <v>3.6445833333333328</v>
      </c>
      <c r="J35" s="18">
        <f>'27'!J36</f>
        <v>0.25625000000000009</v>
      </c>
      <c r="K35" s="18">
        <f>'27'!K36</f>
        <v>242.47499999999999</v>
      </c>
      <c r="L35" s="18">
        <f>'27'!L36</f>
        <v>27.817499999999999</v>
      </c>
      <c r="M35" s="18">
        <f>'27'!M36</f>
        <v>92.835833333333326</v>
      </c>
      <c r="N35" s="18">
        <f>'27'!N36</f>
        <v>139.27916666666667</v>
      </c>
      <c r="O35" s="18">
        <f>'27'!O36</f>
        <v>3.3333333333333333E-2</v>
      </c>
      <c r="P35" s="18">
        <f>'27'!P36</f>
        <v>0.32958333333333334</v>
      </c>
      <c r="Q35" s="18">
        <f>'27'!Q36</f>
        <v>4.6612499999999999</v>
      </c>
      <c r="R35" s="36"/>
      <c r="S35" s="36"/>
      <c r="T35" s="36"/>
      <c r="U35" s="36"/>
    </row>
    <row r="36" spans="1:21" s="2" customFormat="1">
      <c r="A36" s="16">
        <f>'28'!$B$2</f>
        <v>45563.041666666664</v>
      </c>
      <c r="B36" s="18">
        <f>'28'!B36</f>
        <v>9.2966666666666651</v>
      </c>
      <c r="C36" s="18">
        <f>'28'!C36</f>
        <v>4.1070833333333328</v>
      </c>
      <c r="D36" s="18">
        <f>'28'!D36</f>
        <v>14.0375</v>
      </c>
      <c r="E36" s="18">
        <f>'28'!E36</f>
        <v>10.082916666666666</v>
      </c>
      <c r="F36" s="18">
        <f>'28'!F36</f>
        <v>6.6800000000000006</v>
      </c>
      <c r="G36" s="18">
        <f>'28'!G36</f>
        <v>21.527083333333334</v>
      </c>
      <c r="H36" s="18">
        <f>'28'!H36</f>
        <v>7.3291666666666666</v>
      </c>
      <c r="I36" s="18">
        <f>'28'!I36</f>
        <v>3.7720833333333328</v>
      </c>
      <c r="J36" s="18">
        <f>'28'!J36</f>
        <v>0.36708333333333337</v>
      </c>
      <c r="K36" s="18">
        <f>'28'!K36</f>
        <v>247.85874999999999</v>
      </c>
      <c r="L36" s="18">
        <f>'28'!L36</f>
        <v>28.348333333333333</v>
      </c>
      <c r="M36" s="18">
        <f>'28'!M36</f>
        <v>87.951666666666668</v>
      </c>
      <c r="N36" s="18">
        <f>'28'!N36</f>
        <v>147.77499999999995</v>
      </c>
      <c r="O36" s="18">
        <f>'28'!O36</f>
        <v>0</v>
      </c>
      <c r="P36" s="18">
        <f>'28'!P36</f>
        <v>0.33416666666666667</v>
      </c>
      <c r="Q36" s="18">
        <f>'28'!Q36</f>
        <v>4.6591666666666667</v>
      </c>
      <c r="R36" s="36"/>
      <c r="S36" s="36"/>
      <c r="T36" s="36"/>
      <c r="U36" s="36"/>
    </row>
    <row r="37" spans="1:21" s="2" customFormat="1">
      <c r="A37" s="16">
        <f>'29'!$B$2</f>
        <v>45564.041666666664</v>
      </c>
      <c r="B37" s="18">
        <f>'29'!B36</f>
        <v>9.1883333333333326</v>
      </c>
      <c r="C37" s="18">
        <f>'29'!C36</f>
        <v>4.2341666666666669</v>
      </c>
      <c r="D37" s="18">
        <f>'29'!D36</f>
        <v>14.002916666666666</v>
      </c>
      <c r="E37" s="18">
        <f>'29'!E36</f>
        <v>10.139583333333333</v>
      </c>
      <c r="F37" s="18">
        <f>'29'!F36</f>
        <v>7.5375000000000014</v>
      </c>
      <c r="G37" s="18">
        <f>'29'!G36</f>
        <v>29.584166666666665</v>
      </c>
      <c r="H37" s="18">
        <f>'29'!H36</f>
        <v>10.645833333333334</v>
      </c>
      <c r="I37" s="18">
        <f>'29'!I36</f>
        <v>4.80375</v>
      </c>
      <c r="J37" s="18">
        <f>'29'!J36</f>
        <v>0.31541666666666668</v>
      </c>
      <c r="K37" s="18">
        <f>'29'!K36</f>
        <v>234.21833333333333</v>
      </c>
      <c r="L37" s="18">
        <f>'29'!L36</f>
        <v>29.229166666666661</v>
      </c>
      <c r="M37" s="18">
        <f>'29'!M36</f>
        <v>84.973333333333329</v>
      </c>
      <c r="N37" s="18">
        <f>'29'!N36</f>
        <v>164.37083333333331</v>
      </c>
      <c r="O37" s="18">
        <f>'29'!O36</f>
        <v>0</v>
      </c>
      <c r="P37" s="18">
        <f>'29'!P36</f>
        <v>0.38750000000000001</v>
      </c>
      <c r="Q37" s="18">
        <f>'29'!Q36</f>
        <v>4.6637500000000012</v>
      </c>
      <c r="R37" s="36"/>
      <c r="S37" s="36"/>
      <c r="T37" s="36"/>
      <c r="U37" s="36"/>
    </row>
    <row r="38" spans="1:21" s="2" customFormat="1">
      <c r="A38" s="16">
        <f>'30'!$B$2</f>
        <v>45565.041666666664</v>
      </c>
      <c r="B38" s="18">
        <f>'30'!B36</f>
        <v>9.1270833333333314</v>
      </c>
      <c r="C38" s="18">
        <f>'30'!C36</f>
        <v>4.3500000000000005</v>
      </c>
      <c r="D38" s="18">
        <f>'30'!D36</f>
        <v>14</v>
      </c>
      <c r="E38" s="18">
        <f>'30'!E36</f>
        <v>10.807083333333333</v>
      </c>
      <c r="F38" s="18">
        <f>'30'!F36</f>
        <v>7.9712500000000013</v>
      </c>
      <c r="G38" s="18">
        <f>'30'!G36</f>
        <v>41.914999999999992</v>
      </c>
      <c r="H38" s="18">
        <f>'30'!H36</f>
        <v>15.268750000000002</v>
      </c>
      <c r="I38" s="18">
        <f>'30'!I36</f>
        <v>5.84</v>
      </c>
      <c r="J38" s="18">
        <f>'30'!J36</f>
        <v>0.36458333333333331</v>
      </c>
      <c r="K38" s="18">
        <f>'30'!K36</f>
        <v>247.83500000000001</v>
      </c>
      <c r="L38" s="18">
        <f>'30'!L36</f>
        <v>28.840833333333336</v>
      </c>
      <c r="M38" s="18">
        <f>'30'!M36</f>
        <v>91.790416666666658</v>
      </c>
      <c r="N38" s="18">
        <f>'30'!N36</f>
        <v>111.15833333333335</v>
      </c>
      <c r="O38" s="18">
        <f>'30'!O36</f>
        <v>0.14166666666666666</v>
      </c>
      <c r="P38" s="18">
        <f>'30'!P36</f>
        <v>0.4754166666666666</v>
      </c>
      <c r="Q38" s="18">
        <f>'30'!Q36</f>
        <v>4.6629166666666677</v>
      </c>
      <c r="R38" s="36"/>
      <c r="S38" s="36"/>
      <c r="T38" s="36"/>
      <c r="U38" s="36"/>
    </row>
    <row r="39" spans="1:21" s="1" customFormat="1">
      <c r="A39"/>
      <c r="R39" s="40"/>
      <c r="S39" s="40"/>
      <c r="T39" s="40"/>
      <c r="U39" s="40"/>
    </row>
    <row r="40" spans="1:21" s="1" customFormat="1">
      <c r="A40" s="3" t="s">
        <v>48</v>
      </c>
      <c r="B40" s="20">
        <f t="shared" ref="B40:Q40" si="0">MIN(B9:B38)</f>
        <v>8.7062500000000007</v>
      </c>
      <c r="C40" s="20">
        <f t="shared" si="0"/>
        <v>4.08</v>
      </c>
      <c r="D40" s="20">
        <f t="shared" si="0"/>
        <v>14</v>
      </c>
      <c r="E40" s="20">
        <f t="shared" si="0"/>
        <v>9.1237499999999994</v>
      </c>
      <c r="F40" s="20">
        <f t="shared" si="0"/>
        <v>4.55375</v>
      </c>
      <c r="G40" s="20">
        <f t="shared" si="0"/>
        <v>11.539583333333333</v>
      </c>
      <c r="H40" s="20">
        <f t="shared" si="0"/>
        <v>2.8983333333333334</v>
      </c>
      <c r="I40" s="20">
        <f t="shared" si="0"/>
        <v>3.0945833333333339</v>
      </c>
      <c r="J40" s="20">
        <f t="shared" si="0"/>
        <v>0.23250000000000007</v>
      </c>
      <c r="K40" s="20">
        <f t="shared" si="0"/>
        <v>79.463333333333352</v>
      </c>
      <c r="L40" s="20">
        <f t="shared" si="0"/>
        <v>25.836249999999996</v>
      </c>
      <c r="M40" s="20">
        <f t="shared" si="0"/>
        <v>73.08208333333333</v>
      </c>
      <c r="N40" s="20">
        <f t="shared" si="0"/>
        <v>35.333333333333336</v>
      </c>
      <c r="O40" s="20">
        <f t="shared" si="0"/>
        <v>0</v>
      </c>
      <c r="P40" s="20">
        <f t="shared" si="0"/>
        <v>0.29000000000000004</v>
      </c>
      <c r="Q40" s="20">
        <f t="shared" si="0"/>
        <v>4.6229166666666668</v>
      </c>
      <c r="R40" s="40"/>
      <c r="S40" s="40"/>
      <c r="T40" s="40"/>
      <c r="U40" s="40"/>
    </row>
    <row r="41" spans="1:21" s="1" customFormat="1">
      <c r="A41" s="3" t="s">
        <v>49</v>
      </c>
      <c r="B41" s="20">
        <f t="shared" ref="B41:Q41" si="1">MAX(B9:B38)</f>
        <v>9.5120833333333312</v>
      </c>
      <c r="C41" s="20">
        <f t="shared" si="1"/>
        <v>5.0483333333333329</v>
      </c>
      <c r="D41" s="20">
        <f t="shared" si="1"/>
        <v>14.215833333333331</v>
      </c>
      <c r="E41" s="20">
        <f t="shared" si="1"/>
        <v>15.727500000000001</v>
      </c>
      <c r="F41" s="20">
        <f t="shared" si="1"/>
        <v>14.210833333333333</v>
      </c>
      <c r="G41" s="20">
        <f t="shared" si="1"/>
        <v>102.2279166666667</v>
      </c>
      <c r="H41" s="20">
        <f t="shared" si="1"/>
        <v>34.857083333333343</v>
      </c>
      <c r="I41" s="20">
        <f t="shared" si="1"/>
        <v>7.0195833333333324</v>
      </c>
      <c r="J41" s="20">
        <f t="shared" si="1"/>
        <v>0.9654166666666667</v>
      </c>
      <c r="K41" s="20">
        <f t="shared" si="1"/>
        <v>307.58458333333334</v>
      </c>
      <c r="L41" s="20">
        <f t="shared" si="1"/>
        <v>30.008750000000003</v>
      </c>
      <c r="M41" s="20">
        <f t="shared" si="1"/>
        <v>96.466250000000016</v>
      </c>
      <c r="N41" s="20">
        <f t="shared" si="1"/>
        <v>186.75833333333335</v>
      </c>
      <c r="O41" s="20">
        <f t="shared" si="1"/>
        <v>1.5666666666666667</v>
      </c>
      <c r="P41" s="20">
        <f t="shared" si="1"/>
        <v>0.63</v>
      </c>
      <c r="Q41" s="20">
        <f t="shared" si="1"/>
        <v>5.0483333333333338</v>
      </c>
      <c r="R41" s="40"/>
      <c r="S41" s="40"/>
      <c r="T41" s="40"/>
      <c r="U41" s="40"/>
    </row>
    <row r="42" spans="1:21" s="1" customFormat="1">
      <c r="A42" s="3" t="s">
        <v>50</v>
      </c>
      <c r="B42" s="20">
        <f t="shared" ref="B42:Q42" si="2">AVERAGE(B9:B38)</f>
        <v>9.2575694444444441</v>
      </c>
      <c r="C42" s="20">
        <f t="shared" si="2"/>
        <v>4.1736249999999995</v>
      </c>
      <c r="D42" s="20">
        <f t="shared" si="2"/>
        <v>14.037305555555557</v>
      </c>
      <c r="E42" s="20">
        <f t="shared" si="2"/>
        <v>11.189637426900584</v>
      </c>
      <c r="F42" s="20">
        <f t="shared" si="2"/>
        <v>6.9894027777777783</v>
      </c>
      <c r="G42" s="20">
        <f t="shared" si="2"/>
        <v>47.203256532718491</v>
      </c>
      <c r="H42" s="20">
        <f t="shared" si="2"/>
        <v>15.400343253968252</v>
      </c>
      <c r="I42" s="20">
        <f t="shared" si="2"/>
        <v>4.9890138888888904</v>
      </c>
      <c r="J42" s="20">
        <f t="shared" si="2"/>
        <v>0.51966666666666672</v>
      </c>
      <c r="K42" s="20">
        <f t="shared" si="2"/>
        <v>219.54506944444449</v>
      </c>
      <c r="L42" s="20">
        <f t="shared" si="2"/>
        <v>28.089624999999998</v>
      </c>
      <c r="M42" s="20">
        <f t="shared" si="2"/>
        <v>86.132847222222225</v>
      </c>
      <c r="N42" s="20">
        <f t="shared" si="2"/>
        <v>119.49333333333333</v>
      </c>
      <c r="O42" s="20">
        <f t="shared" si="2"/>
        <v>0.19472222222222221</v>
      </c>
      <c r="P42" s="20">
        <f t="shared" si="2"/>
        <v>0.44234722222222217</v>
      </c>
      <c r="Q42" s="20">
        <f t="shared" si="2"/>
        <v>4.7124082125603852</v>
      </c>
      <c r="R42" s="40"/>
      <c r="S42" s="40"/>
      <c r="T42" s="40"/>
      <c r="U42" s="40"/>
    </row>
    <row r="43" spans="1:21" s="1" customFormat="1">
      <c r="A43" s="3" t="s">
        <v>51</v>
      </c>
      <c r="B43" s="20">
        <f t="shared" ref="B43:Q43" si="3">STDEV(B9:B38)</f>
        <v>0.1309238596750647</v>
      </c>
      <c r="C43" s="20">
        <f t="shared" si="3"/>
        <v>0.1804409094832401</v>
      </c>
      <c r="D43" s="20">
        <f t="shared" si="3"/>
        <v>4.3416798118655626E-2</v>
      </c>
      <c r="E43" s="20">
        <f t="shared" si="3"/>
        <v>1.7561619399173247</v>
      </c>
      <c r="F43" s="20">
        <f t="shared" si="3"/>
        <v>2.0873764092722431</v>
      </c>
      <c r="G43" s="20">
        <f t="shared" si="3"/>
        <v>24.385400918188065</v>
      </c>
      <c r="H43" s="20">
        <f t="shared" si="3"/>
        <v>9.3772504405790063</v>
      </c>
      <c r="I43" s="20">
        <f t="shared" si="3"/>
        <v>1.0580695802403226</v>
      </c>
      <c r="J43" s="20">
        <f t="shared" si="3"/>
        <v>0.22326819688317376</v>
      </c>
      <c r="K43" s="20">
        <f t="shared" si="3"/>
        <v>60.707230229258961</v>
      </c>
      <c r="L43" s="20">
        <f t="shared" si="3"/>
        <v>0.96229832159585504</v>
      </c>
      <c r="M43" s="20">
        <f t="shared" si="3"/>
        <v>5.4546979833531921</v>
      </c>
      <c r="N43" s="20">
        <f t="shared" si="3"/>
        <v>36.636834791690788</v>
      </c>
      <c r="O43" s="20">
        <f t="shared" si="3"/>
        <v>0.40833323559307605</v>
      </c>
      <c r="P43" s="20">
        <f t="shared" si="3"/>
        <v>9.3307254883299523E-2</v>
      </c>
      <c r="Q43" s="20">
        <f t="shared" si="3"/>
        <v>0.13700357609799962</v>
      </c>
      <c r="R43" s="33"/>
      <c r="S43" s="33"/>
      <c r="T43" s="33"/>
      <c r="U43" s="33"/>
    </row>
    <row r="44" spans="1:21" s="1" customFormat="1">
      <c r="A44" s="3" t="s">
        <v>52</v>
      </c>
      <c r="B44" s="6">
        <f t="shared" ref="B44:Q44" si="4">COUNT(B9:B38)</f>
        <v>30</v>
      </c>
      <c r="C44" s="6">
        <f t="shared" si="4"/>
        <v>30</v>
      </c>
      <c r="D44" s="6">
        <f t="shared" si="4"/>
        <v>30</v>
      </c>
      <c r="E44" s="6">
        <f t="shared" si="4"/>
        <v>30</v>
      </c>
      <c r="F44" s="6">
        <f t="shared" si="4"/>
        <v>30</v>
      </c>
      <c r="G44" s="6">
        <f t="shared" si="4"/>
        <v>30</v>
      </c>
      <c r="H44" s="6">
        <f t="shared" si="4"/>
        <v>30</v>
      </c>
      <c r="I44" s="6">
        <f t="shared" si="4"/>
        <v>30</v>
      </c>
      <c r="J44" s="6">
        <f t="shared" si="4"/>
        <v>30</v>
      </c>
      <c r="K44" s="6">
        <f t="shared" si="4"/>
        <v>30</v>
      </c>
      <c r="L44" s="6">
        <f t="shared" si="4"/>
        <v>30</v>
      </c>
      <c r="M44" s="6">
        <f t="shared" si="4"/>
        <v>30</v>
      </c>
      <c r="N44" s="6">
        <f t="shared" si="4"/>
        <v>30</v>
      </c>
      <c r="O44" s="6">
        <f t="shared" si="4"/>
        <v>30</v>
      </c>
      <c r="P44" s="6">
        <f t="shared" si="4"/>
        <v>30</v>
      </c>
      <c r="Q44" s="6">
        <f t="shared" si="4"/>
        <v>30</v>
      </c>
      <c r="R44" s="33"/>
      <c r="S44" s="33"/>
      <c r="T44" s="33"/>
      <c r="U44" s="33"/>
    </row>
    <row r="45" spans="1:21" s="1" customFormat="1">
      <c r="A45" s="3" t="s">
        <v>53</v>
      </c>
      <c r="B45" s="6" t="str">
        <f>IF(B44&gt;=28,"&gt;90%",IF(B44&lt;=28,"&lt;90%"))</f>
        <v>&gt;90%</v>
      </c>
      <c r="C45" s="6" t="str">
        <f t="shared" ref="C45:Q45" si="5">IF(C44&gt;=28,"&gt;90%",IF(C44&lt;=28,"&lt;90%"))</f>
        <v>&gt;90%</v>
      </c>
      <c r="D45" s="6" t="str">
        <f t="shared" si="5"/>
        <v>&gt;90%</v>
      </c>
      <c r="E45" s="6" t="str">
        <f t="shared" si="5"/>
        <v>&gt;90%</v>
      </c>
      <c r="F45" s="6" t="str">
        <f t="shared" si="5"/>
        <v>&gt;90%</v>
      </c>
      <c r="G45" s="6" t="str">
        <f t="shared" si="5"/>
        <v>&gt;90%</v>
      </c>
      <c r="H45" s="6" t="str">
        <f t="shared" si="5"/>
        <v>&gt;90%</v>
      </c>
      <c r="I45" s="6" t="str">
        <f t="shared" si="5"/>
        <v>&gt;90%</v>
      </c>
      <c r="J45" s="6" t="str">
        <f t="shared" si="5"/>
        <v>&gt;90%</v>
      </c>
      <c r="K45" s="6" t="str">
        <f t="shared" si="5"/>
        <v>&gt;90%</v>
      </c>
      <c r="L45" s="6" t="str">
        <f t="shared" si="5"/>
        <v>&gt;90%</v>
      </c>
      <c r="M45" s="6" t="str">
        <f t="shared" si="5"/>
        <v>&gt;90%</v>
      </c>
      <c r="N45" s="6" t="str">
        <f t="shared" si="5"/>
        <v>&gt;90%</v>
      </c>
      <c r="O45" s="6" t="str">
        <f t="shared" si="5"/>
        <v>&gt;90%</v>
      </c>
      <c r="P45" s="6" t="str">
        <f t="shared" si="5"/>
        <v>&gt;90%</v>
      </c>
      <c r="Q45" s="6" t="str">
        <f t="shared" si="5"/>
        <v>&gt;90%</v>
      </c>
      <c r="R45" s="33"/>
      <c r="S45" s="33"/>
      <c r="T45" s="33"/>
      <c r="U45" s="33"/>
    </row>
    <row r="46" spans="1:21">
      <c r="A46" s="3" t="s">
        <v>54</v>
      </c>
      <c r="B46" s="6" t="str">
        <f>IF(B44&gt;=28,"OK",IF(B44&lt;=28,"LESS"))</f>
        <v>OK</v>
      </c>
      <c r="C46" s="6" t="str">
        <f t="shared" ref="C46:Q46" si="6">IF(C44&gt;=28,"OK",IF(C44&lt;=28,"LESS"))</f>
        <v>OK</v>
      </c>
      <c r="D46" s="6" t="str">
        <f t="shared" si="6"/>
        <v>OK</v>
      </c>
      <c r="E46" s="6" t="str">
        <f t="shared" si="6"/>
        <v>OK</v>
      </c>
      <c r="F46" s="6" t="str">
        <f t="shared" si="6"/>
        <v>OK</v>
      </c>
      <c r="G46" s="6" t="str">
        <f t="shared" si="6"/>
        <v>OK</v>
      </c>
      <c r="H46" s="6" t="str">
        <f t="shared" si="6"/>
        <v>OK</v>
      </c>
      <c r="I46" s="6" t="str">
        <f t="shared" si="6"/>
        <v>OK</v>
      </c>
      <c r="J46" s="6" t="str">
        <f t="shared" si="6"/>
        <v>OK</v>
      </c>
      <c r="K46" s="6" t="str">
        <f t="shared" si="6"/>
        <v>OK</v>
      </c>
      <c r="L46" s="6" t="str">
        <f t="shared" si="6"/>
        <v>OK</v>
      </c>
      <c r="M46" s="6" t="str">
        <f t="shared" si="6"/>
        <v>OK</v>
      </c>
      <c r="N46" s="6" t="str">
        <f t="shared" si="6"/>
        <v>OK</v>
      </c>
      <c r="O46" s="6" t="str">
        <f t="shared" si="6"/>
        <v>OK</v>
      </c>
      <c r="P46" s="6" t="str">
        <f t="shared" si="6"/>
        <v>OK</v>
      </c>
      <c r="Q46" s="6" t="str">
        <f t="shared" si="6"/>
        <v>OK</v>
      </c>
      <c r="R46" s="1"/>
      <c r="S46" s="1"/>
      <c r="T46" s="1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9" spans="1:16">
      <c r="A49" s="3" t="s">
        <v>55</v>
      </c>
      <c r="B49" s="21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22"/>
      <c r="B50" s="1"/>
      <c r="C50" s="1"/>
      <c r="D50" s="23"/>
      <c r="E50" s="23"/>
      <c r="F50" s="23"/>
      <c r="G50" s="23"/>
      <c r="H50" s="23"/>
      <c r="I50" s="23"/>
      <c r="J50" s="1"/>
      <c r="K50" s="1"/>
      <c r="L50" s="1"/>
      <c r="M50" s="1"/>
      <c r="N50" s="1"/>
      <c r="O50" s="1"/>
      <c r="P50" s="1"/>
    </row>
    <row r="51" spans="1:16" ht="15.75">
      <c r="A51" s="24" t="s">
        <v>57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</row>
    <row r="52" spans="1:16">
      <c r="A52" s="2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2024-10-01T12:48:15Z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