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815" windowHeight="7815" tabRatio="814" firstSheet="2" activeTab="30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4" r:id="rId29"/>
    <sheet name="30" sheetId="40" r:id="rId30"/>
    <sheet name="MONTHLY 30" sheetId="39" r:id="rId31"/>
    <sheet name="CALIBRATION REPORT" sheetId="6" r:id="rId32"/>
    <sheet name="POWER OFF" sheetId="5" r:id="rId33"/>
    <sheet name="MUX SIGNALS" sheetId="43" r:id="rId34"/>
  </sheets>
  <calcPr calcId="124519"/>
</workbook>
</file>

<file path=xl/calcChain.xml><?xml version="1.0" encoding="utf-8"?>
<calcChain xmlns="http://schemas.openxmlformats.org/spreadsheetml/2006/main">
  <c r="D23" i="5"/>
  <c r="D22"/>
  <c r="D21"/>
  <c r="D20"/>
  <c r="D19"/>
  <c r="D18"/>
  <c r="D17"/>
  <c r="D16"/>
  <c r="D15"/>
  <c r="D14"/>
  <c r="D13"/>
  <c r="D12"/>
  <c r="D11"/>
  <c r="D10"/>
  <c r="D9"/>
  <c r="D8"/>
  <c r="D24" s="1"/>
  <c r="D44" s="1"/>
  <c r="I119" i="6"/>
  <c r="K115"/>
  <c r="J115"/>
  <c r="I115"/>
  <c r="K114"/>
  <c r="J114"/>
  <c r="I114"/>
  <c r="K113"/>
  <c r="J113"/>
  <c r="I113"/>
  <c r="K112"/>
  <c r="J112"/>
  <c r="I112"/>
  <c r="K111"/>
  <c r="J111"/>
  <c r="I111"/>
  <c r="K110"/>
  <c r="J110"/>
  <c r="I110"/>
  <c r="K109"/>
  <c r="J109"/>
  <c r="I109"/>
  <c r="K108"/>
  <c r="J108"/>
  <c r="I108"/>
  <c r="K107"/>
  <c r="J107"/>
  <c r="I107"/>
  <c r="J101"/>
  <c r="K92"/>
  <c r="J92"/>
  <c r="K91"/>
  <c r="J91"/>
  <c r="K90"/>
  <c r="J90"/>
  <c r="K89"/>
  <c r="J89"/>
  <c r="K88"/>
  <c r="J88"/>
  <c r="K87"/>
  <c r="J87"/>
  <c r="J81"/>
  <c r="K73"/>
  <c r="J73"/>
  <c r="K72"/>
  <c r="J72"/>
  <c r="K71"/>
  <c r="J71"/>
  <c r="K70"/>
  <c r="J70"/>
  <c r="K69"/>
  <c r="J69"/>
  <c r="K68"/>
  <c r="J68"/>
  <c r="K67"/>
  <c r="J67"/>
  <c r="J61"/>
  <c r="K51"/>
  <c r="J51"/>
  <c r="K50"/>
  <c r="J50"/>
  <c r="K49"/>
  <c r="J49"/>
  <c r="K48"/>
  <c r="J48"/>
  <c r="K47"/>
  <c r="J47"/>
  <c r="J41"/>
  <c r="T40"/>
  <c r="K33"/>
  <c r="J33"/>
  <c r="K32"/>
  <c r="J32"/>
  <c r="K31"/>
  <c r="J31"/>
  <c r="K30"/>
  <c r="J30"/>
  <c r="K29"/>
  <c r="J29"/>
  <c r="K28"/>
  <c r="J28"/>
  <c r="K27"/>
  <c r="J27"/>
  <c r="T21"/>
  <c r="I21"/>
  <c r="K14"/>
  <c r="J14"/>
  <c r="K13"/>
  <c r="J13"/>
  <c r="K12"/>
  <c r="J12"/>
  <c r="K11"/>
  <c r="J11"/>
  <c r="K10"/>
  <c r="J10"/>
  <c r="K9"/>
  <c r="J9"/>
  <c r="K8"/>
  <c r="J8"/>
  <c r="K38" i="39"/>
  <c r="I38"/>
  <c r="D38"/>
  <c r="M36"/>
  <c r="F36"/>
  <c r="O35"/>
  <c r="N35"/>
  <c r="K35"/>
  <c r="G35"/>
  <c r="E35"/>
  <c r="O34"/>
  <c r="M33"/>
  <c r="L33"/>
  <c r="I33"/>
  <c r="K32"/>
  <c r="B32"/>
  <c r="I31"/>
  <c r="H31"/>
  <c r="D31"/>
  <c r="M30"/>
  <c r="K30"/>
  <c r="I30"/>
  <c r="B30"/>
  <c r="P29"/>
  <c r="K29"/>
  <c r="H29"/>
  <c r="D27"/>
  <c r="M25"/>
  <c r="K25"/>
  <c r="I25"/>
  <c r="N24"/>
  <c r="I24"/>
  <c r="B24"/>
  <c r="M23"/>
  <c r="K23"/>
  <c r="I23"/>
  <c r="D21"/>
  <c r="C21"/>
  <c r="Q20"/>
  <c r="I20"/>
  <c r="C20"/>
  <c r="P19"/>
  <c r="L19"/>
  <c r="K19"/>
  <c r="P18"/>
  <c r="M18"/>
  <c r="E18"/>
  <c r="F11"/>
  <c r="E11"/>
  <c r="Q110" i="4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8" i="39" s="1"/>
  <c r="P108" i="40"/>
  <c r="P38" i="39" s="1"/>
  <c r="O108" i="40"/>
  <c r="O38" i="39" s="1"/>
  <c r="N108" i="40"/>
  <c r="N38" i="39" s="1"/>
  <c r="M108" i="40"/>
  <c r="M38" i="39" s="1"/>
  <c r="L108" i="40"/>
  <c r="L38" i="39" s="1"/>
  <c r="K108" i="40"/>
  <c r="J108"/>
  <c r="J38" i="39" s="1"/>
  <c r="I108" i="40"/>
  <c r="H108"/>
  <c r="H38" i="39" s="1"/>
  <c r="G108" i="40"/>
  <c r="G38" i="39" s="1"/>
  <c r="F108" i="40"/>
  <c r="F38" i="39" s="1"/>
  <c r="E108" i="40"/>
  <c r="E38" i="39" s="1"/>
  <c r="D108" i="40"/>
  <c r="C108"/>
  <c r="C38" i="39" s="1"/>
  <c r="B108" i="40"/>
  <c r="B38" i="39" s="1"/>
  <c r="Q107" i="4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8" i="39" s="1"/>
  <c r="Q110" i="44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7" i="39" s="1"/>
  <c r="P108" i="44"/>
  <c r="P37" i="39" s="1"/>
  <c r="O108" i="44"/>
  <c r="O37" i="39" s="1"/>
  <c r="N108" i="44"/>
  <c r="N37" i="39" s="1"/>
  <c r="M108" i="44"/>
  <c r="M37" i="39" s="1"/>
  <c r="L108" i="44"/>
  <c r="L37" i="39" s="1"/>
  <c r="K108" i="44"/>
  <c r="K37" i="39" s="1"/>
  <c r="J108" i="44"/>
  <c r="J37" i="39" s="1"/>
  <c r="I108" i="44"/>
  <c r="I37" i="39" s="1"/>
  <c r="H108" i="44"/>
  <c r="H37" i="39" s="1"/>
  <c r="G108" i="44"/>
  <c r="G37" i="39" s="1"/>
  <c r="F108" i="44"/>
  <c r="F37" i="39" s="1"/>
  <c r="E108" i="44"/>
  <c r="E37" i="39" s="1"/>
  <c r="D108" i="44"/>
  <c r="D37" i="39" s="1"/>
  <c r="C108" i="44"/>
  <c r="C37" i="39" s="1"/>
  <c r="B108" i="44"/>
  <c r="B37" i="39" s="1"/>
  <c r="Q107" i="4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7" i="39" s="1"/>
  <c r="Q110" i="3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6" i="39" s="1"/>
  <c r="P108" i="33"/>
  <c r="P36" i="39" s="1"/>
  <c r="O108" i="33"/>
  <c r="O36" i="39" s="1"/>
  <c r="N108" i="33"/>
  <c r="N36" i="39" s="1"/>
  <c r="M108" i="33"/>
  <c r="L108"/>
  <c r="L36" i="39" s="1"/>
  <c r="K108" i="33"/>
  <c r="K36" i="39" s="1"/>
  <c r="J108" i="33"/>
  <c r="J36" i="39" s="1"/>
  <c r="I108" i="33"/>
  <c r="I36" i="39" s="1"/>
  <c r="H108" i="33"/>
  <c r="H36" i="39" s="1"/>
  <c r="G108" i="33"/>
  <c r="G36" i="39" s="1"/>
  <c r="F108" i="33"/>
  <c r="E108"/>
  <c r="E36" i="39" s="1"/>
  <c r="D108" i="33"/>
  <c r="D36" i="39" s="1"/>
  <c r="C108" i="33"/>
  <c r="C36" i="39" s="1"/>
  <c r="B108" i="33"/>
  <c r="B36" i="39" s="1"/>
  <c r="Q107" i="3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6" i="39" s="1"/>
  <c r="Q110" i="3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5" i="39" s="1"/>
  <c r="P108" i="32"/>
  <c r="P35" i="39" s="1"/>
  <c r="O108" i="32"/>
  <c r="N108"/>
  <c r="M108"/>
  <c r="M35" i="39" s="1"/>
  <c r="L108" i="32"/>
  <c r="L35" i="39" s="1"/>
  <c r="K108" i="32"/>
  <c r="J108"/>
  <c r="J35" i="39" s="1"/>
  <c r="I108" i="32"/>
  <c r="I35" i="39" s="1"/>
  <c r="H108" i="32"/>
  <c r="H35" i="39" s="1"/>
  <c r="G108" i="32"/>
  <c r="F108"/>
  <c r="F35" i="39" s="1"/>
  <c r="E108" i="32"/>
  <c r="D108"/>
  <c r="D35" i="39" s="1"/>
  <c r="C108" i="32"/>
  <c r="C35" i="39" s="1"/>
  <c r="B108" i="32"/>
  <c r="B35" i="39" s="1"/>
  <c r="Q107" i="3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5" i="39" s="1"/>
  <c r="Q110" i="3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2"/>
  <c r="G112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4" i="39" s="1"/>
  <c r="P108" i="31"/>
  <c r="P34" i="39" s="1"/>
  <c r="O108" i="31"/>
  <c r="N108"/>
  <c r="N34" i="39" s="1"/>
  <c r="M108" i="31"/>
  <c r="M34" i="39" s="1"/>
  <c r="L108" i="31"/>
  <c r="L34" i="39" s="1"/>
  <c r="K108" i="31"/>
  <c r="K34" i="39" s="1"/>
  <c r="J108" i="31"/>
  <c r="J34" i="39" s="1"/>
  <c r="I108" i="31"/>
  <c r="I34" i="39" s="1"/>
  <c r="H108" i="31"/>
  <c r="H34" i="39" s="1"/>
  <c r="G108" i="31"/>
  <c r="G34" i="39" s="1"/>
  <c r="F108" i="31"/>
  <c r="F34" i="39" s="1"/>
  <c r="E108" i="31"/>
  <c r="E34" i="39" s="1"/>
  <c r="D108" i="31"/>
  <c r="D34" i="39" s="1"/>
  <c r="C108" i="31"/>
  <c r="C34" i="39" s="1"/>
  <c r="B108" i="31"/>
  <c r="B34" i="39" s="1"/>
  <c r="Q107" i="3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4" i="39" s="1"/>
  <c r="Q110" i="3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3" i="39" s="1"/>
  <c r="P108" i="30"/>
  <c r="P33" i="39" s="1"/>
  <c r="O108" i="30"/>
  <c r="O33" i="39" s="1"/>
  <c r="N108" i="30"/>
  <c r="N33" i="39" s="1"/>
  <c r="M108" i="30"/>
  <c r="L108"/>
  <c r="K108"/>
  <c r="K33" i="39" s="1"/>
  <c r="J108" i="30"/>
  <c r="J33" i="39" s="1"/>
  <c r="I108" i="30"/>
  <c r="H108"/>
  <c r="H33" i="39" s="1"/>
  <c r="G108" i="30"/>
  <c r="G33" i="39" s="1"/>
  <c r="F108" i="30"/>
  <c r="F33" i="39" s="1"/>
  <c r="E108" i="30"/>
  <c r="E33" i="39" s="1"/>
  <c r="D108" i="30"/>
  <c r="D33" i="39" s="1"/>
  <c r="C108" i="30"/>
  <c r="C33" i="39" s="1"/>
  <c r="B108" i="30"/>
  <c r="B33" i="39" s="1"/>
  <c r="Q107" i="3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3" i="39" s="1"/>
  <c r="Q110" i="29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2" i="39" s="1"/>
  <c r="P108" i="29"/>
  <c r="P32" i="39" s="1"/>
  <c r="O108" i="29"/>
  <c r="O32" i="39" s="1"/>
  <c r="N108" i="29"/>
  <c r="N32" i="39" s="1"/>
  <c r="M108" i="29"/>
  <c r="M32" i="39" s="1"/>
  <c r="L108" i="29"/>
  <c r="L32" i="39" s="1"/>
  <c r="K108" i="29"/>
  <c r="J108"/>
  <c r="J32" i="39" s="1"/>
  <c r="I108" i="29"/>
  <c r="I32" i="39" s="1"/>
  <c r="H108" i="29"/>
  <c r="H32" i="39" s="1"/>
  <c r="G108" i="29"/>
  <c r="G32" i="39" s="1"/>
  <c r="F108" i="29"/>
  <c r="F32" i="39" s="1"/>
  <c r="E108" i="29"/>
  <c r="E32" i="39" s="1"/>
  <c r="D108" i="29"/>
  <c r="D32" i="39" s="1"/>
  <c r="C108" i="29"/>
  <c r="C32" i="39" s="1"/>
  <c r="B108" i="29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2" i="39" s="1"/>
  <c r="Q110" i="28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1" i="39" s="1"/>
  <c r="P108" i="28"/>
  <c r="P31" i="39" s="1"/>
  <c r="O108" i="28"/>
  <c r="O31" i="39" s="1"/>
  <c r="N108" i="28"/>
  <c r="N31" i="39" s="1"/>
  <c r="M108" i="28"/>
  <c r="M31" i="39" s="1"/>
  <c r="L108" i="28"/>
  <c r="L31" i="39" s="1"/>
  <c r="K108" i="28"/>
  <c r="K31" i="39" s="1"/>
  <c r="J108" i="28"/>
  <c r="J31" i="39" s="1"/>
  <c r="I108" i="28"/>
  <c r="H108"/>
  <c r="G108"/>
  <c r="G31" i="39" s="1"/>
  <c r="F108" i="28"/>
  <c r="F31" i="39" s="1"/>
  <c r="E108" i="28"/>
  <c r="E31" i="39" s="1"/>
  <c r="D108" i="28"/>
  <c r="C108"/>
  <c r="C31" i="39" s="1"/>
  <c r="B108" i="28"/>
  <c r="B31" i="39" s="1"/>
  <c r="Q107" i="2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1" i="39" s="1"/>
  <c r="Q110" i="27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0" i="39" s="1"/>
  <c r="P108" i="27"/>
  <c r="P30" i="39" s="1"/>
  <c r="O108" i="27"/>
  <c r="O30" i="39" s="1"/>
  <c r="N108" i="27"/>
  <c r="N30" i="39" s="1"/>
  <c r="M108" i="27"/>
  <c r="L108"/>
  <c r="L30" i="39" s="1"/>
  <c r="K108" i="27"/>
  <c r="J108"/>
  <c r="J30" i="39" s="1"/>
  <c r="I108" i="27"/>
  <c r="H108"/>
  <c r="H30" i="39" s="1"/>
  <c r="G108" i="27"/>
  <c r="G30" i="39" s="1"/>
  <c r="F108" i="27"/>
  <c r="F30" i="39" s="1"/>
  <c r="E108" i="27"/>
  <c r="E30" i="39" s="1"/>
  <c r="D108" i="27"/>
  <c r="D30" i="39" s="1"/>
  <c r="C108" i="27"/>
  <c r="C30" i="39" s="1"/>
  <c r="B108" i="27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0" i="39" s="1"/>
  <c r="Q110" i="26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9" i="39" s="1"/>
  <c r="P108" i="26"/>
  <c r="O108"/>
  <c r="O29" i="39" s="1"/>
  <c r="N108" i="26"/>
  <c r="N29" i="39" s="1"/>
  <c r="M108" i="26"/>
  <c r="M29" i="39" s="1"/>
  <c r="L108" i="26"/>
  <c r="L29" i="39" s="1"/>
  <c r="K108" i="26"/>
  <c r="J108"/>
  <c r="J29" i="39" s="1"/>
  <c r="I108" i="26"/>
  <c r="I29" i="39" s="1"/>
  <c r="H108" i="26"/>
  <c r="G108"/>
  <c r="G29" i="39" s="1"/>
  <c r="F108" i="26"/>
  <c r="F29" i="39" s="1"/>
  <c r="E108" i="26"/>
  <c r="E29" i="39" s="1"/>
  <c r="D108" i="26"/>
  <c r="D29" i="39" s="1"/>
  <c r="C108" i="26"/>
  <c r="C29" i="39" s="1"/>
  <c r="B108" i="26"/>
  <c r="B29" i="39" s="1"/>
  <c r="Q107" i="26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9" i="39" s="1"/>
  <c r="Q110" i="25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8" i="39" s="1"/>
  <c r="P108" i="25"/>
  <c r="P28" i="39" s="1"/>
  <c r="O108" i="25"/>
  <c r="O28" i="39" s="1"/>
  <c r="N108" i="25"/>
  <c r="N28" i="39" s="1"/>
  <c r="M108" i="25"/>
  <c r="M28" i="39" s="1"/>
  <c r="L108" i="25"/>
  <c r="L28" i="39" s="1"/>
  <c r="K108" i="25"/>
  <c r="K28" i="39" s="1"/>
  <c r="J108" i="25"/>
  <c r="J28" i="39" s="1"/>
  <c r="I108" i="25"/>
  <c r="I28" i="39" s="1"/>
  <c r="H108" i="25"/>
  <c r="H28" i="39" s="1"/>
  <c r="G108" i="25"/>
  <c r="G28" i="39" s="1"/>
  <c r="F108" i="25"/>
  <c r="F28" i="39" s="1"/>
  <c r="E108" i="25"/>
  <c r="E28" i="39" s="1"/>
  <c r="D108" i="25"/>
  <c r="D28" i="39" s="1"/>
  <c r="C108" i="25"/>
  <c r="C28" i="39" s="1"/>
  <c r="B108" i="25"/>
  <c r="B28" i="39" s="1"/>
  <c r="Q107" i="25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8" i="39" s="1"/>
  <c r="Q110" i="24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7" i="39" s="1"/>
  <c r="P108" i="24"/>
  <c r="P27" i="39" s="1"/>
  <c r="O108" i="24"/>
  <c r="O27" i="39" s="1"/>
  <c r="N108" i="24"/>
  <c r="N27" i="39" s="1"/>
  <c r="M108" i="24"/>
  <c r="M27" i="39" s="1"/>
  <c r="L108" i="24"/>
  <c r="L27" i="39" s="1"/>
  <c r="K108" i="24"/>
  <c r="K27" i="39" s="1"/>
  <c r="J108" i="24"/>
  <c r="J27" i="39" s="1"/>
  <c r="I108" i="24"/>
  <c r="I27" i="39" s="1"/>
  <c r="H108" i="24"/>
  <c r="H27" i="39" s="1"/>
  <c r="G108" i="24"/>
  <c r="G27" i="39" s="1"/>
  <c r="F108" i="24"/>
  <c r="F27" i="39" s="1"/>
  <c r="E108" i="24"/>
  <c r="E27" i="39" s="1"/>
  <c r="D108" i="24"/>
  <c r="C108"/>
  <c r="C27" i="39" s="1"/>
  <c r="B108" i="24"/>
  <c r="B27" i="39" s="1"/>
  <c r="Q107" i="2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7" i="39" s="1"/>
  <c r="Q110" i="2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6" i="39" s="1"/>
  <c r="P108" i="23"/>
  <c r="P26" i="39" s="1"/>
  <c r="O108" i="23"/>
  <c r="O26" i="39" s="1"/>
  <c r="N108" i="23"/>
  <c r="N26" i="39" s="1"/>
  <c r="M108" i="23"/>
  <c r="M26" i="39" s="1"/>
  <c r="L108" i="23"/>
  <c r="L26" i="39" s="1"/>
  <c r="K108" i="23"/>
  <c r="K26" i="39" s="1"/>
  <c r="J108" i="23"/>
  <c r="J26" i="39" s="1"/>
  <c r="I108" i="23"/>
  <c r="I26" i="39" s="1"/>
  <c r="H108" i="23"/>
  <c r="H26" i="39" s="1"/>
  <c r="G108" i="23"/>
  <c r="G26" i="39" s="1"/>
  <c r="F108" i="23"/>
  <c r="F26" i="39" s="1"/>
  <c r="E108" i="23"/>
  <c r="E26" i="39" s="1"/>
  <c r="D108" i="23"/>
  <c r="D26" i="39" s="1"/>
  <c r="C108" i="23"/>
  <c r="C26" i="39" s="1"/>
  <c r="B108" i="23"/>
  <c r="B26" i="39" s="1"/>
  <c r="Q107" i="2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6" i="39" s="1"/>
  <c r="Q110" i="2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5" i="39" s="1"/>
  <c r="P108" i="22"/>
  <c r="P25" i="39" s="1"/>
  <c r="O108" i="22"/>
  <c r="O25" i="39" s="1"/>
  <c r="N108" i="22"/>
  <c r="N25" i="39" s="1"/>
  <c r="M108" i="22"/>
  <c r="L108"/>
  <c r="L25" i="39" s="1"/>
  <c r="K108" i="22"/>
  <c r="J108"/>
  <c r="J25" i="39" s="1"/>
  <c r="I108" i="22"/>
  <c r="H108"/>
  <c r="H25" i="39" s="1"/>
  <c r="G108" i="22"/>
  <c r="G25" i="39" s="1"/>
  <c r="F108" i="22"/>
  <c r="F25" i="39" s="1"/>
  <c r="E108" i="22"/>
  <c r="E25" i="39" s="1"/>
  <c r="D108" i="22"/>
  <c r="D25" i="39" s="1"/>
  <c r="C108" i="22"/>
  <c r="C25" i="39" s="1"/>
  <c r="B108" i="22"/>
  <c r="B25" i="39" s="1"/>
  <c r="Q107" i="2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5" i="39" s="1"/>
  <c r="Q110" i="2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4" i="39" s="1"/>
  <c r="P108" i="21"/>
  <c r="P24" i="39" s="1"/>
  <c r="O108" i="21"/>
  <c r="O24" i="39" s="1"/>
  <c r="N108" i="21"/>
  <c r="M108"/>
  <c r="M24" i="39" s="1"/>
  <c r="L108" i="21"/>
  <c r="L24" i="39" s="1"/>
  <c r="K108" i="21"/>
  <c r="K24" i="39" s="1"/>
  <c r="J108" i="21"/>
  <c r="J24" i="39" s="1"/>
  <c r="I108" i="21"/>
  <c r="H108"/>
  <c r="H24" i="39" s="1"/>
  <c r="G108" i="21"/>
  <c r="G24" i="39" s="1"/>
  <c r="F108" i="21"/>
  <c r="F24" i="39" s="1"/>
  <c r="E108" i="21"/>
  <c r="E24" i="39" s="1"/>
  <c r="D108" i="21"/>
  <c r="D24" i="39" s="1"/>
  <c r="C108" i="21"/>
  <c r="C24" i="39" s="1"/>
  <c r="B108" i="21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4" i="39" s="1"/>
  <c r="Q110" i="2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3" i="39" s="1"/>
  <c r="P108" i="20"/>
  <c r="P23" i="39" s="1"/>
  <c r="O108" i="20"/>
  <c r="O23" i="39" s="1"/>
  <c r="N108" i="20"/>
  <c r="N23" i="39" s="1"/>
  <c r="M108" i="20"/>
  <c r="L108"/>
  <c r="L23" i="39" s="1"/>
  <c r="K108" i="20"/>
  <c r="J108"/>
  <c r="J23" i="39" s="1"/>
  <c r="I108" i="20"/>
  <c r="H108"/>
  <c r="H23" i="39" s="1"/>
  <c r="G108" i="20"/>
  <c r="G23" i="39" s="1"/>
  <c r="F108" i="20"/>
  <c r="F23" i="39" s="1"/>
  <c r="E108" i="20"/>
  <c r="E23" i="39" s="1"/>
  <c r="D108" i="20"/>
  <c r="D23" i="39" s="1"/>
  <c r="C108" i="20"/>
  <c r="C23" i="39" s="1"/>
  <c r="B108" i="20"/>
  <c r="B23" i="39" s="1"/>
  <c r="Q107" i="2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3" i="39" s="1"/>
  <c r="Q110" i="19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2" i="39" s="1"/>
  <c r="P108" i="19"/>
  <c r="P22" i="39" s="1"/>
  <c r="O108" i="19"/>
  <c r="O22" i="39" s="1"/>
  <c r="N108" i="19"/>
  <c r="N22" i="39" s="1"/>
  <c r="M108" i="19"/>
  <c r="M22" i="39" s="1"/>
  <c r="L108" i="19"/>
  <c r="L22" i="39" s="1"/>
  <c r="K108" i="19"/>
  <c r="K22" i="39" s="1"/>
  <c r="J108" i="19"/>
  <c r="J22" i="39" s="1"/>
  <c r="I108" i="19"/>
  <c r="I22" i="39" s="1"/>
  <c r="H108" i="19"/>
  <c r="H22" i="39" s="1"/>
  <c r="G108" i="19"/>
  <c r="G22" i="39" s="1"/>
  <c r="F108" i="19"/>
  <c r="F22" i="39" s="1"/>
  <c r="E108" i="19"/>
  <c r="E22" i="39" s="1"/>
  <c r="D108" i="19"/>
  <c r="D22" i="39" s="1"/>
  <c r="C108" i="19"/>
  <c r="C22" i="39" s="1"/>
  <c r="B108" i="19"/>
  <c r="B22" i="39" s="1"/>
  <c r="Q107" i="1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2" i="39" s="1"/>
  <c r="Q110" i="18"/>
  <c r="Q111" s="1"/>
  <c r="P110"/>
  <c r="P111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1" i="39" s="1"/>
  <c r="P108" i="18"/>
  <c r="P21" i="39" s="1"/>
  <c r="O108" i="18"/>
  <c r="O21" i="39" s="1"/>
  <c r="N108" i="18"/>
  <c r="N21" i="39" s="1"/>
  <c r="M108" i="18"/>
  <c r="M21" i="39" s="1"/>
  <c r="L108" i="18"/>
  <c r="L21" i="39" s="1"/>
  <c r="K108" i="18"/>
  <c r="K21" i="39" s="1"/>
  <c r="J108" i="18"/>
  <c r="J21" i="39" s="1"/>
  <c r="I108" i="18"/>
  <c r="I21" i="39" s="1"/>
  <c r="H108" i="18"/>
  <c r="H21" i="39" s="1"/>
  <c r="G108" i="18"/>
  <c r="G21" i="39" s="1"/>
  <c r="F108" i="18"/>
  <c r="F21" i="39" s="1"/>
  <c r="E108" i="18"/>
  <c r="E21" i="39" s="1"/>
  <c r="D108" i="18"/>
  <c r="C108"/>
  <c r="B108"/>
  <c r="B21" i="39" s="1"/>
  <c r="Q107" i="1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1" i="39" s="1"/>
  <c r="Q112" i="17"/>
  <c r="P112"/>
  <c r="O112"/>
  <c r="N111"/>
  <c r="M112"/>
  <c r="L112"/>
  <c r="K112"/>
  <c r="J112"/>
  <c r="I112"/>
  <c r="H112"/>
  <c r="G112"/>
  <c r="F112"/>
  <c r="E112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P20" i="39" s="1"/>
  <c r="O108" i="17"/>
  <c r="O20" i="39" s="1"/>
  <c r="N108" i="17"/>
  <c r="N20" i="39" s="1"/>
  <c r="M108" i="17"/>
  <c r="M20" i="39" s="1"/>
  <c r="L108" i="17"/>
  <c r="L20" i="39" s="1"/>
  <c r="K108" i="17"/>
  <c r="K20" i="39" s="1"/>
  <c r="J108" i="17"/>
  <c r="J20" i="39" s="1"/>
  <c r="I108" i="17"/>
  <c r="H108"/>
  <c r="H20" i="39" s="1"/>
  <c r="G108" i="17"/>
  <c r="G20" i="39" s="1"/>
  <c r="F108" i="17"/>
  <c r="F20" i="39" s="1"/>
  <c r="E108" i="17"/>
  <c r="E20" i="39" s="1"/>
  <c r="D108" i="17"/>
  <c r="D20" i="39" s="1"/>
  <c r="C108" i="17"/>
  <c r="B108"/>
  <c r="B20" i="39" s="1"/>
  <c r="Q107" i="1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0" i="39" s="1"/>
  <c r="Q110" i="16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9" i="39" s="1"/>
  <c r="P108" i="16"/>
  <c r="O108"/>
  <c r="O19" i="39" s="1"/>
  <c r="N108" i="16"/>
  <c r="N19" i="39" s="1"/>
  <c r="M108" i="16"/>
  <c r="M19" i="39" s="1"/>
  <c r="L108" i="16"/>
  <c r="K108"/>
  <c r="J108"/>
  <c r="J19" i="39" s="1"/>
  <c r="I108" i="16"/>
  <c r="I19" i="39" s="1"/>
  <c r="H108" i="16"/>
  <c r="H19" i="39" s="1"/>
  <c r="G108" i="16"/>
  <c r="G19" i="39" s="1"/>
  <c r="F108" i="16"/>
  <c r="F19" i="39" s="1"/>
  <c r="E108" i="16"/>
  <c r="E19" i="39" s="1"/>
  <c r="D108" i="16"/>
  <c r="D19" i="39" s="1"/>
  <c r="C108" i="16"/>
  <c r="C19" i="39" s="1"/>
  <c r="B108" i="16"/>
  <c r="B19" i="39" s="1"/>
  <c r="Q107" i="16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9" i="39" s="1"/>
  <c r="Q110" i="15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8" i="39" s="1"/>
  <c r="P108" i="15"/>
  <c r="O108"/>
  <c r="O18" i="39" s="1"/>
  <c r="N108" i="15"/>
  <c r="N18" i="39" s="1"/>
  <c r="M108" i="15"/>
  <c r="L108"/>
  <c r="L18" i="39" s="1"/>
  <c r="K108" i="15"/>
  <c r="K18" i="39" s="1"/>
  <c r="J108" i="15"/>
  <c r="J18" i="39" s="1"/>
  <c r="I108" i="15"/>
  <c r="I18" i="39" s="1"/>
  <c r="H108" i="15"/>
  <c r="H18" i="39" s="1"/>
  <c r="G108" i="15"/>
  <c r="G18" i="39" s="1"/>
  <c r="F108" i="15"/>
  <c r="F18" i="39" s="1"/>
  <c r="E108" i="15"/>
  <c r="D108"/>
  <c r="D18" i="39" s="1"/>
  <c r="C108" i="15"/>
  <c r="C18" i="39" s="1"/>
  <c r="B108" i="15"/>
  <c r="B18" i="39" s="1"/>
  <c r="Q107" i="15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8" i="39" s="1"/>
  <c r="Q110" i="14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7" i="39" s="1"/>
  <c r="P108" i="14"/>
  <c r="P17" i="39" s="1"/>
  <c r="O108" i="14"/>
  <c r="O17" i="39" s="1"/>
  <c r="N108" i="14"/>
  <c r="N17" i="39" s="1"/>
  <c r="M108" i="14"/>
  <c r="M17" i="39" s="1"/>
  <c r="L108" i="14"/>
  <c r="L17" i="39" s="1"/>
  <c r="K108" i="14"/>
  <c r="K17" i="39" s="1"/>
  <c r="J108" i="14"/>
  <c r="J17" i="39" s="1"/>
  <c r="I108" i="14"/>
  <c r="I17" i="39" s="1"/>
  <c r="H108" i="14"/>
  <c r="H17" i="39" s="1"/>
  <c r="G108" i="14"/>
  <c r="G17" i="39" s="1"/>
  <c r="F108" i="14"/>
  <c r="F17" i="39" s="1"/>
  <c r="E108" i="14"/>
  <c r="E17" i="39" s="1"/>
  <c r="D108" i="14"/>
  <c r="D17" i="39" s="1"/>
  <c r="C108" i="14"/>
  <c r="C17" i="39" s="1"/>
  <c r="B108" i="14"/>
  <c r="B17" i="39" s="1"/>
  <c r="Q107" i="1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7" i="39" s="1"/>
  <c r="Q110" i="1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6" i="39" s="1"/>
  <c r="P108" i="13"/>
  <c r="P16" i="39" s="1"/>
  <c r="O108" i="13"/>
  <c r="O16" i="39" s="1"/>
  <c r="N108" i="13"/>
  <c r="N16" i="39" s="1"/>
  <c r="M108" i="13"/>
  <c r="M16" i="39" s="1"/>
  <c r="L108" i="13"/>
  <c r="L16" i="39" s="1"/>
  <c r="K108" i="13"/>
  <c r="K16" i="39" s="1"/>
  <c r="J108" i="13"/>
  <c r="J16" i="39" s="1"/>
  <c r="I108" i="13"/>
  <c r="I16" i="39" s="1"/>
  <c r="H108" i="13"/>
  <c r="H16" i="39" s="1"/>
  <c r="G108" i="13"/>
  <c r="G16" i="39" s="1"/>
  <c r="F108" i="13"/>
  <c r="F16" i="39" s="1"/>
  <c r="E108" i="13"/>
  <c r="E16" i="39" s="1"/>
  <c r="D108" i="13"/>
  <c r="D16" i="39" s="1"/>
  <c r="C108" i="13"/>
  <c r="C16" i="39" s="1"/>
  <c r="B108" i="13"/>
  <c r="B16" i="39" s="1"/>
  <c r="Q107" i="1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6" i="39" s="1"/>
  <c r="Q112" i="12"/>
  <c r="P112"/>
  <c r="O112"/>
  <c r="N112"/>
  <c r="M112"/>
  <c r="L112"/>
  <c r="K112"/>
  <c r="J112"/>
  <c r="I112"/>
  <c r="H112"/>
  <c r="G112"/>
  <c r="F112"/>
  <c r="E112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5" i="39" s="1"/>
  <c r="P108" i="12"/>
  <c r="P15" i="39" s="1"/>
  <c r="O108" i="12"/>
  <c r="O15" i="39" s="1"/>
  <c r="N108" i="12"/>
  <c r="N15" i="39" s="1"/>
  <c r="M108" i="12"/>
  <c r="M15" i="39" s="1"/>
  <c r="L108" i="12"/>
  <c r="L15" i="39" s="1"/>
  <c r="K108" i="12"/>
  <c r="K15" i="39" s="1"/>
  <c r="J108" i="12"/>
  <c r="J15" i="39" s="1"/>
  <c r="I108" i="12"/>
  <c r="I15" i="39" s="1"/>
  <c r="H108" i="12"/>
  <c r="H15" i="39" s="1"/>
  <c r="G108" i="12"/>
  <c r="G15" i="39" s="1"/>
  <c r="F108" i="12"/>
  <c r="F15" i="39" s="1"/>
  <c r="E108" i="12"/>
  <c r="E15" i="39" s="1"/>
  <c r="D108" i="12"/>
  <c r="D15" i="39" s="1"/>
  <c r="C108" i="12"/>
  <c r="C15" i="39" s="1"/>
  <c r="B108" i="12"/>
  <c r="B15" i="39" s="1"/>
  <c r="Q107" i="1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5" i="39" s="1"/>
  <c r="Q110" i="1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4" i="39" s="1"/>
  <c r="P108" i="11"/>
  <c r="P14" i="39" s="1"/>
  <c r="O108" i="11"/>
  <c r="O14" i="39" s="1"/>
  <c r="N108" i="11"/>
  <c r="N14" i="39" s="1"/>
  <c r="M108" i="11"/>
  <c r="M14" i="39" s="1"/>
  <c r="L108" i="11"/>
  <c r="L14" i="39" s="1"/>
  <c r="K108" i="11"/>
  <c r="K14" i="39" s="1"/>
  <c r="J108" i="11"/>
  <c r="J14" i="39" s="1"/>
  <c r="I108" i="11"/>
  <c r="I14" i="39" s="1"/>
  <c r="H108" i="11"/>
  <c r="H14" i="39" s="1"/>
  <c r="G108" i="11"/>
  <c r="G14" i="39" s="1"/>
  <c r="F108" i="11"/>
  <c r="F14" i="39" s="1"/>
  <c r="E108" i="11"/>
  <c r="E14" i="39" s="1"/>
  <c r="D108" i="11"/>
  <c r="D14" i="39" s="1"/>
  <c r="C108" i="11"/>
  <c r="C14" i="39" s="1"/>
  <c r="B108" i="11"/>
  <c r="B14" i="39" s="1"/>
  <c r="Q107" i="1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4" i="39" s="1"/>
  <c r="Q112" i="10"/>
  <c r="P112"/>
  <c r="O112"/>
  <c r="N112"/>
  <c r="M112"/>
  <c r="L112"/>
  <c r="K112"/>
  <c r="J112"/>
  <c r="I112"/>
  <c r="H112"/>
  <c r="G112"/>
  <c r="F112"/>
  <c r="E112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3" i="39" s="1"/>
  <c r="P108" i="10"/>
  <c r="P13" i="39" s="1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J13" i="39" s="1"/>
  <c r="I108" i="10"/>
  <c r="I13" i="39" s="1"/>
  <c r="H108" i="10"/>
  <c r="H13" i="39" s="1"/>
  <c r="G108" i="10"/>
  <c r="G13" i="39" s="1"/>
  <c r="F108" i="10"/>
  <c r="F13" i="39" s="1"/>
  <c r="E108" i="10"/>
  <c r="E13" i="39" s="1"/>
  <c r="D108" i="10"/>
  <c r="D13" i="39" s="1"/>
  <c r="C108" i="10"/>
  <c r="C13" i="39" s="1"/>
  <c r="B108" i="10"/>
  <c r="B13" i="39" s="1"/>
  <c r="Q107" i="1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3" i="39" s="1"/>
  <c r="Q110" i="9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2" i="39" s="1"/>
  <c r="P108" i="9"/>
  <c r="P12" i="39" s="1"/>
  <c r="O108" i="9"/>
  <c r="O12" i="39" s="1"/>
  <c r="N108" i="9"/>
  <c r="N12" i="39" s="1"/>
  <c r="M108" i="9"/>
  <c r="M12" i="39" s="1"/>
  <c r="L108" i="9"/>
  <c r="L12" i="39" s="1"/>
  <c r="K108" i="9"/>
  <c r="K12" i="39" s="1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D12" i="39" s="1"/>
  <c r="C108" i="9"/>
  <c r="C12" i="39" s="1"/>
  <c r="B108" i="9"/>
  <c r="B12" i="39" s="1"/>
  <c r="Q107" i="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2" i="39" s="1"/>
  <c r="Q110" i="8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1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1" i="39" s="1"/>
  <c r="P108" i="8"/>
  <c r="P11" i="39" s="1"/>
  <c r="O108" i="8"/>
  <c r="O11" i="39" s="1"/>
  <c r="N108" i="8"/>
  <c r="N11" i="39" s="1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E108"/>
  <c r="D108"/>
  <c r="D11" i="39" s="1"/>
  <c r="C108" i="8"/>
  <c r="C11" i="39" s="1"/>
  <c r="B108" i="8"/>
  <c r="B11" i="39" s="1"/>
  <c r="Q107" i="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1" i="39" s="1"/>
  <c r="Q110" i="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0" i="39" s="1"/>
  <c r="P108" i="3"/>
  <c r="P10" i="39" s="1"/>
  <c r="O108" i="3"/>
  <c r="O10" i="39" s="1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C10" i="39" s="1"/>
  <c r="B108" i="3"/>
  <c r="B10" i="39" s="1"/>
  <c r="Q107" i="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0" i="39" s="1"/>
  <c r="Q110" i="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9" i="39" s="1"/>
  <c r="P108" i="2"/>
  <c r="P9" i="39" s="1"/>
  <c r="O108" i="2"/>
  <c r="O9" i="39" s="1"/>
  <c r="N108" i="2"/>
  <c r="N9" i="39" s="1"/>
  <c r="M108" i="2"/>
  <c r="M9" i="39" s="1"/>
  <c r="L108" i="2"/>
  <c r="L9" i="39" s="1"/>
  <c r="K108" i="2"/>
  <c r="K9" i="39" s="1"/>
  <c r="J108" i="2"/>
  <c r="J9" i="39" s="1"/>
  <c r="I108" i="2"/>
  <c r="I9" i="39" s="1"/>
  <c r="H108" i="2"/>
  <c r="H9" i="39" s="1"/>
  <c r="G108" i="2"/>
  <c r="G9" i="39" s="1"/>
  <c r="F108" i="2"/>
  <c r="F9" i="39" s="1"/>
  <c r="E108" i="2"/>
  <c r="E9" i="39" s="1"/>
  <c r="D108" i="2"/>
  <c r="D9" i="39" s="1"/>
  <c r="C108" i="2"/>
  <c r="C9" i="39" s="1"/>
  <c r="B108" i="2"/>
  <c r="B9" i="39" s="1"/>
  <c r="Q107" i="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9" i="39" s="1"/>
  <c r="B2" s="1"/>
  <c r="D2" i="5" s="1"/>
  <c r="C111" i="40" l="1"/>
  <c r="B111"/>
  <c r="Q111"/>
  <c r="P111"/>
  <c r="O111"/>
  <c r="N111"/>
  <c r="M111"/>
  <c r="L111"/>
  <c r="K111"/>
  <c r="J111"/>
  <c r="I111"/>
  <c r="H111"/>
  <c r="G111"/>
  <c r="F111"/>
  <c r="E111"/>
  <c r="D111"/>
  <c r="D111" i="44"/>
  <c r="C111"/>
  <c r="B111"/>
  <c r="Q111"/>
  <c r="P111"/>
  <c r="O111"/>
  <c r="N111"/>
  <c r="M111"/>
  <c r="L111"/>
  <c r="K111"/>
  <c r="J111"/>
  <c r="I111"/>
  <c r="H111"/>
  <c r="G111"/>
  <c r="F111"/>
  <c r="E111"/>
  <c r="C111" i="33"/>
  <c r="B111"/>
  <c r="Q111"/>
  <c r="P111"/>
  <c r="O111"/>
  <c r="N111"/>
  <c r="M111"/>
  <c r="L111"/>
  <c r="K111"/>
  <c r="J111"/>
  <c r="I111"/>
  <c r="H111"/>
  <c r="G111"/>
  <c r="F111"/>
  <c r="E111"/>
  <c r="D111"/>
  <c r="O111" i="32"/>
  <c r="N111"/>
  <c r="M111"/>
  <c r="L111"/>
  <c r="K111"/>
  <c r="J111"/>
  <c r="I111"/>
  <c r="H111"/>
  <c r="G111"/>
  <c r="F111"/>
  <c r="E111"/>
  <c r="D111"/>
  <c r="C111"/>
  <c r="B111"/>
  <c r="Q111"/>
  <c r="P111"/>
  <c r="O111" i="31"/>
  <c r="N111"/>
  <c r="M111"/>
  <c r="L111"/>
  <c r="K111"/>
  <c r="J111"/>
  <c r="I111"/>
  <c r="H111"/>
  <c r="G111"/>
  <c r="F111"/>
  <c r="E111"/>
  <c r="D111"/>
  <c r="C111"/>
  <c r="B111"/>
  <c r="Q111"/>
  <c r="P111"/>
  <c r="M111" i="30"/>
  <c r="L111"/>
  <c r="K111"/>
  <c r="J111"/>
  <c r="I111"/>
  <c r="H111"/>
  <c r="G111"/>
  <c r="F111"/>
  <c r="E111"/>
  <c r="D111"/>
  <c r="C111"/>
  <c r="B111"/>
  <c r="Q111"/>
  <c r="P111"/>
  <c r="O111"/>
  <c r="N111"/>
  <c r="L111" i="29"/>
  <c r="K111"/>
  <c r="J111"/>
  <c r="I111"/>
  <c r="H111"/>
  <c r="G111"/>
  <c r="F111"/>
  <c r="E111"/>
  <c r="D111"/>
  <c r="C111"/>
  <c r="B111"/>
  <c r="Q111"/>
  <c r="P111"/>
  <c r="O111"/>
  <c r="N111"/>
  <c r="M111"/>
  <c r="J111" i="28"/>
  <c r="I111"/>
  <c r="H111"/>
  <c r="G111"/>
  <c r="F111"/>
  <c r="E111"/>
  <c r="D111"/>
  <c r="C111"/>
  <c r="B111"/>
  <c r="Q111"/>
  <c r="P111"/>
  <c r="O111"/>
  <c r="N111"/>
  <c r="M111"/>
  <c r="L111"/>
  <c r="K111"/>
  <c r="G111" i="27"/>
  <c r="F111"/>
  <c r="E111"/>
  <c r="D111"/>
  <c r="C111"/>
  <c r="B111"/>
  <c r="Q111"/>
  <c r="P111"/>
  <c r="O111"/>
  <c r="N111"/>
  <c r="M111"/>
  <c r="L111"/>
  <c r="K111"/>
  <c r="J111"/>
  <c r="I111"/>
  <c r="H111"/>
  <c r="E111" i="26"/>
  <c r="D111"/>
  <c r="C111"/>
  <c r="B111"/>
  <c r="Q111"/>
  <c r="P111"/>
  <c r="O111"/>
  <c r="N111"/>
  <c r="M111"/>
  <c r="L111"/>
  <c r="K111"/>
  <c r="J111"/>
  <c r="I111"/>
  <c r="H111"/>
  <c r="G111"/>
  <c r="F111"/>
  <c r="F111" i="25"/>
  <c r="E111"/>
  <c r="D111"/>
  <c r="C111"/>
  <c r="B111"/>
  <c r="Q111"/>
  <c r="P111"/>
  <c r="O111"/>
  <c r="N111"/>
  <c r="M111"/>
  <c r="L111"/>
  <c r="K111"/>
  <c r="J111"/>
  <c r="I111"/>
  <c r="H111"/>
  <c r="G111"/>
  <c r="E111" i="24"/>
  <c r="F111"/>
  <c r="D111"/>
  <c r="C111"/>
  <c r="B111"/>
  <c r="Q111"/>
  <c r="P111"/>
  <c r="O111"/>
  <c r="N111"/>
  <c r="M111"/>
  <c r="L111"/>
  <c r="K111"/>
  <c r="J111"/>
  <c r="I111"/>
  <c r="H111"/>
  <c r="G111"/>
  <c r="G111" i="23"/>
  <c r="F111"/>
  <c r="E111"/>
  <c r="D111"/>
  <c r="C111"/>
  <c r="B111"/>
  <c r="Q111"/>
  <c r="P111"/>
  <c r="O111"/>
  <c r="N111"/>
  <c r="M111"/>
  <c r="L111"/>
  <c r="K111"/>
  <c r="J111"/>
  <c r="I111"/>
  <c r="H111"/>
  <c r="E111" i="22"/>
  <c r="D111"/>
  <c r="C111"/>
  <c r="B111"/>
  <c r="Q111"/>
  <c r="P111"/>
  <c r="O111"/>
  <c r="N111"/>
  <c r="M111"/>
  <c r="L111"/>
  <c r="K111"/>
  <c r="J111"/>
  <c r="I111"/>
  <c r="H111"/>
  <c r="G111"/>
  <c r="F111"/>
  <c r="C111" i="21"/>
  <c r="B111"/>
  <c r="Q111"/>
  <c r="P111"/>
  <c r="O111"/>
  <c r="N111"/>
  <c r="M111"/>
  <c r="L111"/>
  <c r="K111"/>
  <c r="J111"/>
  <c r="I111"/>
  <c r="H111"/>
  <c r="G111"/>
  <c r="F111"/>
  <c r="E111"/>
  <c r="D111"/>
  <c r="Q111" i="20"/>
  <c r="P111"/>
  <c r="O111"/>
  <c r="N111"/>
  <c r="M111"/>
  <c r="L111"/>
  <c r="K111"/>
  <c r="J111"/>
  <c r="I111"/>
  <c r="H111"/>
  <c r="G111"/>
  <c r="F111"/>
  <c r="E111"/>
  <c r="D111"/>
  <c r="C111"/>
  <c r="B111"/>
  <c r="B111" i="19"/>
  <c r="Q111"/>
  <c r="P111"/>
  <c r="O111"/>
  <c r="N111"/>
  <c r="M111"/>
  <c r="L111"/>
  <c r="K111"/>
  <c r="J111"/>
  <c r="I111"/>
  <c r="H111"/>
  <c r="G111"/>
  <c r="F111"/>
  <c r="E111"/>
  <c r="D111"/>
  <c r="C111"/>
  <c r="O111" i="18"/>
  <c r="N111"/>
  <c r="M111"/>
  <c r="L111"/>
  <c r="K111"/>
  <c r="Q112"/>
  <c r="J111"/>
  <c r="I111"/>
  <c r="H111"/>
  <c r="G111"/>
  <c r="F111"/>
  <c r="E111"/>
  <c r="P112"/>
  <c r="D111"/>
  <c r="C111"/>
  <c r="B111"/>
  <c r="D111" i="17"/>
  <c r="O111"/>
  <c r="N112"/>
  <c r="M111"/>
  <c r="L111"/>
  <c r="K111"/>
  <c r="J111"/>
  <c r="I111"/>
  <c r="H111"/>
  <c r="G111"/>
  <c r="F111"/>
  <c r="E111"/>
  <c r="C111"/>
  <c r="B111"/>
  <c r="Q111"/>
  <c r="P111"/>
  <c r="O111" i="16"/>
  <c r="N111"/>
  <c r="M111"/>
  <c r="L111"/>
  <c r="K111"/>
  <c r="J111"/>
  <c r="I111"/>
  <c r="H111"/>
  <c r="G111"/>
  <c r="F111"/>
  <c r="E111"/>
  <c r="D111"/>
  <c r="C111"/>
  <c r="B111"/>
  <c r="Q111"/>
  <c r="P111"/>
  <c r="M111" i="15"/>
  <c r="L111"/>
  <c r="K111"/>
  <c r="J111"/>
  <c r="I111"/>
  <c r="H111"/>
  <c r="G111"/>
  <c r="F111"/>
  <c r="E111"/>
  <c r="D111"/>
  <c r="C111"/>
  <c r="B111"/>
  <c r="Q111"/>
  <c r="P111"/>
  <c r="O111"/>
  <c r="N111"/>
  <c r="N111" i="14"/>
  <c r="M111"/>
  <c r="L111"/>
  <c r="K111"/>
  <c r="J111"/>
  <c r="I111"/>
  <c r="H111"/>
  <c r="G111"/>
  <c r="F111"/>
  <c r="E111"/>
  <c r="D111"/>
  <c r="C111"/>
  <c r="B111"/>
  <c r="Q111"/>
  <c r="P111"/>
  <c r="O111"/>
  <c r="O111" i="13"/>
  <c r="N111"/>
  <c r="M111"/>
  <c r="L111"/>
  <c r="K111"/>
  <c r="J111"/>
  <c r="I111"/>
  <c r="H111"/>
  <c r="G111"/>
  <c r="F111"/>
  <c r="E111"/>
  <c r="D111"/>
  <c r="C111"/>
  <c r="B111"/>
  <c r="Q111"/>
  <c r="P111"/>
  <c r="P111" i="12"/>
  <c r="O111"/>
  <c r="N111"/>
  <c r="M111"/>
  <c r="L111"/>
  <c r="K111"/>
  <c r="J111"/>
  <c r="I111"/>
  <c r="H111"/>
  <c r="G111"/>
  <c r="F111"/>
  <c r="E111"/>
  <c r="D111"/>
  <c r="C111"/>
  <c r="B111"/>
  <c r="Q111"/>
  <c r="Q111" i="11"/>
  <c r="P111"/>
  <c r="O111"/>
  <c r="N111"/>
  <c r="M111"/>
  <c r="L111"/>
  <c r="K111"/>
  <c r="J111"/>
  <c r="I111"/>
  <c r="H111"/>
  <c r="G111"/>
  <c r="F111"/>
  <c r="E111"/>
  <c r="D111"/>
  <c r="C111"/>
  <c r="B111"/>
  <c r="B111" i="10"/>
  <c r="Q111"/>
  <c r="P111"/>
  <c r="O111"/>
  <c r="N111"/>
  <c r="M111"/>
  <c r="L111"/>
  <c r="K111"/>
  <c r="J111"/>
  <c r="I111"/>
  <c r="H111"/>
  <c r="G111"/>
  <c r="F111"/>
  <c r="E111"/>
  <c r="D111"/>
  <c r="C111"/>
  <c r="C111" i="9"/>
  <c r="B111"/>
  <c r="Q111"/>
  <c r="P111"/>
  <c r="O111"/>
  <c r="N111"/>
  <c r="M111"/>
  <c r="L111"/>
  <c r="K111"/>
  <c r="J111"/>
  <c r="I111"/>
  <c r="H111"/>
  <c r="G111"/>
  <c r="F111"/>
  <c r="E111"/>
  <c r="D111"/>
  <c r="Q111" i="8"/>
  <c r="P111"/>
  <c r="O111"/>
  <c r="N111"/>
  <c r="M111"/>
  <c r="L111"/>
  <c r="K111"/>
  <c r="J111"/>
  <c r="I111"/>
  <c r="H111"/>
  <c r="B112"/>
  <c r="G111"/>
  <c r="F111"/>
  <c r="E111"/>
  <c r="D111"/>
  <c r="C111"/>
  <c r="C111" i="3"/>
  <c r="B111"/>
  <c r="Q111"/>
  <c r="P111"/>
  <c r="O111"/>
  <c r="N111"/>
  <c r="M111"/>
  <c r="L111"/>
  <c r="K111"/>
  <c r="J111"/>
  <c r="I111"/>
  <c r="H111"/>
  <c r="G111"/>
  <c r="F111"/>
  <c r="E111"/>
  <c r="D111"/>
  <c r="K44" i="39"/>
  <c r="K43"/>
  <c r="K42"/>
  <c r="K41"/>
  <c r="K40"/>
  <c r="D44"/>
  <c r="D43"/>
  <c r="D42"/>
  <c r="D41"/>
  <c r="D40"/>
  <c r="Q44"/>
  <c r="Q43"/>
  <c r="Q42"/>
  <c r="Q41"/>
  <c r="Q40"/>
  <c r="P44"/>
  <c r="P43"/>
  <c r="P42"/>
  <c r="P41"/>
  <c r="P40"/>
  <c r="O44"/>
  <c r="O43"/>
  <c r="O42"/>
  <c r="O41"/>
  <c r="O40"/>
  <c r="N44"/>
  <c r="N43"/>
  <c r="N42"/>
  <c r="N41"/>
  <c r="N40"/>
  <c r="M44"/>
  <c r="M43"/>
  <c r="M42"/>
  <c r="M41"/>
  <c r="M40"/>
  <c r="L44"/>
  <c r="L43"/>
  <c r="L42"/>
  <c r="L41"/>
  <c r="L40"/>
  <c r="J44"/>
  <c r="J43"/>
  <c r="J42"/>
  <c r="J41"/>
  <c r="J40"/>
  <c r="H44"/>
  <c r="H43"/>
  <c r="H42"/>
  <c r="H41"/>
  <c r="H40"/>
  <c r="B44"/>
  <c r="B43"/>
  <c r="B42"/>
  <c r="B41"/>
  <c r="B40"/>
  <c r="I44"/>
  <c r="I43"/>
  <c r="I42"/>
  <c r="I41"/>
  <c r="I40"/>
  <c r="F44"/>
  <c r="F43"/>
  <c r="F42"/>
  <c r="F41"/>
  <c r="F40"/>
  <c r="C44"/>
  <c r="C43"/>
  <c r="C42"/>
  <c r="C41"/>
  <c r="C40"/>
  <c r="G44"/>
  <c r="G43"/>
  <c r="G42"/>
  <c r="G41"/>
  <c r="G40"/>
  <c r="E44"/>
  <c r="E43"/>
  <c r="E42"/>
  <c r="E41"/>
  <c r="E40"/>
  <c r="D111" i="2"/>
  <c r="C111"/>
  <c r="B111"/>
  <c r="Q111"/>
  <c r="P111"/>
  <c r="O111"/>
  <c r="N111"/>
  <c r="M111"/>
  <c r="L111"/>
  <c r="K111"/>
  <c r="J111"/>
  <c r="I111"/>
  <c r="H111"/>
  <c r="G111"/>
  <c r="F111"/>
  <c r="E111"/>
  <c r="P46" i="39" l="1"/>
  <c r="P45"/>
  <c r="K46"/>
  <c r="K45"/>
  <c r="O46"/>
  <c r="O45"/>
  <c r="C46"/>
  <c r="C45"/>
  <c r="D46"/>
  <c r="D45"/>
  <c r="G46"/>
  <c r="G45"/>
  <c r="I46"/>
  <c r="I45"/>
  <c r="L46"/>
  <c r="L45"/>
  <c r="J46"/>
  <c r="J45"/>
  <c r="N46"/>
  <c r="N45"/>
  <c r="Q46"/>
  <c r="Q45"/>
  <c r="E46"/>
  <c r="E45"/>
  <c r="B46"/>
  <c r="B45"/>
  <c r="F46"/>
  <c r="F45"/>
  <c r="H46"/>
  <c r="H45"/>
  <c r="M46"/>
  <c r="M45"/>
</calcChain>
</file>

<file path=xl/sharedStrings.xml><?xml version="1.0" encoding="utf-8"?>
<sst xmlns="http://schemas.openxmlformats.org/spreadsheetml/2006/main" count="2917" uniqueCount="239">
  <si>
    <t>Station:</t>
  </si>
  <si>
    <t>IGKV 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</si>
  <si>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</si>
  <si>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</si>
  <si>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</si>
  <si>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</si>
  <si>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</si>
  <si>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</si>
  <si>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</si>
  <si>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</si>
  <si>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</si>
  <si>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</si>
  <si>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</si>
  <si>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</si>
  <si>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</si>
  <si>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</si>
  <si>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</si>
  <si>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</si>
  <si>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</si>
  <si>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</si>
  <si>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</si>
  <si>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</si>
  <si>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</si>
  <si>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NO</t>
  </si>
  <si>
    <t xml:space="preserve">NO2 </t>
  </si>
  <si>
    <t xml:space="preserve">NOX </t>
  </si>
  <si>
    <t xml:space="preserve">SO2 </t>
  </si>
  <si>
    <t xml:space="preserve">O3 </t>
  </si>
  <si>
    <t xml:space="preserve">PM 10 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</si>
  <si>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</si>
  <si>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</si>
  <si>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</si>
  <si>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</si>
  <si>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</si>
  <si>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</si>
  <si>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</si>
  <si>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</si>
  <si>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</si>
  <si>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</si>
  <si>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</si>
  <si>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</si>
  <si>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m/sec</t>
  </si>
  <si>
    <t>deg</t>
  </si>
  <si>
    <t>degreC</t>
  </si>
  <si>
    <t>%</t>
  </si>
  <si>
    <t>w/m2</t>
  </si>
  <si>
    <t>mm</t>
  </si>
  <si>
    <t>mg/m3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</si>
  <si>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</si>
  <si>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</si>
  <si>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</si>
  <si>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</si>
  <si>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</si>
  <si>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</si>
  <si>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</si>
  <si>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</si>
  <si>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</si>
  <si>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</si>
  <si>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</si>
  <si>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</si>
  <si>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Report:</t>
  </si>
  <si>
    <t>Calibration Report Of IGKV, RAIPUR</t>
  </si>
  <si>
    <t>01/10/2022 00:15 - 31/10/2022 00:00</t>
  </si>
  <si>
    <t>SO2</t>
  </si>
  <si>
    <t>PM 10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</si>
  <si>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</si>
  <si>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</si>
  <si>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</si>
  <si>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</si>
  <si>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</si>
  <si>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</si>
  <si>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</si>
  <si>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</si>
  <si>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</si>
  <si>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</si>
  <si>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</si>
  <si>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Blanks Count</t>
  </si>
  <si>
    <t>Referance Gauge</t>
  </si>
  <si>
    <t>Measure</t>
  </si>
  <si>
    <t>Old K</t>
  </si>
  <si>
    <t>New K</t>
  </si>
  <si>
    <t>Valid</t>
  </si>
  <si>
    <t>864 ug/cm2</t>
  </si>
  <si>
    <r>
      <rPr>
        <b/>
        <sz val="10"/>
        <color theme="0"/>
        <rFont val="Arial"/>
        <family val="2"/>
      </rP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</si>
  <si>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rPr>
        <b/>
        <sz val="10"/>
        <color theme="0"/>
        <rFont val="Arial"/>
        <family val="2"/>
      </rP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</si>
  <si>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t>NOX</t>
  </si>
  <si>
    <t>Nox</t>
  </si>
  <si>
    <t>789 ug/cm2</t>
  </si>
  <si>
    <r>
      <rPr>
        <b/>
        <sz val="10"/>
        <color theme="0"/>
        <rFont val="Arial"/>
        <family val="2"/>
      </rP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</si>
  <si>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r>
      <rPr>
        <b/>
        <sz val="10"/>
        <color theme="0"/>
        <rFont val="Arial"/>
        <family val="2"/>
      </rP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</si>
  <si>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rPr>
        <b/>
        <sz val="10"/>
        <color theme="0"/>
        <rFont val="Arial"/>
        <family val="2"/>
      </rP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</si>
  <si>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rPr>
        <b/>
        <sz val="10"/>
        <color theme="0"/>
        <rFont val="Arial"/>
        <family val="2"/>
      </rPr>
      <t>No. OF VALID CALIBRATION OF CO</t>
    </r>
    <r>
      <rPr>
        <b/>
        <sz val="10"/>
        <color indexed="9"/>
        <rFont val="Arial"/>
        <family val="2"/>
      </rPr>
      <t xml:space="preserve"> ARE </t>
    </r>
  </si>
  <si>
    <t>VOC</t>
  </si>
  <si>
    <r>
      <rPr>
        <b/>
        <sz val="10"/>
        <color theme="0"/>
        <rFont val="Arial"/>
        <family val="2"/>
      </rP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</si>
  <si>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O3</t>
  </si>
  <si>
    <r>
      <rPr>
        <b/>
        <sz val="10"/>
        <color theme="0"/>
        <rFont val="Arial"/>
        <family val="2"/>
      </rP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</si>
  <si>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POWER OFF REPORT OF IGKV, RAIPUR</t>
  </si>
  <si>
    <t>Month of</t>
  </si>
  <si>
    <t>Start Date</t>
  </si>
  <si>
    <t>Stop Date</t>
  </si>
  <si>
    <t>Duration  (HH:MM)</t>
  </si>
  <si>
    <t>TOTAL</t>
  </si>
  <si>
    <t>MUX signal Report REPORT OF IGKV, RAIPUR MONTH OF</t>
  </si>
  <si>
    <t>MUX</t>
  </si>
  <si>
    <t>DATE</t>
  </si>
  <si>
    <t xml:space="preserve"> +24v</t>
  </si>
  <si>
    <t>5v</t>
  </si>
  <si>
    <t>4mv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</si>
  <si>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</si>
  <si>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</si>
  <si>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</si>
  <si>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</si>
  <si>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</si>
  <si>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</si>
  <si>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</si>
  <si>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</si>
  <si>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</si>
  <si>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</si>
  <si>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</si>
  <si>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</si>
  <si>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</si>
  <si>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</si>
  <si>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</si>
  <si>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</si>
  <si>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</si>
  <si>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</si>
  <si>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</si>
  <si>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</si>
  <si>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</si>
  <si>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</si>
  <si>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</si>
  <si>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</si>
  <si>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</si>
  <si>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</si>
  <si>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4v</t>
  </si>
  <si>
    <t>GND</t>
  </si>
  <si>
    <t>Int. T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</si>
  <si>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</si>
  <si>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</si>
  <si>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</si>
  <si>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</si>
  <si>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</si>
  <si>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</si>
  <si>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</si>
  <si>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</si>
  <si>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</si>
  <si>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</si>
  <si>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</si>
  <si>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</si>
  <si>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Cham. T</t>
  </si>
  <si>
    <t>2.5v Ref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</si>
  <si>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</si>
  <si>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</si>
  <si>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</si>
  <si>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</si>
  <si>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</si>
  <si>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</si>
  <si>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</si>
  <si>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</si>
  <si>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</si>
  <si>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</si>
  <si>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</si>
  <si>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</si>
  <si>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</si>
  <si>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</si>
  <si>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</si>
  <si>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</si>
  <si>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</si>
  <si>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</si>
  <si>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</si>
  <si>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</si>
  <si>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</si>
  <si>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>RPM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</si>
  <si>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</si>
  <si>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</si>
  <si>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</si>
  <si>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</si>
  <si>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</si>
  <si>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</si>
  <si>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</si>
  <si>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</si>
  <si>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</si>
  <si>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</si>
  <si>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Ref .ratio</t>
  </si>
  <si>
    <t xml:space="preserve"> Mean sig</t>
  </si>
  <si>
    <t xml:space="preserve"> Raw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</si>
  <si>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</si>
  <si>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</si>
  <si>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</si>
  <si>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</si>
  <si>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</si>
  <si>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Raw trend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</si>
  <si>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</si>
  <si>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</si>
  <si>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</si>
  <si>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</si>
  <si>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</si>
  <si>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</si>
  <si>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</si>
  <si>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</si>
  <si>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</si>
  <si>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</si>
  <si>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</si>
  <si>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</si>
  <si>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</si>
  <si>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</si>
  <si>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</si>
  <si>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</si>
  <si>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</si>
  <si>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</si>
  <si>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</si>
  <si>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</si>
  <si>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</si>
  <si>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</si>
  <si>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</si>
  <si>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</si>
  <si>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</si>
  <si>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</si>
  <si>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</si>
  <si>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</si>
  <si>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</si>
  <si>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</si>
  <si>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</si>
  <si>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</si>
  <si>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Cooling fan</t>
  </si>
  <si>
    <t>Temp.</t>
  </si>
  <si>
    <t xml:space="preserve">Mixing fan </t>
  </si>
  <si>
    <t>Carrier gaz</t>
  </si>
  <si>
    <t>Column pr.</t>
  </si>
  <si>
    <t>Supply pr.</t>
  </si>
  <si>
    <t>Hot box</t>
  </si>
  <si>
    <t>Vacuum pump</t>
  </si>
  <si>
    <t>Trap pr.</t>
  </si>
  <si>
    <t>Atmo. Pr.</t>
  </si>
  <si>
    <t>Purge value</t>
  </si>
  <si>
    <t>Pilot value</t>
  </si>
  <si>
    <t>Zero valve</t>
  </si>
  <si>
    <t>Span valve</t>
  </si>
  <si>
    <t>K.Karmakar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</si>
</sst>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mmmm\-yyyy"/>
    <numFmt numFmtId="166" formatCode="0.0000"/>
  </numFmts>
  <fonts count="43">
    <font>
      <sz val="11"/>
      <color theme="1"/>
      <name val="Calibri"/>
      <charset val="134"/>
      <scheme val="minor"/>
    </font>
    <font>
      <b/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6"/>
      <color theme="0"/>
      <name val="Arial Black"/>
      <family val="2"/>
    </font>
    <font>
      <b/>
      <sz val="16"/>
      <color theme="0"/>
      <name val="Arial Black"/>
      <family val="2"/>
    </font>
    <font>
      <b/>
      <sz val="24"/>
      <color theme="1"/>
      <name val="Arial Black"/>
      <family val="2"/>
    </font>
    <font>
      <b/>
      <sz val="11"/>
      <name val="Arial"/>
      <family val="2"/>
    </font>
    <font>
      <b/>
      <sz val="11"/>
      <color rgb="FFFF0000"/>
      <name val="Calibri"/>
      <family val="2"/>
      <scheme val="minor"/>
    </font>
    <font>
      <b/>
      <sz val="22"/>
      <color theme="1"/>
      <name val="Arial Black"/>
      <family val="2"/>
    </font>
    <font>
      <b/>
      <sz val="9"/>
      <color rgb="FFFF0000"/>
      <name val="Calibri"/>
      <family val="2"/>
      <scheme val="minor"/>
    </font>
    <font>
      <b/>
      <sz val="9"/>
      <color rgb="FFFF0000"/>
      <name val="Arial"/>
      <family val="2"/>
    </font>
    <font>
      <sz val="10"/>
      <name val="Arial"/>
      <family val="2"/>
    </font>
    <font>
      <b/>
      <sz val="26"/>
      <color theme="1"/>
      <name val="Arial Black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2"/>
      <name val="Arial"/>
      <family val="2"/>
    </font>
    <font>
      <b/>
      <sz val="10"/>
      <color theme="2" tint="-0.89996032593768116"/>
      <name val="Arial Black"/>
      <family val="2"/>
    </font>
    <font>
      <b/>
      <sz val="10"/>
      <name val="Calibri"/>
      <family val="2"/>
      <scheme val="minor"/>
    </font>
    <font>
      <b/>
      <sz val="10"/>
      <color theme="2" tint="-0.89996032593768116"/>
      <name val="Arial"/>
      <family val="2"/>
    </font>
    <font>
      <b/>
      <sz val="12"/>
      <name val="Calibri"/>
      <family val="2"/>
      <scheme val="minor"/>
    </font>
    <font>
      <b/>
      <i/>
      <sz val="12"/>
      <name val="Arial"/>
      <family val="2"/>
    </font>
    <font>
      <b/>
      <i/>
      <sz val="10"/>
      <name val="Arial"/>
      <family val="2"/>
    </font>
    <font>
      <sz val="9"/>
      <color theme="3" tint="0.3999450666829432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2" tint="-0.89996032593768116"/>
      <name val="Arial Black"/>
      <family val="2"/>
    </font>
    <font>
      <sz val="11"/>
      <color theme="3" tint="0.39994506668294322"/>
      <name val="Calibri"/>
      <family val="2"/>
      <scheme val="minor"/>
    </font>
    <font>
      <b/>
      <sz val="9"/>
      <name val="Calibri"/>
      <family val="2"/>
      <scheme val="minor"/>
    </font>
    <font>
      <sz val="12"/>
      <color theme="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indexed="12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sz val="10"/>
      <color indexed="12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rgb="FF00B050"/>
      <name val="Arial"/>
      <family val="2"/>
    </font>
    <font>
      <b/>
      <sz val="10"/>
      <color theme="5" tint="-0.249977111117893"/>
      <name val="Arial"/>
      <family val="2"/>
    </font>
    <font>
      <b/>
      <sz val="10"/>
      <color indexed="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0" fontId="7" fillId="0" borderId="11" xfId="0" applyFont="1" applyBorder="1" applyAlignment="1">
      <alignment horizontal="center"/>
    </xf>
    <xf numFmtId="0" fontId="0" fillId="3" borderId="16" xfId="0" applyFill="1" applyBorder="1" applyAlignment="1">
      <alignment horizontal="center"/>
    </xf>
    <xf numFmtId="14" fontId="11" fillId="0" borderId="0" xfId="0" applyNumberFormat="1" applyFont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9" fillId="0" borderId="13" xfId="0" applyFont="1" applyBorder="1" applyAlignment="1">
      <alignment horizontal="center" wrapText="1"/>
    </xf>
    <xf numFmtId="0" fontId="10" fillId="0" borderId="0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15" fillId="0" borderId="0" xfId="0" applyFont="1" applyFill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9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19" fillId="4" borderId="22" xfId="0" applyFont="1" applyFill="1" applyBorder="1" applyAlignment="1">
      <alignment horizontal="center"/>
    </xf>
    <xf numFmtId="0" fontId="20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7" fillId="0" borderId="23" xfId="0" applyFont="1" applyFill="1" applyBorder="1"/>
    <xf numFmtId="0" fontId="21" fillId="0" borderId="0" xfId="0" applyFont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9" fillId="4" borderId="11" xfId="0" applyFont="1" applyFill="1" applyBorder="1" applyAlignment="1">
      <alignment horizontal="center"/>
    </xf>
    <xf numFmtId="0" fontId="19" fillId="0" borderId="2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0" fillId="0" borderId="0" xfId="0" applyBorder="1"/>
    <xf numFmtId="0" fontId="22" fillId="3" borderId="27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7" fillId="0" borderId="0" xfId="0" applyFont="1" applyFill="1" applyBorder="1"/>
    <xf numFmtId="0" fontId="0" fillId="0" borderId="0" xfId="0" applyFill="1" applyBorder="1"/>
    <xf numFmtId="0" fontId="14" fillId="3" borderId="28" xfId="0" applyFont="1" applyFill="1" applyBorder="1" applyAlignment="1">
      <alignment horizontal="center"/>
    </xf>
    <xf numFmtId="0" fontId="25" fillId="3" borderId="2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9" fillId="0" borderId="13" xfId="0" applyFont="1" applyFill="1" applyBorder="1" applyAlignment="1">
      <alignment horizontal="center" wrapText="1"/>
    </xf>
    <xf numFmtId="0" fontId="23" fillId="0" borderId="0" xfId="0" applyFont="1" applyBorder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6" fillId="3" borderId="27" xfId="0" applyFont="1" applyFill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23" fillId="0" borderId="9" xfId="0" applyFont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9" fillId="0" borderId="7" xfId="0" applyFont="1" applyFill="1" applyBorder="1" applyAlignment="1">
      <alignment horizontal="center" wrapText="1"/>
    </xf>
    <xf numFmtId="0" fontId="26" fillId="0" borderId="0" xfId="0" applyFont="1" applyFill="1" applyBorder="1" applyAlignment="1">
      <alignment horizontal="center"/>
    </xf>
    <xf numFmtId="0" fontId="23" fillId="0" borderId="31" xfId="0" applyFont="1" applyBorder="1" applyAlignment="1">
      <alignment horizontal="center"/>
    </xf>
    <xf numFmtId="0" fontId="28" fillId="0" borderId="7" xfId="0" applyFont="1" applyBorder="1" applyAlignment="1">
      <alignment horizontal="center" vertical="center" wrapText="1"/>
    </xf>
    <xf numFmtId="46" fontId="6" fillId="0" borderId="7" xfId="0" applyNumberFormat="1" applyFont="1" applyBorder="1" applyAlignment="1">
      <alignment horizontal="center" vertical="center" wrapText="1"/>
    </xf>
    <xf numFmtId="22" fontId="0" fillId="0" borderId="7" xfId="0" applyNumberFormat="1" applyBorder="1" applyAlignment="1">
      <alignment horizontal="center" vertical="center"/>
    </xf>
    <xf numFmtId="46" fontId="29" fillId="0" borderId="7" xfId="0" applyNumberFormat="1" applyFont="1" applyBorder="1" applyAlignment="1">
      <alignment horizontal="center"/>
    </xf>
    <xf numFmtId="22" fontId="0" fillId="0" borderId="7" xfId="0" applyNumberFormat="1" applyBorder="1" applyAlignment="1">
      <alignment horizontal="center"/>
    </xf>
    <xf numFmtId="22" fontId="0" fillId="0" borderId="7" xfId="0" applyNumberFormat="1" applyFill="1" applyBorder="1" applyAlignment="1">
      <alignment horizontal="center"/>
    </xf>
    <xf numFmtId="22" fontId="2" fillId="0" borderId="7" xfId="0" applyNumberFormat="1" applyFont="1" applyFill="1" applyBorder="1" applyAlignment="1">
      <alignment horizontal="center"/>
    </xf>
    <xf numFmtId="22" fontId="0" fillId="0" borderId="0" xfId="0" applyNumberFormat="1" applyFill="1" applyAlignment="1">
      <alignment horizontal="center"/>
    </xf>
    <xf numFmtId="22" fontId="0" fillId="0" borderId="0" xfId="0" applyNumberFormat="1" applyAlignment="1">
      <alignment horizontal="center"/>
    </xf>
    <xf numFmtId="46" fontId="2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28" fillId="0" borderId="32" xfId="0" applyNumberFormat="1" applyFont="1" applyBorder="1" applyAlignment="1">
      <alignment horizontal="center" vertical="center"/>
    </xf>
    <xf numFmtId="22" fontId="0" fillId="0" borderId="3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2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2" fontId="28" fillId="0" borderId="8" xfId="0" applyNumberFormat="1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2" fontId="28" fillId="0" borderId="7" xfId="0" applyNumberFormat="1" applyFont="1" applyBorder="1" applyAlignment="1">
      <alignment horizontal="center"/>
    </xf>
    <xf numFmtId="22" fontId="0" fillId="0" borderId="35" xfId="0" applyNumberFormat="1" applyBorder="1" applyAlignment="1">
      <alignment horizontal="center"/>
    </xf>
    <xf numFmtId="0" fontId="34" fillId="0" borderId="0" xfId="0" applyFont="1" applyAlignment="1">
      <alignment horizontal="center"/>
    </xf>
    <xf numFmtId="2" fontId="34" fillId="0" borderId="0" xfId="0" applyNumberFormat="1" applyFont="1" applyAlignment="1">
      <alignment horizontal="center"/>
    </xf>
    <xf numFmtId="0" fontId="34" fillId="0" borderId="34" xfId="0" applyFont="1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49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28" fillId="0" borderId="7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/>
    </xf>
    <xf numFmtId="22" fontId="0" fillId="0" borderId="7" xfId="0" applyNumberFormat="1" applyFill="1" applyBorder="1" applyAlignment="1">
      <alignment horizontal="center" vertical="center"/>
    </xf>
    <xf numFmtId="22" fontId="0" fillId="0" borderId="8" xfId="0" applyNumberFormat="1" applyBorder="1" applyAlignment="1">
      <alignment horizontal="center" vertical="center"/>
    </xf>
    <xf numFmtId="0" fontId="33" fillId="6" borderId="36" xfId="0" applyFont="1" applyFill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22" fontId="0" fillId="0" borderId="35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1" fontId="35" fillId="6" borderId="36" xfId="0" applyNumberFormat="1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6" fontId="28" fillId="0" borderId="7" xfId="0" applyNumberFormat="1" applyFont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1" fontId="35" fillId="6" borderId="36" xfId="0" applyNumberFormat="1" applyFont="1" applyFill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22" fontId="28" fillId="0" borderId="7" xfId="0" applyNumberFormat="1" applyFont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0" fontId="0" fillId="0" borderId="0" xfId="0" applyFont="1"/>
    <xf numFmtId="14" fontId="0" fillId="0" borderId="0" xfId="0" applyNumberFormat="1"/>
    <xf numFmtId="14" fontId="28" fillId="0" borderId="0" xfId="0" applyNumberFormat="1" applyFont="1" applyFill="1" applyAlignment="1">
      <alignment horizontal="center"/>
    </xf>
    <xf numFmtId="0" fontId="28" fillId="0" borderId="0" xfId="0" applyFont="1" applyAlignment="1">
      <alignment horizontal="center" wrapText="1"/>
    </xf>
    <xf numFmtId="17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14" fontId="28" fillId="0" borderId="0" xfId="0" applyNumberFormat="1" applyFont="1" applyAlignment="1">
      <alignment horizontal="center"/>
    </xf>
    <xf numFmtId="0" fontId="33" fillId="7" borderId="0" xfId="0" applyFont="1" applyFill="1" applyAlignment="1">
      <alignment horizontal="center"/>
    </xf>
    <xf numFmtId="0" fontId="33" fillId="0" borderId="0" xfId="0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33" fillId="8" borderId="0" xfId="0" applyFont="1" applyFill="1" applyAlignment="1">
      <alignment horizontal="center"/>
    </xf>
    <xf numFmtId="0" fontId="28" fillId="0" borderId="0" xfId="0" applyFont="1" applyFill="1" applyAlignment="1">
      <alignment horizontal="center"/>
    </xf>
    <xf numFmtId="14" fontId="28" fillId="0" borderId="7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22" fontId="28" fillId="0" borderId="0" xfId="0" applyNumberFormat="1" applyFont="1" applyFill="1" applyAlignment="1">
      <alignment horizontal="center"/>
    </xf>
    <xf numFmtId="2" fontId="0" fillId="0" borderId="7" xfId="0" applyNumberFormat="1" applyFont="1" applyBorder="1" applyAlignment="1">
      <alignment horizontal="center"/>
    </xf>
    <xf numFmtId="2" fontId="36" fillId="0" borderId="7" xfId="0" applyNumberFormat="1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28" fillId="0" borderId="0" xfId="0" applyNumberFormat="1" applyFont="1" applyAlignment="1">
      <alignment horizontal="center"/>
    </xf>
    <xf numFmtId="14" fontId="0" fillId="0" borderId="0" xfId="0" applyNumberFormat="1" applyFill="1" applyAlignment="1">
      <alignment horizontal="center"/>
    </xf>
    <xf numFmtId="0" fontId="38" fillId="0" borderId="0" xfId="0" applyFont="1" applyFill="1" applyAlignment="1">
      <alignment horizontal="center"/>
    </xf>
    <xf numFmtId="14" fontId="13" fillId="0" borderId="0" xfId="0" applyNumberFormat="1" applyFont="1" applyFill="1" applyAlignment="1">
      <alignment horizontal="center"/>
    </xf>
    <xf numFmtId="0" fontId="40" fillId="9" borderId="0" xfId="0" applyFont="1" applyFill="1" applyAlignment="1">
      <alignment horizontal="center"/>
    </xf>
    <xf numFmtId="0" fontId="28" fillId="0" borderId="0" xfId="0" applyFont="1" applyAlignment="1"/>
    <xf numFmtId="0" fontId="33" fillId="10" borderId="0" xfId="0" applyFont="1" applyFill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right"/>
    </xf>
    <xf numFmtId="0" fontId="33" fillId="11" borderId="0" xfId="0" applyFont="1" applyFill="1" applyAlignment="1">
      <alignment horizontal="center"/>
    </xf>
    <xf numFmtId="0" fontId="28" fillId="0" borderId="7" xfId="0" applyFont="1" applyFill="1" applyBorder="1" applyAlignment="1">
      <alignment horizontal="center" vertical="center"/>
    </xf>
    <xf numFmtId="0" fontId="33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28" fillId="0" borderId="0" xfId="0" applyFont="1" applyFill="1" applyBorder="1" applyAlignment="1">
      <alignment horizontal="center"/>
    </xf>
    <xf numFmtId="0" fontId="28" fillId="0" borderId="0" xfId="0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36" fillId="0" borderId="0" xfId="0" applyNumberFormat="1" applyFont="1" applyBorder="1" applyAlignment="1">
      <alignment horizontal="center"/>
    </xf>
    <xf numFmtId="2" fontId="11" fillId="0" borderId="0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8" fillId="0" borderId="7" xfId="0" applyFont="1" applyFill="1" applyBorder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3" fillId="0" borderId="0" xfId="0" applyFont="1" applyFill="1" applyAlignment="1">
      <alignment horizontal="center"/>
    </xf>
    <xf numFmtId="0" fontId="41" fillId="0" borderId="0" xfId="0" applyFont="1" applyAlignment="1">
      <alignment horizontal="center"/>
    </xf>
    <xf numFmtId="2" fontId="28" fillId="0" borderId="0" xfId="0" applyNumberFormat="1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37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39" fillId="5" borderId="0" xfId="0" applyFont="1" applyFill="1" applyAlignment="1">
      <alignment horizontal="left"/>
    </xf>
    <xf numFmtId="0" fontId="33" fillId="3" borderId="36" xfId="0" applyFont="1" applyFill="1" applyBorder="1" applyAlignment="1">
      <alignment horizontal="center"/>
    </xf>
    <xf numFmtId="0" fontId="33" fillId="3" borderId="34" xfId="0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 vertical="center"/>
    </xf>
    <xf numFmtId="49" fontId="31" fillId="3" borderId="3" xfId="0" applyNumberFormat="1" applyFont="1" applyFill="1" applyBorder="1" applyAlignment="1">
      <alignment horizontal="center" vertical="center"/>
    </xf>
    <xf numFmtId="49" fontId="31" fillId="3" borderId="24" xfId="0" applyNumberFormat="1" applyFont="1" applyFill="1" applyBorder="1" applyAlignment="1">
      <alignment horizontal="center" vertical="center"/>
    </xf>
    <xf numFmtId="49" fontId="28" fillId="0" borderId="2" xfId="0" applyNumberFormat="1" applyFont="1" applyBorder="1" applyAlignment="1">
      <alignment horizontal="center" vertical="center"/>
    </xf>
    <xf numFmtId="49" fontId="28" fillId="0" borderId="3" xfId="0" applyNumberFormat="1" applyFont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22" fontId="30" fillId="0" borderId="0" xfId="0" applyNumberFormat="1" applyFont="1" applyFill="1" applyAlignment="1">
      <alignment horizontal="center" wrapText="1"/>
    </xf>
    <xf numFmtId="165" fontId="27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3" borderId="19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7"/>
  <sheetViews>
    <sheetView zoomScale="80" zoomScaleNormal="80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6.42578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7.140625" style="2" customWidth="1"/>
    <col min="15" max="15" width="9.85546875" style="2" customWidth="1"/>
    <col min="16" max="16" width="14.7109375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45536.010416666664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45536.010416666664</v>
      </c>
      <c r="B9" s="112">
        <v>9.1300000000000008</v>
      </c>
      <c r="C9" s="112">
        <v>4.2699999999999996</v>
      </c>
      <c r="D9" s="112">
        <v>14</v>
      </c>
      <c r="E9" s="112">
        <v>9.51</v>
      </c>
      <c r="F9" s="112">
        <v>8.26</v>
      </c>
      <c r="G9" s="112">
        <v>57.3</v>
      </c>
      <c r="H9" s="112">
        <v>10.199999999999999</v>
      </c>
      <c r="I9" s="112">
        <v>5.34</v>
      </c>
      <c r="J9" s="112">
        <v>1.1299999999999999</v>
      </c>
      <c r="K9" s="112">
        <v>56.5</v>
      </c>
      <c r="L9" s="112">
        <v>27.09</v>
      </c>
      <c r="M9" s="112">
        <v>92.19</v>
      </c>
      <c r="N9" s="112">
        <v>2.1</v>
      </c>
      <c r="O9" s="112">
        <v>0</v>
      </c>
      <c r="P9" s="112">
        <v>0.3</v>
      </c>
      <c r="Q9" s="112">
        <v>5.03</v>
      </c>
    </row>
    <row r="10" spans="1:21" customFormat="1">
      <c r="A10" s="80">
        <v>45536.020833333336</v>
      </c>
      <c r="B10" s="112">
        <v>9.15</v>
      </c>
      <c r="C10" s="112">
        <v>4.24</v>
      </c>
      <c r="D10" s="112">
        <v>14</v>
      </c>
      <c r="E10" s="112">
        <v>9.51</v>
      </c>
      <c r="F10" s="112">
        <v>7.59</v>
      </c>
      <c r="G10" s="112">
        <v>57.3</v>
      </c>
      <c r="H10" s="112">
        <v>10.199999999999999</v>
      </c>
      <c r="I10" s="112">
        <v>5.46</v>
      </c>
      <c r="J10" s="112">
        <v>1.06</v>
      </c>
      <c r="K10" s="112">
        <v>57.07</v>
      </c>
      <c r="L10" s="112">
        <v>27.14</v>
      </c>
      <c r="M10" s="112">
        <v>91.92</v>
      </c>
      <c r="N10" s="112">
        <v>2.1</v>
      </c>
      <c r="O10" s="112">
        <v>0</v>
      </c>
      <c r="P10" s="112">
        <v>0.3</v>
      </c>
      <c r="Q10" s="112">
        <v>5.03</v>
      </c>
    </row>
    <row r="11" spans="1:21" customFormat="1">
      <c r="A11" s="80">
        <v>45536.03125</v>
      </c>
      <c r="B11" s="112">
        <v>9.14</v>
      </c>
      <c r="C11" s="112">
        <v>4.25</v>
      </c>
      <c r="D11" s="112">
        <v>14</v>
      </c>
      <c r="E11" s="112">
        <v>9.73</v>
      </c>
      <c r="F11" s="112">
        <v>7.79</v>
      </c>
      <c r="G11" s="112">
        <v>56.38</v>
      </c>
      <c r="H11" s="112">
        <v>11.27</v>
      </c>
      <c r="I11" s="112">
        <v>5.3</v>
      </c>
      <c r="J11" s="112">
        <v>1.02</v>
      </c>
      <c r="K11" s="112">
        <v>55.21</v>
      </c>
      <c r="L11" s="112">
        <v>27.11</v>
      </c>
      <c r="M11" s="112">
        <v>92.43</v>
      </c>
      <c r="N11" s="112">
        <v>2.1</v>
      </c>
      <c r="O11" s="112">
        <v>0</v>
      </c>
      <c r="P11" s="112">
        <v>0.31</v>
      </c>
      <c r="Q11" s="112">
        <v>5.03</v>
      </c>
    </row>
    <row r="12" spans="1:21" customFormat="1">
      <c r="A12" s="80">
        <v>45536.041666666664</v>
      </c>
      <c r="B12" s="112">
        <v>9.1300000000000008</v>
      </c>
      <c r="C12" s="112">
        <v>4.2699999999999996</v>
      </c>
      <c r="D12" s="112">
        <v>14</v>
      </c>
      <c r="E12" s="112">
        <v>10.36</v>
      </c>
      <c r="F12" s="112">
        <v>4.74</v>
      </c>
      <c r="G12" s="112">
        <v>53.17</v>
      </c>
      <c r="H12" s="112">
        <v>13.93</v>
      </c>
      <c r="I12" s="112">
        <v>5.24</v>
      </c>
      <c r="J12" s="112">
        <v>0.8</v>
      </c>
      <c r="K12" s="112">
        <v>59.79</v>
      </c>
      <c r="L12" s="112">
        <v>27.08</v>
      </c>
      <c r="M12" s="112">
        <v>92.81</v>
      </c>
      <c r="N12" s="112">
        <v>2.1</v>
      </c>
      <c r="O12" s="112">
        <v>0</v>
      </c>
      <c r="P12" s="112">
        <v>0.34</v>
      </c>
      <c r="Q12" s="112">
        <v>5.03</v>
      </c>
    </row>
    <row r="13" spans="1:21" customFormat="1">
      <c r="A13" s="80">
        <v>45536.052083333336</v>
      </c>
      <c r="B13" s="112">
        <v>9.08</v>
      </c>
      <c r="C13" s="112">
        <v>4.34</v>
      </c>
      <c r="D13" s="112">
        <v>14</v>
      </c>
      <c r="E13" s="112">
        <v>10.43</v>
      </c>
      <c r="F13" s="112">
        <v>3.43</v>
      </c>
      <c r="G13" s="112">
        <v>53.17</v>
      </c>
      <c r="H13" s="112">
        <v>13.93</v>
      </c>
      <c r="I13" s="112">
        <v>5.29</v>
      </c>
      <c r="J13" s="112">
        <v>0.95</v>
      </c>
      <c r="K13" s="112">
        <v>61.21</v>
      </c>
      <c r="L13" s="112">
        <v>27.2</v>
      </c>
      <c r="M13" s="112">
        <v>92.21</v>
      </c>
      <c r="N13" s="112">
        <v>2.1</v>
      </c>
      <c r="O13" s="112">
        <v>0</v>
      </c>
      <c r="P13" s="112">
        <v>0.37</v>
      </c>
      <c r="Q13" s="112">
        <v>5.03</v>
      </c>
    </row>
    <row r="14" spans="1:21" customFormat="1">
      <c r="A14" s="80">
        <v>45536.0625</v>
      </c>
      <c r="B14" s="112">
        <v>9.0500000000000007</v>
      </c>
      <c r="C14" s="112">
        <v>4.3899999999999997</v>
      </c>
      <c r="D14" s="112">
        <v>14</v>
      </c>
      <c r="E14" s="112">
        <v>10.58</v>
      </c>
      <c r="F14" s="112">
        <v>3.5</v>
      </c>
      <c r="G14" s="112">
        <v>53.17</v>
      </c>
      <c r="H14" s="112">
        <v>13.93</v>
      </c>
      <c r="I14" s="112">
        <v>5.45</v>
      </c>
      <c r="J14" s="112">
        <v>1.01</v>
      </c>
      <c r="K14" s="112">
        <v>58.87</v>
      </c>
      <c r="L14" s="112">
        <v>27.29</v>
      </c>
      <c r="M14" s="112">
        <v>91.79</v>
      </c>
      <c r="N14" s="112">
        <v>2.1</v>
      </c>
      <c r="O14" s="112">
        <v>0</v>
      </c>
      <c r="P14" s="112">
        <v>0.38</v>
      </c>
      <c r="Q14" s="112">
        <v>5.03</v>
      </c>
    </row>
    <row r="15" spans="1:21" customFormat="1">
      <c r="A15" s="80">
        <v>45536.072916666664</v>
      </c>
      <c r="B15" s="112">
        <v>9.0500000000000007</v>
      </c>
      <c r="C15" s="112">
        <v>4.3899999999999997</v>
      </c>
      <c r="D15" s="112">
        <v>14</v>
      </c>
      <c r="E15" s="112">
        <v>10.57</v>
      </c>
      <c r="F15" s="112">
        <v>2.99</v>
      </c>
      <c r="G15" s="112">
        <v>51.91</v>
      </c>
      <c r="H15" s="112">
        <v>14.42</v>
      </c>
      <c r="I15" s="112">
        <v>5.58</v>
      </c>
      <c r="J15" s="112">
        <v>0.74</v>
      </c>
      <c r="K15" s="112">
        <v>62.84</v>
      </c>
      <c r="L15" s="112">
        <v>27.34</v>
      </c>
      <c r="M15" s="112">
        <v>91.62</v>
      </c>
      <c r="N15" s="112">
        <v>2.1</v>
      </c>
      <c r="O15" s="112">
        <v>0</v>
      </c>
      <c r="P15" s="112">
        <v>0.38</v>
      </c>
      <c r="Q15" s="112">
        <v>5.0199999999999996</v>
      </c>
    </row>
    <row r="16" spans="1:21" customFormat="1">
      <c r="A16" s="80">
        <v>45536.083333333336</v>
      </c>
      <c r="B16" s="112">
        <v>9.0500000000000007</v>
      </c>
      <c r="C16" s="112">
        <v>4.3899999999999997</v>
      </c>
      <c r="D16" s="112">
        <v>14</v>
      </c>
      <c r="E16" s="112">
        <v>10.35</v>
      </c>
      <c r="F16" s="112">
        <v>2.94</v>
      </c>
      <c r="G16" s="112">
        <v>47.51</v>
      </c>
      <c r="H16" s="112">
        <v>15.62</v>
      </c>
      <c r="I16" s="112">
        <v>5.52</v>
      </c>
      <c r="J16" s="112">
        <v>0.65</v>
      </c>
      <c r="K16" s="112">
        <v>61.58</v>
      </c>
      <c r="L16" s="112">
        <v>27.37</v>
      </c>
      <c r="M16" s="112">
        <v>91.68</v>
      </c>
      <c r="N16" s="112">
        <v>2.1</v>
      </c>
      <c r="O16" s="112">
        <v>0</v>
      </c>
      <c r="P16" s="112">
        <v>0.37</v>
      </c>
      <c r="Q16" s="112">
        <v>5.0199999999999996</v>
      </c>
    </row>
    <row r="17" spans="1:17" customFormat="1">
      <c r="A17" s="80">
        <v>45536.09375</v>
      </c>
      <c r="B17" s="112">
        <v>9.0500000000000007</v>
      </c>
      <c r="C17" s="112">
        <v>4.3899999999999997</v>
      </c>
      <c r="D17" s="112">
        <v>14</v>
      </c>
      <c r="E17" s="112">
        <v>8.68</v>
      </c>
      <c r="F17" s="112">
        <v>2.81</v>
      </c>
      <c r="G17" s="112">
        <v>47.51</v>
      </c>
      <c r="H17" s="112">
        <v>15.62</v>
      </c>
      <c r="I17" s="112">
        <v>5.4</v>
      </c>
      <c r="J17" s="112">
        <v>0.4</v>
      </c>
      <c r="K17" s="112">
        <v>72.88</v>
      </c>
      <c r="L17" s="112">
        <v>27.46</v>
      </c>
      <c r="M17" s="112">
        <v>90.61</v>
      </c>
      <c r="N17" s="112">
        <v>2.1</v>
      </c>
      <c r="O17" s="112">
        <v>0</v>
      </c>
      <c r="P17" s="112">
        <v>0.37</v>
      </c>
      <c r="Q17" s="112">
        <v>5.03</v>
      </c>
    </row>
    <row r="18" spans="1:17" customFormat="1">
      <c r="A18" s="80">
        <v>45536.104166666664</v>
      </c>
      <c r="B18" s="112">
        <v>9.0500000000000007</v>
      </c>
      <c r="C18" s="112">
        <v>4.38</v>
      </c>
      <c r="D18" s="112">
        <v>14</v>
      </c>
      <c r="E18" s="112">
        <v>9.91</v>
      </c>
      <c r="F18" s="112">
        <v>3</v>
      </c>
      <c r="G18" s="112">
        <v>47.51</v>
      </c>
      <c r="H18" s="112">
        <v>15.62</v>
      </c>
      <c r="I18" s="112">
        <v>5.32</v>
      </c>
      <c r="J18" s="112">
        <v>0.57999999999999996</v>
      </c>
      <c r="K18" s="112">
        <v>69.33</v>
      </c>
      <c r="L18" s="112">
        <v>27.54</v>
      </c>
      <c r="M18" s="112">
        <v>88.26</v>
      </c>
      <c r="N18" s="112">
        <v>2.2999999999999998</v>
      </c>
      <c r="O18" s="112">
        <v>0</v>
      </c>
      <c r="P18" s="112">
        <v>0.36</v>
      </c>
      <c r="Q18" s="112">
        <v>5.03</v>
      </c>
    </row>
    <row r="19" spans="1:17" customFormat="1">
      <c r="A19" s="80">
        <v>45536.114583333336</v>
      </c>
      <c r="B19" s="112">
        <v>9.0399999999999991</v>
      </c>
      <c r="C19" s="112">
        <v>4.4000000000000004</v>
      </c>
      <c r="D19" s="112">
        <v>14</v>
      </c>
      <c r="E19" s="112">
        <v>10.18</v>
      </c>
      <c r="F19" s="112">
        <v>3.36</v>
      </c>
      <c r="G19" s="112">
        <v>46.8</v>
      </c>
      <c r="H19" s="112">
        <v>14.87</v>
      </c>
      <c r="I19" s="112">
        <v>5.31</v>
      </c>
      <c r="J19" s="112">
        <v>0.47</v>
      </c>
      <c r="K19" s="112">
        <v>66.91</v>
      </c>
      <c r="L19" s="112">
        <v>27.35</v>
      </c>
      <c r="M19" s="112">
        <v>87.97</v>
      </c>
      <c r="N19" s="112">
        <v>2.2999999999999998</v>
      </c>
      <c r="O19" s="112">
        <v>0</v>
      </c>
      <c r="P19" s="112">
        <v>0.36</v>
      </c>
      <c r="Q19" s="112">
        <v>5.04</v>
      </c>
    </row>
    <row r="20" spans="1:17" customFormat="1">
      <c r="A20" s="80">
        <v>45536.125</v>
      </c>
      <c r="B20" s="112">
        <v>9.0299999999999994</v>
      </c>
      <c r="C20" s="112">
        <v>4.42</v>
      </c>
      <c r="D20" s="112">
        <v>14</v>
      </c>
      <c r="E20" s="112">
        <v>10.09</v>
      </c>
      <c r="F20" s="112">
        <v>2.91</v>
      </c>
      <c r="G20" s="112">
        <v>44.31</v>
      </c>
      <c r="H20" s="112">
        <v>11.31</v>
      </c>
      <c r="I20" s="112">
        <v>5.3</v>
      </c>
      <c r="J20" s="112">
        <v>0.59</v>
      </c>
      <c r="K20" s="112">
        <v>62.89</v>
      </c>
      <c r="L20" s="112">
        <v>27.16</v>
      </c>
      <c r="M20" s="112">
        <v>87.97</v>
      </c>
      <c r="N20" s="112">
        <v>2.2999999999999998</v>
      </c>
      <c r="O20" s="112">
        <v>0</v>
      </c>
      <c r="P20" s="112">
        <v>0.35</v>
      </c>
      <c r="Q20" s="112">
        <v>5.04</v>
      </c>
    </row>
    <row r="21" spans="1:17" customFormat="1">
      <c r="A21" s="80">
        <v>45536.135416666664</v>
      </c>
      <c r="B21" s="112">
        <v>9.0500000000000007</v>
      </c>
      <c r="C21" s="112">
        <v>4.38</v>
      </c>
      <c r="D21" s="112">
        <v>14</v>
      </c>
      <c r="E21" s="112">
        <v>10.16</v>
      </c>
      <c r="F21" s="112">
        <v>2.91</v>
      </c>
      <c r="G21" s="112">
        <v>44.31</v>
      </c>
      <c r="H21" s="112">
        <v>11.31</v>
      </c>
      <c r="I21" s="112">
        <v>5.18</v>
      </c>
      <c r="J21" s="112">
        <v>0.71</v>
      </c>
      <c r="K21" s="112">
        <v>54.48</v>
      </c>
      <c r="L21" s="112">
        <v>27</v>
      </c>
      <c r="M21" s="112">
        <v>88.05</v>
      </c>
      <c r="N21" s="112">
        <v>2.2000000000000002</v>
      </c>
      <c r="O21" s="112">
        <v>0</v>
      </c>
      <c r="P21" s="112">
        <v>0.34</v>
      </c>
      <c r="Q21" s="112">
        <v>5.04</v>
      </c>
    </row>
    <row r="22" spans="1:17" customFormat="1">
      <c r="A22" s="80">
        <v>45536.145833333336</v>
      </c>
      <c r="B22" s="112">
        <v>9.0500000000000007</v>
      </c>
      <c r="C22" s="112">
        <v>4.3899999999999997</v>
      </c>
      <c r="D22" s="112">
        <v>14</v>
      </c>
      <c r="E22" s="112">
        <v>10.41</v>
      </c>
      <c r="F22" s="112">
        <v>2.2999999999999998</v>
      </c>
      <c r="G22" s="112">
        <v>44.31</v>
      </c>
      <c r="H22" s="112">
        <v>11.31</v>
      </c>
      <c r="I22" s="112">
        <v>4.9400000000000004</v>
      </c>
      <c r="J22" s="112">
        <v>0.72</v>
      </c>
      <c r="K22" s="112">
        <v>58.17</v>
      </c>
      <c r="L22" s="112">
        <v>26.91</v>
      </c>
      <c r="M22" s="112">
        <v>88.22</v>
      </c>
      <c r="N22" s="112">
        <v>2.1</v>
      </c>
      <c r="O22" s="112">
        <v>0</v>
      </c>
      <c r="P22" s="112">
        <v>0.34</v>
      </c>
      <c r="Q22" s="112">
        <v>5.04</v>
      </c>
    </row>
    <row r="23" spans="1:17" customFormat="1">
      <c r="A23" s="80">
        <v>45536.15625</v>
      </c>
      <c r="B23" s="112">
        <v>9.0500000000000007</v>
      </c>
      <c r="C23" s="112">
        <v>4.3899999999999997</v>
      </c>
      <c r="D23" s="112">
        <v>14</v>
      </c>
      <c r="E23" s="112">
        <v>10.33</v>
      </c>
      <c r="F23" s="112">
        <v>2.2599999999999998</v>
      </c>
      <c r="G23" s="112">
        <v>42.66</v>
      </c>
      <c r="H23" s="112">
        <v>10.99</v>
      </c>
      <c r="I23" s="112">
        <v>4.7</v>
      </c>
      <c r="J23" s="112">
        <v>0.56000000000000005</v>
      </c>
      <c r="K23" s="112">
        <v>62.65</v>
      </c>
      <c r="L23" s="112">
        <v>26.78</v>
      </c>
      <c r="M23" s="112">
        <v>88.68</v>
      </c>
      <c r="N23" s="112">
        <v>2.1</v>
      </c>
      <c r="O23" s="112">
        <v>0</v>
      </c>
      <c r="P23" s="112">
        <v>0.33</v>
      </c>
      <c r="Q23" s="112">
        <v>5.04</v>
      </c>
    </row>
    <row r="24" spans="1:17" customFormat="1">
      <c r="A24" s="80">
        <v>45536.166666666664</v>
      </c>
      <c r="B24" s="112">
        <v>9.06</v>
      </c>
      <c r="C24" s="112">
        <v>4.38</v>
      </c>
      <c r="D24" s="112">
        <v>14</v>
      </c>
      <c r="E24" s="112">
        <v>10.63</v>
      </c>
      <c r="F24" s="112">
        <v>1.79</v>
      </c>
      <c r="G24" s="112">
        <v>36.909999999999997</v>
      </c>
      <c r="H24" s="112">
        <v>10.19</v>
      </c>
      <c r="I24" s="112">
        <v>4.67</v>
      </c>
      <c r="J24" s="112">
        <v>0.56000000000000005</v>
      </c>
      <c r="K24" s="112">
        <v>67.56</v>
      </c>
      <c r="L24" s="112">
        <v>26.7</v>
      </c>
      <c r="M24" s="112">
        <v>89.31</v>
      </c>
      <c r="N24" s="112">
        <v>2.1</v>
      </c>
      <c r="O24" s="112">
        <v>0</v>
      </c>
      <c r="P24" s="112">
        <v>0.34</v>
      </c>
      <c r="Q24" s="112">
        <v>5.04</v>
      </c>
    </row>
    <row r="25" spans="1:17" customFormat="1">
      <c r="A25" s="80">
        <v>45536.177083333336</v>
      </c>
      <c r="B25" s="112">
        <v>9.0399999999999991</v>
      </c>
      <c r="C25" s="112">
        <v>4.4000000000000004</v>
      </c>
      <c r="D25" s="112">
        <v>14</v>
      </c>
      <c r="E25" s="112">
        <v>11</v>
      </c>
      <c r="F25" s="112">
        <v>1.67</v>
      </c>
      <c r="G25" s="112">
        <v>36.909999999999997</v>
      </c>
      <c r="H25" s="112">
        <v>10.19</v>
      </c>
      <c r="I25" s="112">
        <v>4.63</v>
      </c>
      <c r="J25" s="112">
        <v>0.48</v>
      </c>
      <c r="K25" s="112">
        <v>67.19</v>
      </c>
      <c r="L25" s="112">
        <v>26.62</v>
      </c>
      <c r="M25" s="112">
        <v>89.35</v>
      </c>
      <c r="N25" s="112">
        <v>2.1</v>
      </c>
      <c r="O25" s="112">
        <v>0</v>
      </c>
      <c r="P25" s="112">
        <v>0.33</v>
      </c>
      <c r="Q25" s="112">
        <v>5.0199999999999996</v>
      </c>
    </row>
    <row r="26" spans="1:17" customFormat="1">
      <c r="A26" s="80">
        <v>45536.1875</v>
      </c>
      <c r="B26" s="112">
        <v>9.0500000000000007</v>
      </c>
      <c r="C26" s="112">
        <v>4.3899999999999997</v>
      </c>
      <c r="D26" s="112">
        <v>14</v>
      </c>
      <c r="E26" s="112">
        <v>10.88</v>
      </c>
      <c r="F26" s="112">
        <v>1.93</v>
      </c>
      <c r="G26" s="112">
        <v>36.909999999999997</v>
      </c>
      <c r="H26" s="112">
        <v>10.19</v>
      </c>
      <c r="I26" s="112">
        <v>4.53</v>
      </c>
      <c r="J26" s="112">
        <v>0.48</v>
      </c>
      <c r="K26" s="112">
        <v>71.27</v>
      </c>
      <c r="L26" s="112">
        <v>26.5</v>
      </c>
      <c r="M26" s="112">
        <v>89.44</v>
      </c>
      <c r="N26" s="112">
        <v>2.1</v>
      </c>
      <c r="O26" s="112">
        <v>0</v>
      </c>
      <c r="P26" s="112">
        <v>0.31</v>
      </c>
      <c r="Q26" s="112">
        <v>5.04</v>
      </c>
    </row>
    <row r="27" spans="1:17" customFormat="1">
      <c r="A27" s="80">
        <v>45536.197916666664</v>
      </c>
      <c r="B27" s="112">
        <v>9.0500000000000007</v>
      </c>
      <c r="C27" s="112">
        <v>4.4000000000000004</v>
      </c>
      <c r="D27" s="112">
        <v>14</v>
      </c>
      <c r="E27" s="112">
        <v>10.65</v>
      </c>
      <c r="F27" s="112">
        <v>2.54</v>
      </c>
      <c r="G27" s="112">
        <v>35.81</v>
      </c>
      <c r="H27" s="112">
        <v>9.3699999999999992</v>
      </c>
      <c r="I27" s="112">
        <v>4.45</v>
      </c>
      <c r="J27" s="112">
        <v>0.94</v>
      </c>
      <c r="K27" s="112">
        <v>53.48</v>
      </c>
      <c r="L27" s="112">
        <v>26.4</v>
      </c>
      <c r="M27" s="112">
        <v>89.81</v>
      </c>
      <c r="N27" s="112">
        <v>2.1</v>
      </c>
      <c r="O27" s="112">
        <v>0</v>
      </c>
      <c r="P27" s="112">
        <v>0.31</v>
      </c>
      <c r="Q27" s="112">
        <v>5.03</v>
      </c>
    </row>
    <row r="28" spans="1:17" customFormat="1">
      <c r="A28" s="80">
        <v>45536.208333333336</v>
      </c>
      <c r="B28" s="112">
        <v>9.02</v>
      </c>
      <c r="C28" s="112">
        <v>4.43</v>
      </c>
      <c r="D28" s="112">
        <v>14</v>
      </c>
      <c r="E28" s="112">
        <v>10.69</v>
      </c>
      <c r="F28" s="112">
        <v>2.86</v>
      </c>
      <c r="G28" s="112">
        <v>31.96</v>
      </c>
      <c r="H28" s="112">
        <v>7.33</v>
      </c>
      <c r="I28" s="112">
        <v>4.38</v>
      </c>
      <c r="J28" s="112">
        <v>1.04</v>
      </c>
      <c r="K28" s="112">
        <v>56.73</v>
      </c>
      <c r="L28" s="112">
        <v>26.32</v>
      </c>
      <c r="M28" s="112">
        <v>90.82</v>
      </c>
      <c r="N28" s="112">
        <v>2.2999999999999998</v>
      </c>
      <c r="O28" s="112">
        <v>0</v>
      </c>
      <c r="P28" s="112">
        <v>0.31</v>
      </c>
      <c r="Q28" s="112">
        <v>5.05</v>
      </c>
    </row>
    <row r="29" spans="1:17" customFormat="1">
      <c r="A29" s="80">
        <v>45536.21875</v>
      </c>
      <c r="B29" s="112">
        <v>9.0299999999999994</v>
      </c>
      <c r="C29" s="112">
        <v>4.41</v>
      </c>
      <c r="D29" s="112">
        <v>14</v>
      </c>
      <c r="E29" s="112">
        <v>10.84</v>
      </c>
      <c r="F29" s="112">
        <v>2.38</v>
      </c>
      <c r="G29" s="112">
        <v>31.96</v>
      </c>
      <c r="H29" s="112">
        <v>7.33</v>
      </c>
      <c r="I29" s="112">
        <v>4.33</v>
      </c>
      <c r="J29" s="112">
        <v>0.84</v>
      </c>
      <c r="K29" s="112">
        <v>56.69</v>
      </c>
      <c r="L29" s="112">
        <v>26.36</v>
      </c>
      <c r="M29" s="112">
        <v>91.58</v>
      </c>
      <c r="N29" s="112">
        <v>2.2000000000000002</v>
      </c>
      <c r="O29" s="112">
        <v>0</v>
      </c>
      <c r="P29" s="112">
        <v>0.31</v>
      </c>
      <c r="Q29" s="112">
        <v>5.04</v>
      </c>
    </row>
    <row r="30" spans="1:17" customFormat="1">
      <c r="A30" s="80">
        <v>45536.229166666664</v>
      </c>
      <c r="B30" s="112">
        <v>9.0399999999999991</v>
      </c>
      <c r="C30" s="112">
        <v>4.41</v>
      </c>
      <c r="D30" s="112">
        <v>14</v>
      </c>
      <c r="E30" s="112">
        <v>11.22</v>
      </c>
      <c r="F30" s="112">
        <v>1.93</v>
      </c>
      <c r="G30" s="112">
        <v>31.96</v>
      </c>
      <c r="H30" s="112">
        <v>7.33</v>
      </c>
      <c r="I30" s="112">
        <v>4.24</v>
      </c>
      <c r="J30" s="112">
        <v>0.98</v>
      </c>
      <c r="K30" s="112">
        <v>57.64</v>
      </c>
      <c r="L30" s="112">
        <v>26.4</v>
      </c>
      <c r="M30" s="112">
        <v>91.27</v>
      </c>
      <c r="N30" s="112">
        <v>2.7</v>
      </c>
      <c r="O30" s="112">
        <v>0</v>
      </c>
      <c r="P30" s="112">
        <v>0.31</v>
      </c>
      <c r="Q30" s="112">
        <v>5.04</v>
      </c>
    </row>
    <row r="31" spans="1:17" customFormat="1">
      <c r="A31" s="80">
        <v>45536.239583333336</v>
      </c>
      <c r="B31" s="112">
        <v>9.0500000000000007</v>
      </c>
      <c r="C31" s="112">
        <v>4.3899999999999997</v>
      </c>
      <c r="D31" s="112">
        <v>14</v>
      </c>
      <c r="E31" s="112">
        <v>10.72</v>
      </c>
      <c r="F31" s="112">
        <v>1.31</v>
      </c>
      <c r="G31" s="112">
        <v>31.47</v>
      </c>
      <c r="H31" s="112">
        <v>6.72</v>
      </c>
      <c r="I31" s="112">
        <v>4.1399999999999997</v>
      </c>
      <c r="J31" s="112">
        <v>0.81</v>
      </c>
      <c r="K31" s="112">
        <v>54.05</v>
      </c>
      <c r="L31" s="112">
        <v>26.49</v>
      </c>
      <c r="M31" s="112">
        <v>90.09</v>
      </c>
      <c r="N31" s="112">
        <v>4.2</v>
      </c>
      <c r="O31" s="112">
        <v>0</v>
      </c>
      <c r="P31" s="112">
        <v>0.31</v>
      </c>
      <c r="Q31" s="112">
        <v>5.04</v>
      </c>
    </row>
    <row r="32" spans="1:17" customFormat="1">
      <c r="A32" s="80">
        <v>45536.25</v>
      </c>
      <c r="B32" s="112">
        <v>9.0399999999999991</v>
      </c>
      <c r="C32" s="112">
        <v>4.4000000000000004</v>
      </c>
      <c r="D32" s="112">
        <v>14</v>
      </c>
      <c r="E32" s="112">
        <v>11.27</v>
      </c>
      <c r="F32" s="112">
        <v>2.09</v>
      </c>
      <c r="G32" s="112">
        <v>29.77</v>
      </c>
      <c r="H32" s="112">
        <v>5.22</v>
      </c>
      <c r="I32" s="112">
        <v>4.16</v>
      </c>
      <c r="J32" s="112">
        <v>0.99</v>
      </c>
      <c r="K32" s="112">
        <v>56.04</v>
      </c>
      <c r="L32" s="112">
        <v>26.52</v>
      </c>
      <c r="M32" s="112">
        <v>89.74</v>
      </c>
      <c r="N32" s="112">
        <v>6.2</v>
      </c>
      <c r="O32" s="112">
        <v>0</v>
      </c>
      <c r="P32" s="112">
        <v>0.31</v>
      </c>
      <c r="Q32" s="112">
        <v>5.03</v>
      </c>
    </row>
    <row r="33" spans="1:17" customFormat="1">
      <c r="A33" s="80">
        <v>45536.260416666664</v>
      </c>
      <c r="B33" s="112">
        <v>9.08</v>
      </c>
      <c r="C33" s="112">
        <v>4.34</v>
      </c>
      <c r="D33" s="112">
        <v>14</v>
      </c>
      <c r="E33" s="112">
        <v>11.04</v>
      </c>
      <c r="F33" s="112">
        <v>3.29</v>
      </c>
      <c r="G33" s="112">
        <v>29.77</v>
      </c>
      <c r="H33" s="112">
        <v>5.22</v>
      </c>
      <c r="I33" s="112">
        <v>4.16</v>
      </c>
      <c r="J33" s="112">
        <v>0.85</v>
      </c>
      <c r="K33" s="112">
        <v>56.07</v>
      </c>
      <c r="L33" s="112">
        <v>26.6</v>
      </c>
      <c r="M33" s="112">
        <v>89.57</v>
      </c>
      <c r="N33" s="112">
        <v>27.5</v>
      </c>
      <c r="O33" s="112">
        <v>0</v>
      </c>
      <c r="P33" s="112">
        <v>0.3</v>
      </c>
      <c r="Q33" s="112">
        <v>5.04</v>
      </c>
    </row>
    <row r="34" spans="1:17" customFormat="1">
      <c r="A34" s="80">
        <v>45536.270833333336</v>
      </c>
      <c r="B34" s="112">
        <v>9.08</v>
      </c>
      <c r="C34" s="112">
        <v>4.34</v>
      </c>
      <c r="D34" s="112">
        <v>14</v>
      </c>
      <c r="E34" s="112">
        <v>11.37</v>
      </c>
      <c r="F34" s="112">
        <v>3.56</v>
      </c>
      <c r="G34" s="112">
        <v>29.77</v>
      </c>
      <c r="H34" s="112">
        <v>5.22</v>
      </c>
      <c r="I34" s="112">
        <v>4.1500000000000004</v>
      </c>
      <c r="J34" s="112">
        <v>1.1399999999999999</v>
      </c>
      <c r="K34" s="112">
        <v>53.67</v>
      </c>
      <c r="L34" s="112">
        <v>26.76</v>
      </c>
      <c r="M34" s="112">
        <v>88.49</v>
      </c>
      <c r="N34" s="112">
        <v>45.8</v>
      </c>
      <c r="O34" s="112">
        <v>0</v>
      </c>
      <c r="P34" s="112">
        <v>0.28999999999999998</v>
      </c>
      <c r="Q34" s="112">
        <v>5.05</v>
      </c>
    </row>
    <row r="35" spans="1:17" customFormat="1">
      <c r="A35" s="80">
        <v>45536.28125</v>
      </c>
      <c r="B35" s="112">
        <v>9.08</v>
      </c>
      <c r="C35" s="112">
        <v>4.34</v>
      </c>
      <c r="D35" s="112">
        <v>14</v>
      </c>
      <c r="E35" s="112">
        <v>10.4</v>
      </c>
      <c r="F35" s="112">
        <v>3.38</v>
      </c>
      <c r="G35" s="112">
        <v>28.45</v>
      </c>
      <c r="H35" s="112">
        <v>5.44</v>
      </c>
      <c r="I35" s="112">
        <v>4.1900000000000004</v>
      </c>
      <c r="J35" s="112">
        <v>0.77</v>
      </c>
      <c r="K35" s="112">
        <v>60.86</v>
      </c>
      <c r="L35" s="112">
        <v>26.91</v>
      </c>
      <c r="M35" s="112">
        <v>87.84</v>
      </c>
      <c r="N35" s="112">
        <v>49.9</v>
      </c>
      <c r="O35" s="112">
        <v>0</v>
      </c>
      <c r="P35" s="112">
        <v>0.28000000000000003</v>
      </c>
      <c r="Q35" s="112">
        <v>5.05</v>
      </c>
    </row>
    <row r="36" spans="1:17" customFormat="1">
      <c r="A36" s="80">
        <v>45536.291666666664</v>
      </c>
      <c r="B36" s="112">
        <v>9.07</v>
      </c>
      <c r="C36" s="112">
        <v>4.3600000000000003</v>
      </c>
      <c r="D36" s="112">
        <v>14</v>
      </c>
      <c r="E36" s="112">
        <v>10.35</v>
      </c>
      <c r="F36" s="112">
        <v>3.08</v>
      </c>
      <c r="G36" s="112">
        <v>23.84</v>
      </c>
      <c r="H36" s="112">
        <v>6</v>
      </c>
      <c r="I36" s="112">
        <v>4.2</v>
      </c>
      <c r="J36" s="112">
        <v>0.71</v>
      </c>
      <c r="K36" s="112">
        <v>60.31</v>
      </c>
      <c r="L36" s="112">
        <v>26.99</v>
      </c>
      <c r="M36" s="112">
        <v>87.2</v>
      </c>
      <c r="N36" s="112">
        <v>52.8</v>
      </c>
      <c r="O36" s="112">
        <v>0</v>
      </c>
      <c r="P36" s="112">
        <v>0.27</v>
      </c>
      <c r="Q36" s="112">
        <v>5.04</v>
      </c>
    </row>
    <row r="37" spans="1:17" customFormat="1">
      <c r="A37" s="80">
        <v>45536.302083333336</v>
      </c>
      <c r="B37" s="112">
        <v>9.07</v>
      </c>
      <c r="C37" s="112">
        <v>4.3600000000000003</v>
      </c>
      <c r="D37" s="112">
        <v>14</v>
      </c>
      <c r="E37" s="112">
        <v>9.82</v>
      </c>
      <c r="F37" s="112">
        <v>2.95</v>
      </c>
      <c r="G37" s="112">
        <v>23.84</v>
      </c>
      <c r="H37" s="112">
        <v>6</v>
      </c>
      <c r="I37" s="112">
        <v>4.18</v>
      </c>
      <c r="J37" s="112">
        <v>0.69</v>
      </c>
      <c r="K37" s="112">
        <v>67.62</v>
      </c>
      <c r="L37" s="112">
        <v>27.17</v>
      </c>
      <c r="M37" s="112">
        <v>86.27</v>
      </c>
      <c r="N37" s="112">
        <v>58.9</v>
      </c>
      <c r="O37" s="112">
        <v>0</v>
      </c>
      <c r="P37" s="112">
        <v>0.27</v>
      </c>
      <c r="Q37" s="112">
        <v>5.05</v>
      </c>
    </row>
    <row r="38" spans="1:17" customFormat="1">
      <c r="A38" s="80">
        <v>45536.3125</v>
      </c>
      <c r="B38" s="112">
        <v>9.07</v>
      </c>
      <c r="C38" s="112">
        <v>4.3600000000000003</v>
      </c>
      <c r="D38" s="112">
        <v>14</v>
      </c>
      <c r="E38" s="112">
        <v>9.48</v>
      </c>
      <c r="F38" s="112">
        <v>2.61</v>
      </c>
      <c r="G38" s="112">
        <v>23.84</v>
      </c>
      <c r="H38" s="112">
        <v>6</v>
      </c>
      <c r="I38" s="112">
        <v>4.2300000000000004</v>
      </c>
      <c r="J38" s="112">
        <v>0.91</v>
      </c>
      <c r="K38" s="112">
        <v>59.42</v>
      </c>
      <c r="L38" s="112">
        <v>27.26</v>
      </c>
      <c r="M38" s="112">
        <v>85.09</v>
      </c>
      <c r="N38" s="112">
        <v>90.8</v>
      </c>
      <c r="O38" s="112">
        <v>0</v>
      </c>
      <c r="P38" s="112">
        <v>0.27</v>
      </c>
      <c r="Q38" s="112">
        <v>5.05</v>
      </c>
    </row>
    <row r="39" spans="1:17" customFormat="1">
      <c r="A39" s="80">
        <v>45536.322916666664</v>
      </c>
      <c r="B39" s="112">
        <v>9.07</v>
      </c>
      <c r="C39" s="112">
        <v>4.3600000000000003</v>
      </c>
      <c r="D39" s="112">
        <v>14</v>
      </c>
      <c r="E39" s="112">
        <v>9.39</v>
      </c>
      <c r="F39" s="112">
        <v>3.28</v>
      </c>
      <c r="G39" s="112">
        <v>25.21</v>
      </c>
      <c r="H39" s="112">
        <v>6.3</v>
      </c>
      <c r="I39" s="112">
        <v>4.25</v>
      </c>
      <c r="J39" s="112">
        <v>0.7</v>
      </c>
      <c r="K39" s="112">
        <v>58.53</v>
      </c>
      <c r="L39" s="112">
        <v>27.58</v>
      </c>
      <c r="M39" s="112">
        <v>83.73</v>
      </c>
      <c r="N39" s="112">
        <v>91.5</v>
      </c>
      <c r="O39" s="112">
        <v>0</v>
      </c>
      <c r="P39" s="112">
        <v>0.27</v>
      </c>
      <c r="Q39" s="112">
        <v>5.05</v>
      </c>
    </row>
    <row r="40" spans="1:17" customFormat="1">
      <c r="A40" s="80">
        <v>45536.333333333336</v>
      </c>
      <c r="B40" s="112">
        <v>9.0500000000000007</v>
      </c>
      <c r="C40" s="112">
        <v>4.38</v>
      </c>
      <c r="D40" s="112">
        <v>14</v>
      </c>
      <c r="E40" s="112">
        <v>9.23</v>
      </c>
      <c r="F40" s="112">
        <v>2.98</v>
      </c>
      <c r="G40" s="112">
        <v>30.01</v>
      </c>
      <c r="H40" s="112">
        <v>7.04</v>
      </c>
      <c r="I40" s="112">
        <v>4.24</v>
      </c>
      <c r="J40" s="112">
        <v>0.74</v>
      </c>
      <c r="K40" s="112">
        <v>64.150000000000006</v>
      </c>
      <c r="L40" s="112">
        <v>27.83</v>
      </c>
      <c r="M40" s="112">
        <v>81.84</v>
      </c>
      <c r="N40" s="112">
        <v>109.4</v>
      </c>
      <c r="O40" s="112">
        <v>0</v>
      </c>
      <c r="P40" s="112">
        <v>0.27</v>
      </c>
      <c r="Q40" s="112">
        <v>5.04</v>
      </c>
    </row>
    <row r="41" spans="1:17" customFormat="1">
      <c r="A41" s="80">
        <v>45536.34375</v>
      </c>
      <c r="B41" s="112">
        <v>9.0500000000000007</v>
      </c>
      <c r="C41" s="112">
        <v>4.3899999999999997</v>
      </c>
      <c r="D41" s="112">
        <v>14</v>
      </c>
      <c r="E41" s="112">
        <v>8.43</v>
      </c>
      <c r="F41" s="112">
        <v>3.05</v>
      </c>
      <c r="G41" s="112">
        <v>30.01</v>
      </c>
      <c r="H41" s="112">
        <v>7.04</v>
      </c>
      <c r="I41" s="112">
        <v>4.22</v>
      </c>
      <c r="J41" s="112">
        <v>0.72</v>
      </c>
      <c r="K41" s="112">
        <v>64.19</v>
      </c>
      <c r="L41" s="112">
        <v>27.93</v>
      </c>
      <c r="M41" s="112">
        <v>81</v>
      </c>
      <c r="N41" s="112">
        <v>97.8</v>
      </c>
      <c r="O41" s="112">
        <v>0</v>
      </c>
      <c r="P41" s="112">
        <v>0.26</v>
      </c>
      <c r="Q41" s="112">
        <v>5.05</v>
      </c>
    </row>
    <row r="42" spans="1:17" customFormat="1">
      <c r="A42" s="80">
        <v>45536.354166666664</v>
      </c>
      <c r="B42" s="112">
        <v>9.0500000000000007</v>
      </c>
      <c r="C42" s="112">
        <v>4.3899999999999997</v>
      </c>
      <c r="D42" s="112">
        <v>14</v>
      </c>
      <c r="E42" s="112">
        <v>8.3800000000000008</v>
      </c>
      <c r="F42" s="112">
        <v>3.31</v>
      </c>
      <c r="G42" s="112">
        <v>30.01</v>
      </c>
      <c r="H42" s="112">
        <v>7.04</v>
      </c>
      <c r="I42" s="112">
        <v>4.21</v>
      </c>
      <c r="J42" s="112">
        <v>0.59</v>
      </c>
      <c r="K42" s="112">
        <v>66.86</v>
      </c>
      <c r="L42" s="112">
        <v>28.14</v>
      </c>
      <c r="M42" s="112">
        <v>80.06</v>
      </c>
      <c r="N42" s="112">
        <v>109.1</v>
      </c>
      <c r="O42" s="112">
        <v>0</v>
      </c>
      <c r="P42" s="112">
        <v>0.27</v>
      </c>
      <c r="Q42" s="112">
        <v>5.05</v>
      </c>
    </row>
    <row r="43" spans="1:17" customFormat="1">
      <c r="A43" s="80">
        <v>45536.364583333336</v>
      </c>
      <c r="B43" s="112">
        <v>9.0500000000000007</v>
      </c>
      <c r="C43" s="112">
        <v>4.3899999999999997</v>
      </c>
      <c r="D43" s="112">
        <v>14</v>
      </c>
      <c r="E43" s="112">
        <v>8.2200000000000006</v>
      </c>
      <c r="F43" s="112">
        <v>3.28</v>
      </c>
      <c r="G43" s="112">
        <v>30.75</v>
      </c>
      <c r="H43" s="112">
        <v>6.7</v>
      </c>
      <c r="I43" s="112">
        <v>4.1500000000000004</v>
      </c>
      <c r="J43" s="112">
        <v>0.36</v>
      </c>
      <c r="K43" s="112">
        <v>100.68</v>
      </c>
      <c r="L43" s="112">
        <v>28.19</v>
      </c>
      <c r="M43" s="112">
        <v>79.87</v>
      </c>
      <c r="N43" s="112">
        <v>95.1</v>
      </c>
      <c r="O43" s="112">
        <v>0</v>
      </c>
      <c r="P43" s="112">
        <v>0.27</v>
      </c>
      <c r="Q43" s="112">
        <v>5.04</v>
      </c>
    </row>
    <row r="44" spans="1:17" customFormat="1">
      <c r="A44" s="80">
        <v>45536.375</v>
      </c>
      <c r="B44" s="112">
        <v>9.06</v>
      </c>
      <c r="C44" s="112">
        <v>4.38</v>
      </c>
      <c r="D44" s="112">
        <v>14</v>
      </c>
      <c r="E44" s="112">
        <v>8.06</v>
      </c>
      <c r="F44" s="112">
        <v>3.36</v>
      </c>
      <c r="G44" s="112">
        <v>33.340000000000003</v>
      </c>
      <c r="H44" s="112">
        <v>5.09</v>
      </c>
      <c r="I44" s="112">
        <v>4.1500000000000004</v>
      </c>
      <c r="J44" s="112">
        <v>0.74</v>
      </c>
      <c r="K44" s="112">
        <v>63.62</v>
      </c>
      <c r="L44" s="112">
        <v>28.45</v>
      </c>
      <c r="M44" s="112">
        <v>79.44</v>
      </c>
      <c r="N44" s="112">
        <v>191.3</v>
      </c>
      <c r="O44" s="112">
        <v>0</v>
      </c>
      <c r="P44" s="112">
        <v>0.26</v>
      </c>
      <c r="Q44" s="112">
        <v>5.0599999999999996</v>
      </c>
    </row>
    <row r="45" spans="1:17" customFormat="1">
      <c r="A45" s="80">
        <v>45536.385416666664</v>
      </c>
      <c r="B45" s="112">
        <v>9.07</v>
      </c>
      <c r="C45" s="112">
        <v>4.3499999999999996</v>
      </c>
      <c r="D45" s="112">
        <v>14</v>
      </c>
      <c r="E45" s="112">
        <v>7.9</v>
      </c>
      <c r="F45" s="112">
        <v>3.52</v>
      </c>
      <c r="G45" s="112">
        <v>33.340000000000003</v>
      </c>
      <c r="H45" s="112">
        <v>5.09</v>
      </c>
      <c r="I45" s="112">
        <v>4.1399999999999997</v>
      </c>
      <c r="J45" s="112">
        <v>0.56000000000000005</v>
      </c>
      <c r="K45" s="112">
        <v>76.39</v>
      </c>
      <c r="L45" s="112">
        <v>29.65</v>
      </c>
      <c r="M45" s="112">
        <v>75.459999999999994</v>
      </c>
      <c r="N45" s="112">
        <v>440.6</v>
      </c>
      <c r="O45" s="112">
        <v>0</v>
      </c>
      <c r="P45" s="112">
        <v>0.26</v>
      </c>
      <c r="Q45" s="112">
        <v>5.05</v>
      </c>
    </row>
    <row r="46" spans="1:17" customFormat="1">
      <c r="A46" s="80">
        <v>45536.395833333336</v>
      </c>
      <c r="B46" s="112">
        <v>9.07</v>
      </c>
      <c r="C46" s="112">
        <v>4.3600000000000003</v>
      </c>
      <c r="D46" s="112">
        <v>14</v>
      </c>
      <c r="E46" s="112">
        <v>8.23</v>
      </c>
      <c r="F46" s="112">
        <v>3.76</v>
      </c>
      <c r="G46" s="112">
        <v>33.340000000000003</v>
      </c>
      <c r="H46" s="112">
        <v>5.09</v>
      </c>
      <c r="I46" s="112">
        <v>4.12</v>
      </c>
      <c r="J46" s="112">
        <v>0.73</v>
      </c>
      <c r="K46" s="112">
        <v>67.02</v>
      </c>
      <c r="L46" s="112">
        <v>29.97</v>
      </c>
      <c r="M46" s="112">
        <v>73.849999999999994</v>
      </c>
      <c r="N46" s="112">
        <v>340.1</v>
      </c>
      <c r="O46" s="112">
        <v>0</v>
      </c>
      <c r="P46" s="112">
        <v>0.27</v>
      </c>
      <c r="Q46" s="112">
        <v>5.04</v>
      </c>
    </row>
    <row r="47" spans="1:17" customFormat="1">
      <c r="A47" s="80">
        <v>45536.40625</v>
      </c>
      <c r="B47" s="112">
        <v>9.06</v>
      </c>
      <c r="C47" s="112">
        <v>4.38</v>
      </c>
      <c r="D47" s="112">
        <v>14</v>
      </c>
      <c r="E47" s="112">
        <v>7.64</v>
      </c>
      <c r="F47" s="112">
        <v>3.85</v>
      </c>
      <c r="G47" s="112">
        <v>32.619999999999997</v>
      </c>
      <c r="H47" s="112">
        <v>5.0599999999999996</v>
      </c>
      <c r="I47" s="112">
        <v>4.1100000000000003</v>
      </c>
      <c r="J47" s="112">
        <v>1.01</v>
      </c>
      <c r="K47" s="112">
        <v>57.91</v>
      </c>
      <c r="L47" s="112">
        <v>29.43</v>
      </c>
      <c r="M47" s="112">
        <v>74.94</v>
      </c>
      <c r="N47" s="112">
        <v>348.4</v>
      </c>
      <c r="O47" s="112">
        <v>0</v>
      </c>
      <c r="P47" s="112">
        <v>0.27</v>
      </c>
      <c r="Q47" s="112">
        <v>5.0599999999999996</v>
      </c>
    </row>
    <row r="48" spans="1:17" customFormat="1">
      <c r="A48" s="80">
        <v>45536.416666666664</v>
      </c>
      <c r="B48" s="112">
        <v>9.0500000000000007</v>
      </c>
      <c r="C48" s="112">
        <v>4.3899999999999997</v>
      </c>
      <c r="D48" s="112">
        <v>14</v>
      </c>
      <c r="E48" s="112">
        <v>7.42</v>
      </c>
      <c r="F48" s="112">
        <v>3.93</v>
      </c>
      <c r="G48" s="112">
        <v>30.09</v>
      </c>
      <c r="H48" s="112">
        <v>4.9800000000000004</v>
      </c>
      <c r="I48" s="112">
        <v>4.07</v>
      </c>
      <c r="J48" s="112">
        <v>0.43</v>
      </c>
      <c r="K48" s="112">
        <v>96.39</v>
      </c>
      <c r="L48" s="112">
        <v>29.64</v>
      </c>
      <c r="M48" s="112">
        <v>74.400000000000006</v>
      </c>
      <c r="N48" s="112">
        <v>239.7</v>
      </c>
      <c r="O48" s="112">
        <v>0</v>
      </c>
      <c r="P48" s="112">
        <v>0.27</v>
      </c>
      <c r="Q48" s="112">
        <v>5.05</v>
      </c>
    </row>
    <row r="49" spans="1:17" customFormat="1">
      <c r="A49" s="80">
        <v>45536.427083333336</v>
      </c>
      <c r="B49" s="112">
        <v>9.07</v>
      </c>
      <c r="C49" s="112">
        <v>4.3600000000000003</v>
      </c>
      <c r="D49" s="112">
        <v>14</v>
      </c>
      <c r="E49" s="112">
        <v>9.4</v>
      </c>
      <c r="F49" s="112">
        <v>3.94</v>
      </c>
      <c r="G49" s="112">
        <v>30.09</v>
      </c>
      <c r="H49" s="112">
        <v>4.9800000000000004</v>
      </c>
      <c r="I49" s="112">
        <v>4.0599999999999996</v>
      </c>
      <c r="J49" s="112">
        <v>0.28000000000000003</v>
      </c>
      <c r="K49" s="112">
        <v>122.01</v>
      </c>
      <c r="L49" s="112">
        <v>29.93</v>
      </c>
      <c r="M49" s="112">
        <v>73.23</v>
      </c>
      <c r="N49" s="112">
        <v>278.39999999999998</v>
      </c>
      <c r="O49" s="112">
        <v>0</v>
      </c>
      <c r="P49" s="112">
        <v>0.27</v>
      </c>
      <c r="Q49" s="112">
        <v>5.04</v>
      </c>
    </row>
    <row r="50" spans="1:17" customFormat="1">
      <c r="A50" s="80">
        <v>45536.4375</v>
      </c>
      <c r="B50" s="112">
        <v>9.08</v>
      </c>
      <c r="C50" s="112">
        <v>4.34</v>
      </c>
      <c r="D50" s="112">
        <v>14</v>
      </c>
      <c r="E50" s="112">
        <v>10.92</v>
      </c>
      <c r="F50" s="112">
        <v>3.47</v>
      </c>
      <c r="G50" s="112">
        <v>30.09</v>
      </c>
      <c r="H50" s="112">
        <v>4.9800000000000004</v>
      </c>
      <c r="I50" s="112">
        <v>4.0199999999999996</v>
      </c>
      <c r="J50" s="112">
        <v>0.3</v>
      </c>
      <c r="K50" s="112">
        <v>90.74</v>
      </c>
      <c r="L50" s="112">
        <v>30.15</v>
      </c>
      <c r="M50" s="112">
        <v>71.59</v>
      </c>
      <c r="N50" s="112">
        <v>295</v>
      </c>
      <c r="O50" s="112">
        <v>0</v>
      </c>
      <c r="P50" s="112">
        <v>0.28999999999999998</v>
      </c>
      <c r="Q50" s="112">
        <v>5.03</v>
      </c>
    </row>
    <row r="51" spans="1:17" customFormat="1">
      <c r="A51" s="80">
        <v>45536.447916666664</v>
      </c>
      <c r="B51" s="112">
        <v>9.07</v>
      </c>
      <c r="C51" s="112">
        <v>4.3499999999999996</v>
      </c>
      <c r="D51" s="112">
        <v>14</v>
      </c>
      <c r="E51" s="112">
        <v>10.63</v>
      </c>
      <c r="F51" s="112">
        <v>4.01</v>
      </c>
      <c r="G51" s="112">
        <v>30.08</v>
      </c>
      <c r="H51" s="112">
        <v>5.3</v>
      </c>
      <c r="I51" s="112">
        <v>3.96</v>
      </c>
      <c r="J51" s="112">
        <v>0.35</v>
      </c>
      <c r="K51" s="112">
        <v>106.97</v>
      </c>
      <c r="L51" s="112">
        <v>30.53</v>
      </c>
      <c r="M51" s="112">
        <v>69.58</v>
      </c>
      <c r="N51" s="112">
        <v>276.89999999999998</v>
      </c>
      <c r="O51" s="112">
        <v>0</v>
      </c>
      <c r="P51" s="112">
        <v>0.31</v>
      </c>
      <c r="Q51" s="112">
        <v>5.03</v>
      </c>
    </row>
    <row r="52" spans="1:17" customFormat="1">
      <c r="A52" s="80">
        <v>45536.458333333336</v>
      </c>
      <c r="B52" s="112">
        <v>9.06</v>
      </c>
      <c r="C52" s="112">
        <v>4.38</v>
      </c>
      <c r="D52" s="112">
        <v>14</v>
      </c>
      <c r="E52" s="112">
        <v>11.12</v>
      </c>
      <c r="F52" s="112">
        <v>3.49</v>
      </c>
      <c r="G52" s="112">
        <v>30.05</v>
      </c>
      <c r="H52" s="112">
        <v>6.09</v>
      </c>
      <c r="I52" s="112">
        <v>3.91</v>
      </c>
      <c r="J52" s="112">
        <v>0.38</v>
      </c>
      <c r="K52" s="112">
        <v>92.37</v>
      </c>
      <c r="L52" s="112">
        <v>30.19</v>
      </c>
      <c r="M52" s="112">
        <v>70.78</v>
      </c>
      <c r="N52" s="112">
        <v>197.7</v>
      </c>
      <c r="O52" s="112">
        <v>0</v>
      </c>
      <c r="P52" s="112">
        <v>0.31</v>
      </c>
      <c r="Q52" s="112">
        <v>5.03</v>
      </c>
    </row>
    <row r="53" spans="1:17" customFormat="1">
      <c r="A53" s="80">
        <v>45536.46875</v>
      </c>
      <c r="B53" s="112">
        <v>9.06</v>
      </c>
      <c r="C53" s="112">
        <v>4.37</v>
      </c>
      <c r="D53" s="112">
        <v>14</v>
      </c>
      <c r="E53" s="112">
        <v>11.03</v>
      </c>
      <c r="F53" s="112">
        <v>3.51</v>
      </c>
      <c r="G53" s="112">
        <v>30.05</v>
      </c>
      <c r="H53" s="112">
        <v>6.09</v>
      </c>
      <c r="I53" s="112">
        <v>3.9</v>
      </c>
      <c r="J53" s="112">
        <v>0.41</v>
      </c>
      <c r="K53" s="112">
        <v>84.93</v>
      </c>
      <c r="L53" s="112">
        <v>30.52</v>
      </c>
      <c r="M53" s="112">
        <v>70.33</v>
      </c>
      <c r="N53" s="112">
        <v>266.10000000000002</v>
      </c>
      <c r="O53" s="112">
        <v>0</v>
      </c>
      <c r="P53" s="112">
        <v>0.31</v>
      </c>
      <c r="Q53" s="112">
        <v>5.04</v>
      </c>
    </row>
    <row r="54" spans="1:17" customFormat="1">
      <c r="A54" s="80">
        <v>45536.479166666664</v>
      </c>
      <c r="B54" s="112">
        <v>9.0500000000000007</v>
      </c>
      <c r="C54" s="112">
        <v>4.38</v>
      </c>
      <c r="D54" s="112">
        <v>14</v>
      </c>
      <c r="E54" s="112">
        <v>11.06</v>
      </c>
      <c r="F54" s="112">
        <v>3.14</v>
      </c>
      <c r="G54" s="112">
        <v>30.05</v>
      </c>
      <c r="H54" s="112">
        <v>6.09</v>
      </c>
      <c r="I54" s="112">
        <v>3.88</v>
      </c>
      <c r="J54" s="112">
        <v>0.39</v>
      </c>
      <c r="K54" s="112">
        <v>121.84</v>
      </c>
      <c r="L54" s="112">
        <v>31.4</v>
      </c>
      <c r="M54" s="112">
        <v>66.33</v>
      </c>
      <c r="N54" s="112">
        <v>784.6</v>
      </c>
      <c r="O54" s="112">
        <v>0</v>
      </c>
      <c r="P54" s="112">
        <v>0.3</v>
      </c>
      <c r="Q54" s="112">
        <v>5.03</v>
      </c>
    </row>
    <row r="55" spans="1:17" customFormat="1">
      <c r="A55" s="80">
        <v>45536.489583333336</v>
      </c>
      <c r="B55" s="112">
        <v>9.0500000000000007</v>
      </c>
      <c r="C55" s="112">
        <v>4.3899999999999997</v>
      </c>
      <c r="D55" s="112">
        <v>14</v>
      </c>
      <c r="E55" s="112">
        <v>11.47</v>
      </c>
      <c r="F55" s="112">
        <v>3.6</v>
      </c>
      <c r="G55" s="112">
        <v>30.56</v>
      </c>
      <c r="H55" s="112">
        <v>6.64</v>
      </c>
      <c r="I55" s="112">
        <v>3.85</v>
      </c>
      <c r="J55" s="112">
        <v>0.37</v>
      </c>
      <c r="K55" s="112">
        <v>97.48</v>
      </c>
      <c r="L55" s="112">
        <v>31.6</v>
      </c>
      <c r="M55" s="112">
        <v>65.040000000000006</v>
      </c>
      <c r="N55" s="112">
        <v>324.89999999999998</v>
      </c>
      <c r="O55" s="112">
        <v>0</v>
      </c>
      <c r="P55" s="112">
        <v>0.3</v>
      </c>
      <c r="Q55" s="112">
        <v>5.05</v>
      </c>
    </row>
    <row r="56" spans="1:17" customFormat="1">
      <c r="A56" s="80">
        <v>45536.5</v>
      </c>
      <c r="B56" s="112">
        <v>9.0500000000000007</v>
      </c>
      <c r="C56" s="112">
        <v>4.3899999999999997</v>
      </c>
      <c r="D56" s="112">
        <v>14</v>
      </c>
      <c r="E56" s="112">
        <v>11.28</v>
      </c>
      <c r="F56" s="112">
        <v>3.82</v>
      </c>
      <c r="G56" s="112">
        <v>32.35</v>
      </c>
      <c r="H56" s="112">
        <v>7.98</v>
      </c>
      <c r="I56" s="112">
        <v>3.79</v>
      </c>
      <c r="J56" s="112">
        <v>0.25</v>
      </c>
      <c r="K56" s="112">
        <v>116.46</v>
      </c>
      <c r="L56" s="112">
        <v>31.53</v>
      </c>
      <c r="M56" s="112">
        <v>66.69</v>
      </c>
      <c r="N56" s="112">
        <v>443.9</v>
      </c>
      <c r="O56" s="112">
        <v>0</v>
      </c>
      <c r="P56" s="112">
        <v>0.3</v>
      </c>
      <c r="Q56" s="112">
        <v>5.05</v>
      </c>
    </row>
    <row r="57" spans="1:17" customFormat="1">
      <c r="A57" s="80">
        <v>45536.510416666664</v>
      </c>
      <c r="B57" s="112">
        <v>9.0500000000000007</v>
      </c>
      <c r="C57" s="112">
        <v>4.3899999999999997</v>
      </c>
      <c r="D57" s="112">
        <v>14</v>
      </c>
      <c r="E57" s="112">
        <v>11.42</v>
      </c>
      <c r="F57" s="112">
        <v>4.3600000000000003</v>
      </c>
      <c r="G57" s="112">
        <v>32.35</v>
      </c>
      <c r="H57" s="112">
        <v>7.98</v>
      </c>
      <c r="I57" s="112">
        <v>3.7</v>
      </c>
      <c r="J57" s="112">
        <v>0.76</v>
      </c>
      <c r="K57" s="112">
        <v>62.54</v>
      </c>
      <c r="L57" s="112">
        <v>31.34</v>
      </c>
      <c r="M57" s="112">
        <v>67.17</v>
      </c>
      <c r="N57" s="112">
        <v>339.3</v>
      </c>
      <c r="O57" s="112">
        <v>0</v>
      </c>
      <c r="P57" s="112">
        <v>0.28999999999999998</v>
      </c>
      <c r="Q57" s="112">
        <v>5.03</v>
      </c>
    </row>
    <row r="58" spans="1:17" customFormat="1">
      <c r="A58" s="80">
        <v>45536.520833333336</v>
      </c>
      <c r="B58" s="112">
        <v>9.06</v>
      </c>
      <c r="C58" s="112">
        <v>4.37</v>
      </c>
      <c r="D58" s="112">
        <v>14</v>
      </c>
      <c r="E58" s="112">
        <v>11.52</v>
      </c>
      <c r="F58" s="112">
        <v>3.02</v>
      </c>
      <c r="G58" s="112">
        <v>32.35</v>
      </c>
      <c r="H58" s="112">
        <v>7.98</v>
      </c>
      <c r="I58" s="112">
        <v>3.64</v>
      </c>
      <c r="J58" s="112">
        <v>0.8</v>
      </c>
      <c r="K58" s="112">
        <v>67.959999999999994</v>
      </c>
      <c r="L58" s="112">
        <v>30.91</v>
      </c>
      <c r="M58" s="112">
        <v>67.650000000000006</v>
      </c>
      <c r="N58" s="112">
        <v>203.6</v>
      </c>
      <c r="O58" s="112">
        <v>0</v>
      </c>
      <c r="P58" s="112">
        <v>0.3</v>
      </c>
      <c r="Q58" s="112">
        <v>5.04</v>
      </c>
    </row>
    <row r="59" spans="1:17" customFormat="1">
      <c r="A59" s="80">
        <v>45536.53125</v>
      </c>
      <c r="B59" s="112">
        <v>9.07</v>
      </c>
      <c r="C59" s="112">
        <v>4.3499999999999996</v>
      </c>
      <c r="D59" s="112">
        <v>14</v>
      </c>
      <c r="E59" s="112">
        <v>11.72</v>
      </c>
      <c r="F59" s="112">
        <v>3.42</v>
      </c>
      <c r="G59" s="112">
        <v>32.020000000000003</v>
      </c>
      <c r="H59" s="112">
        <v>8.67</v>
      </c>
      <c r="I59" s="112">
        <v>3.64</v>
      </c>
      <c r="J59" s="112">
        <v>0.68</v>
      </c>
      <c r="K59" s="112">
        <v>66.430000000000007</v>
      </c>
      <c r="L59" s="112">
        <v>30.32</v>
      </c>
      <c r="M59" s="112">
        <v>69.3</v>
      </c>
      <c r="N59" s="112">
        <v>170.7</v>
      </c>
      <c r="O59" s="112">
        <v>0</v>
      </c>
      <c r="P59" s="112">
        <v>0.3</v>
      </c>
      <c r="Q59" s="112">
        <v>5.05</v>
      </c>
    </row>
    <row r="60" spans="1:17" customFormat="1">
      <c r="A60" s="80">
        <v>45536.541666666664</v>
      </c>
      <c r="B60" s="112">
        <v>9.06</v>
      </c>
      <c r="C60" s="112">
        <v>4.37</v>
      </c>
      <c r="D60" s="112">
        <v>14</v>
      </c>
      <c r="E60" s="112">
        <v>12.01</v>
      </c>
      <c r="F60" s="112">
        <v>2.7</v>
      </c>
      <c r="G60" s="112">
        <v>30.85</v>
      </c>
      <c r="H60" s="112">
        <v>10.36</v>
      </c>
      <c r="I60" s="112">
        <v>3.57</v>
      </c>
      <c r="J60" s="112">
        <v>0.62</v>
      </c>
      <c r="K60" s="112">
        <v>67.459999999999994</v>
      </c>
      <c r="L60" s="112">
        <v>30.91</v>
      </c>
      <c r="M60" s="112">
        <v>67.73</v>
      </c>
      <c r="N60" s="112">
        <v>314.89999999999998</v>
      </c>
      <c r="O60" s="112">
        <v>0</v>
      </c>
      <c r="P60" s="112">
        <v>0.28999999999999998</v>
      </c>
      <c r="Q60" s="112">
        <v>5.04</v>
      </c>
    </row>
    <row r="61" spans="1:17" customFormat="1">
      <c r="A61" s="80">
        <v>45536.552083333336</v>
      </c>
      <c r="B61" s="112">
        <v>9.06</v>
      </c>
      <c r="C61" s="112">
        <v>4.37</v>
      </c>
      <c r="D61" s="112">
        <v>14</v>
      </c>
      <c r="E61" s="112">
        <v>11.53</v>
      </c>
      <c r="F61" s="112">
        <v>3.57</v>
      </c>
      <c r="G61" s="112">
        <v>30.85</v>
      </c>
      <c r="H61" s="112">
        <v>10.36</v>
      </c>
      <c r="I61" s="112">
        <v>3.54</v>
      </c>
      <c r="J61" s="112">
        <v>0.63</v>
      </c>
      <c r="K61" s="112">
        <v>69.569999999999993</v>
      </c>
      <c r="L61" s="112">
        <v>31.4</v>
      </c>
      <c r="M61" s="112">
        <v>66.760000000000005</v>
      </c>
      <c r="N61" s="112">
        <v>336.8</v>
      </c>
      <c r="O61" s="112">
        <v>0</v>
      </c>
      <c r="P61" s="112">
        <v>0.28999999999999998</v>
      </c>
      <c r="Q61" s="112">
        <v>5.04</v>
      </c>
    </row>
    <row r="62" spans="1:17" customFormat="1">
      <c r="A62" s="80">
        <v>45536.5625</v>
      </c>
      <c r="B62" s="112">
        <v>9.0399999999999991</v>
      </c>
      <c r="C62" s="112">
        <v>4.4000000000000004</v>
      </c>
      <c r="D62" s="112">
        <v>14</v>
      </c>
      <c r="E62" s="112">
        <v>11.79</v>
      </c>
      <c r="F62" s="112">
        <v>5.21</v>
      </c>
      <c r="G62" s="112">
        <v>30.85</v>
      </c>
      <c r="H62" s="112">
        <v>10.36</v>
      </c>
      <c r="I62" s="112">
        <v>3.55</v>
      </c>
      <c r="J62" s="112">
        <v>0.8</v>
      </c>
      <c r="K62" s="112">
        <v>64.13</v>
      </c>
      <c r="L62" s="112">
        <v>31.29</v>
      </c>
      <c r="M62" s="112">
        <v>66.63</v>
      </c>
      <c r="N62" s="112">
        <v>261.89999999999998</v>
      </c>
      <c r="O62" s="112">
        <v>0</v>
      </c>
      <c r="P62" s="112">
        <v>0.28000000000000003</v>
      </c>
      <c r="Q62" s="112">
        <v>5.05</v>
      </c>
    </row>
    <row r="63" spans="1:17" customFormat="1">
      <c r="A63" s="80">
        <v>45536.572916666664</v>
      </c>
      <c r="B63" s="112">
        <v>9.0399999999999991</v>
      </c>
      <c r="C63" s="112">
        <v>4.4000000000000004</v>
      </c>
      <c r="D63" s="112">
        <v>14</v>
      </c>
      <c r="E63" s="112">
        <v>11.77</v>
      </c>
      <c r="F63" s="112">
        <v>3.69</v>
      </c>
      <c r="G63" s="112">
        <v>31.01</v>
      </c>
      <c r="H63" s="112">
        <v>9.75</v>
      </c>
      <c r="I63" s="112">
        <v>3.45</v>
      </c>
      <c r="J63" s="112">
        <v>0.78</v>
      </c>
      <c r="K63" s="112">
        <v>63.61</v>
      </c>
      <c r="L63" s="112">
        <v>31.96</v>
      </c>
      <c r="M63" s="112">
        <v>64.91</v>
      </c>
      <c r="N63" s="112">
        <v>278.5</v>
      </c>
      <c r="O63" s="112">
        <v>0</v>
      </c>
      <c r="P63" s="112">
        <v>0.28000000000000003</v>
      </c>
      <c r="Q63" s="112">
        <v>5.04</v>
      </c>
    </row>
    <row r="64" spans="1:17" customFormat="1">
      <c r="A64" s="80">
        <v>45536.583333333336</v>
      </c>
      <c r="B64" s="112">
        <v>9.0500000000000007</v>
      </c>
      <c r="C64" s="112">
        <v>4.3899999999999997</v>
      </c>
      <c r="D64" s="112">
        <v>14</v>
      </c>
      <c r="E64" s="112">
        <v>11.74</v>
      </c>
      <c r="F64" s="112">
        <v>4.12</v>
      </c>
      <c r="G64" s="112">
        <v>31.56</v>
      </c>
      <c r="H64" s="112">
        <v>7.62</v>
      </c>
      <c r="I64" s="112">
        <v>3.41</v>
      </c>
      <c r="J64" s="112">
        <v>0.53</v>
      </c>
      <c r="K64" s="112">
        <v>74.13</v>
      </c>
      <c r="L64" s="112">
        <v>31.65</v>
      </c>
      <c r="M64" s="112">
        <v>66.84</v>
      </c>
      <c r="N64" s="112">
        <v>186</v>
      </c>
      <c r="O64" s="112">
        <v>0</v>
      </c>
      <c r="P64" s="112">
        <v>0.28000000000000003</v>
      </c>
      <c r="Q64" s="112">
        <v>5.04</v>
      </c>
    </row>
    <row r="65" spans="1:17" customFormat="1">
      <c r="A65" s="80">
        <v>45536.59375</v>
      </c>
      <c r="B65" s="112">
        <v>9.0500000000000007</v>
      </c>
      <c r="C65" s="112">
        <v>4.3899999999999997</v>
      </c>
      <c r="D65" s="112">
        <v>14</v>
      </c>
      <c r="E65" s="112">
        <v>12.04</v>
      </c>
      <c r="F65" s="112">
        <v>4.8</v>
      </c>
      <c r="G65" s="112">
        <v>31.56</v>
      </c>
      <c r="H65" s="112">
        <v>7.62</v>
      </c>
      <c r="I65" s="112">
        <v>3.39</v>
      </c>
      <c r="J65" s="112">
        <v>1.43</v>
      </c>
      <c r="K65" s="112">
        <v>50.91</v>
      </c>
      <c r="L65" s="112">
        <v>30.57</v>
      </c>
      <c r="M65" s="112">
        <v>70.959999999999994</v>
      </c>
      <c r="N65" s="112">
        <v>142.69999999999999</v>
      </c>
      <c r="O65" s="112">
        <v>0</v>
      </c>
      <c r="P65" s="112">
        <v>0.32</v>
      </c>
      <c r="Q65" s="112">
        <v>5.03</v>
      </c>
    </row>
    <row r="66" spans="1:17" customFormat="1">
      <c r="A66" s="80">
        <v>45536.604166666664</v>
      </c>
      <c r="B66" s="112">
        <v>9.06</v>
      </c>
      <c r="C66" s="112">
        <v>4.38</v>
      </c>
      <c r="D66" s="112">
        <v>14</v>
      </c>
      <c r="E66" s="112">
        <v>12.22</v>
      </c>
      <c r="F66" s="112">
        <v>4.8600000000000003</v>
      </c>
      <c r="G66" s="112">
        <v>31.56</v>
      </c>
      <c r="H66" s="112">
        <v>7.62</v>
      </c>
      <c r="I66" s="112">
        <v>3.4</v>
      </c>
      <c r="J66" s="112">
        <v>0.72</v>
      </c>
      <c r="K66" s="112">
        <v>65.02</v>
      </c>
      <c r="L66" s="112">
        <v>30.44</v>
      </c>
      <c r="M66" s="112">
        <v>70.83</v>
      </c>
      <c r="N66" s="112">
        <v>184.1</v>
      </c>
      <c r="O66" s="112">
        <v>0</v>
      </c>
      <c r="P66" s="112">
        <v>0.37</v>
      </c>
      <c r="Q66" s="112">
        <v>5.03</v>
      </c>
    </row>
    <row r="67" spans="1:17" customFormat="1">
      <c r="A67" s="80">
        <v>45536.614583333336</v>
      </c>
      <c r="B67" s="112">
        <v>9.0500000000000007</v>
      </c>
      <c r="C67" s="112">
        <v>4.3899999999999997</v>
      </c>
      <c r="D67" s="112">
        <v>14</v>
      </c>
      <c r="E67" s="112">
        <v>12</v>
      </c>
      <c r="F67" s="112">
        <v>3.98</v>
      </c>
      <c r="G67" s="112">
        <v>31.32</v>
      </c>
      <c r="H67" s="112">
        <v>7.37</v>
      </c>
      <c r="I67" s="112">
        <v>3.44</v>
      </c>
      <c r="J67" s="112">
        <v>0.66</v>
      </c>
      <c r="K67" s="112">
        <v>72.739999999999995</v>
      </c>
      <c r="L67" s="112">
        <v>31.1</v>
      </c>
      <c r="M67" s="112">
        <v>69.510000000000005</v>
      </c>
      <c r="N67" s="112">
        <v>152.69999999999999</v>
      </c>
      <c r="O67" s="112">
        <v>0</v>
      </c>
      <c r="P67" s="112">
        <v>0.35</v>
      </c>
      <c r="Q67" s="112">
        <v>5.0199999999999996</v>
      </c>
    </row>
    <row r="68" spans="1:17" customFormat="1">
      <c r="A68" s="80">
        <v>45536.625</v>
      </c>
      <c r="B68" s="112">
        <v>9.0399999999999991</v>
      </c>
      <c r="C68" s="112">
        <v>4.41</v>
      </c>
      <c r="D68" s="112">
        <v>14</v>
      </c>
      <c r="E68" s="112">
        <v>12.07</v>
      </c>
      <c r="F68" s="112">
        <v>5.17</v>
      </c>
      <c r="G68" s="112">
        <v>30.48</v>
      </c>
      <c r="H68" s="112">
        <v>6.04</v>
      </c>
      <c r="I68" s="112">
        <v>3.33</v>
      </c>
      <c r="J68" s="112">
        <v>0.88</v>
      </c>
      <c r="K68" s="112">
        <v>59.89</v>
      </c>
      <c r="L68" s="112">
        <v>31.13</v>
      </c>
      <c r="M68" s="112">
        <v>69.260000000000005</v>
      </c>
      <c r="N68" s="112">
        <v>202.6</v>
      </c>
      <c r="O68" s="112">
        <v>0</v>
      </c>
      <c r="P68" s="112">
        <v>0.37</v>
      </c>
      <c r="Q68" s="112">
        <v>5.03</v>
      </c>
    </row>
    <row r="69" spans="1:17" customFormat="1">
      <c r="A69" s="80">
        <v>45536.635416666664</v>
      </c>
      <c r="B69" s="112">
        <v>9.0399999999999991</v>
      </c>
      <c r="C69" s="112">
        <v>4.41</v>
      </c>
      <c r="D69" s="112">
        <v>14</v>
      </c>
      <c r="E69" s="112">
        <v>12.39</v>
      </c>
      <c r="F69" s="112">
        <v>6.35</v>
      </c>
      <c r="G69" s="112">
        <v>30.48</v>
      </c>
      <c r="H69" s="112">
        <v>6.04</v>
      </c>
      <c r="I69" s="112">
        <v>3.38</v>
      </c>
      <c r="J69" s="112">
        <v>1.1399999999999999</v>
      </c>
      <c r="K69" s="112">
        <v>54.91</v>
      </c>
      <c r="L69" s="112">
        <v>30.73</v>
      </c>
      <c r="M69" s="112">
        <v>70.87</v>
      </c>
      <c r="N69" s="112">
        <v>108</v>
      </c>
      <c r="O69" s="112">
        <v>0</v>
      </c>
      <c r="P69" s="112">
        <v>0.35</v>
      </c>
      <c r="Q69" s="112">
        <v>5.0199999999999996</v>
      </c>
    </row>
    <row r="70" spans="1:17" customFormat="1">
      <c r="A70" s="80">
        <v>45536.645833333336</v>
      </c>
      <c r="B70" s="112">
        <v>9.0500000000000007</v>
      </c>
      <c r="C70" s="112">
        <v>4.38</v>
      </c>
      <c r="D70" s="112">
        <v>14</v>
      </c>
      <c r="E70" s="112">
        <v>12.66</v>
      </c>
      <c r="F70" s="112">
        <v>6.41</v>
      </c>
      <c r="G70" s="112">
        <v>30.48</v>
      </c>
      <c r="H70" s="112">
        <v>6.04</v>
      </c>
      <c r="I70" s="112">
        <v>3.38</v>
      </c>
      <c r="J70" s="112">
        <v>0.95</v>
      </c>
      <c r="K70" s="112">
        <v>55.23</v>
      </c>
      <c r="L70" s="112">
        <v>30.44</v>
      </c>
      <c r="M70" s="112">
        <v>71.05</v>
      </c>
      <c r="N70" s="112">
        <v>120.9</v>
      </c>
      <c r="O70" s="112">
        <v>0</v>
      </c>
      <c r="P70" s="112">
        <v>0.35</v>
      </c>
      <c r="Q70" s="112">
        <v>5.03</v>
      </c>
    </row>
    <row r="71" spans="1:17" customFormat="1">
      <c r="A71" s="80">
        <v>45536.65625</v>
      </c>
      <c r="B71" s="112">
        <v>9.1300000000000008</v>
      </c>
      <c r="C71" s="112">
        <v>4.2699999999999996</v>
      </c>
      <c r="D71" s="112">
        <v>14</v>
      </c>
      <c r="E71" s="112">
        <v>11.98</v>
      </c>
      <c r="F71" s="112">
        <v>7.83</v>
      </c>
      <c r="G71" s="112">
        <v>31.46</v>
      </c>
      <c r="H71" s="112">
        <v>7.34</v>
      </c>
      <c r="I71" s="112">
        <v>3.31</v>
      </c>
      <c r="J71" s="112">
        <v>0.6</v>
      </c>
      <c r="K71" s="112">
        <v>68.38</v>
      </c>
      <c r="L71" s="112">
        <v>30.41</v>
      </c>
      <c r="M71" s="112">
        <v>71.900000000000006</v>
      </c>
      <c r="N71" s="112">
        <v>162</v>
      </c>
      <c r="O71" s="112">
        <v>0</v>
      </c>
      <c r="P71" s="112">
        <v>0.35</v>
      </c>
      <c r="Q71" s="112">
        <v>5.03</v>
      </c>
    </row>
    <row r="72" spans="1:17" customFormat="1">
      <c r="A72" s="80">
        <v>45536.666666666664</v>
      </c>
      <c r="B72" s="112">
        <v>9.17</v>
      </c>
      <c r="C72" s="112">
        <v>4.21</v>
      </c>
      <c r="D72" s="112">
        <v>14</v>
      </c>
      <c r="E72" s="112">
        <v>11.86</v>
      </c>
      <c r="F72" s="112">
        <v>7.23</v>
      </c>
      <c r="G72" s="112">
        <v>34.9</v>
      </c>
      <c r="H72" s="112">
        <v>10.58</v>
      </c>
      <c r="I72" s="112">
        <v>3.35</v>
      </c>
      <c r="J72" s="112">
        <v>0.9</v>
      </c>
      <c r="K72" s="112">
        <v>57.34</v>
      </c>
      <c r="L72" s="112">
        <v>30.67</v>
      </c>
      <c r="M72" s="112">
        <v>71.48</v>
      </c>
      <c r="N72" s="112">
        <v>91.1</v>
      </c>
      <c r="O72" s="112">
        <v>0</v>
      </c>
      <c r="P72" s="112">
        <v>0.36</v>
      </c>
      <c r="Q72" s="112">
        <v>5.0199999999999996</v>
      </c>
    </row>
    <row r="73" spans="1:17" customFormat="1">
      <c r="A73" s="80">
        <v>45536.677083333336</v>
      </c>
      <c r="B73" s="112">
        <v>9.1300000000000008</v>
      </c>
      <c r="C73" s="112">
        <v>4.26</v>
      </c>
      <c r="D73" s="112">
        <v>14</v>
      </c>
      <c r="E73" s="112">
        <v>12.37</v>
      </c>
      <c r="F73" s="112">
        <v>7.8</v>
      </c>
      <c r="G73" s="112">
        <v>34.9</v>
      </c>
      <c r="H73" s="112">
        <v>10.58</v>
      </c>
      <c r="I73" s="112">
        <v>3.41</v>
      </c>
      <c r="J73" s="112">
        <v>1.06</v>
      </c>
      <c r="K73" s="112">
        <v>55.12</v>
      </c>
      <c r="L73" s="112">
        <v>30.64</v>
      </c>
      <c r="M73" s="112">
        <v>71.239999999999995</v>
      </c>
      <c r="N73" s="112">
        <v>138.6</v>
      </c>
      <c r="O73" s="112">
        <v>0</v>
      </c>
      <c r="P73" s="112">
        <v>0.36</v>
      </c>
      <c r="Q73" s="112">
        <v>5.04</v>
      </c>
    </row>
    <row r="74" spans="1:17" customFormat="1">
      <c r="A74" s="80">
        <v>45536.6875</v>
      </c>
      <c r="B74" s="112">
        <v>9.14</v>
      </c>
      <c r="C74" s="112">
        <v>4.25</v>
      </c>
      <c r="D74" s="112">
        <v>14</v>
      </c>
      <c r="E74" s="112">
        <v>11.65</v>
      </c>
      <c r="F74" s="112">
        <v>6.59</v>
      </c>
      <c r="G74" s="112">
        <v>34.9</v>
      </c>
      <c r="H74" s="112">
        <v>10.58</v>
      </c>
      <c r="I74" s="112">
        <v>3.44</v>
      </c>
      <c r="J74" s="112">
        <v>1.04</v>
      </c>
      <c r="K74" s="112">
        <v>55.89</v>
      </c>
      <c r="L74" s="112">
        <v>30.14</v>
      </c>
      <c r="M74" s="112">
        <v>72.38</v>
      </c>
      <c r="N74" s="112">
        <v>51.5</v>
      </c>
      <c r="O74" s="112">
        <v>0</v>
      </c>
      <c r="P74" s="112">
        <v>0.35</v>
      </c>
      <c r="Q74" s="112">
        <v>5.03</v>
      </c>
    </row>
    <row r="75" spans="1:17" customFormat="1">
      <c r="A75" s="80">
        <v>45536.697916666664</v>
      </c>
      <c r="B75" s="112">
        <v>9.14</v>
      </c>
      <c r="C75" s="112">
        <v>4.25</v>
      </c>
      <c r="D75" s="112">
        <v>14</v>
      </c>
      <c r="E75" s="112">
        <v>11.62</v>
      </c>
      <c r="F75" s="112">
        <v>6.63</v>
      </c>
      <c r="G75" s="112">
        <v>35.79</v>
      </c>
      <c r="H75" s="112">
        <v>10.08</v>
      </c>
      <c r="I75" s="112">
        <v>3.32</v>
      </c>
      <c r="J75" s="112">
        <v>0.61</v>
      </c>
      <c r="K75" s="112">
        <v>62.4</v>
      </c>
      <c r="L75" s="112">
        <v>30.04</v>
      </c>
      <c r="M75" s="112">
        <v>73.88</v>
      </c>
      <c r="N75" s="112">
        <v>39.700000000000003</v>
      </c>
      <c r="O75" s="112">
        <v>0</v>
      </c>
      <c r="P75" s="112">
        <v>0.36</v>
      </c>
      <c r="Q75" s="112">
        <v>5.0199999999999996</v>
      </c>
    </row>
    <row r="76" spans="1:17" customFormat="1">
      <c r="A76" s="80">
        <v>45536.708333333336</v>
      </c>
      <c r="B76" s="112">
        <v>9.15</v>
      </c>
      <c r="C76" s="112">
        <v>4.24</v>
      </c>
      <c r="D76" s="112">
        <v>14</v>
      </c>
      <c r="E76" s="112">
        <v>11.35</v>
      </c>
      <c r="F76" s="112">
        <v>6.22</v>
      </c>
      <c r="G76" s="112">
        <v>38.880000000000003</v>
      </c>
      <c r="H76" s="112">
        <v>8.92</v>
      </c>
      <c r="I76" s="112">
        <v>3.31</v>
      </c>
      <c r="J76" s="112">
        <v>0.77</v>
      </c>
      <c r="K76" s="112">
        <v>61.13</v>
      </c>
      <c r="L76" s="112">
        <v>29.87</v>
      </c>
      <c r="M76" s="112">
        <v>74.56</v>
      </c>
      <c r="N76" s="112">
        <v>41.2</v>
      </c>
      <c r="O76" s="112">
        <v>0</v>
      </c>
      <c r="P76" s="112">
        <v>0.36</v>
      </c>
      <c r="Q76" s="112">
        <v>5.03</v>
      </c>
    </row>
    <row r="77" spans="1:17" customFormat="1">
      <c r="A77" s="80">
        <v>45536.71875</v>
      </c>
      <c r="B77" s="112">
        <v>9.1199999999999992</v>
      </c>
      <c r="C77" s="112">
        <v>4.28</v>
      </c>
      <c r="D77" s="112">
        <v>14</v>
      </c>
      <c r="E77" s="112">
        <v>11.8</v>
      </c>
      <c r="F77" s="112">
        <v>5.95</v>
      </c>
      <c r="G77" s="112">
        <v>38.880000000000003</v>
      </c>
      <c r="H77" s="112">
        <v>8.92</v>
      </c>
      <c r="I77" s="112">
        <v>3.35</v>
      </c>
      <c r="J77" s="112">
        <v>0.83</v>
      </c>
      <c r="K77" s="112">
        <v>64.91</v>
      </c>
      <c r="L77" s="112">
        <v>29.39</v>
      </c>
      <c r="M77" s="112">
        <v>76.47</v>
      </c>
      <c r="N77" s="112">
        <v>17.3</v>
      </c>
      <c r="O77" s="112">
        <v>0</v>
      </c>
      <c r="P77" s="112">
        <v>0.35</v>
      </c>
      <c r="Q77" s="112">
        <v>5.0199999999999996</v>
      </c>
    </row>
    <row r="78" spans="1:17" customFormat="1">
      <c r="A78" s="80">
        <v>45536.729166666664</v>
      </c>
      <c r="B78" s="112">
        <v>9.1199999999999992</v>
      </c>
      <c r="C78" s="112">
        <v>4.28</v>
      </c>
      <c r="D78" s="112">
        <v>14</v>
      </c>
      <c r="E78" s="112">
        <v>11.4</v>
      </c>
      <c r="F78" s="112">
        <v>4.6100000000000003</v>
      </c>
      <c r="G78" s="112">
        <v>38.880000000000003</v>
      </c>
      <c r="H78" s="112">
        <v>8.92</v>
      </c>
      <c r="I78" s="112">
        <v>3.35</v>
      </c>
      <c r="J78" s="112">
        <v>0.52</v>
      </c>
      <c r="K78" s="112">
        <v>73.5</v>
      </c>
      <c r="L78" s="112">
        <v>28.57</v>
      </c>
      <c r="M78" s="112">
        <v>80.95</v>
      </c>
      <c r="N78" s="112">
        <v>19.399999999999999</v>
      </c>
      <c r="O78" s="112">
        <v>0</v>
      </c>
      <c r="P78" s="112">
        <v>0.35</v>
      </c>
      <c r="Q78" s="112">
        <v>5.0199999999999996</v>
      </c>
    </row>
    <row r="79" spans="1:17" customFormat="1">
      <c r="A79" s="80">
        <v>45536.739583333336</v>
      </c>
      <c r="B79" s="112">
        <v>9.1199999999999992</v>
      </c>
      <c r="C79" s="112">
        <v>4.28</v>
      </c>
      <c r="D79" s="112">
        <v>14</v>
      </c>
      <c r="E79" s="112">
        <v>10.9</v>
      </c>
      <c r="F79" s="112">
        <v>7.22</v>
      </c>
      <c r="G79" s="112">
        <v>38.42</v>
      </c>
      <c r="H79" s="112">
        <v>8.64</v>
      </c>
      <c r="I79" s="112">
        <v>3.34</v>
      </c>
      <c r="J79" s="112">
        <v>0.68</v>
      </c>
      <c r="K79" s="112">
        <v>63.77</v>
      </c>
      <c r="L79" s="112">
        <v>28.65</v>
      </c>
      <c r="M79" s="112">
        <v>81.180000000000007</v>
      </c>
      <c r="N79" s="112">
        <v>17.3</v>
      </c>
      <c r="O79" s="112">
        <v>0</v>
      </c>
      <c r="P79" s="112">
        <v>0.36</v>
      </c>
      <c r="Q79" s="112">
        <v>5.04</v>
      </c>
    </row>
    <row r="80" spans="1:17" customFormat="1">
      <c r="A80" s="80">
        <v>45536.75</v>
      </c>
      <c r="B80" s="112">
        <v>9.11</v>
      </c>
      <c r="C80" s="112">
        <v>4.29</v>
      </c>
      <c r="D80" s="112">
        <v>14</v>
      </c>
      <c r="E80" s="112">
        <v>11.09</v>
      </c>
      <c r="F80" s="112">
        <v>7.33</v>
      </c>
      <c r="G80" s="112">
        <v>36.81</v>
      </c>
      <c r="H80" s="112">
        <v>7.94</v>
      </c>
      <c r="I80" s="112">
        <v>3.31</v>
      </c>
      <c r="J80" s="112">
        <v>0.55000000000000004</v>
      </c>
      <c r="K80" s="112">
        <v>65.92</v>
      </c>
      <c r="L80" s="112">
        <v>28.64</v>
      </c>
      <c r="M80" s="112">
        <v>81.540000000000006</v>
      </c>
      <c r="N80" s="112">
        <v>8.9</v>
      </c>
      <c r="O80" s="112">
        <v>0</v>
      </c>
      <c r="P80" s="112">
        <v>0.36</v>
      </c>
      <c r="Q80" s="112">
        <v>5.03</v>
      </c>
    </row>
    <row r="81" spans="1:17" customFormat="1">
      <c r="A81" s="80">
        <v>45536.760416666664</v>
      </c>
      <c r="B81" s="112">
        <v>9.11</v>
      </c>
      <c r="C81" s="112">
        <v>4.29</v>
      </c>
      <c r="D81" s="112">
        <v>14</v>
      </c>
      <c r="E81" s="112">
        <v>7.14</v>
      </c>
      <c r="F81" s="112">
        <v>7.69</v>
      </c>
      <c r="G81" s="112">
        <v>36.81</v>
      </c>
      <c r="H81" s="112">
        <v>7.94</v>
      </c>
      <c r="I81" s="112">
        <v>3.25</v>
      </c>
      <c r="J81" s="112">
        <v>0.67</v>
      </c>
      <c r="K81" s="112">
        <v>60.69</v>
      </c>
      <c r="L81" s="112">
        <v>28.55</v>
      </c>
      <c r="M81" s="112">
        <v>81.97</v>
      </c>
      <c r="N81" s="112">
        <v>3.1</v>
      </c>
      <c r="O81" s="112">
        <v>0</v>
      </c>
      <c r="P81" s="112">
        <v>0.37</v>
      </c>
      <c r="Q81" s="112">
        <v>5.04</v>
      </c>
    </row>
    <row r="82" spans="1:17" customFormat="1">
      <c r="A82" s="80">
        <v>45536.770833333336</v>
      </c>
      <c r="B82" s="112">
        <v>9.09</v>
      </c>
      <c r="C82" s="112">
        <v>4.33</v>
      </c>
      <c r="D82" s="112">
        <v>14</v>
      </c>
      <c r="E82" s="112">
        <v>7.62</v>
      </c>
      <c r="F82" s="112">
        <v>8.16</v>
      </c>
      <c r="G82" s="112">
        <v>36.81</v>
      </c>
      <c r="H82" s="112">
        <v>7.94</v>
      </c>
      <c r="I82" s="112">
        <v>3.32</v>
      </c>
      <c r="J82" s="112">
        <v>0.86</v>
      </c>
      <c r="K82" s="112">
        <v>61.15</v>
      </c>
      <c r="L82" s="112">
        <v>28.47</v>
      </c>
      <c r="M82" s="112">
        <v>82.34</v>
      </c>
      <c r="N82" s="112">
        <v>2.2999999999999998</v>
      </c>
      <c r="O82" s="112">
        <v>0</v>
      </c>
      <c r="P82" s="112">
        <v>0.39</v>
      </c>
      <c r="Q82" s="112">
        <v>5.05</v>
      </c>
    </row>
    <row r="83" spans="1:17" customFormat="1">
      <c r="A83" s="80">
        <v>45536.78125</v>
      </c>
      <c r="B83" s="112">
        <v>9.08</v>
      </c>
      <c r="C83" s="112">
        <v>4.34</v>
      </c>
      <c r="D83" s="112">
        <v>14</v>
      </c>
      <c r="E83" s="112">
        <v>7.67</v>
      </c>
      <c r="F83" s="112">
        <v>9.93</v>
      </c>
      <c r="G83" s="112">
        <v>37.049999999999997</v>
      </c>
      <c r="H83" s="112">
        <v>7.58</v>
      </c>
      <c r="I83" s="112">
        <v>3.58</v>
      </c>
      <c r="J83" s="112">
        <v>0.57999999999999996</v>
      </c>
      <c r="K83" s="112">
        <v>59.16</v>
      </c>
      <c r="L83" s="112">
        <v>28.42</v>
      </c>
      <c r="M83" s="112">
        <v>83.24</v>
      </c>
      <c r="N83" s="112">
        <v>2.1</v>
      </c>
      <c r="O83" s="112">
        <v>0</v>
      </c>
      <c r="P83" s="112">
        <v>0.43</v>
      </c>
      <c r="Q83" s="112">
        <v>5.03</v>
      </c>
    </row>
    <row r="84" spans="1:17" customFormat="1">
      <c r="A84" s="80">
        <v>45536.791666666664</v>
      </c>
      <c r="B84" s="112">
        <v>9.07</v>
      </c>
      <c r="C84" s="112">
        <v>4.3600000000000003</v>
      </c>
      <c r="D84" s="112">
        <v>14</v>
      </c>
      <c r="E84" s="112">
        <v>8.27</v>
      </c>
      <c r="F84" s="112">
        <v>8.1</v>
      </c>
      <c r="G84" s="112">
        <v>37.880000000000003</v>
      </c>
      <c r="H84" s="112">
        <v>6.73</v>
      </c>
      <c r="I84" s="112">
        <v>3.76</v>
      </c>
      <c r="J84" s="112">
        <v>0.71</v>
      </c>
      <c r="K84" s="112">
        <v>57.55</v>
      </c>
      <c r="L84" s="112">
        <v>28.49</v>
      </c>
      <c r="M84" s="112">
        <v>82.35</v>
      </c>
      <c r="N84" s="112">
        <v>2.1</v>
      </c>
      <c r="O84" s="112">
        <v>0</v>
      </c>
      <c r="P84" s="112">
        <v>0.41</v>
      </c>
      <c r="Q84" s="112">
        <v>5.04</v>
      </c>
    </row>
    <row r="85" spans="1:17" customFormat="1">
      <c r="A85" s="80">
        <v>45536.802083333336</v>
      </c>
      <c r="B85" s="112">
        <v>9.08</v>
      </c>
      <c r="C85" s="112">
        <v>4.3499999999999996</v>
      </c>
      <c r="D85" s="112">
        <v>14</v>
      </c>
      <c r="E85" s="112">
        <v>8.2799999999999994</v>
      </c>
      <c r="F85" s="112">
        <v>6.67</v>
      </c>
      <c r="G85" s="112">
        <v>37.880000000000003</v>
      </c>
      <c r="H85" s="112">
        <v>6.73</v>
      </c>
      <c r="I85" s="112">
        <v>3.88</v>
      </c>
      <c r="J85" s="112">
        <v>0.39</v>
      </c>
      <c r="K85" s="112">
        <v>75</v>
      </c>
      <c r="L85" s="112">
        <v>28.55</v>
      </c>
      <c r="M85" s="112">
        <v>80.22</v>
      </c>
      <c r="N85" s="112">
        <v>2.1</v>
      </c>
      <c r="O85" s="112">
        <v>0</v>
      </c>
      <c r="P85" s="112">
        <v>0.36</v>
      </c>
      <c r="Q85" s="112">
        <v>5.03</v>
      </c>
    </row>
    <row r="86" spans="1:17" customFormat="1">
      <c r="A86" s="80">
        <v>45536.8125</v>
      </c>
      <c r="B86" s="112">
        <v>9.1</v>
      </c>
      <c r="C86" s="112">
        <v>4.3099999999999996</v>
      </c>
      <c r="D86" s="112">
        <v>14</v>
      </c>
      <c r="E86" s="112">
        <v>8.2200000000000006</v>
      </c>
      <c r="F86" s="112">
        <v>9.48</v>
      </c>
      <c r="G86" s="112">
        <v>37.880000000000003</v>
      </c>
      <c r="H86" s="112">
        <v>6.73</v>
      </c>
      <c r="I86" s="112">
        <v>3.88</v>
      </c>
      <c r="J86" s="112">
        <v>0.45</v>
      </c>
      <c r="K86" s="112">
        <v>62.86</v>
      </c>
      <c r="L86" s="112">
        <v>28.57</v>
      </c>
      <c r="M86" s="112">
        <v>79.77</v>
      </c>
      <c r="N86" s="112">
        <v>2.1</v>
      </c>
      <c r="O86" s="112">
        <v>0</v>
      </c>
      <c r="P86" s="112">
        <v>0.37</v>
      </c>
      <c r="Q86" s="112">
        <v>5.05</v>
      </c>
    </row>
    <row r="87" spans="1:17" customFormat="1">
      <c r="A87" s="80">
        <v>45536.822916666664</v>
      </c>
      <c r="B87" s="112">
        <v>9.09</v>
      </c>
      <c r="C87" s="112">
        <v>4.32</v>
      </c>
      <c r="D87" s="112">
        <v>14</v>
      </c>
      <c r="E87" s="112">
        <v>8.06</v>
      </c>
      <c r="F87" s="112">
        <v>9.6300000000000008</v>
      </c>
      <c r="G87" s="112">
        <v>39.880000000000003</v>
      </c>
      <c r="H87" s="112">
        <v>7.42</v>
      </c>
      <c r="I87" s="112">
        <v>3.68</v>
      </c>
      <c r="J87" s="112">
        <v>0.57999999999999996</v>
      </c>
      <c r="K87" s="112">
        <v>61.71</v>
      </c>
      <c r="L87" s="112">
        <v>28.54</v>
      </c>
      <c r="M87" s="112">
        <v>79.73</v>
      </c>
      <c r="N87" s="112">
        <v>2.2999999999999998</v>
      </c>
      <c r="O87" s="112">
        <v>0</v>
      </c>
      <c r="P87" s="112">
        <v>0.38</v>
      </c>
      <c r="Q87" s="112">
        <v>5.05</v>
      </c>
    </row>
    <row r="88" spans="1:17" customFormat="1">
      <c r="A88" s="80">
        <v>45536.833333333336</v>
      </c>
      <c r="B88" s="112">
        <v>9.1</v>
      </c>
      <c r="C88" s="112">
        <v>4.3099999999999996</v>
      </c>
      <c r="D88" s="112">
        <v>14</v>
      </c>
      <c r="E88" s="112">
        <v>8.43</v>
      </c>
      <c r="F88" s="112">
        <v>5.73</v>
      </c>
      <c r="G88" s="112">
        <v>46.84</v>
      </c>
      <c r="H88" s="112">
        <v>9.1</v>
      </c>
      <c r="I88" s="112">
        <v>3.77</v>
      </c>
      <c r="J88" s="112">
        <v>0.68</v>
      </c>
      <c r="K88" s="112">
        <v>59.07</v>
      </c>
      <c r="L88" s="112">
        <v>28.58</v>
      </c>
      <c r="M88" s="112">
        <v>79.37</v>
      </c>
      <c r="N88" s="112">
        <v>2.2999999999999998</v>
      </c>
      <c r="O88" s="112">
        <v>0</v>
      </c>
      <c r="P88" s="112">
        <v>0.38</v>
      </c>
      <c r="Q88" s="112">
        <v>5.03</v>
      </c>
    </row>
    <row r="89" spans="1:17" customFormat="1">
      <c r="A89" s="80">
        <v>45536.84375</v>
      </c>
      <c r="B89" s="112">
        <v>9.1</v>
      </c>
      <c r="C89" s="112">
        <v>4.3099999999999996</v>
      </c>
      <c r="D89" s="112">
        <v>14</v>
      </c>
      <c r="E89" s="112">
        <v>8.5399999999999991</v>
      </c>
      <c r="F89" s="112">
        <v>6.05</v>
      </c>
      <c r="G89" s="112">
        <v>46.84</v>
      </c>
      <c r="H89" s="112">
        <v>9.1</v>
      </c>
      <c r="I89" s="112">
        <v>3.79</v>
      </c>
      <c r="J89" s="112">
        <v>0.79</v>
      </c>
      <c r="K89" s="112">
        <v>58.53</v>
      </c>
      <c r="L89" s="112">
        <v>28.55</v>
      </c>
      <c r="M89" s="112">
        <v>78.88</v>
      </c>
      <c r="N89" s="112">
        <v>2.4</v>
      </c>
      <c r="O89" s="112">
        <v>0</v>
      </c>
      <c r="P89" s="112">
        <v>0.4</v>
      </c>
      <c r="Q89" s="112">
        <v>5.03</v>
      </c>
    </row>
    <row r="90" spans="1:17" customFormat="1">
      <c r="A90" s="80">
        <v>45536.854166666664</v>
      </c>
      <c r="B90" s="112">
        <v>9.1</v>
      </c>
      <c r="C90" s="112">
        <v>4.3099999999999996</v>
      </c>
      <c r="D90" s="112">
        <v>14</v>
      </c>
      <c r="E90" s="112">
        <v>8.6999999999999993</v>
      </c>
      <c r="F90" s="112">
        <v>4.7699999999999996</v>
      </c>
      <c r="G90" s="112">
        <v>46.84</v>
      </c>
      <c r="H90" s="112">
        <v>9.1</v>
      </c>
      <c r="I90" s="112">
        <v>3.87</v>
      </c>
      <c r="J90" s="112">
        <v>0.59</v>
      </c>
      <c r="K90" s="112">
        <v>65.05</v>
      </c>
      <c r="L90" s="112">
        <v>28.42</v>
      </c>
      <c r="M90" s="112">
        <v>78.94</v>
      </c>
      <c r="N90" s="112">
        <v>2.5</v>
      </c>
      <c r="O90" s="112">
        <v>0</v>
      </c>
      <c r="P90" s="112">
        <v>0.4</v>
      </c>
      <c r="Q90" s="112">
        <v>5.05</v>
      </c>
    </row>
    <row r="91" spans="1:17" customFormat="1">
      <c r="A91" s="80">
        <v>45536.864583333336</v>
      </c>
      <c r="B91" s="112">
        <v>9.11</v>
      </c>
      <c r="C91" s="112">
        <v>4.3</v>
      </c>
      <c r="D91" s="112">
        <v>14</v>
      </c>
      <c r="E91" s="112">
        <v>8.5399999999999991</v>
      </c>
      <c r="F91" s="112">
        <v>4.4800000000000004</v>
      </c>
      <c r="G91" s="112">
        <v>44.54</v>
      </c>
      <c r="H91" s="112">
        <v>8.94</v>
      </c>
      <c r="I91" s="112">
        <v>3.75</v>
      </c>
      <c r="J91" s="112">
        <v>0.45</v>
      </c>
      <c r="K91" s="112">
        <v>73.16</v>
      </c>
      <c r="L91" s="112">
        <v>28.3</v>
      </c>
      <c r="M91" s="112">
        <v>79.290000000000006</v>
      </c>
      <c r="N91" s="112">
        <v>2.5</v>
      </c>
      <c r="O91" s="112">
        <v>0</v>
      </c>
      <c r="P91" s="112">
        <v>0.39</v>
      </c>
      <c r="Q91" s="112">
        <v>5.04</v>
      </c>
    </row>
    <row r="92" spans="1:17" customFormat="1">
      <c r="A92" s="80">
        <v>45536.875</v>
      </c>
      <c r="B92" s="112">
        <v>9.1</v>
      </c>
      <c r="C92" s="112">
        <v>4.3099999999999996</v>
      </c>
      <c r="D92" s="112">
        <v>14</v>
      </c>
      <c r="E92" s="112">
        <v>9.2799999999999994</v>
      </c>
      <c r="F92" s="112">
        <v>4.04</v>
      </c>
      <c r="G92" s="112">
        <v>36.479999999999997</v>
      </c>
      <c r="H92" s="112">
        <v>8.14</v>
      </c>
      <c r="I92" s="112">
        <v>3.59</v>
      </c>
      <c r="J92" s="112">
        <v>0.55000000000000004</v>
      </c>
      <c r="K92" s="112">
        <v>60.54</v>
      </c>
      <c r="L92" s="112">
        <v>28.13</v>
      </c>
      <c r="M92" s="112">
        <v>79.89</v>
      </c>
      <c r="N92" s="112">
        <v>2.5</v>
      </c>
      <c r="O92" s="112">
        <v>0</v>
      </c>
      <c r="P92" s="112">
        <v>0.39</v>
      </c>
      <c r="Q92" s="112">
        <v>5.04</v>
      </c>
    </row>
    <row r="93" spans="1:17" customFormat="1">
      <c r="A93" s="80">
        <v>45536.885416666664</v>
      </c>
      <c r="B93" s="112">
        <v>9.09</v>
      </c>
      <c r="C93" s="112">
        <v>4.33</v>
      </c>
      <c r="D93" s="112">
        <v>14</v>
      </c>
      <c r="E93" s="112">
        <v>9.11</v>
      </c>
      <c r="F93" s="112">
        <v>3.12</v>
      </c>
      <c r="G93" s="112">
        <v>36.479999999999997</v>
      </c>
      <c r="H93" s="112">
        <v>8.14</v>
      </c>
      <c r="I93" s="112">
        <v>3.59</v>
      </c>
      <c r="J93" s="112">
        <v>0.28000000000000003</v>
      </c>
      <c r="K93" s="112">
        <v>88.37</v>
      </c>
      <c r="L93" s="112">
        <v>27.73</v>
      </c>
      <c r="M93" s="112">
        <v>85.17</v>
      </c>
      <c r="N93" s="112">
        <v>2.9</v>
      </c>
      <c r="O93" s="112">
        <v>0.4</v>
      </c>
      <c r="P93" s="112">
        <v>0.39</v>
      </c>
      <c r="Q93" s="112">
        <v>5.03</v>
      </c>
    </row>
    <row r="94" spans="1:17" customFormat="1">
      <c r="A94" s="80">
        <v>45536.895833333336</v>
      </c>
      <c r="B94" s="112">
        <v>9.09</v>
      </c>
      <c r="C94" s="112">
        <v>4.33</v>
      </c>
      <c r="D94" s="112">
        <v>14</v>
      </c>
      <c r="E94" s="112">
        <v>9.25</v>
      </c>
      <c r="F94" s="112">
        <v>3.23</v>
      </c>
      <c r="G94" s="112">
        <v>36.479999999999997</v>
      </c>
      <c r="H94" s="112">
        <v>8.14</v>
      </c>
      <c r="I94" s="112">
        <v>3.62</v>
      </c>
      <c r="J94" s="112">
        <v>0.28999999999999998</v>
      </c>
      <c r="K94" s="112">
        <v>83.1</v>
      </c>
      <c r="L94" s="112">
        <v>27.09</v>
      </c>
      <c r="M94" s="112">
        <v>91.15</v>
      </c>
      <c r="N94" s="112">
        <v>3.3</v>
      </c>
      <c r="O94" s="112">
        <v>0.2</v>
      </c>
      <c r="P94" s="112">
        <v>0.4</v>
      </c>
      <c r="Q94" s="112">
        <v>5.0199999999999996</v>
      </c>
    </row>
    <row r="95" spans="1:17" customFormat="1">
      <c r="A95" s="80">
        <v>45536.90625</v>
      </c>
      <c r="B95" s="112">
        <v>9.08</v>
      </c>
      <c r="C95" s="112">
        <v>4.3499999999999996</v>
      </c>
      <c r="D95" s="112">
        <v>14</v>
      </c>
      <c r="E95" s="112">
        <v>9.25</v>
      </c>
      <c r="F95" s="112">
        <v>3.49</v>
      </c>
      <c r="G95" s="112">
        <v>36.979999999999997</v>
      </c>
      <c r="H95" s="112">
        <v>7.58</v>
      </c>
      <c r="I95" s="112">
        <v>3.51</v>
      </c>
      <c r="J95" s="112">
        <v>0.54</v>
      </c>
      <c r="K95" s="112">
        <v>64.12</v>
      </c>
      <c r="L95" s="112">
        <v>26.94</v>
      </c>
      <c r="M95" s="112">
        <v>90.67</v>
      </c>
      <c r="N95" s="112">
        <v>2.8</v>
      </c>
      <c r="O95" s="112">
        <v>0</v>
      </c>
      <c r="P95" s="112">
        <v>0.39</v>
      </c>
      <c r="Q95" s="112">
        <v>5.03</v>
      </c>
    </row>
    <row r="96" spans="1:17" customFormat="1">
      <c r="A96" s="80">
        <v>45536.916666666664</v>
      </c>
      <c r="B96" s="112">
        <v>9.07</v>
      </c>
      <c r="C96" s="112">
        <v>4.3600000000000003</v>
      </c>
      <c r="D96" s="112">
        <v>14</v>
      </c>
      <c r="E96" s="112">
        <v>9.84</v>
      </c>
      <c r="F96" s="112">
        <v>2.72</v>
      </c>
      <c r="G96" s="112">
        <v>38.729999999999997</v>
      </c>
      <c r="H96" s="112">
        <v>6.19</v>
      </c>
      <c r="I96" s="112">
        <v>3.44</v>
      </c>
      <c r="J96" s="112">
        <v>0.39</v>
      </c>
      <c r="K96" s="112">
        <v>70.62</v>
      </c>
      <c r="L96" s="112">
        <v>27</v>
      </c>
      <c r="M96" s="112">
        <v>89.95</v>
      </c>
      <c r="N96" s="112">
        <v>3.1</v>
      </c>
      <c r="O96" s="112">
        <v>0.4</v>
      </c>
      <c r="P96" s="112">
        <v>0.39</v>
      </c>
      <c r="Q96" s="112">
        <v>5.03</v>
      </c>
    </row>
    <row r="97" spans="1:22" customFormat="1">
      <c r="A97" s="80">
        <v>45536.927083333336</v>
      </c>
      <c r="B97" s="112">
        <v>9.07</v>
      </c>
      <c r="C97" s="112">
        <v>4.3600000000000003</v>
      </c>
      <c r="D97" s="112">
        <v>14</v>
      </c>
      <c r="E97" s="112">
        <v>9.7100000000000009</v>
      </c>
      <c r="F97" s="112">
        <v>2.7</v>
      </c>
      <c r="G97" s="112">
        <v>38.729999999999997</v>
      </c>
      <c r="H97" s="112">
        <v>6.19</v>
      </c>
      <c r="I97" s="112">
        <v>3.39</v>
      </c>
      <c r="J97" s="112">
        <v>0.27</v>
      </c>
      <c r="K97" s="112">
        <v>73.290000000000006</v>
      </c>
      <c r="L97" s="112">
        <v>26.68</v>
      </c>
      <c r="M97" s="112">
        <v>93.53</v>
      </c>
      <c r="N97" s="112">
        <v>2.4</v>
      </c>
      <c r="O97" s="112">
        <v>0.4</v>
      </c>
      <c r="P97" s="112">
        <v>0.39</v>
      </c>
      <c r="Q97" s="112">
        <v>5.03</v>
      </c>
    </row>
    <row r="98" spans="1:22" customFormat="1">
      <c r="A98" s="80">
        <v>45536.9375</v>
      </c>
      <c r="B98" s="112">
        <v>9.07</v>
      </c>
      <c r="C98" s="112">
        <v>4.3600000000000003</v>
      </c>
      <c r="D98" s="112">
        <v>14</v>
      </c>
      <c r="E98" s="112">
        <v>9.81</v>
      </c>
      <c r="F98" s="112">
        <v>2.89</v>
      </c>
      <c r="G98" s="112">
        <v>38.729999999999997</v>
      </c>
      <c r="H98" s="112">
        <v>6.19</v>
      </c>
      <c r="I98" s="112">
        <v>3.42</v>
      </c>
      <c r="J98" s="112">
        <v>0.3</v>
      </c>
      <c r="K98" s="112">
        <v>70.98</v>
      </c>
      <c r="L98" s="112">
        <v>26.52</v>
      </c>
      <c r="M98" s="112">
        <v>94.94</v>
      </c>
      <c r="N98" s="112">
        <v>2.2000000000000002</v>
      </c>
      <c r="O98" s="112">
        <v>0</v>
      </c>
      <c r="P98" s="112">
        <v>0.39</v>
      </c>
      <c r="Q98" s="112">
        <v>5.01</v>
      </c>
    </row>
    <row r="99" spans="1:22" customFormat="1">
      <c r="A99" s="80">
        <v>45536.947916666664</v>
      </c>
      <c r="B99" s="112">
        <v>9.07</v>
      </c>
      <c r="C99" s="112">
        <v>4.3600000000000003</v>
      </c>
      <c r="D99" s="112">
        <v>14</v>
      </c>
      <c r="E99" s="112">
        <v>10.17</v>
      </c>
      <c r="F99" s="112">
        <v>3.54</v>
      </c>
      <c r="G99" s="112">
        <v>36.200000000000003</v>
      </c>
      <c r="H99" s="112">
        <v>5.76</v>
      </c>
      <c r="I99" s="112">
        <v>3.46</v>
      </c>
      <c r="J99" s="112">
        <v>0.38</v>
      </c>
      <c r="K99" s="112">
        <v>71.06</v>
      </c>
      <c r="L99" s="112">
        <v>26.52</v>
      </c>
      <c r="M99" s="112">
        <v>94.8</v>
      </c>
      <c r="N99" s="112">
        <v>2.5</v>
      </c>
      <c r="O99" s="112">
        <v>0</v>
      </c>
      <c r="P99" s="112">
        <v>0.38</v>
      </c>
      <c r="Q99" s="112">
        <v>5.04</v>
      </c>
    </row>
    <row r="100" spans="1:22" customFormat="1">
      <c r="A100" s="80">
        <v>45536.958333333336</v>
      </c>
      <c r="B100" s="112">
        <v>9.08</v>
      </c>
      <c r="C100" s="112">
        <v>4.3499999999999996</v>
      </c>
      <c r="D100" s="112">
        <v>14</v>
      </c>
      <c r="E100" s="112">
        <v>10.24</v>
      </c>
      <c r="F100" s="112">
        <v>2.65</v>
      </c>
      <c r="G100" s="112">
        <v>27.36</v>
      </c>
      <c r="H100" s="112">
        <v>4.7</v>
      </c>
      <c r="I100" s="112">
        <v>3.44</v>
      </c>
      <c r="J100" s="112">
        <v>0.2</v>
      </c>
      <c r="K100" s="112">
        <v>85.59</v>
      </c>
      <c r="L100" s="112">
        <v>26.6</v>
      </c>
      <c r="M100" s="112">
        <v>94.36</v>
      </c>
      <c r="N100" s="112">
        <v>2.7</v>
      </c>
      <c r="O100" s="112">
        <v>0</v>
      </c>
      <c r="P100" s="112">
        <v>0.38</v>
      </c>
      <c r="Q100" s="112">
        <v>5.04</v>
      </c>
    </row>
    <row r="101" spans="1:22" customFormat="1">
      <c r="A101" s="80">
        <v>45536.96875</v>
      </c>
      <c r="B101" s="112">
        <v>9.07</v>
      </c>
      <c r="C101" s="112">
        <v>4.3499999999999996</v>
      </c>
      <c r="D101" s="112">
        <v>14</v>
      </c>
      <c r="E101" s="112">
        <v>9.84</v>
      </c>
      <c r="F101" s="112">
        <v>2.19</v>
      </c>
      <c r="G101" s="112">
        <v>27.36</v>
      </c>
      <c r="H101" s="112">
        <v>4.7</v>
      </c>
      <c r="I101" s="112">
        <v>3.38</v>
      </c>
      <c r="J101" s="112">
        <v>0.15</v>
      </c>
      <c r="K101" s="112">
        <v>133.47999999999999</v>
      </c>
      <c r="L101" s="112">
        <v>26.72</v>
      </c>
      <c r="M101" s="112">
        <v>93.06</v>
      </c>
      <c r="N101" s="112">
        <v>2.8</v>
      </c>
      <c r="O101" s="112">
        <v>0</v>
      </c>
      <c r="P101" s="112">
        <v>0.38</v>
      </c>
      <c r="Q101" s="112">
        <v>5.05</v>
      </c>
    </row>
    <row r="102" spans="1:22" customFormat="1">
      <c r="A102" s="80">
        <v>45536.979166666664</v>
      </c>
      <c r="B102" s="112">
        <v>9.06</v>
      </c>
      <c r="C102" s="112">
        <v>4.37</v>
      </c>
      <c r="D102" s="112">
        <v>14</v>
      </c>
      <c r="E102" s="112">
        <v>10.23</v>
      </c>
      <c r="F102" s="112">
        <v>2.64</v>
      </c>
      <c r="G102" s="112">
        <v>27.36</v>
      </c>
      <c r="H102" s="112">
        <v>4.7</v>
      </c>
      <c r="I102" s="112">
        <v>3.31</v>
      </c>
      <c r="J102" s="112">
        <v>0.25</v>
      </c>
      <c r="K102" s="112">
        <v>93.4</v>
      </c>
      <c r="L102" s="112">
        <v>26.77</v>
      </c>
      <c r="M102" s="112">
        <v>92.77</v>
      </c>
      <c r="N102" s="112">
        <v>2.9</v>
      </c>
      <c r="O102" s="112">
        <v>0</v>
      </c>
      <c r="P102" s="112">
        <v>0.38</v>
      </c>
      <c r="Q102" s="112">
        <v>5.03</v>
      </c>
    </row>
    <row r="103" spans="1:22" customFormat="1">
      <c r="A103" s="80">
        <v>45536.989583333336</v>
      </c>
      <c r="B103" s="112">
        <v>9.06</v>
      </c>
      <c r="C103" s="112">
        <v>4.38</v>
      </c>
      <c r="D103" s="112">
        <v>14</v>
      </c>
      <c r="E103" s="112">
        <v>11.06</v>
      </c>
      <c r="F103" s="112">
        <v>2.46</v>
      </c>
      <c r="G103" s="112">
        <v>27.3</v>
      </c>
      <c r="H103" s="112">
        <v>4.46</v>
      </c>
      <c r="I103" s="112">
        <v>3.31</v>
      </c>
      <c r="J103" s="112">
        <v>0.2</v>
      </c>
      <c r="K103" s="112">
        <v>143.36000000000001</v>
      </c>
      <c r="L103" s="112">
        <v>26.96</v>
      </c>
      <c r="M103" s="112">
        <v>91.87</v>
      </c>
      <c r="N103" s="112">
        <v>2.8</v>
      </c>
      <c r="O103" s="112">
        <v>0</v>
      </c>
      <c r="P103" s="112">
        <v>0.38</v>
      </c>
      <c r="Q103" s="112">
        <v>5.03</v>
      </c>
    </row>
    <row r="104" spans="1:22" customFormat="1">
      <c r="A104" s="80">
        <v>45537</v>
      </c>
      <c r="B104" s="112">
        <v>9.07</v>
      </c>
      <c r="C104" s="112">
        <v>4.3600000000000003</v>
      </c>
      <c r="D104" s="112">
        <v>14</v>
      </c>
      <c r="E104" s="112">
        <v>10.52</v>
      </c>
      <c r="F104" s="112">
        <v>2.34</v>
      </c>
      <c r="G104" s="112">
        <v>27.09</v>
      </c>
      <c r="H104" s="112">
        <v>3.86</v>
      </c>
      <c r="I104" s="112">
        <v>3.34</v>
      </c>
      <c r="J104" s="112">
        <v>0.23</v>
      </c>
      <c r="K104" s="112">
        <v>92.96</v>
      </c>
      <c r="L104" s="112">
        <v>26.86</v>
      </c>
      <c r="M104" s="112">
        <v>92.14</v>
      </c>
      <c r="N104" s="112">
        <v>2.9</v>
      </c>
      <c r="O104" s="112">
        <v>0</v>
      </c>
      <c r="P104" s="112">
        <v>0.38</v>
      </c>
      <c r="Q104" s="112">
        <v>5.04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9.02</v>
      </c>
      <c r="C106" s="183">
        <f>MIN(C9:C104)</f>
        <v>4.21</v>
      </c>
      <c r="D106" s="183">
        <f t="shared" ref="D106:Q106" si="0">MIN(D9:D104)</f>
        <v>14</v>
      </c>
      <c r="E106" s="183">
        <f t="shared" si="0"/>
        <v>7.14</v>
      </c>
      <c r="F106" s="183">
        <f t="shared" si="0"/>
        <v>1.31</v>
      </c>
      <c r="G106" s="183">
        <f t="shared" si="0"/>
        <v>23.84</v>
      </c>
      <c r="H106" s="183">
        <f t="shared" si="0"/>
        <v>3.86</v>
      </c>
      <c r="I106" s="183">
        <f t="shared" si="0"/>
        <v>3.25</v>
      </c>
      <c r="J106" s="183">
        <f t="shared" si="0"/>
        <v>0.15</v>
      </c>
      <c r="K106" s="183">
        <f t="shared" si="0"/>
        <v>50.91</v>
      </c>
      <c r="L106" s="183">
        <f t="shared" si="0"/>
        <v>26.32</v>
      </c>
      <c r="M106" s="183">
        <f t="shared" si="0"/>
        <v>64.91</v>
      </c>
      <c r="N106" s="183">
        <f t="shared" si="0"/>
        <v>2.1</v>
      </c>
      <c r="O106" s="183">
        <f t="shared" si="0"/>
        <v>0</v>
      </c>
      <c r="P106" s="183">
        <f t="shared" si="0"/>
        <v>0.26</v>
      </c>
      <c r="Q106" s="183">
        <f t="shared" si="0"/>
        <v>5.01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9.17</v>
      </c>
      <c r="C107" s="184">
        <f t="shared" ref="C107:Q107" si="1">MAX(C9:C104)</f>
        <v>4.43</v>
      </c>
      <c r="D107" s="184">
        <f t="shared" si="1"/>
        <v>14</v>
      </c>
      <c r="E107" s="184">
        <f t="shared" si="1"/>
        <v>12.66</v>
      </c>
      <c r="F107" s="184">
        <f t="shared" si="1"/>
        <v>9.93</v>
      </c>
      <c r="G107" s="184">
        <f t="shared" si="1"/>
        <v>57.3</v>
      </c>
      <c r="H107" s="184">
        <f t="shared" si="1"/>
        <v>15.62</v>
      </c>
      <c r="I107" s="184">
        <f t="shared" si="1"/>
        <v>5.58</v>
      </c>
      <c r="J107" s="184">
        <f t="shared" si="1"/>
        <v>1.43</v>
      </c>
      <c r="K107" s="184">
        <f t="shared" si="1"/>
        <v>143.36000000000001</v>
      </c>
      <c r="L107" s="184">
        <f t="shared" si="1"/>
        <v>31.96</v>
      </c>
      <c r="M107" s="184">
        <f t="shared" si="1"/>
        <v>94.94</v>
      </c>
      <c r="N107" s="184">
        <f t="shared" si="1"/>
        <v>784.6</v>
      </c>
      <c r="O107" s="184">
        <f t="shared" si="1"/>
        <v>0.4</v>
      </c>
      <c r="P107" s="184">
        <f t="shared" si="1"/>
        <v>0.43</v>
      </c>
      <c r="Q107" s="184">
        <f t="shared" si="1"/>
        <v>5.0599999999999996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9.0735416666666726</v>
      </c>
      <c r="C108" s="183">
        <f t="shared" ref="C108:Q108" si="2">AVERAGE(C9:C104)</f>
        <v>4.3525</v>
      </c>
      <c r="D108" s="183">
        <f t="shared" si="2"/>
        <v>14</v>
      </c>
      <c r="E108" s="183">
        <f t="shared" si="2"/>
        <v>10.225520833333329</v>
      </c>
      <c r="F108" s="183">
        <f t="shared" si="2"/>
        <v>4.2628125000000017</v>
      </c>
      <c r="G108" s="183">
        <f t="shared" si="2"/>
        <v>35.922916666666673</v>
      </c>
      <c r="H108" s="183">
        <f t="shared" si="2"/>
        <v>8.1482291666666757</v>
      </c>
      <c r="I108" s="183">
        <f t="shared" si="2"/>
        <v>4.006666666666665</v>
      </c>
      <c r="J108" s="183">
        <f t="shared" si="2"/>
        <v>0.65218750000000003</v>
      </c>
      <c r="K108" s="183">
        <f t="shared" si="2"/>
        <v>69.950104166666634</v>
      </c>
      <c r="L108" s="183">
        <f t="shared" si="2"/>
        <v>28.496354166666681</v>
      </c>
      <c r="M108" s="183">
        <f t="shared" si="2"/>
        <v>81.415520833333332</v>
      </c>
      <c r="N108" s="183">
        <f t="shared" si="2"/>
        <v>93.392708333333289</v>
      </c>
      <c r="O108" s="183">
        <f t="shared" si="2"/>
        <v>1.4583333333333332E-2</v>
      </c>
      <c r="P108" s="183">
        <f t="shared" si="2"/>
        <v>0.33395833333333336</v>
      </c>
      <c r="Q108" s="183">
        <f t="shared" si="2"/>
        <v>5.0365624999999978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3.1388203170070322E-2</v>
      </c>
      <c r="C109" s="183">
        <f t="shared" ref="C109:Q109" si="3">STDEV(C9:C104)</f>
        <v>4.7925380595913447E-2</v>
      </c>
      <c r="D109" s="183">
        <f t="shared" si="3"/>
        <v>0</v>
      </c>
      <c r="E109" s="183">
        <f t="shared" si="3"/>
        <v>1.3637046059147362</v>
      </c>
      <c r="F109" s="183">
        <f t="shared" si="3"/>
        <v>2.0020214537601166</v>
      </c>
      <c r="G109" s="183">
        <f t="shared" si="3"/>
        <v>7.7590532407622046</v>
      </c>
      <c r="H109" s="183">
        <f t="shared" si="3"/>
        <v>2.7635876738652976</v>
      </c>
      <c r="I109" s="183">
        <f t="shared" si="3"/>
        <v>0.6626178809392067</v>
      </c>
      <c r="J109" s="183">
        <f t="shared" si="3"/>
        <v>0.25987528638499718</v>
      </c>
      <c r="K109" s="183">
        <f t="shared" si="3"/>
        <v>17.941942891612452</v>
      </c>
      <c r="L109" s="183">
        <f t="shared" si="3"/>
        <v>1.6992259041236568</v>
      </c>
      <c r="M109" s="183">
        <f t="shared" si="3"/>
        <v>9.1704082294247353</v>
      </c>
      <c r="N109" s="183">
        <f t="shared" si="3"/>
        <v>138.14253146262925</v>
      </c>
      <c r="O109" s="183">
        <f t="shared" si="3"/>
        <v>7.2517390533751031E-2</v>
      </c>
      <c r="P109" s="183">
        <f t="shared" si="3"/>
        <v>4.4756161978968735E-2</v>
      </c>
      <c r="Q109" s="183">
        <f t="shared" si="3"/>
        <v>1.0138838820672623E-2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6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45537.010416666664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45537.010416666664</v>
      </c>
      <c r="B9" s="112">
        <v>9.24</v>
      </c>
      <c r="C9" s="112">
        <v>4.24</v>
      </c>
      <c r="D9" s="112">
        <v>14.07</v>
      </c>
      <c r="E9" s="112">
        <v>10.59</v>
      </c>
      <c r="F9" s="112">
        <v>2.5299999999999998</v>
      </c>
      <c r="G9" s="112">
        <v>27.09</v>
      </c>
      <c r="H9" s="112">
        <v>3.86</v>
      </c>
      <c r="I9" s="112">
        <v>3.38</v>
      </c>
      <c r="J9" s="112">
        <v>0.3</v>
      </c>
      <c r="K9" s="112">
        <v>68.430000000000007</v>
      </c>
      <c r="L9" s="112">
        <v>26.8</v>
      </c>
      <c r="M9" s="112">
        <v>92.32</v>
      </c>
      <c r="N9" s="112">
        <v>3.1</v>
      </c>
      <c r="O9" s="112">
        <v>0</v>
      </c>
      <c r="P9" s="112">
        <v>0.38</v>
      </c>
      <c r="Q9" s="112">
        <v>5.04</v>
      </c>
    </row>
    <row r="10" spans="1:21" customFormat="1">
      <c r="A10" s="80">
        <v>45537.020833333336</v>
      </c>
      <c r="B10" s="112">
        <v>9.2799999999999994</v>
      </c>
      <c r="C10" s="112">
        <v>4.08</v>
      </c>
      <c r="D10" s="112">
        <v>14.02</v>
      </c>
      <c r="E10" s="112">
        <v>10.51</v>
      </c>
      <c r="F10" s="112">
        <v>2.25</v>
      </c>
      <c r="G10" s="112">
        <v>27.09</v>
      </c>
      <c r="H10" s="112">
        <v>3.86</v>
      </c>
      <c r="I10" s="112">
        <v>3.37</v>
      </c>
      <c r="J10" s="112">
        <v>0.28999999999999998</v>
      </c>
      <c r="K10" s="112">
        <v>82.36</v>
      </c>
      <c r="L10" s="112">
        <v>26.87</v>
      </c>
      <c r="M10" s="112">
        <v>91.32</v>
      </c>
      <c r="N10" s="112">
        <v>3.1</v>
      </c>
      <c r="O10" s="112">
        <v>0</v>
      </c>
      <c r="P10" s="112">
        <v>0.37</v>
      </c>
      <c r="Q10" s="112">
        <v>5.03</v>
      </c>
    </row>
    <row r="11" spans="1:21" customFormat="1">
      <c r="A11" s="80">
        <v>45537.03125</v>
      </c>
      <c r="B11" s="112">
        <v>9.2799999999999994</v>
      </c>
      <c r="C11" s="112">
        <v>4.08</v>
      </c>
      <c r="D11" s="112">
        <v>14.02</v>
      </c>
      <c r="E11" s="112">
        <v>11.28</v>
      </c>
      <c r="F11" s="112">
        <v>2.3199999999999998</v>
      </c>
      <c r="G11" s="112">
        <v>28.75</v>
      </c>
      <c r="H11" s="112">
        <v>4.4000000000000004</v>
      </c>
      <c r="I11" s="112">
        <v>3.33</v>
      </c>
      <c r="J11" s="112">
        <v>0.56999999999999995</v>
      </c>
      <c r="K11" s="112">
        <v>67.11</v>
      </c>
      <c r="L11" s="112">
        <v>26.65</v>
      </c>
      <c r="M11" s="112">
        <v>92.48</v>
      </c>
      <c r="N11" s="112">
        <v>3</v>
      </c>
      <c r="O11" s="112">
        <v>0</v>
      </c>
      <c r="P11" s="112">
        <v>0.37</v>
      </c>
      <c r="Q11" s="112">
        <v>5.04</v>
      </c>
    </row>
    <row r="12" spans="1:21" customFormat="1">
      <c r="A12" s="80">
        <v>45537.041666666664</v>
      </c>
      <c r="B12" s="112">
        <v>9.27</v>
      </c>
      <c r="C12" s="112">
        <v>4.08</v>
      </c>
      <c r="D12" s="112">
        <v>14.02</v>
      </c>
      <c r="E12" s="112">
        <v>11.43</v>
      </c>
      <c r="F12" s="112">
        <v>3.18</v>
      </c>
      <c r="G12" s="112">
        <v>34.57</v>
      </c>
      <c r="H12" s="112">
        <v>5.75</v>
      </c>
      <c r="I12" s="112">
        <v>3.33</v>
      </c>
      <c r="J12" s="112">
        <v>0.52</v>
      </c>
      <c r="K12" s="112">
        <v>71.66</v>
      </c>
      <c r="L12" s="112">
        <v>26.62</v>
      </c>
      <c r="M12" s="112">
        <v>92.5</v>
      </c>
      <c r="N12" s="112">
        <v>3</v>
      </c>
      <c r="O12" s="112">
        <v>0</v>
      </c>
      <c r="P12" s="112">
        <v>0.36</v>
      </c>
      <c r="Q12" s="112">
        <v>5.03</v>
      </c>
    </row>
    <row r="13" spans="1:21" customFormat="1">
      <c r="A13" s="80">
        <v>45537.052083333336</v>
      </c>
      <c r="B13" s="112">
        <v>9.2799999999999994</v>
      </c>
      <c r="C13" s="112">
        <v>4.08</v>
      </c>
      <c r="D13" s="112">
        <v>14.02</v>
      </c>
      <c r="E13" s="112">
        <v>10.63</v>
      </c>
      <c r="F13" s="112">
        <v>3.15</v>
      </c>
      <c r="G13" s="112">
        <v>34.57</v>
      </c>
      <c r="H13" s="112">
        <v>5.75</v>
      </c>
      <c r="I13" s="112">
        <v>3.33</v>
      </c>
      <c r="J13" s="112">
        <v>0.45</v>
      </c>
      <c r="K13" s="112">
        <v>69.77</v>
      </c>
      <c r="L13" s="112">
        <v>26.51</v>
      </c>
      <c r="M13" s="112">
        <v>92.23</v>
      </c>
      <c r="N13" s="112">
        <v>3</v>
      </c>
      <c r="O13" s="112">
        <v>0</v>
      </c>
      <c r="P13" s="112">
        <v>0.35</v>
      </c>
      <c r="Q13" s="112">
        <v>5.04</v>
      </c>
    </row>
    <row r="14" spans="1:21" customFormat="1">
      <c r="A14" s="80">
        <v>45537.0625</v>
      </c>
      <c r="B14" s="112">
        <v>9.2899999999999991</v>
      </c>
      <c r="C14" s="112">
        <v>4.07</v>
      </c>
      <c r="D14" s="112">
        <v>14.03</v>
      </c>
      <c r="E14" s="112">
        <v>10.16</v>
      </c>
      <c r="F14" s="112">
        <v>3.18</v>
      </c>
      <c r="G14" s="112">
        <v>34.57</v>
      </c>
      <c r="H14" s="112">
        <v>5.75</v>
      </c>
      <c r="I14" s="112">
        <v>3.35</v>
      </c>
      <c r="J14" s="112">
        <v>0.42</v>
      </c>
      <c r="K14" s="112">
        <v>78.430000000000007</v>
      </c>
      <c r="L14" s="112">
        <v>26.46</v>
      </c>
      <c r="M14" s="112">
        <v>92.11</v>
      </c>
      <c r="N14" s="112">
        <v>2.9</v>
      </c>
      <c r="O14" s="112">
        <v>0</v>
      </c>
      <c r="P14" s="112">
        <v>0.35</v>
      </c>
      <c r="Q14" s="112">
        <v>5.04</v>
      </c>
    </row>
    <row r="15" spans="1:21" customFormat="1">
      <c r="A15" s="80">
        <v>45537.072916666664</v>
      </c>
      <c r="B15" s="112">
        <v>9.32</v>
      </c>
      <c r="C15" s="112">
        <v>4.05</v>
      </c>
      <c r="D15" s="112">
        <v>14.04</v>
      </c>
      <c r="E15" s="112">
        <v>9.8000000000000007</v>
      </c>
      <c r="F15" s="112">
        <v>3.28</v>
      </c>
      <c r="G15" s="112">
        <v>32.33</v>
      </c>
      <c r="H15" s="112">
        <v>5.57</v>
      </c>
      <c r="I15" s="112">
        <v>3.37</v>
      </c>
      <c r="J15" s="112">
        <v>0.68</v>
      </c>
      <c r="K15" s="112">
        <v>62.54</v>
      </c>
      <c r="L15" s="112">
        <v>26.32</v>
      </c>
      <c r="M15" s="112">
        <v>92.19</v>
      </c>
      <c r="N15" s="112">
        <v>2.7</v>
      </c>
      <c r="O15" s="112">
        <v>0</v>
      </c>
      <c r="P15" s="112">
        <v>0.33</v>
      </c>
      <c r="Q15" s="112">
        <v>5.05</v>
      </c>
    </row>
    <row r="16" spans="1:21" customFormat="1">
      <c r="A16" s="80">
        <v>45537.083333333336</v>
      </c>
      <c r="B16" s="112">
        <v>9.32</v>
      </c>
      <c r="C16" s="112">
        <v>4.03</v>
      </c>
      <c r="D16" s="112">
        <v>14.03</v>
      </c>
      <c r="E16" s="112">
        <v>9.3800000000000008</v>
      </c>
      <c r="F16" s="112">
        <v>3.21</v>
      </c>
      <c r="G16" s="112">
        <v>24.49</v>
      </c>
      <c r="H16" s="112">
        <v>5.12</v>
      </c>
      <c r="I16" s="112">
        <v>3.36</v>
      </c>
      <c r="J16" s="112">
        <v>0.42</v>
      </c>
      <c r="K16" s="112">
        <v>69.83</v>
      </c>
      <c r="L16" s="112">
        <v>26.25</v>
      </c>
      <c r="M16" s="112">
        <v>92.18</v>
      </c>
      <c r="N16" s="112">
        <v>2.5</v>
      </c>
      <c r="O16" s="112">
        <v>0</v>
      </c>
      <c r="P16" s="112">
        <v>0.32</v>
      </c>
      <c r="Q16" s="112">
        <v>5.05</v>
      </c>
    </row>
    <row r="17" spans="1:17" customFormat="1">
      <c r="A17" s="80">
        <v>45537.09375</v>
      </c>
      <c r="B17" s="112">
        <v>9.31</v>
      </c>
      <c r="C17" s="112">
        <v>4.04</v>
      </c>
      <c r="D17" s="112">
        <v>14.03</v>
      </c>
      <c r="E17" s="112">
        <v>7.84</v>
      </c>
      <c r="F17" s="112">
        <v>2.83</v>
      </c>
      <c r="G17" s="112">
        <v>24.49</v>
      </c>
      <c r="H17" s="112">
        <v>5.12</v>
      </c>
      <c r="I17" s="112">
        <v>3.33</v>
      </c>
      <c r="J17" s="112">
        <v>0.46</v>
      </c>
      <c r="K17" s="112">
        <v>72.31</v>
      </c>
      <c r="L17" s="112">
        <v>26.24</v>
      </c>
      <c r="M17" s="112">
        <v>91.82</v>
      </c>
      <c r="N17" s="112">
        <v>2.5</v>
      </c>
      <c r="O17" s="112">
        <v>0</v>
      </c>
      <c r="P17" s="112">
        <v>0.31</v>
      </c>
      <c r="Q17" s="112">
        <v>5.05</v>
      </c>
    </row>
    <row r="18" spans="1:17" customFormat="1">
      <c r="A18" s="80">
        <v>45537.104166666664</v>
      </c>
      <c r="B18" s="112">
        <v>9.31</v>
      </c>
      <c r="C18" s="112">
        <v>4.07</v>
      </c>
      <c r="D18" s="112">
        <v>14.04</v>
      </c>
      <c r="E18" s="112">
        <v>9.27</v>
      </c>
      <c r="F18" s="112">
        <v>2.88</v>
      </c>
      <c r="G18" s="112">
        <v>24.49</v>
      </c>
      <c r="H18" s="112">
        <v>5.12</v>
      </c>
      <c r="I18" s="112">
        <v>3.29</v>
      </c>
      <c r="J18" s="112">
        <v>0.3</v>
      </c>
      <c r="K18" s="112">
        <v>78.510000000000005</v>
      </c>
      <c r="L18" s="112">
        <v>26.2</v>
      </c>
      <c r="M18" s="112">
        <v>91.76</v>
      </c>
      <c r="N18" s="112">
        <v>2.2999999999999998</v>
      </c>
      <c r="O18" s="112">
        <v>0</v>
      </c>
      <c r="P18" s="112">
        <v>0.3</v>
      </c>
      <c r="Q18" s="112">
        <v>5.04</v>
      </c>
    </row>
    <row r="19" spans="1:17" customFormat="1">
      <c r="A19" s="80">
        <v>45537.114583333336</v>
      </c>
      <c r="B19" s="112">
        <v>9.2899999999999991</v>
      </c>
      <c r="C19" s="112">
        <v>4.12</v>
      </c>
      <c r="D19" s="112">
        <v>14.05</v>
      </c>
      <c r="E19" s="112">
        <v>9.2200000000000006</v>
      </c>
      <c r="F19" s="112">
        <v>2.71</v>
      </c>
      <c r="G19" s="112">
        <v>24.93</v>
      </c>
      <c r="H19" s="112">
        <v>4.91</v>
      </c>
      <c r="I19" s="112">
        <v>3.29</v>
      </c>
      <c r="J19" s="112">
        <v>0.38</v>
      </c>
      <c r="K19" s="112">
        <v>72.36</v>
      </c>
      <c r="L19" s="112">
        <v>26.23</v>
      </c>
      <c r="M19" s="112">
        <v>91.54</v>
      </c>
      <c r="N19" s="112">
        <v>2.1</v>
      </c>
      <c r="O19" s="112">
        <v>0</v>
      </c>
      <c r="P19" s="112">
        <v>0.3</v>
      </c>
      <c r="Q19" s="112">
        <v>5.03</v>
      </c>
    </row>
    <row r="20" spans="1:17" customFormat="1">
      <c r="A20" s="80">
        <v>45537.125</v>
      </c>
      <c r="B20" s="112">
        <v>9.33</v>
      </c>
      <c r="C20" s="112">
        <v>4.07</v>
      </c>
      <c r="D20" s="112">
        <v>14.06</v>
      </c>
      <c r="E20" s="112">
        <v>9.06</v>
      </c>
      <c r="F20" s="112">
        <v>5.21</v>
      </c>
      <c r="G20" s="112">
        <v>26.46</v>
      </c>
      <c r="H20" s="112">
        <v>3.89</v>
      </c>
      <c r="I20" s="112">
        <v>3.27</v>
      </c>
      <c r="J20" s="112">
        <v>0.53</v>
      </c>
      <c r="K20" s="112">
        <v>59.8</v>
      </c>
      <c r="L20" s="112">
        <v>26.23</v>
      </c>
      <c r="M20" s="112">
        <v>91.32</v>
      </c>
      <c r="N20" s="112">
        <v>2.4</v>
      </c>
      <c r="O20" s="112">
        <v>0</v>
      </c>
      <c r="P20" s="112">
        <v>0.28000000000000003</v>
      </c>
      <c r="Q20" s="112">
        <v>5.05</v>
      </c>
    </row>
    <row r="21" spans="1:17" customFormat="1">
      <c r="A21" s="80">
        <v>45537.135416666664</v>
      </c>
      <c r="B21" s="112">
        <v>9.34</v>
      </c>
      <c r="C21" s="112">
        <v>4.0599999999999996</v>
      </c>
      <c r="D21" s="112">
        <v>14.07</v>
      </c>
      <c r="E21" s="112">
        <v>8.59</v>
      </c>
      <c r="F21" s="112">
        <v>3.79</v>
      </c>
      <c r="G21" s="112">
        <v>26.46</v>
      </c>
      <c r="H21" s="112">
        <v>3.89</v>
      </c>
      <c r="I21" s="112">
        <v>3.22</v>
      </c>
      <c r="J21" s="112">
        <v>0.41</v>
      </c>
      <c r="K21" s="112">
        <v>73.28</v>
      </c>
      <c r="L21" s="112">
        <v>26.26</v>
      </c>
      <c r="M21" s="112">
        <v>90.97</v>
      </c>
      <c r="N21" s="112">
        <v>2.4</v>
      </c>
      <c r="O21" s="112">
        <v>0</v>
      </c>
      <c r="P21" s="112">
        <v>0.28000000000000003</v>
      </c>
      <c r="Q21" s="112">
        <v>5.03</v>
      </c>
    </row>
    <row r="22" spans="1:17" customFormat="1">
      <c r="A22" s="80">
        <v>45537.145833333336</v>
      </c>
      <c r="B22" s="112">
        <v>9.33</v>
      </c>
      <c r="C22" s="112">
        <v>4.09</v>
      </c>
      <c r="D22" s="112">
        <v>14.08</v>
      </c>
      <c r="E22" s="112">
        <v>8.56</v>
      </c>
      <c r="F22" s="112">
        <v>3.68</v>
      </c>
      <c r="G22" s="112">
        <v>26.46</v>
      </c>
      <c r="H22" s="112">
        <v>3.89</v>
      </c>
      <c r="I22" s="112">
        <v>3.21</v>
      </c>
      <c r="J22" s="112">
        <v>0.42</v>
      </c>
      <c r="K22" s="112">
        <v>74.91</v>
      </c>
      <c r="L22" s="112">
        <v>26.21</v>
      </c>
      <c r="M22" s="112">
        <v>90.91</v>
      </c>
      <c r="N22" s="112">
        <v>2.4</v>
      </c>
      <c r="O22" s="112">
        <v>0</v>
      </c>
      <c r="P22" s="112">
        <v>0.27</v>
      </c>
      <c r="Q22" s="112">
        <v>5.04</v>
      </c>
    </row>
    <row r="23" spans="1:17" customFormat="1">
      <c r="A23" s="80">
        <v>45537.15625</v>
      </c>
      <c r="B23" s="112">
        <v>9.33</v>
      </c>
      <c r="C23" s="112">
        <v>4.1100000000000003</v>
      </c>
      <c r="D23" s="112">
        <v>14.08</v>
      </c>
      <c r="E23" s="112">
        <v>7.96</v>
      </c>
      <c r="F23" s="112">
        <v>5.5</v>
      </c>
      <c r="G23" s="112">
        <v>24.73</v>
      </c>
      <c r="H23" s="112">
        <v>3.67</v>
      </c>
      <c r="I23" s="112">
        <v>3.33</v>
      </c>
      <c r="J23" s="112">
        <v>0.44</v>
      </c>
      <c r="K23" s="112">
        <v>68.44</v>
      </c>
      <c r="L23" s="112">
        <v>26.18</v>
      </c>
      <c r="M23" s="112">
        <v>91.26</v>
      </c>
      <c r="N23" s="112">
        <v>2.4</v>
      </c>
      <c r="O23" s="112">
        <v>0</v>
      </c>
      <c r="P23" s="112">
        <v>0.27</v>
      </c>
      <c r="Q23" s="112">
        <v>5.04</v>
      </c>
    </row>
    <row r="24" spans="1:17" customFormat="1">
      <c r="A24" s="80">
        <v>45537.166666666664</v>
      </c>
      <c r="B24" s="112">
        <v>9.34</v>
      </c>
      <c r="C24" s="112">
        <v>4.09</v>
      </c>
      <c r="D24" s="112">
        <v>14.08</v>
      </c>
      <c r="E24" s="112">
        <v>8.0299999999999994</v>
      </c>
      <c r="F24" s="112">
        <v>4.33</v>
      </c>
      <c r="G24" s="112">
        <v>18.670000000000002</v>
      </c>
      <c r="H24" s="112">
        <v>3.13</v>
      </c>
      <c r="I24" s="112">
        <v>3.22</v>
      </c>
      <c r="J24" s="112">
        <v>0.37</v>
      </c>
      <c r="K24" s="112">
        <v>73.55</v>
      </c>
      <c r="L24" s="112">
        <v>26.2</v>
      </c>
      <c r="M24" s="112">
        <v>90.71</v>
      </c>
      <c r="N24" s="112">
        <v>2.4</v>
      </c>
      <c r="O24" s="112">
        <v>0</v>
      </c>
      <c r="P24" s="112">
        <v>0.26</v>
      </c>
      <c r="Q24" s="112">
        <v>5.0599999999999996</v>
      </c>
    </row>
    <row r="25" spans="1:17" customFormat="1">
      <c r="A25" s="80">
        <v>45537.177083333336</v>
      </c>
      <c r="B25" s="112">
        <v>9.35</v>
      </c>
      <c r="C25" s="112">
        <v>4.07</v>
      </c>
      <c r="D25" s="112">
        <v>14.07</v>
      </c>
      <c r="E25" s="112">
        <v>8.07</v>
      </c>
      <c r="F25" s="112">
        <v>4.2699999999999996</v>
      </c>
      <c r="G25" s="112">
        <v>18.670000000000002</v>
      </c>
      <c r="H25" s="112">
        <v>3.13</v>
      </c>
      <c r="I25" s="112">
        <v>3.03</v>
      </c>
      <c r="J25" s="112">
        <v>0.4</v>
      </c>
      <c r="K25" s="112">
        <v>70.34</v>
      </c>
      <c r="L25" s="112">
        <v>26.19</v>
      </c>
      <c r="M25" s="112">
        <v>90.6</v>
      </c>
      <c r="N25" s="112">
        <v>2.4</v>
      </c>
      <c r="O25" s="112">
        <v>0</v>
      </c>
      <c r="P25" s="112">
        <v>0.26</v>
      </c>
      <c r="Q25" s="112">
        <v>5.0599999999999996</v>
      </c>
    </row>
    <row r="26" spans="1:17" customFormat="1">
      <c r="A26" s="80">
        <v>45537.1875</v>
      </c>
      <c r="B26" s="112">
        <v>9.34</v>
      </c>
      <c r="C26" s="112">
        <v>4.07</v>
      </c>
      <c r="D26" s="112">
        <v>14.06</v>
      </c>
      <c r="E26" s="112">
        <v>7.61</v>
      </c>
      <c r="F26" s="112">
        <v>4.84</v>
      </c>
      <c r="G26" s="112">
        <v>18.670000000000002</v>
      </c>
      <c r="H26" s="112">
        <v>3.13</v>
      </c>
      <c r="I26" s="112">
        <v>3.14</v>
      </c>
      <c r="J26" s="112">
        <v>0.33</v>
      </c>
      <c r="K26" s="112">
        <v>74.010000000000005</v>
      </c>
      <c r="L26" s="112">
        <v>26.16</v>
      </c>
      <c r="M26" s="112">
        <v>90.8</v>
      </c>
      <c r="N26" s="112">
        <v>2.2999999999999998</v>
      </c>
      <c r="O26" s="112">
        <v>0</v>
      </c>
      <c r="P26" s="112">
        <v>0.26</v>
      </c>
      <c r="Q26" s="112">
        <v>5.05</v>
      </c>
    </row>
    <row r="27" spans="1:17" customFormat="1">
      <c r="A27" s="80">
        <v>45537.197916666664</v>
      </c>
      <c r="B27" s="112">
        <v>9.33</v>
      </c>
      <c r="C27" s="112">
        <v>4.0599999999999996</v>
      </c>
      <c r="D27" s="112">
        <v>14.05</v>
      </c>
      <c r="E27" s="112">
        <v>8.1199999999999992</v>
      </c>
      <c r="F27" s="112">
        <v>4.68</v>
      </c>
      <c r="G27" s="112">
        <v>17.57</v>
      </c>
      <c r="H27" s="112">
        <v>2.88</v>
      </c>
      <c r="I27" s="112">
        <v>3.14</v>
      </c>
      <c r="J27" s="112">
        <v>0.26</v>
      </c>
      <c r="K27" s="112">
        <v>81.55</v>
      </c>
      <c r="L27" s="112">
        <v>26.16</v>
      </c>
      <c r="M27" s="112">
        <v>90.77</v>
      </c>
      <c r="N27" s="112">
        <v>2.2999999999999998</v>
      </c>
      <c r="O27" s="112">
        <v>0</v>
      </c>
      <c r="P27" s="112">
        <v>0.26</v>
      </c>
      <c r="Q27" s="112">
        <v>5.05</v>
      </c>
    </row>
    <row r="28" spans="1:17" customFormat="1">
      <c r="A28" s="80">
        <v>45537.208333333336</v>
      </c>
      <c r="B28" s="112">
        <v>9.33</v>
      </c>
      <c r="C28" s="112">
        <v>4.0599999999999996</v>
      </c>
      <c r="D28" s="112">
        <v>14.05</v>
      </c>
      <c r="E28" s="112">
        <v>9.39</v>
      </c>
      <c r="F28" s="112">
        <v>3.62</v>
      </c>
      <c r="G28" s="112">
        <v>13.74</v>
      </c>
      <c r="H28" s="112">
        <v>2.27</v>
      </c>
      <c r="I28" s="112">
        <v>2.93</v>
      </c>
      <c r="J28" s="112">
        <v>0.53</v>
      </c>
      <c r="K28" s="112">
        <v>64.91</v>
      </c>
      <c r="L28" s="112">
        <v>26.18</v>
      </c>
      <c r="M28" s="112">
        <v>90.13</v>
      </c>
      <c r="N28" s="112">
        <v>2.4</v>
      </c>
      <c r="O28" s="112">
        <v>0</v>
      </c>
      <c r="P28" s="112">
        <v>0.25</v>
      </c>
      <c r="Q28" s="112">
        <v>5.0599999999999996</v>
      </c>
    </row>
    <row r="29" spans="1:17" customFormat="1">
      <c r="A29" s="80">
        <v>45537.21875</v>
      </c>
      <c r="B29" s="112">
        <v>9.34</v>
      </c>
      <c r="C29" s="112">
        <v>4.0599999999999996</v>
      </c>
      <c r="D29" s="112">
        <v>14.07</v>
      </c>
      <c r="E29" s="112">
        <v>8.15</v>
      </c>
      <c r="F29" s="112">
        <v>4.1399999999999997</v>
      </c>
      <c r="G29" s="112">
        <v>13.74</v>
      </c>
      <c r="H29" s="112">
        <v>2.27</v>
      </c>
      <c r="I29" s="112">
        <v>2.99</v>
      </c>
      <c r="J29" s="112">
        <v>0.64</v>
      </c>
      <c r="K29" s="112">
        <v>63.59</v>
      </c>
      <c r="L29" s="112">
        <v>26.13</v>
      </c>
      <c r="M29" s="112">
        <v>90.16</v>
      </c>
      <c r="N29" s="112">
        <v>2.4</v>
      </c>
      <c r="O29" s="112">
        <v>0</v>
      </c>
      <c r="P29" s="112">
        <v>0.25</v>
      </c>
      <c r="Q29" s="112">
        <v>5.0599999999999996</v>
      </c>
    </row>
    <row r="30" spans="1:17" customFormat="1">
      <c r="A30" s="80">
        <v>45537.229166666664</v>
      </c>
      <c r="B30" s="112">
        <v>9.31</v>
      </c>
      <c r="C30" s="112">
        <v>4.09</v>
      </c>
      <c r="D30" s="112">
        <v>14.06</v>
      </c>
      <c r="E30" s="112">
        <v>8.09</v>
      </c>
      <c r="F30" s="112">
        <v>2.66</v>
      </c>
      <c r="G30" s="112">
        <v>13.74</v>
      </c>
      <c r="H30" s="112">
        <v>2.27</v>
      </c>
      <c r="I30" s="112">
        <v>3.09</v>
      </c>
      <c r="J30" s="112">
        <v>0.44</v>
      </c>
      <c r="K30" s="112">
        <v>68.81</v>
      </c>
      <c r="L30" s="112">
        <v>26.08</v>
      </c>
      <c r="M30" s="112">
        <v>90.56</v>
      </c>
      <c r="N30" s="112">
        <v>2.6</v>
      </c>
      <c r="O30" s="112">
        <v>0</v>
      </c>
      <c r="P30" s="112">
        <v>0.28999999999999998</v>
      </c>
      <c r="Q30" s="112">
        <v>5.05</v>
      </c>
    </row>
    <row r="31" spans="1:17" customFormat="1">
      <c r="A31" s="80">
        <v>45537.239583333336</v>
      </c>
      <c r="B31" s="112">
        <v>9.2899999999999991</v>
      </c>
      <c r="C31" s="112">
        <v>4.1100000000000003</v>
      </c>
      <c r="D31" s="112">
        <v>14.05</v>
      </c>
      <c r="E31" s="112">
        <v>7.93</v>
      </c>
      <c r="F31" s="112">
        <v>2.39</v>
      </c>
      <c r="G31" s="112">
        <v>15.01</v>
      </c>
      <c r="H31" s="112">
        <v>2.83</v>
      </c>
      <c r="I31" s="112">
        <v>3.17</v>
      </c>
      <c r="J31" s="112">
        <v>0.32</v>
      </c>
      <c r="K31" s="112">
        <v>83.63</v>
      </c>
      <c r="L31" s="112">
        <v>26.22</v>
      </c>
      <c r="M31" s="112">
        <v>89.84</v>
      </c>
      <c r="N31" s="112">
        <v>4</v>
      </c>
      <c r="O31" s="112">
        <v>0</v>
      </c>
      <c r="P31" s="112">
        <v>0.31</v>
      </c>
      <c r="Q31" s="112">
        <v>5.03</v>
      </c>
    </row>
    <row r="32" spans="1:17" customFormat="1">
      <c r="A32" s="80">
        <v>45537.25</v>
      </c>
      <c r="B32" s="112">
        <v>9.3000000000000007</v>
      </c>
      <c r="C32" s="112">
        <v>4.07</v>
      </c>
      <c r="D32" s="112">
        <v>14.04</v>
      </c>
      <c r="E32" s="112">
        <v>8.26</v>
      </c>
      <c r="F32" s="112">
        <v>1.75</v>
      </c>
      <c r="G32" s="112">
        <v>19.47</v>
      </c>
      <c r="H32" s="112">
        <v>4.22</v>
      </c>
      <c r="I32" s="112">
        <v>3.17</v>
      </c>
      <c r="J32" s="112">
        <v>0.41</v>
      </c>
      <c r="K32" s="112">
        <v>68.709999999999994</v>
      </c>
      <c r="L32" s="112">
        <v>26.18</v>
      </c>
      <c r="M32" s="112">
        <v>89.65</v>
      </c>
      <c r="N32" s="112">
        <v>8.1999999999999993</v>
      </c>
      <c r="O32" s="112">
        <v>0</v>
      </c>
      <c r="P32" s="112">
        <v>0.32</v>
      </c>
      <c r="Q32" s="112">
        <v>5.03</v>
      </c>
    </row>
    <row r="33" spans="1:17" customFormat="1">
      <c r="A33" s="80">
        <v>45537.260416666664</v>
      </c>
      <c r="B33" s="112">
        <v>9.31</v>
      </c>
      <c r="C33" s="112">
        <v>4.08</v>
      </c>
      <c r="D33" s="112">
        <v>14.05</v>
      </c>
      <c r="E33" s="112">
        <v>8.17</v>
      </c>
      <c r="F33" s="112">
        <v>1.79</v>
      </c>
      <c r="G33" s="112">
        <v>19.47</v>
      </c>
      <c r="H33" s="112">
        <v>4.22</v>
      </c>
      <c r="I33" s="112">
        <v>3.17</v>
      </c>
      <c r="J33" s="112">
        <v>0.31</v>
      </c>
      <c r="K33" s="112">
        <v>90.67</v>
      </c>
      <c r="L33" s="112">
        <v>26.24</v>
      </c>
      <c r="M33" s="112">
        <v>88.91</v>
      </c>
      <c r="N33" s="112">
        <v>14.6</v>
      </c>
      <c r="O33" s="112">
        <v>0</v>
      </c>
      <c r="P33" s="112">
        <v>0.33</v>
      </c>
      <c r="Q33" s="112">
        <v>5.05</v>
      </c>
    </row>
    <row r="34" spans="1:17" customFormat="1">
      <c r="A34" s="80">
        <v>45537.270833333336</v>
      </c>
      <c r="B34" s="112">
        <v>9.31</v>
      </c>
      <c r="C34" s="112">
        <v>4.04</v>
      </c>
      <c r="D34" s="112">
        <v>14.03</v>
      </c>
      <c r="E34" s="112">
        <v>8.18</v>
      </c>
      <c r="F34" s="112">
        <v>1.99</v>
      </c>
      <c r="G34" s="112">
        <v>19.47</v>
      </c>
      <c r="H34" s="112">
        <v>4.22</v>
      </c>
      <c r="I34" s="112">
        <v>3.14</v>
      </c>
      <c r="J34" s="112">
        <v>0.57999999999999996</v>
      </c>
      <c r="K34" s="112">
        <v>64.81</v>
      </c>
      <c r="L34" s="112">
        <v>26.35</v>
      </c>
      <c r="M34" s="112">
        <v>88.23</v>
      </c>
      <c r="N34" s="112">
        <v>23</v>
      </c>
      <c r="O34" s="112">
        <v>0</v>
      </c>
      <c r="P34" s="112">
        <v>0.34</v>
      </c>
      <c r="Q34" s="112">
        <v>5.04</v>
      </c>
    </row>
    <row r="35" spans="1:17" customFormat="1">
      <c r="A35" s="80">
        <v>45537.28125</v>
      </c>
      <c r="B35" s="112">
        <v>9.3000000000000007</v>
      </c>
      <c r="C35" s="112">
        <v>4.0599999999999996</v>
      </c>
      <c r="D35" s="112">
        <v>14.03</v>
      </c>
      <c r="E35" s="112">
        <v>8.6999999999999993</v>
      </c>
      <c r="F35" s="112">
        <v>2.17</v>
      </c>
      <c r="G35" s="112">
        <v>19.12</v>
      </c>
      <c r="H35" s="112">
        <v>4.07</v>
      </c>
      <c r="I35" s="112">
        <v>3.24</v>
      </c>
      <c r="J35" s="112">
        <v>0.2</v>
      </c>
      <c r="K35" s="112">
        <v>89.72</v>
      </c>
      <c r="L35" s="112">
        <v>26.4</v>
      </c>
      <c r="M35" s="112">
        <v>88.33</v>
      </c>
      <c r="N35" s="112">
        <v>30.3</v>
      </c>
      <c r="O35" s="112">
        <v>0</v>
      </c>
      <c r="P35" s="112">
        <v>0.33</v>
      </c>
      <c r="Q35" s="112">
        <v>5.04</v>
      </c>
    </row>
    <row r="36" spans="1:17" customFormat="1">
      <c r="A36" s="80">
        <v>45537.291666666664</v>
      </c>
      <c r="B36" s="112">
        <v>9.31</v>
      </c>
      <c r="C36" s="112">
        <v>4.05</v>
      </c>
      <c r="D36" s="112">
        <v>14.04</v>
      </c>
      <c r="E36" s="112">
        <v>8.36</v>
      </c>
      <c r="F36" s="112">
        <v>2.06</v>
      </c>
      <c r="G36" s="112">
        <v>17.89</v>
      </c>
      <c r="H36" s="112">
        <v>3.69</v>
      </c>
      <c r="I36" s="112">
        <v>3.21</v>
      </c>
      <c r="J36" s="112">
        <v>0.41</v>
      </c>
      <c r="K36" s="112">
        <v>74</v>
      </c>
      <c r="L36" s="112">
        <v>26.56</v>
      </c>
      <c r="M36" s="112">
        <v>87.88</v>
      </c>
      <c r="N36" s="112">
        <v>44.2</v>
      </c>
      <c r="O36" s="112">
        <v>0</v>
      </c>
      <c r="P36" s="112">
        <v>0.34</v>
      </c>
      <c r="Q36" s="112">
        <v>5.04</v>
      </c>
    </row>
    <row r="37" spans="1:17" customFormat="1">
      <c r="A37" s="80">
        <v>45537.302083333336</v>
      </c>
      <c r="B37" s="112">
        <v>9.3000000000000007</v>
      </c>
      <c r="C37" s="112">
        <v>4.07</v>
      </c>
      <c r="D37" s="112">
        <v>14.04</v>
      </c>
      <c r="E37" s="112">
        <v>8.43</v>
      </c>
      <c r="F37" s="112">
        <v>2.17</v>
      </c>
      <c r="G37" s="112">
        <v>17.89</v>
      </c>
      <c r="H37" s="112">
        <v>3.69</v>
      </c>
      <c r="I37" s="112">
        <v>3.23</v>
      </c>
      <c r="J37" s="112">
        <v>0.41</v>
      </c>
      <c r="K37" s="112">
        <v>71.489999999999995</v>
      </c>
      <c r="L37" s="112">
        <v>26.76</v>
      </c>
      <c r="M37" s="112">
        <v>87.02</v>
      </c>
      <c r="N37" s="112">
        <v>61</v>
      </c>
      <c r="O37" s="112">
        <v>0</v>
      </c>
      <c r="P37" s="112">
        <v>0.33</v>
      </c>
      <c r="Q37" s="112">
        <v>5.03</v>
      </c>
    </row>
    <row r="38" spans="1:17" customFormat="1">
      <c r="A38" s="80">
        <v>45537.3125</v>
      </c>
      <c r="B38" s="112">
        <v>9.2899999999999991</v>
      </c>
      <c r="C38" s="112">
        <v>4.0999999999999996</v>
      </c>
      <c r="D38" s="112">
        <v>14.04</v>
      </c>
      <c r="E38" s="112">
        <v>8.9700000000000006</v>
      </c>
      <c r="F38" s="112">
        <v>2.63</v>
      </c>
      <c r="G38" s="112">
        <v>17.89</v>
      </c>
      <c r="H38" s="112">
        <v>3.69</v>
      </c>
      <c r="I38" s="112">
        <v>3.27</v>
      </c>
      <c r="J38" s="112">
        <v>0.31</v>
      </c>
      <c r="K38" s="112">
        <v>75.89</v>
      </c>
      <c r="L38" s="112">
        <v>26.86</v>
      </c>
      <c r="M38" s="112">
        <v>86.47</v>
      </c>
      <c r="N38" s="112">
        <v>53.5</v>
      </c>
      <c r="O38" s="112">
        <v>0</v>
      </c>
      <c r="P38" s="112">
        <v>0.34</v>
      </c>
      <c r="Q38" s="112">
        <v>5.03</v>
      </c>
    </row>
    <row r="39" spans="1:17" customFormat="1">
      <c r="A39" s="80">
        <v>45537.322916666664</v>
      </c>
      <c r="B39" s="112">
        <v>9.2899999999999991</v>
      </c>
      <c r="C39" s="112">
        <v>4.0999999999999996</v>
      </c>
      <c r="D39" s="112">
        <v>14.04</v>
      </c>
      <c r="E39" s="112">
        <v>9.48</v>
      </c>
      <c r="F39" s="112">
        <v>2.4</v>
      </c>
      <c r="G39" s="112">
        <v>19.55</v>
      </c>
      <c r="H39" s="112">
        <v>3.49</v>
      </c>
      <c r="I39" s="112">
        <v>3.32</v>
      </c>
      <c r="J39" s="112">
        <v>0.19</v>
      </c>
      <c r="K39" s="112">
        <v>122.5</v>
      </c>
      <c r="L39" s="112">
        <v>27</v>
      </c>
      <c r="M39" s="112">
        <v>85.9</v>
      </c>
      <c r="N39" s="112">
        <v>83.5</v>
      </c>
      <c r="O39" s="112">
        <v>0</v>
      </c>
      <c r="P39" s="112">
        <v>0.35</v>
      </c>
      <c r="Q39" s="112">
        <v>5.03</v>
      </c>
    </row>
    <row r="40" spans="1:17" customFormat="1">
      <c r="A40" s="80">
        <v>45537.333333333336</v>
      </c>
      <c r="B40" s="112">
        <v>9.3000000000000007</v>
      </c>
      <c r="C40" s="112">
        <v>4.0599999999999996</v>
      </c>
      <c r="D40" s="112">
        <v>14.03</v>
      </c>
      <c r="E40" s="112">
        <v>9.1999999999999993</v>
      </c>
      <c r="F40" s="112">
        <v>1.97</v>
      </c>
      <c r="G40" s="112">
        <v>25.34</v>
      </c>
      <c r="H40" s="112">
        <v>2.98</v>
      </c>
      <c r="I40" s="112">
        <v>3.33</v>
      </c>
      <c r="J40" s="112">
        <v>0.22</v>
      </c>
      <c r="K40" s="112">
        <v>108.83</v>
      </c>
      <c r="L40" s="112">
        <v>27.44</v>
      </c>
      <c r="M40" s="112">
        <v>84.43</v>
      </c>
      <c r="N40" s="112">
        <v>122.6</v>
      </c>
      <c r="O40" s="112">
        <v>0</v>
      </c>
      <c r="P40" s="112">
        <v>0.34</v>
      </c>
      <c r="Q40" s="112">
        <v>5.04</v>
      </c>
    </row>
    <row r="41" spans="1:17" customFormat="1">
      <c r="A41" s="80">
        <v>45537.34375</v>
      </c>
      <c r="B41" s="112">
        <v>9.27</v>
      </c>
      <c r="C41" s="112">
        <v>4.0999999999999996</v>
      </c>
      <c r="D41" s="112">
        <v>14.03</v>
      </c>
      <c r="E41" s="112">
        <v>8.8699999999999992</v>
      </c>
      <c r="F41" s="112">
        <v>2.2200000000000002</v>
      </c>
      <c r="G41" s="112">
        <v>25.34</v>
      </c>
      <c r="H41" s="112">
        <v>2.98</v>
      </c>
      <c r="I41" s="112">
        <v>3.36</v>
      </c>
      <c r="J41" s="112">
        <v>0.33</v>
      </c>
      <c r="K41" s="112">
        <v>83.13</v>
      </c>
      <c r="L41" s="112">
        <v>27.69</v>
      </c>
      <c r="M41" s="112">
        <v>83.61</v>
      </c>
      <c r="N41" s="112">
        <v>121.2</v>
      </c>
      <c r="O41" s="112">
        <v>0</v>
      </c>
      <c r="P41" s="112">
        <v>0.35</v>
      </c>
      <c r="Q41" s="112">
        <v>5.05</v>
      </c>
    </row>
    <row r="42" spans="1:17" customFormat="1">
      <c r="A42" s="80">
        <v>45537.354166666664</v>
      </c>
      <c r="B42" s="112">
        <v>9.3000000000000007</v>
      </c>
      <c r="C42" s="112">
        <v>4.04</v>
      </c>
      <c r="D42" s="112">
        <v>14.01</v>
      </c>
      <c r="E42" s="112">
        <v>9.0299999999999994</v>
      </c>
      <c r="F42" s="112">
        <v>2.33</v>
      </c>
      <c r="G42" s="112">
        <v>25.34</v>
      </c>
      <c r="H42" s="112">
        <v>2.98</v>
      </c>
      <c r="I42" s="112">
        <v>3.27</v>
      </c>
      <c r="J42" s="112">
        <v>0.32</v>
      </c>
      <c r="K42" s="112">
        <v>105.54</v>
      </c>
      <c r="L42" s="112">
        <v>27.74</v>
      </c>
      <c r="M42" s="112">
        <v>83.56</v>
      </c>
      <c r="N42" s="112">
        <v>100.4</v>
      </c>
      <c r="O42" s="112">
        <v>0</v>
      </c>
      <c r="P42" s="112">
        <v>0.34</v>
      </c>
      <c r="Q42" s="112">
        <v>5.05</v>
      </c>
    </row>
    <row r="43" spans="1:17" customFormat="1">
      <c r="A43" s="80">
        <v>45537.364583333336</v>
      </c>
      <c r="B43" s="112">
        <v>9.27</v>
      </c>
      <c r="C43" s="112">
        <v>4.0599999999999996</v>
      </c>
      <c r="D43" s="112">
        <v>14.01</v>
      </c>
      <c r="E43" s="112">
        <v>8.91</v>
      </c>
      <c r="F43" s="112">
        <v>3.44</v>
      </c>
      <c r="G43" s="112">
        <v>25.46</v>
      </c>
      <c r="H43" s="112">
        <v>3.3</v>
      </c>
      <c r="I43" s="112">
        <v>3.11</v>
      </c>
      <c r="J43" s="112">
        <v>0.28000000000000003</v>
      </c>
      <c r="K43" s="112">
        <v>95.32</v>
      </c>
      <c r="L43" s="112">
        <v>28.23</v>
      </c>
      <c r="M43" s="112">
        <v>81.84</v>
      </c>
      <c r="N43" s="112">
        <v>171.8</v>
      </c>
      <c r="O43" s="112">
        <v>0</v>
      </c>
      <c r="P43" s="112">
        <v>0.34</v>
      </c>
      <c r="Q43" s="112">
        <v>5.05</v>
      </c>
    </row>
    <row r="44" spans="1:17" customFormat="1">
      <c r="A44" s="80">
        <v>45537.375</v>
      </c>
      <c r="B44" s="112">
        <v>9.3000000000000007</v>
      </c>
      <c r="C44" s="112">
        <v>4.05</v>
      </c>
      <c r="D44" s="112">
        <v>14.02</v>
      </c>
      <c r="E44" s="112">
        <v>9.07</v>
      </c>
      <c r="F44" s="112">
        <v>3.06</v>
      </c>
      <c r="G44" s="112">
        <v>25.9</v>
      </c>
      <c r="H44" s="112">
        <v>4.7699999999999996</v>
      </c>
      <c r="I44" s="112">
        <v>3.16</v>
      </c>
      <c r="J44" s="112">
        <v>0.33</v>
      </c>
      <c r="K44" s="112">
        <v>133.24</v>
      </c>
      <c r="L44" s="112">
        <v>28.72</v>
      </c>
      <c r="M44" s="112">
        <v>78.56</v>
      </c>
      <c r="N44" s="112">
        <v>162.69999999999999</v>
      </c>
      <c r="O44" s="112">
        <v>0</v>
      </c>
      <c r="P44" s="112">
        <v>0.33</v>
      </c>
      <c r="Q44" s="112">
        <v>5.05</v>
      </c>
    </row>
    <row r="45" spans="1:17" customFormat="1">
      <c r="A45" s="80">
        <v>45537.385416666664</v>
      </c>
      <c r="B45" s="112">
        <v>9.31</v>
      </c>
      <c r="C45" s="112">
        <v>4.05</v>
      </c>
      <c r="D45" s="112">
        <v>14.03</v>
      </c>
      <c r="E45" s="112">
        <v>9.18</v>
      </c>
      <c r="F45" s="112">
        <v>2.2000000000000002</v>
      </c>
      <c r="G45" s="112">
        <v>25.9</v>
      </c>
      <c r="H45" s="112">
        <v>4.7699999999999996</v>
      </c>
      <c r="I45" s="112">
        <v>3.28</v>
      </c>
      <c r="J45" s="112">
        <v>0.35</v>
      </c>
      <c r="K45" s="112">
        <v>114.73</v>
      </c>
      <c r="L45" s="112">
        <v>28.84</v>
      </c>
      <c r="M45" s="112">
        <v>77.88</v>
      </c>
      <c r="N45" s="112">
        <v>220.2</v>
      </c>
      <c r="O45" s="112">
        <v>0</v>
      </c>
      <c r="P45" s="112">
        <v>0.34</v>
      </c>
      <c r="Q45" s="112">
        <v>5.04</v>
      </c>
    </row>
    <row r="46" spans="1:17" customFormat="1">
      <c r="A46" s="80">
        <v>45537.395833333336</v>
      </c>
      <c r="B46" s="112">
        <v>9.3000000000000007</v>
      </c>
      <c r="C46" s="112">
        <v>4.04</v>
      </c>
      <c r="D46" s="112">
        <v>14.02</v>
      </c>
      <c r="E46" s="112">
        <v>9.24</v>
      </c>
      <c r="F46" s="112">
        <v>2.1</v>
      </c>
      <c r="G46" s="112">
        <v>25.9</v>
      </c>
      <c r="H46" s="112">
        <v>4.7699999999999996</v>
      </c>
      <c r="I46" s="112">
        <v>3.28</v>
      </c>
      <c r="J46" s="112">
        <v>0.25</v>
      </c>
      <c r="K46" s="112">
        <v>89.4</v>
      </c>
      <c r="L46" s="112">
        <v>28.81</v>
      </c>
      <c r="M46" s="112">
        <v>77.84</v>
      </c>
      <c r="N46" s="112">
        <v>110.9</v>
      </c>
      <c r="O46" s="112">
        <v>0</v>
      </c>
      <c r="P46" s="112">
        <v>0.35</v>
      </c>
      <c r="Q46" s="112">
        <v>5.03</v>
      </c>
    </row>
    <row r="47" spans="1:17" customFormat="1">
      <c r="A47" s="80">
        <v>45537.40625</v>
      </c>
      <c r="B47" s="112">
        <v>9.2899999999999991</v>
      </c>
      <c r="C47" s="112">
        <v>4.0599999999999996</v>
      </c>
      <c r="D47" s="112">
        <v>14.02</v>
      </c>
      <c r="E47" s="112">
        <v>9.5</v>
      </c>
      <c r="F47" s="112">
        <v>2.25</v>
      </c>
      <c r="G47" s="112">
        <v>24.73</v>
      </c>
      <c r="H47" s="112">
        <v>4.49</v>
      </c>
      <c r="I47" s="112">
        <v>3.17</v>
      </c>
      <c r="J47" s="112">
        <v>0.18</v>
      </c>
      <c r="K47" s="112">
        <v>124.1</v>
      </c>
      <c r="L47" s="112">
        <v>28.76</v>
      </c>
      <c r="M47" s="112">
        <v>78.22</v>
      </c>
      <c r="N47" s="112">
        <v>176.3</v>
      </c>
      <c r="O47" s="112">
        <v>0</v>
      </c>
      <c r="P47" s="112">
        <v>0.34</v>
      </c>
      <c r="Q47" s="112">
        <v>5.04</v>
      </c>
    </row>
    <row r="48" spans="1:17" customFormat="1">
      <c r="A48" s="80">
        <v>45537.416666666664</v>
      </c>
      <c r="B48" s="112">
        <v>9.2899999999999991</v>
      </c>
      <c r="C48" s="112">
        <v>4.09</v>
      </c>
      <c r="D48" s="112">
        <v>14.04</v>
      </c>
      <c r="E48" s="112">
        <v>9.3800000000000008</v>
      </c>
      <c r="F48" s="112">
        <v>2.57</v>
      </c>
      <c r="G48" s="112">
        <v>20.67</v>
      </c>
      <c r="H48" s="112">
        <v>3.8</v>
      </c>
      <c r="I48" s="112">
        <v>3.01</v>
      </c>
      <c r="J48" s="112">
        <v>0.33</v>
      </c>
      <c r="K48" s="112">
        <v>102.13</v>
      </c>
      <c r="L48" s="112">
        <v>29.09</v>
      </c>
      <c r="M48" s="112">
        <v>77</v>
      </c>
      <c r="N48" s="112">
        <v>155.5</v>
      </c>
      <c r="O48" s="112">
        <v>0</v>
      </c>
      <c r="P48" s="112">
        <v>0.34</v>
      </c>
      <c r="Q48" s="112">
        <v>5.0199999999999996</v>
      </c>
    </row>
    <row r="49" spans="1:17" customFormat="1">
      <c r="A49" s="80">
        <v>45537.427083333336</v>
      </c>
      <c r="B49" s="112">
        <v>9.3000000000000007</v>
      </c>
      <c r="C49" s="112">
        <v>4.09</v>
      </c>
      <c r="D49" s="112">
        <v>14.04</v>
      </c>
      <c r="E49" s="112">
        <v>6.92</v>
      </c>
      <c r="F49" s="112">
        <v>3.37</v>
      </c>
      <c r="G49" s="112">
        <v>20.67</v>
      </c>
      <c r="H49" s="112">
        <v>3.8</v>
      </c>
      <c r="I49" s="112">
        <v>3.05</v>
      </c>
      <c r="J49" s="112">
        <v>0.33</v>
      </c>
      <c r="K49" s="112">
        <v>102.79</v>
      </c>
      <c r="L49" s="112">
        <v>29.88</v>
      </c>
      <c r="M49" s="112">
        <v>74.48</v>
      </c>
      <c r="N49" s="112">
        <v>341.3</v>
      </c>
      <c r="O49" s="112">
        <v>0</v>
      </c>
      <c r="P49" s="112">
        <v>0.34</v>
      </c>
      <c r="Q49" s="112">
        <v>5.03</v>
      </c>
    </row>
    <row r="50" spans="1:17" customFormat="1">
      <c r="A50" s="80">
        <v>45537.4375</v>
      </c>
      <c r="B50" s="112">
        <v>9.31</v>
      </c>
      <c r="C50" s="112">
        <v>4.09</v>
      </c>
      <c r="D50" s="112">
        <v>14.05</v>
      </c>
      <c r="E50" s="112">
        <v>8.7799999999999994</v>
      </c>
      <c r="F50" s="112">
        <v>5.36</v>
      </c>
      <c r="G50" s="112">
        <v>20.67</v>
      </c>
      <c r="H50" s="112">
        <v>3.8</v>
      </c>
      <c r="I50" s="112">
        <v>3.1</v>
      </c>
      <c r="J50" s="112">
        <v>0.23</v>
      </c>
      <c r="K50" s="112">
        <v>106.03</v>
      </c>
      <c r="L50" s="112">
        <v>30.61</v>
      </c>
      <c r="M50" s="112">
        <v>71.040000000000006</v>
      </c>
      <c r="N50" s="112">
        <v>329.2</v>
      </c>
      <c r="O50" s="112">
        <v>0</v>
      </c>
      <c r="P50" s="112">
        <v>0.33</v>
      </c>
      <c r="Q50" s="112">
        <v>5.0199999999999996</v>
      </c>
    </row>
    <row r="51" spans="1:17" customFormat="1">
      <c r="A51" s="80">
        <v>45537.447916666664</v>
      </c>
      <c r="B51" s="112">
        <v>9.35</v>
      </c>
      <c r="C51" s="112">
        <v>4.09</v>
      </c>
      <c r="D51" s="112">
        <v>14.08</v>
      </c>
      <c r="E51" s="112">
        <v>8.92</v>
      </c>
      <c r="F51" s="112">
        <v>4.76</v>
      </c>
      <c r="G51" s="112">
        <v>19.73</v>
      </c>
      <c r="H51" s="112">
        <v>3.69</v>
      </c>
      <c r="I51" s="112">
        <v>3.05</v>
      </c>
      <c r="J51" s="112">
        <v>0.31</v>
      </c>
      <c r="K51" s="112">
        <v>103.04</v>
      </c>
      <c r="L51" s="112">
        <v>30.74</v>
      </c>
      <c r="M51" s="112">
        <v>70.41</v>
      </c>
      <c r="N51" s="112">
        <v>292.8</v>
      </c>
      <c r="O51" s="112">
        <v>0</v>
      </c>
      <c r="P51" s="112">
        <v>0.33</v>
      </c>
      <c r="Q51" s="112">
        <v>5.03</v>
      </c>
    </row>
    <row r="52" spans="1:17" customFormat="1">
      <c r="A52" s="80">
        <v>45537.458333333336</v>
      </c>
      <c r="B52" s="112">
        <v>9.36</v>
      </c>
      <c r="C52" s="112">
        <v>4.05</v>
      </c>
      <c r="D52" s="112">
        <v>14.07</v>
      </c>
      <c r="E52" s="112">
        <v>8.4600000000000009</v>
      </c>
      <c r="F52" s="112">
        <v>5.23</v>
      </c>
      <c r="G52" s="112">
        <v>16.45</v>
      </c>
      <c r="H52" s="112">
        <v>3.41</v>
      </c>
      <c r="I52" s="112">
        <v>3.04</v>
      </c>
      <c r="J52" s="112">
        <v>0.23</v>
      </c>
      <c r="K52" s="112">
        <v>149.15</v>
      </c>
      <c r="L52" s="112">
        <v>30.92</v>
      </c>
      <c r="M52" s="112">
        <v>70.08</v>
      </c>
      <c r="N52" s="112">
        <v>327</v>
      </c>
      <c r="O52" s="112">
        <v>0</v>
      </c>
      <c r="P52" s="112">
        <v>0.33</v>
      </c>
      <c r="Q52" s="112">
        <v>5.0199999999999996</v>
      </c>
    </row>
    <row r="53" spans="1:17" customFormat="1">
      <c r="A53" s="80">
        <v>45537.46875</v>
      </c>
      <c r="B53" s="112">
        <v>9.3699999999999992</v>
      </c>
      <c r="C53" s="112">
        <v>4.04</v>
      </c>
      <c r="D53" s="112">
        <v>14.07</v>
      </c>
      <c r="E53" s="112">
        <v>8.1999999999999993</v>
      </c>
      <c r="F53" s="112">
        <v>6.36</v>
      </c>
      <c r="G53" s="112">
        <v>16.45</v>
      </c>
      <c r="H53" s="112">
        <v>3.41</v>
      </c>
      <c r="I53" s="112">
        <v>3.08</v>
      </c>
      <c r="J53" s="112">
        <v>0.28999999999999998</v>
      </c>
      <c r="K53" s="112">
        <v>133.54</v>
      </c>
      <c r="L53" s="112">
        <v>31.59</v>
      </c>
      <c r="M53" s="112">
        <v>67.180000000000007</v>
      </c>
      <c r="N53" s="112">
        <v>506.2</v>
      </c>
      <c r="O53" s="112">
        <v>0</v>
      </c>
      <c r="P53" s="112">
        <v>0.34</v>
      </c>
      <c r="Q53" s="112">
        <v>5.0199999999999996</v>
      </c>
    </row>
    <row r="54" spans="1:17" customFormat="1">
      <c r="A54" s="80">
        <v>45537.479166666664</v>
      </c>
      <c r="B54" s="112">
        <v>9.36</v>
      </c>
      <c r="C54" s="112">
        <v>4.03</v>
      </c>
      <c r="D54" s="112">
        <v>14.06</v>
      </c>
      <c r="E54" s="112">
        <v>7.89</v>
      </c>
      <c r="F54" s="112">
        <v>5.68</v>
      </c>
      <c r="G54" s="112">
        <v>16.45</v>
      </c>
      <c r="H54" s="112">
        <v>3.41</v>
      </c>
      <c r="I54" s="112">
        <v>3.06</v>
      </c>
      <c r="J54" s="112">
        <v>0.48</v>
      </c>
      <c r="K54" s="112">
        <v>84.48</v>
      </c>
      <c r="L54" s="112">
        <v>31.42</v>
      </c>
      <c r="M54" s="112">
        <v>67.45</v>
      </c>
      <c r="N54" s="112">
        <v>469.6</v>
      </c>
      <c r="O54" s="112">
        <v>0</v>
      </c>
      <c r="P54" s="112">
        <v>0.34</v>
      </c>
      <c r="Q54" s="112">
        <v>5.03</v>
      </c>
    </row>
    <row r="55" spans="1:17" customFormat="1">
      <c r="A55" s="80">
        <v>45537.489583333336</v>
      </c>
      <c r="B55" s="112">
        <v>9.3699999999999992</v>
      </c>
      <c r="C55" s="112">
        <v>4.08</v>
      </c>
      <c r="D55" s="112">
        <v>14.09</v>
      </c>
      <c r="E55" s="112">
        <v>7.96</v>
      </c>
      <c r="F55" s="112">
        <v>5.38</v>
      </c>
      <c r="G55" s="112">
        <v>17.399999999999999</v>
      </c>
      <c r="H55" s="112">
        <v>3.93</v>
      </c>
      <c r="I55" s="112">
        <v>3.06</v>
      </c>
      <c r="J55" s="112">
        <v>0.28999999999999998</v>
      </c>
      <c r="K55" s="112">
        <v>125.08</v>
      </c>
      <c r="L55" s="112">
        <v>31.61</v>
      </c>
      <c r="M55" s="112">
        <v>67.430000000000007</v>
      </c>
      <c r="N55" s="112">
        <v>525.1</v>
      </c>
      <c r="O55" s="112">
        <v>0</v>
      </c>
      <c r="P55" s="112">
        <v>0.34</v>
      </c>
      <c r="Q55" s="112">
        <v>5.03</v>
      </c>
    </row>
    <row r="56" spans="1:17" customFormat="1">
      <c r="A56" s="80">
        <v>45537.5</v>
      </c>
      <c r="B56" s="112">
        <v>9.35</v>
      </c>
      <c r="C56" s="112">
        <v>4.07</v>
      </c>
      <c r="D56" s="112">
        <v>14.08</v>
      </c>
      <c r="E56" s="112">
        <v>8.1</v>
      </c>
      <c r="F56" s="112">
        <v>4.3499999999999996</v>
      </c>
      <c r="G56" s="112">
        <v>20.74</v>
      </c>
      <c r="H56" s="112">
        <v>5.21</v>
      </c>
      <c r="I56" s="112">
        <v>3.21</v>
      </c>
      <c r="J56" s="112">
        <v>0.37</v>
      </c>
      <c r="K56" s="112">
        <v>88.41</v>
      </c>
      <c r="L56" s="112">
        <v>31.91</v>
      </c>
      <c r="M56" s="112">
        <v>67.33</v>
      </c>
      <c r="N56" s="112">
        <v>604.9</v>
      </c>
      <c r="O56" s="112">
        <v>0</v>
      </c>
      <c r="P56" s="112">
        <v>0.34</v>
      </c>
      <c r="Q56" s="112">
        <v>5.0199999999999996</v>
      </c>
    </row>
    <row r="57" spans="1:17" customFormat="1">
      <c r="A57" s="80">
        <v>45537.510416666664</v>
      </c>
      <c r="B57" s="112">
        <v>9.34</v>
      </c>
      <c r="C57" s="112">
        <v>4.09</v>
      </c>
      <c r="D57" s="112">
        <v>14.08</v>
      </c>
      <c r="E57" s="112">
        <v>7.91</v>
      </c>
      <c r="F57" s="112">
        <v>4.97</v>
      </c>
      <c r="G57" s="112">
        <v>20.74</v>
      </c>
      <c r="H57" s="112">
        <v>5.21</v>
      </c>
      <c r="I57" s="112">
        <v>3.3</v>
      </c>
      <c r="J57" s="112">
        <v>0.4</v>
      </c>
      <c r="K57" s="112">
        <v>74.08</v>
      </c>
      <c r="L57" s="112">
        <v>32.090000000000003</v>
      </c>
      <c r="M57" s="112">
        <v>65.81</v>
      </c>
      <c r="N57" s="112">
        <v>822.2</v>
      </c>
      <c r="O57" s="112">
        <v>0</v>
      </c>
      <c r="P57" s="112">
        <v>0.34</v>
      </c>
      <c r="Q57" s="112">
        <v>5.01</v>
      </c>
    </row>
    <row r="58" spans="1:17" customFormat="1">
      <c r="A58" s="80">
        <v>45537.520833333336</v>
      </c>
      <c r="B58" s="112">
        <v>9.35</v>
      </c>
      <c r="C58" s="112">
        <v>4.1100000000000003</v>
      </c>
      <c r="D58" s="112">
        <v>14.1</v>
      </c>
      <c r="E58" s="112">
        <v>8.1</v>
      </c>
      <c r="F58" s="112">
        <v>4.22</v>
      </c>
      <c r="G58" s="112">
        <v>20.74</v>
      </c>
      <c r="H58" s="112">
        <v>5.21</v>
      </c>
      <c r="I58" s="112">
        <v>3.23</v>
      </c>
      <c r="J58" s="112">
        <v>0.34</v>
      </c>
      <c r="K58" s="112">
        <v>96.21</v>
      </c>
      <c r="L58" s="112">
        <v>32.43</v>
      </c>
      <c r="M58" s="112">
        <v>65.260000000000005</v>
      </c>
      <c r="N58" s="112">
        <v>643.1</v>
      </c>
      <c r="O58" s="112">
        <v>0</v>
      </c>
      <c r="P58" s="112">
        <v>0.35</v>
      </c>
      <c r="Q58" s="112">
        <v>5.01</v>
      </c>
    </row>
    <row r="59" spans="1:17" customFormat="1">
      <c r="A59" s="80">
        <v>45537.53125</v>
      </c>
      <c r="B59" s="112">
        <v>9.35</v>
      </c>
      <c r="C59" s="112">
        <v>4.09</v>
      </c>
      <c r="D59" s="112">
        <v>14.08</v>
      </c>
      <c r="E59" s="112">
        <v>7.76</v>
      </c>
      <c r="F59" s="112">
        <v>3.97</v>
      </c>
      <c r="G59" s="112">
        <v>20.49</v>
      </c>
      <c r="H59" s="112">
        <v>4.87</v>
      </c>
      <c r="I59" s="112">
        <v>3.35</v>
      </c>
      <c r="J59" s="112">
        <v>0.51</v>
      </c>
      <c r="K59" s="112">
        <v>66.14</v>
      </c>
      <c r="L59" s="112">
        <v>31.62</v>
      </c>
      <c r="M59" s="112">
        <v>67.709999999999994</v>
      </c>
      <c r="N59" s="112">
        <v>442.4</v>
      </c>
      <c r="O59" s="112">
        <v>0</v>
      </c>
      <c r="P59" s="112">
        <v>0.35</v>
      </c>
      <c r="Q59" s="112">
        <v>5.0199999999999996</v>
      </c>
    </row>
    <row r="60" spans="1:17" customFormat="1">
      <c r="A60" s="80">
        <v>45537.541666666664</v>
      </c>
      <c r="B60" s="112">
        <v>9.3800000000000008</v>
      </c>
      <c r="C60" s="112">
        <v>4.04</v>
      </c>
      <c r="D60" s="112">
        <v>14.08</v>
      </c>
      <c r="E60" s="112">
        <v>8.0500000000000007</v>
      </c>
      <c r="F60" s="112">
        <v>3.5</v>
      </c>
      <c r="G60" s="112">
        <v>19.600000000000001</v>
      </c>
      <c r="H60" s="112">
        <v>4.04</v>
      </c>
      <c r="I60" s="112">
        <v>3.55</v>
      </c>
      <c r="J60" s="112">
        <v>0.36</v>
      </c>
      <c r="K60" s="112">
        <v>134.09</v>
      </c>
      <c r="L60" s="112">
        <v>31.57</v>
      </c>
      <c r="M60" s="112">
        <v>67.34</v>
      </c>
      <c r="N60" s="112">
        <v>285.8</v>
      </c>
      <c r="O60" s="112">
        <v>0</v>
      </c>
      <c r="P60" s="112">
        <v>0.35</v>
      </c>
      <c r="Q60" s="112">
        <v>5.0199999999999996</v>
      </c>
    </row>
    <row r="61" spans="1:17" customFormat="1">
      <c r="A61" s="80">
        <v>45537.552083333336</v>
      </c>
      <c r="B61" s="112">
        <v>9.39</v>
      </c>
      <c r="C61" s="112">
        <v>4.04</v>
      </c>
      <c r="D61" s="112">
        <v>14.09</v>
      </c>
      <c r="E61" s="112">
        <v>8.0399999999999991</v>
      </c>
      <c r="F61" s="112">
        <v>2.97</v>
      </c>
      <c r="G61" s="112">
        <v>19.600000000000001</v>
      </c>
      <c r="H61" s="112">
        <v>4.04</v>
      </c>
      <c r="I61" s="112">
        <v>3.61</v>
      </c>
      <c r="J61" s="112">
        <v>0.5</v>
      </c>
      <c r="K61" s="112">
        <v>79.41</v>
      </c>
      <c r="L61" s="112">
        <v>32.04</v>
      </c>
      <c r="M61" s="112">
        <v>65.260000000000005</v>
      </c>
      <c r="N61" s="112">
        <v>460.9</v>
      </c>
      <c r="O61" s="112">
        <v>0</v>
      </c>
      <c r="P61" s="112">
        <v>0.36</v>
      </c>
      <c r="Q61" s="112">
        <v>5.01</v>
      </c>
    </row>
    <row r="62" spans="1:17" customFormat="1">
      <c r="A62" s="80">
        <v>45537.5625</v>
      </c>
      <c r="B62" s="112">
        <v>9.4</v>
      </c>
      <c r="C62" s="112">
        <v>4.0599999999999996</v>
      </c>
      <c r="D62" s="112">
        <v>14.1</v>
      </c>
      <c r="E62" s="112">
        <v>7.84</v>
      </c>
      <c r="F62" s="112">
        <v>3.23</v>
      </c>
      <c r="G62" s="112">
        <v>19.600000000000001</v>
      </c>
      <c r="H62" s="112">
        <v>4.04</v>
      </c>
      <c r="I62" s="112">
        <v>3.64</v>
      </c>
      <c r="J62" s="112">
        <v>0.52</v>
      </c>
      <c r="K62" s="112">
        <v>70.36</v>
      </c>
      <c r="L62" s="112">
        <v>31.84</v>
      </c>
      <c r="M62" s="112">
        <v>65.010000000000005</v>
      </c>
      <c r="N62" s="112">
        <v>298.3</v>
      </c>
      <c r="O62" s="112">
        <v>0</v>
      </c>
      <c r="P62" s="112">
        <v>0.36</v>
      </c>
      <c r="Q62" s="112">
        <v>5.01</v>
      </c>
    </row>
    <row r="63" spans="1:17" customFormat="1">
      <c r="A63" s="80">
        <v>45537.572916666664</v>
      </c>
      <c r="B63" s="112">
        <v>9.4</v>
      </c>
      <c r="C63" s="112">
        <v>4.08</v>
      </c>
      <c r="D63" s="112">
        <v>14.12</v>
      </c>
      <c r="E63" s="112">
        <v>8.1</v>
      </c>
      <c r="F63" s="112">
        <v>3.4</v>
      </c>
      <c r="G63" s="112">
        <v>18.8</v>
      </c>
      <c r="H63" s="112">
        <v>3.81</v>
      </c>
      <c r="I63" s="112">
        <v>3.67</v>
      </c>
      <c r="J63" s="112">
        <v>0.52</v>
      </c>
      <c r="K63" s="112">
        <v>74.02</v>
      </c>
      <c r="L63" s="112">
        <v>32.53</v>
      </c>
      <c r="M63" s="112">
        <v>61.99</v>
      </c>
      <c r="N63" s="112">
        <v>217.1</v>
      </c>
      <c r="O63" s="112">
        <v>0</v>
      </c>
      <c r="P63" s="112">
        <v>0.36</v>
      </c>
      <c r="Q63" s="112">
        <v>5.0199999999999996</v>
      </c>
    </row>
    <row r="64" spans="1:17" customFormat="1">
      <c r="A64" s="80">
        <v>45537.583333333336</v>
      </c>
      <c r="B64" s="112">
        <v>9.42</v>
      </c>
      <c r="C64" s="112">
        <v>4.08</v>
      </c>
      <c r="D64" s="112">
        <v>14.14</v>
      </c>
      <c r="E64" s="112">
        <v>7.52</v>
      </c>
      <c r="F64" s="112">
        <v>3.48</v>
      </c>
      <c r="G64" s="112">
        <v>15.98</v>
      </c>
      <c r="H64" s="112">
        <v>3.26</v>
      </c>
      <c r="I64" s="112">
        <v>3.69</v>
      </c>
      <c r="J64" s="112">
        <v>0.5</v>
      </c>
      <c r="K64" s="112">
        <v>71.84</v>
      </c>
      <c r="L64" s="112">
        <v>32.58</v>
      </c>
      <c r="M64" s="112">
        <v>61.67</v>
      </c>
      <c r="N64" s="112">
        <v>190.2</v>
      </c>
      <c r="O64" s="112">
        <v>0</v>
      </c>
      <c r="P64" s="112">
        <v>0.36</v>
      </c>
      <c r="Q64" s="112">
        <v>5.01</v>
      </c>
    </row>
    <row r="65" spans="1:17" customFormat="1">
      <c r="A65" s="80">
        <v>45537.59375</v>
      </c>
      <c r="B65" s="112">
        <v>9.42</v>
      </c>
      <c r="C65" s="112">
        <v>4.0999999999999996</v>
      </c>
      <c r="D65" s="112">
        <v>14.14</v>
      </c>
      <c r="E65" s="112">
        <v>7.79</v>
      </c>
      <c r="F65" s="112">
        <v>3.03</v>
      </c>
      <c r="G65" s="112">
        <v>15.98</v>
      </c>
      <c r="H65" s="112">
        <v>3.26</v>
      </c>
      <c r="I65" s="112">
        <v>3.7</v>
      </c>
      <c r="J65" s="112">
        <v>0.38</v>
      </c>
      <c r="K65" s="112">
        <v>92.49</v>
      </c>
      <c r="L65" s="112">
        <v>31.98</v>
      </c>
      <c r="M65" s="112">
        <v>63.63</v>
      </c>
      <c r="N65" s="112">
        <v>172.7</v>
      </c>
      <c r="O65" s="112">
        <v>0</v>
      </c>
      <c r="P65" s="112">
        <v>0.35</v>
      </c>
      <c r="Q65" s="112">
        <v>5.04</v>
      </c>
    </row>
    <row r="66" spans="1:17" customFormat="1">
      <c r="A66" s="80">
        <v>45537.604166666664</v>
      </c>
      <c r="B66" s="112">
        <v>9.42</v>
      </c>
      <c r="C66" s="112">
        <v>4.09</v>
      </c>
      <c r="D66" s="112">
        <v>14.14</v>
      </c>
      <c r="E66" s="112">
        <v>7.49</v>
      </c>
      <c r="F66" s="112">
        <v>2.84</v>
      </c>
      <c r="G66" s="112">
        <v>15.98</v>
      </c>
      <c r="H66" s="112">
        <v>3.26</v>
      </c>
      <c r="I66" s="112">
        <v>3.69</v>
      </c>
      <c r="J66" s="112">
        <v>0.36</v>
      </c>
      <c r="K66" s="112">
        <v>131.99</v>
      </c>
      <c r="L66" s="112">
        <v>31.41</v>
      </c>
      <c r="M66" s="112">
        <v>65.040000000000006</v>
      </c>
      <c r="N66" s="112">
        <v>102.4</v>
      </c>
      <c r="O66" s="112">
        <v>0</v>
      </c>
      <c r="P66" s="112">
        <v>0.37</v>
      </c>
      <c r="Q66" s="112">
        <v>5.03</v>
      </c>
    </row>
    <row r="67" spans="1:17" customFormat="1">
      <c r="A67" s="80">
        <v>45537.614583333336</v>
      </c>
      <c r="B67" s="112">
        <v>9.42</v>
      </c>
      <c r="C67" s="112">
        <v>4.08</v>
      </c>
      <c r="D67" s="112">
        <v>14.14</v>
      </c>
      <c r="E67" s="112">
        <v>7.49</v>
      </c>
      <c r="F67" s="112">
        <v>2.89</v>
      </c>
      <c r="G67" s="112">
        <v>17.18</v>
      </c>
      <c r="H67" s="112">
        <v>3.15</v>
      </c>
      <c r="I67" s="112">
        <v>3.71</v>
      </c>
      <c r="J67" s="112">
        <v>0.48</v>
      </c>
      <c r="K67" s="112">
        <v>78.739999999999995</v>
      </c>
      <c r="L67" s="112">
        <v>31.05</v>
      </c>
      <c r="M67" s="112">
        <v>68.58</v>
      </c>
      <c r="N67" s="112">
        <v>126.4</v>
      </c>
      <c r="O67" s="112">
        <v>0</v>
      </c>
      <c r="P67" s="112">
        <v>0.37</v>
      </c>
      <c r="Q67" s="112">
        <v>5.0199999999999996</v>
      </c>
    </row>
    <row r="68" spans="1:17" customFormat="1">
      <c r="A68" s="80">
        <v>45537.625</v>
      </c>
      <c r="B68" s="112">
        <v>9.44</v>
      </c>
      <c r="C68" s="112">
        <v>4.08</v>
      </c>
      <c r="D68" s="112">
        <v>14.15</v>
      </c>
      <c r="E68" s="112">
        <v>6.6</v>
      </c>
      <c r="F68" s="112">
        <v>3.82</v>
      </c>
      <c r="G68" s="112">
        <v>21.39</v>
      </c>
      <c r="H68" s="112">
        <v>2.68</v>
      </c>
      <c r="I68" s="112">
        <v>3.73</v>
      </c>
      <c r="J68" s="112">
        <v>1.02</v>
      </c>
      <c r="K68" s="112">
        <v>60.48</v>
      </c>
      <c r="L68" s="112">
        <v>30.1</v>
      </c>
      <c r="M68" s="112">
        <v>72.819999999999993</v>
      </c>
      <c r="N68" s="112">
        <v>161.80000000000001</v>
      </c>
      <c r="O68" s="112">
        <v>0</v>
      </c>
      <c r="P68" s="112">
        <v>0.35</v>
      </c>
      <c r="Q68" s="112">
        <v>5.03</v>
      </c>
    </row>
    <row r="69" spans="1:17" customFormat="1">
      <c r="A69" s="80">
        <v>45537.635416666664</v>
      </c>
      <c r="B69" s="112">
        <v>9.44</v>
      </c>
      <c r="C69" s="112">
        <v>4.0999999999999996</v>
      </c>
      <c r="D69" s="112">
        <v>14.16</v>
      </c>
      <c r="E69" s="112">
        <v>6.62</v>
      </c>
      <c r="F69" s="112">
        <v>4.71</v>
      </c>
      <c r="G69" s="112">
        <v>21.39</v>
      </c>
      <c r="H69" s="112">
        <v>2.68</v>
      </c>
      <c r="I69" s="112">
        <v>3.57</v>
      </c>
      <c r="J69" s="112">
        <v>0.88</v>
      </c>
      <c r="K69" s="112">
        <v>57.58</v>
      </c>
      <c r="L69" s="112">
        <v>29.66</v>
      </c>
      <c r="M69" s="112">
        <v>74.88</v>
      </c>
      <c r="N69" s="112">
        <v>427.2</v>
      </c>
      <c r="O69" s="112">
        <v>0</v>
      </c>
      <c r="P69" s="112">
        <v>0.34</v>
      </c>
      <c r="Q69" s="112">
        <v>5.05</v>
      </c>
    </row>
    <row r="70" spans="1:17" customFormat="1">
      <c r="A70" s="80">
        <v>45537.645833333336</v>
      </c>
      <c r="B70" s="112">
        <v>9.42</v>
      </c>
      <c r="C70" s="112">
        <v>4.0999999999999996</v>
      </c>
      <c r="D70" s="112">
        <v>14.14</v>
      </c>
      <c r="E70" s="112">
        <v>6.69</v>
      </c>
      <c r="F70" s="112">
        <v>3.3</v>
      </c>
      <c r="G70" s="112">
        <v>21.39</v>
      </c>
      <c r="H70" s="112">
        <v>2.68</v>
      </c>
      <c r="I70" s="112">
        <v>3.3</v>
      </c>
      <c r="J70" s="112">
        <v>0.4</v>
      </c>
      <c r="K70" s="112">
        <v>82.82</v>
      </c>
      <c r="L70" s="112">
        <v>31.04</v>
      </c>
      <c r="M70" s="112">
        <v>70.98</v>
      </c>
      <c r="N70" s="112">
        <v>344</v>
      </c>
      <c r="O70" s="112">
        <v>0</v>
      </c>
      <c r="P70" s="112">
        <v>0.33</v>
      </c>
      <c r="Q70" s="112">
        <v>5.05</v>
      </c>
    </row>
    <row r="71" spans="1:17" customFormat="1">
      <c r="A71" s="80">
        <v>45537.65625</v>
      </c>
      <c r="B71" s="112">
        <v>9.42</v>
      </c>
      <c r="C71" s="112">
        <v>4.0999999999999996</v>
      </c>
      <c r="D71" s="112">
        <v>14.14</v>
      </c>
      <c r="E71" s="112">
        <v>7.34</v>
      </c>
      <c r="F71" s="112">
        <v>3.29</v>
      </c>
      <c r="G71" s="112">
        <v>20.52</v>
      </c>
      <c r="H71" s="112">
        <v>3.07</v>
      </c>
      <c r="I71" s="112">
        <v>3.25</v>
      </c>
      <c r="J71" s="112">
        <v>0.63</v>
      </c>
      <c r="K71" s="112">
        <v>65.5</v>
      </c>
      <c r="L71" s="112">
        <v>31.15</v>
      </c>
      <c r="M71" s="112">
        <v>69.87</v>
      </c>
      <c r="N71" s="112">
        <v>220.9</v>
      </c>
      <c r="O71" s="112">
        <v>0</v>
      </c>
      <c r="P71" s="112">
        <v>0.33</v>
      </c>
      <c r="Q71" s="112">
        <v>5.04</v>
      </c>
    </row>
    <row r="72" spans="1:17" customFormat="1">
      <c r="A72" s="80">
        <v>45537.666666666664</v>
      </c>
      <c r="B72" s="112">
        <v>9.3699999999999992</v>
      </c>
      <c r="C72" s="112">
        <v>4.0599999999999996</v>
      </c>
      <c r="D72" s="112">
        <v>14.09</v>
      </c>
      <c r="E72" s="112">
        <v>7.28</v>
      </c>
      <c r="F72" s="112">
        <v>3.62</v>
      </c>
      <c r="G72" s="112">
        <v>17.48</v>
      </c>
      <c r="H72" s="112">
        <v>4.04</v>
      </c>
      <c r="I72" s="112">
        <v>3.22</v>
      </c>
      <c r="J72" s="112">
        <v>0.61</v>
      </c>
      <c r="K72" s="112">
        <v>72.12</v>
      </c>
      <c r="L72" s="112">
        <v>31.33</v>
      </c>
      <c r="M72" s="112">
        <v>69.75</v>
      </c>
      <c r="N72" s="112">
        <v>347.1</v>
      </c>
      <c r="O72" s="112">
        <v>0</v>
      </c>
      <c r="P72" s="112">
        <v>0.34</v>
      </c>
      <c r="Q72" s="112">
        <v>5.03</v>
      </c>
    </row>
    <row r="73" spans="1:17" customFormat="1">
      <c r="A73" s="80">
        <v>45537.677083333336</v>
      </c>
      <c r="B73" s="112">
        <v>9.34</v>
      </c>
      <c r="C73" s="112">
        <v>4.08</v>
      </c>
      <c r="D73" s="112">
        <v>14.07</v>
      </c>
      <c r="E73" s="112">
        <v>7.6</v>
      </c>
      <c r="F73" s="112">
        <v>4.62</v>
      </c>
      <c r="G73" s="112">
        <v>17.48</v>
      </c>
      <c r="H73" s="112">
        <v>4.04</v>
      </c>
      <c r="I73" s="112">
        <v>3.25</v>
      </c>
      <c r="J73" s="112">
        <v>0.3</v>
      </c>
      <c r="K73" s="112">
        <v>117.54</v>
      </c>
      <c r="L73" s="112">
        <v>31.91</v>
      </c>
      <c r="M73" s="112">
        <v>68.12</v>
      </c>
      <c r="N73" s="112">
        <v>126.9</v>
      </c>
      <c r="O73" s="112">
        <v>0</v>
      </c>
      <c r="P73" s="112">
        <v>0.34</v>
      </c>
      <c r="Q73" s="112">
        <v>5.03</v>
      </c>
    </row>
    <row r="74" spans="1:17" customFormat="1">
      <c r="A74" s="80">
        <v>45537.6875</v>
      </c>
      <c r="B74" s="112">
        <v>9.33</v>
      </c>
      <c r="C74" s="112">
        <v>4.05</v>
      </c>
      <c r="D74" s="112">
        <v>14.04</v>
      </c>
      <c r="E74" s="112">
        <v>8.32</v>
      </c>
      <c r="F74" s="112">
        <v>3.52</v>
      </c>
      <c r="G74" s="112">
        <v>17.48</v>
      </c>
      <c r="H74" s="112">
        <v>4.04</v>
      </c>
      <c r="I74" s="112">
        <v>3.21</v>
      </c>
      <c r="J74" s="112">
        <v>0.28999999999999998</v>
      </c>
      <c r="K74" s="112">
        <v>124.13</v>
      </c>
      <c r="L74" s="112">
        <v>30.78</v>
      </c>
      <c r="M74" s="112">
        <v>70.03</v>
      </c>
      <c r="N74" s="112">
        <v>31</v>
      </c>
      <c r="O74" s="112">
        <v>0</v>
      </c>
      <c r="P74" s="112">
        <v>0.35</v>
      </c>
      <c r="Q74" s="112">
        <v>5.04</v>
      </c>
    </row>
    <row r="75" spans="1:17" customFormat="1">
      <c r="A75" s="80">
        <v>45537.697916666664</v>
      </c>
      <c r="B75" s="112">
        <v>9.31</v>
      </c>
      <c r="C75" s="112">
        <v>4.04</v>
      </c>
      <c r="D75" s="112">
        <v>14.03</v>
      </c>
      <c r="E75" s="112">
        <v>8.39</v>
      </c>
      <c r="F75" s="112">
        <v>3.37</v>
      </c>
      <c r="G75" s="112">
        <v>16.82</v>
      </c>
      <c r="H75" s="112">
        <v>4.21</v>
      </c>
      <c r="I75" s="112">
        <v>3.14</v>
      </c>
      <c r="J75" s="112">
        <v>0.22</v>
      </c>
      <c r="K75" s="112">
        <v>116.02</v>
      </c>
      <c r="L75" s="112">
        <v>30.21</v>
      </c>
      <c r="M75" s="112">
        <v>71.36</v>
      </c>
      <c r="N75" s="112">
        <v>28.3</v>
      </c>
      <c r="O75" s="112">
        <v>0</v>
      </c>
      <c r="P75" s="112">
        <v>0.35</v>
      </c>
      <c r="Q75" s="112">
        <v>5.04</v>
      </c>
    </row>
    <row r="76" spans="1:17" customFormat="1">
      <c r="A76" s="80">
        <v>45537.708333333336</v>
      </c>
      <c r="B76" s="112">
        <v>9.31</v>
      </c>
      <c r="C76" s="112">
        <v>4.04</v>
      </c>
      <c r="D76" s="112">
        <v>14.03</v>
      </c>
      <c r="E76" s="112">
        <v>8.59</v>
      </c>
      <c r="F76" s="112">
        <v>3.31</v>
      </c>
      <c r="G76" s="112">
        <v>14.52</v>
      </c>
      <c r="H76" s="112">
        <v>4.5999999999999996</v>
      </c>
      <c r="I76" s="112">
        <v>3.04</v>
      </c>
      <c r="J76" s="112">
        <v>0.23</v>
      </c>
      <c r="K76" s="112">
        <v>138.19999999999999</v>
      </c>
      <c r="L76" s="112">
        <v>29.98</v>
      </c>
      <c r="M76" s="112">
        <v>72.680000000000007</v>
      </c>
      <c r="N76" s="112">
        <v>26.7</v>
      </c>
      <c r="O76" s="112">
        <v>0</v>
      </c>
      <c r="P76" s="112">
        <v>0.34</v>
      </c>
      <c r="Q76" s="112">
        <v>5.05</v>
      </c>
    </row>
    <row r="77" spans="1:17" customFormat="1">
      <c r="A77" s="80">
        <v>45537.71875</v>
      </c>
      <c r="B77" s="112">
        <v>9.31</v>
      </c>
      <c r="C77" s="112">
        <v>4.03</v>
      </c>
      <c r="D77" s="112">
        <v>14.02</v>
      </c>
      <c r="E77" s="112">
        <v>8.2799999999999994</v>
      </c>
      <c r="F77" s="112">
        <v>4.72</v>
      </c>
      <c r="G77" s="112">
        <v>14.52</v>
      </c>
      <c r="H77" s="112">
        <v>4.5999999999999996</v>
      </c>
      <c r="I77" s="112">
        <v>3</v>
      </c>
      <c r="J77" s="112">
        <v>0.24</v>
      </c>
      <c r="K77" s="112">
        <v>137.26</v>
      </c>
      <c r="L77" s="112">
        <v>30.15</v>
      </c>
      <c r="M77" s="112">
        <v>73.150000000000006</v>
      </c>
      <c r="N77" s="112">
        <v>24.7</v>
      </c>
      <c r="O77" s="112">
        <v>0</v>
      </c>
      <c r="P77" s="112">
        <v>0.34</v>
      </c>
      <c r="Q77" s="112">
        <v>5.0599999999999996</v>
      </c>
    </row>
    <row r="78" spans="1:17" customFormat="1">
      <c r="A78" s="80">
        <v>45537.729166666664</v>
      </c>
      <c r="B78" s="112">
        <v>9.3000000000000007</v>
      </c>
      <c r="C78" s="112">
        <v>4.05</v>
      </c>
      <c r="D78" s="112">
        <v>14.02</v>
      </c>
      <c r="E78" s="112">
        <v>8.67</v>
      </c>
      <c r="F78" s="112">
        <v>4.08</v>
      </c>
      <c r="G78" s="112">
        <v>14.52</v>
      </c>
      <c r="H78" s="112">
        <v>4.5999999999999996</v>
      </c>
      <c r="I78" s="112">
        <v>3</v>
      </c>
      <c r="J78" s="112">
        <v>0.33</v>
      </c>
      <c r="K78" s="112">
        <v>87.77</v>
      </c>
      <c r="L78" s="112">
        <v>30</v>
      </c>
      <c r="M78" s="112">
        <v>73.959999999999994</v>
      </c>
      <c r="N78" s="112">
        <v>18</v>
      </c>
      <c r="O78" s="112">
        <v>0</v>
      </c>
      <c r="P78" s="112">
        <v>0.35</v>
      </c>
      <c r="Q78" s="112">
        <v>5.04</v>
      </c>
    </row>
    <row r="79" spans="1:17" customFormat="1">
      <c r="A79" s="80">
        <v>45537.739583333336</v>
      </c>
      <c r="B79" s="112">
        <v>9.2899999999999991</v>
      </c>
      <c r="C79" s="112">
        <v>4.09</v>
      </c>
      <c r="D79" s="112">
        <v>14.04</v>
      </c>
      <c r="E79" s="112">
        <v>8.6</v>
      </c>
      <c r="F79" s="112">
        <v>4.0599999999999996</v>
      </c>
      <c r="G79" s="112">
        <v>14.47</v>
      </c>
      <c r="H79" s="112">
        <v>4.3600000000000003</v>
      </c>
      <c r="I79" s="112">
        <v>3.06</v>
      </c>
      <c r="J79" s="112">
        <v>0.22</v>
      </c>
      <c r="K79" s="112">
        <v>156.18</v>
      </c>
      <c r="L79" s="112">
        <v>29.84</v>
      </c>
      <c r="M79" s="112">
        <v>74.95</v>
      </c>
      <c r="N79" s="112">
        <v>12.1</v>
      </c>
      <c r="O79" s="112">
        <v>0</v>
      </c>
      <c r="P79" s="112">
        <v>0.35</v>
      </c>
      <c r="Q79" s="112">
        <v>5.04</v>
      </c>
    </row>
    <row r="80" spans="1:17" customFormat="1">
      <c r="A80" s="80">
        <v>45537.75</v>
      </c>
      <c r="B80" s="112">
        <v>9.3000000000000007</v>
      </c>
      <c r="C80" s="112">
        <v>4.07</v>
      </c>
      <c r="D80" s="112">
        <v>14.03</v>
      </c>
      <c r="E80" s="112">
        <v>8.34</v>
      </c>
      <c r="F80" s="112">
        <v>4.67</v>
      </c>
      <c r="G80" s="112">
        <v>14.3</v>
      </c>
      <c r="H80" s="112">
        <v>3.76</v>
      </c>
      <c r="I80" s="112">
        <v>3.05</v>
      </c>
      <c r="J80" s="112">
        <v>0.23</v>
      </c>
      <c r="K80" s="112">
        <v>159.72999999999999</v>
      </c>
      <c r="L80" s="112">
        <v>29.88</v>
      </c>
      <c r="M80" s="112">
        <v>74.78</v>
      </c>
      <c r="N80" s="112">
        <v>6.3</v>
      </c>
      <c r="O80" s="112">
        <v>0</v>
      </c>
      <c r="P80" s="112">
        <v>0.34</v>
      </c>
      <c r="Q80" s="112">
        <v>5.04</v>
      </c>
    </row>
    <row r="81" spans="1:17" customFormat="1">
      <c r="A81" s="80">
        <v>45537.760416666664</v>
      </c>
      <c r="B81" s="112">
        <v>9.3000000000000007</v>
      </c>
      <c r="C81" s="112">
        <v>4.0599999999999996</v>
      </c>
      <c r="D81" s="112">
        <v>14.03</v>
      </c>
      <c r="E81" s="112">
        <v>8.5399999999999991</v>
      </c>
      <c r="F81" s="112">
        <v>4.2300000000000004</v>
      </c>
      <c r="G81" s="112">
        <v>14.3</v>
      </c>
      <c r="H81" s="112">
        <v>3.76</v>
      </c>
      <c r="I81" s="112">
        <v>2.9</v>
      </c>
      <c r="J81" s="112">
        <v>0.26</v>
      </c>
      <c r="K81" s="112">
        <v>158.97</v>
      </c>
      <c r="L81" s="112">
        <v>29.57</v>
      </c>
      <c r="M81" s="112">
        <v>76.66</v>
      </c>
      <c r="N81" s="112">
        <v>3.1</v>
      </c>
      <c r="O81" s="112">
        <v>0</v>
      </c>
      <c r="P81" s="112">
        <v>0.35</v>
      </c>
      <c r="Q81" s="112">
        <v>5.04</v>
      </c>
    </row>
    <row r="82" spans="1:17" customFormat="1">
      <c r="A82" s="80">
        <v>45537.770833333336</v>
      </c>
      <c r="B82" s="112">
        <v>9.2799999999999994</v>
      </c>
      <c r="C82" s="112">
        <v>4.1100000000000003</v>
      </c>
      <c r="D82" s="112">
        <v>14.04</v>
      </c>
      <c r="E82" s="112">
        <v>10.130000000000001</v>
      </c>
      <c r="F82" s="112">
        <v>4.5</v>
      </c>
      <c r="G82" s="112">
        <v>14.3</v>
      </c>
      <c r="H82" s="112">
        <v>3.76</v>
      </c>
      <c r="I82" s="112">
        <v>2.93</v>
      </c>
      <c r="J82" s="112">
        <v>0.23</v>
      </c>
      <c r="K82" s="112">
        <v>154.86000000000001</v>
      </c>
      <c r="L82" s="112">
        <v>29.48</v>
      </c>
      <c r="M82" s="112">
        <v>77.67</v>
      </c>
      <c r="N82" s="112">
        <v>2.2999999999999998</v>
      </c>
      <c r="O82" s="112">
        <v>0</v>
      </c>
      <c r="P82" s="112">
        <v>0.35</v>
      </c>
      <c r="Q82" s="112">
        <v>5.04</v>
      </c>
    </row>
    <row r="83" spans="1:17" customFormat="1">
      <c r="A83" s="80">
        <v>45537.78125</v>
      </c>
      <c r="B83" s="112">
        <v>9.2799999999999994</v>
      </c>
      <c r="C83" s="112">
        <v>4.1100000000000003</v>
      </c>
      <c r="D83" s="112">
        <v>14.04</v>
      </c>
      <c r="E83" s="112">
        <v>10.15</v>
      </c>
      <c r="F83" s="112">
        <v>5.81</v>
      </c>
      <c r="G83" s="112">
        <v>15.01</v>
      </c>
      <c r="H83" s="112">
        <v>3.62</v>
      </c>
      <c r="I83" s="112">
        <v>2.96</v>
      </c>
      <c r="J83" s="112">
        <v>0.22</v>
      </c>
      <c r="K83" s="112">
        <v>150.25</v>
      </c>
      <c r="L83" s="112">
        <v>29.35</v>
      </c>
      <c r="M83" s="112">
        <v>78.31</v>
      </c>
      <c r="N83" s="112">
        <v>2.2000000000000002</v>
      </c>
      <c r="O83" s="112">
        <v>0</v>
      </c>
      <c r="P83" s="112">
        <v>0.35</v>
      </c>
      <c r="Q83" s="112">
        <v>5.05</v>
      </c>
    </row>
    <row r="84" spans="1:17" customFormat="1">
      <c r="A84" s="80">
        <v>45537.791666666664</v>
      </c>
      <c r="B84" s="112">
        <v>9.2899999999999991</v>
      </c>
      <c r="C84" s="112">
        <v>4.0999999999999996</v>
      </c>
      <c r="D84" s="112">
        <v>14.04</v>
      </c>
      <c r="E84" s="112">
        <v>10.050000000000001</v>
      </c>
      <c r="F84" s="112">
        <v>5.23</v>
      </c>
      <c r="G84" s="112">
        <v>17.53</v>
      </c>
      <c r="H84" s="112">
        <v>3.28</v>
      </c>
      <c r="I84" s="112">
        <v>2.95</v>
      </c>
      <c r="J84" s="112">
        <v>0.17</v>
      </c>
      <c r="K84" s="112">
        <v>156.44</v>
      </c>
      <c r="L84" s="112">
        <v>29.23</v>
      </c>
      <c r="M84" s="112">
        <v>79.34</v>
      </c>
      <c r="N84" s="112">
        <v>2.2000000000000002</v>
      </c>
      <c r="O84" s="112">
        <v>0</v>
      </c>
      <c r="P84" s="112">
        <v>0.35</v>
      </c>
      <c r="Q84" s="112">
        <v>5.05</v>
      </c>
    </row>
    <row r="85" spans="1:17" customFormat="1">
      <c r="A85" s="80">
        <v>45537.802083333336</v>
      </c>
      <c r="B85" s="112">
        <v>9.3000000000000007</v>
      </c>
      <c r="C85" s="112">
        <v>4.05</v>
      </c>
      <c r="D85" s="112">
        <v>14.02</v>
      </c>
      <c r="E85" s="112">
        <v>10.51</v>
      </c>
      <c r="F85" s="112">
        <v>4.09</v>
      </c>
      <c r="G85" s="112">
        <v>17.53</v>
      </c>
      <c r="H85" s="112">
        <v>3.28</v>
      </c>
      <c r="I85" s="112">
        <v>3.01</v>
      </c>
      <c r="J85" s="112">
        <v>0.16</v>
      </c>
      <c r="K85" s="112">
        <v>157.1</v>
      </c>
      <c r="L85" s="112">
        <v>29.12</v>
      </c>
      <c r="M85" s="112">
        <v>79.97</v>
      </c>
      <c r="N85" s="112">
        <v>2.2000000000000002</v>
      </c>
      <c r="O85" s="112">
        <v>0</v>
      </c>
      <c r="P85" s="112">
        <v>0.36</v>
      </c>
      <c r="Q85" s="112">
        <v>5.05</v>
      </c>
    </row>
    <row r="86" spans="1:17" customFormat="1">
      <c r="A86" s="80">
        <v>45537.8125</v>
      </c>
      <c r="B86" s="112">
        <v>9.3000000000000007</v>
      </c>
      <c r="C86" s="112">
        <v>4.07</v>
      </c>
      <c r="D86" s="112">
        <v>14.03</v>
      </c>
      <c r="E86" s="112">
        <v>10.41</v>
      </c>
      <c r="F86" s="112">
        <v>3.3</v>
      </c>
      <c r="G86" s="112">
        <v>17.53</v>
      </c>
      <c r="H86" s="112">
        <v>3.28</v>
      </c>
      <c r="I86" s="112">
        <v>3.01</v>
      </c>
      <c r="J86" s="112">
        <v>0.18</v>
      </c>
      <c r="K86" s="112">
        <v>149.24</v>
      </c>
      <c r="L86" s="112">
        <v>29.09</v>
      </c>
      <c r="M86" s="112">
        <v>79.2</v>
      </c>
      <c r="N86" s="112">
        <v>2.1</v>
      </c>
      <c r="O86" s="112">
        <v>0</v>
      </c>
      <c r="P86" s="112">
        <v>0.36</v>
      </c>
      <c r="Q86" s="112">
        <v>5.0599999999999996</v>
      </c>
    </row>
    <row r="87" spans="1:17" customFormat="1">
      <c r="A87" s="80">
        <v>45537.822916666664</v>
      </c>
      <c r="B87" s="112">
        <v>9.2899999999999991</v>
      </c>
      <c r="C87" s="112">
        <v>4.07</v>
      </c>
      <c r="D87" s="112">
        <v>14.03</v>
      </c>
      <c r="E87" s="112">
        <v>10.84</v>
      </c>
      <c r="F87" s="112">
        <v>2.93</v>
      </c>
      <c r="G87" s="112">
        <v>18.78</v>
      </c>
      <c r="H87" s="112">
        <v>3.89</v>
      </c>
      <c r="I87" s="112">
        <v>3.06</v>
      </c>
      <c r="J87" s="112">
        <v>0.16</v>
      </c>
      <c r="K87" s="112">
        <v>145.77000000000001</v>
      </c>
      <c r="L87" s="112">
        <v>28.64</v>
      </c>
      <c r="M87" s="112">
        <v>81.040000000000006</v>
      </c>
      <c r="N87" s="112">
        <v>2.2999999999999998</v>
      </c>
      <c r="O87" s="112">
        <v>0</v>
      </c>
      <c r="P87" s="112">
        <v>0.38</v>
      </c>
      <c r="Q87" s="112">
        <v>5.04</v>
      </c>
    </row>
    <row r="88" spans="1:17" customFormat="1">
      <c r="A88" s="80">
        <v>45537.833333333336</v>
      </c>
      <c r="B88" s="112">
        <v>9.2899999999999991</v>
      </c>
      <c r="C88" s="112">
        <v>4.05</v>
      </c>
      <c r="D88" s="112">
        <v>14.02</v>
      </c>
      <c r="E88" s="112">
        <v>10.99</v>
      </c>
      <c r="F88" s="112">
        <v>4.1500000000000004</v>
      </c>
      <c r="G88" s="112">
        <v>23.18</v>
      </c>
      <c r="H88" s="112">
        <v>5.41</v>
      </c>
      <c r="I88" s="112">
        <v>3.17</v>
      </c>
      <c r="J88" s="112">
        <v>0.14000000000000001</v>
      </c>
      <c r="K88" s="112">
        <v>144.83000000000001</v>
      </c>
      <c r="L88" s="112">
        <v>28.55</v>
      </c>
      <c r="M88" s="112">
        <v>81.540000000000006</v>
      </c>
      <c r="N88" s="112">
        <v>2.1</v>
      </c>
      <c r="O88" s="112">
        <v>0</v>
      </c>
      <c r="P88" s="112">
        <v>0.37</v>
      </c>
      <c r="Q88" s="112">
        <v>5.04</v>
      </c>
    </row>
    <row r="89" spans="1:17" customFormat="1">
      <c r="A89" s="80">
        <v>45537.84375</v>
      </c>
      <c r="B89" s="112">
        <v>9.31</v>
      </c>
      <c r="C89" s="112">
        <v>4.0599999999999996</v>
      </c>
      <c r="D89" s="112">
        <v>14.04</v>
      </c>
      <c r="E89" s="112">
        <v>10.06</v>
      </c>
      <c r="F89" s="112">
        <v>4.8499999999999996</v>
      </c>
      <c r="G89" s="112">
        <v>23.18</v>
      </c>
      <c r="H89" s="112">
        <v>5.41</v>
      </c>
      <c r="I89" s="112">
        <v>3.16</v>
      </c>
      <c r="J89" s="112">
        <v>0.13</v>
      </c>
      <c r="K89" s="112">
        <v>161.19</v>
      </c>
      <c r="L89" s="112">
        <v>28.4</v>
      </c>
      <c r="M89" s="112">
        <v>81.540000000000006</v>
      </c>
      <c r="N89" s="112">
        <v>2</v>
      </c>
      <c r="O89" s="112">
        <v>0</v>
      </c>
      <c r="P89" s="112">
        <v>0.37</v>
      </c>
      <c r="Q89" s="112">
        <v>5.03</v>
      </c>
    </row>
    <row r="90" spans="1:17" customFormat="1">
      <c r="A90" s="80">
        <v>45537.854166666664</v>
      </c>
      <c r="B90" s="112">
        <v>9.3000000000000007</v>
      </c>
      <c r="C90" s="112">
        <v>4.0599999999999996</v>
      </c>
      <c r="D90" s="112">
        <v>14.03</v>
      </c>
      <c r="E90" s="112">
        <v>10.75</v>
      </c>
      <c r="F90" s="112">
        <v>4.62</v>
      </c>
      <c r="G90" s="112">
        <v>23.18</v>
      </c>
      <c r="H90" s="112">
        <v>5.41</v>
      </c>
      <c r="I90" s="112">
        <v>3.22</v>
      </c>
      <c r="J90" s="112">
        <v>0.18</v>
      </c>
      <c r="K90" s="112">
        <v>153.46</v>
      </c>
      <c r="L90" s="112">
        <v>28.37</v>
      </c>
      <c r="M90" s="112">
        <v>82.39</v>
      </c>
      <c r="N90" s="112">
        <v>2.1</v>
      </c>
      <c r="O90" s="112">
        <v>0</v>
      </c>
      <c r="P90" s="112">
        <v>0.37</v>
      </c>
      <c r="Q90" s="112">
        <v>5.04</v>
      </c>
    </row>
    <row r="91" spans="1:17" customFormat="1">
      <c r="A91" s="80">
        <v>45537.864583333336</v>
      </c>
      <c r="B91" s="112">
        <v>9.3000000000000007</v>
      </c>
      <c r="C91" s="112">
        <v>4.0599999999999996</v>
      </c>
      <c r="D91" s="112">
        <v>14.03</v>
      </c>
      <c r="E91" s="112">
        <v>10.43</v>
      </c>
      <c r="F91" s="112">
        <v>5.1100000000000003</v>
      </c>
      <c r="G91" s="112">
        <v>22.35</v>
      </c>
      <c r="H91" s="112">
        <v>5.24</v>
      </c>
      <c r="I91" s="112">
        <v>3.23</v>
      </c>
      <c r="J91" s="112">
        <v>0.12</v>
      </c>
      <c r="K91" s="112">
        <v>134.27000000000001</v>
      </c>
      <c r="L91" s="112">
        <v>28.33</v>
      </c>
      <c r="M91" s="112">
        <v>83.89</v>
      </c>
      <c r="N91" s="112">
        <v>2.1</v>
      </c>
      <c r="O91" s="112">
        <v>0</v>
      </c>
      <c r="P91" s="112">
        <v>0.36</v>
      </c>
      <c r="Q91" s="112">
        <v>5.04</v>
      </c>
    </row>
    <row r="92" spans="1:17" customFormat="1">
      <c r="A92" s="80">
        <v>45537.875</v>
      </c>
      <c r="B92" s="112">
        <v>9.31</v>
      </c>
      <c r="C92" s="112">
        <v>4.05</v>
      </c>
      <c r="D92" s="112">
        <v>14.04</v>
      </c>
      <c r="E92" s="112">
        <v>9.75</v>
      </c>
      <c r="F92" s="112">
        <v>5.88</v>
      </c>
      <c r="G92" s="112">
        <v>19.46</v>
      </c>
      <c r="H92" s="112">
        <v>4.4400000000000004</v>
      </c>
      <c r="I92" s="112">
        <v>3.23</v>
      </c>
      <c r="J92" s="112">
        <v>0.09</v>
      </c>
      <c r="K92" s="112">
        <v>148.13999999999999</v>
      </c>
      <c r="L92" s="112">
        <v>28.18</v>
      </c>
      <c r="M92" s="112">
        <v>85.27</v>
      </c>
      <c r="N92" s="112">
        <v>2.1</v>
      </c>
      <c r="O92" s="112">
        <v>0</v>
      </c>
      <c r="P92" s="112">
        <v>0.34</v>
      </c>
      <c r="Q92" s="112">
        <v>5.05</v>
      </c>
    </row>
    <row r="93" spans="1:17" customFormat="1">
      <c r="A93" s="80">
        <v>45537.885416666664</v>
      </c>
      <c r="B93" s="112">
        <v>9.3000000000000007</v>
      </c>
      <c r="C93" s="112">
        <v>4.08</v>
      </c>
      <c r="D93" s="112">
        <v>14.04</v>
      </c>
      <c r="E93" s="112">
        <v>9.17</v>
      </c>
      <c r="F93" s="112">
        <v>6.11</v>
      </c>
      <c r="G93" s="112">
        <v>19.46</v>
      </c>
      <c r="H93" s="112">
        <v>4.4400000000000004</v>
      </c>
      <c r="I93" s="112">
        <v>3.28</v>
      </c>
      <c r="J93" s="112">
        <v>0.08</v>
      </c>
      <c r="K93" s="112">
        <v>145.80000000000001</v>
      </c>
      <c r="L93" s="112">
        <v>28.03</v>
      </c>
      <c r="M93" s="112">
        <v>86.48</v>
      </c>
      <c r="N93" s="112">
        <v>2.1</v>
      </c>
      <c r="O93" s="112">
        <v>0</v>
      </c>
      <c r="P93" s="112">
        <v>0.34</v>
      </c>
      <c r="Q93" s="112">
        <v>5.05</v>
      </c>
    </row>
    <row r="94" spans="1:17" customFormat="1">
      <c r="A94" s="80">
        <v>45537.895833333336</v>
      </c>
      <c r="B94" s="112">
        <v>9.3000000000000007</v>
      </c>
      <c r="C94" s="112">
        <v>4.0599999999999996</v>
      </c>
      <c r="D94" s="112">
        <v>14.03</v>
      </c>
      <c r="E94" s="112">
        <v>9.02</v>
      </c>
      <c r="F94" s="112">
        <v>5.38</v>
      </c>
      <c r="G94" s="112">
        <v>19.46</v>
      </c>
      <c r="H94" s="112">
        <v>4.4400000000000004</v>
      </c>
      <c r="I94" s="112">
        <v>3.18</v>
      </c>
      <c r="J94" s="112">
        <v>0.12</v>
      </c>
      <c r="K94" s="112">
        <v>132.47999999999999</v>
      </c>
      <c r="L94" s="112">
        <v>28.1</v>
      </c>
      <c r="M94" s="112">
        <v>85.96</v>
      </c>
      <c r="N94" s="112">
        <v>2.1</v>
      </c>
      <c r="O94" s="112">
        <v>0</v>
      </c>
      <c r="P94" s="112">
        <v>0.34</v>
      </c>
      <c r="Q94" s="112">
        <v>5.05</v>
      </c>
    </row>
    <row r="95" spans="1:17" customFormat="1">
      <c r="A95" s="80">
        <v>45537.90625</v>
      </c>
      <c r="B95" s="112">
        <v>9.2799999999999994</v>
      </c>
      <c r="C95" s="112">
        <v>4.05</v>
      </c>
      <c r="D95" s="112">
        <v>14.01</v>
      </c>
      <c r="E95" s="112">
        <v>9.31</v>
      </c>
      <c r="F95" s="112">
        <v>4.96</v>
      </c>
      <c r="G95" s="112">
        <v>19.77</v>
      </c>
      <c r="H95" s="112">
        <v>4.07</v>
      </c>
      <c r="I95" s="112">
        <v>3.22</v>
      </c>
      <c r="J95" s="112">
        <v>0.1</v>
      </c>
      <c r="K95" s="112">
        <v>141.71</v>
      </c>
      <c r="L95" s="112">
        <v>28.11</v>
      </c>
      <c r="M95" s="112">
        <v>85.68</v>
      </c>
      <c r="N95" s="112">
        <v>2</v>
      </c>
      <c r="O95" s="112">
        <v>0</v>
      </c>
      <c r="P95" s="112">
        <v>0.33</v>
      </c>
      <c r="Q95" s="112">
        <v>5.04</v>
      </c>
    </row>
    <row r="96" spans="1:17" customFormat="1">
      <c r="A96" s="80">
        <v>45537.916666666664</v>
      </c>
      <c r="B96" s="112">
        <v>9.2799999999999994</v>
      </c>
      <c r="C96" s="112">
        <v>4.07</v>
      </c>
      <c r="D96" s="112">
        <v>14.02</v>
      </c>
      <c r="E96" s="112">
        <v>8.7200000000000006</v>
      </c>
      <c r="F96" s="112">
        <v>5.16</v>
      </c>
      <c r="G96" s="112">
        <v>20.88</v>
      </c>
      <c r="H96" s="112">
        <v>3.22</v>
      </c>
      <c r="I96" s="112">
        <v>3.32</v>
      </c>
      <c r="J96" s="112">
        <v>0.13</v>
      </c>
      <c r="K96" s="112">
        <v>111.83</v>
      </c>
      <c r="L96" s="112">
        <v>27.96</v>
      </c>
      <c r="M96" s="112">
        <v>86.17</v>
      </c>
      <c r="N96" s="112">
        <v>2.1</v>
      </c>
      <c r="O96" s="112">
        <v>0</v>
      </c>
      <c r="P96" s="112">
        <v>0.32</v>
      </c>
      <c r="Q96" s="112">
        <v>5.04</v>
      </c>
    </row>
    <row r="97" spans="1:22" customFormat="1">
      <c r="A97" s="80">
        <v>45537.927083333336</v>
      </c>
      <c r="B97" s="112">
        <v>9.2899999999999991</v>
      </c>
      <c r="C97" s="112">
        <v>4.05</v>
      </c>
      <c r="D97" s="112">
        <v>14.01</v>
      </c>
      <c r="E97" s="112">
        <v>8.6300000000000008</v>
      </c>
      <c r="F97" s="112">
        <v>4.6100000000000003</v>
      </c>
      <c r="G97" s="112">
        <v>20.88</v>
      </c>
      <c r="H97" s="112">
        <v>3.22</v>
      </c>
      <c r="I97" s="112">
        <v>3.36</v>
      </c>
      <c r="J97" s="112">
        <v>0.13</v>
      </c>
      <c r="K97" s="112">
        <v>140.83000000000001</v>
      </c>
      <c r="L97" s="112">
        <v>27.89</v>
      </c>
      <c r="M97" s="112">
        <v>86.53</v>
      </c>
      <c r="N97" s="112">
        <v>2.1</v>
      </c>
      <c r="O97" s="112">
        <v>0</v>
      </c>
      <c r="P97" s="112">
        <v>0.32</v>
      </c>
      <c r="Q97" s="112">
        <v>5.04</v>
      </c>
    </row>
    <row r="98" spans="1:22" customFormat="1">
      <c r="A98" s="80">
        <v>45537.9375</v>
      </c>
      <c r="B98" s="112">
        <v>9.2899999999999991</v>
      </c>
      <c r="C98" s="112">
        <v>4.04</v>
      </c>
      <c r="D98" s="112">
        <v>14.01</v>
      </c>
      <c r="E98" s="112">
        <v>8.85</v>
      </c>
      <c r="F98" s="112">
        <v>5.22</v>
      </c>
      <c r="G98" s="112">
        <v>20.88</v>
      </c>
      <c r="H98" s="112">
        <v>3.22</v>
      </c>
      <c r="I98" s="112">
        <v>3.27</v>
      </c>
      <c r="J98" s="112">
        <v>0.15</v>
      </c>
      <c r="K98" s="112">
        <v>138.08000000000001</v>
      </c>
      <c r="L98" s="112">
        <v>27.86</v>
      </c>
      <c r="M98" s="112">
        <v>86.68</v>
      </c>
      <c r="N98" s="112">
        <v>2.1</v>
      </c>
      <c r="O98" s="112">
        <v>0</v>
      </c>
      <c r="P98" s="112">
        <v>0.32</v>
      </c>
      <c r="Q98" s="112">
        <v>5.04</v>
      </c>
    </row>
    <row r="99" spans="1:22" customFormat="1">
      <c r="A99" s="80">
        <v>45537.947916666664</v>
      </c>
      <c r="B99" s="112">
        <v>9.27</v>
      </c>
      <c r="C99" s="112">
        <v>4.0599999999999996</v>
      </c>
      <c r="D99" s="112">
        <v>14</v>
      </c>
      <c r="E99" s="112">
        <v>8.44</v>
      </c>
      <c r="F99" s="112">
        <v>6.54</v>
      </c>
      <c r="G99" s="112">
        <v>21.66</v>
      </c>
      <c r="H99" s="112">
        <v>3.11</v>
      </c>
      <c r="I99" s="112">
        <v>3.31</v>
      </c>
      <c r="J99" s="112">
        <v>0.2</v>
      </c>
      <c r="K99" s="112">
        <v>114.28</v>
      </c>
      <c r="L99" s="112">
        <v>27.75</v>
      </c>
      <c r="M99" s="112">
        <v>86.82</v>
      </c>
      <c r="N99" s="112">
        <v>2.1</v>
      </c>
      <c r="O99" s="112">
        <v>0</v>
      </c>
      <c r="P99" s="112">
        <v>0.3</v>
      </c>
      <c r="Q99" s="112">
        <v>5.04</v>
      </c>
    </row>
    <row r="100" spans="1:22" customFormat="1">
      <c r="A100" s="80">
        <v>45537.958333333336</v>
      </c>
      <c r="B100" s="112">
        <v>9.2799999999999994</v>
      </c>
      <c r="C100" s="112">
        <v>4.07</v>
      </c>
      <c r="D100" s="112">
        <v>14.02</v>
      </c>
      <c r="E100" s="112">
        <v>8.84</v>
      </c>
      <c r="F100" s="112">
        <v>6.48</v>
      </c>
      <c r="G100" s="112">
        <v>24.38</v>
      </c>
      <c r="H100" s="112">
        <v>2.84</v>
      </c>
      <c r="I100" s="112">
        <v>3.29</v>
      </c>
      <c r="J100" s="112">
        <v>0.16</v>
      </c>
      <c r="K100" s="112">
        <v>133.21</v>
      </c>
      <c r="L100" s="112">
        <v>27.67</v>
      </c>
      <c r="M100" s="112">
        <v>86.85</v>
      </c>
      <c r="N100" s="112">
        <v>2.1</v>
      </c>
      <c r="O100" s="112">
        <v>0</v>
      </c>
      <c r="P100" s="112">
        <v>0.3</v>
      </c>
      <c r="Q100" s="112">
        <v>5.03</v>
      </c>
    </row>
    <row r="101" spans="1:22" customFormat="1">
      <c r="A101" s="80">
        <v>45537.96875</v>
      </c>
      <c r="B101" s="112">
        <v>9.2899999999999991</v>
      </c>
      <c r="C101" s="112">
        <v>4.09</v>
      </c>
      <c r="D101" s="112">
        <v>14.04</v>
      </c>
      <c r="E101" s="112">
        <v>8.8000000000000007</v>
      </c>
      <c r="F101" s="112">
        <v>5.8</v>
      </c>
      <c r="G101" s="112">
        <v>24.38</v>
      </c>
      <c r="H101" s="112">
        <v>2.84</v>
      </c>
      <c r="I101" s="112">
        <v>3.13</v>
      </c>
      <c r="J101" s="112">
        <v>0.18</v>
      </c>
      <c r="K101" s="112">
        <v>160.25</v>
      </c>
      <c r="L101" s="112">
        <v>27.67</v>
      </c>
      <c r="M101" s="112">
        <v>87.36</v>
      </c>
      <c r="N101" s="112">
        <v>2</v>
      </c>
      <c r="O101" s="112">
        <v>0</v>
      </c>
      <c r="P101" s="112">
        <v>0.3</v>
      </c>
      <c r="Q101" s="112">
        <v>5.04</v>
      </c>
    </row>
    <row r="102" spans="1:22" customFormat="1">
      <c r="A102" s="80">
        <v>45537.979166666664</v>
      </c>
      <c r="B102" s="112">
        <v>9.2899999999999991</v>
      </c>
      <c r="C102" s="112">
        <v>4.0599999999999996</v>
      </c>
      <c r="D102" s="112">
        <v>14.02</v>
      </c>
      <c r="E102" s="112">
        <v>8.25</v>
      </c>
      <c r="F102" s="112">
        <v>4.3099999999999996</v>
      </c>
      <c r="G102" s="112">
        <v>24.38</v>
      </c>
      <c r="H102" s="112">
        <v>2.84</v>
      </c>
      <c r="I102" s="112">
        <v>2.99</v>
      </c>
      <c r="J102" s="112">
        <v>0.18</v>
      </c>
      <c r="K102" s="112">
        <v>124.5</v>
      </c>
      <c r="L102" s="112">
        <v>27.45</v>
      </c>
      <c r="M102" s="112">
        <v>89.23</v>
      </c>
      <c r="N102" s="112">
        <v>2.1</v>
      </c>
      <c r="O102" s="112">
        <v>0</v>
      </c>
      <c r="P102" s="112">
        <v>0.3</v>
      </c>
      <c r="Q102" s="112">
        <v>5.04</v>
      </c>
    </row>
    <row r="103" spans="1:22" customFormat="1">
      <c r="A103" s="80">
        <v>45537.989583333336</v>
      </c>
      <c r="B103" s="112">
        <v>9.2799999999999994</v>
      </c>
      <c r="C103" s="112">
        <v>4.04</v>
      </c>
      <c r="D103" s="112">
        <v>14</v>
      </c>
      <c r="E103" s="112">
        <v>8.51</v>
      </c>
      <c r="F103" s="112">
        <v>5.25</v>
      </c>
      <c r="G103" s="112">
        <v>22.79</v>
      </c>
      <c r="H103" s="112">
        <v>2.72</v>
      </c>
      <c r="I103" s="112">
        <v>3.05</v>
      </c>
      <c r="J103" s="112">
        <v>0.15</v>
      </c>
      <c r="K103" s="112">
        <v>116.71</v>
      </c>
      <c r="L103" s="112">
        <v>27.25</v>
      </c>
      <c r="M103" s="112">
        <v>89.31</v>
      </c>
      <c r="N103" s="112">
        <v>2.1</v>
      </c>
      <c r="O103" s="112">
        <v>0</v>
      </c>
      <c r="P103" s="112">
        <v>0.28999999999999998</v>
      </c>
      <c r="Q103" s="112">
        <v>5.05</v>
      </c>
    </row>
    <row r="104" spans="1:22" customFormat="1">
      <c r="A104" s="80">
        <v>45538</v>
      </c>
      <c r="B104" s="112">
        <v>9.2799999999999994</v>
      </c>
      <c r="C104" s="112">
        <v>4.08</v>
      </c>
      <c r="D104" s="112">
        <v>14.02</v>
      </c>
      <c r="E104" s="112">
        <v>8.89</v>
      </c>
      <c r="F104" s="112">
        <v>5.15</v>
      </c>
      <c r="G104" s="112">
        <v>17.239999999999998</v>
      </c>
      <c r="H104" s="112">
        <v>2.46</v>
      </c>
      <c r="I104" s="112">
        <v>3.15</v>
      </c>
      <c r="J104" s="112">
        <v>0.16</v>
      </c>
      <c r="K104" s="112">
        <v>134.01</v>
      </c>
      <c r="L104" s="112">
        <v>27.12</v>
      </c>
      <c r="M104" s="112">
        <v>88.01</v>
      </c>
      <c r="N104" s="112">
        <v>2.1</v>
      </c>
      <c r="O104" s="112">
        <v>0</v>
      </c>
      <c r="P104" s="112">
        <v>0.28000000000000003</v>
      </c>
      <c r="Q104" s="112">
        <v>5.03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9.24</v>
      </c>
      <c r="C106" s="183">
        <f>MIN(C9:C104)</f>
        <v>4.03</v>
      </c>
      <c r="D106" s="183">
        <f t="shared" ref="D106:Q106" si="0">MIN(D9:D104)</f>
        <v>14</v>
      </c>
      <c r="E106" s="183">
        <f t="shared" si="0"/>
        <v>6.6</v>
      </c>
      <c r="F106" s="183">
        <f t="shared" si="0"/>
        <v>1.75</v>
      </c>
      <c r="G106" s="183">
        <f t="shared" si="0"/>
        <v>13.74</v>
      </c>
      <c r="H106" s="183">
        <f t="shared" si="0"/>
        <v>2.27</v>
      </c>
      <c r="I106" s="183">
        <f t="shared" si="0"/>
        <v>2.9</v>
      </c>
      <c r="J106" s="183">
        <f t="shared" si="0"/>
        <v>0.08</v>
      </c>
      <c r="K106" s="183">
        <f t="shared" si="0"/>
        <v>57.58</v>
      </c>
      <c r="L106" s="183">
        <f t="shared" si="0"/>
        <v>26.08</v>
      </c>
      <c r="M106" s="183">
        <f t="shared" si="0"/>
        <v>61.67</v>
      </c>
      <c r="N106" s="183">
        <f t="shared" si="0"/>
        <v>2</v>
      </c>
      <c r="O106" s="183">
        <f t="shared" si="0"/>
        <v>0</v>
      </c>
      <c r="P106" s="183">
        <f t="shared" si="0"/>
        <v>0.25</v>
      </c>
      <c r="Q106" s="183">
        <f t="shared" si="0"/>
        <v>5.01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9.44</v>
      </c>
      <c r="C107" s="184">
        <f t="shared" ref="C107:Q107" si="1">MAX(C9:C104)</f>
        <v>4.24</v>
      </c>
      <c r="D107" s="184">
        <f t="shared" si="1"/>
        <v>14.16</v>
      </c>
      <c r="E107" s="184">
        <f t="shared" si="1"/>
        <v>11.43</v>
      </c>
      <c r="F107" s="184">
        <f t="shared" si="1"/>
        <v>6.54</v>
      </c>
      <c r="G107" s="184">
        <f t="shared" si="1"/>
        <v>34.57</v>
      </c>
      <c r="H107" s="184">
        <f t="shared" si="1"/>
        <v>5.75</v>
      </c>
      <c r="I107" s="184">
        <f t="shared" si="1"/>
        <v>3.73</v>
      </c>
      <c r="J107" s="184">
        <f t="shared" si="1"/>
        <v>1.02</v>
      </c>
      <c r="K107" s="184">
        <f t="shared" si="1"/>
        <v>161.19</v>
      </c>
      <c r="L107" s="184">
        <f t="shared" si="1"/>
        <v>32.58</v>
      </c>
      <c r="M107" s="184">
        <f t="shared" si="1"/>
        <v>92.5</v>
      </c>
      <c r="N107" s="184">
        <f t="shared" si="1"/>
        <v>822.2</v>
      </c>
      <c r="O107" s="184">
        <f t="shared" si="1"/>
        <v>0</v>
      </c>
      <c r="P107" s="184">
        <f t="shared" si="1"/>
        <v>0.38</v>
      </c>
      <c r="Q107" s="184">
        <f t="shared" si="1"/>
        <v>5.0599999999999996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9.3209374999999905</v>
      </c>
      <c r="C108" s="183">
        <f t="shared" ref="C108:Q108" si="2">AVERAGE(C9:C104)</f>
        <v>4.0717708333333347</v>
      </c>
      <c r="D108" s="183">
        <f t="shared" si="2"/>
        <v>14.051979166666662</v>
      </c>
      <c r="E108" s="183">
        <f t="shared" si="2"/>
        <v>8.7633333333333336</v>
      </c>
      <c r="F108" s="183">
        <f t="shared" si="2"/>
        <v>3.8487500000000008</v>
      </c>
      <c r="G108" s="183">
        <f t="shared" si="2"/>
        <v>20.715000000000007</v>
      </c>
      <c r="H108" s="183">
        <f t="shared" si="2"/>
        <v>3.8850000000000002</v>
      </c>
      <c r="I108" s="183">
        <f t="shared" si="2"/>
        <v>3.2310416666666679</v>
      </c>
      <c r="J108" s="183">
        <f t="shared" si="2"/>
        <v>0.33406249999999987</v>
      </c>
      <c r="K108" s="183">
        <f t="shared" si="2"/>
        <v>103.2267708333333</v>
      </c>
      <c r="L108" s="183">
        <f t="shared" si="2"/>
        <v>28.625416666666666</v>
      </c>
      <c r="M108" s="183">
        <f t="shared" si="2"/>
        <v>80.705624999999998</v>
      </c>
      <c r="N108" s="183">
        <f t="shared" si="2"/>
        <v>111.50937500000008</v>
      </c>
      <c r="O108" s="183">
        <f t="shared" si="2"/>
        <v>0</v>
      </c>
      <c r="P108" s="183">
        <f t="shared" si="2"/>
        <v>0.33166666666666678</v>
      </c>
      <c r="Q108" s="183">
        <f t="shared" si="2"/>
        <v>5.0379166666666695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4.3795652872474902E-2</v>
      </c>
      <c r="C109" s="183">
        <f t="shared" ref="C109:Q109" si="3">STDEV(C9:C104)</f>
        <v>2.783389798775918E-2</v>
      </c>
      <c r="D109" s="183">
        <f t="shared" si="3"/>
        <v>3.7066648128860978E-2</v>
      </c>
      <c r="E109" s="183">
        <f t="shared" si="3"/>
        <v>1.0453885368524167</v>
      </c>
      <c r="F109" s="183">
        <f t="shared" si="3"/>
        <v>1.2273370831965738</v>
      </c>
      <c r="G109" s="183">
        <f t="shared" si="3"/>
        <v>4.6784810850486229</v>
      </c>
      <c r="H109" s="183">
        <f t="shared" si="3"/>
        <v>0.8725473897550925</v>
      </c>
      <c r="I109" s="183">
        <f t="shared" si="3"/>
        <v>0.18990567834232341</v>
      </c>
      <c r="J109" s="183">
        <f t="shared" si="3"/>
        <v>0.16742997357890183</v>
      </c>
      <c r="K109" s="183">
        <f t="shared" si="3"/>
        <v>32.644597215426948</v>
      </c>
      <c r="L109" s="183">
        <f t="shared" si="3"/>
        <v>2.0504509987428392</v>
      </c>
      <c r="M109" s="183">
        <f t="shared" si="3"/>
        <v>9.4299933373308935</v>
      </c>
      <c r="N109" s="183">
        <f t="shared" si="3"/>
        <v>174.58385653838616</v>
      </c>
      <c r="O109" s="183">
        <f t="shared" si="3"/>
        <v>0</v>
      </c>
      <c r="P109" s="183">
        <f t="shared" si="3"/>
        <v>3.0733717697484585E-2</v>
      </c>
      <c r="Q109" s="183">
        <f t="shared" si="3"/>
        <v>1.2304613312572205E-2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14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45538.010416666664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45538.010416666664</v>
      </c>
      <c r="B9" s="112">
        <v>9.24</v>
      </c>
      <c r="C9" s="112">
        <v>4.0999999999999996</v>
      </c>
      <c r="D9" s="112">
        <v>14</v>
      </c>
      <c r="E9" s="112">
        <v>8.75</v>
      </c>
      <c r="F9" s="112">
        <v>4.8499999999999996</v>
      </c>
      <c r="G9" s="112">
        <v>17.239999999999998</v>
      </c>
      <c r="H9" s="112">
        <v>2.46</v>
      </c>
      <c r="I9" s="112">
        <v>3.13</v>
      </c>
      <c r="J9" s="112">
        <v>0.08</v>
      </c>
      <c r="K9" s="112">
        <v>118.97</v>
      </c>
      <c r="L9" s="112">
        <v>26.96</v>
      </c>
      <c r="M9" s="112">
        <v>88.83</v>
      </c>
      <c r="N9" s="112">
        <v>2.1</v>
      </c>
      <c r="O9" s="112">
        <v>0</v>
      </c>
      <c r="P9" s="112">
        <v>0.28999999999999998</v>
      </c>
      <c r="Q9" s="112">
        <v>5.0199999999999996</v>
      </c>
    </row>
    <row r="10" spans="1:21" customFormat="1">
      <c r="A10" s="80">
        <v>45538.020833333336</v>
      </c>
      <c r="B10" s="112">
        <v>9.23</v>
      </c>
      <c r="C10" s="112">
        <v>4.1100000000000003</v>
      </c>
      <c r="D10" s="112">
        <v>14</v>
      </c>
      <c r="E10" s="112">
        <v>8.74</v>
      </c>
      <c r="F10" s="112">
        <v>3.9</v>
      </c>
      <c r="G10" s="112">
        <v>17.239999999999998</v>
      </c>
      <c r="H10" s="112">
        <v>2.46</v>
      </c>
      <c r="I10" s="112">
        <v>3.12</v>
      </c>
      <c r="J10" s="112">
        <v>0.13</v>
      </c>
      <c r="K10" s="112">
        <v>132.72</v>
      </c>
      <c r="L10" s="112">
        <v>26.96</v>
      </c>
      <c r="M10" s="112">
        <v>88.21</v>
      </c>
      <c r="N10" s="112">
        <v>2.1</v>
      </c>
      <c r="O10" s="112">
        <v>0</v>
      </c>
      <c r="P10" s="112">
        <v>0.31</v>
      </c>
      <c r="Q10" s="112">
        <v>5.03</v>
      </c>
    </row>
    <row r="11" spans="1:21" customFormat="1">
      <c r="A11" s="80">
        <v>45538.03125</v>
      </c>
      <c r="B11" s="112">
        <v>9.23</v>
      </c>
      <c r="C11" s="112">
        <v>4.1100000000000003</v>
      </c>
      <c r="D11" s="112">
        <v>14</v>
      </c>
      <c r="E11" s="112">
        <v>8.07</v>
      </c>
      <c r="F11" s="112">
        <v>5.28</v>
      </c>
      <c r="G11" s="112">
        <v>17.36</v>
      </c>
      <c r="H11" s="112">
        <v>2.42</v>
      </c>
      <c r="I11" s="112">
        <v>3.19</v>
      </c>
      <c r="J11" s="112">
        <v>0.21</v>
      </c>
      <c r="K11" s="112">
        <v>119.05</v>
      </c>
      <c r="L11" s="112">
        <v>26.97</v>
      </c>
      <c r="M11" s="112">
        <v>87.64</v>
      </c>
      <c r="N11" s="112">
        <v>2.2000000000000002</v>
      </c>
      <c r="O11" s="112">
        <v>0</v>
      </c>
      <c r="P11" s="112">
        <v>0.33</v>
      </c>
      <c r="Q11" s="112">
        <v>5.04</v>
      </c>
    </row>
    <row r="12" spans="1:21" customFormat="1">
      <c r="A12" s="80">
        <v>45538.041666666664</v>
      </c>
      <c r="B12" s="112">
        <v>9.2100000000000009</v>
      </c>
      <c r="C12" s="112">
        <v>4.1399999999999997</v>
      </c>
      <c r="D12" s="112">
        <v>14</v>
      </c>
      <c r="E12" s="112">
        <v>8.36</v>
      </c>
      <c r="F12" s="112">
        <v>4.26</v>
      </c>
      <c r="G12" s="112">
        <v>17.78</v>
      </c>
      <c r="H12" s="112">
        <v>2.33</v>
      </c>
      <c r="I12" s="112">
        <v>3.14</v>
      </c>
      <c r="J12" s="112">
        <v>0.26</v>
      </c>
      <c r="K12" s="112">
        <v>106.09</v>
      </c>
      <c r="L12" s="112">
        <v>26.82</v>
      </c>
      <c r="M12" s="112">
        <v>88</v>
      </c>
      <c r="N12" s="112">
        <v>2.2000000000000002</v>
      </c>
      <c r="O12" s="112">
        <v>0</v>
      </c>
      <c r="P12" s="112">
        <v>0.33</v>
      </c>
      <c r="Q12" s="112">
        <v>5.03</v>
      </c>
    </row>
    <row r="13" spans="1:21" customFormat="1">
      <c r="A13" s="80">
        <v>45538.052083333336</v>
      </c>
      <c r="B13" s="112">
        <v>9.23</v>
      </c>
      <c r="C13" s="112">
        <v>4.12</v>
      </c>
      <c r="D13" s="112">
        <v>14</v>
      </c>
      <c r="E13" s="112">
        <v>8.73</v>
      </c>
      <c r="F13" s="112">
        <v>5.08</v>
      </c>
      <c r="G13" s="112">
        <v>17.78</v>
      </c>
      <c r="H13" s="112">
        <v>2.33</v>
      </c>
      <c r="I13" s="112">
        <v>3.09</v>
      </c>
      <c r="J13" s="112">
        <v>0.16</v>
      </c>
      <c r="K13" s="112">
        <v>77.37</v>
      </c>
      <c r="L13" s="112">
        <v>26.67</v>
      </c>
      <c r="M13" s="112">
        <v>88.26</v>
      </c>
      <c r="N13" s="112">
        <v>2.2000000000000002</v>
      </c>
      <c r="O13" s="112">
        <v>0</v>
      </c>
      <c r="P13" s="112">
        <v>0.32</v>
      </c>
      <c r="Q13" s="112">
        <v>5.03</v>
      </c>
    </row>
    <row r="14" spans="1:21" customFormat="1">
      <c r="A14" s="80">
        <v>45538.0625</v>
      </c>
      <c r="B14" s="112">
        <v>9.23</v>
      </c>
      <c r="C14" s="112">
        <v>4.12</v>
      </c>
      <c r="D14" s="112">
        <v>14</v>
      </c>
      <c r="E14" s="112">
        <v>8.9</v>
      </c>
      <c r="F14" s="112">
        <v>3.75</v>
      </c>
      <c r="G14" s="112">
        <v>17.78</v>
      </c>
      <c r="H14" s="112">
        <v>2.33</v>
      </c>
      <c r="I14" s="112">
        <v>3.05</v>
      </c>
      <c r="J14" s="112">
        <v>0.14000000000000001</v>
      </c>
      <c r="K14" s="112">
        <v>124.29</v>
      </c>
      <c r="L14" s="112">
        <v>26.67</v>
      </c>
      <c r="M14" s="112">
        <v>88.24</v>
      </c>
      <c r="N14" s="112">
        <v>2.1</v>
      </c>
      <c r="O14" s="112">
        <v>0</v>
      </c>
      <c r="P14" s="112">
        <v>0.32</v>
      </c>
      <c r="Q14" s="112">
        <v>5.03</v>
      </c>
    </row>
    <row r="15" spans="1:21" customFormat="1">
      <c r="A15" s="80">
        <v>45538.072916666664</v>
      </c>
      <c r="B15" s="112">
        <v>9.2200000000000006</v>
      </c>
      <c r="C15" s="112">
        <v>4.12</v>
      </c>
      <c r="D15" s="112">
        <v>14</v>
      </c>
      <c r="E15" s="112">
        <v>8.8000000000000007</v>
      </c>
      <c r="F15" s="112">
        <v>4.88</v>
      </c>
      <c r="G15" s="112">
        <v>18.09</v>
      </c>
      <c r="H15" s="112">
        <v>2.3199999999999998</v>
      </c>
      <c r="I15" s="112">
        <v>3.05</v>
      </c>
      <c r="J15" s="112">
        <v>0.17</v>
      </c>
      <c r="K15" s="112">
        <v>127.81</v>
      </c>
      <c r="L15" s="112">
        <v>26.62</v>
      </c>
      <c r="M15" s="112">
        <v>88.9</v>
      </c>
      <c r="N15" s="112">
        <v>2</v>
      </c>
      <c r="O15" s="112">
        <v>0</v>
      </c>
      <c r="P15" s="112">
        <v>0.32</v>
      </c>
      <c r="Q15" s="112">
        <v>5.04</v>
      </c>
    </row>
    <row r="16" spans="1:21" customFormat="1">
      <c r="A16" s="80">
        <v>45538.083333333336</v>
      </c>
      <c r="B16" s="112">
        <v>9.2100000000000009</v>
      </c>
      <c r="C16" s="112">
        <v>4.1399999999999997</v>
      </c>
      <c r="D16" s="112">
        <v>14</v>
      </c>
      <c r="E16" s="112">
        <v>9.1300000000000008</v>
      </c>
      <c r="F16" s="112">
        <v>4.71</v>
      </c>
      <c r="G16" s="112">
        <v>19.18</v>
      </c>
      <c r="H16" s="112">
        <v>2.29</v>
      </c>
      <c r="I16" s="112">
        <v>3.03</v>
      </c>
      <c r="J16" s="112">
        <v>0.31</v>
      </c>
      <c r="K16" s="112">
        <v>101.05</v>
      </c>
      <c r="L16" s="112">
        <v>26.41</v>
      </c>
      <c r="M16" s="112">
        <v>90.4</v>
      </c>
      <c r="N16" s="112">
        <v>2.2000000000000002</v>
      </c>
      <c r="O16" s="112">
        <v>0</v>
      </c>
      <c r="P16" s="112">
        <v>0.31</v>
      </c>
      <c r="Q16" s="112">
        <v>5.04</v>
      </c>
    </row>
    <row r="17" spans="1:17" customFormat="1">
      <c r="A17" s="80">
        <v>45538.09375</v>
      </c>
      <c r="B17" s="112">
        <v>9.2100000000000009</v>
      </c>
      <c r="C17" s="112">
        <v>4.1399999999999997</v>
      </c>
      <c r="D17" s="112">
        <v>14</v>
      </c>
      <c r="E17" s="112">
        <v>7.54</v>
      </c>
      <c r="F17" s="112">
        <v>3.44</v>
      </c>
      <c r="G17" s="112">
        <v>19.18</v>
      </c>
      <c r="H17" s="112">
        <v>2.29</v>
      </c>
      <c r="I17" s="112">
        <v>2.99</v>
      </c>
      <c r="J17" s="112">
        <v>0.28000000000000003</v>
      </c>
      <c r="K17" s="112">
        <v>93.96</v>
      </c>
      <c r="L17" s="112">
        <v>26.27</v>
      </c>
      <c r="M17" s="112">
        <v>91.61</v>
      </c>
      <c r="N17" s="112">
        <v>2.1</v>
      </c>
      <c r="O17" s="112">
        <v>0</v>
      </c>
      <c r="P17" s="112">
        <v>0.31</v>
      </c>
      <c r="Q17" s="112">
        <v>5.03</v>
      </c>
    </row>
    <row r="18" spans="1:17" customFormat="1">
      <c r="A18" s="80">
        <v>45538.104166666664</v>
      </c>
      <c r="B18" s="112">
        <v>9.2200000000000006</v>
      </c>
      <c r="C18" s="112">
        <v>4.1399999999999997</v>
      </c>
      <c r="D18" s="112">
        <v>14</v>
      </c>
      <c r="E18" s="112">
        <v>9.06</v>
      </c>
      <c r="F18" s="112">
        <v>3.99</v>
      </c>
      <c r="G18" s="112">
        <v>19.18</v>
      </c>
      <c r="H18" s="112">
        <v>2.29</v>
      </c>
      <c r="I18" s="112">
        <v>2.94</v>
      </c>
      <c r="J18" s="112">
        <v>0.27</v>
      </c>
      <c r="K18" s="112">
        <v>91.12</v>
      </c>
      <c r="L18" s="112">
        <v>26.25</v>
      </c>
      <c r="M18" s="112">
        <v>91.94</v>
      </c>
      <c r="N18" s="112">
        <v>2.1</v>
      </c>
      <c r="O18" s="112">
        <v>0</v>
      </c>
      <c r="P18" s="112">
        <v>0.31</v>
      </c>
      <c r="Q18" s="112">
        <v>5.05</v>
      </c>
    </row>
    <row r="19" spans="1:17" customFormat="1">
      <c r="A19" s="80">
        <v>45538.114583333336</v>
      </c>
      <c r="B19" s="112">
        <v>9.23</v>
      </c>
      <c r="C19" s="112">
        <v>4.1100000000000003</v>
      </c>
      <c r="D19" s="112">
        <v>14</v>
      </c>
      <c r="E19" s="112">
        <v>9.5500000000000007</v>
      </c>
      <c r="F19" s="112">
        <v>4.75</v>
      </c>
      <c r="G19" s="112">
        <v>19.38</v>
      </c>
      <c r="H19" s="112">
        <v>2.66</v>
      </c>
      <c r="I19" s="112">
        <v>2.89</v>
      </c>
      <c r="J19" s="112">
        <v>0.2</v>
      </c>
      <c r="K19" s="112">
        <v>108.58</v>
      </c>
      <c r="L19" s="112">
        <v>26.32</v>
      </c>
      <c r="M19" s="112">
        <v>91.75</v>
      </c>
      <c r="N19" s="112">
        <v>2.1</v>
      </c>
      <c r="O19" s="112">
        <v>0</v>
      </c>
      <c r="P19" s="112">
        <v>0.31</v>
      </c>
      <c r="Q19" s="112">
        <v>5.04</v>
      </c>
    </row>
    <row r="20" spans="1:17" customFormat="1">
      <c r="A20" s="80">
        <v>45538.125</v>
      </c>
      <c r="B20" s="112">
        <v>9.23</v>
      </c>
      <c r="C20" s="112">
        <v>4.12</v>
      </c>
      <c r="D20" s="112">
        <v>14</v>
      </c>
      <c r="E20" s="112">
        <v>9.59</v>
      </c>
      <c r="F20" s="112">
        <v>3.5</v>
      </c>
      <c r="G20" s="112">
        <v>20.09</v>
      </c>
      <c r="H20" s="112">
        <v>4.45</v>
      </c>
      <c r="I20" s="112">
        <v>2.87</v>
      </c>
      <c r="J20" s="112">
        <v>0.18</v>
      </c>
      <c r="K20" s="112">
        <v>128.22999999999999</v>
      </c>
      <c r="L20" s="112">
        <v>26.3</v>
      </c>
      <c r="M20" s="112">
        <v>91.8</v>
      </c>
      <c r="N20" s="112">
        <v>2.1</v>
      </c>
      <c r="O20" s="112">
        <v>0</v>
      </c>
      <c r="P20" s="112">
        <v>0.31</v>
      </c>
      <c r="Q20" s="112">
        <v>5.04</v>
      </c>
    </row>
    <row r="21" spans="1:17" customFormat="1">
      <c r="A21" s="80">
        <v>45538.135416666664</v>
      </c>
      <c r="B21" s="112">
        <v>9.2200000000000006</v>
      </c>
      <c r="C21" s="112">
        <v>4.12</v>
      </c>
      <c r="D21" s="112">
        <v>14</v>
      </c>
      <c r="E21" s="112">
        <v>9.82</v>
      </c>
      <c r="F21" s="112">
        <v>3.37</v>
      </c>
      <c r="G21" s="112">
        <v>20.09</v>
      </c>
      <c r="H21" s="112">
        <v>4.45</v>
      </c>
      <c r="I21" s="112">
        <v>2.88</v>
      </c>
      <c r="J21" s="112">
        <v>0.2</v>
      </c>
      <c r="K21" s="112">
        <v>146.94</v>
      </c>
      <c r="L21" s="112">
        <v>26.22</v>
      </c>
      <c r="M21" s="112">
        <v>92</v>
      </c>
      <c r="N21" s="112">
        <v>2</v>
      </c>
      <c r="O21" s="112">
        <v>0</v>
      </c>
      <c r="P21" s="112">
        <v>0.31</v>
      </c>
      <c r="Q21" s="112">
        <v>5.05</v>
      </c>
    </row>
    <row r="22" spans="1:17" customFormat="1">
      <c r="A22" s="80">
        <v>45538.145833333336</v>
      </c>
      <c r="B22" s="112">
        <v>9.24</v>
      </c>
      <c r="C22" s="112">
        <v>4.09</v>
      </c>
      <c r="D22" s="112">
        <v>14</v>
      </c>
      <c r="E22" s="112">
        <v>9.76</v>
      </c>
      <c r="F22" s="112">
        <v>3.24</v>
      </c>
      <c r="G22" s="112">
        <v>20.09</v>
      </c>
      <c r="H22" s="112">
        <v>4.45</v>
      </c>
      <c r="I22" s="112">
        <v>2.86</v>
      </c>
      <c r="J22" s="112">
        <v>0.11</v>
      </c>
      <c r="K22" s="112">
        <v>151.47999999999999</v>
      </c>
      <c r="L22" s="112">
        <v>26.07</v>
      </c>
      <c r="M22" s="112">
        <v>92.51</v>
      </c>
      <c r="N22" s="112">
        <v>2.1</v>
      </c>
      <c r="O22" s="112">
        <v>0</v>
      </c>
      <c r="P22" s="112">
        <v>0.31</v>
      </c>
      <c r="Q22" s="112">
        <v>5.03</v>
      </c>
    </row>
    <row r="23" spans="1:17" customFormat="1">
      <c r="A23" s="80">
        <v>45538.15625</v>
      </c>
      <c r="B23" s="112">
        <v>9.23</v>
      </c>
      <c r="C23" s="112">
        <v>4.0999999999999996</v>
      </c>
      <c r="D23" s="112">
        <v>14</v>
      </c>
      <c r="E23" s="112">
        <v>9.68</v>
      </c>
      <c r="F23" s="112">
        <v>2.97</v>
      </c>
      <c r="G23" s="112">
        <v>18.87</v>
      </c>
      <c r="H23" s="112">
        <v>4.74</v>
      </c>
      <c r="I23" s="112">
        <v>2.86</v>
      </c>
      <c r="J23" s="112">
        <v>0.11</v>
      </c>
      <c r="K23" s="112">
        <v>144.69</v>
      </c>
      <c r="L23" s="112">
        <v>25.94</v>
      </c>
      <c r="M23" s="112">
        <v>93.89</v>
      </c>
      <c r="N23" s="112">
        <v>2.1</v>
      </c>
      <c r="O23" s="112">
        <v>0</v>
      </c>
      <c r="P23" s="112">
        <v>0.31</v>
      </c>
      <c r="Q23" s="112">
        <v>5.03</v>
      </c>
    </row>
    <row r="24" spans="1:17" customFormat="1">
      <c r="A24" s="80">
        <v>45538.166666666664</v>
      </c>
      <c r="B24" s="112">
        <v>9.2200000000000006</v>
      </c>
      <c r="C24" s="112">
        <v>4.13</v>
      </c>
      <c r="D24" s="112">
        <v>14</v>
      </c>
      <c r="E24" s="112">
        <v>9.6199999999999992</v>
      </c>
      <c r="F24" s="112">
        <v>2.38</v>
      </c>
      <c r="G24" s="112">
        <v>14.59</v>
      </c>
      <c r="H24" s="112">
        <v>5.45</v>
      </c>
      <c r="I24" s="112">
        <v>2.85</v>
      </c>
      <c r="J24" s="112">
        <v>7.0000000000000007E-2</v>
      </c>
      <c r="K24" s="112">
        <v>183.51</v>
      </c>
      <c r="L24" s="112">
        <v>25.82</v>
      </c>
      <c r="M24" s="112">
        <v>95.11</v>
      </c>
      <c r="N24" s="112">
        <v>2.1</v>
      </c>
      <c r="O24" s="112">
        <v>0</v>
      </c>
      <c r="P24" s="112">
        <v>0.31</v>
      </c>
      <c r="Q24" s="112">
        <v>5.04</v>
      </c>
    </row>
    <row r="25" spans="1:17" customFormat="1">
      <c r="A25" s="80">
        <v>45538.177083333336</v>
      </c>
      <c r="B25" s="112">
        <v>9.23</v>
      </c>
      <c r="C25" s="112">
        <v>4.1100000000000003</v>
      </c>
      <c r="D25" s="112">
        <v>14</v>
      </c>
      <c r="E25" s="112">
        <v>10.210000000000001</v>
      </c>
      <c r="F25" s="112">
        <v>2.4900000000000002</v>
      </c>
      <c r="G25" s="112">
        <v>14.59</v>
      </c>
      <c r="H25" s="112">
        <v>5.45</v>
      </c>
      <c r="I25" s="112">
        <v>2.84</v>
      </c>
      <c r="J25" s="112">
        <v>0.1</v>
      </c>
      <c r="K25" s="112">
        <v>114.52</v>
      </c>
      <c r="L25" s="112">
        <v>25.84</v>
      </c>
      <c r="M25" s="112">
        <v>95.51</v>
      </c>
      <c r="N25" s="112">
        <v>2.1</v>
      </c>
      <c r="O25" s="112">
        <v>0</v>
      </c>
      <c r="P25" s="112">
        <v>0.31</v>
      </c>
      <c r="Q25" s="112">
        <v>5.04</v>
      </c>
    </row>
    <row r="26" spans="1:17" customFormat="1">
      <c r="A26" s="80">
        <v>45538.1875</v>
      </c>
      <c r="B26" s="112">
        <v>9.23</v>
      </c>
      <c r="C26" s="112">
        <v>4.1100000000000003</v>
      </c>
      <c r="D26" s="112">
        <v>14</v>
      </c>
      <c r="E26" s="112">
        <v>10.25</v>
      </c>
      <c r="F26" s="112">
        <v>2.3199999999999998</v>
      </c>
      <c r="G26" s="112">
        <v>14.59</v>
      </c>
      <c r="H26" s="112">
        <v>5.45</v>
      </c>
      <c r="I26" s="112">
        <v>2.83</v>
      </c>
      <c r="J26" s="112">
        <v>0.11</v>
      </c>
      <c r="K26" s="112">
        <v>174.05</v>
      </c>
      <c r="L26" s="112">
        <v>26.06</v>
      </c>
      <c r="M26" s="112">
        <v>93.84</v>
      </c>
      <c r="N26" s="112">
        <v>2</v>
      </c>
      <c r="O26" s="112">
        <v>0</v>
      </c>
      <c r="P26" s="112">
        <v>0.31</v>
      </c>
      <c r="Q26" s="112">
        <v>5.03</v>
      </c>
    </row>
    <row r="27" spans="1:17" customFormat="1">
      <c r="A27" s="80">
        <v>45538.197916666664</v>
      </c>
      <c r="B27" s="112">
        <v>9.2200000000000006</v>
      </c>
      <c r="C27" s="112">
        <v>4.12</v>
      </c>
      <c r="D27" s="112">
        <v>14</v>
      </c>
      <c r="E27" s="112">
        <v>10.15</v>
      </c>
      <c r="F27" s="112">
        <v>2.76</v>
      </c>
      <c r="G27" s="112">
        <v>13.65</v>
      </c>
      <c r="H27" s="112">
        <v>5.09</v>
      </c>
      <c r="I27" s="112">
        <v>2.84</v>
      </c>
      <c r="J27" s="112">
        <v>0.11</v>
      </c>
      <c r="K27" s="112">
        <v>111.39</v>
      </c>
      <c r="L27" s="112">
        <v>26.19</v>
      </c>
      <c r="M27" s="112">
        <v>93.14</v>
      </c>
      <c r="N27" s="112">
        <v>2</v>
      </c>
      <c r="O27" s="112">
        <v>0</v>
      </c>
      <c r="P27" s="112">
        <v>0.31</v>
      </c>
      <c r="Q27" s="112">
        <v>5.03</v>
      </c>
    </row>
    <row r="28" spans="1:17" customFormat="1">
      <c r="A28" s="80">
        <v>45538.208333333336</v>
      </c>
      <c r="B28" s="112">
        <v>9.23</v>
      </c>
      <c r="C28" s="112">
        <v>4.12</v>
      </c>
      <c r="D28" s="112">
        <v>14</v>
      </c>
      <c r="E28" s="112">
        <v>10.61</v>
      </c>
      <c r="F28" s="112">
        <v>2.57</v>
      </c>
      <c r="G28" s="112">
        <v>10.36</v>
      </c>
      <c r="H28" s="112">
        <v>4.1900000000000004</v>
      </c>
      <c r="I28" s="112">
        <v>2.83</v>
      </c>
      <c r="J28" s="112">
        <v>0.1</v>
      </c>
      <c r="K28" s="112">
        <v>134.91</v>
      </c>
      <c r="L28" s="112">
        <v>26.12</v>
      </c>
      <c r="M28" s="112">
        <v>93.11</v>
      </c>
      <c r="N28" s="112">
        <v>2.1</v>
      </c>
      <c r="O28" s="112">
        <v>0</v>
      </c>
      <c r="P28" s="112">
        <v>0.31</v>
      </c>
      <c r="Q28" s="112">
        <v>5.03</v>
      </c>
    </row>
    <row r="29" spans="1:17" customFormat="1">
      <c r="A29" s="80">
        <v>45538.21875</v>
      </c>
      <c r="B29" s="112">
        <v>9.2200000000000006</v>
      </c>
      <c r="C29" s="112">
        <v>4.13</v>
      </c>
      <c r="D29" s="112">
        <v>14</v>
      </c>
      <c r="E29" s="112">
        <v>10.89</v>
      </c>
      <c r="F29" s="112">
        <v>2.39</v>
      </c>
      <c r="G29" s="112">
        <v>10.36</v>
      </c>
      <c r="H29" s="112">
        <v>4.1900000000000004</v>
      </c>
      <c r="I29" s="112">
        <v>2.8</v>
      </c>
      <c r="J29" s="112">
        <v>0.1</v>
      </c>
      <c r="K29" s="112">
        <v>135.25</v>
      </c>
      <c r="L29" s="112">
        <v>26.06</v>
      </c>
      <c r="M29" s="112">
        <v>93.17</v>
      </c>
      <c r="N29" s="112">
        <v>2.1</v>
      </c>
      <c r="O29" s="112">
        <v>0</v>
      </c>
      <c r="P29" s="112">
        <v>0.31</v>
      </c>
      <c r="Q29" s="112">
        <v>5.04</v>
      </c>
    </row>
    <row r="30" spans="1:17" customFormat="1">
      <c r="A30" s="80">
        <v>45538.229166666664</v>
      </c>
      <c r="B30" s="112">
        <v>9.24</v>
      </c>
      <c r="C30" s="112">
        <v>4.0999999999999996</v>
      </c>
      <c r="D30" s="112">
        <v>14</v>
      </c>
      <c r="E30" s="112">
        <v>10.44</v>
      </c>
      <c r="F30" s="112">
        <v>2.96</v>
      </c>
      <c r="G30" s="112">
        <v>10.36</v>
      </c>
      <c r="H30" s="112">
        <v>4.1900000000000004</v>
      </c>
      <c r="I30" s="112">
        <v>2.84</v>
      </c>
      <c r="J30" s="112">
        <v>0.13</v>
      </c>
      <c r="K30" s="112">
        <v>108.29</v>
      </c>
      <c r="L30" s="112">
        <v>26.07</v>
      </c>
      <c r="M30" s="112">
        <v>93.25</v>
      </c>
      <c r="N30" s="112">
        <v>2.6</v>
      </c>
      <c r="O30" s="112">
        <v>0</v>
      </c>
      <c r="P30" s="112">
        <v>0.28999999999999998</v>
      </c>
      <c r="Q30" s="112">
        <v>5.03</v>
      </c>
    </row>
    <row r="31" spans="1:17" customFormat="1">
      <c r="A31" s="80">
        <v>45538.239583333336</v>
      </c>
      <c r="B31" s="112">
        <v>9.25</v>
      </c>
      <c r="C31" s="112">
        <v>4.09</v>
      </c>
      <c r="D31" s="112">
        <v>14</v>
      </c>
      <c r="E31" s="112">
        <v>10.119999999999999</v>
      </c>
      <c r="F31" s="112">
        <v>2.65</v>
      </c>
      <c r="G31" s="112">
        <v>9.69</v>
      </c>
      <c r="H31" s="112">
        <v>3.94</v>
      </c>
      <c r="I31" s="112">
        <v>2.9</v>
      </c>
      <c r="J31" s="112">
        <v>0.13</v>
      </c>
      <c r="K31" s="112">
        <v>144.27000000000001</v>
      </c>
      <c r="L31" s="112">
        <v>26</v>
      </c>
      <c r="M31" s="112">
        <v>93.26</v>
      </c>
      <c r="N31" s="112">
        <v>5.7</v>
      </c>
      <c r="O31" s="112">
        <v>0</v>
      </c>
      <c r="P31" s="112">
        <v>0.28999999999999998</v>
      </c>
      <c r="Q31" s="112">
        <v>5.03</v>
      </c>
    </row>
    <row r="32" spans="1:17" customFormat="1">
      <c r="A32" s="80">
        <v>45538.25</v>
      </c>
      <c r="B32" s="112">
        <v>9.23</v>
      </c>
      <c r="C32" s="112">
        <v>4.12</v>
      </c>
      <c r="D32" s="112">
        <v>14</v>
      </c>
      <c r="E32" s="112">
        <v>9.51</v>
      </c>
      <c r="F32" s="112">
        <v>2.61</v>
      </c>
      <c r="G32" s="112">
        <v>7.35</v>
      </c>
      <c r="H32" s="112">
        <v>3.31</v>
      </c>
      <c r="I32" s="112">
        <v>2.93</v>
      </c>
      <c r="J32" s="112">
        <v>0.08</v>
      </c>
      <c r="K32" s="112">
        <v>160.96</v>
      </c>
      <c r="L32" s="112">
        <v>25.97</v>
      </c>
      <c r="M32" s="112">
        <v>93.32</v>
      </c>
      <c r="N32" s="112">
        <v>15.1</v>
      </c>
      <c r="O32" s="112">
        <v>0</v>
      </c>
      <c r="P32" s="112">
        <v>0.27</v>
      </c>
      <c r="Q32" s="112">
        <v>5.0199999999999996</v>
      </c>
    </row>
    <row r="33" spans="1:17" customFormat="1">
      <c r="A33" s="80">
        <v>45538.260416666664</v>
      </c>
      <c r="B33" s="112">
        <v>9.24</v>
      </c>
      <c r="C33" s="112">
        <v>4.0999999999999996</v>
      </c>
      <c r="D33" s="112">
        <v>14</v>
      </c>
      <c r="E33" s="112">
        <v>9.42</v>
      </c>
      <c r="F33" s="112">
        <v>2.94</v>
      </c>
      <c r="G33" s="112">
        <v>7.35</v>
      </c>
      <c r="H33" s="112">
        <v>3.31</v>
      </c>
      <c r="I33" s="112">
        <v>3.02</v>
      </c>
      <c r="J33" s="112">
        <v>0.12</v>
      </c>
      <c r="K33" s="112">
        <v>134.07</v>
      </c>
      <c r="L33" s="112">
        <v>26.18</v>
      </c>
      <c r="M33" s="112">
        <v>92.38</v>
      </c>
      <c r="N33" s="112">
        <v>25.1</v>
      </c>
      <c r="O33" s="112">
        <v>0</v>
      </c>
      <c r="P33" s="112">
        <v>0.27</v>
      </c>
      <c r="Q33" s="112">
        <v>5.0199999999999996</v>
      </c>
    </row>
    <row r="34" spans="1:17" customFormat="1">
      <c r="A34" s="80">
        <v>45538.270833333336</v>
      </c>
      <c r="B34" s="112">
        <v>9.25</v>
      </c>
      <c r="C34" s="112">
        <v>4.08</v>
      </c>
      <c r="D34" s="112">
        <v>14</v>
      </c>
      <c r="E34" s="112">
        <v>9.14</v>
      </c>
      <c r="F34" s="112">
        <v>3.45</v>
      </c>
      <c r="G34" s="112">
        <v>7.35</v>
      </c>
      <c r="H34" s="112">
        <v>3.31</v>
      </c>
      <c r="I34" s="112">
        <v>3.16</v>
      </c>
      <c r="J34" s="112">
        <v>0.21</v>
      </c>
      <c r="K34" s="112">
        <v>154.57</v>
      </c>
      <c r="L34" s="112">
        <v>26.46</v>
      </c>
      <c r="M34" s="112">
        <v>90.8</v>
      </c>
      <c r="N34" s="112">
        <v>31.4</v>
      </c>
      <c r="O34" s="112">
        <v>0</v>
      </c>
      <c r="P34" s="112">
        <v>0.27</v>
      </c>
      <c r="Q34" s="112">
        <v>5.04</v>
      </c>
    </row>
    <row r="35" spans="1:17" customFormat="1">
      <c r="A35" s="80">
        <v>45538.28125</v>
      </c>
      <c r="B35" s="112">
        <v>9.24</v>
      </c>
      <c r="C35" s="112">
        <v>4.09</v>
      </c>
      <c r="D35" s="112">
        <v>14</v>
      </c>
      <c r="E35" s="112">
        <v>9.1999999999999993</v>
      </c>
      <c r="F35" s="112">
        <v>4.47</v>
      </c>
      <c r="G35" s="112">
        <v>9.2799999999999994</v>
      </c>
      <c r="H35" s="112">
        <v>3.38</v>
      </c>
      <c r="I35" s="112">
        <v>3.39</v>
      </c>
      <c r="J35" s="112">
        <v>0.21</v>
      </c>
      <c r="K35" s="112">
        <v>99.11</v>
      </c>
      <c r="L35" s="112">
        <v>26.66</v>
      </c>
      <c r="M35" s="112">
        <v>88.94</v>
      </c>
      <c r="N35" s="112">
        <v>30.6</v>
      </c>
      <c r="O35" s="112">
        <v>0</v>
      </c>
      <c r="P35" s="112">
        <v>0.27</v>
      </c>
      <c r="Q35" s="112">
        <v>5.04</v>
      </c>
    </row>
    <row r="36" spans="1:17" customFormat="1">
      <c r="A36" s="80">
        <v>45538.291666666664</v>
      </c>
      <c r="B36" s="112">
        <v>9.24</v>
      </c>
      <c r="C36" s="112">
        <v>4.09</v>
      </c>
      <c r="D36" s="112">
        <v>14</v>
      </c>
      <c r="E36" s="112">
        <v>8.99</v>
      </c>
      <c r="F36" s="112">
        <v>4.2699999999999996</v>
      </c>
      <c r="G36" s="112">
        <v>16.52</v>
      </c>
      <c r="H36" s="112">
        <v>3.55</v>
      </c>
      <c r="I36" s="112">
        <v>3.59</v>
      </c>
      <c r="J36" s="112">
        <v>0.27</v>
      </c>
      <c r="K36" s="112">
        <v>150.22</v>
      </c>
      <c r="L36" s="112">
        <v>26.88</v>
      </c>
      <c r="M36" s="112">
        <v>85.98</v>
      </c>
      <c r="N36" s="112">
        <v>36.9</v>
      </c>
      <c r="O36" s="112">
        <v>0</v>
      </c>
      <c r="P36" s="112">
        <v>0.26</v>
      </c>
      <c r="Q36" s="112">
        <v>5.04</v>
      </c>
    </row>
    <row r="37" spans="1:17" customFormat="1">
      <c r="A37" s="80">
        <v>45538.302083333336</v>
      </c>
      <c r="B37" s="112">
        <v>9.25</v>
      </c>
      <c r="C37" s="112">
        <v>4.08</v>
      </c>
      <c r="D37" s="112">
        <v>14</v>
      </c>
      <c r="E37" s="112">
        <v>9.07</v>
      </c>
      <c r="F37" s="112">
        <v>3.79</v>
      </c>
      <c r="G37" s="112">
        <v>16.52</v>
      </c>
      <c r="H37" s="112">
        <v>3.55</v>
      </c>
      <c r="I37" s="112">
        <v>3.43</v>
      </c>
      <c r="J37" s="112">
        <v>0.36</v>
      </c>
      <c r="K37" s="112">
        <v>97.11</v>
      </c>
      <c r="L37" s="112">
        <v>27.09</v>
      </c>
      <c r="M37" s="112">
        <v>84.9</v>
      </c>
      <c r="N37" s="112">
        <v>46.5</v>
      </c>
      <c r="O37" s="112">
        <v>0</v>
      </c>
      <c r="P37" s="112">
        <v>0.26</v>
      </c>
      <c r="Q37" s="112">
        <v>5.04</v>
      </c>
    </row>
    <row r="38" spans="1:17" customFormat="1">
      <c r="A38" s="80">
        <v>45538.3125</v>
      </c>
      <c r="B38" s="112">
        <v>9.26</v>
      </c>
      <c r="C38" s="112">
        <v>4.07</v>
      </c>
      <c r="D38" s="112">
        <v>14</v>
      </c>
      <c r="E38" s="112">
        <v>8.6300000000000008</v>
      </c>
      <c r="F38" s="112">
        <v>4.51</v>
      </c>
      <c r="G38" s="112">
        <v>16.52</v>
      </c>
      <c r="H38" s="112">
        <v>3.55</v>
      </c>
      <c r="I38" s="112">
        <v>3.24</v>
      </c>
      <c r="J38" s="112">
        <v>0.27</v>
      </c>
      <c r="K38" s="112">
        <v>123.77</v>
      </c>
      <c r="L38" s="112">
        <v>27.33</v>
      </c>
      <c r="M38" s="112">
        <v>83.49</v>
      </c>
      <c r="N38" s="112">
        <v>62.5</v>
      </c>
      <c r="O38" s="112">
        <v>0</v>
      </c>
      <c r="P38" s="112">
        <v>0.25</v>
      </c>
      <c r="Q38" s="112">
        <v>5.03</v>
      </c>
    </row>
    <row r="39" spans="1:17" customFormat="1">
      <c r="A39" s="80">
        <v>45538.322916666664</v>
      </c>
      <c r="B39" s="112">
        <v>9.25</v>
      </c>
      <c r="C39" s="112">
        <v>4.08</v>
      </c>
      <c r="D39" s="112">
        <v>14</v>
      </c>
      <c r="E39" s="112">
        <v>8.1</v>
      </c>
      <c r="F39" s="112">
        <v>4.8</v>
      </c>
      <c r="G39" s="112">
        <v>15.94</v>
      </c>
      <c r="H39" s="112">
        <v>3.47</v>
      </c>
      <c r="I39" s="112">
        <v>3.21</v>
      </c>
      <c r="J39" s="112">
        <v>0.36</v>
      </c>
      <c r="K39" s="112">
        <v>113.58</v>
      </c>
      <c r="L39" s="112">
        <v>27.55</v>
      </c>
      <c r="M39" s="112">
        <v>83.21</v>
      </c>
      <c r="N39" s="112">
        <v>94.9</v>
      </c>
      <c r="O39" s="112">
        <v>0</v>
      </c>
      <c r="P39" s="112">
        <v>0.27</v>
      </c>
      <c r="Q39" s="112">
        <v>5.05</v>
      </c>
    </row>
    <row r="40" spans="1:17" customFormat="1">
      <c r="A40" s="80">
        <v>45538.333333333336</v>
      </c>
      <c r="B40" s="112">
        <v>9.25</v>
      </c>
      <c r="C40" s="112">
        <v>4.09</v>
      </c>
      <c r="D40" s="112">
        <v>14</v>
      </c>
      <c r="E40" s="112">
        <v>8.3699999999999992</v>
      </c>
      <c r="F40" s="112">
        <v>5.1100000000000003</v>
      </c>
      <c r="G40" s="112">
        <v>13.89</v>
      </c>
      <c r="H40" s="112">
        <v>3.27</v>
      </c>
      <c r="I40" s="112">
        <v>3.19</v>
      </c>
      <c r="J40" s="112">
        <v>0.19</v>
      </c>
      <c r="K40" s="112">
        <v>179.29</v>
      </c>
      <c r="L40" s="112">
        <v>27.9</v>
      </c>
      <c r="M40" s="112">
        <v>81.87</v>
      </c>
      <c r="N40" s="112">
        <v>130.19999999999999</v>
      </c>
      <c r="O40" s="112">
        <v>0</v>
      </c>
      <c r="P40" s="112">
        <v>0.25</v>
      </c>
      <c r="Q40" s="112">
        <v>5.03</v>
      </c>
    </row>
    <row r="41" spans="1:17" customFormat="1">
      <c r="A41" s="80">
        <v>45538.34375</v>
      </c>
      <c r="B41" s="112">
        <v>9.23</v>
      </c>
      <c r="C41" s="112">
        <v>4.1100000000000003</v>
      </c>
      <c r="D41" s="112">
        <v>14</v>
      </c>
      <c r="E41" s="112">
        <v>9.08</v>
      </c>
      <c r="F41" s="112">
        <v>5.79</v>
      </c>
      <c r="G41" s="112">
        <v>13.89</v>
      </c>
      <c r="H41" s="112">
        <v>3.27</v>
      </c>
      <c r="I41" s="112">
        <v>3.17</v>
      </c>
      <c r="J41" s="112">
        <v>0.22</v>
      </c>
      <c r="K41" s="112">
        <v>98.66</v>
      </c>
      <c r="L41" s="112">
        <v>28.35</v>
      </c>
      <c r="M41" s="112">
        <v>79.64</v>
      </c>
      <c r="N41" s="112">
        <v>119.5</v>
      </c>
      <c r="O41" s="112">
        <v>0</v>
      </c>
      <c r="P41" s="112">
        <v>0.25</v>
      </c>
      <c r="Q41" s="112">
        <v>5.03</v>
      </c>
    </row>
    <row r="42" spans="1:17" customFormat="1">
      <c r="A42" s="80">
        <v>45538.354166666664</v>
      </c>
      <c r="B42" s="112">
        <v>9.25</v>
      </c>
      <c r="C42" s="112">
        <v>4.0999999999999996</v>
      </c>
      <c r="D42" s="112">
        <v>14.01</v>
      </c>
      <c r="E42" s="112">
        <v>8.6</v>
      </c>
      <c r="F42" s="112">
        <v>5.64</v>
      </c>
      <c r="G42" s="112">
        <v>13.89</v>
      </c>
      <c r="H42" s="112">
        <v>3.27</v>
      </c>
      <c r="I42" s="112">
        <v>3.1</v>
      </c>
      <c r="J42" s="112">
        <v>0.2</v>
      </c>
      <c r="K42" s="112">
        <v>147.78</v>
      </c>
      <c r="L42" s="112">
        <v>28.29</v>
      </c>
      <c r="M42" s="112">
        <v>80.22</v>
      </c>
      <c r="N42" s="112">
        <v>104.2</v>
      </c>
      <c r="O42" s="112">
        <v>0</v>
      </c>
      <c r="P42" s="112">
        <v>0.27</v>
      </c>
      <c r="Q42" s="112">
        <v>5.03</v>
      </c>
    </row>
    <row r="43" spans="1:17" customFormat="1">
      <c r="A43" s="80">
        <v>45538.364583333336</v>
      </c>
      <c r="B43" s="112">
        <v>9.25</v>
      </c>
      <c r="C43" s="112">
        <v>4.09</v>
      </c>
      <c r="D43" s="112">
        <v>14</v>
      </c>
      <c r="E43" s="112">
        <v>8.08</v>
      </c>
      <c r="F43" s="112">
        <v>8.1</v>
      </c>
      <c r="G43" s="112">
        <v>13.65</v>
      </c>
      <c r="H43" s="112">
        <v>3.17</v>
      </c>
      <c r="I43" s="112">
        <v>3.11</v>
      </c>
      <c r="J43" s="112">
        <v>0.21</v>
      </c>
      <c r="K43" s="112">
        <v>140.83000000000001</v>
      </c>
      <c r="L43" s="112">
        <v>28.12</v>
      </c>
      <c r="M43" s="112">
        <v>81.010000000000005</v>
      </c>
      <c r="N43" s="112">
        <v>72</v>
      </c>
      <c r="O43" s="112">
        <v>0</v>
      </c>
      <c r="P43" s="112">
        <v>0.26</v>
      </c>
      <c r="Q43" s="112">
        <v>5.03</v>
      </c>
    </row>
    <row r="44" spans="1:17" customFormat="1">
      <c r="A44" s="80">
        <v>45538.375</v>
      </c>
      <c r="B44" s="112">
        <v>9.23</v>
      </c>
      <c r="C44" s="112">
        <v>4.1100000000000003</v>
      </c>
      <c r="D44" s="112">
        <v>14</v>
      </c>
      <c r="E44" s="112">
        <v>8.27</v>
      </c>
      <c r="F44" s="112">
        <v>6.72</v>
      </c>
      <c r="G44" s="112">
        <v>12.81</v>
      </c>
      <c r="H44" s="112">
        <v>2.7</v>
      </c>
      <c r="I44" s="112">
        <v>3.05</v>
      </c>
      <c r="J44" s="112">
        <v>0.4</v>
      </c>
      <c r="K44" s="112">
        <v>76.400000000000006</v>
      </c>
      <c r="L44" s="112">
        <v>28.32</v>
      </c>
      <c r="M44" s="112">
        <v>81.83</v>
      </c>
      <c r="N44" s="112">
        <v>186</v>
      </c>
      <c r="O44" s="112">
        <v>0</v>
      </c>
      <c r="P44" s="112">
        <v>0.26</v>
      </c>
      <c r="Q44" s="112">
        <v>5.03</v>
      </c>
    </row>
    <row r="45" spans="1:17" customFormat="1">
      <c r="A45" s="80">
        <v>45538.385416666664</v>
      </c>
      <c r="B45" s="112">
        <v>9.2200000000000006</v>
      </c>
      <c r="C45" s="112">
        <v>4.13</v>
      </c>
      <c r="D45" s="112">
        <v>14</v>
      </c>
      <c r="E45" s="112">
        <v>8.83</v>
      </c>
      <c r="F45" s="112">
        <v>4.7300000000000004</v>
      </c>
      <c r="G45" s="112">
        <v>12.81</v>
      </c>
      <c r="H45" s="112">
        <v>2.7</v>
      </c>
      <c r="I45" s="112">
        <v>2.99</v>
      </c>
      <c r="J45" s="112">
        <v>0.28000000000000003</v>
      </c>
      <c r="K45" s="112">
        <v>86.77</v>
      </c>
      <c r="L45" s="112">
        <v>29.09</v>
      </c>
      <c r="M45" s="112">
        <v>78.739999999999995</v>
      </c>
      <c r="N45" s="112">
        <v>229</v>
      </c>
      <c r="O45" s="112">
        <v>0</v>
      </c>
      <c r="P45" s="112">
        <v>0.26</v>
      </c>
      <c r="Q45" s="112">
        <v>5.05</v>
      </c>
    </row>
    <row r="46" spans="1:17" customFormat="1">
      <c r="A46" s="80">
        <v>45538.395833333336</v>
      </c>
      <c r="B46" s="112">
        <v>9.23</v>
      </c>
      <c r="C46" s="112">
        <v>4.1100000000000003</v>
      </c>
      <c r="D46" s="112">
        <v>14</v>
      </c>
      <c r="E46" s="112">
        <v>8.61</v>
      </c>
      <c r="F46" s="112">
        <v>6.07</v>
      </c>
      <c r="G46" s="112">
        <v>12.81</v>
      </c>
      <c r="H46" s="112">
        <v>2.7</v>
      </c>
      <c r="I46" s="112">
        <v>3.12</v>
      </c>
      <c r="J46" s="112">
        <v>0.19</v>
      </c>
      <c r="K46" s="112">
        <v>165.94</v>
      </c>
      <c r="L46" s="112">
        <v>29.31</v>
      </c>
      <c r="M46" s="112">
        <v>75.67</v>
      </c>
      <c r="N46" s="112">
        <v>334.3</v>
      </c>
      <c r="O46" s="112">
        <v>0</v>
      </c>
      <c r="P46" s="112">
        <v>0.26</v>
      </c>
      <c r="Q46" s="112">
        <v>5.05</v>
      </c>
    </row>
    <row r="47" spans="1:17" customFormat="1">
      <c r="A47" s="80">
        <v>45538.40625</v>
      </c>
      <c r="B47" s="112">
        <v>9.2100000000000009</v>
      </c>
      <c r="C47" s="112">
        <v>4.1399999999999997</v>
      </c>
      <c r="D47" s="112">
        <v>14</v>
      </c>
      <c r="E47" s="112">
        <v>8.6</v>
      </c>
      <c r="F47" s="112">
        <v>6.68</v>
      </c>
      <c r="G47" s="112">
        <v>12.02</v>
      </c>
      <c r="H47" s="112">
        <v>2.5499999999999998</v>
      </c>
      <c r="I47" s="112">
        <v>3.24</v>
      </c>
      <c r="J47" s="112">
        <v>0.19</v>
      </c>
      <c r="K47" s="112">
        <v>107.08</v>
      </c>
      <c r="L47" s="112">
        <v>29.96</v>
      </c>
      <c r="M47" s="112">
        <v>73.27</v>
      </c>
      <c r="N47" s="112">
        <v>192.2</v>
      </c>
      <c r="O47" s="112">
        <v>0</v>
      </c>
      <c r="P47" s="112">
        <v>0.27</v>
      </c>
      <c r="Q47" s="112">
        <v>5.04</v>
      </c>
    </row>
    <row r="48" spans="1:17" customFormat="1">
      <c r="A48" s="80">
        <v>45538.416666666664</v>
      </c>
      <c r="B48" s="112">
        <v>9.2100000000000009</v>
      </c>
      <c r="C48" s="112">
        <v>4.1399999999999997</v>
      </c>
      <c r="D48" s="112">
        <v>14</v>
      </c>
      <c r="E48" s="112">
        <v>8.4</v>
      </c>
      <c r="F48" s="112">
        <v>5.59</v>
      </c>
      <c r="G48" s="112">
        <v>9.27</v>
      </c>
      <c r="H48" s="112">
        <v>2.19</v>
      </c>
      <c r="I48" s="112">
        <v>3.2</v>
      </c>
      <c r="J48" s="112">
        <v>7.0000000000000007E-2</v>
      </c>
      <c r="K48" s="112">
        <v>181.48</v>
      </c>
      <c r="L48" s="112">
        <v>29.39</v>
      </c>
      <c r="M48" s="112">
        <v>75.81</v>
      </c>
      <c r="N48" s="112">
        <v>107.8</v>
      </c>
      <c r="O48" s="112">
        <v>0</v>
      </c>
      <c r="P48" s="112">
        <v>0.3</v>
      </c>
      <c r="Q48" s="112">
        <v>5.03</v>
      </c>
    </row>
    <row r="49" spans="1:17" customFormat="1">
      <c r="A49" s="80">
        <v>45538.427083333336</v>
      </c>
      <c r="B49" s="112">
        <v>9.2100000000000009</v>
      </c>
      <c r="C49" s="112">
        <v>4.1399999999999997</v>
      </c>
      <c r="D49" s="112">
        <v>14</v>
      </c>
      <c r="E49" s="112">
        <v>8.0299999999999994</v>
      </c>
      <c r="F49" s="112">
        <v>7.01</v>
      </c>
      <c r="G49" s="112">
        <v>9.27</v>
      </c>
      <c r="H49" s="112">
        <v>2.19</v>
      </c>
      <c r="I49" s="112">
        <v>3.31</v>
      </c>
      <c r="J49" s="112">
        <v>0.2</v>
      </c>
      <c r="K49" s="112">
        <v>245.32</v>
      </c>
      <c r="L49" s="112">
        <v>28.9</v>
      </c>
      <c r="M49" s="112">
        <v>77.510000000000005</v>
      </c>
      <c r="N49" s="112">
        <v>81.900000000000006</v>
      </c>
      <c r="O49" s="112">
        <v>0</v>
      </c>
      <c r="P49" s="112">
        <v>0.3</v>
      </c>
      <c r="Q49" s="112">
        <v>5.04</v>
      </c>
    </row>
    <row r="50" spans="1:17" customFormat="1">
      <c r="A50" s="80">
        <v>45538.4375</v>
      </c>
      <c r="B50" s="112">
        <v>9.2200000000000006</v>
      </c>
      <c r="C50" s="112">
        <v>4.13</v>
      </c>
      <c r="D50" s="112">
        <v>14</v>
      </c>
      <c r="E50" s="112">
        <v>9.3699999999999992</v>
      </c>
      <c r="F50" s="112">
        <v>5.8</v>
      </c>
      <c r="G50" s="112">
        <v>9.27</v>
      </c>
      <c r="H50" s="112">
        <v>2.19</v>
      </c>
      <c r="I50" s="112">
        <v>3.36</v>
      </c>
      <c r="J50" s="112">
        <v>0.19</v>
      </c>
      <c r="K50" s="112">
        <v>252.79</v>
      </c>
      <c r="L50" s="112">
        <v>29.21</v>
      </c>
      <c r="M50" s="112">
        <v>76.05</v>
      </c>
      <c r="N50" s="112">
        <v>404.8</v>
      </c>
      <c r="O50" s="112">
        <v>0</v>
      </c>
      <c r="P50" s="112">
        <v>0.32</v>
      </c>
      <c r="Q50" s="112">
        <v>5.05</v>
      </c>
    </row>
    <row r="51" spans="1:17" customFormat="1">
      <c r="A51" s="80">
        <v>45538.447916666664</v>
      </c>
      <c r="B51" s="112">
        <v>9.2200000000000006</v>
      </c>
      <c r="C51" s="112">
        <v>4.13</v>
      </c>
      <c r="D51" s="112">
        <v>14</v>
      </c>
      <c r="E51" s="112">
        <v>9.5</v>
      </c>
      <c r="F51" s="112">
        <v>5.29</v>
      </c>
      <c r="G51" s="112">
        <v>10.11</v>
      </c>
      <c r="H51" s="112">
        <v>2.08</v>
      </c>
      <c r="I51" s="112">
        <v>3.16</v>
      </c>
      <c r="J51" s="112">
        <v>0.23</v>
      </c>
      <c r="K51" s="112">
        <v>248.84</v>
      </c>
      <c r="L51" s="112">
        <v>30.65</v>
      </c>
      <c r="M51" s="112">
        <v>69.36</v>
      </c>
      <c r="N51" s="112">
        <v>244.1</v>
      </c>
      <c r="O51" s="112">
        <v>0</v>
      </c>
      <c r="P51" s="112">
        <v>0.31</v>
      </c>
      <c r="Q51" s="112">
        <v>5.04</v>
      </c>
    </row>
    <row r="52" spans="1:17" customFormat="1">
      <c r="A52" s="80">
        <v>45538.458333333336</v>
      </c>
      <c r="B52" s="112">
        <v>9.1999999999999993</v>
      </c>
      <c r="C52" s="112">
        <v>4.17</v>
      </c>
      <c r="D52" s="112">
        <v>14</v>
      </c>
      <c r="E52" s="112">
        <v>9.9499999999999993</v>
      </c>
      <c r="F52" s="112">
        <v>4.9800000000000004</v>
      </c>
      <c r="G52" s="112">
        <v>13.07</v>
      </c>
      <c r="H52" s="112">
        <v>1.8</v>
      </c>
      <c r="I52" s="112">
        <v>3.18</v>
      </c>
      <c r="J52" s="112">
        <v>0.11</v>
      </c>
      <c r="K52" s="112">
        <v>212.48</v>
      </c>
      <c r="L52" s="112">
        <v>30.34</v>
      </c>
      <c r="M52" s="112">
        <v>71.17</v>
      </c>
      <c r="N52" s="112">
        <v>268.10000000000002</v>
      </c>
      <c r="O52" s="112">
        <v>0</v>
      </c>
      <c r="P52" s="112">
        <v>0.31</v>
      </c>
      <c r="Q52" s="112">
        <v>5.04</v>
      </c>
    </row>
    <row r="53" spans="1:17" customFormat="1">
      <c r="A53" s="80">
        <v>45538.46875</v>
      </c>
      <c r="B53" s="112">
        <v>9.19</v>
      </c>
      <c r="C53" s="112">
        <v>4.17</v>
      </c>
      <c r="D53" s="112">
        <v>14</v>
      </c>
      <c r="E53" s="112">
        <v>10.09</v>
      </c>
      <c r="F53" s="112">
        <v>6.78</v>
      </c>
      <c r="G53" s="112">
        <v>13.07</v>
      </c>
      <c r="H53" s="112">
        <v>1.8</v>
      </c>
      <c r="I53" s="112">
        <v>3.18</v>
      </c>
      <c r="J53" s="112">
        <v>0.18</v>
      </c>
      <c r="K53" s="112">
        <v>176.4</v>
      </c>
      <c r="L53" s="112">
        <v>31.22</v>
      </c>
      <c r="M53" s="112">
        <v>67.05</v>
      </c>
      <c r="N53" s="112">
        <v>340.7</v>
      </c>
      <c r="O53" s="112">
        <v>0</v>
      </c>
      <c r="P53" s="112">
        <v>0.32</v>
      </c>
      <c r="Q53" s="112">
        <v>5.04</v>
      </c>
    </row>
    <row r="54" spans="1:17" customFormat="1">
      <c r="A54" s="80">
        <v>45538.479166666664</v>
      </c>
      <c r="B54" s="112">
        <v>9.2100000000000009</v>
      </c>
      <c r="C54" s="112">
        <v>4.1500000000000004</v>
      </c>
      <c r="D54" s="112">
        <v>14</v>
      </c>
      <c r="E54" s="112">
        <v>10.41</v>
      </c>
      <c r="F54" s="112">
        <v>4.2</v>
      </c>
      <c r="G54" s="112">
        <v>13.07</v>
      </c>
      <c r="H54" s="112">
        <v>1.8</v>
      </c>
      <c r="I54" s="112">
        <v>3.15</v>
      </c>
      <c r="J54" s="112">
        <v>0.27</v>
      </c>
      <c r="K54" s="112">
        <v>257.85000000000002</v>
      </c>
      <c r="L54" s="112">
        <v>31.14</v>
      </c>
      <c r="M54" s="112">
        <v>67.430000000000007</v>
      </c>
      <c r="N54" s="112">
        <v>385.9</v>
      </c>
      <c r="O54" s="112">
        <v>0</v>
      </c>
      <c r="P54" s="112">
        <v>0.32</v>
      </c>
      <c r="Q54" s="112">
        <v>5.03</v>
      </c>
    </row>
    <row r="55" spans="1:17" customFormat="1">
      <c r="A55" s="80">
        <v>45538.489583333336</v>
      </c>
      <c r="B55" s="112">
        <v>9.1999999999999993</v>
      </c>
      <c r="C55" s="112">
        <v>4.16</v>
      </c>
      <c r="D55" s="112">
        <v>14</v>
      </c>
      <c r="E55" s="112">
        <v>10.61</v>
      </c>
      <c r="F55" s="112">
        <v>5.42</v>
      </c>
      <c r="G55" s="112">
        <v>12.64</v>
      </c>
      <c r="H55" s="112">
        <v>2.29</v>
      </c>
      <c r="I55" s="112">
        <v>3.16</v>
      </c>
      <c r="J55" s="112">
        <v>0.26</v>
      </c>
      <c r="K55" s="112">
        <v>166.58</v>
      </c>
      <c r="L55" s="112">
        <v>30.98</v>
      </c>
      <c r="M55" s="112">
        <v>68.64</v>
      </c>
      <c r="N55" s="112">
        <v>186.1</v>
      </c>
      <c r="O55" s="112">
        <v>0</v>
      </c>
      <c r="P55" s="112">
        <v>0.31</v>
      </c>
      <c r="Q55" s="112">
        <v>5.04</v>
      </c>
    </row>
    <row r="56" spans="1:17" customFormat="1">
      <c r="A56" s="80">
        <v>45538.5</v>
      </c>
      <c r="B56" s="112">
        <v>9.1999999999999993</v>
      </c>
      <c r="C56" s="112">
        <v>4.16</v>
      </c>
      <c r="D56" s="112">
        <v>14</v>
      </c>
      <c r="E56" s="112">
        <v>10.66</v>
      </c>
      <c r="F56" s="112">
        <v>5.94</v>
      </c>
      <c r="G56" s="112">
        <v>11.12</v>
      </c>
      <c r="H56" s="112">
        <v>3.53</v>
      </c>
      <c r="I56" s="112">
        <v>3.18</v>
      </c>
      <c r="J56" s="112">
        <v>0.16</v>
      </c>
      <c r="K56" s="112">
        <v>221.25</v>
      </c>
      <c r="L56" s="112">
        <v>31.08</v>
      </c>
      <c r="M56" s="112">
        <v>68.62</v>
      </c>
      <c r="N56" s="112">
        <v>304.2</v>
      </c>
      <c r="O56" s="112">
        <v>0</v>
      </c>
      <c r="P56" s="112">
        <v>0.31</v>
      </c>
      <c r="Q56" s="112">
        <v>5.03</v>
      </c>
    </row>
    <row r="57" spans="1:17" customFormat="1">
      <c r="A57" s="80">
        <v>45538.510416666664</v>
      </c>
      <c r="B57" s="112">
        <v>9.19</v>
      </c>
      <c r="C57" s="112">
        <v>4.17</v>
      </c>
      <c r="D57" s="112">
        <v>14</v>
      </c>
      <c r="E57" s="112">
        <v>10.66</v>
      </c>
      <c r="F57" s="112">
        <v>5.17</v>
      </c>
      <c r="G57" s="112">
        <v>11.12</v>
      </c>
      <c r="H57" s="112">
        <v>3.53</v>
      </c>
      <c r="I57" s="112">
        <v>3.23</v>
      </c>
      <c r="J57" s="112">
        <v>0.17</v>
      </c>
      <c r="K57" s="112">
        <v>198.62</v>
      </c>
      <c r="L57" s="112">
        <v>30.69</v>
      </c>
      <c r="M57" s="112">
        <v>70.44</v>
      </c>
      <c r="N57" s="112">
        <v>279.10000000000002</v>
      </c>
      <c r="O57" s="112">
        <v>0</v>
      </c>
      <c r="P57" s="112">
        <v>0.32</v>
      </c>
      <c r="Q57" s="112">
        <v>5.04</v>
      </c>
    </row>
    <row r="58" spans="1:17" customFormat="1">
      <c r="A58" s="80">
        <v>45538.520833333336</v>
      </c>
      <c r="B58" s="112">
        <v>9.1999999999999993</v>
      </c>
      <c r="C58" s="112">
        <v>4.16</v>
      </c>
      <c r="D58" s="112">
        <v>14</v>
      </c>
      <c r="E58" s="112">
        <v>10.88</v>
      </c>
      <c r="F58" s="112">
        <v>5.49</v>
      </c>
      <c r="G58" s="112">
        <v>11.12</v>
      </c>
      <c r="H58" s="112">
        <v>3.53</v>
      </c>
      <c r="I58" s="112">
        <v>3.35</v>
      </c>
      <c r="J58" s="112">
        <v>0.26</v>
      </c>
      <c r="K58" s="112">
        <v>161.91</v>
      </c>
      <c r="L58" s="112">
        <v>31.64</v>
      </c>
      <c r="M58" s="112">
        <v>66.08</v>
      </c>
      <c r="N58" s="112">
        <v>422.2</v>
      </c>
      <c r="O58" s="112">
        <v>0</v>
      </c>
      <c r="P58" s="112">
        <v>0.32</v>
      </c>
      <c r="Q58" s="112">
        <v>5.04</v>
      </c>
    </row>
    <row r="59" spans="1:17" customFormat="1">
      <c r="A59" s="80">
        <v>45538.53125</v>
      </c>
      <c r="B59" s="112">
        <v>9.2100000000000009</v>
      </c>
      <c r="C59" s="112">
        <v>4.1500000000000004</v>
      </c>
      <c r="D59" s="112">
        <v>14</v>
      </c>
      <c r="E59" s="112">
        <v>10.94</v>
      </c>
      <c r="F59" s="112">
        <v>5.3</v>
      </c>
      <c r="G59" s="112">
        <v>11.43</v>
      </c>
      <c r="H59" s="112">
        <v>3.36</v>
      </c>
      <c r="I59" s="112">
        <v>3.31</v>
      </c>
      <c r="J59" s="112">
        <v>0.31</v>
      </c>
      <c r="K59" s="112">
        <v>121.33</v>
      </c>
      <c r="L59" s="112">
        <v>31.47</v>
      </c>
      <c r="M59" s="112">
        <v>66.540000000000006</v>
      </c>
      <c r="N59" s="112">
        <v>158.4</v>
      </c>
      <c r="O59" s="112">
        <v>0</v>
      </c>
      <c r="P59" s="112">
        <v>0.32</v>
      </c>
      <c r="Q59" s="112">
        <v>5.03</v>
      </c>
    </row>
    <row r="60" spans="1:17" customFormat="1">
      <c r="A60" s="80">
        <v>45538.541666666664</v>
      </c>
      <c r="B60" s="112">
        <v>9.2100000000000009</v>
      </c>
      <c r="C60" s="112">
        <v>4.1399999999999997</v>
      </c>
      <c r="D60" s="112">
        <v>14</v>
      </c>
      <c r="E60" s="112">
        <v>11.12</v>
      </c>
      <c r="F60" s="112">
        <v>6.22</v>
      </c>
      <c r="G60" s="112">
        <v>12.49</v>
      </c>
      <c r="H60" s="112">
        <v>2.94</v>
      </c>
      <c r="I60" s="112">
        <v>3.3</v>
      </c>
      <c r="J60" s="112">
        <v>0.26</v>
      </c>
      <c r="K60" s="112">
        <v>111.66</v>
      </c>
      <c r="L60" s="112">
        <v>31.13</v>
      </c>
      <c r="M60" s="112">
        <v>66.53</v>
      </c>
      <c r="N60" s="112">
        <v>219.1</v>
      </c>
      <c r="O60" s="112">
        <v>0</v>
      </c>
      <c r="P60" s="112">
        <v>0.32</v>
      </c>
      <c r="Q60" s="112">
        <v>5.03</v>
      </c>
    </row>
    <row r="61" spans="1:17" customFormat="1">
      <c r="A61" s="80">
        <v>45538.552083333336</v>
      </c>
      <c r="B61" s="112">
        <v>9.2100000000000009</v>
      </c>
      <c r="C61" s="112">
        <v>4.1500000000000004</v>
      </c>
      <c r="D61" s="112">
        <v>14</v>
      </c>
      <c r="E61" s="112">
        <v>11.34</v>
      </c>
      <c r="F61" s="112">
        <v>5.91</v>
      </c>
      <c r="G61" s="112">
        <v>12.49</v>
      </c>
      <c r="H61" s="112">
        <v>2.94</v>
      </c>
      <c r="I61" s="112">
        <v>3.37</v>
      </c>
      <c r="J61" s="112">
        <v>0.25</v>
      </c>
      <c r="K61" s="112">
        <v>105.94</v>
      </c>
      <c r="L61" s="112">
        <v>32.1</v>
      </c>
      <c r="M61" s="112">
        <v>62.72</v>
      </c>
      <c r="N61" s="112">
        <v>317.60000000000002</v>
      </c>
      <c r="O61" s="112">
        <v>0</v>
      </c>
      <c r="P61" s="112">
        <v>0.32</v>
      </c>
      <c r="Q61" s="112">
        <v>5.0599999999999996</v>
      </c>
    </row>
    <row r="62" spans="1:17" customFormat="1">
      <c r="A62" s="80">
        <v>45538.5625</v>
      </c>
      <c r="B62" s="112">
        <v>9.1999999999999993</v>
      </c>
      <c r="C62" s="112">
        <v>4.16</v>
      </c>
      <c r="D62" s="112">
        <v>14</v>
      </c>
      <c r="E62" s="112">
        <v>11.55</v>
      </c>
      <c r="F62" s="112">
        <v>4.6500000000000004</v>
      </c>
      <c r="G62" s="112">
        <v>12.49</v>
      </c>
      <c r="H62" s="112">
        <v>2.94</v>
      </c>
      <c r="I62" s="112">
        <v>3.38</v>
      </c>
      <c r="J62" s="112">
        <v>0.36</v>
      </c>
      <c r="K62" s="112">
        <v>79.290000000000006</v>
      </c>
      <c r="L62" s="112">
        <v>32.15</v>
      </c>
      <c r="M62" s="112">
        <v>62</v>
      </c>
      <c r="N62" s="112">
        <v>394.7</v>
      </c>
      <c r="O62" s="112">
        <v>0</v>
      </c>
      <c r="P62" s="112">
        <v>0.33</v>
      </c>
      <c r="Q62" s="112">
        <v>5.05</v>
      </c>
    </row>
    <row r="63" spans="1:17" customFormat="1">
      <c r="A63" s="80">
        <v>45538.572916666664</v>
      </c>
      <c r="B63" s="112">
        <v>9.1999999999999993</v>
      </c>
      <c r="C63" s="112">
        <v>4.16</v>
      </c>
      <c r="D63" s="112">
        <v>14</v>
      </c>
      <c r="E63" s="112">
        <v>11.46</v>
      </c>
      <c r="F63" s="112">
        <v>5.5</v>
      </c>
      <c r="G63" s="112">
        <v>13.53</v>
      </c>
      <c r="H63" s="112">
        <v>3.29</v>
      </c>
      <c r="I63" s="112">
        <v>3.37</v>
      </c>
      <c r="J63" s="112">
        <v>0.18</v>
      </c>
      <c r="K63" s="112">
        <v>155.33000000000001</v>
      </c>
      <c r="L63" s="112">
        <v>32.06</v>
      </c>
      <c r="M63" s="112">
        <v>63.13</v>
      </c>
      <c r="N63" s="112">
        <v>201.2</v>
      </c>
      <c r="O63" s="112">
        <v>0</v>
      </c>
      <c r="P63" s="112">
        <v>0.32</v>
      </c>
      <c r="Q63" s="112">
        <v>5.04</v>
      </c>
    </row>
    <row r="64" spans="1:17" customFormat="1">
      <c r="A64" s="80">
        <v>45538.583333333336</v>
      </c>
      <c r="B64" s="112">
        <v>9.1999999999999993</v>
      </c>
      <c r="C64" s="112">
        <v>4.16</v>
      </c>
      <c r="D64" s="112">
        <v>14</v>
      </c>
      <c r="E64" s="112">
        <v>12.09</v>
      </c>
      <c r="F64" s="112">
        <v>5.44</v>
      </c>
      <c r="G64" s="112">
        <v>17.14</v>
      </c>
      <c r="H64" s="112">
        <v>4.1399999999999997</v>
      </c>
      <c r="I64" s="112">
        <v>3.36</v>
      </c>
      <c r="J64" s="112">
        <v>0.3</v>
      </c>
      <c r="K64" s="112">
        <v>145.97999999999999</v>
      </c>
      <c r="L64" s="112">
        <v>31.84</v>
      </c>
      <c r="M64" s="112">
        <v>62.45</v>
      </c>
      <c r="N64" s="112">
        <v>169.5</v>
      </c>
      <c r="O64" s="112">
        <v>0</v>
      </c>
      <c r="P64" s="112">
        <v>0.32</v>
      </c>
      <c r="Q64" s="112">
        <v>5.04</v>
      </c>
    </row>
    <row r="65" spans="1:17" customFormat="1">
      <c r="A65" s="80">
        <v>45538.59375</v>
      </c>
      <c r="B65" s="112">
        <v>9.1999999999999993</v>
      </c>
      <c r="C65" s="112">
        <v>4.16</v>
      </c>
      <c r="D65" s="112">
        <v>14</v>
      </c>
      <c r="E65" s="112">
        <v>12.2</v>
      </c>
      <c r="F65" s="112">
        <v>4.37</v>
      </c>
      <c r="G65" s="112">
        <v>17.14</v>
      </c>
      <c r="H65" s="112">
        <v>4.1399999999999997</v>
      </c>
      <c r="I65" s="112">
        <v>3.32</v>
      </c>
      <c r="J65" s="112">
        <v>0.24</v>
      </c>
      <c r="K65" s="112">
        <v>102.67</v>
      </c>
      <c r="L65" s="112">
        <v>32.200000000000003</v>
      </c>
      <c r="M65" s="112">
        <v>61.3</v>
      </c>
      <c r="N65" s="112">
        <v>177.3</v>
      </c>
      <c r="O65" s="112">
        <v>0</v>
      </c>
      <c r="P65" s="112">
        <v>0.32</v>
      </c>
      <c r="Q65" s="112">
        <v>5.0199999999999996</v>
      </c>
    </row>
    <row r="66" spans="1:17" customFormat="1">
      <c r="A66" s="80">
        <v>45538.604166666664</v>
      </c>
      <c r="B66" s="112">
        <v>9.1999999999999993</v>
      </c>
      <c r="C66" s="112">
        <v>4.16</v>
      </c>
      <c r="D66" s="112">
        <v>14</v>
      </c>
      <c r="E66" s="112">
        <v>12.02</v>
      </c>
      <c r="F66" s="112">
        <v>4.93</v>
      </c>
      <c r="G66" s="112">
        <v>17.14</v>
      </c>
      <c r="H66" s="112">
        <v>4.1399999999999997</v>
      </c>
      <c r="I66" s="112">
        <v>3.37</v>
      </c>
      <c r="J66" s="112">
        <v>0.61</v>
      </c>
      <c r="K66" s="112">
        <v>57.3</v>
      </c>
      <c r="L66" s="112">
        <v>32.229999999999997</v>
      </c>
      <c r="M66" s="112">
        <v>60.48</v>
      </c>
      <c r="N66" s="112">
        <v>178.1</v>
      </c>
      <c r="O66" s="112">
        <v>0</v>
      </c>
      <c r="P66" s="112">
        <v>0.33</v>
      </c>
      <c r="Q66" s="112">
        <v>5.04</v>
      </c>
    </row>
    <row r="67" spans="1:17" customFormat="1">
      <c r="A67" s="80">
        <v>45538.614583333336</v>
      </c>
      <c r="B67" s="112">
        <v>9.19</v>
      </c>
      <c r="C67" s="112">
        <v>4.17</v>
      </c>
      <c r="D67" s="112">
        <v>14</v>
      </c>
      <c r="E67" s="112">
        <v>12.34</v>
      </c>
      <c r="F67" s="112">
        <v>8.35</v>
      </c>
      <c r="G67" s="112">
        <v>18.170000000000002</v>
      </c>
      <c r="H67" s="112">
        <v>4.7699999999999996</v>
      </c>
      <c r="I67" s="112">
        <v>3.37</v>
      </c>
      <c r="J67" s="112">
        <v>0.23</v>
      </c>
      <c r="K67" s="112">
        <v>157.87</v>
      </c>
      <c r="L67" s="112">
        <v>32.049999999999997</v>
      </c>
      <c r="M67" s="112">
        <v>62.37</v>
      </c>
      <c r="N67" s="112">
        <v>165.3</v>
      </c>
      <c r="O67" s="112">
        <v>0</v>
      </c>
      <c r="P67" s="112">
        <v>0.32</v>
      </c>
      <c r="Q67" s="112">
        <v>5.04</v>
      </c>
    </row>
    <row r="68" spans="1:17" customFormat="1">
      <c r="A68" s="80">
        <v>45538.625</v>
      </c>
      <c r="B68" s="112">
        <v>9.1999999999999993</v>
      </c>
      <c r="C68" s="112">
        <v>4.16</v>
      </c>
      <c r="D68" s="112">
        <v>14</v>
      </c>
      <c r="E68" s="112">
        <v>12.24</v>
      </c>
      <c r="F68" s="112">
        <v>6.13</v>
      </c>
      <c r="G68" s="112">
        <v>21.77</v>
      </c>
      <c r="H68" s="112">
        <v>7.73</v>
      </c>
      <c r="I68" s="112">
        <v>3.32</v>
      </c>
      <c r="J68" s="112">
        <v>0.24</v>
      </c>
      <c r="K68" s="112">
        <v>157.93</v>
      </c>
      <c r="L68" s="112">
        <v>31.69</v>
      </c>
      <c r="M68" s="112">
        <v>62.44</v>
      </c>
      <c r="N68" s="112">
        <v>91.5</v>
      </c>
      <c r="O68" s="112">
        <v>0</v>
      </c>
      <c r="P68" s="112">
        <v>0.32</v>
      </c>
      <c r="Q68" s="112">
        <v>5.03</v>
      </c>
    </row>
    <row r="69" spans="1:17" customFormat="1">
      <c r="A69" s="80">
        <v>45538.635416666664</v>
      </c>
      <c r="B69" s="112">
        <v>9.23</v>
      </c>
      <c r="C69" s="112">
        <v>4.1100000000000003</v>
      </c>
      <c r="D69" s="112">
        <v>14</v>
      </c>
      <c r="E69" s="112">
        <v>11.44</v>
      </c>
      <c r="F69" s="112">
        <v>7.4</v>
      </c>
      <c r="G69" s="112">
        <v>21.77</v>
      </c>
      <c r="H69" s="112">
        <v>7.73</v>
      </c>
      <c r="I69" s="112">
        <v>3.28</v>
      </c>
      <c r="J69" s="112">
        <v>0.28000000000000003</v>
      </c>
      <c r="K69" s="112">
        <v>156.69999999999999</v>
      </c>
      <c r="L69" s="112">
        <v>31.19</v>
      </c>
      <c r="M69" s="112">
        <v>65.400000000000006</v>
      </c>
      <c r="N69" s="112">
        <v>261.7</v>
      </c>
      <c r="O69" s="112">
        <v>0</v>
      </c>
      <c r="P69" s="112">
        <v>0.32</v>
      </c>
      <c r="Q69" s="112">
        <v>5.0199999999999996</v>
      </c>
    </row>
    <row r="70" spans="1:17" customFormat="1">
      <c r="A70" s="80">
        <v>45538.645833333336</v>
      </c>
      <c r="B70" s="112">
        <v>9.27</v>
      </c>
      <c r="C70" s="112">
        <v>4.08</v>
      </c>
      <c r="D70" s="112">
        <v>14.01</v>
      </c>
      <c r="E70" s="112">
        <v>11.16</v>
      </c>
      <c r="F70" s="112">
        <v>5.55</v>
      </c>
      <c r="G70" s="112">
        <v>21.77</v>
      </c>
      <c r="H70" s="112">
        <v>7.73</v>
      </c>
      <c r="I70" s="112">
        <v>3.3</v>
      </c>
      <c r="J70" s="112">
        <v>0.41</v>
      </c>
      <c r="K70" s="112">
        <v>76.739999999999995</v>
      </c>
      <c r="L70" s="112">
        <v>32.090000000000003</v>
      </c>
      <c r="M70" s="112">
        <v>59.93</v>
      </c>
      <c r="N70" s="112">
        <v>490.2</v>
      </c>
      <c r="O70" s="112">
        <v>0</v>
      </c>
      <c r="P70" s="112">
        <v>0.33</v>
      </c>
      <c r="Q70" s="112">
        <v>5.0199999999999996</v>
      </c>
    </row>
    <row r="71" spans="1:17" customFormat="1">
      <c r="A71" s="80">
        <v>45538.65625</v>
      </c>
      <c r="B71" s="112">
        <v>9.2799999999999994</v>
      </c>
      <c r="C71" s="112">
        <v>4.08</v>
      </c>
      <c r="D71" s="112">
        <v>14.02</v>
      </c>
      <c r="E71" s="112">
        <v>11.38</v>
      </c>
      <c r="F71" s="112">
        <v>6.67</v>
      </c>
      <c r="G71" s="112">
        <v>20.41</v>
      </c>
      <c r="H71" s="112">
        <v>7.26</v>
      </c>
      <c r="I71" s="112">
        <v>3.32</v>
      </c>
      <c r="J71" s="112">
        <v>0.26</v>
      </c>
      <c r="K71" s="112">
        <v>115.71</v>
      </c>
      <c r="L71" s="112">
        <v>32.69</v>
      </c>
      <c r="M71" s="112">
        <v>57.79</v>
      </c>
      <c r="N71" s="112">
        <v>358.8</v>
      </c>
      <c r="O71" s="112">
        <v>0</v>
      </c>
      <c r="P71" s="112">
        <v>0.33</v>
      </c>
      <c r="Q71" s="112">
        <v>5.01</v>
      </c>
    </row>
    <row r="72" spans="1:17" customFormat="1">
      <c r="A72" s="80">
        <v>45538.666666666664</v>
      </c>
      <c r="B72" s="112">
        <v>9.32</v>
      </c>
      <c r="C72" s="112">
        <v>4.07</v>
      </c>
      <c r="D72" s="112">
        <v>14.05</v>
      </c>
      <c r="E72" s="112">
        <v>11.38</v>
      </c>
      <c r="F72" s="112">
        <v>7.54</v>
      </c>
      <c r="G72" s="112">
        <v>15.65</v>
      </c>
      <c r="H72" s="112">
        <v>6.1</v>
      </c>
      <c r="I72" s="112">
        <v>3.4</v>
      </c>
      <c r="J72" s="112">
        <v>0.39</v>
      </c>
      <c r="K72" s="112">
        <v>155.36000000000001</v>
      </c>
      <c r="L72" s="112">
        <v>32.78</v>
      </c>
      <c r="M72" s="112">
        <v>57.45</v>
      </c>
      <c r="N72" s="112">
        <v>400.7</v>
      </c>
      <c r="O72" s="112">
        <v>0</v>
      </c>
      <c r="P72" s="112">
        <v>0.34</v>
      </c>
      <c r="Q72" s="112">
        <v>5</v>
      </c>
    </row>
    <row r="73" spans="1:17" customFormat="1">
      <c r="A73" s="80">
        <v>45538.677083333336</v>
      </c>
      <c r="B73" s="112">
        <v>9.27</v>
      </c>
      <c r="C73" s="112">
        <v>4.09</v>
      </c>
      <c r="D73" s="112">
        <v>14.02</v>
      </c>
      <c r="E73" s="112">
        <v>11.69</v>
      </c>
      <c r="F73" s="112">
        <v>6.34</v>
      </c>
      <c r="G73" s="112">
        <v>15.65</v>
      </c>
      <c r="H73" s="112">
        <v>6.1</v>
      </c>
      <c r="I73" s="112">
        <v>3.35</v>
      </c>
      <c r="J73" s="112">
        <v>0.25</v>
      </c>
      <c r="K73" s="112">
        <v>107.25</v>
      </c>
      <c r="L73" s="112">
        <v>32.71</v>
      </c>
      <c r="M73" s="112">
        <v>57.59</v>
      </c>
      <c r="N73" s="112">
        <v>168.5</v>
      </c>
      <c r="O73" s="112">
        <v>0</v>
      </c>
      <c r="P73" s="112">
        <v>0.34</v>
      </c>
      <c r="Q73" s="112">
        <v>5.0199999999999996</v>
      </c>
    </row>
    <row r="74" spans="1:17" customFormat="1">
      <c r="A74" s="80">
        <v>45538.6875</v>
      </c>
      <c r="B74" s="112">
        <v>9.3000000000000007</v>
      </c>
      <c r="C74" s="112">
        <v>4.09</v>
      </c>
      <c r="D74" s="112">
        <v>14.04</v>
      </c>
      <c r="E74" s="112">
        <v>11.24</v>
      </c>
      <c r="F74" s="112">
        <v>6.13</v>
      </c>
      <c r="G74" s="112">
        <v>15.65</v>
      </c>
      <c r="H74" s="112">
        <v>6.1</v>
      </c>
      <c r="I74" s="112">
        <v>3.34</v>
      </c>
      <c r="J74" s="112">
        <v>0.39</v>
      </c>
      <c r="K74" s="112">
        <v>79.260000000000005</v>
      </c>
      <c r="L74" s="112">
        <v>32.01</v>
      </c>
      <c r="M74" s="112">
        <v>60.22</v>
      </c>
      <c r="N74" s="112">
        <v>47.3</v>
      </c>
      <c r="O74" s="112">
        <v>0</v>
      </c>
      <c r="P74" s="112">
        <v>0.34</v>
      </c>
      <c r="Q74" s="112">
        <v>5.03</v>
      </c>
    </row>
    <row r="75" spans="1:17" customFormat="1">
      <c r="A75" s="80">
        <v>45538.697916666664</v>
      </c>
      <c r="B75" s="112">
        <v>9.3000000000000007</v>
      </c>
      <c r="C75" s="112">
        <v>4.0599999999999996</v>
      </c>
      <c r="D75" s="112">
        <v>14.03</v>
      </c>
      <c r="E75" s="112">
        <v>10.87</v>
      </c>
      <c r="F75" s="112">
        <v>6.45</v>
      </c>
      <c r="G75" s="112">
        <v>17.010000000000002</v>
      </c>
      <c r="H75" s="112">
        <v>5.66</v>
      </c>
      <c r="I75" s="112">
        <v>3.4</v>
      </c>
      <c r="J75" s="112">
        <v>0.41</v>
      </c>
      <c r="K75" s="112">
        <v>89.05</v>
      </c>
      <c r="L75" s="112">
        <v>31.4</v>
      </c>
      <c r="M75" s="112">
        <v>64.81</v>
      </c>
      <c r="N75" s="112">
        <v>39.1</v>
      </c>
      <c r="O75" s="112">
        <v>0</v>
      </c>
      <c r="P75" s="112">
        <v>0.34</v>
      </c>
      <c r="Q75" s="112">
        <v>5.03</v>
      </c>
    </row>
    <row r="76" spans="1:17" customFormat="1">
      <c r="A76" s="80">
        <v>45538.708333333336</v>
      </c>
      <c r="B76" s="112">
        <v>9.26</v>
      </c>
      <c r="C76" s="112">
        <v>4.07</v>
      </c>
      <c r="D76" s="112">
        <v>14</v>
      </c>
      <c r="E76" s="112">
        <v>10.8</v>
      </c>
      <c r="F76" s="112">
        <v>6.54</v>
      </c>
      <c r="G76" s="112">
        <v>21.76</v>
      </c>
      <c r="H76" s="112">
        <v>4.57</v>
      </c>
      <c r="I76" s="112">
        <v>3.38</v>
      </c>
      <c r="J76" s="112">
        <v>0.47</v>
      </c>
      <c r="K76" s="112">
        <v>71.78</v>
      </c>
      <c r="L76" s="112">
        <v>31.07</v>
      </c>
      <c r="M76" s="112">
        <v>65.92</v>
      </c>
      <c r="N76" s="112">
        <v>32.299999999999997</v>
      </c>
      <c r="O76" s="112">
        <v>0</v>
      </c>
      <c r="P76" s="112">
        <v>0.34</v>
      </c>
      <c r="Q76" s="112">
        <v>5.0199999999999996</v>
      </c>
    </row>
    <row r="77" spans="1:17" customFormat="1">
      <c r="A77" s="80">
        <v>45538.71875</v>
      </c>
      <c r="B77" s="112">
        <v>9.24</v>
      </c>
      <c r="C77" s="112">
        <v>4.0999999999999996</v>
      </c>
      <c r="D77" s="112">
        <v>14</v>
      </c>
      <c r="E77" s="112">
        <v>10.46</v>
      </c>
      <c r="F77" s="112">
        <v>5.9</v>
      </c>
      <c r="G77" s="112">
        <v>21.76</v>
      </c>
      <c r="H77" s="112">
        <v>4.57</v>
      </c>
      <c r="I77" s="112">
        <v>3.35</v>
      </c>
      <c r="J77" s="112">
        <v>0.48</v>
      </c>
      <c r="K77" s="112">
        <v>67.27</v>
      </c>
      <c r="L77" s="112">
        <v>30.87</v>
      </c>
      <c r="M77" s="112">
        <v>66.540000000000006</v>
      </c>
      <c r="N77" s="112">
        <v>25.3</v>
      </c>
      <c r="O77" s="112">
        <v>0</v>
      </c>
      <c r="P77" s="112">
        <v>0.36</v>
      </c>
      <c r="Q77" s="112">
        <v>5.03</v>
      </c>
    </row>
    <row r="78" spans="1:17" customFormat="1">
      <c r="A78" s="80">
        <v>45538.729166666664</v>
      </c>
      <c r="B78" s="112">
        <v>9.24</v>
      </c>
      <c r="C78" s="112">
        <v>4.0999999999999996</v>
      </c>
      <c r="D78" s="112">
        <v>14</v>
      </c>
      <c r="E78" s="112">
        <v>10.62</v>
      </c>
      <c r="F78" s="112">
        <v>5.5</v>
      </c>
      <c r="G78" s="112">
        <v>21.76</v>
      </c>
      <c r="H78" s="112">
        <v>4.57</v>
      </c>
      <c r="I78" s="112">
        <v>3.35</v>
      </c>
      <c r="J78" s="112">
        <v>0.44</v>
      </c>
      <c r="K78" s="112">
        <v>69.66</v>
      </c>
      <c r="L78" s="112">
        <v>30.69</v>
      </c>
      <c r="M78" s="112">
        <v>67.45</v>
      </c>
      <c r="N78" s="112">
        <v>19.600000000000001</v>
      </c>
      <c r="O78" s="112">
        <v>0</v>
      </c>
      <c r="P78" s="112">
        <v>0.36</v>
      </c>
      <c r="Q78" s="112">
        <v>5.03</v>
      </c>
    </row>
    <row r="79" spans="1:17" customFormat="1">
      <c r="A79" s="80">
        <v>45538.739583333336</v>
      </c>
      <c r="B79" s="112">
        <v>9.23</v>
      </c>
      <c r="C79" s="112">
        <v>4.12</v>
      </c>
      <c r="D79" s="112">
        <v>14</v>
      </c>
      <c r="E79" s="112">
        <v>10.28</v>
      </c>
      <c r="F79" s="112">
        <v>6.22</v>
      </c>
      <c r="G79" s="112">
        <v>22.17</v>
      </c>
      <c r="H79" s="112">
        <v>4.54</v>
      </c>
      <c r="I79" s="112">
        <v>3.39</v>
      </c>
      <c r="J79" s="112">
        <v>0.28000000000000003</v>
      </c>
      <c r="K79" s="112">
        <v>84</v>
      </c>
      <c r="L79" s="112">
        <v>30.41</v>
      </c>
      <c r="M79" s="112">
        <v>67.88</v>
      </c>
      <c r="N79" s="112">
        <v>13</v>
      </c>
      <c r="O79" s="112">
        <v>0</v>
      </c>
      <c r="P79" s="112">
        <v>0.36</v>
      </c>
      <c r="Q79" s="112">
        <v>5.03</v>
      </c>
    </row>
    <row r="80" spans="1:17" customFormat="1">
      <c r="A80" s="80">
        <v>45538.75</v>
      </c>
      <c r="B80" s="112">
        <v>9.2100000000000009</v>
      </c>
      <c r="C80" s="112">
        <v>4.1500000000000004</v>
      </c>
      <c r="D80" s="112">
        <v>14</v>
      </c>
      <c r="E80" s="112">
        <v>10.210000000000001</v>
      </c>
      <c r="F80" s="112">
        <v>5.56</v>
      </c>
      <c r="G80" s="112">
        <v>23.61</v>
      </c>
      <c r="H80" s="112">
        <v>4.4800000000000004</v>
      </c>
      <c r="I80" s="112">
        <v>3.42</v>
      </c>
      <c r="J80" s="112">
        <v>0.19</v>
      </c>
      <c r="K80" s="112">
        <v>95.06</v>
      </c>
      <c r="L80" s="112">
        <v>30.16</v>
      </c>
      <c r="M80" s="112">
        <v>69.069999999999993</v>
      </c>
      <c r="N80" s="112">
        <v>7.1</v>
      </c>
      <c r="O80" s="112">
        <v>0</v>
      </c>
      <c r="P80" s="112">
        <v>0.38</v>
      </c>
      <c r="Q80" s="112">
        <v>5.03</v>
      </c>
    </row>
    <row r="81" spans="1:17" customFormat="1">
      <c r="A81" s="80">
        <v>45538.760416666664</v>
      </c>
      <c r="B81" s="112">
        <v>9.18</v>
      </c>
      <c r="C81" s="112">
        <v>4.1900000000000004</v>
      </c>
      <c r="D81" s="112">
        <v>14</v>
      </c>
      <c r="E81" s="112">
        <v>8.4700000000000006</v>
      </c>
      <c r="F81" s="112">
        <v>5.51</v>
      </c>
      <c r="G81" s="112">
        <v>23.61</v>
      </c>
      <c r="H81" s="112">
        <v>4.4800000000000004</v>
      </c>
      <c r="I81" s="112">
        <v>3.46</v>
      </c>
      <c r="J81" s="112">
        <v>0.5</v>
      </c>
      <c r="K81" s="112">
        <v>65.08</v>
      </c>
      <c r="L81" s="112">
        <v>29.96</v>
      </c>
      <c r="M81" s="112">
        <v>69.81</v>
      </c>
      <c r="N81" s="112">
        <v>3</v>
      </c>
      <c r="O81" s="112">
        <v>0</v>
      </c>
      <c r="P81" s="112">
        <v>0.43</v>
      </c>
      <c r="Q81" s="112">
        <v>5.03</v>
      </c>
    </row>
    <row r="82" spans="1:17" customFormat="1">
      <c r="A82" s="80">
        <v>45538.770833333336</v>
      </c>
      <c r="B82" s="112">
        <v>9.19</v>
      </c>
      <c r="C82" s="112">
        <v>4.17</v>
      </c>
      <c r="D82" s="112">
        <v>14</v>
      </c>
      <c r="E82" s="112">
        <v>9.8699999999999992</v>
      </c>
      <c r="F82" s="112">
        <v>5.13</v>
      </c>
      <c r="G82" s="112">
        <v>23.61</v>
      </c>
      <c r="H82" s="112">
        <v>4.4800000000000004</v>
      </c>
      <c r="I82" s="112">
        <v>3.51</v>
      </c>
      <c r="J82" s="112">
        <v>0.19</v>
      </c>
      <c r="K82" s="112">
        <v>95.73</v>
      </c>
      <c r="L82" s="112">
        <v>29.62</v>
      </c>
      <c r="M82" s="112">
        <v>72.52</v>
      </c>
      <c r="N82" s="112">
        <v>2.4</v>
      </c>
      <c r="O82" s="112">
        <v>0</v>
      </c>
      <c r="P82" s="112">
        <v>0.4</v>
      </c>
      <c r="Q82" s="112">
        <v>5.03</v>
      </c>
    </row>
    <row r="83" spans="1:17" customFormat="1">
      <c r="A83" s="80">
        <v>45538.78125</v>
      </c>
      <c r="B83" s="112">
        <v>9.19</v>
      </c>
      <c r="C83" s="112">
        <v>4.18</v>
      </c>
      <c r="D83" s="112">
        <v>14</v>
      </c>
      <c r="E83" s="112">
        <v>9.39</v>
      </c>
      <c r="F83" s="112">
        <v>6.05</v>
      </c>
      <c r="G83" s="112">
        <v>24.98</v>
      </c>
      <c r="H83" s="112">
        <v>5.38</v>
      </c>
      <c r="I83" s="112">
        <v>3.65</v>
      </c>
      <c r="J83" s="112">
        <v>0.17</v>
      </c>
      <c r="K83" s="112">
        <v>151.77000000000001</v>
      </c>
      <c r="L83" s="112">
        <v>29.31</v>
      </c>
      <c r="M83" s="112">
        <v>75.03</v>
      </c>
      <c r="N83" s="112">
        <v>2.4</v>
      </c>
      <c r="O83" s="112">
        <v>0</v>
      </c>
      <c r="P83" s="112">
        <v>0.4</v>
      </c>
      <c r="Q83" s="112">
        <v>5.03</v>
      </c>
    </row>
    <row r="84" spans="1:17" customFormat="1">
      <c r="A84" s="80">
        <v>45538.791666666664</v>
      </c>
      <c r="B84" s="112">
        <v>9.18</v>
      </c>
      <c r="C84" s="112">
        <v>4.18</v>
      </c>
      <c r="D84" s="112">
        <v>14</v>
      </c>
      <c r="E84" s="112">
        <v>9.59</v>
      </c>
      <c r="F84" s="112">
        <v>6.79</v>
      </c>
      <c r="G84" s="112">
        <v>30.08</v>
      </c>
      <c r="H84" s="112">
        <v>7.61</v>
      </c>
      <c r="I84" s="112">
        <v>3.77</v>
      </c>
      <c r="J84" s="112">
        <v>0.16</v>
      </c>
      <c r="K84" s="112">
        <v>177.01</v>
      </c>
      <c r="L84" s="112">
        <v>29.01</v>
      </c>
      <c r="M84" s="112">
        <v>76.03</v>
      </c>
      <c r="N84" s="112">
        <v>2.2999999999999998</v>
      </c>
      <c r="O84" s="112">
        <v>0</v>
      </c>
      <c r="P84" s="112">
        <v>0.39</v>
      </c>
      <c r="Q84" s="112">
        <v>5.04</v>
      </c>
    </row>
    <row r="85" spans="1:17" customFormat="1">
      <c r="A85" s="80">
        <v>45538.802083333336</v>
      </c>
      <c r="B85" s="112">
        <v>9.19</v>
      </c>
      <c r="C85" s="112">
        <v>4.17</v>
      </c>
      <c r="D85" s="112">
        <v>14</v>
      </c>
      <c r="E85" s="112">
        <v>11</v>
      </c>
      <c r="F85" s="112">
        <v>5.12</v>
      </c>
      <c r="G85" s="112">
        <v>30.08</v>
      </c>
      <c r="H85" s="112">
        <v>7.61</v>
      </c>
      <c r="I85" s="112">
        <v>3.71</v>
      </c>
      <c r="J85" s="112">
        <v>0.17</v>
      </c>
      <c r="K85" s="112">
        <v>94.77</v>
      </c>
      <c r="L85" s="112">
        <v>29.04</v>
      </c>
      <c r="M85" s="112">
        <v>76.16</v>
      </c>
      <c r="N85" s="112">
        <v>2</v>
      </c>
      <c r="O85" s="112">
        <v>0</v>
      </c>
      <c r="P85" s="112">
        <v>0.42</v>
      </c>
      <c r="Q85" s="112">
        <v>5.05</v>
      </c>
    </row>
    <row r="86" spans="1:17" customFormat="1">
      <c r="A86" s="80">
        <v>45538.8125</v>
      </c>
      <c r="B86" s="112">
        <v>9.2100000000000009</v>
      </c>
      <c r="C86" s="112">
        <v>4.1399999999999997</v>
      </c>
      <c r="D86" s="112">
        <v>14</v>
      </c>
      <c r="E86" s="112">
        <v>10.4</v>
      </c>
      <c r="F86" s="112">
        <v>5.46</v>
      </c>
      <c r="G86" s="112">
        <v>30.08</v>
      </c>
      <c r="H86" s="112">
        <v>7.61</v>
      </c>
      <c r="I86" s="112">
        <v>3.59</v>
      </c>
      <c r="J86" s="112">
        <v>0.25</v>
      </c>
      <c r="K86" s="112">
        <v>163.86</v>
      </c>
      <c r="L86" s="112">
        <v>29.2</v>
      </c>
      <c r="M86" s="112">
        <v>76.239999999999995</v>
      </c>
      <c r="N86" s="112">
        <v>2.2000000000000002</v>
      </c>
      <c r="O86" s="112">
        <v>0</v>
      </c>
      <c r="P86" s="112">
        <v>0.42</v>
      </c>
      <c r="Q86" s="112">
        <v>5.05</v>
      </c>
    </row>
    <row r="87" spans="1:17" customFormat="1">
      <c r="A87" s="80">
        <v>45538.822916666664</v>
      </c>
      <c r="B87" s="112">
        <v>9.2899999999999991</v>
      </c>
      <c r="C87" s="112">
        <v>4.05</v>
      </c>
      <c r="D87" s="112">
        <v>14.02</v>
      </c>
      <c r="E87" s="112">
        <v>9.7100000000000009</v>
      </c>
      <c r="F87" s="112">
        <v>8.09</v>
      </c>
      <c r="G87" s="112">
        <v>31.07</v>
      </c>
      <c r="H87" s="112">
        <v>8.91</v>
      </c>
      <c r="I87" s="112">
        <v>3.87</v>
      </c>
      <c r="J87" s="112">
        <v>0.2</v>
      </c>
      <c r="K87" s="112">
        <v>175.15</v>
      </c>
      <c r="L87" s="112">
        <v>28.84</v>
      </c>
      <c r="M87" s="112">
        <v>78.19</v>
      </c>
      <c r="N87" s="112">
        <v>2.2000000000000002</v>
      </c>
      <c r="O87" s="112">
        <v>0</v>
      </c>
      <c r="P87" s="112">
        <v>0.39</v>
      </c>
      <c r="Q87" s="112">
        <v>5.04</v>
      </c>
    </row>
    <row r="88" spans="1:17" customFormat="1">
      <c r="A88" s="80">
        <v>45538.833333333336</v>
      </c>
      <c r="B88" s="112">
        <v>9.33</v>
      </c>
      <c r="C88" s="112">
        <v>4.07</v>
      </c>
      <c r="D88" s="112">
        <v>14.06</v>
      </c>
      <c r="E88" s="112">
        <v>9.93</v>
      </c>
      <c r="F88" s="112">
        <v>6.59</v>
      </c>
      <c r="G88" s="112">
        <v>34.51</v>
      </c>
      <c r="H88" s="112">
        <v>12.13</v>
      </c>
      <c r="I88" s="112">
        <v>3.89</v>
      </c>
      <c r="J88" s="112">
        <v>0.2</v>
      </c>
      <c r="K88" s="112">
        <v>181.76</v>
      </c>
      <c r="L88" s="112">
        <v>28.69</v>
      </c>
      <c r="M88" s="112">
        <v>79.489999999999995</v>
      </c>
      <c r="N88" s="112">
        <v>2.2000000000000002</v>
      </c>
      <c r="O88" s="112">
        <v>0</v>
      </c>
      <c r="P88" s="112">
        <v>0.38</v>
      </c>
      <c r="Q88" s="112">
        <v>5.05</v>
      </c>
    </row>
    <row r="89" spans="1:17" customFormat="1">
      <c r="A89" s="80">
        <v>45538.84375</v>
      </c>
      <c r="B89" s="112">
        <v>9.32</v>
      </c>
      <c r="C89" s="112">
        <v>4.07</v>
      </c>
      <c r="D89" s="112">
        <v>14.05</v>
      </c>
      <c r="E89" s="112">
        <v>10.41</v>
      </c>
      <c r="F89" s="112">
        <v>4.92</v>
      </c>
      <c r="G89" s="112">
        <v>34.51</v>
      </c>
      <c r="H89" s="112">
        <v>12.13</v>
      </c>
      <c r="I89" s="112">
        <v>3.72</v>
      </c>
      <c r="J89" s="112">
        <v>0.16</v>
      </c>
      <c r="K89" s="112">
        <v>221.49</v>
      </c>
      <c r="L89" s="112">
        <v>28.14</v>
      </c>
      <c r="M89" s="112">
        <v>83.84</v>
      </c>
      <c r="N89" s="112">
        <v>2.4</v>
      </c>
      <c r="O89" s="112">
        <v>0</v>
      </c>
      <c r="P89" s="112">
        <v>0.39</v>
      </c>
      <c r="Q89" s="112">
        <v>5.05</v>
      </c>
    </row>
    <row r="90" spans="1:17" customFormat="1">
      <c r="A90" s="80">
        <v>45538.854166666664</v>
      </c>
      <c r="B90" s="112">
        <v>9.31</v>
      </c>
      <c r="C90" s="112">
        <v>4.04</v>
      </c>
      <c r="D90" s="112">
        <v>14.02</v>
      </c>
      <c r="E90" s="112">
        <v>10.34</v>
      </c>
      <c r="F90" s="112">
        <v>5.34</v>
      </c>
      <c r="G90" s="112">
        <v>34.51</v>
      </c>
      <c r="H90" s="112">
        <v>12.13</v>
      </c>
      <c r="I90" s="112">
        <v>3.81</v>
      </c>
      <c r="J90" s="112">
        <v>0.15</v>
      </c>
      <c r="K90" s="112">
        <v>183.15</v>
      </c>
      <c r="L90" s="112">
        <v>27.88</v>
      </c>
      <c r="M90" s="112">
        <v>84.44</v>
      </c>
      <c r="N90" s="112">
        <v>2.1</v>
      </c>
      <c r="O90" s="112">
        <v>0</v>
      </c>
      <c r="P90" s="112">
        <v>0.39</v>
      </c>
      <c r="Q90" s="112">
        <v>5.04</v>
      </c>
    </row>
    <row r="91" spans="1:17" customFormat="1">
      <c r="A91" s="80">
        <v>45538.864583333336</v>
      </c>
      <c r="B91" s="112">
        <v>9.2899999999999991</v>
      </c>
      <c r="C91" s="112">
        <v>4.08</v>
      </c>
      <c r="D91" s="112">
        <v>14.03</v>
      </c>
      <c r="E91" s="112">
        <v>10.36</v>
      </c>
      <c r="F91" s="112">
        <v>5.2</v>
      </c>
      <c r="G91" s="112">
        <v>35.659999999999997</v>
      </c>
      <c r="H91" s="112">
        <v>11.68</v>
      </c>
      <c r="I91" s="112">
        <v>3.84</v>
      </c>
      <c r="J91" s="112">
        <v>0.13</v>
      </c>
      <c r="K91" s="112">
        <v>191.31</v>
      </c>
      <c r="L91" s="112">
        <v>27.75</v>
      </c>
      <c r="M91" s="112">
        <v>85.18</v>
      </c>
      <c r="N91" s="112">
        <v>2.1</v>
      </c>
      <c r="O91" s="112">
        <v>0</v>
      </c>
      <c r="P91" s="112">
        <v>0.4</v>
      </c>
      <c r="Q91" s="112">
        <v>5.03</v>
      </c>
    </row>
    <row r="92" spans="1:17" customFormat="1">
      <c r="A92" s="80">
        <v>45538.875</v>
      </c>
      <c r="B92" s="112">
        <v>9.2799999999999994</v>
      </c>
      <c r="C92" s="112">
        <v>4.0599999999999996</v>
      </c>
      <c r="D92" s="112">
        <v>14.01</v>
      </c>
      <c r="E92" s="112">
        <v>10.42</v>
      </c>
      <c r="F92" s="112">
        <v>4.22</v>
      </c>
      <c r="G92" s="112">
        <v>39.700000000000003</v>
      </c>
      <c r="H92" s="112">
        <v>9.73</v>
      </c>
      <c r="I92" s="112">
        <v>3.83</v>
      </c>
      <c r="J92" s="112">
        <v>0.17</v>
      </c>
      <c r="K92" s="112">
        <v>183.83</v>
      </c>
      <c r="L92" s="112">
        <v>27.65</v>
      </c>
      <c r="M92" s="112">
        <v>86.27</v>
      </c>
      <c r="N92" s="112">
        <v>2.1</v>
      </c>
      <c r="O92" s="112">
        <v>0</v>
      </c>
      <c r="P92" s="112">
        <v>0.39</v>
      </c>
      <c r="Q92" s="112">
        <v>5.04</v>
      </c>
    </row>
    <row r="93" spans="1:17" customFormat="1">
      <c r="A93" s="80">
        <v>45538.885416666664</v>
      </c>
      <c r="B93" s="112">
        <v>9.26</v>
      </c>
      <c r="C93" s="112">
        <v>4.09</v>
      </c>
      <c r="D93" s="112">
        <v>14.02</v>
      </c>
      <c r="E93" s="112">
        <v>11.26</v>
      </c>
      <c r="F93" s="112">
        <v>4.47</v>
      </c>
      <c r="G93" s="112">
        <v>39.700000000000003</v>
      </c>
      <c r="H93" s="112">
        <v>9.73</v>
      </c>
      <c r="I93" s="112">
        <v>3.84</v>
      </c>
      <c r="J93" s="112">
        <v>0.13</v>
      </c>
      <c r="K93" s="112">
        <v>215.23</v>
      </c>
      <c r="L93" s="112">
        <v>27.59</v>
      </c>
      <c r="M93" s="112">
        <v>85.87</v>
      </c>
      <c r="N93" s="112">
        <v>2.1</v>
      </c>
      <c r="O93" s="112">
        <v>0</v>
      </c>
      <c r="P93" s="112">
        <v>0.4</v>
      </c>
      <c r="Q93" s="112">
        <v>5.04</v>
      </c>
    </row>
    <row r="94" spans="1:17" customFormat="1">
      <c r="A94" s="80">
        <v>45538.895833333336</v>
      </c>
      <c r="B94" s="112">
        <v>9.27</v>
      </c>
      <c r="C94" s="112">
        <v>4.07</v>
      </c>
      <c r="D94" s="112">
        <v>14</v>
      </c>
      <c r="E94" s="112">
        <v>10.95</v>
      </c>
      <c r="F94" s="112">
        <v>3.71</v>
      </c>
      <c r="G94" s="112">
        <v>39.700000000000003</v>
      </c>
      <c r="H94" s="112">
        <v>9.73</v>
      </c>
      <c r="I94" s="112">
        <v>3.84</v>
      </c>
      <c r="J94" s="112">
        <v>0.11</v>
      </c>
      <c r="K94" s="112">
        <v>205.99</v>
      </c>
      <c r="L94" s="112">
        <v>27.54</v>
      </c>
      <c r="M94" s="112">
        <v>88.67</v>
      </c>
      <c r="N94" s="112">
        <v>2.1</v>
      </c>
      <c r="O94" s="112">
        <v>0</v>
      </c>
      <c r="P94" s="112">
        <v>0.4</v>
      </c>
      <c r="Q94" s="112">
        <v>5.03</v>
      </c>
    </row>
    <row r="95" spans="1:17" customFormat="1">
      <c r="A95" s="80">
        <v>45538.90625</v>
      </c>
      <c r="B95" s="112">
        <v>9.26</v>
      </c>
      <c r="C95" s="112">
        <v>4.07</v>
      </c>
      <c r="D95" s="112">
        <v>14</v>
      </c>
      <c r="E95" s="112">
        <v>10.96</v>
      </c>
      <c r="F95" s="112">
        <v>4.1100000000000003</v>
      </c>
      <c r="G95" s="112">
        <v>40.799999999999997</v>
      </c>
      <c r="H95" s="112">
        <v>8.99</v>
      </c>
      <c r="I95" s="112">
        <v>3.89</v>
      </c>
      <c r="J95" s="112">
        <v>0.12</v>
      </c>
      <c r="K95" s="112">
        <v>185.29</v>
      </c>
      <c r="L95" s="112">
        <v>27.48</v>
      </c>
      <c r="M95" s="112">
        <v>87.4</v>
      </c>
      <c r="N95" s="112">
        <v>2.1</v>
      </c>
      <c r="O95" s="112">
        <v>0</v>
      </c>
      <c r="P95" s="112">
        <v>0.39</v>
      </c>
      <c r="Q95" s="112">
        <v>5.0599999999999996</v>
      </c>
    </row>
    <row r="96" spans="1:17" customFormat="1">
      <c r="A96" s="80">
        <v>45538.916666666664</v>
      </c>
      <c r="B96" s="112">
        <v>9.26</v>
      </c>
      <c r="C96" s="112">
        <v>4.08</v>
      </c>
      <c r="D96" s="112">
        <v>14.01</v>
      </c>
      <c r="E96" s="112">
        <v>11.36</v>
      </c>
      <c r="F96" s="112">
        <v>4.3499999999999996</v>
      </c>
      <c r="G96" s="112">
        <v>44.66</v>
      </c>
      <c r="H96" s="112">
        <v>7.16</v>
      </c>
      <c r="I96" s="112">
        <v>3.9</v>
      </c>
      <c r="J96" s="112">
        <v>0.15</v>
      </c>
      <c r="K96" s="112">
        <v>167.22</v>
      </c>
      <c r="L96" s="112">
        <v>27.38</v>
      </c>
      <c r="M96" s="112">
        <v>87.72</v>
      </c>
      <c r="N96" s="112">
        <v>2.1</v>
      </c>
      <c r="O96" s="112">
        <v>0</v>
      </c>
      <c r="P96" s="112">
        <v>0.39</v>
      </c>
      <c r="Q96" s="112">
        <v>5.04</v>
      </c>
    </row>
    <row r="97" spans="1:22" customFormat="1">
      <c r="A97" s="80">
        <v>45538.927083333336</v>
      </c>
      <c r="B97" s="112">
        <v>9.26</v>
      </c>
      <c r="C97" s="112">
        <v>4.08</v>
      </c>
      <c r="D97" s="112">
        <v>14.01</v>
      </c>
      <c r="E97" s="112">
        <v>11.92</v>
      </c>
      <c r="F97" s="112">
        <v>3.24</v>
      </c>
      <c r="G97" s="112">
        <v>44.66</v>
      </c>
      <c r="H97" s="112">
        <v>7.16</v>
      </c>
      <c r="I97" s="112">
        <v>3.85</v>
      </c>
      <c r="J97" s="112">
        <v>0.18</v>
      </c>
      <c r="K97" s="112">
        <v>171.34</v>
      </c>
      <c r="L97" s="112">
        <v>27.39</v>
      </c>
      <c r="M97" s="112">
        <v>88.27</v>
      </c>
      <c r="N97" s="112">
        <v>2.1</v>
      </c>
      <c r="O97" s="112">
        <v>0</v>
      </c>
      <c r="P97" s="112">
        <v>0.39</v>
      </c>
      <c r="Q97" s="112">
        <v>5.04</v>
      </c>
    </row>
    <row r="98" spans="1:22" customFormat="1">
      <c r="A98" s="80">
        <v>45538.9375</v>
      </c>
      <c r="B98" s="112">
        <v>9.26</v>
      </c>
      <c r="C98" s="112">
        <v>4.07</v>
      </c>
      <c r="D98" s="112">
        <v>14</v>
      </c>
      <c r="E98" s="112">
        <v>11.51</v>
      </c>
      <c r="F98" s="112">
        <v>2.06</v>
      </c>
      <c r="G98" s="112">
        <v>44.66</v>
      </c>
      <c r="H98" s="112">
        <v>7.16</v>
      </c>
      <c r="I98" s="112">
        <v>3.81</v>
      </c>
      <c r="J98" s="112">
        <v>0.17</v>
      </c>
      <c r="K98" s="112">
        <v>170.12</v>
      </c>
      <c r="L98" s="112">
        <v>27.53</v>
      </c>
      <c r="M98" s="112">
        <v>87.33</v>
      </c>
      <c r="N98" s="112">
        <v>2</v>
      </c>
      <c r="O98" s="112">
        <v>0</v>
      </c>
      <c r="P98" s="112">
        <v>0.41</v>
      </c>
      <c r="Q98" s="112">
        <v>5.04</v>
      </c>
    </row>
    <row r="99" spans="1:22" customFormat="1">
      <c r="A99" s="80">
        <v>45538.947916666664</v>
      </c>
      <c r="B99" s="112">
        <v>9.26</v>
      </c>
      <c r="C99" s="112">
        <v>4.07</v>
      </c>
      <c r="D99" s="112">
        <v>14</v>
      </c>
      <c r="E99" s="112">
        <v>11.32</v>
      </c>
      <c r="F99" s="112">
        <v>1.8</v>
      </c>
      <c r="G99" s="112">
        <v>45.67</v>
      </c>
      <c r="H99" s="112">
        <v>6.68</v>
      </c>
      <c r="I99" s="112">
        <v>3.8</v>
      </c>
      <c r="J99" s="112">
        <v>0.13</v>
      </c>
      <c r="K99" s="112">
        <v>106.97</v>
      </c>
      <c r="L99" s="112">
        <v>27.66</v>
      </c>
      <c r="M99" s="112">
        <v>86.05</v>
      </c>
      <c r="N99" s="112">
        <v>1.8</v>
      </c>
      <c r="O99" s="112">
        <v>0</v>
      </c>
      <c r="P99" s="112">
        <v>0.42</v>
      </c>
      <c r="Q99" s="112">
        <v>5.0199999999999996</v>
      </c>
    </row>
    <row r="100" spans="1:22" customFormat="1">
      <c r="A100" s="80">
        <v>45538.958333333336</v>
      </c>
      <c r="B100" s="112">
        <v>9.27</v>
      </c>
      <c r="C100" s="112">
        <v>4.07</v>
      </c>
      <c r="D100" s="112">
        <v>14.01</v>
      </c>
      <c r="E100" s="112">
        <v>11.46</v>
      </c>
      <c r="F100" s="112">
        <v>1.97</v>
      </c>
      <c r="G100" s="112">
        <v>49.19</v>
      </c>
      <c r="H100" s="112">
        <v>5.48</v>
      </c>
      <c r="I100" s="112">
        <v>3.84</v>
      </c>
      <c r="J100" s="112">
        <v>0.17</v>
      </c>
      <c r="K100" s="112">
        <v>185.86</v>
      </c>
      <c r="L100" s="112">
        <v>27.58</v>
      </c>
      <c r="M100" s="112">
        <v>86.08</v>
      </c>
      <c r="N100" s="112">
        <v>2.1</v>
      </c>
      <c r="O100" s="112">
        <v>0</v>
      </c>
      <c r="P100" s="112">
        <v>0.42</v>
      </c>
      <c r="Q100" s="112">
        <v>5.04</v>
      </c>
    </row>
    <row r="101" spans="1:22" customFormat="1">
      <c r="A101" s="80">
        <v>45538.96875</v>
      </c>
      <c r="B101" s="112">
        <v>9.26</v>
      </c>
      <c r="C101" s="112">
        <v>4.07</v>
      </c>
      <c r="D101" s="112">
        <v>14</v>
      </c>
      <c r="E101" s="112">
        <v>11.76</v>
      </c>
      <c r="F101" s="112">
        <v>1.52</v>
      </c>
      <c r="G101" s="112">
        <v>49.19</v>
      </c>
      <c r="H101" s="112">
        <v>5.48</v>
      </c>
      <c r="I101" s="112">
        <v>4.12</v>
      </c>
      <c r="J101" s="112">
        <v>0.17</v>
      </c>
      <c r="K101" s="112">
        <v>217.1</v>
      </c>
      <c r="L101" s="112">
        <v>27.22</v>
      </c>
      <c r="M101" s="112">
        <v>89.75</v>
      </c>
      <c r="N101" s="112">
        <v>2.2000000000000002</v>
      </c>
      <c r="O101" s="112">
        <v>0</v>
      </c>
      <c r="P101" s="112">
        <v>0.42</v>
      </c>
      <c r="Q101" s="112">
        <v>5.0199999999999996</v>
      </c>
    </row>
    <row r="102" spans="1:22" customFormat="1">
      <c r="A102" s="80">
        <v>45538.979166666664</v>
      </c>
      <c r="B102" s="112">
        <v>9.25</v>
      </c>
      <c r="C102" s="112">
        <v>4.09</v>
      </c>
      <c r="D102" s="112">
        <v>14</v>
      </c>
      <c r="E102" s="112">
        <v>11.76</v>
      </c>
      <c r="F102" s="112">
        <v>1.38</v>
      </c>
      <c r="G102" s="112">
        <v>49.19</v>
      </c>
      <c r="H102" s="112">
        <v>5.48</v>
      </c>
      <c r="I102" s="112">
        <v>4.45</v>
      </c>
      <c r="J102" s="112">
        <v>0.15</v>
      </c>
      <c r="K102" s="112">
        <v>182.63</v>
      </c>
      <c r="L102" s="112">
        <v>27.09</v>
      </c>
      <c r="M102" s="112">
        <v>90.51</v>
      </c>
      <c r="N102" s="112">
        <v>2.1</v>
      </c>
      <c r="O102" s="112">
        <v>0</v>
      </c>
      <c r="P102" s="112">
        <v>0.41</v>
      </c>
      <c r="Q102" s="112">
        <v>5.03</v>
      </c>
    </row>
    <row r="103" spans="1:22" customFormat="1">
      <c r="A103" s="80">
        <v>45538.989583333336</v>
      </c>
      <c r="B103" s="112">
        <v>9.26</v>
      </c>
      <c r="C103" s="112">
        <v>4.09</v>
      </c>
      <c r="D103" s="112">
        <v>14.01</v>
      </c>
      <c r="E103" s="112">
        <v>11.98</v>
      </c>
      <c r="F103" s="112">
        <v>1.83</v>
      </c>
      <c r="G103" s="112">
        <v>49.58</v>
      </c>
      <c r="H103" s="112">
        <v>5</v>
      </c>
      <c r="I103" s="112">
        <v>4.4400000000000004</v>
      </c>
      <c r="J103" s="112">
        <v>0.16</v>
      </c>
      <c r="K103" s="112">
        <v>100.34</v>
      </c>
      <c r="L103" s="112">
        <v>27.34</v>
      </c>
      <c r="M103" s="112">
        <v>88.18</v>
      </c>
      <c r="N103" s="112">
        <v>1.9</v>
      </c>
      <c r="O103" s="112">
        <v>0</v>
      </c>
      <c r="P103" s="112">
        <v>0.44</v>
      </c>
      <c r="Q103" s="112">
        <v>5.03</v>
      </c>
    </row>
    <row r="104" spans="1:22" customFormat="1">
      <c r="A104" s="80">
        <v>45539</v>
      </c>
      <c r="B104" s="112">
        <v>9.26</v>
      </c>
      <c r="C104" s="112">
        <v>4.07</v>
      </c>
      <c r="D104" s="112">
        <v>14.01</v>
      </c>
      <c r="E104" s="112">
        <v>12.21</v>
      </c>
      <c r="F104" s="112">
        <v>1.74</v>
      </c>
      <c r="G104" s="112">
        <v>50.95</v>
      </c>
      <c r="H104" s="112">
        <v>3.9</v>
      </c>
      <c r="I104" s="112">
        <v>4.5</v>
      </c>
      <c r="J104" s="112">
        <v>0.16</v>
      </c>
      <c r="K104" s="112">
        <v>87.62</v>
      </c>
      <c r="L104" s="112">
        <v>27.55</v>
      </c>
      <c r="M104" s="112">
        <v>86.93</v>
      </c>
      <c r="N104" s="112">
        <v>1.8</v>
      </c>
      <c r="O104" s="112">
        <v>0</v>
      </c>
      <c r="P104" s="112">
        <v>0.43</v>
      </c>
      <c r="Q104" s="112">
        <v>5.04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9.18</v>
      </c>
      <c r="C106" s="183">
        <f>MIN(C9:C104)</f>
        <v>4.04</v>
      </c>
      <c r="D106" s="183">
        <f t="shared" ref="D106:Q106" si="0">MIN(D9:D104)</f>
        <v>14</v>
      </c>
      <c r="E106" s="183">
        <f t="shared" si="0"/>
        <v>7.54</v>
      </c>
      <c r="F106" s="183">
        <f t="shared" si="0"/>
        <v>1.38</v>
      </c>
      <c r="G106" s="183">
        <f t="shared" si="0"/>
        <v>7.35</v>
      </c>
      <c r="H106" s="183">
        <f t="shared" si="0"/>
        <v>1.8</v>
      </c>
      <c r="I106" s="183">
        <f t="shared" si="0"/>
        <v>2.8</v>
      </c>
      <c r="J106" s="183">
        <f t="shared" si="0"/>
        <v>7.0000000000000007E-2</v>
      </c>
      <c r="K106" s="183">
        <f t="shared" si="0"/>
        <v>57.3</v>
      </c>
      <c r="L106" s="183">
        <f t="shared" si="0"/>
        <v>25.82</v>
      </c>
      <c r="M106" s="183">
        <f t="shared" si="0"/>
        <v>57.45</v>
      </c>
      <c r="N106" s="183">
        <f t="shared" si="0"/>
        <v>1.8</v>
      </c>
      <c r="O106" s="183">
        <f t="shared" si="0"/>
        <v>0</v>
      </c>
      <c r="P106" s="183">
        <f t="shared" si="0"/>
        <v>0.25</v>
      </c>
      <c r="Q106" s="183">
        <f t="shared" si="0"/>
        <v>5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9.33</v>
      </c>
      <c r="C107" s="184">
        <f t="shared" ref="C107:Q107" si="1">MAX(C9:C104)</f>
        <v>4.1900000000000004</v>
      </c>
      <c r="D107" s="184">
        <f t="shared" si="1"/>
        <v>14.06</v>
      </c>
      <c r="E107" s="184">
        <f t="shared" si="1"/>
        <v>12.34</v>
      </c>
      <c r="F107" s="184">
        <f t="shared" si="1"/>
        <v>8.35</v>
      </c>
      <c r="G107" s="184">
        <f t="shared" si="1"/>
        <v>50.95</v>
      </c>
      <c r="H107" s="184">
        <f t="shared" si="1"/>
        <v>12.13</v>
      </c>
      <c r="I107" s="184">
        <f t="shared" si="1"/>
        <v>4.5</v>
      </c>
      <c r="J107" s="184">
        <f t="shared" si="1"/>
        <v>0.61</v>
      </c>
      <c r="K107" s="184">
        <f t="shared" si="1"/>
        <v>257.85000000000002</v>
      </c>
      <c r="L107" s="184">
        <f t="shared" si="1"/>
        <v>32.78</v>
      </c>
      <c r="M107" s="184">
        <f t="shared" si="1"/>
        <v>95.51</v>
      </c>
      <c r="N107" s="184">
        <f t="shared" si="1"/>
        <v>490.2</v>
      </c>
      <c r="O107" s="184">
        <f t="shared" si="1"/>
        <v>0</v>
      </c>
      <c r="P107" s="184">
        <f t="shared" si="1"/>
        <v>0.44</v>
      </c>
      <c r="Q107" s="184">
        <f t="shared" si="1"/>
        <v>5.0599999999999996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9.2350000000000012</v>
      </c>
      <c r="C108" s="183">
        <f t="shared" ref="C108:Q108" si="2">AVERAGE(C9:C104)</f>
        <v>4.1142708333333307</v>
      </c>
      <c r="D108" s="183">
        <f t="shared" si="2"/>
        <v>14.004583333333329</v>
      </c>
      <c r="E108" s="183">
        <f t="shared" si="2"/>
        <v>10.13541666666667</v>
      </c>
      <c r="F108" s="183">
        <f t="shared" si="2"/>
        <v>4.7608333333333333</v>
      </c>
      <c r="G108" s="183">
        <f t="shared" si="2"/>
        <v>21.003749999999997</v>
      </c>
      <c r="H108" s="183">
        <f t="shared" si="2"/>
        <v>4.7483333333333357</v>
      </c>
      <c r="I108" s="183">
        <f t="shared" si="2"/>
        <v>3.3427083333333325</v>
      </c>
      <c r="J108" s="183">
        <f t="shared" si="2"/>
        <v>0.21875000000000011</v>
      </c>
      <c r="K108" s="183">
        <f t="shared" si="2"/>
        <v>140.43708333333333</v>
      </c>
      <c r="L108" s="183">
        <f t="shared" si="2"/>
        <v>28.705625000000008</v>
      </c>
      <c r="M108" s="183">
        <f t="shared" si="2"/>
        <v>79.205937500000005</v>
      </c>
      <c r="N108" s="183">
        <f t="shared" si="2"/>
        <v>91.414583333333368</v>
      </c>
      <c r="O108" s="183">
        <f t="shared" si="2"/>
        <v>0</v>
      </c>
      <c r="P108" s="183">
        <f t="shared" si="2"/>
        <v>0.33187499999999998</v>
      </c>
      <c r="Q108" s="183">
        <f t="shared" si="2"/>
        <v>5.0348958333333309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3.2734980485230485E-2</v>
      </c>
      <c r="C109" s="183">
        <f t="shared" ref="C109:Q109" si="3">STDEV(C9:C104)</f>
        <v>3.5681184535053756E-2</v>
      </c>
      <c r="D109" s="183">
        <f t="shared" si="3"/>
        <v>1.1600060495909996E-2</v>
      </c>
      <c r="E109" s="183">
        <f t="shared" si="3"/>
        <v>1.2087766035098888</v>
      </c>
      <c r="F109" s="183">
        <f t="shared" si="3"/>
        <v>1.6017001931609807</v>
      </c>
      <c r="G109" s="183">
        <f t="shared" si="3"/>
        <v>11.51510552548946</v>
      </c>
      <c r="H109" s="183">
        <f t="shared" si="3"/>
        <v>2.4995332897696434</v>
      </c>
      <c r="I109" s="183">
        <f t="shared" si="3"/>
        <v>0.37480234557112607</v>
      </c>
      <c r="J109" s="183">
        <f t="shared" si="3"/>
        <v>0.10436020616872554</v>
      </c>
      <c r="K109" s="183">
        <f t="shared" si="3"/>
        <v>47.124513632373066</v>
      </c>
      <c r="L109" s="183">
        <f t="shared" si="3"/>
        <v>2.1596431540028531</v>
      </c>
      <c r="M109" s="183">
        <f t="shared" si="3"/>
        <v>11.442328763538082</v>
      </c>
      <c r="N109" s="183">
        <f t="shared" si="3"/>
        <v>129.47447216722861</v>
      </c>
      <c r="O109" s="183">
        <f t="shared" si="3"/>
        <v>0</v>
      </c>
      <c r="P109" s="183">
        <f t="shared" si="3"/>
        <v>4.986956671368465E-2</v>
      </c>
      <c r="Q109" s="183">
        <f t="shared" si="3"/>
        <v>1.0051948401512328E-2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5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45539.010416666664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45539.010416666664</v>
      </c>
      <c r="B9" s="112">
        <v>9.26</v>
      </c>
      <c r="C9" s="112">
        <v>4.0599999999999996</v>
      </c>
      <c r="D9" s="112">
        <v>14</v>
      </c>
      <c r="E9" s="112">
        <v>11.7</v>
      </c>
      <c r="F9" s="112">
        <v>1.64</v>
      </c>
      <c r="G9" s="112">
        <v>50.95</v>
      </c>
      <c r="H9" s="112">
        <v>3.9</v>
      </c>
      <c r="I9" s="112">
        <v>4.5599999999999996</v>
      </c>
      <c r="J9" s="112">
        <v>0.14000000000000001</v>
      </c>
      <c r="K9" s="112">
        <v>141.38</v>
      </c>
      <c r="L9" s="112">
        <v>27.5</v>
      </c>
      <c r="M9" s="112">
        <v>87.73</v>
      </c>
      <c r="N9" s="112">
        <v>2</v>
      </c>
      <c r="O9" s="112">
        <v>0</v>
      </c>
      <c r="P9" s="112">
        <v>0.42</v>
      </c>
      <c r="Q9" s="112">
        <v>5.03</v>
      </c>
    </row>
    <row r="10" spans="1:21" customFormat="1">
      <c r="A10" s="80">
        <v>45539.020833333336</v>
      </c>
      <c r="B10" s="112">
        <v>9.3000000000000007</v>
      </c>
      <c r="C10" s="112">
        <v>4.05</v>
      </c>
      <c r="D10" s="112">
        <v>14.02</v>
      </c>
      <c r="E10" s="112">
        <v>11.54</v>
      </c>
      <c r="F10" s="112">
        <v>2.0499999999999998</v>
      </c>
      <c r="G10" s="112">
        <v>50.95</v>
      </c>
      <c r="H10" s="112">
        <v>3.9</v>
      </c>
      <c r="I10" s="112">
        <v>4.43</v>
      </c>
      <c r="J10" s="112">
        <v>0.12</v>
      </c>
      <c r="K10" s="112">
        <v>122.9</v>
      </c>
      <c r="L10" s="112">
        <v>27.33</v>
      </c>
      <c r="M10" s="112">
        <v>88.72</v>
      </c>
      <c r="N10" s="112">
        <v>2.1</v>
      </c>
      <c r="O10" s="112">
        <v>0</v>
      </c>
      <c r="P10" s="112">
        <v>0.41</v>
      </c>
      <c r="Q10" s="112">
        <v>5.04</v>
      </c>
    </row>
    <row r="11" spans="1:21" customFormat="1">
      <c r="A11" s="80">
        <v>45539.03125</v>
      </c>
      <c r="B11" s="112">
        <v>9.3000000000000007</v>
      </c>
      <c r="C11" s="112">
        <v>4.0599999999999996</v>
      </c>
      <c r="D11" s="112">
        <v>14.03</v>
      </c>
      <c r="E11" s="112">
        <v>10.84</v>
      </c>
      <c r="F11" s="112">
        <v>2.1</v>
      </c>
      <c r="G11" s="112">
        <v>51.33</v>
      </c>
      <c r="H11" s="112">
        <v>4.3600000000000003</v>
      </c>
      <c r="I11" s="112">
        <v>4.32</v>
      </c>
      <c r="J11" s="112">
        <v>0.1</v>
      </c>
      <c r="K11" s="112">
        <v>163.33000000000001</v>
      </c>
      <c r="L11" s="112">
        <v>27.15</v>
      </c>
      <c r="M11" s="112">
        <v>90.02</v>
      </c>
      <c r="N11" s="112">
        <v>2.1</v>
      </c>
      <c r="O11" s="112">
        <v>0</v>
      </c>
      <c r="P11" s="112">
        <v>0.4</v>
      </c>
      <c r="Q11" s="112">
        <v>5.03</v>
      </c>
    </row>
    <row r="12" spans="1:21" customFormat="1">
      <c r="A12" s="80">
        <v>45539.041666666664</v>
      </c>
      <c r="B12" s="112">
        <v>9.3000000000000007</v>
      </c>
      <c r="C12" s="112">
        <v>4.09</v>
      </c>
      <c r="D12" s="112">
        <v>14.04</v>
      </c>
      <c r="E12" s="112">
        <v>10.47</v>
      </c>
      <c r="F12" s="112">
        <v>2.2799999999999998</v>
      </c>
      <c r="G12" s="112">
        <v>52.68</v>
      </c>
      <c r="H12" s="112">
        <v>5.45</v>
      </c>
      <c r="I12" s="112">
        <v>4.25</v>
      </c>
      <c r="J12" s="112">
        <v>0.15</v>
      </c>
      <c r="K12" s="112">
        <v>220.83</v>
      </c>
      <c r="L12" s="112">
        <v>26.81</v>
      </c>
      <c r="M12" s="112">
        <v>92.12</v>
      </c>
      <c r="N12" s="112">
        <v>2.2000000000000002</v>
      </c>
      <c r="O12" s="112">
        <v>0</v>
      </c>
      <c r="P12" s="112">
        <v>0.39</v>
      </c>
      <c r="Q12" s="112">
        <v>5.03</v>
      </c>
    </row>
    <row r="13" spans="1:21" customFormat="1">
      <c r="A13" s="80">
        <v>45539.052083333336</v>
      </c>
      <c r="B13" s="112">
        <v>9.2899999999999991</v>
      </c>
      <c r="C13" s="112">
        <v>4.07</v>
      </c>
      <c r="D13" s="112">
        <v>14.03</v>
      </c>
      <c r="E13" s="112">
        <v>10.57</v>
      </c>
      <c r="F13" s="112">
        <v>2.48</v>
      </c>
      <c r="G13" s="112">
        <v>52.68</v>
      </c>
      <c r="H13" s="112">
        <v>5.45</v>
      </c>
      <c r="I13" s="112">
        <v>4.0999999999999996</v>
      </c>
      <c r="J13" s="112">
        <v>0.16</v>
      </c>
      <c r="K13" s="112">
        <v>207.83</v>
      </c>
      <c r="L13" s="112">
        <v>26.53</v>
      </c>
      <c r="M13" s="112">
        <v>94.17</v>
      </c>
      <c r="N13" s="112">
        <v>2.1</v>
      </c>
      <c r="O13" s="112">
        <v>0</v>
      </c>
      <c r="P13" s="112">
        <v>0.38</v>
      </c>
      <c r="Q13" s="112">
        <v>5.04</v>
      </c>
    </row>
    <row r="14" spans="1:21" customFormat="1">
      <c r="A14" s="80">
        <v>45539.0625</v>
      </c>
      <c r="B14" s="112">
        <v>9.3000000000000007</v>
      </c>
      <c r="C14" s="112">
        <v>4.0599999999999996</v>
      </c>
      <c r="D14" s="112">
        <v>14.03</v>
      </c>
      <c r="E14" s="112">
        <v>10.210000000000001</v>
      </c>
      <c r="F14" s="112">
        <v>2.19</v>
      </c>
      <c r="G14" s="112">
        <v>52.68</v>
      </c>
      <c r="H14" s="112">
        <v>5.45</v>
      </c>
      <c r="I14" s="112">
        <v>4.0599999999999996</v>
      </c>
      <c r="J14" s="112">
        <v>0.16</v>
      </c>
      <c r="K14" s="112">
        <v>183.92</v>
      </c>
      <c r="L14" s="112">
        <v>26.41</v>
      </c>
      <c r="M14" s="112">
        <v>94.73</v>
      </c>
      <c r="N14" s="112">
        <v>2.1</v>
      </c>
      <c r="O14" s="112">
        <v>0</v>
      </c>
      <c r="P14" s="112">
        <v>0.37</v>
      </c>
      <c r="Q14" s="112">
        <v>5.04</v>
      </c>
    </row>
    <row r="15" spans="1:21" customFormat="1">
      <c r="A15" s="80">
        <v>45539.072916666664</v>
      </c>
      <c r="B15" s="112">
        <v>9.3000000000000007</v>
      </c>
      <c r="C15" s="112">
        <v>4.0599999999999996</v>
      </c>
      <c r="D15" s="112">
        <v>14.03</v>
      </c>
      <c r="E15" s="112">
        <v>10.15</v>
      </c>
      <c r="F15" s="112">
        <v>2.11</v>
      </c>
      <c r="G15" s="112">
        <v>51.99</v>
      </c>
      <c r="H15" s="112">
        <v>5.0599999999999996</v>
      </c>
      <c r="I15" s="112">
        <v>4.21</v>
      </c>
      <c r="J15" s="112">
        <v>7.0000000000000007E-2</v>
      </c>
      <c r="K15" s="112">
        <v>168.15</v>
      </c>
      <c r="L15" s="112">
        <v>26.25</v>
      </c>
      <c r="M15" s="112">
        <v>95.54</v>
      </c>
      <c r="N15" s="112">
        <v>2.1</v>
      </c>
      <c r="O15" s="112">
        <v>0</v>
      </c>
      <c r="P15" s="112">
        <v>0.37</v>
      </c>
      <c r="Q15" s="112">
        <v>5.05</v>
      </c>
    </row>
    <row r="16" spans="1:21" customFormat="1">
      <c r="A16" s="80">
        <v>45539.083333333336</v>
      </c>
      <c r="B16" s="112">
        <v>9.31</v>
      </c>
      <c r="C16" s="112">
        <v>4.07</v>
      </c>
      <c r="D16" s="112">
        <v>14.04</v>
      </c>
      <c r="E16" s="112">
        <v>9.4600000000000009</v>
      </c>
      <c r="F16" s="112">
        <v>1.64</v>
      </c>
      <c r="G16" s="112">
        <v>49.4</v>
      </c>
      <c r="H16" s="112">
        <v>4.07</v>
      </c>
      <c r="I16" s="112">
        <v>4.28</v>
      </c>
      <c r="J16" s="112">
        <v>0.1</v>
      </c>
      <c r="K16" s="112">
        <v>95.85</v>
      </c>
      <c r="L16" s="112">
        <v>26.18</v>
      </c>
      <c r="M16" s="112">
        <v>96.22</v>
      </c>
      <c r="N16" s="112">
        <v>2.1</v>
      </c>
      <c r="O16" s="112">
        <v>0</v>
      </c>
      <c r="P16" s="112">
        <v>0.36</v>
      </c>
      <c r="Q16" s="112">
        <v>5.04</v>
      </c>
    </row>
    <row r="17" spans="1:17" customFormat="1">
      <c r="A17" s="80">
        <v>45539.09375</v>
      </c>
      <c r="B17" s="112">
        <v>9.33</v>
      </c>
      <c r="C17" s="112">
        <v>4.0599999999999996</v>
      </c>
      <c r="D17" s="112">
        <v>14.05</v>
      </c>
      <c r="E17" s="112">
        <v>6.26</v>
      </c>
      <c r="F17" s="112">
        <v>1.78</v>
      </c>
      <c r="G17" s="112">
        <v>49.4</v>
      </c>
      <c r="H17" s="112">
        <v>4.07</v>
      </c>
      <c r="I17" s="112">
        <v>4.21</v>
      </c>
      <c r="J17" s="112">
        <v>0.14000000000000001</v>
      </c>
      <c r="K17" s="112">
        <v>213.05</v>
      </c>
      <c r="L17" s="112">
        <v>26.23</v>
      </c>
      <c r="M17" s="112">
        <v>95.93</v>
      </c>
      <c r="N17" s="112">
        <v>2</v>
      </c>
      <c r="O17" s="112">
        <v>0</v>
      </c>
      <c r="P17" s="112">
        <v>0.35</v>
      </c>
      <c r="Q17" s="112">
        <v>5.04</v>
      </c>
    </row>
    <row r="18" spans="1:17" customFormat="1">
      <c r="A18" s="80">
        <v>45539.104166666664</v>
      </c>
      <c r="B18" s="112">
        <v>9.32</v>
      </c>
      <c r="C18" s="112">
        <v>4.0599999999999996</v>
      </c>
      <c r="D18" s="112">
        <v>14.04</v>
      </c>
      <c r="E18" s="112">
        <v>7.3</v>
      </c>
      <c r="F18" s="112">
        <v>1.89</v>
      </c>
      <c r="G18" s="112">
        <v>49.4</v>
      </c>
      <c r="H18" s="112">
        <v>4.07</v>
      </c>
      <c r="I18" s="112">
        <v>4.16</v>
      </c>
      <c r="J18" s="112">
        <v>0.13</v>
      </c>
      <c r="K18" s="112">
        <v>224.61</v>
      </c>
      <c r="L18" s="112">
        <v>26.15</v>
      </c>
      <c r="M18" s="112">
        <v>96.59</v>
      </c>
      <c r="N18" s="112">
        <v>2.1</v>
      </c>
      <c r="O18" s="112">
        <v>0</v>
      </c>
      <c r="P18" s="112">
        <v>0.35</v>
      </c>
      <c r="Q18" s="112">
        <v>5.03</v>
      </c>
    </row>
    <row r="19" spans="1:17" customFormat="1">
      <c r="A19" s="80">
        <v>45539.114583333336</v>
      </c>
      <c r="B19" s="112">
        <v>9.31</v>
      </c>
      <c r="C19" s="112">
        <v>4.07</v>
      </c>
      <c r="D19" s="112">
        <v>14.04</v>
      </c>
      <c r="E19" s="112">
        <v>6.89</v>
      </c>
      <c r="F19" s="112">
        <v>1.84</v>
      </c>
      <c r="G19" s="112">
        <v>47.02</v>
      </c>
      <c r="H19" s="112">
        <v>4.66</v>
      </c>
      <c r="I19" s="112">
        <v>4.1100000000000003</v>
      </c>
      <c r="J19" s="112">
        <v>0.1</v>
      </c>
      <c r="K19" s="112">
        <v>214.19</v>
      </c>
      <c r="L19" s="112">
        <v>26.08</v>
      </c>
      <c r="M19" s="112">
        <v>97.22</v>
      </c>
      <c r="N19" s="112">
        <v>2.1</v>
      </c>
      <c r="O19" s="112">
        <v>0</v>
      </c>
      <c r="P19" s="112">
        <v>0.35</v>
      </c>
      <c r="Q19" s="112">
        <v>5.04</v>
      </c>
    </row>
    <row r="20" spans="1:17" customFormat="1">
      <c r="A20" s="80">
        <v>45539.125</v>
      </c>
      <c r="B20" s="112">
        <v>9.32</v>
      </c>
      <c r="C20" s="112">
        <v>4.0599999999999996</v>
      </c>
      <c r="D20" s="112">
        <v>14.04</v>
      </c>
      <c r="E20" s="112">
        <v>7</v>
      </c>
      <c r="F20" s="112">
        <v>1.76</v>
      </c>
      <c r="G20" s="112">
        <v>38.69</v>
      </c>
      <c r="H20" s="112">
        <v>7.44</v>
      </c>
      <c r="I20" s="112">
        <v>4.1100000000000003</v>
      </c>
      <c r="J20" s="112">
        <v>0.09</v>
      </c>
      <c r="K20" s="112">
        <v>254.81</v>
      </c>
      <c r="L20" s="112">
        <v>25.99</v>
      </c>
      <c r="M20" s="112">
        <v>97.64</v>
      </c>
      <c r="N20" s="112">
        <v>2.1</v>
      </c>
      <c r="O20" s="112">
        <v>0</v>
      </c>
      <c r="P20" s="112">
        <v>0.33</v>
      </c>
      <c r="Q20" s="112">
        <v>5.05</v>
      </c>
    </row>
    <row r="21" spans="1:17" customFormat="1">
      <c r="A21" s="80">
        <v>45539.135416666664</v>
      </c>
      <c r="B21" s="112">
        <v>9.34</v>
      </c>
      <c r="C21" s="112">
        <v>4.04</v>
      </c>
      <c r="D21" s="112">
        <v>14.05</v>
      </c>
      <c r="E21" s="112">
        <v>6.72</v>
      </c>
      <c r="F21" s="112">
        <v>1.36</v>
      </c>
      <c r="G21" s="112">
        <v>38.69</v>
      </c>
      <c r="H21" s="112">
        <v>7.44</v>
      </c>
      <c r="I21" s="112">
        <v>4.1399999999999997</v>
      </c>
      <c r="J21" s="112">
        <v>0.14000000000000001</v>
      </c>
      <c r="K21" s="112">
        <v>192.29</v>
      </c>
      <c r="L21" s="112">
        <v>25.97</v>
      </c>
      <c r="M21" s="112">
        <v>97.78</v>
      </c>
      <c r="N21" s="112">
        <v>2.1</v>
      </c>
      <c r="O21" s="112">
        <v>0</v>
      </c>
      <c r="P21" s="112">
        <v>0.33</v>
      </c>
      <c r="Q21" s="112">
        <v>5.04</v>
      </c>
    </row>
    <row r="22" spans="1:17" customFormat="1">
      <c r="A22" s="80">
        <v>45539.145833333336</v>
      </c>
      <c r="B22" s="112">
        <v>9.34</v>
      </c>
      <c r="C22" s="112">
        <v>4.0599999999999996</v>
      </c>
      <c r="D22" s="112">
        <v>14.06</v>
      </c>
      <c r="E22" s="112">
        <v>6.75</v>
      </c>
      <c r="F22" s="112">
        <v>1.17</v>
      </c>
      <c r="G22" s="112">
        <v>38.69</v>
      </c>
      <c r="H22" s="112">
        <v>7.44</v>
      </c>
      <c r="I22" s="112">
        <v>4.16</v>
      </c>
      <c r="J22" s="112">
        <v>0.12</v>
      </c>
      <c r="K22" s="112">
        <v>218.77</v>
      </c>
      <c r="L22" s="112">
        <v>25.97</v>
      </c>
      <c r="M22" s="112">
        <v>98.09</v>
      </c>
      <c r="N22" s="112">
        <v>2</v>
      </c>
      <c r="O22" s="112">
        <v>0</v>
      </c>
      <c r="P22" s="112">
        <v>0.32</v>
      </c>
      <c r="Q22" s="112">
        <v>5.07</v>
      </c>
    </row>
    <row r="23" spans="1:17" customFormat="1">
      <c r="A23" s="80">
        <v>45539.15625</v>
      </c>
      <c r="B23" s="112">
        <v>9.32</v>
      </c>
      <c r="C23" s="112">
        <v>4.07</v>
      </c>
      <c r="D23" s="112">
        <v>14.05</v>
      </c>
      <c r="E23" s="112">
        <v>6.5</v>
      </c>
      <c r="F23" s="112">
        <v>1.35</v>
      </c>
      <c r="G23" s="112">
        <v>36.51</v>
      </c>
      <c r="H23" s="112">
        <v>7.36</v>
      </c>
      <c r="I23" s="112">
        <v>4.1100000000000003</v>
      </c>
      <c r="J23" s="112">
        <v>0.14000000000000001</v>
      </c>
      <c r="K23" s="112">
        <v>245.21</v>
      </c>
      <c r="L23" s="112">
        <v>25.88</v>
      </c>
      <c r="M23" s="112">
        <v>98.42</v>
      </c>
      <c r="N23" s="112">
        <v>2.1</v>
      </c>
      <c r="O23" s="112">
        <v>0</v>
      </c>
      <c r="P23" s="112">
        <v>0.33</v>
      </c>
      <c r="Q23" s="112">
        <v>5.05</v>
      </c>
    </row>
    <row r="24" spans="1:17" customFormat="1">
      <c r="A24" s="80">
        <v>45539.166666666664</v>
      </c>
      <c r="B24" s="112">
        <v>9.32</v>
      </c>
      <c r="C24" s="112">
        <v>4.07</v>
      </c>
      <c r="D24" s="112">
        <v>14.05</v>
      </c>
      <c r="E24" s="112">
        <v>6.51</v>
      </c>
      <c r="F24" s="112">
        <v>1.33</v>
      </c>
      <c r="G24" s="112">
        <v>28.89</v>
      </c>
      <c r="H24" s="112">
        <v>7.15</v>
      </c>
      <c r="I24" s="112">
        <v>4.05</v>
      </c>
      <c r="J24" s="112">
        <v>0.1</v>
      </c>
      <c r="K24" s="112">
        <v>205.37</v>
      </c>
      <c r="L24" s="112">
        <v>25.84</v>
      </c>
      <c r="M24" s="112">
        <v>98.55</v>
      </c>
      <c r="N24" s="112">
        <v>2.1</v>
      </c>
      <c r="O24" s="112">
        <v>0</v>
      </c>
      <c r="P24" s="112">
        <v>0.32</v>
      </c>
      <c r="Q24" s="112">
        <v>5.04</v>
      </c>
    </row>
    <row r="25" spans="1:17" customFormat="1">
      <c r="A25" s="80">
        <v>45539.177083333336</v>
      </c>
      <c r="B25" s="112">
        <v>9.2899999999999991</v>
      </c>
      <c r="C25" s="112">
        <v>4.07</v>
      </c>
      <c r="D25" s="112">
        <v>14.03</v>
      </c>
      <c r="E25" s="112">
        <v>7.08</v>
      </c>
      <c r="F25" s="112">
        <v>1.81</v>
      </c>
      <c r="G25" s="112">
        <v>28.89</v>
      </c>
      <c r="H25" s="112">
        <v>7.15</v>
      </c>
      <c r="I25" s="112">
        <v>4.01</v>
      </c>
      <c r="J25" s="112">
        <v>7.0000000000000007E-2</v>
      </c>
      <c r="K25" s="112">
        <v>216.72</v>
      </c>
      <c r="L25" s="112">
        <v>25.73</v>
      </c>
      <c r="M25" s="112">
        <v>98.52</v>
      </c>
      <c r="N25" s="112">
        <v>2.1</v>
      </c>
      <c r="O25" s="112">
        <v>0</v>
      </c>
      <c r="P25" s="112">
        <v>0.32</v>
      </c>
      <c r="Q25" s="112">
        <v>5.04</v>
      </c>
    </row>
    <row r="26" spans="1:17" customFormat="1">
      <c r="A26" s="80">
        <v>45539.1875</v>
      </c>
      <c r="B26" s="112">
        <v>9.27</v>
      </c>
      <c r="C26" s="112">
        <v>4.09</v>
      </c>
      <c r="D26" s="112">
        <v>14.02</v>
      </c>
      <c r="E26" s="112">
        <v>6.54</v>
      </c>
      <c r="F26" s="112">
        <v>1.76</v>
      </c>
      <c r="G26" s="112">
        <v>28.89</v>
      </c>
      <c r="H26" s="112">
        <v>7.15</v>
      </c>
      <c r="I26" s="112">
        <v>3.99</v>
      </c>
      <c r="J26" s="112">
        <v>7.0000000000000007E-2</v>
      </c>
      <c r="K26" s="112">
        <v>213.99</v>
      </c>
      <c r="L26" s="112">
        <v>25.77</v>
      </c>
      <c r="M26" s="112">
        <v>98.67</v>
      </c>
      <c r="N26" s="112">
        <v>2</v>
      </c>
      <c r="O26" s="112">
        <v>0</v>
      </c>
      <c r="P26" s="112">
        <v>0.32</v>
      </c>
      <c r="Q26" s="112">
        <v>5.03</v>
      </c>
    </row>
    <row r="27" spans="1:17" customFormat="1">
      <c r="A27" s="80">
        <v>45539.197916666664</v>
      </c>
      <c r="B27" s="112">
        <v>9.2799999999999994</v>
      </c>
      <c r="C27" s="112">
        <v>4.09</v>
      </c>
      <c r="D27" s="112">
        <v>14.03</v>
      </c>
      <c r="E27" s="112">
        <v>6.77</v>
      </c>
      <c r="F27" s="112">
        <v>1.98</v>
      </c>
      <c r="G27" s="112">
        <v>30.15</v>
      </c>
      <c r="H27" s="112">
        <v>6.99</v>
      </c>
      <c r="I27" s="112">
        <v>3.97</v>
      </c>
      <c r="J27" s="112">
        <v>0.16</v>
      </c>
      <c r="K27" s="112">
        <v>67.25</v>
      </c>
      <c r="L27" s="112">
        <v>25.95</v>
      </c>
      <c r="M27" s="112">
        <v>98.45</v>
      </c>
      <c r="N27" s="112">
        <v>1.8</v>
      </c>
      <c r="O27" s="112">
        <v>0</v>
      </c>
      <c r="P27" s="112">
        <v>0.34</v>
      </c>
      <c r="Q27" s="112">
        <v>5.03</v>
      </c>
    </row>
    <row r="28" spans="1:17" customFormat="1">
      <c r="A28" s="80">
        <v>45539.208333333336</v>
      </c>
      <c r="B28" s="112">
        <v>9.27</v>
      </c>
      <c r="C28" s="112">
        <v>4.07</v>
      </c>
      <c r="D28" s="112">
        <v>14</v>
      </c>
      <c r="E28" s="112">
        <v>7.15</v>
      </c>
      <c r="F28" s="112">
        <v>2.2000000000000002</v>
      </c>
      <c r="G28" s="112">
        <v>34.56</v>
      </c>
      <c r="H28" s="112">
        <v>6.59</v>
      </c>
      <c r="I28" s="112">
        <v>4.07</v>
      </c>
      <c r="J28" s="112">
        <v>0.11</v>
      </c>
      <c r="K28" s="112">
        <v>95.34</v>
      </c>
      <c r="L28" s="112">
        <v>26.1</v>
      </c>
      <c r="M28" s="112">
        <v>97.43</v>
      </c>
      <c r="N28" s="112">
        <v>2</v>
      </c>
      <c r="O28" s="112">
        <v>0</v>
      </c>
      <c r="P28" s="112">
        <v>0.39</v>
      </c>
      <c r="Q28" s="112">
        <v>5.04</v>
      </c>
    </row>
    <row r="29" spans="1:17" customFormat="1">
      <c r="A29" s="80">
        <v>45539.21875</v>
      </c>
      <c r="B29" s="112">
        <v>9.2799999999999994</v>
      </c>
      <c r="C29" s="112">
        <v>4.04</v>
      </c>
      <c r="D29" s="112">
        <v>14</v>
      </c>
      <c r="E29" s="112">
        <v>7.16</v>
      </c>
      <c r="F29" s="112">
        <v>1.9</v>
      </c>
      <c r="G29" s="112">
        <v>34.56</v>
      </c>
      <c r="H29" s="112">
        <v>6.59</v>
      </c>
      <c r="I29" s="112">
        <v>4.2699999999999996</v>
      </c>
      <c r="J29" s="112">
        <v>0.14000000000000001</v>
      </c>
      <c r="K29" s="112">
        <v>173.01</v>
      </c>
      <c r="L29" s="112">
        <v>26.11</v>
      </c>
      <c r="M29" s="112">
        <v>96.99</v>
      </c>
      <c r="N29" s="112">
        <v>2.1</v>
      </c>
      <c r="O29" s="112">
        <v>0</v>
      </c>
      <c r="P29" s="112">
        <v>0.4</v>
      </c>
      <c r="Q29" s="112">
        <v>5.03</v>
      </c>
    </row>
    <row r="30" spans="1:17" customFormat="1">
      <c r="A30" s="80">
        <v>45539.229166666664</v>
      </c>
      <c r="B30" s="112">
        <v>9.27</v>
      </c>
      <c r="C30" s="112">
        <v>4.0599999999999996</v>
      </c>
      <c r="D30" s="112">
        <v>14.01</v>
      </c>
      <c r="E30" s="112">
        <v>6.9</v>
      </c>
      <c r="F30" s="112">
        <v>2.2200000000000002</v>
      </c>
      <c r="G30" s="112">
        <v>34.56</v>
      </c>
      <c r="H30" s="112">
        <v>6.59</v>
      </c>
      <c r="I30" s="112">
        <v>4.38</v>
      </c>
      <c r="J30" s="112">
        <v>0.1</v>
      </c>
      <c r="K30" s="112">
        <v>162.35</v>
      </c>
      <c r="L30" s="112">
        <v>26.14</v>
      </c>
      <c r="M30" s="112">
        <v>97.3</v>
      </c>
      <c r="N30" s="112">
        <v>2.2999999999999998</v>
      </c>
      <c r="O30" s="112">
        <v>0</v>
      </c>
      <c r="P30" s="112">
        <v>0.39</v>
      </c>
      <c r="Q30" s="112">
        <v>5.03</v>
      </c>
    </row>
    <row r="31" spans="1:17" customFormat="1">
      <c r="A31" s="80">
        <v>45539.239583333336</v>
      </c>
      <c r="B31" s="112">
        <v>9.27</v>
      </c>
      <c r="C31" s="112">
        <v>4.07</v>
      </c>
      <c r="D31" s="112">
        <v>14.01</v>
      </c>
      <c r="E31" s="112">
        <v>7</v>
      </c>
      <c r="F31" s="112">
        <v>2.2400000000000002</v>
      </c>
      <c r="G31" s="112">
        <v>34.15</v>
      </c>
      <c r="H31" s="112">
        <v>6.49</v>
      </c>
      <c r="I31" s="112">
        <v>4.3600000000000003</v>
      </c>
      <c r="J31" s="112">
        <v>0.15</v>
      </c>
      <c r="K31" s="112">
        <v>227.2</v>
      </c>
      <c r="L31" s="112">
        <v>26.02</v>
      </c>
      <c r="M31" s="112">
        <v>97.89</v>
      </c>
      <c r="N31" s="112">
        <v>4.2</v>
      </c>
      <c r="O31" s="112">
        <v>0</v>
      </c>
      <c r="P31" s="112">
        <v>0.4</v>
      </c>
      <c r="Q31" s="112">
        <v>5.05</v>
      </c>
    </row>
    <row r="32" spans="1:17" customFormat="1">
      <c r="A32" s="80">
        <v>45539.25</v>
      </c>
      <c r="B32" s="112">
        <v>9.27</v>
      </c>
      <c r="C32" s="112">
        <v>4.05</v>
      </c>
      <c r="D32" s="112">
        <v>14</v>
      </c>
      <c r="E32" s="112">
        <v>7.13</v>
      </c>
      <c r="F32" s="112">
        <v>1.85</v>
      </c>
      <c r="G32" s="112">
        <v>32.61</v>
      </c>
      <c r="H32" s="112">
        <v>6.24</v>
      </c>
      <c r="I32" s="112">
        <v>4.38</v>
      </c>
      <c r="J32" s="112">
        <v>0.17</v>
      </c>
      <c r="K32" s="112">
        <v>249.09</v>
      </c>
      <c r="L32" s="112">
        <v>26.05</v>
      </c>
      <c r="M32" s="112">
        <v>98.12</v>
      </c>
      <c r="N32" s="112">
        <v>9.5</v>
      </c>
      <c r="O32" s="112">
        <v>0</v>
      </c>
      <c r="P32" s="112">
        <v>0.4</v>
      </c>
      <c r="Q32" s="112">
        <v>5.05</v>
      </c>
    </row>
    <row r="33" spans="1:17" customFormat="1">
      <c r="A33" s="80">
        <v>45539.260416666664</v>
      </c>
      <c r="B33" s="112">
        <v>9.2799999999999994</v>
      </c>
      <c r="C33" s="112">
        <v>4.03</v>
      </c>
      <c r="D33" s="112">
        <v>14</v>
      </c>
      <c r="E33" s="112">
        <v>7.61</v>
      </c>
      <c r="F33" s="112">
        <v>1.92</v>
      </c>
      <c r="G33" s="112">
        <v>32.61</v>
      </c>
      <c r="H33" s="112">
        <v>6.24</v>
      </c>
      <c r="I33" s="112">
        <v>4.42</v>
      </c>
      <c r="J33" s="112">
        <v>0.02</v>
      </c>
      <c r="K33" s="112">
        <v>164.17</v>
      </c>
      <c r="L33" s="112">
        <v>26.12</v>
      </c>
      <c r="M33" s="112">
        <v>98.06</v>
      </c>
      <c r="N33" s="112">
        <v>13.5</v>
      </c>
      <c r="O33" s="112">
        <v>0</v>
      </c>
      <c r="P33" s="112">
        <v>0.4</v>
      </c>
      <c r="Q33" s="112">
        <v>5.05</v>
      </c>
    </row>
    <row r="34" spans="1:17" customFormat="1">
      <c r="A34" s="80">
        <v>45539.270833333336</v>
      </c>
      <c r="B34" s="112">
        <v>9.26</v>
      </c>
      <c r="C34" s="112">
        <v>4.0599999999999996</v>
      </c>
      <c r="D34" s="112">
        <v>14</v>
      </c>
      <c r="E34" s="112">
        <v>7.33</v>
      </c>
      <c r="F34" s="112">
        <v>1.84</v>
      </c>
      <c r="G34" s="112">
        <v>32.61</v>
      </c>
      <c r="H34" s="112">
        <v>6.24</v>
      </c>
      <c r="I34" s="112">
        <v>4.45</v>
      </c>
      <c r="J34" s="112">
        <v>0.23</v>
      </c>
      <c r="K34" s="112">
        <v>80.98</v>
      </c>
      <c r="L34" s="112">
        <v>26.54</v>
      </c>
      <c r="M34" s="112">
        <v>96.68</v>
      </c>
      <c r="N34" s="112">
        <v>20.5</v>
      </c>
      <c r="O34" s="112">
        <v>0</v>
      </c>
      <c r="P34" s="112">
        <v>0.42</v>
      </c>
      <c r="Q34" s="112">
        <v>5.05</v>
      </c>
    </row>
    <row r="35" spans="1:17" customFormat="1">
      <c r="A35" s="80">
        <v>45539.28125</v>
      </c>
      <c r="B35" s="112">
        <v>9.26</v>
      </c>
      <c r="C35" s="112">
        <v>4.08</v>
      </c>
      <c r="D35" s="112">
        <v>14.01</v>
      </c>
      <c r="E35" s="112">
        <v>7.15</v>
      </c>
      <c r="F35" s="112">
        <v>1.93</v>
      </c>
      <c r="G35" s="112">
        <v>34.659999999999997</v>
      </c>
      <c r="H35" s="112">
        <v>8.36</v>
      </c>
      <c r="I35" s="112">
        <v>4.51</v>
      </c>
      <c r="J35" s="112">
        <v>0.44</v>
      </c>
      <c r="K35" s="112">
        <v>64.88</v>
      </c>
      <c r="L35" s="112">
        <v>26.83</v>
      </c>
      <c r="M35" s="112">
        <v>94.38</v>
      </c>
      <c r="N35" s="112">
        <v>28.4</v>
      </c>
      <c r="O35" s="112">
        <v>0</v>
      </c>
      <c r="P35" s="112">
        <v>0.42</v>
      </c>
      <c r="Q35" s="112">
        <v>5.05</v>
      </c>
    </row>
    <row r="36" spans="1:17" customFormat="1">
      <c r="A36" s="80">
        <v>45539.291666666664</v>
      </c>
      <c r="B36" s="112">
        <v>9.26</v>
      </c>
      <c r="C36" s="112">
        <v>4.07</v>
      </c>
      <c r="D36" s="112">
        <v>14</v>
      </c>
      <c r="E36" s="112">
        <v>7.74</v>
      </c>
      <c r="F36" s="112">
        <v>2.4300000000000002</v>
      </c>
      <c r="G36" s="112">
        <v>41.82</v>
      </c>
      <c r="H36" s="112">
        <v>13.6</v>
      </c>
      <c r="I36" s="112">
        <v>4.58</v>
      </c>
      <c r="J36" s="112">
        <v>0.2</v>
      </c>
      <c r="K36" s="112">
        <v>78.89</v>
      </c>
      <c r="L36" s="112">
        <v>27.17</v>
      </c>
      <c r="M36" s="112">
        <v>92.92</v>
      </c>
      <c r="N36" s="112">
        <v>40.6</v>
      </c>
      <c r="O36" s="112">
        <v>0</v>
      </c>
      <c r="P36" s="112">
        <v>0.42</v>
      </c>
      <c r="Q36" s="112">
        <v>5.04</v>
      </c>
    </row>
    <row r="37" spans="1:17" customFormat="1">
      <c r="A37" s="80">
        <v>45539.302083333336</v>
      </c>
      <c r="B37" s="112">
        <v>9.27</v>
      </c>
      <c r="C37" s="112">
        <v>4.07</v>
      </c>
      <c r="D37" s="112">
        <v>14.01</v>
      </c>
      <c r="E37" s="112">
        <v>8.0500000000000007</v>
      </c>
      <c r="F37" s="112">
        <v>2.8</v>
      </c>
      <c r="G37" s="112">
        <v>41.82</v>
      </c>
      <c r="H37" s="112">
        <v>13.6</v>
      </c>
      <c r="I37" s="112">
        <v>4.57</v>
      </c>
      <c r="J37" s="112">
        <v>0.37</v>
      </c>
      <c r="K37" s="112">
        <v>57.8</v>
      </c>
      <c r="L37" s="112">
        <v>27.22</v>
      </c>
      <c r="M37" s="112">
        <v>92.45</v>
      </c>
      <c r="N37" s="112">
        <v>47.5</v>
      </c>
      <c r="O37" s="112">
        <v>0</v>
      </c>
      <c r="P37" s="112">
        <v>0.44</v>
      </c>
      <c r="Q37" s="112">
        <v>5.05</v>
      </c>
    </row>
    <row r="38" spans="1:17" customFormat="1">
      <c r="A38" s="80">
        <v>45539.3125</v>
      </c>
      <c r="B38" s="112">
        <v>9.27</v>
      </c>
      <c r="C38" s="112">
        <v>4.0599999999999996</v>
      </c>
      <c r="D38" s="112">
        <v>14.01</v>
      </c>
      <c r="E38" s="112">
        <v>8.4499999999999993</v>
      </c>
      <c r="F38" s="112">
        <v>2.02</v>
      </c>
      <c r="G38" s="112">
        <v>41.82</v>
      </c>
      <c r="H38" s="112">
        <v>13.6</v>
      </c>
      <c r="I38" s="112">
        <v>4.6100000000000003</v>
      </c>
      <c r="J38" s="112">
        <v>0.12</v>
      </c>
      <c r="K38" s="112">
        <v>143.01</v>
      </c>
      <c r="L38" s="112">
        <v>27.58</v>
      </c>
      <c r="M38" s="112">
        <v>91.59</v>
      </c>
      <c r="N38" s="112">
        <v>49.4</v>
      </c>
      <c r="O38" s="112">
        <v>0</v>
      </c>
      <c r="P38" s="112">
        <v>0.43</v>
      </c>
      <c r="Q38" s="112">
        <v>5.04</v>
      </c>
    </row>
    <row r="39" spans="1:17" customFormat="1">
      <c r="A39" s="80">
        <v>45539.322916666664</v>
      </c>
      <c r="B39" s="112">
        <v>9.2899999999999991</v>
      </c>
      <c r="C39" s="112">
        <v>4.0599999999999996</v>
      </c>
      <c r="D39" s="112">
        <v>14.02</v>
      </c>
      <c r="E39" s="112">
        <v>8.52</v>
      </c>
      <c r="F39" s="112">
        <v>2.61</v>
      </c>
      <c r="G39" s="112">
        <v>43.08</v>
      </c>
      <c r="H39" s="112">
        <v>12.81</v>
      </c>
      <c r="I39" s="112">
        <v>4.62</v>
      </c>
      <c r="J39" s="112">
        <v>0.23</v>
      </c>
      <c r="K39" s="112">
        <v>91.21</v>
      </c>
      <c r="L39" s="112">
        <v>28.03</v>
      </c>
      <c r="M39" s="112">
        <v>88.62</v>
      </c>
      <c r="N39" s="112">
        <v>56.9</v>
      </c>
      <c r="O39" s="112">
        <v>0</v>
      </c>
      <c r="P39" s="112">
        <v>0.44</v>
      </c>
      <c r="Q39" s="112">
        <v>5.05</v>
      </c>
    </row>
    <row r="40" spans="1:17" customFormat="1">
      <c r="A40" s="80">
        <v>45539.333333333336</v>
      </c>
      <c r="B40" s="112">
        <v>9.2799999999999994</v>
      </c>
      <c r="C40" s="112">
        <v>4.05</v>
      </c>
      <c r="D40" s="112">
        <v>14</v>
      </c>
      <c r="E40" s="112">
        <v>8.5399999999999991</v>
      </c>
      <c r="F40" s="112">
        <v>2.46</v>
      </c>
      <c r="G40" s="112">
        <v>47.5</v>
      </c>
      <c r="H40" s="112">
        <v>10.87</v>
      </c>
      <c r="I40" s="112">
        <v>4.63</v>
      </c>
      <c r="J40" s="112">
        <v>0.44</v>
      </c>
      <c r="K40" s="112">
        <v>67.91</v>
      </c>
      <c r="L40" s="112">
        <v>27.98</v>
      </c>
      <c r="M40" s="112">
        <v>86.85</v>
      </c>
      <c r="N40" s="112">
        <v>79.7</v>
      </c>
      <c r="O40" s="112">
        <v>0</v>
      </c>
      <c r="P40" s="112">
        <v>0.45</v>
      </c>
      <c r="Q40" s="112">
        <v>5.05</v>
      </c>
    </row>
    <row r="41" spans="1:17" customFormat="1">
      <c r="A41" s="80">
        <v>45539.34375</v>
      </c>
      <c r="B41" s="112">
        <v>9.2799999999999994</v>
      </c>
      <c r="C41" s="112">
        <v>4.0599999999999996</v>
      </c>
      <c r="D41" s="112">
        <v>14.02</v>
      </c>
      <c r="E41" s="112">
        <v>8.6300000000000008</v>
      </c>
      <c r="F41" s="112">
        <v>3.3</v>
      </c>
      <c r="G41" s="112">
        <v>47.5</v>
      </c>
      <c r="H41" s="112">
        <v>10.87</v>
      </c>
      <c r="I41" s="112">
        <v>4.6399999999999997</v>
      </c>
      <c r="J41" s="112">
        <v>0.13</v>
      </c>
      <c r="K41" s="112">
        <v>245.19</v>
      </c>
      <c r="L41" s="112">
        <v>28.38</v>
      </c>
      <c r="M41" s="112">
        <v>85.06</v>
      </c>
      <c r="N41" s="112">
        <v>82.1</v>
      </c>
      <c r="O41" s="112">
        <v>0</v>
      </c>
      <c r="P41" s="112">
        <v>0.43</v>
      </c>
      <c r="Q41" s="112">
        <v>5.0599999999999996</v>
      </c>
    </row>
    <row r="42" spans="1:17" customFormat="1">
      <c r="A42" s="80">
        <v>45539.354166666664</v>
      </c>
      <c r="B42" s="112">
        <v>9.2799999999999994</v>
      </c>
      <c r="C42" s="112">
        <v>4.0599999999999996</v>
      </c>
      <c r="D42" s="112">
        <v>14.01</v>
      </c>
      <c r="E42" s="112">
        <v>8.8699999999999992</v>
      </c>
      <c r="F42" s="112">
        <v>2.63</v>
      </c>
      <c r="G42" s="112">
        <v>47.5</v>
      </c>
      <c r="H42" s="112">
        <v>10.87</v>
      </c>
      <c r="I42" s="112">
        <v>4.5999999999999996</v>
      </c>
      <c r="J42" s="112">
        <v>0.14000000000000001</v>
      </c>
      <c r="K42" s="112">
        <v>144.21</v>
      </c>
      <c r="L42" s="112">
        <v>28.56</v>
      </c>
      <c r="M42" s="112">
        <v>85.48</v>
      </c>
      <c r="N42" s="112">
        <v>79.7</v>
      </c>
      <c r="O42" s="112">
        <v>0</v>
      </c>
      <c r="P42" s="112">
        <v>0.43</v>
      </c>
      <c r="Q42" s="112">
        <v>5.04</v>
      </c>
    </row>
    <row r="43" spans="1:17" customFormat="1">
      <c r="A43" s="80">
        <v>45539.364583333336</v>
      </c>
      <c r="B43" s="112">
        <v>9.26</v>
      </c>
      <c r="C43" s="112">
        <v>4.08</v>
      </c>
      <c r="D43" s="112">
        <v>14</v>
      </c>
      <c r="E43" s="112">
        <v>8.7100000000000009</v>
      </c>
      <c r="F43" s="112">
        <v>4.33</v>
      </c>
      <c r="G43" s="112">
        <v>46.37</v>
      </c>
      <c r="H43" s="112">
        <v>10.78</v>
      </c>
      <c r="I43" s="112">
        <v>4.59</v>
      </c>
      <c r="J43" s="112">
        <v>0.2</v>
      </c>
      <c r="K43" s="112">
        <v>154.22</v>
      </c>
      <c r="L43" s="112">
        <v>28.88</v>
      </c>
      <c r="M43" s="112">
        <v>82.39</v>
      </c>
      <c r="N43" s="112">
        <v>92.9</v>
      </c>
      <c r="O43" s="112">
        <v>0</v>
      </c>
      <c r="P43" s="112">
        <v>0.42</v>
      </c>
      <c r="Q43" s="112">
        <v>5.04</v>
      </c>
    </row>
    <row r="44" spans="1:17" customFormat="1">
      <c r="A44" s="80">
        <v>45539.375</v>
      </c>
      <c r="B44" s="112">
        <v>9.26</v>
      </c>
      <c r="C44" s="112">
        <v>4.09</v>
      </c>
      <c r="D44" s="112">
        <v>14.01</v>
      </c>
      <c r="E44" s="112">
        <v>9.4</v>
      </c>
      <c r="F44" s="112">
        <v>3.97</v>
      </c>
      <c r="G44" s="112">
        <v>42.43</v>
      </c>
      <c r="H44" s="112">
        <v>10.35</v>
      </c>
      <c r="I44" s="112">
        <v>4.59</v>
      </c>
      <c r="J44" s="112">
        <v>0.12</v>
      </c>
      <c r="K44" s="112">
        <v>173.62</v>
      </c>
      <c r="L44" s="112">
        <v>28.89</v>
      </c>
      <c r="M44" s="112">
        <v>83.27</v>
      </c>
      <c r="N44" s="112">
        <v>90.5</v>
      </c>
      <c r="O44" s="112">
        <v>0</v>
      </c>
      <c r="P44" s="112">
        <v>0.43</v>
      </c>
      <c r="Q44" s="112">
        <v>5.03</v>
      </c>
    </row>
    <row r="45" spans="1:17" customFormat="1">
      <c r="A45" s="80">
        <v>45539.385416666664</v>
      </c>
      <c r="B45" s="112">
        <v>9.25</v>
      </c>
      <c r="C45" s="112">
        <v>4.09</v>
      </c>
      <c r="D45" s="112">
        <v>14</v>
      </c>
      <c r="E45" s="112">
        <v>9.85</v>
      </c>
      <c r="F45" s="112">
        <v>5.12</v>
      </c>
      <c r="G45" s="112">
        <v>42.43</v>
      </c>
      <c r="H45" s="112">
        <v>10.35</v>
      </c>
      <c r="I45" s="112">
        <v>4.57</v>
      </c>
      <c r="J45" s="112">
        <v>0.25</v>
      </c>
      <c r="K45" s="112">
        <v>162.80000000000001</v>
      </c>
      <c r="L45" s="112">
        <v>29.43</v>
      </c>
      <c r="M45" s="112">
        <v>79.959999999999994</v>
      </c>
      <c r="N45" s="112">
        <v>103</v>
      </c>
      <c r="O45" s="112">
        <v>0</v>
      </c>
      <c r="P45" s="112">
        <v>0.43</v>
      </c>
      <c r="Q45" s="112">
        <v>5.03</v>
      </c>
    </row>
    <row r="46" spans="1:17" customFormat="1">
      <c r="A46" s="80">
        <v>45539.395833333336</v>
      </c>
      <c r="B46" s="112">
        <v>9.25</v>
      </c>
      <c r="C46" s="112">
        <v>4.09</v>
      </c>
      <c r="D46" s="112">
        <v>14</v>
      </c>
      <c r="E46" s="112">
        <v>9.32</v>
      </c>
      <c r="F46" s="112">
        <v>5.17</v>
      </c>
      <c r="G46" s="112">
        <v>42.43</v>
      </c>
      <c r="H46" s="112">
        <v>10.35</v>
      </c>
      <c r="I46" s="112">
        <v>4.59</v>
      </c>
      <c r="J46" s="112">
        <v>0.17</v>
      </c>
      <c r="K46" s="112">
        <v>88.09</v>
      </c>
      <c r="L46" s="112">
        <v>29.1</v>
      </c>
      <c r="M46" s="112">
        <v>82.62</v>
      </c>
      <c r="N46" s="112">
        <v>93.6</v>
      </c>
      <c r="O46" s="112">
        <v>1.6</v>
      </c>
      <c r="P46" s="112">
        <v>0.43</v>
      </c>
      <c r="Q46" s="112">
        <v>5.03</v>
      </c>
    </row>
    <row r="47" spans="1:17" customFormat="1">
      <c r="A47" s="80">
        <v>45539.40625</v>
      </c>
      <c r="B47" s="112">
        <v>9.25</v>
      </c>
      <c r="C47" s="112">
        <v>4.1100000000000003</v>
      </c>
      <c r="D47" s="112">
        <v>14.02</v>
      </c>
      <c r="E47" s="112">
        <v>9.81</v>
      </c>
      <c r="F47" s="112">
        <v>5.0199999999999996</v>
      </c>
      <c r="G47" s="112">
        <v>41.26</v>
      </c>
      <c r="H47" s="112">
        <v>9.6199999999999992</v>
      </c>
      <c r="I47" s="112">
        <v>4.53</v>
      </c>
      <c r="J47" s="112">
        <v>0.21</v>
      </c>
      <c r="K47" s="112">
        <v>69.19</v>
      </c>
      <c r="L47" s="112">
        <v>27.74</v>
      </c>
      <c r="M47" s="112">
        <v>91.85</v>
      </c>
      <c r="N47" s="112">
        <v>97.7</v>
      </c>
      <c r="O47" s="112">
        <v>1.6</v>
      </c>
      <c r="P47" s="112">
        <v>0.46</v>
      </c>
      <c r="Q47" s="112">
        <v>5.0199999999999996</v>
      </c>
    </row>
    <row r="48" spans="1:17" customFormat="1">
      <c r="A48" s="80">
        <v>45539.416666666664</v>
      </c>
      <c r="B48" s="112">
        <v>9.2799999999999994</v>
      </c>
      <c r="C48" s="112">
        <v>4.09</v>
      </c>
      <c r="D48" s="112">
        <v>14.02</v>
      </c>
      <c r="E48" s="112">
        <v>9.11</v>
      </c>
      <c r="F48" s="112">
        <v>5.86</v>
      </c>
      <c r="G48" s="112">
        <v>37.14</v>
      </c>
      <c r="H48" s="112">
        <v>7.81</v>
      </c>
      <c r="I48" s="112">
        <v>4.54</v>
      </c>
      <c r="J48" s="112">
        <v>0.1</v>
      </c>
      <c r="K48" s="112">
        <v>103.83</v>
      </c>
      <c r="L48" s="112">
        <v>27.55</v>
      </c>
      <c r="M48" s="112">
        <v>92.52</v>
      </c>
      <c r="N48" s="112">
        <v>112</v>
      </c>
      <c r="O48" s="112">
        <v>0.6</v>
      </c>
      <c r="P48" s="112">
        <v>0.46</v>
      </c>
      <c r="Q48" s="112">
        <v>5.0199999999999996</v>
      </c>
    </row>
    <row r="49" spans="1:17" customFormat="1">
      <c r="A49" s="80">
        <v>45539.427083333336</v>
      </c>
      <c r="B49" s="112">
        <v>9.3000000000000007</v>
      </c>
      <c r="C49" s="112">
        <v>4.09</v>
      </c>
      <c r="D49" s="112">
        <v>14.04</v>
      </c>
      <c r="E49" s="112">
        <v>7.63</v>
      </c>
      <c r="F49" s="112">
        <v>6.96</v>
      </c>
      <c r="G49" s="112">
        <v>37.14</v>
      </c>
      <c r="H49" s="112">
        <v>7.81</v>
      </c>
      <c r="I49" s="112">
        <v>4.62</v>
      </c>
      <c r="J49" s="112">
        <v>0.16</v>
      </c>
      <c r="K49" s="112">
        <v>29.1</v>
      </c>
      <c r="L49" s="112">
        <v>28.02</v>
      </c>
      <c r="M49" s="112">
        <v>90.75</v>
      </c>
      <c r="N49" s="112">
        <v>167.7</v>
      </c>
      <c r="O49" s="112">
        <v>0</v>
      </c>
      <c r="P49" s="112">
        <v>0.51</v>
      </c>
      <c r="Q49" s="112">
        <v>5.0599999999999996</v>
      </c>
    </row>
    <row r="50" spans="1:17" customFormat="1">
      <c r="A50" s="80">
        <v>45539.4375</v>
      </c>
      <c r="B50" s="112">
        <v>9.3000000000000007</v>
      </c>
      <c r="C50" s="112">
        <v>4.09</v>
      </c>
      <c r="D50" s="112">
        <v>14.05</v>
      </c>
      <c r="E50" s="112">
        <v>8.91</v>
      </c>
      <c r="F50" s="112">
        <v>7.62</v>
      </c>
      <c r="G50" s="112">
        <v>37.14</v>
      </c>
      <c r="H50" s="112">
        <v>7.81</v>
      </c>
      <c r="I50" s="112">
        <v>4.6500000000000004</v>
      </c>
      <c r="J50" s="112">
        <v>0.04</v>
      </c>
      <c r="K50" s="112">
        <v>210.81</v>
      </c>
      <c r="L50" s="112">
        <v>28.51</v>
      </c>
      <c r="M50" s="112">
        <v>86.24</v>
      </c>
      <c r="N50" s="112">
        <v>134.9</v>
      </c>
      <c r="O50" s="112">
        <v>0</v>
      </c>
      <c r="P50" s="112">
        <v>0.49</v>
      </c>
      <c r="Q50" s="112">
        <v>5.04</v>
      </c>
    </row>
    <row r="51" spans="1:17" customFormat="1">
      <c r="A51" s="80">
        <v>45539.447916666664</v>
      </c>
      <c r="B51" s="112">
        <v>9.31</v>
      </c>
      <c r="C51" s="112">
        <v>4.05</v>
      </c>
      <c r="D51" s="112">
        <v>14.04</v>
      </c>
      <c r="E51" s="112">
        <v>9.1</v>
      </c>
      <c r="F51" s="112">
        <v>7.55</v>
      </c>
      <c r="G51" s="112">
        <v>38.97</v>
      </c>
      <c r="H51" s="112">
        <v>8.19</v>
      </c>
      <c r="I51" s="112">
        <v>4.8600000000000003</v>
      </c>
      <c r="J51" s="112">
        <v>0.34</v>
      </c>
      <c r="K51" s="112">
        <v>81.53</v>
      </c>
      <c r="L51" s="112">
        <v>29.04</v>
      </c>
      <c r="M51" s="112">
        <v>84.09</v>
      </c>
      <c r="N51" s="112">
        <v>212.1</v>
      </c>
      <c r="O51" s="112">
        <v>0</v>
      </c>
      <c r="P51" s="112">
        <v>0.49</v>
      </c>
      <c r="Q51" s="112">
        <v>5.05</v>
      </c>
    </row>
    <row r="52" spans="1:17" customFormat="1">
      <c r="A52" s="80">
        <v>45539.458333333336</v>
      </c>
      <c r="B52" s="112">
        <v>9.31</v>
      </c>
      <c r="C52" s="112">
        <v>4.0599999999999996</v>
      </c>
      <c r="D52" s="112">
        <v>14.03</v>
      </c>
      <c r="E52" s="112">
        <v>11.45</v>
      </c>
      <c r="F52" s="112">
        <v>5.76</v>
      </c>
      <c r="G52" s="112">
        <v>45.36</v>
      </c>
      <c r="H52" s="112">
        <v>9.15</v>
      </c>
      <c r="I52" s="112">
        <v>4.91</v>
      </c>
      <c r="J52" s="112">
        <v>0.16</v>
      </c>
      <c r="K52" s="112">
        <v>101.21</v>
      </c>
      <c r="L52" s="112">
        <v>29.97</v>
      </c>
      <c r="M52" s="112">
        <v>80.12</v>
      </c>
      <c r="N52" s="112">
        <v>354</v>
      </c>
      <c r="O52" s="112">
        <v>0</v>
      </c>
      <c r="P52" s="112">
        <v>0.47</v>
      </c>
      <c r="Q52" s="112">
        <v>5.0599999999999996</v>
      </c>
    </row>
    <row r="53" spans="1:17" customFormat="1">
      <c r="A53" s="80">
        <v>45539.46875</v>
      </c>
      <c r="B53" s="112">
        <v>9.3000000000000007</v>
      </c>
      <c r="C53" s="112">
        <v>4.07</v>
      </c>
      <c r="D53" s="112">
        <v>14.03</v>
      </c>
      <c r="E53" s="112">
        <v>11</v>
      </c>
      <c r="F53" s="112">
        <v>10.66</v>
      </c>
      <c r="G53" s="112">
        <v>45.36</v>
      </c>
      <c r="H53" s="112">
        <v>9.15</v>
      </c>
      <c r="I53" s="112">
        <v>4.79</v>
      </c>
      <c r="J53" s="112">
        <v>0.32</v>
      </c>
      <c r="K53" s="112">
        <v>52.23</v>
      </c>
      <c r="L53" s="112">
        <v>30.5</v>
      </c>
      <c r="M53" s="112">
        <v>75.53</v>
      </c>
      <c r="N53" s="112">
        <v>266.7</v>
      </c>
      <c r="O53" s="112">
        <v>0</v>
      </c>
      <c r="P53" s="112">
        <v>0.49</v>
      </c>
      <c r="Q53" s="112">
        <v>5.03</v>
      </c>
    </row>
    <row r="54" spans="1:17" customFormat="1">
      <c r="A54" s="80">
        <v>45539.479166666664</v>
      </c>
      <c r="B54" s="112">
        <v>9.3000000000000007</v>
      </c>
      <c r="C54" s="112">
        <v>4.07</v>
      </c>
      <c r="D54" s="112">
        <v>14.03</v>
      </c>
      <c r="E54" s="112">
        <v>9.9499999999999993</v>
      </c>
      <c r="F54" s="112">
        <v>6.4</v>
      </c>
      <c r="G54" s="112">
        <v>45.36</v>
      </c>
      <c r="H54" s="112">
        <v>9.15</v>
      </c>
      <c r="I54" s="112">
        <v>5.03</v>
      </c>
      <c r="J54" s="112">
        <v>0.24</v>
      </c>
      <c r="K54" s="112">
        <v>129.22</v>
      </c>
      <c r="L54" s="112">
        <v>30.32</v>
      </c>
      <c r="M54" s="112">
        <v>77.5</v>
      </c>
      <c r="N54" s="112">
        <v>160.69999999999999</v>
      </c>
      <c r="O54" s="112">
        <v>0</v>
      </c>
      <c r="P54" s="112">
        <v>0.47</v>
      </c>
      <c r="Q54" s="112">
        <v>5.04</v>
      </c>
    </row>
    <row r="55" spans="1:17" customFormat="1">
      <c r="A55" s="80">
        <v>45539.489583333336</v>
      </c>
      <c r="B55" s="112">
        <v>9.31</v>
      </c>
      <c r="C55" s="112">
        <v>4.0599999999999996</v>
      </c>
      <c r="D55" s="112">
        <v>14.04</v>
      </c>
      <c r="E55" s="112">
        <v>9.6999999999999993</v>
      </c>
      <c r="F55" s="112">
        <v>10.97</v>
      </c>
      <c r="G55" s="112">
        <v>47.56</v>
      </c>
      <c r="H55" s="112">
        <v>10.32</v>
      </c>
      <c r="I55" s="112">
        <v>4.96</v>
      </c>
      <c r="J55" s="112">
        <v>0.3</v>
      </c>
      <c r="K55" s="112">
        <v>178.81</v>
      </c>
      <c r="L55" s="112">
        <v>30.35</v>
      </c>
      <c r="M55" s="112">
        <v>78.14</v>
      </c>
      <c r="N55" s="112">
        <v>255.3</v>
      </c>
      <c r="O55" s="112">
        <v>0</v>
      </c>
      <c r="P55" s="112">
        <v>0.46</v>
      </c>
      <c r="Q55" s="112">
        <v>5.03</v>
      </c>
    </row>
    <row r="56" spans="1:17" customFormat="1">
      <c r="A56" s="80">
        <v>45539.5</v>
      </c>
      <c r="B56" s="112">
        <v>9.32</v>
      </c>
      <c r="C56" s="112">
        <v>4.0599999999999996</v>
      </c>
      <c r="D56" s="112">
        <v>14.04</v>
      </c>
      <c r="E56" s="112">
        <v>9.64</v>
      </c>
      <c r="F56" s="112">
        <v>12.27</v>
      </c>
      <c r="G56" s="112">
        <v>55.28</v>
      </c>
      <c r="H56" s="112">
        <v>13.22</v>
      </c>
      <c r="I56" s="112">
        <v>4.95</v>
      </c>
      <c r="J56" s="112">
        <v>0.15</v>
      </c>
      <c r="K56" s="112">
        <v>86.32</v>
      </c>
      <c r="L56" s="112">
        <v>31.46</v>
      </c>
      <c r="M56" s="112">
        <v>70.77</v>
      </c>
      <c r="N56" s="112">
        <v>814.9</v>
      </c>
      <c r="O56" s="112">
        <v>0</v>
      </c>
      <c r="P56" s="112">
        <v>0.46</v>
      </c>
      <c r="Q56" s="112">
        <v>5.0199999999999996</v>
      </c>
    </row>
    <row r="57" spans="1:17" customFormat="1">
      <c r="A57" s="80">
        <v>45539.510416666664</v>
      </c>
      <c r="B57" s="112">
        <v>9.33</v>
      </c>
      <c r="C57" s="112">
        <v>4.05</v>
      </c>
      <c r="D57" s="112">
        <v>14.05</v>
      </c>
      <c r="E57" s="112">
        <v>9.27</v>
      </c>
      <c r="F57" s="112">
        <v>8.7100000000000009</v>
      </c>
      <c r="G57" s="112">
        <v>55.28</v>
      </c>
      <c r="H57" s="112">
        <v>13.22</v>
      </c>
      <c r="I57" s="112">
        <v>4.72</v>
      </c>
      <c r="J57" s="112">
        <v>0.77</v>
      </c>
      <c r="K57" s="112">
        <v>48.82</v>
      </c>
      <c r="L57" s="112">
        <v>31.21</v>
      </c>
      <c r="M57" s="112">
        <v>72.38</v>
      </c>
      <c r="N57" s="112">
        <v>423.5</v>
      </c>
      <c r="O57" s="112">
        <v>0</v>
      </c>
      <c r="P57" s="112">
        <v>0.47</v>
      </c>
      <c r="Q57" s="112">
        <v>5.03</v>
      </c>
    </row>
    <row r="58" spans="1:17" customFormat="1">
      <c r="A58" s="80">
        <v>45539.520833333336</v>
      </c>
      <c r="B58" s="112">
        <v>9.31</v>
      </c>
      <c r="C58" s="112">
        <v>4.07</v>
      </c>
      <c r="D58" s="112">
        <v>14.05</v>
      </c>
      <c r="E58" s="112">
        <v>8.85</v>
      </c>
      <c r="F58" s="112">
        <v>6.99</v>
      </c>
      <c r="G58" s="112">
        <v>55.28</v>
      </c>
      <c r="H58" s="112">
        <v>13.22</v>
      </c>
      <c r="I58" s="112">
        <v>4.67</v>
      </c>
      <c r="J58" s="112">
        <v>0.65</v>
      </c>
      <c r="K58" s="112">
        <v>58.67</v>
      </c>
      <c r="L58" s="112">
        <v>30.1</v>
      </c>
      <c r="M58" s="112">
        <v>75.52</v>
      </c>
      <c r="N58" s="112">
        <v>302.10000000000002</v>
      </c>
      <c r="O58" s="112">
        <v>0</v>
      </c>
      <c r="P58" s="112">
        <v>0.48</v>
      </c>
      <c r="Q58" s="112">
        <v>5.03</v>
      </c>
    </row>
    <row r="59" spans="1:17" customFormat="1">
      <c r="A59" s="80">
        <v>45539.53125</v>
      </c>
      <c r="B59" s="112">
        <v>9.32</v>
      </c>
      <c r="C59" s="112">
        <v>4.04</v>
      </c>
      <c r="D59" s="112">
        <v>14.03</v>
      </c>
      <c r="E59" s="112">
        <v>8.75</v>
      </c>
      <c r="F59" s="112">
        <v>8.52</v>
      </c>
      <c r="G59" s="112">
        <v>53.99</v>
      </c>
      <c r="H59" s="112">
        <v>13.36</v>
      </c>
      <c r="I59" s="112">
        <v>4.88</v>
      </c>
      <c r="J59" s="112">
        <v>0.49</v>
      </c>
      <c r="K59" s="112">
        <v>53.83</v>
      </c>
      <c r="L59" s="112">
        <v>30.7</v>
      </c>
      <c r="M59" s="112">
        <v>72.930000000000007</v>
      </c>
      <c r="N59" s="112">
        <v>705.1</v>
      </c>
      <c r="O59" s="112">
        <v>0.2</v>
      </c>
      <c r="P59" s="112">
        <v>0.48</v>
      </c>
      <c r="Q59" s="112">
        <v>5.04</v>
      </c>
    </row>
    <row r="60" spans="1:17" customFormat="1">
      <c r="A60" s="80">
        <v>45539.541666666664</v>
      </c>
      <c r="B60" s="112">
        <v>9.32</v>
      </c>
      <c r="C60" s="112">
        <v>4.05</v>
      </c>
      <c r="D60" s="112">
        <v>14.04</v>
      </c>
      <c r="E60" s="112">
        <v>9.26</v>
      </c>
      <c r="F60" s="112">
        <v>7.19</v>
      </c>
      <c r="G60" s="112">
        <v>49.45</v>
      </c>
      <c r="H60" s="112">
        <v>13.72</v>
      </c>
      <c r="I60" s="112">
        <v>4.87</v>
      </c>
      <c r="J60" s="112">
        <v>0.48</v>
      </c>
      <c r="K60" s="112">
        <v>345.43</v>
      </c>
      <c r="L60" s="112">
        <v>31.25</v>
      </c>
      <c r="M60" s="112">
        <v>74.66</v>
      </c>
      <c r="N60" s="112">
        <v>367.5</v>
      </c>
      <c r="O60" s="112">
        <v>0</v>
      </c>
      <c r="P60" s="112">
        <v>0.49</v>
      </c>
      <c r="Q60" s="112">
        <v>5.04</v>
      </c>
    </row>
    <row r="61" spans="1:17" customFormat="1">
      <c r="A61" s="80">
        <v>45539.552083333336</v>
      </c>
      <c r="B61" s="112">
        <v>9.2799999999999994</v>
      </c>
      <c r="C61" s="112">
        <v>4.07</v>
      </c>
      <c r="D61" s="112">
        <v>14.02</v>
      </c>
      <c r="E61" s="112">
        <v>10.89</v>
      </c>
      <c r="F61" s="112">
        <v>6.4</v>
      </c>
      <c r="G61" s="112">
        <v>49.45</v>
      </c>
      <c r="H61" s="112">
        <v>13.72</v>
      </c>
      <c r="I61" s="112">
        <v>4.83</v>
      </c>
      <c r="J61" s="112">
        <v>0.56000000000000005</v>
      </c>
      <c r="K61" s="112">
        <v>308.72000000000003</v>
      </c>
      <c r="L61" s="112">
        <v>31</v>
      </c>
      <c r="M61" s="112">
        <v>74.790000000000006</v>
      </c>
      <c r="N61" s="112">
        <v>377.2</v>
      </c>
      <c r="O61" s="112">
        <v>0</v>
      </c>
      <c r="P61" s="112">
        <v>0.5</v>
      </c>
      <c r="Q61" s="112">
        <v>5.04</v>
      </c>
    </row>
    <row r="62" spans="1:17" customFormat="1">
      <c r="A62" s="80">
        <v>45539.5625</v>
      </c>
      <c r="B62" s="112">
        <v>9.27</v>
      </c>
      <c r="C62" s="112">
        <v>4.08</v>
      </c>
      <c r="D62" s="112">
        <v>14.01</v>
      </c>
      <c r="E62" s="112">
        <v>11.5</v>
      </c>
      <c r="F62" s="112">
        <v>7.05</v>
      </c>
      <c r="G62" s="112">
        <v>49.45</v>
      </c>
      <c r="H62" s="112">
        <v>13.72</v>
      </c>
      <c r="I62" s="112">
        <v>4.95</v>
      </c>
      <c r="J62" s="112">
        <v>0.47</v>
      </c>
      <c r="K62" s="112">
        <v>29.23</v>
      </c>
      <c r="L62" s="112">
        <v>31.22</v>
      </c>
      <c r="M62" s="112">
        <v>73.36</v>
      </c>
      <c r="N62" s="112">
        <v>346.7</v>
      </c>
      <c r="O62" s="112">
        <v>0</v>
      </c>
      <c r="P62" s="112">
        <v>0.52</v>
      </c>
      <c r="Q62" s="112">
        <v>5.05</v>
      </c>
    </row>
    <row r="63" spans="1:17" customFormat="1">
      <c r="A63" s="80">
        <v>45539.572916666664</v>
      </c>
      <c r="B63" s="112">
        <v>9.27</v>
      </c>
      <c r="C63" s="112">
        <v>4.08</v>
      </c>
      <c r="D63" s="112">
        <v>14.01</v>
      </c>
      <c r="E63" s="112">
        <v>12.13</v>
      </c>
      <c r="F63" s="112">
        <v>10.81</v>
      </c>
      <c r="G63" s="112">
        <v>51.57</v>
      </c>
      <c r="H63" s="112">
        <v>15.08</v>
      </c>
      <c r="I63" s="112">
        <v>5.07</v>
      </c>
      <c r="J63" s="112">
        <v>0.6</v>
      </c>
      <c r="K63" s="112">
        <v>50.21</v>
      </c>
      <c r="L63" s="112">
        <v>31.75</v>
      </c>
      <c r="M63" s="112">
        <v>70.22</v>
      </c>
      <c r="N63" s="112">
        <v>290</v>
      </c>
      <c r="O63" s="112">
        <v>0</v>
      </c>
      <c r="P63" s="112">
        <v>0.51</v>
      </c>
      <c r="Q63" s="112">
        <v>5.03</v>
      </c>
    </row>
    <row r="64" spans="1:17" customFormat="1">
      <c r="A64" s="80">
        <v>45539.583333333336</v>
      </c>
      <c r="B64" s="112">
        <v>9.27</v>
      </c>
      <c r="C64" s="112">
        <v>4.09</v>
      </c>
      <c r="D64" s="112">
        <v>14.02</v>
      </c>
      <c r="E64" s="112">
        <v>11.06</v>
      </c>
      <c r="F64" s="112">
        <v>5.77</v>
      </c>
      <c r="G64" s="112">
        <v>58.97</v>
      </c>
      <c r="H64" s="112">
        <v>18.420000000000002</v>
      </c>
      <c r="I64" s="112">
        <v>5</v>
      </c>
      <c r="J64" s="112">
        <v>0.48</v>
      </c>
      <c r="K64" s="112">
        <v>91.99</v>
      </c>
      <c r="L64" s="112">
        <v>32.340000000000003</v>
      </c>
      <c r="M64" s="112">
        <v>69.180000000000007</v>
      </c>
      <c r="N64" s="112">
        <v>237.4</v>
      </c>
      <c r="O64" s="112">
        <v>0</v>
      </c>
      <c r="P64" s="112">
        <v>0.5</v>
      </c>
      <c r="Q64" s="112">
        <v>5.0199999999999996</v>
      </c>
    </row>
    <row r="65" spans="1:17" customFormat="1">
      <c r="A65" s="80">
        <v>45539.59375</v>
      </c>
      <c r="B65" s="112">
        <v>9.26</v>
      </c>
      <c r="C65" s="112">
        <v>4.0999999999999996</v>
      </c>
      <c r="D65" s="112">
        <v>14.02</v>
      </c>
      <c r="E65" s="112">
        <v>9.85</v>
      </c>
      <c r="F65" s="112">
        <v>7.37</v>
      </c>
      <c r="G65" s="112">
        <v>58.97</v>
      </c>
      <c r="H65" s="112">
        <v>18.420000000000002</v>
      </c>
      <c r="I65" s="112">
        <v>4.93</v>
      </c>
      <c r="J65" s="112">
        <v>0.42</v>
      </c>
      <c r="K65" s="112">
        <v>89.93</v>
      </c>
      <c r="L65" s="112">
        <v>32.159999999999997</v>
      </c>
      <c r="M65" s="112">
        <v>69.069999999999993</v>
      </c>
      <c r="N65" s="112">
        <v>111.2</v>
      </c>
      <c r="O65" s="112">
        <v>0</v>
      </c>
      <c r="P65" s="112">
        <v>0.41</v>
      </c>
      <c r="Q65" s="112">
        <v>5.0199999999999996</v>
      </c>
    </row>
    <row r="66" spans="1:17" customFormat="1">
      <c r="A66" s="80">
        <v>45539.604166666664</v>
      </c>
      <c r="B66" s="112">
        <v>9.2799999999999994</v>
      </c>
      <c r="C66" s="112">
        <v>4.08</v>
      </c>
      <c r="D66" s="112">
        <v>14.02</v>
      </c>
      <c r="E66" s="112">
        <v>8.9</v>
      </c>
      <c r="F66" s="112">
        <v>8.76</v>
      </c>
      <c r="G66" s="112">
        <v>58.97</v>
      </c>
      <c r="H66" s="112">
        <v>18.420000000000002</v>
      </c>
      <c r="I66" s="112">
        <v>4.9800000000000004</v>
      </c>
      <c r="J66" s="112">
        <v>0.2</v>
      </c>
      <c r="K66" s="112">
        <v>77.540000000000006</v>
      </c>
      <c r="L66" s="112">
        <v>31.75</v>
      </c>
      <c r="M66" s="112">
        <v>71.489999999999995</v>
      </c>
      <c r="N66" s="112">
        <v>105.1</v>
      </c>
      <c r="O66" s="112">
        <v>0</v>
      </c>
      <c r="P66" s="112">
        <v>0.41</v>
      </c>
      <c r="Q66" s="112">
        <v>5.03</v>
      </c>
    </row>
    <row r="67" spans="1:17" customFormat="1">
      <c r="A67" s="80">
        <v>45539.614583333336</v>
      </c>
      <c r="B67" s="112">
        <v>9.4</v>
      </c>
      <c r="C67" s="112">
        <v>4.07</v>
      </c>
      <c r="D67" s="112">
        <v>14.12</v>
      </c>
      <c r="E67" s="112">
        <v>8.84</v>
      </c>
      <c r="F67" s="112">
        <v>10.87</v>
      </c>
      <c r="G67" s="112">
        <v>56.77</v>
      </c>
      <c r="H67" s="112">
        <v>17.46</v>
      </c>
      <c r="I67" s="112">
        <v>4.8</v>
      </c>
      <c r="J67" s="112">
        <v>0.34</v>
      </c>
      <c r="K67" s="112">
        <v>51.04</v>
      </c>
      <c r="L67" s="112">
        <v>31.36</v>
      </c>
      <c r="M67" s="112">
        <v>70.5</v>
      </c>
      <c r="N67" s="112">
        <v>94.1</v>
      </c>
      <c r="O67" s="112">
        <v>0</v>
      </c>
      <c r="P67" s="112">
        <v>0.41</v>
      </c>
      <c r="Q67" s="112">
        <v>5.04</v>
      </c>
    </row>
    <row r="68" spans="1:17" customFormat="1">
      <c r="A68" s="80">
        <v>45539.625</v>
      </c>
      <c r="B68" s="112">
        <v>9.43</v>
      </c>
      <c r="C68" s="112">
        <v>4.09</v>
      </c>
      <c r="D68" s="112">
        <v>14.15</v>
      </c>
      <c r="E68" s="112">
        <v>9.1199999999999992</v>
      </c>
      <c r="F68" s="112">
        <v>7.93</v>
      </c>
      <c r="G68" s="112">
        <v>49.06</v>
      </c>
      <c r="H68" s="112">
        <v>12.94</v>
      </c>
      <c r="I68" s="112">
        <v>4.51</v>
      </c>
      <c r="J68" s="112">
        <v>0.72</v>
      </c>
      <c r="K68" s="112">
        <v>53.68</v>
      </c>
      <c r="L68" s="112">
        <v>30.95</v>
      </c>
      <c r="M68" s="112">
        <v>70.849999999999994</v>
      </c>
      <c r="N68" s="112">
        <v>55.9</v>
      </c>
      <c r="O68" s="112">
        <v>0</v>
      </c>
      <c r="P68" s="112">
        <v>0.4</v>
      </c>
      <c r="Q68" s="112">
        <v>5.03</v>
      </c>
    </row>
    <row r="69" spans="1:17" customFormat="1">
      <c r="A69" s="80">
        <v>45539.635416666664</v>
      </c>
      <c r="B69" s="112">
        <v>9.35</v>
      </c>
      <c r="C69" s="112">
        <v>4.08</v>
      </c>
      <c r="D69" s="112">
        <v>14.07</v>
      </c>
      <c r="E69" s="112">
        <v>9.34</v>
      </c>
      <c r="F69" s="112">
        <v>5.78</v>
      </c>
      <c r="G69" s="112">
        <v>49.06</v>
      </c>
      <c r="H69" s="112">
        <v>12.94</v>
      </c>
      <c r="I69" s="112">
        <v>4.38</v>
      </c>
      <c r="J69" s="112">
        <v>0.38</v>
      </c>
      <c r="K69" s="112">
        <v>45.74</v>
      </c>
      <c r="L69" s="112">
        <v>30.81</v>
      </c>
      <c r="M69" s="112">
        <v>72.319999999999993</v>
      </c>
      <c r="N69" s="112">
        <v>56</v>
      </c>
      <c r="O69" s="112">
        <v>0</v>
      </c>
      <c r="P69" s="112">
        <v>0.41</v>
      </c>
      <c r="Q69" s="112">
        <v>5.04</v>
      </c>
    </row>
    <row r="70" spans="1:17" customFormat="1">
      <c r="A70" s="80">
        <v>45539.645833333336</v>
      </c>
      <c r="B70" s="112">
        <v>9.33</v>
      </c>
      <c r="C70" s="112">
        <v>4.09</v>
      </c>
      <c r="D70" s="112">
        <v>14.07</v>
      </c>
      <c r="E70" s="112">
        <v>8.4</v>
      </c>
      <c r="F70" s="112">
        <v>6.27</v>
      </c>
      <c r="G70" s="112">
        <v>49.06</v>
      </c>
      <c r="H70" s="112">
        <v>12.94</v>
      </c>
      <c r="I70" s="112">
        <v>4.3</v>
      </c>
      <c r="J70" s="112">
        <v>0.09</v>
      </c>
      <c r="K70" s="112">
        <v>329.66</v>
      </c>
      <c r="L70" s="112">
        <v>30.78</v>
      </c>
      <c r="M70" s="112">
        <v>72.37</v>
      </c>
      <c r="N70" s="112">
        <v>59.6</v>
      </c>
      <c r="O70" s="112">
        <v>0</v>
      </c>
      <c r="P70" s="112">
        <v>0.41</v>
      </c>
      <c r="Q70" s="112">
        <v>5.05</v>
      </c>
    </row>
    <row r="71" spans="1:17" customFormat="1">
      <c r="A71" s="80">
        <v>45539.65625</v>
      </c>
      <c r="B71" s="112">
        <v>9.32</v>
      </c>
      <c r="C71" s="112">
        <v>4.1100000000000003</v>
      </c>
      <c r="D71" s="112">
        <v>14.07</v>
      </c>
      <c r="E71" s="112">
        <v>8.67</v>
      </c>
      <c r="F71" s="112">
        <v>5.57</v>
      </c>
      <c r="G71" s="112">
        <v>49.83</v>
      </c>
      <c r="H71" s="112">
        <v>11.99</v>
      </c>
      <c r="I71" s="112">
        <v>4.32</v>
      </c>
      <c r="J71" s="112">
        <v>0.24</v>
      </c>
      <c r="K71" s="112">
        <v>41.87</v>
      </c>
      <c r="L71" s="112">
        <v>30.77</v>
      </c>
      <c r="M71" s="112">
        <v>71.55</v>
      </c>
      <c r="N71" s="112">
        <v>44.7</v>
      </c>
      <c r="O71" s="112">
        <v>0</v>
      </c>
      <c r="P71" s="112">
        <v>0.42</v>
      </c>
      <c r="Q71" s="112">
        <v>5.05</v>
      </c>
    </row>
    <row r="72" spans="1:17" customFormat="1">
      <c r="A72" s="80">
        <v>45539.666666666664</v>
      </c>
      <c r="B72" s="112">
        <v>9.33</v>
      </c>
      <c r="C72" s="112">
        <v>4.07</v>
      </c>
      <c r="D72" s="112">
        <v>14.06</v>
      </c>
      <c r="E72" s="112">
        <v>9.0399999999999991</v>
      </c>
      <c r="F72" s="112">
        <v>5.78</v>
      </c>
      <c r="G72" s="112">
        <v>52.5</v>
      </c>
      <c r="H72" s="112">
        <v>9.64</v>
      </c>
      <c r="I72" s="112">
        <v>4.25</v>
      </c>
      <c r="J72" s="112">
        <v>0.2</v>
      </c>
      <c r="K72" s="112">
        <v>349.97</v>
      </c>
      <c r="L72" s="112">
        <v>30.18</v>
      </c>
      <c r="M72" s="112">
        <v>76.05</v>
      </c>
      <c r="N72" s="112">
        <v>60</v>
      </c>
      <c r="O72" s="112">
        <v>0</v>
      </c>
      <c r="P72" s="112">
        <v>0.44</v>
      </c>
      <c r="Q72" s="112">
        <v>5.04</v>
      </c>
    </row>
    <row r="73" spans="1:17" customFormat="1">
      <c r="A73" s="80">
        <v>45539.677083333336</v>
      </c>
      <c r="B73" s="112">
        <v>9.34</v>
      </c>
      <c r="C73" s="112">
        <v>4.0599999999999996</v>
      </c>
      <c r="D73" s="112">
        <v>14.06</v>
      </c>
      <c r="E73" s="112">
        <v>10.39</v>
      </c>
      <c r="F73" s="112">
        <v>4.95</v>
      </c>
      <c r="G73" s="112">
        <v>52.5</v>
      </c>
      <c r="H73" s="112">
        <v>9.64</v>
      </c>
      <c r="I73" s="112">
        <v>4.32</v>
      </c>
      <c r="J73" s="112">
        <v>0.47</v>
      </c>
      <c r="K73" s="112">
        <v>318.62</v>
      </c>
      <c r="L73" s="112">
        <v>30.16</v>
      </c>
      <c r="M73" s="112">
        <v>76.33</v>
      </c>
      <c r="N73" s="112">
        <v>79.599999999999994</v>
      </c>
      <c r="O73" s="112">
        <v>0</v>
      </c>
      <c r="P73" s="112">
        <v>0.47</v>
      </c>
      <c r="Q73" s="112">
        <v>5.05</v>
      </c>
    </row>
    <row r="74" spans="1:17" customFormat="1">
      <c r="A74" s="80">
        <v>45539.6875</v>
      </c>
      <c r="B74" s="112">
        <v>9.33</v>
      </c>
      <c r="C74" s="112">
        <v>4.09</v>
      </c>
      <c r="D74" s="112">
        <v>14.07</v>
      </c>
      <c r="E74" s="112">
        <v>12.51</v>
      </c>
      <c r="F74" s="112">
        <v>4.53</v>
      </c>
      <c r="G74" s="112">
        <v>52.5</v>
      </c>
      <c r="H74" s="112">
        <v>9.64</v>
      </c>
      <c r="I74" s="112">
        <v>4.6500000000000004</v>
      </c>
      <c r="J74" s="112">
        <v>0.42</v>
      </c>
      <c r="K74" s="112">
        <v>321.57</v>
      </c>
      <c r="L74" s="112">
        <v>30.31</v>
      </c>
      <c r="M74" s="112">
        <v>75.2</v>
      </c>
      <c r="N74" s="112">
        <v>83.3</v>
      </c>
      <c r="O74" s="112">
        <v>0</v>
      </c>
      <c r="P74" s="112">
        <v>0.5</v>
      </c>
      <c r="Q74" s="112">
        <v>5.04</v>
      </c>
    </row>
    <row r="75" spans="1:17" customFormat="1">
      <c r="A75" s="80">
        <v>45539.697916666664</v>
      </c>
      <c r="B75" s="112">
        <v>9.34</v>
      </c>
      <c r="C75" s="112">
        <v>4.1100000000000003</v>
      </c>
      <c r="D75" s="112">
        <v>14.08</v>
      </c>
      <c r="E75" s="112">
        <v>14.23</v>
      </c>
      <c r="F75" s="112">
        <v>4.03</v>
      </c>
      <c r="G75" s="112">
        <v>54.87</v>
      </c>
      <c r="H75" s="112">
        <v>11.42</v>
      </c>
      <c r="I75" s="112">
        <v>4.8899999999999997</v>
      </c>
      <c r="J75" s="112">
        <v>0.28999999999999998</v>
      </c>
      <c r="K75" s="112">
        <v>41.03</v>
      </c>
      <c r="L75" s="112">
        <v>30.36</v>
      </c>
      <c r="M75" s="112">
        <v>75.86</v>
      </c>
      <c r="N75" s="112">
        <v>63.6</v>
      </c>
      <c r="O75" s="112">
        <v>0</v>
      </c>
      <c r="P75" s="112">
        <v>0.56000000000000005</v>
      </c>
      <c r="Q75" s="112">
        <v>5.0199999999999996</v>
      </c>
    </row>
    <row r="76" spans="1:17" customFormat="1">
      <c r="A76" s="80">
        <v>45539.708333333336</v>
      </c>
      <c r="B76" s="112">
        <v>9.34</v>
      </c>
      <c r="C76" s="112">
        <v>4.07</v>
      </c>
      <c r="D76" s="112">
        <v>14.07</v>
      </c>
      <c r="E76" s="112">
        <v>15.37</v>
      </c>
      <c r="F76" s="112">
        <v>3.46</v>
      </c>
      <c r="G76" s="112">
        <v>63.16</v>
      </c>
      <c r="H76" s="112">
        <v>15.84</v>
      </c>
      <c r="I76" s="112">
        <v>5.0599999999999996</v>
      </c>
      <c r="J76" s="112">
        <v>0.22</v>
      </c>
      <c r="K76" s="112">
        <v>116.65</v>
      </c>
      <c r="L76" s="112">
        <v>29.7</v>
      </c>
      <c r="M76" s="112">
        <v>77.97</v>
      </c>
      <c r="N76" s="112">
        <v>70.8</v>
      </c>
      <c r="O76" s="112">
        <v>0</v>
      </c>
      <c r="P76" s="112">
        <v>0.51</v>
      </c>
      <c r="Q76" s="112">
        <v>5.03</v>
      </c>
    </row>
    <row r="77" spans="1:17" customFormat="1">
      <c r="A77" s="80">
        <v>45539.71875</v>
      </c>
      <c r="B77" s="112">
        <v>9.34</v>
      </c>
      <c r="C77" s="112">
        <v>4.07</v>
      </c>
      <c r="D77" s="112">
        <v>14.07</v>
      </c>
      <c r="E77" s="112">
        <v>11.92</v>
      </c>
      <c r="F77" s="112">
        <v>4.95</v>
      </c>
      <c r="G77" s="112">
        <v>63.16</v>
      </c>
      <c r="H77" s="112">
        <v>15.84</v>
      </c>
      <c r="I77" s="112">
        <v>5.33</v>
      </c>
      <c r="J77" s="112">
        <v>0.23</v>
      </c>
      <c r="K77" s="112">
        <v>176.57</v>
      </c>
      <c r="L77" s="112">
        <v>29.2</v>
      </c>
      <c r="M77" s="112">
        <v>77.59</v>
      </c>
      <c r="N77" s="112">
        <v>65.7</v>
      </c>
      <c r="O77" s="112">
        <v>0</v>
      </c>
      <c r="P77" s="112">
        <v>0.44</v>
      </c>
      <c r="Q77" s="112">
        <v>5.04</v>
      </c>
    </row>
    <row r="78" spans="1:17" customFormat="1">
      <c r="A78" s="80">
        <v>45539.729166666664</v>
      </c>
      <c r="B78" s="112">
        <v>9.34</v>
      </c>
      <c r="C78" s="112">
        <v>4.08</v>
      </c>
      <c r="D78" s="112">
        <v>14.07</v>
      </c>
      <c r="E78" s="112">
        <v>11.45</v>
      </c>
      <c r="F78" s="112">
        <v>4.8099999999999996</v>
      </c>
      <c r="G78" s="112">
        <v>63.16</v>
      </c>
      <c r="H78" s="112">
        <v>15.84</v>
      </c>
      <c r="I78" s="112">
        <v>5.17</v>
      </c>
      <c r="J78" s="112">
        <v>0.22</v>
      </c>
      <c r="K78" s="112">
        <v>182.87</v>
      </c>
      <c r="L78" s="112">
        <v>29.41</v>
      </c>
      <c r="M78" s="112">
        <v>79.62</v>
      </c>
      <c r="N78" s="112">
        <v>54</v>
      </c>
      <c r="O78" s="112">
        <v>0</v>
      </c>
      <c r="P78" s="112">
        <v>0.44</v>
      </c>
      <c r="Q78" s="112">
        <v>5.03</v>
      </c>
    </row>
    <row r="79" spans="1:17" customFormat="1">
      <c r="A79" s="80">
        <v>45539.739583333336</v>
      </c>
      <c r="B79" s="112">
        <v>9.32</v>
      </c>
      <c r="C79" s="112">
        <v>4.13</v>
      </c>
      <c r="D79" s="112">
        <v>14.08</v>
      </c>
      <c r="E79" s="112">
        <v>10.83</v>
      </c>
      <c r="F79" s="112">
        <v>4.97</v>
      </c>
      <c r="G79" s="112">
        <v>60.76</v>
      </c>
      <c r="H79" s="112">
        <v>14.6</v>
      </c>
      <c r="I79" s="112">
        <v>4.6500000000000004</v>
      </c>
      <c r="J79" s="112">
        <v>0.21</v>
      </c>
      <c r="K79" s="112">
        <v>192.3</v>
      </c>
      <c r="L79" s="112">
        <v>29.53</v>
      </c>
      <c r="M79" s="112">
        <v>80.89</v>
      </c>
      <c r="N79" s="112">
        <v>39.700000000000003</v>
      </c>
      <c r="O79" s="112">
        <v>0</v>
      </c>
      <c r="P79" s="112">
        <v>0.44</v>
      </c>
      <c r="Q79" s="112">
        <v>5.04</v>
      </c>
    </row>
    <row r="80" spans="1:17" customFormat="1">
      <c r="A80" s="80">
        <v>45539.75</v>
      </c>
      <c r="B80" s="112">
        <v>9.33</v>
      </c>
      <c r="C80" s="112">
        <v>4.1100000000000003</v>
      </c>
      <c r="D80" s="112">
        <v>14.07</v>
      </c>
      <c r="E80" s="112">
        <v>10.16</v>
      </c>
      <c r="F80" s="112">
        <v>4.42</v>
      </c>
      <c r="G80" s="112">
        <v>52.35</v>
      </c>
      <c r="H80" s="112">
        <v>11.54</v>
      </c>
      <c r="I80" s="112">
        <v>4.62</v>
      </c>
      <c r="J80" s="112">
        <v>0.26</v>
      </c>
      <c r="K80" s="112">
        <v>119.85</v>
      </c>
      <c r="L80" s="112">
        <v>28.75</v>
      </c>
      <c r="M80" s="112">
        <v>82.48</v>
      </c>
      <c r="N80" s="112">
        <v>15.2</v>
      </c>
      <c r="O80" s="112">
        <v>0</v>
      </c>
      <c r="P80" s="112">
        <v>0.43</v>
      </c>
      <c r="Q80" s="112">
        <v>5.04</v>
      </c>
    </row>
    <row r="81" spans="1:17" customFormat="1">
      <c r="A81" s="80">
        <v>45539.760416666664</v>
      </c>
      <c r="B81" s="112">
        <v>9.34</v>
      </c>
      <c r="C81" s="112">
        <v>4.09</v>
      </c>
      <c r="D81" s="112">
        <v>14.08</v>
      </c>
      <c r="E81" s="112">
        <v>9.9600000000000009</v>
      </c>
      <c r="F81" s="112">
        <v>3.51</v>
      </c>
      <c r="G81" s="112">
        <v>52.35</v>
      </c>
      <c r="H81" s="112">
        <v>11.54</v>
      </c>
      <c r="I81" s="112">
        <v>4.42</v>
      </c>
      <c r="J81" s="112">
        <v>0.3</v>
      </c>
      <c r="K81" s="112">
        <v>140.18</v>
      </c>
      <c r="L81" s="112">
        <v>28.01</v>
      </c>
      <c r="M81" s="112">
        <v>84.54</v>
      </c>
      <c r="N81" s="112">
        <v>4.3</v>
      </c>
      <c r="O81" s="112">
        <v>0</v>
      </c>
      <c r="P81" s="112">
        <v>0.43</v>
      </c>
      <c r="Q81" s="112">
        <v>5.03</v>
      </c>
    </row>
    <row r="82" spans="1:17" customFormat="1">
      <c r="A82" s="80">
        <v>45539.770833333336</v>
      </c>
      <c r="B82" s="112">
        <v>9.34</v>
      </c>
      <c r="C82" s="112">
        <v>4.07</v>
      </c>
      <c r="D82" s="112">
        <v>14.07</v>
      </c>
      <c r="E82" s="112">
        <v>10.74</v>
      </c>
      <c r="F82" s="112">
        <v>3.35</v>
      </c>
      <c r="G82" s="112">
        <v>52.35</v>
      </c>
      <c r="H82" s="112">
        <v>11.54</v>
      </c>
      <c r="I82" s="112">
        <v>4.3899999999999997</v>
      </c>
      <c r="J82" s="112">
        <v>0.36</v>
      </c>
      <c r="K82" s="112">
        <v>128.29</v>
      </c>
      <c r="L82" s="112">
        <v>27.15</v>
      </c>
      <c r="M82" s="112">
        <v>86.46</v>
      </c>
      <c r="N82" s="112">
        <v>3.3</v>
      </c>
      <c r="O82" s="112">
        <v>0</v>
      </c>
      <c r="P82" s="112">
        <v>0.42</v>
      </c>
      <c r="Q82" s="112">
        <v>5.04</v>
      </c>
    </row>
    <row r="83" spans="1:17" customFormat="1">
      <c r="A83" s="80">
        <v>45539.78125</v>
      </c>
      <c r="B83" s="112">
        <v>9.33</v>
      </c>
      <c r="C83" s="112">
        <v>4.0999999999999996</v>
      </c>
      <c r="D83" s="112">
        <v>14.07</v>
      </c>
      <c r="E83" s="112">
        <v>10.94</v>
      </c>
      <c r="F83" s="112">
        <v>3.93</v>
      </c>
      <c r="G83" s="112">
        <v>48.28</v>
      </c>
      <c r="H83" s="112">
        <v>11.41</v>
      </c>
      <c r="I83" s="112">
        <v>4.58</v>
      </c>
      <c r="J83" s="112">
        <v>0.17</v>
      </c>
      <c r="K83" s="112">
        <v>105.2</v>
      </c>
      <c r="L83" s="112">
        <v>26.82</v>
      </c>
      <c r="M83" s="112">
        <v>88.68</v>
      </c>
      <c r="N83" s="112">
        <v>2.4</v>
      </c>
      <c r="O83" s="112">
        <v>0</v>
      </c>
      <c r="P83" s="112">
        <v>0.42</v>
      </c>
      <c r="Q83" s="112">
        <v>5.04</v>
      </c>
    </row>
    <row r="84" spans="1:17" customFormat="1">
      <c r="A84" s="80">
        <v>45539.791666666664</v>
      </c>
      <c r="B84" s="112">
        <v>9.34</v>
      </c>
      <c r="C84" s="112">
        <v>4.0999999999999996</v>
      </c>
      <c r="D84" s="112">
        <v>14.08</v>
      </c>
      <c r="E84" s="112">
        <v>10.87</v>
      </c>
      <c r="F84" s="112">
        <v>3.42</v>
      </c>
      <c r="G84" s="112">
        <v>34.03</v>
      </c>
      <c r="H84" s="112">
        <v>11.09</v>
      </c>
      <c r="I84" s="112">
        <v>4.4800000000000004</v>
      </c>
      <c r="J84" s="112">
        <v>0.16</v>
      </c>
      <c r="K84" s="112">
        <v>227.94</v>
      </c>
      <c r="L84" s="112">
        <v>26.77</v>
      </c>
      <c r="M84" s="112">
        <v>89.01</v>
      </c>
      <c r="N84" s="112">
        <v>2.2999999999999998</v>
      </c>
      <c r="O84" s="112">
        <v>0</v>
      </c>
      <c r="P84" s="112">
        <v>0.41</v>
      </c>
      <c r="Q84" s="112">
        <v>5.04</v>
      </c>
    </row>
    <row r="85" spans="1:17" customFormat="1">
      <c r="A85" s="80">
        <v>45539.802083333336</v>
      </c>
      <c r="B85" s="112">
        <v>9.34</v>
      </c>
      <c r="C85" s="112">
        <v>4.09</v>
      </c>
      <c r="D85" s="112">
        <v>14.08</v>
      </c>
      <c r="E85" s="112">
        <v>10.8</v>
      </c>
      <c r="F85" s="112">
        <v>3.46</v>
      </c>
      <c r="G85" s="112">
        <v>34.03</v>
      </c>
      <c r="H85" s="112">
        <v>11.09</v>
      </c>
      <c r="I85" s="112">
        <v>4.34</v>
      </c>
      <c r="J85" s="112">
        <v>0.06</v>
      </c>
      <c r="K85" s="112">
        <v>87.96</v>
      </c>
      <c r="L85" s="112">
        <v>26.47</v>
      </c>
      <c r="M85" s="112">
        <v>89.31</v>
      </c>
      <c r="N85" s="112">
        <v>2.2000000000000002</v>
      </c>
      <c r="O85" s="112">
        <v>0</v>
      </c>
      <c r="P85" s="112">
        <v>0.4</v>
      </c>
      <c r="Q85" s="112">
        <v>5.04</v>
      </c>
    </row>
    <row r="86" spans="1:17" customFormat="1">
      <c r="A86" s="80">
        <v>45539.8125</v>
      </c>
      <c r="B86" s="112">
        <v>9.35</v>
      </c>
      <c r="C86" s="112">
        <v>4.09</v>
      </c>
      <c r="D86" s="112">
        <v>14.09</v>
      </c>
      <c r="E86" s="112">
        <v>10.08</v>
      </c>
      <c r="F86" s="112">
        <v>3.97</v>
      </c>
      <c r="G86" s="112">
        <v>34.03</v>
      </c>
      <c r="H86" s="112">
        <v>11.09</v>
      </c>
      <c r="I86" s="112">
        <v>4.26</v>
      </c>
      <c r="J86" s="112">
        <v>0.12</v>
      </c>
      <c r="K86" s="112">
        <v>201.27</v>
      </c>
      <c r="L86" s="112">
        <v>26.3</v>
      </c>
      <c r="M86" s="112">
        <v>89.39</v>
      </c>
      <c r="N86" s="112">
        <v>2.1</v>
      </c>
      <c r="O86" s="112">
        <v>0</v>
      </c>
      <c r="P86" s="112">
        <v>0.39</v>
      </c>
      <c r="Q86" s="112">
        <v>5.03</v>
      </c>
    </row>
    <row r="87" spans="1:17" customFormat="1">
      <c r="A87" s="80">
        <v>45539.822916666664</v>
      </c>
      <c r="B87" s="112">
        <v>9.3699999999999992</v>
      </c>
      <c r="C87" s="112">
        <v>4.09</v>
      </c>
      <c r="D87" s="112">
        <v>14.1</v>
      </c>
      <c r="E87" s="112">
        <v>9.5</v>
      </c>
      <c r="F87" s="112">
        <v>4.84</v>
      </c>
      <c r="G87" s="112">
        <v>32.82</v>
      </c>
      <c r="H87" s="112">
        <v>10.31</v>
      </c>
      <c r="I87" s="112">
        <v>4.3099999999999996</v>
      </c>
      <c r="J87" s="112">
        <v>0.14000000000000001</v>
      </c>
      <c r="K87" s="112">
        <v>231.54</v>
      </c>
      <c r="L87" s="112">
        <v>26.15</v>
      </c>
      <c r="M87" s="112">
        <v>91.33</v>
      </c>
      <c r="N87" s="112">
        <v>2.1</v>
      </c>
      <c r="O87" s="112">
        <v>0</v>
      </c>
      <c r="P87" s="112">
        <v>0.37</v>
      </c>
      <c r="Q87" s="112">
        <v>5.0199999999999996</v>
      </c>
    </row>
    <row r="88" spans="1:17" customFormat="1">
      <c r="A88" s="80">
        <v>45539.833333333336</v>
      </c>
      <c r="B88" s="112">
        <v>9.3699999999999992</v>
      </c>
      <c r="C88" s="112">
        <v>4.0999999999999996</v>
      </c>
      <c r="D88" s="112">
        <v>14.11</v>
      </c>
      <c r="E88" s="112">
        <v>9.6300000000000008</v>
      </c>
      <c r="F88" s="112">
        <v>4.7699999999999996</v>
      </c>
      <c r="G88" s="112">
        <v>28.6</v>
      </c>
      <c r="H88" s="112">
        <v>8.4</v>
      </c>
      <c r="I88" s="112">
        <v>4.21</v>
      </c>
      <c r="J88" s="112">
        <v>0.18</v>
      </c>
      <c r="K88" s="112">
        <v>266.77999999999997</v>
      </c>
      <c r="L88" s="112">
        <v>26.22</v>
      </c>
      <c r="M88" s="112">
        <v>92</v>
      </c>
      <c r="N88" s="112">
        <v>2</v>
      </c>
      <c r="O88" s="112">
        <v>0</v>
      </c>
      <c r="P88" s="112">
        <v>0.36</v>
      </c>
      <c r="Q88" s="112">
        <v>5.0199999999999996</v>
      </c>
    </row>
    <row r="89" spans="1:17" customFormat="1">
      <c r="A89" s="80">
        <v>45539.84375</v>
      </c>
      <c r="B89" s="112">
        <v>9.36</v>
      </c>
      <c r="C89" s="112">
        <v>4.08</v>
      </c>
      <c r="D89" s="112">
        <v>14.09</v>
      </c>
      <c r="E89" s="112">
        <v>9.2100000000000009</v>
      </c>
      <c r="F89" s="112">
        <v>5.05</v>
      </c>
      <c r="G89" s="112">
        <v>28.6</v>
      </c>
      <c r="H89" s="112">
        <v>8.4</v>
      </c>
      <c r="I89" s="112">
        <v>4.0999999999999996</v>
      </c>
      <c r="J89" s="112">
        <v>0.17</v>
      </c>
      <c r="K89" s="112">
        <v>254.41</v>
      </c>
      <c r="L89" s="112">
        <v>26.38</v>
      </c>
      <c r="M89" s="112">
        <v>92.02</v>
      </c>
      <c r="N89" s="112">
        <v>1.9</v>
      </c>
      <c r="O89" s="112">
        <v>0</v>
      </c>
      <c r="P89" s="112">
        <v>0.35</v>
      </c>
      <c r="Q89" s="112">
        <v>5.03</v>
      </c>
    </row>
    <row r="90" spans="1:17" customFormat="1">
      <c r="A90" s="80">
        <v>45539.854166666664</v>
      </c>
      <c r="B90" s="112">
        <v>9.3800000000000008</v>
      </c>
      <c r="C90" s="112">
        <v>4.05</v>
      </c>
      <c r="D90" s="112">
        <v>14.09</v>
      </c>
      <c r="E90" s="112">
        <v>8.6199999999999992</v>
      </c>
      <c r="F90" s="112">
        <v>5.46</v>
      </c>
      <c r="G90" s="112">
        <v>28.6</v>
      </c>
      <c r="H90" s="112">
        <v>8.4</v>
      </c>
      <c r="I90" s="112">
        <v>4.0599999999999996</v>
      </c>
      <c r="J90" s="112">
        <v>0.17</v>
      </c>
      <c r="K90" s="112">
        <v>245.48</v>
      </c>
      <c r="L90" s="112">
        <v>26.44</v>
      </c>
      <c r="M90" s="112">
        <v>91.38</v>
      </c>
      <c r="N90" s="112">
        <v>2.1</v>
      </c>
      <c r="O90" s="112">
        <v>0</v>
      </c>
      <c r="P90" s="112">
        <v>0.34</v>
      </c>
      <c r="Q90" s="112">
        <v>5.04</v>
      </c>
    </row>
    <row r="91" spans="1:17" customFormat="1">
      <c r="A91" s="80">
        <v>45539.864583333336</v>
      </c>
      <c r="B91" s="112">
        <v>9.36</v>
      </c>
      <c r="C91" s="112">
        <v>4.07</v>
      </c>
      <c r="D91" s="112">
        <v>14.08</v>
      </c>
      <c r="E91" s="112">
        <v>8</v>
      </c>
      <c r="F91" s="112">
        <v>6.24</v>
      </c>
      <c r="G91" s="112">
        <v>27.85</v>
      </c>
      <c r="H91" s="112">
        <v>7.98</v>
      </c>
      <c r="I91" s="112">
        <v>4.03</v>
      </c>
      <c r="J91" s="112">
        <v>0.15</v>
      </c>
      <c r="K91" s="112">
        <v>245.3</v>
      </c>
      <c r="L91" s="112">
        <v>26.39</v>
      </c>
      <c r="M91" s="112">
        <v>92.13</v>
      </c>
      <c r="N91" s="112">
        <v>2.1</v>
      </c>
      <c r="O91" s="112">
        <v>0</v>
      </c>
      <c r="P91" s="112">
        <v>0.32</v>
      </c>
      <c r="Q91" s="112">
        <v>5.05</v>
      </c>
    </row>
    <row r="92" spans="1:17" customFormat="1">
      <c r="A92" s="80">
        <v>45539.875</v>
      </c>
      <c r="B92" s="112">
        <v>9.36</v>
      </c>
      <c r="C92" s="112">
        <v>4.05</v>
      </c>
      <c r="D92" s="112">
        <v>14.07</v>
      </c>
      <c r="E92" s="112">
        <v>7.89</v>
      </c>
      <c r="F92" s="112">
        <v>6.75</v>
      </c>
      <c r="G92" s="112">
        <v>25.23</v>
      </c>
      <c r="H92" s="112">
        <v>6.03</v>
      </c>
      <c r="I92" s="112">
        <v>4.0199999999999996</v>
      </c>
      <c r="J92" s="112">
        <v>0.14000000000000001</v>
      </c>
      <c r="K92" s="112">
        <v>244.39</v>
      </c>
      <c r="L92" s="112">
        <v>26.3</v>
      </c>
      <c r="M92" s="112">
        <v>93.29</v>
      </c>
      <c r="N92" s="112">
        <v>2.1</v>
      </c>
      <c r="O92" s="112">
        <v>0</v>
      </c>
      <c r="P92" s="112">
        <v>0.32</v>
      </c>
      <c r="Q92" s="112">
        <v>5.03</v>
      </c>
    </row>
    <row r="93" spans="1:17" customFormat="1">
      <c r="A93" s="80">
        <v>45539.885416666664</v>
      </c>
      <c r="B93" s="112">
        <v>9.36</v>
      </c>
      <c r="C93" s="112">
        <v>4.0599999999999996</v>
      </c>
      <c r="D93" s="112">
        <v>14.07</v>
      </c>
      <c r="E93" s="112">
        <v>8.0399999999999991</v>
      </c>
      <c r="F93" s="112">
        <v>6.03</v>
      </c>
      <c r="G93" s="112">
        <v>25.23</v>
      </c>
      <c r="H93" s="112">
        <v>6.03</v>
      </c>
      <c r="I93" s="112">
        <v>3.92</v>
      </c>
      <c r="J93" s="112">
        <v>0.11</v>
      </c>
      <c r="K93" s="112">
        <v>205.85</v>
      </c>
      <c r="L93" s="112">
        <v>26.24</v>
      </c>
      <c r="M93" s="112">
        <v>93.66</v>
      </c>
      <c r="N93" s="112">
        <v>2.1</v>
      </c>
      <c r="O93" s="112">
        <v>0</v>
      </c>
      <c r="P93" s="112">
        <v>0.31</v>
      </c>
      <c r="Q93" s="112">
        <v>5.05</v>
      </c>
    </row>
    <row r="94" spans="1:17" customFormat="1">
      <c r="A94" s="80">
        <v>45539.895833333336</v>
      </c>
      <c r="B94" s="112">
        <v>9.35</v>
      </c>
      <c r="C94" s="112">
        <v>4.0599999999999996</v>
      </c>
      <c r="D94" s="112">
        <v>14.07</v>
      </c>
      <c r="E94" s="112">
        <v>7.83</v>
      </c>
      <c r="F94" s="112">
        <v>5.84</v>
      </c>
      <c r="G94" s="112">
        <v>25.23</v>
      </c>
      <c r="H94" s="112">
        <v>6.03</v>
      </c>
      <c r="I94" s="112">
        <v>3.84</v>
      </c>
      <c r="J94" s="112">
        <v>0.1</v>
      </c>
      <c r="K94" s="112">
        <v>188.5</v>
      </c>
      <c r="L94" s="112">
        <v>26.34</v>
      </c>
      <c r="M94" s="112">
        <v>93.28</v>
      </c>
      <c r="N94" s="112">
        <v>2</v>
      </c>
      <c r="O94" s="112">
        <v>0</v>
      </c>
      <c r="P94" s="112">
        <v>0.32</v>
      </c>
      <c r="Q94" s="112">
        <v>5.04</v>
      </c>
    </row>
    <row r="95" spans="1:17" customFormat="1">
      <c r="A95" s="80">
        <v>45539.90625</v>
      </c>
      <c r="B95" s="112">
        <v>9.36</v>
      </c>
      <c r="C95" s="112">
        <v>4.04</v>
      </c>
      <c r="D95" s="112">
        <v>14.07</v>
      </c>
      <c r="E95" s="112">
        <v>7.68</v>
      </c>
      <c r="F95" s="112">
        <v>7.06</v>
      </c>
      <c r="G95" s="112">
        <v>23.75</v>
      </c>
      <c r="H95" s="112">
        <v>5.7</v>
      </c>
      <c r="I95" s="112">
        <v>3.86</v>
      </c>
      <c r="J95" s="112">
        <v>0.13</v>
      </c>
      <c r="K95" s="112">
        <v>193.5</v>
      </c>
      <c r="L95" s="112">
        <v>26.17</v>
      </c>
      <c r="M95" s="112">
        <v>94.32</v>
      </c>
      <c r="N95" s="112">
        <v>2</v>
      </c>
      <c r="O95" s="112">
        <v>0</v>
      </c>
      <c r="P95" s="112">
        <v>0.3</v>
      </c>
      <c r="Q95" s="112">
        <v>5.05</v>
      </c>
    </row>
    <row r="96" spans="1:17" customFormat="1">
      <c r="A96" s="80">
        <v>45539.916666666664</v>
      </c>
      <c r="B96" s="112">
        <v>9.36</v>
      </c>
      <c r="C96" s="112">
        <v>4.07</v>
      </c>
      <c r="D96" s="112">
        <v>14.08</v>
      </c>
      <c r="E96" s="112">
        <v>8.1199999999999992</v>
      </c>
      <c r="F96" s="112">
        <v>6.3</v>
      </c>
      <c r="G96" s="112">
        <v>18.57</v>
      </c>
      <c r="H96" s="112">
        <v>4.9000000000000004</v>
      </c>
      <c r="I96" s="112">
        <v>3.79</v>
      </c>
      <c r="J96" s="112">
        <v>0.14000000000000001</v>
      </c>
      <c r="K96" s="112">
        <v>230.61</v>
      </c>
      <c r="L96" s="112">
        <v>26.18</v>
      </c>
      <c r="M96" s="112">
        <v>94.78</v>
      </c>
      <c r="N96" s="112">
        <v>2</v>
      </c>
      <c r="O96" s="112">
        <v>0</v>
      </c>
      <c r="P96" s="112">
        <v>0.3</v>
      </c>
      <c r="Q96" s="112">
        <v>5.03</v>
      </c>
    </row>
    <row r="97" spans="1:22" customFormat="1">
      <c r="A97" s="80">
        <v>45539.927083333336</v>
      </c>
      <c r="B97" s="112">
        <v>9.3699999999999992</v>
      </c>
      <c r="C97" s="112">
        <v>4.05</v>
      </c>
      <c r="D97" s="112">
        <v>14.08</v>
      </c>
      <c r="E97" s="112">
        <v>8.2799999999999994</v>
      </c>
      <c r="F97" s="112">
        <v>5.71</v>
      </c>
      <c r="G97" s="112">
        <v>18.57</v>
      </c>
      <c r="H97" s="112">
        <v>4.9000000000000004</v>
      </c>
      <c r="I97" s="112">
        <v>3.74</v>
      </c>
      <c r="J97" s="112">
        <v>0.15</v>
      </c>
      <c r="K97" s="112">
        <v>228.72</v>
      </c>
      <c r="L97" s="112">
        <v>26.38</v>
      </c>
      <c r="M97" s="112">
        <v>94.89</v>
      </c>
      <c r="N97" s="112">
        <v>2</v>
      </c>
      <c r="O97" s="112">
        <v>0</v>
      </c>
      <c r="P97" s="112">
        <v>0.3</v>
      </c>
      <c r="Q97" s="112">
        <v>5.04</v>
      </c>
    </row>
    <row r="98" spans="1:22" customFormat="1">
      <c r="A98" s="80">
        <v>45539.9375</v>
      </c>
      <c r="B98" s="112">
        <v>9.35</v>
      </c>
      <c r="C98" s="112">
        <v>4.08</v>
      </c>
      <c r="D98" s="112">
        <v>14.08</v>
      </c>
      <c r="E98" s="112">
        <v>7.86</v>
      </c>
      <c r="F98" s="112">
        <v>5.94</v>
      </c>
      <c r="G98" s="112">
        <v>18.57</v>
      </c>
      <c r="H98" s="112">
        <v>4.9000000000000004</v>
      </c>
      <c r="I98" s="112">
        <v>3.78</v>
      </c>
      <c r="J98" s="112">
        <v>0.27</v>
      </c>
      <c r="K98" s="112">
        <v>266.86</v>
      </c>
      <c r="L98" s="112">
        <v>26.56</v>
      </c>
      <c r="M98" s="112">
        <v>93.22</v>
      </c>
      <c r="N98" s="112">
        <v>2</v>
      </c>
      <c r="O98" s="112">
        <v>0</v>
      </c>
      <c r="P98" s="112">
        <v>0.31</v>
      </c>
      <c r="Q98" s="112">
        <v>5.0599999999999996</v>
      </c>
    </row>
    <row r="99" spans="1:22" customFormat="1">
      <c r="A99" s="80">
        <v>45539.947916666664</v>
      </c>
      <c r="B99" s="112">
        <v>9.33</v>
      </c>
      <c r="C99" s="112">
        <v>4.0599999999999996</v>
      </c>
      <c r="D99" s="112">
        <v>14.05</v>
      </c>
      <c r="E99" s="112">
        <v>7.21</v>
      </c>
      <c r="F99" s="112">
        <v>7.78</v>
      </c>
      <c r="G99" s="112">
        <v>19.32</v>
      </c>
      <c r="H99" s="112">
        <v>4.6900000000000004</v>
      </c>
      <c r="I99" s="112">
        <v>3.82</v>
      </c>
      <c r="J99" s="112">
        <v>0.18</v>
      </c>
      <c r="K99" s="112">
        <v>265.48</v>
      </c>
      <c r="L99" s="112">
        <v>26.68</v>
      </c>
      <c r="M99" s="112">
        <v>91.86</v>
      </c>
      <c r="N99" s="112">
        <v>2.1</v>
      </c>
      <c r="O99" s="112">
        <v>0</v>
      </c>
      <c r="P99" s="112">
        <v>0.28999999999999998</v>
      </c>
      <c r="Q99" s="112">
        <v>5.07</v>
      </c>
    </row>
    <row r="100" spans="1:22" customFormat="1">
      <c r="A100" s="80">
        <v>45539.958333333336</v>
      </c>
      <c r="B100" s="112">
        <v>9.34</v>
      </c>
      <c r="C100" s="112">
        <v>4.03</v>
      </c>
      <c r="D100" s="112">
        <v>14.05</v>
      </c>
      <c r="E100" s="112">
        <v>7.61</v>
      </c>
      <c r="F100" s="112">
        <v>8.27</v>
      </c>
      <c r="G100" s="112">
        <v>21.97</v>
      </c>
      <c r="H100" s="112">
        <v>4.18</v>
      </c>
      <c r="I100" s="112">
        <v>3.83</v>
      </c>
      <c r="J100" s="112">
        <v>0.32</v>
      </c>
      <c r="K100" s="112">
        <v>272.89</v>
      </c>
      <c r="L100" s="112">
        <v>26.73</v>
      </c>
      <c r="M100" s="112">
        <v>91.75</v>
      </c>
      <c r="N100" s="112">
        <v>2.1</v>
      </c>
      <c r="O100" s="112">
        <v>0</v>
      </c>
      <c r="P100" s="112">
        <v>0.28000000000000003</v>
      </c>
      <c r="Q100" s="112">
        <v>5.04</v>
      </c>
    </row>
    <row r="101" spans="1:22" customFormat="1">
      <c r="A101" s="80">
        <v>45539.96875</v>
      </c>
      <c r="B101" s="112">
        <v>9.32</v>
      </c>
      <c r="C101" s="112">
        <v>4.01</v>
      </c>
      <c r="D101" s="112">
        <v>14.02</v>
      </c>
      <c r="E101" s="112">
        <v>7.7</v>
      </c>
      <c r="F101" s="112">
        <v>8.1199999999999992</v>
      </c>
      <c r="G101" s="112">
        <v>21.97</v>
      </c>
      <c r="H101" s="112">
        <v>4.18</v>
      </c>
      <c r="I101" s="112">
        <v>3.69</v>
      </c>
      <c r="J101" s="112">
        <v>0.22</v>
      </c>
      <c r="K101" s="112">
        <v>258.63</v>
      </c>
      <c r="L101" s="112">
        <v>26.7</v>
      </c>
      <c r="M101" s="112">
        <v>92.43</v>
      </c>
      <c r="N101" s="112">
        <v>2.2000000000000002</v>
      </c>
      <c r="O101" s="112">
        <v>0</v>
      </c>
      <c r="P101" s="112">
        <v>0.27</v>
      </c>
      <c r="Q101" s="112">
        <v>5.03</v>
      </c>
    </row>
    <row r="102" spans="1:22" customFormat="1">
      <c r="A102" s="80">
        <v>45539.979166666664</v>
      </c>
      <c r="B102" s="112">
        <v>9.3000000000000007</v>
      </c>
      <c r="C102" s="112">
        <v>4.04</v>
      </c>
      <c r="D102" s="112">
        <v>14.02</v>
      </c>
      <c r="E102" s="112">
        <v>7.52</v>
      </c>
      <c r="F102" s="112">
        <v>7.56</v>
      </c>
      <c r="G102" s="112">
        <v>21.97</v>
      </c>
      <c r="H102" s="112">
        <v>4.18</v>
      </c>
      <c r="I102" s="112">
        <v>3.58</v>
      </c>
      <c r="J102" s="112">
        <v>0.2</v>
      </c>
      <c r="K102" s="112">
        <v>273.64</v>
      </c>
      <c r="L102" s="112">
        <v>26.63</v>
      </c>
      <c r="M102" s="112">
        <v>92.42</v>
      </c>
      <c r="N102" s="112">
        <v>2.1</v>
      </c>
      <c r="O102" s="112">
        <v>0</v>
      </c>
      <c r="P102" s="112">
        <v>0.27</v>
      </c>
      <c r="Q102" s="112">
        <v>5.05</v>
      </c>
    </row>
    <row r="103" spans="1:22" customFormat="1">
      <c r="A103" s="80">
        <v>45539.989583333336</v>
      </c>
      <c r="B103" s="112">
        <v>9.27</v>
      </c>
      <c r="C103" s="112">
        <v>4.0599999999999996</v>
      </c>
      <c r="D103" s="112">
        <v>14.01</v>
      </c>
      <c r="E103" s="112">
        <v>8.65</v>
      </c>
      <c r="F103" s="112">
        <v>4.28</v>
      </c>
      <c r="G103" s="112">
        <v>20.51</v>
      </c>
      <c r="H103" s="112">
        <v>4.32</v>
      </c>
      <c r="I103" s="112">
        <v>3.53</v>
      </c>
      <c r="J103" s="112">
        <v>0.28999999999999998</v>
      </c>
      <c r="K103" s="112">
        <v>269.36</v>
      </c>
      <c r="L103" s="112">
        <v>26.56</v>
      </c>
      <c r="M103" s="112">
        <v>93.27</v>
      </c>
      <c r="N103" s="112">
        <v>2.1</v>
      </c>
      <c r="O103" s="112">
        <v>0</v>
      </c>
      <c r="P103" s="112">
        <v>0.32</v>
      </c>
      <c r="Q103" s="112">
        <v>5.04</v>
      </c>
    </row>
    <row r="104" spans="1:22" customFormat="1">
      <c r="A104" s="80">
        <v>45540</v>
      </c>
      <c r="B104" s="112">
        <v>9.26</v>
      </c>
      <c r="C104" s="112">
        <v>4.0999999999999996</v>
      </c>
      <c r="D104" s="112">
        <v>14.01</v>
      </c>
      <c r="E104" s="112">
        <v>8.36</v>
      </c>
      <c r="F104" s="112">
        <v>6.25</v>
      </c>
      <c r="G104" s="112">
        <v>15.41</v>
      </c>
      <c r="H104" s="112">
        <v>4.6500000000000004</v>
      </c>
      <c r="I104" s="112">
        <v>3.51</v>
      </c>
      <c r="J104" s="112">
        <v>0.47</v>
      </c>
      <c r="K104" s="112">
        <v>275.87</v>
      </c>
      <c r="L104" s="112">
        <v>26.55</v>
      </c>
      <c r="M104" s="112">
        <v>92.85</v>
      </c>
      <c r="N104" s="112">
        <v>2.1</v>
      </c>
      <c r="O104" s="112">
        <v>0</v>
      </c>
      <c r="P104" s="112">
        <v>0.33</v>
      </c>
      <c r="Q104" s="112">
        <v>5.05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9.25</v>
      </c>
      <c r="C106" s="183">
        <f>MIN(C9:C104)</f>
        <v>4.01</v>
      </c>
      <c r="D106" s="183">
        <f t="shared" ref="D106:Q106" si="0">MIN(D9:D104)</f>
        <v>14</v>
      </c>
      <c r="E106" s="183">
        <f t="shared" si="0"/>
        <v>6.26</v>
      </c>
      <c r="F106" s="183">
        <f t="shared" si="0"/>
        <v>1.17</v>
      </c>
      <c r="G106" s="183">
        <f t="shared" si="0"/>
        <v>15.41</v>
      </c>
      <c r="H106" s="183">
        <f t="shared" si="0"/>
        <v>3.9</v>
      </c>
      <c r="I106" s="183">
        <f t="shared" si="0"/>
        <v>3.51</v>
      </c>
      <c r="J106" s="183">
        <f t="shared" si="0"/>
        <v>0.02</v>
      </c>
      <c r="K106" s="183">
        <f t="shared" si="0"/>
        <v>29.1</v>
      </c>
      <c r="L106" s="183">
        <f t="shared" si="0"/>
        <v>25.73</v>
      </c>
      <c r="M106" s="183">
        <f t="shared" si="0"/>
        <v>69.069999999999993</v>
      </c>
      <c r="N106" s="183">
        <f t="shared" si="0"/>
        <v>1.8</v>
      </c>
      <c r="O106" s="183">
        <f t="shared" si="0"/>
        <v>0</v>
      </c>
      <c r="P106" s="183">
        <f t="shared" si="0"/>
        <v>0.27</v>
      </c>
      <c r="Q106" s="183">
        <f t="shared" si="0"/>
        <v>5.0199999999999996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9.43</v>
      </c>
      <c r="C107" s="184">
        <f t="shared" ref="C107:Q107" si="1">MAX(C9:C104)</f>
        <v>4.13</v>
      </c>
      <c r="D107" s="184">
        <f t="shared" si="1"/>
        <v>14.15</v>
      </c>
      <c r="E107" s="184">
        <f t="shared" si="1"/>
        <v>15.37</v>
      </c>
      <c r="F107" s="184">
        <f t="shared" si="1"/>
        <v>12.27</v>
      </c>
      <c r="G107" s="184">
        <f t="shared" si="1"/>
        <v>63.16</v>
      </c>
      <c r="H107" s="184">
        <f t="shared" si="1"/>
        <v>18.420000000000002</v>
      </c>
      <c r="I107" s="184">
        <f t="shared" si="1"/>
        <v>5.33</v>
      </c>
      <c r="J107" s="184">
        <f t="shared" si="1"/>
        <v>0.77</v>
      </c>
      <c r="K107" s="184">
        <f t="shared" si="1"/>
        <v>349.97</v>
      </c>
      <c r="L107" s="184">
        <f t="shared" si="1"/>
        <v>32.340000000000003</v>
      </c>
      <c r="M107" s="184">
        <f t="shared" si="1"/>
        <v>98.67</v>
      </c>
      <c r="N107" s="184">
        <f t="shared" si="1"/>
        <v>814.9</v>
      </c>
      <c r="O107" s="184">
        <f t="shared" si="1"/>
        <v>1.6</v>
      </c>
      <c r="P107" s="184">
        <f t="shared" si="1"/>
        <v>0.56000000000000005</v>
      </c>
      <c r="Q107" s="184">
        <f t="shared" si="1"/>
        <v>5.07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9.3109375000000068</v>
      </c>
      <c r="C108" s="183">
        <f t="shared" ref="C108:Q108" si="2">AVERAGE(C9:C104)</f>
        <v>4.0711458333333344</v>
      </c>
      <c r="D108" s="183">
        <f t="shared" si="2"/>
        <v>14.043020833333316</v>
      </c>
      <c r="E108" s="183">
        <f t="shared" si="2"/>
        <v>9.0718750000000004</v>
      </c>
      <c r="F108" s="183">
        <f t="shared" si="2"/>
        <v>4.7532291666666646</v>
      </c>
      <c r="G108" s="183">
        <f t="shared" si="2"/>
        <v>41.681562499999984</v>
      </c>
      <c r="H108" s="183">
        <f t="shared" si="2"/>
        <v>9.2884375000000006</v>
      </c>
      <c r="I108" s="183">
        <f t="shared" si="2"/>
        <v>4.4035416666666638</v>
      </c>
      <c r="J108" s="183">
        <f t="shared" si="2"/>
        <v>0.23041666666666671</v>
      </c>
      <c r="K108" s="183">
        <f t="shared" si="2"/>
        <v>167.0948958333334</v>
      </c>
      <c r="L108" s="183">
        <f t="shared" si="2"/>
        <v>27.99145833333333</v>
      </c>
      <c r="M108" s="183">
        <f t="shared" si="2"/>
        <v>87.001354166666701</v>
      </c>
      <c r="N108" s="183">
        <f t="shared" si="2"/>
        <v>79.952083333333377</v>
      </c>
      <c r="O108" s="183">
        <f t="shared" si="2"/>
        <v>4.1666666666666664E-2</v>
      </c>
      <c r="P108" s="183">
        <f t="shared" si="2"/>
        <v>0.40281250000000002</v>
      </c>
      <c r="Q108" s="183">
        <f t="shared" si="2"/>
        <v>5.0392708333333349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3.744689221874236E-2</v>
      </c>
      <c r="C109" s="183">
        <f t="shared" ref="C109:Q109" si="3">STDEV(C9:C104)</f>
        <v>2.0306586521135254E-2</v>
      </c>
      <c r="D109" s="183">
        <f t="shared" si="3"/>
        <v>3.1792743020569003E-2</v>
      </c>
      <c r="E109" s="183">
        <f t="shared" si="3"/>
        <v>1.7409019516512543</v>
      </c>
      <c r="F109" s="183">
        <f t="shared" si="3"/>
        <v>2.6200086359004642</v>
      </c>
      <c r="G109" s="183">
        <f t="shared" si="3"/>
        <v>12.092451436471542</v>
      </c>
      <c r="H109" s="183">
        <f t="shared" si="3"/>
        <v>3.8298894660771059</v>
      </c>
      <c r="I109" s="183">
        <f t="shared" si="3"/>
        <v>0.39538117295824449</v>
      </c>
      <c r="J109" s="183">
        <f t="shared" si="3"/>
        <v>0.15303193107918533</v>
      </c>
      <c r="K109" s="183">
        <f t="shared" si="3"/>
        <v>84.076659731271164</v>
      </c>
      <c r="L109" s="183">
        <f t="shared" si="3"/>
        <v>1.9735524897566483</v>
      </c>
      <c r="M109" s="183">
        <f t="shared" si="3"/>
        <v>9.2581823406211026</v>
      </c>
      <c r="N109" s="183">
        <f t="shared" si="3"/>
        <v>141.53394012087827</v>
      </c>
      <c r="O109" s="183">
        <f t="shared" si="3"/>
        <v>0.23738339704575478</v>
      </c>
      <c r="P109" s="183">
        <f t="shared" si="3"/>
        <v>6.5625783203346541E-2</v>
      </c>
      <c r="Q109" s="183">
        <f t="shared" si="3"/>
        <v>1.0881639937036013E-2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45" activePane="bottomRight" state="frozen"/>
      <selection activeCell="A9" sqref="A9"/>
      <selection pane="topRight" activeCell="A9" sqref="A9"/>
      <selection pane="bottomLeft" activeCell="A9" sqref="A9"/>
      <selection pane="bottomRight" activeCell="A54" sqref="A5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45540.010416666664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45540.010416666664</v>
      </c>
      <c r="B9" s="112">
        <v>9.25</v>
      </c>
      <c r="C9" s="112">
        <v>4.09</v>
      </c>
      <c r="D9" s="112">
        <v>14</v>
      </c>
      <c r="E9" s="112">
        <v>8.4</v>
      </c>
      <c r="F9" s="112">
        <v>6.19</v>
      </c>
      <c r="G9" s="112">
        <v>15.41</v>
      </c>
      <c r="H9" s="112">
        <v>4.6500000000000004</v>
      </c>
      <c r="I9" s="112">
        <v>3.7</v>
      </c>
      <c r="J9" s="112">
        <v>0.41</v>
      </c>
      <c r="K9" s="112">
        <v>281.02999999999997</v>
      </c>
      <c r="L9" s="112">
        <v>26.55</v>
      </c>
      <c r="M9" s="112">
        <v>88.95</v>
      </c>
      <c r="N9" s="112">
        <v>2.1</v>
      </c>
      <c r="O9" s="112">
        <v>0</v>
      </c>
      <c r="P9" s="112">
        <v>0.35</v>
      </c>
      <c r="Q9" s="112">
        <v>5.04</v>
      </c>
    </row>
    <row r="10" spans="1:21" customFormat="1">
      <c r="A10" s="80">
        <v>45540.020833333336</v>
      </c>
      <c r="B10" s="112">
        <v>9.23</v>
      </c>
      <c r="C10" s="112">
        <v>4.12</v>
      </c>
      <c r="D10" s="112">
        <v>14</v>
      </c>
      <c r="E10" s="112">
        <v>8.2200000000000006</v>
      </c>
      <c r="F10" s="112">
        <v>6.26</v>
      </c>
      <c r="G10" s="112">
        <v>15.41</v>
      </c>
      <c r="H10" s="112">
        <v>4.6500000000000004</v>
      </c>
      <c r="I10" s="112">
        <v>3.86</v>
      </c>
      <c r="J10" s="112">
        <v>0.38</v>
      </c>
      <c r="K10" s="112">
        <v>270.95</v>
      </c>
      <c r="L10" s="112">
        <v>26.44</v>
      </c>
      <c r="M10" s="112">
        <v>87.06</v>
      </c>
      <c r="N10" s="112">
        <v>2.1</v>
      </c>
      <c r="O10" s="112">
        <v>0</v>
      </c>
      <c r="P10" s="112">
        <v>0.35</v>
      </c>
      <c r="Q10" s="112">
        <v>5.05</v>
      </c>
    </row>
    <row r="11" spans="1:21" customFormat="1">
      <c r="A11" s="80">
        <v>45540.03125</v>
      </c>
      <c r="B11" s="112">
        <v>9.23</v>
      </c>
      <c r="C11" s="112">
        <v>4.1100000000000003</v>
      </c>
      <c r="D11" s="112">
        <v>14</v>
      </c>
      <c r="E11" s="112">
        <v>8.16</v>
      </c>
      <c r="F11" s="112">
        <v>7.14</v>
      </c>
      <c r="G11" s="112">
        <v>15.54</v>
      </c>
      <c r="H11" s="112">
        <v>4.83</v>
      </c>
      <c r="I11" s="112">
        <v>3.83</v>
      </c>
      <c r="J11" s="112">
        <v>0.24</v>
      </c>
      <c r="K11" s="112">
        <v>286.23</v>
      </c>
      <c r="L11" s="112">
        <v>26.45</v>
      </c>
      <c r="M11" s="112">
        <v>87.51</v>
      </c>
      <c r="N11" s="112">
        <v>2.1</v>
      </c>
      <c r="O11" s="112">
        <v>0</v>
      </c>
      <c r="P11" s="112">
        <v>0.35</v>
      </c>
      <c r="Q11" s="112">
        <v>5.03</v>
      </c>
    </row>
    <row r="12" spans="1:21" customFormat="1">
      <c r="A12" s="80">
        <v>45540.041666666664</v>
      </c>
      <c r="B12" s="112">
        <v>9.23</v>
      </c>
      <c r="C12" s="112">
        <v>4.1100000000000003</v>
      </c>
      <c r="D12" s="112">
        <v>14</v>
      </c>
      <c r="E12" s="112">
        <v>9.74</v>
      </c>
      <c r="F12" s="112">
        <v>5.61</v>
      </c>
      <c r="G12" s="112">
        <v>16</v>
      </c>
      <c r="H12" s="112">
        <v>5.27</v>
      </c>
      <c r="I12" s="112">
        <v>3.71</v>
      </c>
      <c r="J12" s="112">
        <v>0.2</v>
      </c>
      <c r="K12" s="112">
        <v>302.13</v>
      </c>
      <c r="L12" s="112">
        <v>26.49</v>
      </c>
      <c r="M12" s="112">
        <v>87.13</v>
      </c>
      <c r="N12" s="112">
        <v>2.1</v>
      </c>
      <c r="O12" s="112">
        <v>0</v>
      </c>
      <c r="P12" s="112">
        <v>0.36</v>
      </c>
      <c r="Q12" s="112">
        <v>5.03</v>
      </c>
    </row>
    <row r="13" spans="1:21" customFormat="1">
      <c r="A13" s="80">
        <v>45540.052083333336</v>
      </c>
      <c r="B13" s="112">
        <v>9.23</v>
      </c>
      <c r="C13" s="112">
        <v>4.1100000000000003</v>
      </c>
      <c r="D13" s="112">
        <v>14</v>
      </c>
      <c r="E13" s="112">
        <v>9.94</v>
      </c>
      <c r="F13" s="112">
        <v>4.76</v>
      </c>
      <c r="G13" s="112">
        <v>16</v>
      </c>
      <c r="H13" s="112">
        <v>5.27</v>
      </c>
      <c r="I13" s="112">
        <v>3.8</v>
      </c>
      <c r="J13" s="112">
        <v>0.12</v>
      </c>
      <c r="K13" s="112">
        <v>248.08</v>
      </c>
      <c r="L13" s="112">
        <v>26.35</v>
      </c>
      <c r="M13" s="112">
        <v>88.68</v>
      </c>
      <c r="N13" s="112">
        <v>2.1</v>
      </c>
      <c r="O13" s="112">
        <v>0</v>
      </c>
      <c r="P13" s="112">
        <v>0.36</v>
      </c>
      <c r="Q13" s="112">
        <v>5.05</v>
      </c>
    </row>
    <row r="14" spans="1:21" customFormat="1">
      <c r="A14" s="80">
        <v>45540.0625</v>
      </c>
      <c r="B14" s="112">
        <v>9.23</v>
      </c>
      <c r="C14" s="112">
        <v>4.1100000000000003</v>
      </c>
      <c r="D14" s="112">
        <v>14</v>
      </c>
      <c r="E14" s="112">
        <v>9.7100000000000009</v>
      </c>
      <c r="F14" s="112">
        <v>3.86</v>
      </c>
      <c r="G14" s="112">
        <v>16</v>
      </c>
      <c r="H14" s="112">
        <v>5.27</v>
      </c>
      <c r="I14" s="112">
        <v>3.89</v>
      </c>
      <c r="J14" s="112">
        <v>0.16</v>
      </c>
      <c r="K14" s="112">
        <v>180.76</v>
      </c>
      <c r="L14" s="112">
        <v>26.31</v>
      </c>
      <c r="M14" s="112">
        <v>89.5</v>
      </c>
      <c r="N14" s="112">
        <v>2.1</v>
      </c>
      <c r="O14" s="112">
        <v>0</v>
      </c>
      <c r="P14" s="112">
        <v>0.38</v>
      </c>
      <c r="Q14" s="112">
        <v>5.05</v>
      </c>
    </row>
    <row r="15" spans="1:21" customFormat="1">
      <c r="A15" s="80">
        <v>45540.072916666664</v>
      </c>
      <c r="B15" s="112">
        <v>9.25</v>
      </c>
      <c r="C15" s="112">
        <v>4.08</v>
      </c>
      <c r="D15" s="112">
        <v>14</v>
      </c>
      <c r="E15" s="112">
        <v>9.49</v>
      </c>
      <c r="F15" s="112">
        <v>3.88</v>
      </c>
      <c r="G15" s="112">
        <v>17.48</v>
      </c>
      <c r="H15" s="112">
        <v>7.1</v>
      </c>
      <c r="I15" s="112">
        <v>3.91</v>
      </c>
      <c r="J15" s="112">
        <v>0.21</v>
      </c>
      <c r="K15" s="112">
        <v>190.21</v>
      </c>
      <c r="L15" s="112">
        <v>26.26</v>
      </c>
      <c r="M15" s="112">
        <v>90.96</v>
      </c>
      <c r="N15" s="112">
        <v>2.2999999999999998</v>
      </c>
      <c r="O15" s="112">
        <v>0</v>
      </c>
      <c r="P15" s="112">
        <v>0.37</v>
      </c>
      <c r="Q15" s="112">
        <v>5.04</v>
      </c>
    </row>
    <row r="16" spans="1:21" customFormat="1">
      <c r="A16" s="80">
        <v>45540.083333333336</v>
      </c>
      <c r="B16" s="112">
        <v>9.26</v>
      </c>
      <c r="C16" s="112">
        <v>4.07</v>
      </c>
      <c r="D16" s="112">
        <v>14</v>
      </c>
      <c r="E16" s="112">
        <v>9.67</v>
      </c>
      <c r="F16" s="112">
        <v>3.96</v>
      </c>
      <c r="G16" s="112">
        <v>22.64</v>
      </c>
      <c r="H16" s="112">
        <v>11.63</v>
      </c>
      <c r="I16" s="112">
        <v>4.0599999999999996</v>
      </c>
      <c r="J16" s="112">
        <v>0.13</v>
      </c>
      <c r="K16" s="112">
        <v>206.08</v>
      </c>
      <c r="L16" s="112">
        <v>25.95</v>
      </c>
      <c r="M16" s="112">
        <v>92.77</v>
      </c>
      <c r="N16" s="112">
        <v>2.1</v>
      </c>
      <c r="O16" s="112">
        <v>0</v>
      </c>
      <c r="P16" s="112">
        <v>0.38</v>
      </c>
      <c r="Q16" s="112">
        <v>5.03</v>
      </c>
    </row>
    <row r="17" spans="1:17" customFormat="1">
      <c r="A17" s="80">
        <v>45540.09375</v>
      </c>
      <c r="B17" s="112">
        <v>9.25</v>
      </c>
      <c r="C17" s="112">
        <v>4.09</v>
      </c>
      <c r="D17" s="112">
        <v>14</v>
      </c>
      <c r="E17" s="112">
        <v>7.93</v>
      </c>
      <c r="F17" s="112">
        <v>3.24</v>
      </c>
      <c r="G17" s="112">
        <v>22.64</v>
      </c>
      <c r="H17" s="112">
        <v>11.63</v>
      </c>
      <c r="I17" s="112">
        <v>4.1500000000000004</v>
      </c>
      <c r="J17" s="112">
        <v>0.16</v>
      </c>
      <c r="K17" s="112">
        <v>170.34</v>
      </c>
      <c r="L17" s="112">
        <v>25.86</v>
      </c>
      <c r="M17" s="112">
        <v>93.69</v>
      </c>
      <c r="N17" s="112">
        <v>2.1</v>
      </c>
      <c r="O17" s="112">
        <v>0</v>
      </c>
      <c r="P17" s="112">
        <v>0.39</v>
      </c>
      <c r="Q17" s="112">
        <v>5.04</v>
      </c>
    </row>
    <row r="18" spans="1:17" customFormat="1">
      <c r="A18" s="80">
        <v>45540.104166666664</v>
      </c>
      <c r="B18" s="112">
        <v>9.24</v>
      </c>
      <c r="C18" s="112">
        <v>4.09</v>
      </c>
      <c r="D18" s="112">
        <v>14</v>
      </c>
      <c r="E18" s="112">
        <v>9.84</v>
      </c>
      <c r="F18" s="112">
        <v>2.94</v>
      </c>
      <c r="G18" s="112">
        <v>22.64</v>
      </c>
      <c r="H18" s="112">
        <v>11.63</v>
      </c>
      <c r="I18" s="112">
        <v>4.2300000000000004</v>
      </c>
      <c r="J18" s="112">
        <v>0.11</v>
      </c>
      <c r="K18" s="112">
        <v>204.2</v>
      </c>
      <c r="L18" s="112">
        <v>25.81</v>
      </c>
      <c r="M18" s="112">
        <v>93.49</v>
      </c>
      <c r="N18" s="112">
        <v>2.1</v>
      </c>
      <c r="O18" s="112">
        <v>0</v>
      </c>
      <c r="P18" s="112">
        <v>0.4</v>
      </c>
      <c r="Q18" s="112">
        <v>5.04</v>
      </c>
    </row>
    <row r="19" spans="1:17" customFormat="1">
      <c r="A19" s="80">
        <v>45540.114583333336</v>
      </c>
      <c r="B19" s="112">
        <v>9.25</v>
      </c>
      <c r="C19" s="112">
        <v>4.08</v>
      </c>
      <c r="D19" s="112">
        <v>14</v>
      </c>
      <c r="E19" s="112">
        <v>9.7799999999999994</v>
      </c>
      <c r="F19" s="112">
        <v>3</v>
      </c>
      <c r="G19" s="112">
        <v>22.28</v>
      </c>
      <c r="H19" s="112">
        <v>11.07</v>
      </c>
      <c r="I19" s="112">
        <v>4.42</v>
      </c>
      <c r="J19" s="112">
        <v>0.09</v>
      </c>
      <c r="K19" s="112">
        <v>222.76</v>
      </c>
      <c r="L19" s="112">
        <v>25.57</v>
      </c>
      <c r="M19" s="112">
        <v>95.61</v>
      </c>
      <c r="N19" s="112">
        <v>2.1</v>
      </c>
      <c r="O19" s="112">
        <v>0</v>
      </c>
      <c r="P19" s="112">
        <v>0.42</v>
      </c>
      <c r="Q19" s="112">
        <v>5.03</v>
      </c>
    </row>
    <row r="20" spans="1:17" customFormat="1">
      <c r="A20" s="80">
        <v>45540.125</v>
      </c>
      <c r="B20" s="112">
        <v>9.24</v>
      </c>
      <c r="C20" s="112">
        <v>4.09</v>
      </c>
      <c r="D20" s="112">
        <v>14</v>
      </c>
      <c r="E20" s="112">
        <v>9.93</v>
      </c>
      <c r="F20" s="112">
        <v>3.38</v>
      </c>
      <c r="G20" s="112">
        <v>21.03</v>
      </c>
      <c r="H20" s="112">
        <v>8.4700000000000006</v>
      </c>
      <c r="I20" s="112">
        <v>4.6900000000000004</v>
      </c>
      <c r="J20" s="112">
        <v>0.11</v>
      </c>
      <c r="K20" s="112">
        <v>256.97000000000003</v>
      </c>
      <c r="L20" s="112">
        <v>25.5</v>
      </c>
      <c r="M20" s="112">
        <v>96.13</v>
      </c>
      <c r="N20" s="112">
        <v>2.1</v>
      </c>
      <c r="O20" s="112">
        <v>0</v>
      </c>
      <c r="P20" s="112">
        <v>0.41</v>
      </c>
      <c r="Q20" s="112">
        <v>5.05</v>
      </c>
    </row>
    <row r="21" spans="1:17" customFormat="1">
      <c r="A21" s="80">
        <v>45540.135416666664</v>
      </c>
      <c r="B21" s="112">
        <v>9.24</v>
      </c>
      <c r="C21" s="112">
        <v>4.09</v>
      </c>
      <c r="D21" s="112">
        <v>14</v>
      </c>
      <c r="E21" s="112">
        <v>9.68</v>
      </c>
      <c r="F21" s="112">
        <v>2.77</v>
      </c>
      <c r="G21" s="112">
        <v>21.03</v>
      </c>
      <c r="H21" s="112">
        <v>8.4700000000000006</v>
      </c>
      <c r="I21" s="112">
        <v>4.82</v>
      </c>
      <c r="J21" s="112">
        <v>0.21</v>
      </c>
      <c r="K21" s="112">
        <v>269.10000000000002</v>
      </c>
      <c r="L21" s="112">
        <v>25.41</v>
      </c>
      <c r="M21" s="112">
        <v>95.99</v>
      </c>
      <c r="N21" s="112">
        <v>2.1</v>
      </c>
      <c r="O21" s="112">
        <v>0</v>
      </c>
      <c r="P21" s="112">
        <v>0.4</v>
      </c>
      <c r="Q21" s="112">
        <v>5.04</v>
      </c>
    </row>
    <row r="22" spans="1:17" customFormat="1">
      <c r="A22" s="80">
        <v>45540.145833333336</v>
      </c>
      <c r="B22" s="112">
        <v>9.25</v>
      </c>
      <c r="C22" s="112">
        <v>4.08</v>
      </c>
      <c r="D22" s="112">
        <v>14</v>
      </c>
      <c r="E22" s="112">
        <v>10.119999999999999</v>
      </c>
      <c r="F22" s="112">
        <v>2.4700000000000002</v>
      </c>
      <c r="G22" s="112">
        <v>21.03</v>
      </c>
      <c r="H22" s="112">
        <v>8.4700000000000006</v>
      </c>
      <c r="I22" s="112">
        <v>4.83</v>
      </c>
      <c r="J22" s="112">
        <v>0.19</v>
      </c>
      <c r="K22" s="112">
        <v>271.24</v>
      </c>
      <c r="L22" s="112">
        <v>25.29</v>
      </c>
      <c r="M22" s="112">
        <v>96.79</v>
      </c>
      <c r="N22" s="112">
        <v>2.1</v>
      </c>
      <c r="O22" s="112">
        <v>0</v>
      </c>
      <c r="P22" s="112">
        <v>0.4</v>
      </c>
      <c r="Q22" s="112">
        <v>5.04</v>
      </c>
    </row>
    <row r="23" spans="1:17" customFormat="1">
      <c r="A23" s="80">
        <v>45540.15625</v>
      </c>
      <c r="B23" s="112">
        <v>9.25</v>
      </c>
      <c r="C23" s="112">
        <v>4.08</v>
      </c>
      <c r="D23" s="112">
        <v>14</v>
      </c>
      <c r="E23" s="112">
        <v>9.9</v>
      </c>
      <c r="F23" s="112">
        <v>2.66</v>
      </c>
      <c r="G23" s="112">
        <v>20.98</v>
      </c>
      <c r="H23" s="112">
        <v>7.76</v>
      </c>
      <c r="I23" s="112">
        <v>4.74</v>
      </c>
      <c r="J23" s="112">
        <v>0.1</v>
      </c>
      <c r="K23" s="112">
        <v>238.13</v>
      </c>
      <c r="L23" s="112">
        <v>25.21</v>
      </c>
      <c r="M23" s="112">
        <v>97.26</v>
      </c>
      <c r="N23" s="112">
        <v>2.1</v>
      </c>
      <c r="O23" s="112">
        <v>0</v>
      </c>
      <c r="P23" s="112">
        <v>0.4</v>
      </c>
      <c r="Q23" s="112">
        <v>5.04</v>
      </c>
    </row>
    <row r="24" spans="1:17" customFormat="1">
      <c r="A24" s="80">
        <v>45540.166666666664</v>
      </c>
      <c r="B24" s="112">
        <v>9.25</v>
      </c>
      <c r="C24" s="112">
        <v>4.0999999999999996</v>
      </c>
      <c r="D24" s="112">
        <v>14.01</v>
      </c>
      <c r="E24" s="112">
        <v>10.119999999999999</v>
      </c>
      <c r="F24" s="112">
        <v>2.35</v>
      </c>
      <c r="G24" s="112">
        <v>20.82</v>
      </c>
      <c r="H24" s="112">
        <v>6.01</v>
      </c>
      <c r="I24" s="112">
        <v>4.66</v>
      </c>
      <c r="J24" s="112">
        <v>0.17</v>
      </c>
      <c r="K24" s="112">
        <v>265.52</v>
      </c>
      <c r="L24" s="112">
        <v>25.13</v>
      </c>
      <c r="M24" s="112">
        <v>97.53</v>
      </c>
      <c r="N24" s="112">
        <v>2.1</v>
      </c>
      <c r="O24" s="112">
        <v>0</v>
      </c>
      <c r="P24" s="112">
        <v>0.4</v>
      </c>
      <c r="Q24" s="112">
        <v>5.03</v>
      </c>
    </row>
    <row r="25" spans="1:17" customFormat="1">
      <c r="A25" s="80">
        <v>45540.177083333336</v>
      </c>
      <c r="B25" s="112">
        <v>9.24</v>
      </c>
      <c r="C25" s="112">
        <v>4.09</v>
      </c>
      <c r="D25" s="112">
        <v>14</v>
      </c>
      <c r="E25" s="112">
        <v>10.33</v>
      </c>
      <c r="F25" s="112">
        <v>2.33</v>
      </c>
      <c r="G25" s="112">
        <v>20.82</v>
      </c>
      <c r="H25" s="112">
        <v>6.01</v>
      </c>
      <c r="I25" s="112">
        <v>4.5999999999999996</v>
      </c>
      <c r="J25" s="112">
        <v>0.22</v>
      </c>
      <c r="K25" s="112">
        <v>263.77</v>
      </c>
      <c r="L25" s="112">
        <v>25.09</v>
      </c>
      <c r="M25" s="112">
        <v>98</v>
      </c>
      <c r="N25" s="112">
        <v>2</v>
      </c>
      <c r="O25" s="112">
        <v>0</v>
      </c>
      <c r="P25" s="112">
        <v>0.39</v>
      </c>
      <c r="Q25" s="112">
        <v>5.04</v>
      </c>
    </row>
    <row r="26" spans="1:17" customFormat="1">
      <c r="A26" s="80">
        <v>45540.1875</v>
      </c>
      <c r="B26" s="112">
        <v>9.26</v>
      </c>
      <c r="C26" s="112">
        <v>4.07</v>
      </c>
      <c r="D26" s="112">
        <v>14</v>
      </c>
      <c r="E26" s="112">
        <v>10.1</v>
      </c>
      <c r="F26" s="112">
        <v>1.84</v>
      </c>
      <c r="G26" s="112">
        <v>20.82</v>
      </c>
      <c r="H26" s="112">
        <v>6.01</v>
      </c>
      <c r="I26" s="112">
        <v>4.5599999999999996</v>
      </c>
      <c r="J26" s="112">
        <v>0.2</v>
      </c>
      <c r="K26" s="112">
        <v>261.52999999999997</v>
      </c>
      <c r="L26" s="112">
        <v>25.05</v>
      </c>
      <c r="M26" s="112">
        <v>97.97</v>
      </c>
      <c r="N26" s="112">
        <v>2.1</v>
      </c>
      <c r="O26" s="112">
        <v>0</v>
      </c>
      <c r="P26" s="112">
        <v>0.4</v>
      </c>
      <c r="Q26" s="112">
        <v>5.03</v>
      </c>
    </row>
    <row r="27" spans="1:17" customFormat="1">
      <c r="A27" s="80">
        <v>45540.197916666664</v>
      </c>
      <c r="B27" s="112">
        <v>9.27</v>
      </c>
      <c r="C27" s="112">
        <v>4.05</v>
      </c>
      <c r="D27" s="112">
        <v>14</v>
      </c>
      <c r="E27" s="112">
        <v>10.45</v>
      </c>
      <c r="F27" s="112">
        <v>1.83</v>
      </c>
      <c r="G27" s="112">
        <v>19.54</v>
      </c>
      <c r="H27" s="112">
        <v>5.55</v>
      </c>
      <c r="I27" s="112">
        <v>4.5</v>
      </c>
      <c r="J27" s="112">
        <v>0.08</v>
      </c>
      <c r="K27" s="112">
        <v>250.18</v>
      </c>
      <c r="L27" s="112">
        <v>25.02</v>
      </c>
      <c r="M27" s="112">
        <v>98.22</v>
      </c>
      <c r="N27" s="112">
        <v>2.1</v>
      </c>
      <c r="O27" s="112">
        <v>0</v>
      </c>
      <c r="P27" s="112">
        <v>0.38</v>
      </c>
      <c r="Q27" s="112">
        <v>5.04</v>
      </c>
    </row>
    <row r="28" spans="1:17" customFormat="1">
      <c r="A28" s="80">
        <v>45540.208333333336</v>
      </c>
      <c r="B28" s="112">
        <v>9.27</v>
      </c>
      <c r="C28" s="112">
        <v>4.07</v>
      </c>
      <c r="D28" s="112">
        <v>14.01</v>
      </c>
      <c r="E28" s="112">
        <v>10.27</v>
      </c>
      <c r="F28" s="112">
        <v>2.5499999999999998</v>
      </c>
      <c r="G28" s="112">
        <v>15.06</v>
      </c>
      <c r="H28" s="112">
        <v>4.4000000000000004</v>
      </c>
      <c r="I28" s="112">
        <v>4.4800000000000004</v>
      </c>
      <c r="J28" s="112">
        <v>0.14000000000000001</v>
      </c>
      <c r="K28" s="112">
        <v>272.35000000000002</v>
      </c>
      <c r="L28" s="112">
        <v>25.13</v>
      </c>
      <c r="M28" s="112">
        <v>98.42</v>
      </c>
      <c r="N28" s="112">
        <v>2.1</v>
      </c>
      <c r="O28" s="112">
        <v>0</v>
      </c>
      <c r="P28" s="112">
        <v>0.37</v>
      </c>
      <c r="Q28" s="112">
        <v>5.04</v>
      </c>
    </row>
    <row r="29" spans="1:17" customFormat="1">
      <c r="A29" s="80">
        <v>45540.21875</v>
      </c>
      <c r="B29" s="112">
        <v>9.25</v>
      </c>
      <c r="C29" s="112">
        <v>4.09</v>
      </c>
      <c r="D29" s="112">
        <v>14</v>
      </c>
      <c r="E29" s="112">
        <v>9.8000000000000007</v>
      </c>
      <c r="F29" s="112">
        <v>2.8</v>
      </c>
      <c r="G29" s="112">
        <v>15.06</v>
      </c>
      <c r="H29" s="112">
        <v>4.4000000000000004</v>
      </c>
      <c r="I29" s="112">
        <v>4.45</v>
      </c>
      <c r="J29" s="112">
        <v>0.15</v>
      </c>
      <c r="K29" s="112">
        <v>256.24</v>
      </c>
      <c r="L29" s="112">
        <v>25.34</v>
      </c>
      <c r="M29" s="112">
        <v>97.75</v>
      </c>
      <c r="N29" s="112">
        <v>2.1</v>
      </c>
      <c r="O29" s="112">
        <v>0</v>
      </c>
      <c r="P29" s="112">
        <v>0.35</v>
      </c>
      <c r="Q29" s="112">
        <v>5.05</v>
      </c>
    </row>
    <row r="30" spans="1:17" customFormat="1">
      <c r="A30" s="80">
        <v>45540.229166666664</v>
      </c>
      <c r="B30" s="112">
        <v>9.24</v>
      </c>
      <c r="C30" s="112">
        <v>4.0999999999999996</v>
      </c>
      <c r="D30" s="112">
        <v>14</v>
      </c>
      <c r="E30" s="112">
        <v>9.44</v>
      </c>
      <c r="F30" s="112">
        <v>3.41</v>
      </c>
      <c r="G30" s="112">
        <v>15.06</v>
      </c>
      <c r="H30" s="112">
        <v>4.4000000000000004</v>
      </c>
      <c r="I30" s="112">
        <v>4.3899999999999997</v>
      </c>
      <c r="J30" s="112">
        <v>7.0000000000000007E-2</v>
      </c>
      <c r="K30" s="112">
        <v>230.86</v>
      </c>
      <c r="L30" s="112">
        <v>25.35</v>
      </c>
      <c r="M30" s="112">
        <v>96.5</v>
      </c>
      <c r="N30" s="112">
        <v>2.4</v>
      </c>
      <c r="O30" s="112">
        <v>0</v>
      </c>
      <c r="P30" s="112">
        <v>0.34</v>
      </c>
      <c r="Q30" s="112">
        <v>5.03</v>
      </c>
    </row>
    <row r="31" spans="1:17" customFormat="1">
      <c r="A31" s="80">
        <v>45540.239583333336</v>
      </c>
      <c r="B31" s="112">
        <v>9.2200000000000006</v>
      </c>
      <c r="C31" s="112">
        <v>4.13</v>
      </c>
      <c r="D31" s="112">
        <v>14</v>
      </c>
      <c r="E31" s="112">
        <v>9.15</v>
      </c>
      <c r="F31" s="112">
        <v>4.1500000000000004</v>
      </c>
      <c r="G31" s="112">
        <v>14.59</v>
      </c>
      <c r="H31" s="112">
        <v>4.17</v>
      </c>
      <c r="I31" s="112">
        <v>4.32</v>
      </c>
      <c r="J31" s="112">
        <v>0.2</v>
      </c>
      <c r="K31" s="112">
        <v>270.57</v>
      </c>
      <c r="L31" s="112">
        <v>25.25</v>
      </c>
      <c r="M31" s="112">
        <v>96.57</v>
      </c>
      <c r="N31" s="112">
        <v>4.7</v>
      </c>
      <c r="O31" s="112">
        <v>0</v>
      </c>
      <c r="P31" s="112">
        <v>0.33</v>
      </c>
      <c r="Q31" s="112">
        <v>5.04</v>
      </c>
    </row>
    <row r="32" spans="1:17" customFormat="1">
      <c r="A32" s="80">
        <v>45540.25</v>
      </c>
      <c r="B32" s="112">
        <v>9.23</v>
      </c>
      <c r="C32" s="112">
        <v>4.12</v>
      </c>
      <c r="D32" s="112">
        <v>14</v>
      </c>
      <c r="E32" s="112">
        <v>8.36</v>
      </c>
      <c r="F32" s="112">
        <v>4.4800000000000004</v>
      </c>
      <c r="G32" s="112">
        <v>12.91</v>
      </c>
      <c r="H32" s="112">
        <v>3.6</v>
      </c>
      <c r="I32" s="112">
        <v>4.29</v>
      </c>
      <c r="J32" s="112">
        <v>0.28000000000000003</v>
      </c>
      <c r="K32" s="112">
        <v>270.49</v>
      </c>
      <c r="L32" s="112">
        <v>25.29</v>
      </c>
      <c r="M32" s="112">
        <v>96.94</v>
      </c>
      <c r="N32" s="112">
        <v>8.5</v>
      </c>
      <c r="O32" s="112">
        <v>0</v>
      </c>
      <c r="P32" s="112">
        <v>0.33</v>
      </c>
      <c r="Q32" s="112">
        <v>5.03</v>
      </c>
    </row>
    <row r="33" spans="1:17" customFormat="1">
      <c r="A33" s="80">
        <v>45540.260416666664</v>
      </c>
      <c r="B33" s="112">
        <v>9.23</v>
      </c>
      <c r="C33" s="112">
        <v>4.12</v>
      </c>
      <c r="D33" s="112">
        <v>14</v>
      </c>
      <c r="E33" s="112">
        <v>8.17</v>
      </c>
      <c r="F33" s="112">
        <v>4.87</v>
      </c>
      <c r="G33" s="112">
        <v>12.91</v>
      </c>
      <c r="H33" s="112">
        <v>3.6</v>
      </c>
      <c r="I33" s="112">
        <v>4.3099999999999996</v>
      </c>
      <c r="J33" s="112">
        <v>0.28000000000000003</v>
      </c>
      <c r="K33" s="112">
        <v>275</v>
      </c>
      <c r="L33" s="112">
        <v>25.52</v>
      </c>
      <c r="M33" s="112">
        <v>96.36</v>
      </c>
      <c r="N33" s="112">
        <v>15</v>
      </c>
      <c r="O33" s="112">
        <v>0</v>
      </c>
      <c r="P33" s="112">
        <v>0.32</v>
      </c>
      <c r="Q33" s="112">
        <v>5.03</v>
      </c>
    </row>
    <row r="34" spans="1:17" customFormat="1">
      <c r="A34" s="80">
        <v>45540.270833333336</v>
      </c>
      <c r="B34" s="112">
        <v>9.23</v>
      </c>
      <c r="C34" s="112">
        <v>4.12</v>
      </c>
      <c r="D34" s="112">
        <v>14</v>
      </c>
      <c r="E34" s="112">
        <v>8.2100000000000009</v>
      </c>
      <c r="F34" s="112">
        <v>5.0599999999999996</v>
      </c>
      <c r="G34" s="112">
        <v>12.91</v>
      </c>
      <c r="H34" s="112">
        <v>3.6</v>
      </c>
      <c r="I34" s="112">
        <v>4.42</v>
      </c>
      <c r="J34" s="112">
        <v>0.36</v>
      </c>
      <c r="K34" s="112">
        <v>274.86</v>
      </c>
      <c r="L34" s="112">
        <v>25.67</v>
      </c>
      <c r="M34" s="112">
        <v>95.93</v>
      </c>
      <c r="N34" s="112">
        <v>20</v>
      </c>
      <c r="O34" s="112">
        <v>0</v>
      </c>
      <c r="P34" s="112">
        <v>0.33</v>
      </c>
      <c r="Q34" s="112">
        <v>5.03</v>
      </c>
    </row>
    <row r="35" spans="1:17" customFormat="1">
      <c r="A35" s="80">
        <v>45540.28125</v>
      </c>
      <c r="B35" s="112">
        <v>9.2200000000000006</v>
      </c>
      <c r="C35" s="112">
        <v>4.12</v>
      </c>
      <c r="D35" s="112">
        <v>14</v>
      </c>
      <c r="E35" s="112">
        <v>7.89</v>
      </c>
      <c r="F35" s="112">
        <v>4.9400000000000004</v>
      </c>
      <c r="G35" s="112">
        <v>14.05</v>
      </c>
      <c r="H35" s="112">
        <v>3.78</v>
      </c>
      <c r="I35" s="112">
        <v>4.6100000000000003</v>
      </c>
      <c r="J35" s="112">
        <v>0.3</v>
      </c>
      <c r="K35" s="112">
        <v>299.16000000000003</v>
      </c>
      <c r="L35" s="112">
        <v>25.81</v>
      </c>
      <c r="M35" s="112">
        <v>94.99</v>
      </c>
      <c r="N35" s="112">
        <v>24.8</v>
      </c>
      <c r="O35" s="112">
        <v>0</v>
      </c>
      <c r="P35" s="112">
        <v>0.35</v>
      </c>
      <c r="Q35" s="112">
        <v>5.05</v>
      </c>
    </row>
    <row r="36" spans="1:17" customFormat="1">
      <c r="A36" s="80">
        <v>45540.291666666664</v>
      </c>
      <c r="B36" s="112">
        <v>9.2200000000000006</v>
      </c>
      <c r="C36" s="112">
        <v>4.13</v>
      </c>
      <c r="D36" s="112">
        <v>14</v>
      </c>
      <c r="E36" s="112">
        <v>9.07</v>
      </c>
      <c r="F36" s="112">
        <v>4.03</v>
      </c>
      <c r="G36" s="112">
        <v>18.05</v>
      </c>
      <c r="H36" s="112">
        <v>4.22</v>
      </c>
      <c r="I36" s="112">
        <v>4.8099999999999996</v>
      </c>
      <c r="J36" s="112">
        <v>0.42</v>
      </c>
      <c r="K36" s="112">
        <v>317.77</v>
      </c>
      <c r="L36" s="112">
        <v>26.02</v>
      </c>
      <c r="M36" s="112">
        <v>93.89</v>
      </c>
      <c r="N36" s="112">
        <v>38.5</v>
      </c>
      <c r="O36" s="112">
        <v>0</v>
      </c>
      <c r="P36" s="112">
        <v>0.33</v>
      </c>
      <c r="Q36" s="112">
        <v>5.0599999999999996</v>
      </c>
    </row>
    <row r="37" spans="1:17" customFormat="1">
      <c r="A37" s="80">
        <v>45540.302083333336</v>
      </c>
      <c r="B37" s="112">
        <v>9.25</v>
      </c>
      <c r="C37" s="112">
        <v>4.08</v>
      </c>
      <c r="D37" s="112">
        <v>14</v>
      </c>
      <c r="E37" s="112">
        <v>9.3000000000000007</v>
      </c>
      <c r="F37" s="112">
        <v>4.49</v>
      </c>
      <c r="G37" s="112">
        <v>18.05</v>
      </c>
      <c r="H37" s="112">
        <v>4.22</v>
      </c>
      <c r="I37" s="112">
        <v>4.97</v>
      </c>
      <c r="J37" s="112">
        <v>0.27</v>
      </c>
      <c r="K37" s="112">
        <v>313.02</v>
      </c>
      <c r="L37" s="112">
        <v>26.17</v>
      </c>
      <c r="M37" s="112">
        <v>93.95</v>
      </c>
      <c r="N37" s="112">
        <v>79</v>
      </c>
      <c r="O37" s="112">
        <v>0</v>
      </c>
      <c r="P37" s="112">
        <v>0.33</v>
      </c>
      <c r="Q37" s="112">
        <v>5.05</v>
      </c>
    </row>
    <row r="38" spans="1:17" customFormat="1">
      <c r="A38" s="80">
        <v>45540.3125</v>
      </c>
      <c r="B38" s="112">
        <v>9.27</v>
      </c>
      <c r="C38" s="112">
        <v>4.07</v>
      </c>
      <c r="D38" s="112">
        <v>14.01</v>
      </c>
      <c r="E38" s="112">
        <v>8.6300000000000008</v>
      </c>
      <c r="F38" s="112">
        <v>5.64</v>
      </c>
      <c r="G38" s="112">
        <v>18.05</v>
      </c>
      <c r="H38" s="112">
        <v>4.22</v>
      </c>
      <c r="I38" s="112">
        <v>4.88</v>
      </c>
      <c r="J38" s="112">
        <v>0.15</v>
      </c>
      <c r="K38" s="112">
        <v>49.07</v>
      </c>
      <c r="L38" s="112">
        <v>26.71</v>
      </c>
      <c r="M38" s="112">
        <v>90.96</v>
      </c>
      <c r="N38" s="112">
        <v>107.1</v>
      </c>
      <c r="O38" s="112">
        <v>0</v>
      </c>
      <c r="P38" s="112">
        <v>0.33</v>
      </c>
      <c r="Q38" s="112">
        <v>5.05</v>
      </c>
    </row>
    <row r="39" spans="1:17" customFormat="1">
      <c r="A39" s="80">
        <v>45540.322916666664</v>
      </c>
      <c r="B39" s="112">
        <v>9.26</v>
      </c>
      <c r="C39" s="112">
        <v>4.07</v>
      </c>
      <c r="D39" s="112">
        <v>14</v>
      </c>
      <c r="E39" s="112">
        <v>8.8699999999999992</v>
      </c>
      <c r="F39" s="112">
        <v>6.42</v>
      </c>
      <c r="G39" s="112">
        <v>22.39</v>
      </c>
      <c r="H39" s="112">
        <v>5.62</v>
      </c>
      <c r="I39" s="112">
        <v>4.53</v>
      </c>
      <c r="J39" s="112">
        <v>0.19</v>
      </c>
      <c r="K39" s="112">
        <v>310.68</v>
      </c>
      <c r="L39" s="112">
        <v>27.38</v>
      </c>
      <c r="M39" s="112">
        <v>88.47</v>
      </c>
      <c r="N39" s="112">
        <v>133.80000000000001</v>
      </c>
      <c r="O39" s="112">
        <v>0</v>
      </c>
      <c r="P39" s="112">
        <v>0.35</v>
      </c>
      <c r="Q39" s="112">
        <v>5.0599999999999996</v>
      </c>
    </row>
    <row r="40" spans="1:17" customFormat="1">
      <c r="A40" s="80">
        <v>45540.333333333336</v>
      </c>
      <c r="B40" s="112">
        <v>9.25</v>
      </c>
      <c r="C40" s="112">
        <v>4.08</v>
      </c>
      <c r="D40" s="112">
        <v>14</v>
      </c>
      <c r="E40" s="112">
        <v>8.99</v>
      </c>
      <c r="F40" s="112">
        <v>5.33</v>
      </c>
      <c r="G40" s="112">
        <v>37.590000000000003</v>
      </c>
      <c r="H40" s="112">
        <v>9.06</v>
      </c>
      <c r="I40" s="112">
        <v>4.5</v>
      </c>
      <c r="J40" s="112">
        <v>0.17</v>
      </c>
      <c r="K40" s="112">
        <v>111.86</v>
      </c>
      <c r="L40" s="112">
        <v>28.22</v>
      </c>
      <c r="M40" s="112">
        <v>85.32</v>
      </c>
      <c r="N40" s="112">
        <v>214.4</v>
      </c>
      <c r="O40" s="112">
        <v>0</v>
      </c>
      <c r="P40" s="112">
        <v>0.32</v>
      </c>
      <c r="Q40" s="112">
        <v>5.04</v>
      </c>
    </row>
    <row r="41" spans="1:17" customFormat="1">
      <c r="A41" s="80">
        <v>45540.34375</v>
      </c>
      <c r="B41" s="112">
        <v>9.26</v>
      </c>
      <c r="C41" s="112">
        <v>4.07</v>
      </c>
      <c r="D41" s="112">
        <v>14</v>
      </c>
      <c r="E41" s="112">
        <v>8.56</v>
      </c>
      <c r="F41" s="112">
        <v>6.15</v>
      </c>
      <c r="G41" s="112">
        <v>37.590000000000003</v>
      </c>
      <c r="H41" s="112">
        <v>9.06</v>
      </c>
      <c r="I41" s="112">
        <v>4.53</v>
      </c>
      <c r="J41" s="112">
        <v>0.34</v>
      </c>
      <c r="K41" s="112">
        <v>64.17</v>
      </c>
      <c r="L41" s="112">
        <v>28.78</v>
      </c>
      <c r="M41" s="112">
        <v>80.650000000000006</v>
      </c>
      <c r="N41" s="112">
        <v>198.6</v>
      </c>
      <c r="O41" s="112">
        <v>0</v>
      </c>
      <c r="P41" s="112">
        <v>0.34</v>
      </c>
      <c r="Q41" s="112">
        <v>5.03</v>
      </c>
    </row>
    <row r="42" spans="1:17" customFormat="1">
      <c r="A42" s="80">
        <v>45540.354166666664</v>
      </c>
      <c r="B42" s="112">
        <v>9.25</v>
      </c>
      <c r="C42" s="112">
        <v>4.09</v>
      </c>
      <c r="D42" s="112">
        <v>14</v>
      </c>
      <c r="E42" s="112">
        <v>10.07</v>
      </c>
      <c r="F42" s="112">
        <v>5.83</v>
      </c>
      <c r="G42" s="112">
        <v>37.590000000000003</v>
      </c>
      <c r="H42" s="112">
        <v>9.06</v>
      </c>
      <c r="I42" s="112">
        <v>4.5599999999999996</v>
      </c>
      <c r="J42" s="112">
        <v>0.43</v>
      </c>
      <c r="K42" s="112">
        <v>76.86</v>
      </c>
      <c r="L42" s="112">
        <v>29.62</v>
      </c>
      <c r="M42" s="112">
        <v>76.36</v>
      </c>
      <c r="N42" s="112">
        <v>227.5</v>
      </c>
      <c r="O42" s="112">
        <v>0</v>
      </c>
      <c r="P42" s="112">
        <v>0.34</v>
      </c>
      <c r="Q42" s="112">
        <v>5.03</v>
      </c>
    </row>
    <row r="43" spans="1:17" customFormat="1">
      <c r="A43" s="80">
        <v>45540.364583333336</v>
      </c>
      <c r="B43" s="112">
        <v>9.24</v>
      </c>
      <c r="C43" s="112">
        <v>4.0999999999999996</v>
      </c>
      <c r="D43" s="112">
        <v>14</v>
      </c>
      <c r="E43" s="112">
        <v>10.64</v>
      </c>
      <c r="F43" s="112">
        <v>8.06</v>
      </c>
      <c r="G43" s="112">
        <v>39.49</v>
      </c>
      <c r="H43" s="112">
        <v>10.09</v>
      </c>
      <c r="I43" s="112">
        <v>4.59</v>
      </c>
      <c r="J43" s="112">
        <v>0.57999999999999996</v>
      </c>
      <c r="K43" s="112">
        <v>56.27</v>
      </c>
      <c r="L43" s="112">
        <v>29.47</v>
      </c>
      <c r="M43" s="112">
        <v>77.400000000000006</v>
      </c>
      <c r="N43" s="112">
        <v>179.2</v>
      </c>
      <c r="O43" s="112">
        <v>0</v>
      </c>
      <c r="P43" s="112">
        <v>0.39</v>
      </c>
      <c r="Q43" s="112">
        <v>5.05</v>
      </c>
    </row>
    <row r="44" spans="1:17" customFormat="1">
      <c r="A44" s="80">
        <v>45540.375</v>
      </c>
      <c r="B44" s="112">
        <v>9.25</v>
      </c>
      <c r="C44" s="112">
        <v>4.09</v>
      </c>
      <c r="D44" s="112">
        <v>14</v>
      </c>
      <c r="E44" s="112">
        <v>14.21</v>
      </c>
      <c r="F44" s="112">
        <v>8.94</v>
      </c>
      <c r="G44" s="112">
        <v>46.15</v>
      </c>
      <c r="H44" s="112">
        <v>14.9</v>
      </c>
      <c r="I44" s="112">
        <v>4.6500000000000004</v>
      </c>
      <c r="J44" s="112">
        <v>0.24</v>
      </c>
      <c r="K44" s="112">
        <v>98.19</v>
      </c>
      <c r="L44" s="112">
        <v>29.8</v>
      </c>
      <c r="M44" s="112">
        <v>76.709999999999994</v>
      </c>
      <c r="N44" s="112">
        <v>235.3</v>
      </c>
      <c r="O44" s="112">
        <v>0</v>
      </c>
      <c r="P44" s="112">
        <v>0.37</v>
      </c>
      <c r="Q44" s="112">
        <v>5.05</v>
      </c>
    </row>
    <row r="45" spans="1:17" customFormat="1">
      <c r="A45" s="80">
        <v>45540.385416666664</v>
      </c>
      <c r="B45" s="112">
        <v>9.25</v>
      </c>
      <c r="C45" s="112">
        <v>4.08</v>
      </c>
      <c r="D45" s="112">
        <v>14</v>
      </c>
      <c r="E45" s="112">
        <v>12.06</v>
      </c>
      <c r="F45" s="112">
        <v>6.39</v>
      </c>
      <c r="G45" s="112">
        <v>46.15</v>
      </c>
      <c r="H45" s="112">
        <v>14.9</v>
      </c>
      <c r="I45" s="112">
        <v>4.83</v>
      </c>
      <c r="J45" s="112">
        <v>0.28000000000000003</v>
      </c>
      <c r="K45" s="112">
        <v>82.87</v>
      </c>
      <c r="L45" s="112">
        <v>30.41</v>
      </c>
      <c r="M45" s="112">
        <v>75.27</v>
      </c>
      <c r="N45" s="112">
        <v>363.8</v>
      </c>
      <c r="O45" s="112">
        <v>0</v>
      </c>
      <c r="P45" s="112">
        <v>0.4</v>
      </c>
      <c r="Q45" s="112">
        <v>5.04</v>
      </c>
    </row>
    <row r="46" spans="1:17" customFormat="1">
      <c r="A46" s="80">
        <v>45540.395833333336</v>
      </c>
      <c r="B46" s="112">
        <v>9.25</v>
      </c>
      <c r="C46" s="112">
        <v>4.08</v>
      </c>
      <c r="D46" s="112">
        <v>14</v>
      </c>
      <c r="E46" s="112">
        <v>11.62</v>
      </c>
      <c r="F46" s="112">
        <v>3.77</v>
      </c>
      <c r="G46" s="112">
        <v>46.15</v>
      </c>
      <c r="H46" s="112">
        <v>14.9</v>
      </c>
      <c r="I46" s="112">
        <v>4.9000000000000004</v>
      </c>
      <c r="J46" s="112">
        <v>0.25</v>
      </c>
      <c r="K46" s="112">
        <v>111.63</v>
      </c>
      <c r="L46" s="112">
        <v>31.28</v>
      </c>
      <c r="M46" s="112">
        <v>73.42</v>
      </c>
      <c r="N46" s="112">
        <v>470</v>
      </c>
      <c r="O46" s="112">
        <v>0</v>
      </c>
      <c r="P46" s="112">
        <v>0.43</v>
      </c>
      <c r="Q46" s="112">
        <v>5.03</v>
      </c>
    </row>
    <row r="47" spans="1:17" customFormat="1">
      <c r="A47" s="80">
        <v>45540.40625</v>
      </c>
      <c r="B47" s="112">
        <v>9.26</v>
      </c>
      <c r="C47" s="112">
        <v>4.08</v>
      </c>
      <c r="D47" s="112">
        <v>14.01</v>
      </c>
      <c r="E47" s="112">
        <v>11.02</v>
      </c>
      <c r="F47" s="112">
        <v>6.92</v>
      </c>
      <c r="G47" s="112">
        <v>50.86</v>
      </c>
      <c r="H47" s="112">
        <v>15.07</v>
      </c>
      <c r="I47" s="112">
        <v>4.79</v>
      </c>
      <c r="J47" s="112">
        <v>0.24</v>
      </c>
      <c r="K47" s="112">
        <v>151.01</v>
      </c>
      <c r="L47" s="112">
        <v>32.049999999999997</v>
      </c>
      <c r="M47" s="112">
        <v>70.569999999999993</v>
      </c>
      <c r="N47" s="112">
        <v>462.7</v>
      </c>
      <c r="O47" s="112">
        <v>0</v>
      </c>
      <c r="P47" s="112">
        <v>0.44</v>
      </c>
      <c r="Q47" s="112">
        <v>5.0199999999999996</v>
      </c>
    </row>
    <row r="48" spans="1:17" customFormat="1">
      <c r="A48" s="80">
        <v>45540.416666666664</v>
      </c>
      <c r="B48" s="112">
        <v>9.26</v>
      </c>
      <c r="C48" s="112">
        <v>4.07</v>
      </c>
      <c r="D48" s="112">
        <v>14</v>
      </c>
      <c r="E48" s="112">
        <v>13.1</v>
      </c>
      <c r="F48" s="112">
        <v>7.12</v>
      </c>
      <c r="G48" s="112">
        <v>67.34</v>
      </c>
      <c r="H48" s="112">
        <v>15.48</v>
      </c>
      <c r="I48" s="112">
        <v>4.97</v>
      </c>
      <c r="J48" s="112">
        <v>0.21</v>
      </c>
      <c r="K48" s="112">
        <v>35.33</v>
      </c>
      <c r="L48" s="112">
        <v>31.91</v>
      </c>
      <c r="M48" s="112">
        <v>68.97</v>
      </c>
      <c r="N48" s="112">
        <v>309.3</v>
      </c>
      <c r="O48" s="112">
        <v>0</v>
      </c>
      <c r="P48" s="112">
        <v>0.45</v>
      </c>
      <c r="Q48" s="112">
        <v>5.04</v>
      </c>
    </row>
    <row r="49" spans="1:17" customFormat="1">
      <c r="A49" s="80">
        <v>45540.427083333336</v>
      </c>
      <c r="B49" s="112">
        <v>9.27</v>
      </c>
      <c r="C49" s="112">
        <v>4.05</v>
      </c>
      <c r="D49" s="112">
        <v>14</v>
      </c>
      <c r="E49" s="112">
        <v>10.51</v>
      </c>
      <c r="F49" s="112">
        <v>8.43</v>
      </c>
      <c r="G49" s="112">
        <v>67.34</v>
      </c>
      <c r="H49" s="112">
        <v>15.48</v>
      </c>
      <c r="I49" s="112">
        <v>5.0599999999999996</v>
      </c>
      <c r="J49" s="112">
        <v>0.05</v>
      </c>
      <c r="K49" s="112">
        <v>26.72</v>
      </c>
      <c r="L49" s="112">
        <v>31.6</v>
      </c>
      <c r="M49" s="112">
        <v>70.02</v>
      </c>
      <c r="N49" s="112">
        <v>270.39999999999998</v>
      </c>
      <c r="O49" s="112">
        <v>0</v>
      </c>
      <c r="P49" s="112">
        <v>0.46</v>
      </c>
      <c r="Q49" s="112">
        <v>5.05</v>
      </c>
    </row>
    <row r="50" spans="1:17" customFormat="1">
      <c r="A50" s="80">
        <v>45540.4375</v>
      </c>
      <c r="B50" s="112">
        <v>9.25</v>
      </c>
      <c r="C50" s="112">
        <v>4.08</v>
      </c>
      <c r="D50" s="112">
        <v>14</v>
      </c>
      <c r="E50" s="112">
        <v>16.64</v>
      </c>
      <c r="F50" s="112">
        <v>5.12</v>
      </c>
      <c r="G50" s="112">
        <v>67.34</v>
      </c>
      <c r="H50" s="112">
        <v>15.48</v>
      </c>
      <c r="I50" s="112">
        <v>4.95</v>
      </c>
      <c r="J50" s="112">
        <v>0.42</v>
      </c>
      <c r="K50" s="112">
        <v>89.53</v>
      </c>
      <c r="L50" s="112">
        <v>32.64</v>
      </c>
      <c r="M50" s="112">
        <v>66.319999999999993</v>
      </c>
      <c r="N50" s="112">
        <v>350.3</v>
      </c>
      <c r="O50" s="112">
        <v>0</v>
      </c>
      <c r="P50" s="112">
        <v>0.47</v>
      </c>
      <c r="Q50" s="112">
        <v>5.05</v>
      </c>
    </row>
    <row r="51" spans="1:17" customFormat="1">
      <c r="A51" s="80">
        <v>45540.447916666664</v>
      </c>
      <c r="B51" s="112">
        <v>9.24</v>
      </c>
      <c r="C51" s="112">
        <v>4.0999999999999996</v>
      </c>
      <c r="D51" s="112">
        <v>14</v>
      </c>
      <c r="E51" s="112">
        <v>16.62</v>
      </c>
      <c r="F51" s="112">
        <v>10.57</v>
      </c>
      <c r="G51" s="112">
        <v>71.47</v>
      </c>
      <c r="H51" s="112">
        <v>19.37</v>
      </c>
      <c r="I51" s="112">
        <v>4.9800000000000004</v>
      </c>
      <c r="J51" s="112">
        <v>0.26</v>
      </c>
      <c r="K51" s="112">
        <v>147.16</v>
      </c>
      <c r="L51" s="112">
        <v>32.68</v>
      </c>
      <c r="M51" s="112">
        <v>66.25</v>
      </c>
      <c r="N51" s="112">
        <v>273</v>
      </c>
      <c r="O51" s="112">
        <v>0</v>
      </c>
      <c r="P51" s="112">
        <v>0.46</v>
      </c>
      <c r="Q51" s="112">
        <v>5.04</v>
      </c>
    </row>
    <row r="52" spans="1:17" customFormat="1">
      <c r="A52" s="80">
        <v>45540.458333333336</v>
      </c>
      <c r="B52" s="112">
        <v>9.24</v>
      </c>
      <c r="C52" s="112">
        <v>4.0999999999999996</v>
      </c>
      <c r="D52" s="112">
        <v>14</v>
      </c>
      <c r="E52" s="112">
        <v>16.87</v>
      </c>
      <c r="F52" s="112">
        <v>9.26</v>
      </c>
      <c r="G52" s="112">
        <v>85.94</v>
      </c>
      <c r="H52" s="112">
        <v>29.01</v>
      </c>
      <c r="I52" s="112">
        <v>5.13</v>
      </c>
      <c r="J52" s="112">
        <v>0.13</v>
      </c>
      <c r="K52" s="112">
        <v>-0.08</v>
      </c>
      <c r="L52" s="112">
        <v>32.53</v>
      </c>
      <c r="M52" s="112">
        <v>67.08</v>
      </c>
      <c r="N52" s="112">
        <v>194.4</v>
      </c>
      <c r="O52" s="112">
        <v>0</v>
      </c>
      <c r="P52" s="112">
        <v>0.46</v>
      </c>
      <c r="Q52" s="112">
        <v>5.04</v>
      </c>
    </row>
    <row r="53" spans="1:17" customFormat="1">
      <c r="A53" s="80">
        <v>45540.46875</v>
      </c>
      <c r="B53" s="149" t="s">
        <v>4</v>
      </c>
      <c r="C53" s="149" t="s">
        <v>4</v>
      </c>
      <c r="D53" s="149" t="s">
        <v>4</v>
      </c>
      <c r="E53" s="149" t="s">
        <v>4</v>
      </c>
      <c r="F53" s="149" t="s">
        <v>4</v>
      </c>
      <c r="G53" s="149" t="s">
        <v>4</v>
      </c>
      <c r="H53" s="149" t="s">
        <v>4</v>
      </c>
      <c r="I53" s="149" t="s">
        <v>4</v>
      </c>
      <c r="J53" s="149" t="s">
        <v>4</v>
      </c>
      <c r="K53" s="149" t="s">
        <v>4</v>
      </c>
      <c r="L53" s="149" t="s">
        <v>4</v>
      </c>
      <c r="M53" s="149" t="s">
        <v>4</v>
      </c>
      <c r="N53" s="149" t="s">
        <v>4</v>
      </c>
      <c r="O53" s="149" t="s">
        <v>4</v>
      </c>
      <c r="P53" s="149" t="s">
        <v>4</v>
      </c>
      <c r="Q53" s="149" t="s">
        <v>4</v>
      </c>
    </row>
    <row r="54" spans="1:17" customFormat="1">
      <c r="A54" s="80">
        <v>45540.479166666664</v>
      </c>
      <c r="B54" s="149" t="s">
        <v>4</v>
      </c>
      <c r="C54" s="149" t="s">
        <v>4</v>
      </c>
      <c r="D54" s="149" t="s">
        <v>4</v>
      </c>
      <c r="E54" s="149" t="s">
        <v>4</v>
      </c>
      <c r="F54" s="149" t="s">
        <v>4</v>
      </c>
      <c r="G54" s="149" t="s">
        <v>4</v>
      </c>
      <c r="H54" s="149" t="s">
        <v>4</v>
      </c>
      <c r="I54" s="149" t="s">
        <v>4</v>
      </c>
      <c r="J54" s="149" t="s">
        <v>4</v>
      </c>
      <c r="K54" s="149" t="s">
        <v>4</v>
      </c>
      <c r="L54" s="149" t="s">
        <v>4</v>
      </c>
      <c r="M54" s="149" t="s">
        <v>4</v>
      </c>
      <c r="N54" s="149" t="s">
        <v>4</v>
      </c>
      <c r="O54" s="149" t="s">
        <v>4</v>
      </c>
      <c r="P54" s="149" t="s">
        <v>4</v>
      </c>
      <c r="Q54" s="149" t="s">
        <v>4</v>
      </c>
    </row>
    <row r="55" spans="1:17" customFormat="1">
      <c r="A55" s="80">
        <v>45540.489583333336</v>
      </c>
      <c r="B55" s="170" t="s">
        <v>21</v>
      </c>
      <c r="C55" s="170" t="s">
        <v>21</v>
      </c>
      <c r="D55" s="170" t="s">
        <v>21</v>
      </c>
      <c r="E55" s="170" t="s">
        <v>21</v>
      </c>
      <c r="F55" s="112">
        <v>4.1100000000000003</v>
      </c>
      <c r="G55" s="112">
        <v>62.14</v>
      </c>
      <c r="H55" s="112">
        <v>19.43</v>
      </c>
      <c r="I55" s="170" t="s">
        <v>21</v>
      </c>
      <c r="J55" s="112">
        <v>0.61</v>
      </c>
      <c r="K55" s="112">
        <v>262.99</v>
      </c>
      <c r="L55" s="112">
        <v>26.48</v>
      </c>
      <c r="M55" s="112">
        <v>96.38</v>
      </c>
      <c r="N55" s="112">
        <v>17.5</v>
      </c>
      <c r="O55" s="112">
        <v>5.8</v>
      </c>
      <c r="P55" s="112">
        <v>0.48</v>
      </c>
      <c r="Q55" s="170" t="s">
        <v>21</v>
      </c>
    </row>
    <row r="56" spans="1:17" customFormat="1">
      <c r="A56" s="80">
        <v>45540.5</v>
      </c>
      <c r="B56" s="112">
        <v>10.4</v>
      </c>
      <c r="C56" s="112">
        <v>4.03</v>
      </c>
      <c r="D56" s="112">
        <v>14.77</v>
      </c>
      <c r="E56" s="112">
        <v>8.18</v>
      </c>
      <c r="F56" s="112">
        <v>1</v>
      </c>
      <c r="G56" s="112">
        <v>47.27</v>
      </c>
      <c r="H56" s="112">
        <v>19.43</v>
      </c>
      <c r="I56" s="170" t="s">
        <v>21</v>
      </c>
      <c r="J56" s="112">
        <v>0.18</v>
      </c>
      <c r="K56" s="112">
        <v>215.88</v>
      </c>
      <c r="L56" s="112">
        <v>25.14</v>
      </c>
      <c r="M56" s="112">
        <v>98.74</v>
      </c>
      <c r="N56" s="112">
        <v>18.600000000000001</v>
      </c>
      <c r="O56" s="112">
        <v>11</v>
      </c>
      <c r="P56" s="112">
        <v>0.56000000000000005</v>
      </c>
      <c r="Q56" s="170" t="s">
        <v>21</v>
      </c>
    </row>
    <row r="57" spans="1:17" customFormat="1">
      <c r="A57" s="80">
        <v>45540.510416666664</v>
      </c>
      <c r="B57" s="112">
        <v>8.73</v>
      </c>
      <c r="C57" s="112">
        <v>4.99</v>
      </c>
      <c r="D57" s="112">
        <v>14.06</v>
      </c>
      <c r="E57" s="172" t="s">
        <v>8</v>
      </c>
      <c r="F57" s="112">
        <v>1</v>
      </c>
      <c r="G57" s="112">
        <v>47.27</v>
      </c>
      <c r="H57" s="112">
        <v>19.43</v>
      </c>
      <c r="I57" s="112">
        <v>2.69</v>
      </c>
      <c r="J57" s="112">
        <v>0.1</v>
      </c>
      <c r="K57" s="112">
        <v>204.19</v>
      </c>
      <c r="L57" s="112">
        <v>25.02</v>
      </c>
      <c r="M57" s="112">
        <v>99.75</v>
      </c>
      <c r="N57" s="112">
        <v>30.7</v>
      </c>
      <c r="O57" s="112">
        <v>2.4</v>
      </c>
      <c r="P57" s="112">
        <v>0.55000000000000004</v>
      </c>
      <c r="Q57" s="112">
        <v>4.91</v>
      </c>
    </row>
    <row r="58" spans="1:17" customFormat="1">
      <c r="A58" s="80">
        <v>45540.520833333336</v>
      </c>
      <c r="B58" s="112">
        <v>8</v>
      </c>
      <c r="C58" s="112">
        <v>6</v>
      </c>
      <c r="D58" s="112">
        <v>14</v>
      </c>
      <c r="E58" s="172" t="s">
        <v>8</v>
      </c>
      <c r="F58" s="112">
        <v>1.72</v>
      </c>
      <c r="G58" s="112">
        <v>47.27</v>
      </c>
      <c r="H58" s="112">
        <v>19.43</v>
      </c>
      <c r="I58" s="112">
        <v>5.46</v>
      </c>
      <c r="J58" s="112">
        <v>0.48</v>
      </c>
      <c r="K58" s="112">
        <v>275.95</v>
      </c>
      <c r="L58" s="112">
        <v>25.1</v>
      </c>
      <c r="M58" s="112">
        <v>100.02</v>
      </c>
      <c r="N58" s="112">
        <v>30.9</v>
      </c>
      <c r="O58" s="112">
        <v>1.4</v>
      </c>
      <c r="P58" s="112">
        <v>0.52</v>
      </c>
      <c r="Q58" s="112">
        <v>4.7</v>
      </c>
    </row>
    <row r="59" spans="1:17" customFormat="1">
      <c r="A59" s="80">
        <v>45540.53125</v>
      </c>
      <c r="B59" s="112">
        <v>8</v>
      </c>
      <c r="C59" s="112">
        <v>6</v>
      </c>
      <c r="D59" s="112">
        <v>14</v>
      </c>
      <c r="E59" s="172" t="s">
        <v>8</v>
      </c>
      <c r="F59" s="112">
        <v>3.87</v>
      </c>
      <c r="G59" s="112">
        <v>48.71</v>
      </c>
      <c r="H59" s="112">
        <v>19.579999999999998</v>
      </c>
      <c r="I59" s="112">
        <v>5.44</v>
      </c>
      <c r="J59" s="112">
        <v>0.48</v>
      </c>
      <c r="K59" s="112">
        <v>272.14999999999998</v>
      </c>
      <c r="L59" s="112">
        <v>25.32</v>
      </c>
      <c r="M59" s="112">
        <v>99.99</v>
      </c>
      <c r="N59" s="112">
        <v>259.10000000000002</v>
      </c>
      <c r="O59" s="112">
        <v>0</v>
      </c>
      <c r="P59" s="112">
        <v>0.52</v>
      </c>
      <c r="Q59" s="112">
        <v>4.66</v>
      </c>
    </row>
    <row r="60" spans="1:17" customFormat="1">
      <c r="A60" s="80">
        <v>45540.541666666664</v>
      </c>
      <c r="B60" s="112">
        <v>8</v>
      </c>
      <c r="C60" s="112">
        <v>6</v>
      </c>
      <c r="D60" s="112">
        <v>14</v>
      </c>
      <c r="E60" s="172" t="s">
        <v>8</v>
      </c>
      <c r="F60" s="112">
        <v>5.15</v>
      </c>
      <c r="G60" s="112">
        <v>53.74</v>
      </c>
      <c r="H60" s="112">
        <v>20.04</v>
      </c>
      <c r="I60" s="112">
        <v>5.23</v>
      </c>
      <c r="J60" s="112">
        <v>0.53</v>
      </c>
      <c r="K60" s="112">
        <v>270.87</v>
      </c>
      <c r="L60" s="112">
        <v>26.66</v>
      </c>
      <c r="M60" s="112">
        <v>99.95</v>
      </c>
      <c r="N60" s="112">
        <v>472</v>
      </c>
      <c r="O60" s="112">
        <v>0</v>
      </c>
      <c r="P60" s="112">
        <v>0.49</v>
      </c>
      <c r="Q60" s="112">
        <v>4.6500000000000004</v>
      </c>
    </row>
    <row r="61" spans="1:17" customFormat="1">
      <c r="A61" s="80">
        <v>45540.552083333336</v>
      </c>
      <c r="B61" s="112">
        <v>8</v>
      </c>
      <c r="C61" s="112">
        <v>6</v>
      </c>
      <c r="D61" s="112">
        <v>14</v>
      </c>
      <c r="E61" s="172" t="s">
        <v>8</v>
      </c>
      <c r="F61" s="112">
        <v>5.84</v>
      </c>
      <c r="G61" s="112">
        <v>53.74</v>
      </c>
      <c r="H61" s="112">
        <v>20.04</v>
      </c>
      <c r="I61" s="112">
        <v>5.32</v>
      </c>
      <c r="J61" s="112">
        <v>0.28000000000000003</v>
      </c>
      <c r="K61" s="112">
        <v>253.93</v>
      </c>
      <c r="L61" s="112">
        <v>27.43</v>
      </c>
      <c r="M61" s="112">
        <v>99.94</v>
      </c>
      <c r="N61" s="112">
        <v>347.5</v>
      </c>
      <c r="O61" s="112">
        <v>0</v>
      </c>
      <c r="P61" s="112">
        <v>0.49</v>
      </c>
      <c r="Q61" s="112">
        <v>4.63</v>
      </c>
    </row>
    <row r="62" spans="1:17" customFormat="1">
      <c r="A62" s="80">
        <v>45540.5625</v>
      </c>
      <c r="B62" s="112">
        <v>8</v>
      </c>
      <c r="C62" s="112">
        <v>6</v>
      </c>
      <c r="D62" s="112">
        <v>14</v>
      </c>
      <c r="E62" s="172" t="s">
        <v>8</v>
      </c>
      <c r="F62" s="112">
        <v>5.38</v>
      </c>
      <c r="G62" s="112">
        <v>53.74</v>
      </c>
      <c r="H62" s="112">
        <v>20.04</v>
      </c>
      <c r="I62" s="112">
        <v>5.25</v>
      </c>
      <c r="J62" s="112">
        <v>0.38</v>
      </c>
      <c r="K62" s="112">
        <v>260.58</v>
      </c>
      <c r="L62" s="112">
        <v>28.19</v>
      </c>
      <c r="M62" s="112">
        <v>99.93</v>
      </c>
      <c r="N62" s="112">
        <v>169.4</v>
      </c>
      <c r="O62" s="112">
        <v>0</v>
      </c>
      <c r="P62" s="112">
        <v>0.48</v>
      </c>
      <c r="Q62" s="112">
        <v>4.62</v>
      </c>
    </row>
    <row r="63" spans="1:17" customFormat="1">
      <c r="A63" s="80">
        <v>45540.572916666664</v>
      </c>
      <c r="B63" s="112">
        <v>8</v>
      </c>
      <c r="C63" s="112">
        <v>6</v>
      </c>
      <c r="D63" s="112">
        <v>14</v>
      </c>
      <c r="E63" s="172" t="s">
        <v>8</v>
      </c>
      <c r="F63" s="112">
        <v>4.24</v>
      </c>
      <c r="G63" s="112">
        <v>49.71</v>
      </c>
      <c r="H63" s="112">
        <v>19.61</v>
      </c>
      <c r="I63" s="112">
        <v>5.21</v>
      </c>
      <c r="J63" s="112">
        <v>0.25</v>
      </c>
      <c r="K63" s="112">
        <v>256.41000000000003</v>
      </c>
      <c r="L63" s="112">
        <v>27.99</v>
      </c>
      <c r="M63" s="112">
        <v>98.61</v>
      </c>
      <c r="N63" s="112">
        <v>84.8</v>
      </c>
      <c r="O63" s="112">
        <v>0</v>
      </c>
      <c r="P63" s="112">
        <v>0.48</v>
      </c>
      <c r="Q63" s="112">
        <v>4.6100000000000003</v>
      </c>
    </row>
    <row r="64" spans="1:17" customFormat="1">
      <c r="A64" s="80">
        <v>45540.583333333336</v>
      </c>
      <c r="B64" s="112">
        <v>8</v>
      </c>
      <c r="C64" s="112">
        <v>6</v>
      </c>
      <c r="D64" s="112">
        <v>14</v>
      </c>
      <c r="E64" s="172" t="s">
        <v>8</v>
      </c>
      <c r="F64" s="112">
        <v>4.53</v>
      </c>
      <c r="G64" s="112">
        <v>35.61</v>
      </c>
      <c r="H64" s="112">
        <v>18.559999999999999</v>
      </c>
      <c r="I64" s="112">
        <v>5.17</v>
      </c>
      <c r="J64" s="112">
        <v>0.19</v>
      </c>
      <c r="K64" s="112">
        <v>180.17</v>
      </c>
      <c r="L64" s="112">
        <v>28.16</v>
      </c>
      <c r="M64" s="112">
        <v>90.89</v>
      </c>
      <c r="N64" s="112">
        <v>77.599999999999994</v>
      </c>
      <c r="O64" s="112">
        <v>0</v>
      </c>
      <c r="P64" s="112">
        <v>0.48</v>
      </c>
      <c r="Q64" s="112">
        <v>4.5999999999999996</v>
      </c>
    </row>
    <row r="65" spans="1:17" customFormat="1">
      <c r="A65" s="80">
        <v>45540.59375</v>
      </c>
      <c r="B65" s="112">
        <v>8</v>
      </c>
      <c r="C65" s="112">
        <v>6</v>
      </c>
      <c r="D65" s="112">
        <v>14</v>
      </c>
      <c r="E65" s="172" t="s">
        <v>8</v>
      </c>
      <c r="F65" s="112">
        <v>5.81</v>
      </c>
      <c r="G65" s="112">
        <v>35.61</v>
      </c>
      <c r="H65" s="112">
        <v>18.559999999999999</v>
      </c>
      <c r="I65" s="112">
        <v>5.19</v>
      </c>
      <c r="J65" s="112">
        <v>0.22</v>
      </c>
      <c r="K65" s="112">
        <v>187.56</v>
      </c>
      <c r="L65" s="112">
        <v>28.11</v>
      </c>
      <c r="M65" s="112">
        <v>90.67</v>
      </c>
      <c r="N65" s="112">
        <v>92.5</v>
      </c>
      <c r="O65" s="112">
        <v>0</v>
      </c>
      <c r="P65" s="112">
        <v>0.45</v>
      </c>
      <c r="Q65" s="112">
        <v>4.28</v>
      </c>
    </row>
    <row r="66" spans="1:17" customFormat="1">
      <c r="A66" s="80">
        <v>45540.604166666664</v>
      </c>
      <c r="B66" s="112">
        <v>8</v>
      </c>
      <c r="C66" s="112">
        <v>6</v>
      </c>
      <c r="D66" s="112">
        <v>14</v>
      </c>
      <c r="E66" s="172" t="s">
        <v>8</v>
      </c>
      <c r="F66" s="112">
        <v>5.78</v>
      </c>
      <c r="G66" s="112">
        <v>35.61</v>
      </c>
      <c r="H66" s="112">
        <v>18.559999999999999</v>
      </c>
      <c r="I66" s="112">
        <v>5.16</v>
      </c>
      <c r="J66" s="112">
        <v>0.11</v>
      </c>
      <c r="K66" s="112">
        <v>230.62</v>
      </c>
      <c r="L66" s="112">
        <v>28.47</v>
      </c>
      <c r="M66" s="112">
        <v>89.19</v>
      </c>
      <c r="N66" s="112">
        <v>162.9</v>
      </c>
      <c r="O66" s="112">
        <v>0</v>
      </c>
      <c r="P66" s="112">
        <v>0.47</v>
      </c>
      <c r="Q66" s="112">
        <v>4.67</v>
      </c>
    </row>
    <row r="67" spans="1:17" customFormat="1">
      <c r="A67" s="80">
        <v>45540.614583333336</v>
      </c>
      <c r="B67" s="112">
        <v>8</v>
      </c>
      <c r="C67" s="112">
        <v>6</v>
      </c>
      <c r="D67" s="112">
        <v>14</v>
      </c>
      <c r="E67" s="172" t="s">
        <v>8</v>
      </c>
      <c r="F67" s="112">
        <v>7.55</v>
      </c>
      <c r="G67" s="112">
        <v>34.53</v>
      </c>
      <c r="H67" s="112">
        <v>17.72</v>
      </c>
      <c r="I67" s="112">
        <v>5.14</v>
      </c>
      <c r="J67" s="112">
        <v>0.28000000000000003</v>
      </c>
      <c r="K67" s="112">
        <v>242.69</v>
      </c>
      <c r="L67" s="112">
        <v>29.25</v>
      </c>
      <c r="M67" s="112">
        <v>85.2</v>
      </c>
      <c r="N67" s="112">
        <v>203.8</v>
      </c>
      <c r="O67" s="112">
        <v>0</v>
      </c>
      <c r="P67" s="112">
        <v>0.46</v>
      </c>
      <c r="Q67" s="112">
        <v>4.63</v>
      </c>
    </row>
    <row r="68" spans="1:17" customFormat="1">
      <c r="A68" s="80">
        <v>45540.625</v>
      </c>
      <c r="B68" s="112">
        <v>8</v>
      </c>
      <c r="C68" s="112">
        <v>6</v>
      </c>
      <c r="D68" s="112">
        <v>14</v>
      </c>
      <c r="E68" s="172" t="s">
        <v>8</v>
      </c>
      <c r="F68" s="112">
        <v>9.7100000000000009</v>
      </c>
      <c r="G68" s="112">
        <v>30.77</v>
      </c>
      <c r="H68" s="112">
        <v>13.75</v>
      </c>
      <c r="I68" s="112">
        <v>5.14</v>
      </c>
      <c r="J68" s="112">
        <v>0.25</v>
      </c>
      <c r="K68" s="112">
        <v>241</v>
      </c>
      <c r="L68" s="112">
        <v>29.54</v>
      </c>
      <c r="M68" s="112">
        <v>84.75</v>
      </c>
      <c r="N68" s="112">
        <v>292.89999999999998</v>
      </c>
      <c r="O68" s="112">
        <v>0</v>
      </c>
      <c r="P68" s="112">
        <v>0.46</v>
      </c>
      <c r="Q68" s="112">
        <v>4.62</v>
      </c>
    </row>
    <row r="69" spans="1:17" customFormat="1">
      <c r="A69" s="80">
        <v>45540.635416666664</v>
      </c>
      <c r="B69" s="112">
        <v>8</v>
      </c>
      <c r="C69" s="112">
        <v>6</v>
      </c>
      <c r="D69" s="112">
        <v>14</v>
      </c>
      <c r="E69" s="172" t="s">
        <v>8</v>
      </c>
      <c r="F69" s="112">
        <v>8.81</v>
      </c>
      <c r="G69" s="112">
        <v>30.77</v>
      </c>
      <c r="H69" s="112">
        <v>13.75</v>
      </c>
      <c r="I69" s="112">
        <v>5.15</v>
      </c>
      <c r="J69" s="112">
        <v>0.26</v>
      </c>
      <c r="K69" s="112">
        <v>248.43</v>
      </c>
      <c r="L69" s="112">
        <v>30.07</v>
      </c>
      <c r="M69" s="112">
        <v>83.52</v>
      </c>
      <c r="N69" s="112">
        <v>203.5</v>
      </c>
      <c r="O69" s="112">
        <v>0</v>
      </c>
      <c r="P69" s="112">
        <v>0.46</v>
      </c>
      <c r="Q69" s="112">
        <v>4.6100000000000003</v>
      </c>
    </row>
    <row r="70" spans="1:17" customFormat="1">
      <c r="A70" s="80">
        <v>45540.645833333336</v>
      </c>
      <c r="B70" s="112">
        <v>8</v>
      </c>
      <c r="C70" s="112">
        <v>6</v>
      </c>
      <c r="D70" s="112">
        <v>14</v>
      </c>
      <c r="E70" s="172" t="s">
        <v>8</v>
      </c>
      <c r="F70" s="112">
        <v>8.6999999999999993</v>
      </c>
      <c r="G70" s="112">
        <v>30.77</v>
      </c>
      <c r="H70" s="112">
        <v>13.75</v>
      </c>
      <c r="I70" s="112">
        <v>5.24</v>
      </c>
      <c r="J70" s="112">
        <v>0.25</v>
      </c>
      <c r="K70" s="112">
        <v>239.66</v>
      </c>
      <c r="L70" s="112">
        <v>29.81</v>
      </c>
      <c r="M70" s="112">
        <v>84.23</v>
      </c>
      <c r="N70" s="112">
        <v>123.4</v>
      </c>
      <c r="O70" s="112">
        <v>0</v>
      </c>
      <c r="P70" s="112">
        <v>0.46</v>
      </c>
      <c r="Q70" s="112">
        <v>4.5999999999999996</v>
      </c>
    </row>
    <row r="71" spans="1:17" customFormat="1">
      <c r="A71" s="80">
        <v>45540.65625</v>
      </c>
      <c r="B71" s="112">
        <v>8</v>
      </c>
      <c r="C71" s="112">
        <v>6</v>
      </c>
      <c r="D71" s="112">
        <v>14</v>
      </c>
      <c r="E71" s="172" t="s">
        <v>8</v>
      </c>
      <c r="F71" s="112">
        <v>15.19</v>
      </c>
      <c r="G71" s="112">
        <v>30.12</v>
      </c>
      <c r="H71" s="112">
        <v>12.67</v>
      </c>
      <c r="I71" s="112">
        <v>5.23</v>
      </c>
      <c r="J71" s="112">
        <v>0.2</v>
      </c>
      <c r="K71" s="112">
        <v>193.98</v>
      </c>
      <c r="L71" s="112">
        <v>30.02</v>
      </c>
      <c r="M71" s="112">
        <v>84.17</v>
      </c>
      <c r="N71" s="112">
        <v>241.9</v>
      </c>
      <c r="O71" s="112">
        <v>0</v>
      </c>
      <c r="P71" s="112">
        <v>0.46</v>
      </c>
      <c r="Q71" s="112">
        <v>4.6100000000000003</v>
      </c>
    </row>
    <row r="72" spans="1:17" customFormat="1">
      <c r="A72" s="80">
        <v>45540.666666666664</v>
      </c>
      <c r="B72" s="112">
        <v>8</v>
      </c>
      <c r="C72" s="112">
        <v>6</v>
      </c>
      <c r="D72" s="112">
        <v>14</v>
      </c>
      <c r="E72" s="172" t="s">
        <v>8</v>
      </c>
      <c r="F72" s="112">
        <v>14.58</v>
      </c>
      <c r="G72" s="112">
        <v>27.83</v>
      </c>
      <c r="H72" s="112">
        <v>9.98</v>
      </c>
      <c r="I72" s="112">
        <v>5.26</v>
      </c>
      <c r="J72" s="112">
        <v>0.25</v>
      </c>
      <c r="K72" s="112">
        <v>247.63</v>
      </c>
      <c r="L72" s="112">
        <v>30.54</v>
      </c>
      <c r="M72" s="112">
        <v>79.72</v>
      </c>
      <c r="N72" s="112">
        <v>170.8</v>
      </c>
      <c r="O72" s="112">
        <v>0</v>
      </c>
      <c r="P72" s="112">
        <v>0.45</v>
      </c>
      <c r="Q72" s="112">
        <v>4.62</v>
      </c>
    </row>
    <row r="73" spans="1:17" customFormat="1">
      <c r="A73" s="80">
        <v>45540.677083333336</v>
      </c>
      <c r="B73" s="112">
        <v>8</v>
      </c>
      <c r="C73" s="112">
        <v>6</v>
      </c>
      <c r="D73" s="112">
        <v>14</v>
      </c>
      <c r="E73" s="172" t="s">
        <v>8</v>
      </c>
      <c r="F73" s="112">
        <v>16.11</v>
      </c>
      <c r="G73" s="112">
        <v>27.83</v>
      </c>
      <c r="H73" s="112">
        <v>9.98</v>
      </c>
      <c r="I73" s="112">
        <v>5.15</v>
      </c>
      <c r="J73" s="112">
        <v>0.36</v>
      </c>
      <c r="K73" s="112">
        <v>270.89999999999998</v>
      </c>
      <c r="L73" s="112">
        <v>30.2</v>
      </c>
      <c r="M73" s="112">
        <v>80.819999999999993</v>
      </c>
      <c r="N73" s="112">
        <v>109.9</v>
      </c>
      <c r="O73" s="112">
        <v>0</v>
      </c>
      <c r="P73" s="112">
        <v>0.44</v>
      </c>
      <c r="Q73" s="112">
        <v>4.6100000000000003</v>
      </c>
    </row>
    <row r="74" spans="1:17" customFormat="1">
      <c r="A74" s="80">
        <v>45540.6875</v>
      </c>
      <c r="B74" s="112">
        <v>8</v>
      </c>
      <c r="C74" s="112">
        <v>6</v>
      </c>
      <c r="D74" s="112">
        <v>14</v>
      </c>
      <c r="E74" s="172" t="s">
        <v>8</v>
      </c>
      <c r="F74" s="112">
        <v>14</v>
      </c>
      <c r="G74" s="112">
        <v>27.83</v>
      </c>
      <c r="H74" s="112">
        <v>9.98</v>
      </c>
      <c r="I74" s="112">
        <v>5.0599999999999996</v>
      </c>
      <c r="J74" s="112">
        <v>0.3</v>
      </c>
      <c r="K74" s="112">
        <v>261.95999999999998</v>
      </c>
      <c r="L74" s="112">
        <v>30.3</v>
      </c>
      <c r="M74" s="112">
        <v>80.78</v>
      </c>
      <c r="N74" s="112">
        <v>90.6</v>
      </c>
      <c r="O74" s="112">
        <v>0</v>
      </c>
      <c r="P74" s="112">
        <v>0.45</v>
      </c>
      <c r="Q74" s="112">
        <v>4.6100000000000003</v>
      </c>
    </row>
    <row r="75" spans="1:17" customFormat="1">
      <c r="A75" s="80">
        <v>45540.697916666664</v>
      </c>
      <c r="B75" s="112">
        <v>8</v>
      </c>
      <c r="C75" s="112">
        <v>6</v>
      </c>
      <c r="D75" s="112">
        <v>14</v>
      </c>
      <c r="E75" s="172" t="s">
        <v>8</v>
      </c>
      <c r="F75" s="112">
        <v>12.79</v>
      </c>
      <c r="G75" s="112">
        <v>28.41</v>
      </c>
      <c r="H75" s="112">
        <v>9.49</v>
      </c>
      <c r="I75" s="112">
        <v>4.99</v>
      </c>
      <c r="J75" s="112">
        <v>0.25</v>
      </c>
      <c r="K75" s="112">
        <v>249.26</v>
      </c>
      <c r="L75" s="112">
        <v>30.34</v>
      </c>
      <c r="M75" s="112">
        <v>79.92</v>
      </c>
      <c r="N75" s="112">
        <v>73.5</v>
      </c>
      <c r="O75" s="112">
        <v>0</v>
      </c>
      <c r="P75" s="112">
        <v>0.44</v>
      </c>
      <c r="Q75" s="112">
        <v>4.5999999999999996</v>
      </c>
    </row>
    <row r="76" spans="1:17" customFormat="1">
      <c r="A76" s="80">
        <v>45540.708333333336</v>
      </c>
      <c r="B76" s="112">
        <v>8</v>
      </c>
      <c r="C76" s="112">
        <v>6</v>
      </c>
      <c r="D76" s="112">
        <v>14</v>
      </c>
      <c r="E76" s="172" t="s">
        <v>8</v>
      </c>
      <c r="F76" s="112">
        <v>10.66</v>
      </c>
      <c r="G76" s="112">
        <v>30.48</v>
      </c>
      <c r="H76" s="112">
        <v>8.27</v>
      </c>
      <c r="I76" s="112">
        <v>5.0199999999999996</v>
      </c>
      <c r="J76" s="112">
        <v>0.16</v>
      </c>
      <c r="K76" s="112">
        <v>199.82</v>
      </c>
      <c r="L76" s="112">
        <v>30.39</v>
      </c>
      <c r="M76" s="112">
        <v>80.66</v>
      </c>
      <c r="N76" s="112">
        <v>58.4</v>
      </c>
      <c r="O76" s="112">
        <v>0</v>
      </c>
      <c r="P76" s="112">
        <v>0.43</v>
      </c>
      <c r="Q76" s="112">
        <v>4.59</v>
      </c>
    </row>
    <row r="77" spans="1:17" customFormat="1">
      <c r="A77" s="80">
        <v>45540.71875</v>
      </c>
      <c r="B77" s="112">
        <v>8</v>
      </c>
      <c r="C77" s="112">
        <v>6</v>
      </c>
      <c r="D77" s="112">
        <v>14</v>
      </c>
      <c r="E77" s="172" t="s">
        <v>8</v>
      </c>
      <c r="F77" s="112">
        <v>13.1</v>
      </c>
      <c r="G77" s="112">
        <v>30.48</v>
      </c>
      <c r="H77" s="112">
        <v>8.27</v>
      </c>
      <c r="I77" s="112">
        <v>4.96</v>
      </c>
      <c r="J77" s="112">
        <v>0.19</v>
      </c>
      <c r="K77" s="112">
        <v>163.68</v>
      </c>
      <c r="L77" s="112">
        <v>30.23</v>
      </c>
      <c r="M77" s="112">
        <v>82.29</v>
      </c>
      <c r="N77" s="112">
        <v>42.9</v>
      </c>
      <c r="O77" s="112">
        <v>0</v>
      </c>
      <c r="P77" s="112">
        <v>0.43</v>
      </c>
      <c r="Q77" s="112">
        <v>4.5999999999999996</v>
      </c>
    </row>
    <row r="78" spans="1:17" customFormat="1">
      <c r="A78" s="80">
        <v>45540.729166666664</v>
      </c>
      <c r="B78" s="112">
        <v>8</v>
      </c>
      <c r="C78" s="112">
        <v>6</v>
      </c>
      <c r="D78" s="112">
        <v>14</v>
      </c>
      <c r="E78" s="172" t="s">
        <v>8</v>
      </c>
      <c r="F78" s="112">
        <v>9.75</v>
      </c>
      <c r="G78" s="112">
        <v>30.48</v>
      </c>
      <c r="H78" s="112">
        <v>8.27</v>
      </c>
      <c r="I78" s="112">
        <v>4.82</v>
      </c>
      <c r="J78" s="112">
        <v>0.16</v>
      </c>
      <c r="K78" s="112">
        <v>170.34</v>
      </c>
      <c r="L78" s="112">
        <v>30.04</v>
      </c>
      <c r="M78" s="112">
        <v>83.52</v>
      </c>
      <c r="N78" s="112">
        <v>35.4</v>
      </c>
      <c r="O78" s="112">
        <v>0</v>
      </c>
      <c r="P78" s="112">
        <v>0.44</v>
      </c>
      <c r="Q78" s="112">
        <v>4.5999999999999996</v>
      </c>
    </row>
    <row r="79" spans="1:17" customFormat="1">
      <c r="A79" s="80">
        <v>45540.739583333336</v>
      </c>
      <c r="B79" s="112">
        <v>8</v>
      </c>
      <c r="C79" s="112">
        <v>6</v>
      </c>
      <c r="D79" s="112">
        <v>14</v>
      </c>
      <c r="E79" s="172" t="s">
        <v>8</v>
      </c>
      <c r="F79" s="112">
        <v>11.93</v>
      </c>
      <c r="G79" s="112">
        <v>30.28</v>
      </c>
      <c r="H79" s="112">
        <v>7.94</v>
      </c>
      <c r="I79" s="112">
        <v>4.75</v>
      </c>
      <c r="J79" s="112">
        <v>0.12</v>
      </c>
      <c r="K79" s="112">
        <v>191.9</v>
      </c>
      <c r="L79" s="112">
        <v>29.62</v>
      </c>
      <c r="M79" s="112">
        <v>85.76</v>
      </c>
      <c r="N79" s="112">
        <v>18.100000000000001</v>
      </c>
      <c r="O79" s="112">
        <v>0</v>
      </c>
      <c r="P79" s="112">
        <v>0.44</v>
      </c>
      <c r="Q79" s="112">
        <v>4.6100000000000003</v>
      </c>
    </row>
    <row r="80" spans="1:17" customFormat="1">
      <c r="A80" s="80">
        <v>45540.75</v>
      </c>
      <c r="B80" s="112">
        <v>8</v>
      </c>
      <c r="C80" s="112">
        <v>6</v>
      </c>
      <c r="D80" s="112">
        <v>14</v>
      </c>
      <c r="E80" s="172" t="s">
        <v>8</v>
      </c>
      <c r="F80" s="112">
        <v>10.01</v>
      </c>
      <c r="G80" s="112">
        <v>29.6</v>
      </c>
      <c r="H80" s="112">
        <v>7.14</v>
      </c>
      <c r="I80" s="112">
        <v>4.6900000000000004</v>
      </c>
      <c r="J80" s="112">
        <v>0.16</v>
      </c>
      <c r="K80" s="112">
        <v>167.17</v>
      </c>
      <c r="L80" s="112">
        <v>29.27</v>
      </c>
      <c r="M80" s="112">
        <v>87.12</v>
      </c>
      <c r="N80" s="112">
        <v>6.3</v>
      </c>
      <c r="O80" s="112">
        <v>0</v>
      </c>
      <c r="P80" s="112">
        <v>0.43</v>
      </c>
      <c r="Q80" s="112">
        <v>4.59</v>
      </c>
    </row>
    <row r="81" spans="1:17" customFormat="1">
      <c r="A81" s="80">
        <v>45540.760416666664</v>
      </c>
      <c r="B81" s="112">
        <v>8</v>
      </c>
      <c r="C81" s="112">
        <v>6</v>
      </c>
      <c r="D81" s="112">
        <v>14</v>
      </c>
      <c r="E81" s="112">
        <v>8.6</v>
      </c>
      <c r="F81" s="112">
        <v>8.39</v>
      </c>
      <c r="G81" s="112">
        <v>29.6</v>
      </c>
      <c r="H81" s="112">
        <v>7.14</v>
      </c>
      <c r="I81" s="112">
        <v>4.7699999999999996</v>
      </c>
      <c r="J81" s="112">
        <v>0.13</v>
      </c>
      <c r="K81" s="112">
        <v>212.41</v>
      </c>
      <c r="L81" s="112">
        <v>28.77</v>
      </c>
      <c r="M81" s="112">
        <v>89.78</v>
      </c>
      <c r="N81" s="112">
        <v>3.1</v>
      </c>
      <c r="O81" s="112">
        <v>0</v>
      </c>
      <c r="P81" s="112">
        <v>0.45</v>
      </c>
      <c r="Q81" s="112">
        <v>4.58</v>
      </c>
    </row>
    <row r="82" spans="1:17" customFormat="1">
      <c r="A82" s="80">
        <v>45540.770833333336</v>
      </c>
      <c r="B82" s="112">
        <v>8</v>
      </c>
      <c r="C82" s="112">
        <v>6</v>
      </c>
      <c r="D82" s="112">
        <v>14</v>
      </c>
      <c r="E82" s="112">
        <v>10.5</v>
      </c>
      <c r="F82" s="112">
        <v>9.24</v>
      </c>
      <c r="G82" s="112">
        <v>29.6</v>
      </c>
      <c r="H82" s="112">
        <v>7.14</v>
      </c>
      <c r="I82" s="112">
        <v>4.79</v>
      </c>
      <c r="J82" s="112">
        <v>0.15</v>
      </c>
      <c r="K82" s="112">
        <v>158.80000000000001</v>
      </c>
      <c r="L82" s="112">
        <v>28.5</v>
      </c>
      <c r="M82" s="112">
        <v>91.44</v>
      </c>
      <c r="N82" s="112">
        <v>2.4</v>
      </c>
      <c r="O82" s="112">
        <v>0</v>
      </c>
      <c r="P82" s="112">
        <v>0.45</v>
      </c>
      <c r="Q82" s="112">
        <v>4.59</v>
      </c>
    </row>
    <row r="83" spans="1:17" customFormat="1">
      <c r="A83" s="80">
        <v>45540.78125</v>
      </c>
      <c r="B83" s="112">
        <v>8</v>
      </c>
      <c r="C83" s="112">
        <v>6</v>
      </c>
      <c r="D83" s="112">
        <v>14</v>
      </c>
      <c r="E83" s="112">
        <v>10.83</v>
      </c>
      <c r="F83" s="112">
        <v>6.77</v>
      </c>
      <c r="G83" s="112">
        <v>28.44</v>
      </c>
      <c r="H83" s="112">
        <v>7.71</v>
      </c>
      <c r="I83" s="112">
        <v>4.9400000000000004</v>
      </c>
      <c r="J83" s="112">
        <v>0.12</v>
      </c>
      <c r="K83" s="112">
        <v>155.86000000000001</v>
      </c>
      <c r="L83" s="112">
        <v>28.5</v>
      </c>
      <c r="M83" s="112">
        <v>92.13</v>
      </c>
      <c r="N83" s="112">
        <v>2.2000000000000002</v>
      </c>
      <c r="O83" s="112">
        <v>0</v>
      </c>
      <c r="P83" s="112">
        <v>0.44</v>
      </c>
      <c r="Q83" s="112">
        <v>4.59</v>
      </c>
    </row>
    <row r="84" spans="1:17" customFormat="1">
      <c r="A84" s="80">
        <v>45540.791666666664</v>
      </c>
      <c r="B84" s="112">
        <v>8</v>
      </c>
      <c r="C84" s="112">
        <v>6</v>
      </c>
      <c r="D84" s="112">
        <v>14</v>
      </c>
      <c r="E84" s="112">
        <v>11.31</v>
      </c>
      <c r="F84" s="112">
        <v>6.48</v>
      </c>
      <c r="G84" s="112">
        <v>24.37</v>
      </c>
      <c r="H84" s="112">
        <v>9.1300000000000008</v>
      </c>
      <c r="I84" s="112">
        <v>4.9000000000000004</v>
      </c>
      <c r="J84" s="112">
        <v>0.12</v>
      </c>
      <c r="K84" s="112">
        <v>152.56</v>
      </c>
      <c r="L84" s="112">
        <v>28.42</v>
      </c>
      <c r="M84" s="112">
        <v>92.91</v>
      </c>
      <c r="N84" s="112">
        <v>2.1</v>
      </c>
      <c r="O84" s="112">
        <v>0</v>
      </c>
      <c r="P84" s="112">
        <v>0.45</v>
      </c>
      <c r="Q84" s="112">
        <v>4.58</v>
      </c>
    </row>
    <row r="85" spans="1:17" customFormat="1">
      <c r="A85" s="80">
        <v>45540.802083333336</v>
      </c>
      <c r="B85" s="112">
        <v>8</v>
      </c>
      <c r="C85" s="112">
        <v>6</v>
      </c>
      <c r="D85" s="112">
        <v>14</v>
      </c>
      <c r="E85" s="112">
        <v>11.44</v>
      </c>
      <c r="F85" s="112">
        <v>7.07</v>
      </c>
      <c r="G85" s="112">
        <v>24.37</v>
      </c>
      <c r="H85" s="112">
        <v>9.1300000000000008</v>
      </c>
      <c r="I85" s="112">
        <v>4.87</v>
      </c>
      <c r="J85" s="112">
        <v>0.17</v>
      </c>
      <c r="K85" s="112">
        <v>169.25</v>
      </c>
      <c r="L85" s="112">
        <v>28.48</v>
      </c>
      <c r="M85" s="112">
        <v>92.7</v>
      </c>
      <c r="N85" s="112">
        <v>2.1</v>
      </c>
      <c r="O85" s="112">
        <v>0</v>
      </c>
      <c r="P85" s="112">
        <v>0.46</v>
      </c>
      <c r="Q85" s="112">
        <v>4.58</v>
      </c>
    </row>
    <row r="86" spans="1:17" customFormat="1">
      <c r="A86" s="80">
        <v>45540.8125</v>
      </c>
      <c r="B86" s="112">
        <v>8</v>
      </c>
      <c r="C86" s="112">
        <v>6</v>
      </c>
      <c r="D86" s="112">
        <v>14</v>
      </c>
      <c r="E86" s="112">
        <v>11.54</v>
      </c>
      <c r="F86" s="112">
        <v>5.77</v>
      </c>
      <c r="G86" s="112">
        <v>24.37</v>
      </c>
      <c r="H86" s="112">
        <v>9.1300000000000008</v>
      </c>
      <c r="I86" s="112">
        <v>5.0199999999999996</v>
      </c>
      <c r="J86" s="112">
        <v>7.0000000000000007E-2</v>
      </c>
      <c r="K86" s="112">
        <v>219.47</v>
      </c>
      <c r="L86" s="112">
        <v>28.3</v>
      </c>
      <c r="M86" s="112">
        <v>93.55</v>
      </c>
      <c r="N86" s="112">
        <v>2.2999999999999998</v>
      </c>
      <c r="O86" s="112">
        <v>0</v>
      </c>
      <c r="P86" s="112">
        <v>0.47</v>
      </c>
      <c r="Q86" s="112">
        <v>4.58</v>
      </c>
    </row>
    <row r="87" spans="1:17" customFormat="1">
      <c r="A87" s="80">
        <v>45540.822916666664</v>
      </c>
      <c r="B87" s="112">
        <v>8</v>
      </c>
      <c r="C87" s="112">
        <v>6</v>
      </c>
      <c r="D87" s="112">
        <v>14</v>
      </c>
      <c r="E87" s="112">
        <v>11.23</v>
      </c>
      <c r="F87" s="112">
        <v>5.39</v>
      </c>
      <c r="G87" s="112">
        <v>24.49</v>
      </c>
      <c r="H87" s="112">
        <v>9.89</v>
      </c>
      <c r="I87" s="112">
        <v>5.09</v>
      </c>
      <c r="J87" s="112">
        <v>0.12</v>
      </c>
      <c r="K87" s="112">
        <v>174.26</v>
      </c>
      <c r="L87" s="112">
        <v>28.05</v>
      </c>
      <c r="M87" s="112">
        <v>94.71</v>
      </c>
      <c r="N87" s="112">
        <v>2.2000000000000002</v>
      </c>
      <c r="O87" s="112">
        <v>0</v>
      </c>
      <c r="P87" s="112">
        <v>0.47</v>
      </c>
      <c r="Q87" s="112">
        <v>4.59</v>
      </c>
    </row>
    <row r="88" spans="1:17" customFormat="1">
      <c r="A88" s="80">
        <v>45540.833333333336</v>
      </c>
      <c r="B88" s="112">
        <v>8</v>
      </c>
      <c r="C88" s="112">
        <v>6</v>
      </c>
      <c r="D88" s="112">
        <v>14</v>
      </c>
      <c r="E88" s="112">
        <v>11.23</v>
      </c>
      <c r="F88" s="112">
        <v>4.92</v>
      </c>
      <c r="G88" s="112">
        <v>24.92</v>
      </c>
      <c r="H88" s="112">
        <v>11.77</v>
      </c>
      <c r="I88" s="112">
        <v>5.0999999999999996</v>
      </c>
      <c r="J88" s="112">
        <v>0.06</v>
      </c>
      <c r="K88" s="112">
        <v>233.21</v>
      </c>
      <c r="L88" s="112">
        <v>27.94</v>
      </c>
      <c r="M88" s="112">
        <v>95.2</v>
      </c>
      <c r="N88" s="112">
        <v>2.1</v>
      </c>
      <c r="O88" s="112">
        <v>0</v>
      </c>
      <c r="P88" s="112">
        <v>0.47</v>
      </c>
      <c r="Q88" s="112">
        <v>4.59</v>
      </c>
    </row>
    <row r="89" spans="1:17" customFormat="1">
      <c r="A89" s="80">
        <v>45540.84375</v>
      </c>
      <c r="B89" s="112">
        <v>8</v>
      </c>
      <c r="C89" s="112">
        <v>6</v>
      </c>
      <c r="D89" s="112">
        <v>14</v>
      </c>
      <c r="E89" s="112">
        <v>11.77</v>
      </c>
      <c r="F89" s="112">
        <v>4.12</v>
      </c>
      <c r="G89" s="112">
        <v>24.92</v>
      </c>
      <c r="H89" s="112">
        <v>11.77</v>
      </c>
      <c r="I89" s="112">
        <v>5.07</v>
      </c>
      <c r="J89" s="112">
        <v>0.1</v>
      </c>
      <c r="K89" s="112">
        <v>219.15</v>
      </c>
      <c r="L89" s="112">
        <v>27.85</v>
      </c>
      <c r="M89" s="112">
        <v>95.76</v>
      </c>
      <c r="N89" s="112">
        <v>2.2999999999999998</v>
      </c>
      <c r="O89" s="112">
        <v>0</v>
      </c>
      <c r="P89" s="112">
        <v>0.47</v>
      </c>
      <c r="Q89" s="112">
        <v>4.57</v>
      </c>
    </row>
    <row r="90" spans="1:17" customFormat="1">
      <c r="A90" s="80">
        <v>45540.854166666664</v>
      </c>
      <c r="B90" s="112">
        <v>8</v>
      </c>
      <c r="C90" s="112">
        <v>6</v>
      </c>
      <c r="D90" s="112">
        <v>14</v>
      </c>
      <c r="E90" s="112">
        <v>11.92</v>
      </c>
      <c r="F90" s="112">
        <v>2.58</v>
      </c>
      <c r="G90" s="112">
        <v>24.92</v>
      </c>
      <c r="H90" s="112">
        <v>11.77</v>
      </c>
      <c r="I90" s="112">
        <v>5.1100000000000003</v>
      </c>
      <c r="J90" s="112">
        <v>0.22</v>
      </c>
      <c r="K90" s="112">
        <v>314.45999999999998</v>
      </c>
      <c r="L90" s="112">
        <v>27.92</v>
      </c>
      <c r="M90" s="112">
        <v>95.4</v>
      </c>
      <c r="N90" s="112">
        <v>1.9</v>
      </c>
      <c r="O90" s="112">
        <v>0</v>
      </c>
      <c r="P90" s="112">
        <v>0.55000000000000004</v>
      </c>
      <c r="Q90" s="112">
        <v>4.59</v>
      </c>
    </row>
    <row r="91" spans="1:17" customFormat="1">
      <c r="A91" s="80">
        <v>45540.864583333336</v>
      </c>
      <c r="B91" s="112">
        <v>8</v>
      </c>
      <c r="C91" s="112">
        <v>6</v>
      </c>
      <c r="D91" s="112">
        <v>14</v>
      </c>
      <c r="E91" s="112">
        <v>11.83</v>
      </c>
      <c r="F91" s="112">
        <v>3.82</v>
      </c>
      <c r="G91" s="112">
        <v>27.13</v>
      </c>
      <c r="H91" s="112">
        <v>12.45</v>
      </c>
      <c r="I91" s="112">
        <v>5.16</v>
      </c>
      <c r="J91" s="112">
        <v>0.46</v>
      </c>
      <c r="K91" s="112">
        <v>279.92</v>
      </c>
      <c r="L91" s="112">
        <v>27.69</v>
      </c>
      <c r="M91" s="112">
        <v>86.49</v>
      </c>
      <c r="N91" s="112">
        <v>3</v>
      </c>
      <c r="O91" s="112">
        <v>0</v>
      </c>
      <c r="P91" s="112">
        <v>0.53</v>
      </c>
      <c r="Q91" s="112">
        <v>4.5999999999999996</v>
      </c>
    </row>
    <row r="92" spans="1:17" customFormat="1">
      <c r="A92" s="80">
        <v>45540.875</v>
      </c>
      <c r="B92" s="112">
        <v>8</v>
      </c>
      <c r="C92" s="112">
        <v>6</v>
      </c>
      <c r="D92" s="112">
        <v>14</v>
      </c>
      <c r="E92" s="112">
        <v>12.49</v>
      </c>
      <c r="F92" s="112">
        <v>4.9000000000000004</v>
      </c>
      <c r="G92" s="112">
        <v>34.86</v>
      </c>
      <c r="H92" s="112">
        <v>15.66</v>
      </c>
      <c r="I92" s="112">
        <v>5.46</v>
      </c>
      <c r="J92" s="112">
        <v>0.98</v>
      </c>
      <c r="K92" s="112">
        <v>47.17</v>
      </c>
      <c r="L92" s="112">
        <v>26.7</v>
      </c>
      <c r="M92" s="112">
        <v>81.680000000000007</v>
      </c>
      <c r="N92" s="112">
        <v>4.5</v>
      </c>
      <c r="O92" s="112">
        <v>0.4</v>
      </c>
      <c r="P92" s="112">
        <v>0.49</v>
      </c>
      <c r="Q92" s="112">
        <v>4.59</v>
      </c>
    </row>
    <row r="93" spans="1:17" customFormat="1">
      <c r="A93" s="80">
        <v>45540.885416666664</v>
      </c>
      <c r="B93" s="112">
        <v>8</v>
      </c>
      <c r="C93" s="112">
        <v>6</v>
      </c>
      <c r="D93" s="112">
        <v>14</v>
      </c>
      <c r="E93" s="112">
        <v>12.69</v>
      </c>
      <c r="F93" s="112">
        <v>3.43</v>
      </c>
      <c r="G93" s="112">
        <v>34.86</v>
      </c>
      <c r="H93" s="112">
        <v>15.66</v>
      </c>
      <c r="I93" s="112">
        <v>5.59</v>
      </c>
      <c r="J93" s="112">
        <v>1.82</v>
      </c>
      <c r="K93" s="112">
        <v>50.65</v>
      </c>
      <c r="L93" s="112">
        <v>24.36</v>
      </c>
      <c r="M93" s="112">
        <v>93.92</v>
      </c>
      <c r="N93" s="112">
        <v>6.9</v>
      </c>
      <c r="O93" s="112">
        <v>23.2</v>
      </c>
      <c r="P93" s="112">
        <v>0.47</v>
      </c>
      <c r="Q93" s="112">
        <v>4.58</v>
      </c>
    </row>
    <row r="94" spans="1:17" customFormat="1">
      <c r="A94" s="80">
        <v>45540.895833333336</v>
      </c>
      <c r="B94" s="112">
        <v>8</v>
      </c>
      <c r="C94" s="112">
        <v>6</v>
      </c>
      <c r="D94" s="112">
        <v>14</v>
      </c>
      <c r="E94" s="112">
        <v>12.22</v>
      </c>
      <c r="F94" s="112">
        <v>4.1500000000000004</v>
      </c>
      <c r="G94" s="112">
        <v>34.86</v>
      </c>
      <c r="H94" s="112">
        <v>15.66</v>
      </c>
      <c r="I94" s="112">
        <v>5.17</v>
      </c>
      <c r="J94" s="112">
        <v>1.79</v>
      </c>
      <c r="K94" s="112">
        <v>50.71</v>
      </c>
      <c r="L94" s="112">
        <v>22.72</v>
      </c>
      <c r="M94" s="112">
        <v>99.65</v>
      </c>
      <c r="N94" s="112">
        <v>4.5</v>
      </c>
      <c r="O94" s="112">
        <v>15.2</v>
      </c>
      <c r="P94" s="112">
        <v>0.46</v>
      </c>
      <c r="Q94" s="112">
        <v>4.58</v>
      </c>
    </row>
    <row r="95" spans="1:17" customFormat="1">
      <c r="A95" s="80">
        <v>45540.90625</v>
      </c>
      <c r="B95" s="112">
        <v>8</v>
      </c>
      <c r="C95" s="112">
        <v>6</v>
      </c>
      <c r="D95" s="112">
        <v>14</v>
      </c>
      <c r="E95" s="112">
        <v>11.99</v>
      </c>
      <c r="F95" s="112">
        <v>4.5</v>
      </c>
      <c r="G95" s="112">
        <v>32.840000000000003</v>
      </c>
      <c r="H95" s="112">
        <v>14.31</v>
      </c>
      <c r="I95" s="112">
        <v>5.17</v>
      </c>
      <c r="J95" s="112">
        <v>0.86</v>
      </c>
      <c r="K95" s="112">
        <v>63.77</v>
      </c>
      <c r="L95" s="112">
        <v>23.27</v>
      </c>
      <c r="M95" s="112">
        <v>100.06</v>
      </c>
      <c r="N95" s="112">
        <v>0.9</v>
      </c>
      <c r="O95" s="112">
        <v>3.2</v>
      </c>
      <c r="P95" s="112">
        <v>0.44</v>
      </c>
      <c r="Q95" s="112">
        <v>4.58</v>
      </c>
    </row>
    <row r="96" spans="1:17" customFormat="1">
      <c r="A96" s="80">
        <v>45540.916666666664</v>
      </c>
      <c r="B96" s="112">
        <v>8</v>
      </c>
      <c r="C96" s="112">
        <v>6</v>
      </c>
      <c r="D96" s="112">
        <v>14</v>
      </c>
      <c r="E96" s="112">
        <v>11.21</v>
      </c>
      <c r="F96" s="112">
        <v>3.37</v>
      </c>
      <c r="G96" s="112">
        <v>25.78</v>
      </c>
      <c r="H96" s="112">
        <v>10.96</v>
      </c>
      <c r="I96" s="112">
        <v>5.05</v>
      </c>
      <c r="J96" s="112">
        <v>0.28999999999999998</v>
      </c>
      <c r="K96" s="112">
        <v>70.13</v>
      </c>
      <c r="L96" s="112">
        <v>23.67</v>
      </c>
      <c r="M96" s="112">
        <v>100.05</v>
      </c>
      <c r="N96" s="112">
        <v>2.1</v>
      </c>
      <c r="O96" s="112">
        <v>0.8</v>
      </c>
      <c r="P96" s="112">
        <v>0.41</v>
      </c>
      <c r="Q96" s="112">
        <v>4.5999999999999996</v>
      </c>
    </row>
    <row r="97" spans="1:22" customFormat="1">
      <c r="A97" s="80">
        <v>45540.927083333336</v>
      </c>
      <c r="B97" s="112">
        <v>8</v>
      </c>
      <c r="C97" s="112">
        <v>6</v>
      </c>
      <c r="D97" s="112">
        <v>14</v>
      </c>
      <c r="E97" s="112">
        <v>10.24</v>
      </c>
      <c r="F97" s="112">
        <v>3.85</v>
      </c>
      <c r="G97" s="112">
        <v>25.78</v>
      </c>
      <c r="H97" s="112">
        <v>10.96</v>
      </c>
      <c r="I97" s="112">
        <v>4.9400000000000004</v>
      </c>
      <c r="J97" s="112">
        <v>0.1</v>
      </c>
      <c r="K97" s="112">
        <v>42.57</v>
      </c>
      <c r="L97" s="112">
        <v>23.82</v>
      </c>
      <c r="M97" s="112">
        <v>99.98</v>
      </c>
      <c r="N97" s="112">
        <v>2.1</v>
      </c>
      <c r="O97" s="112">
        <v>0.2</v>
      </c>
      <c r="P97" s="112">
        <v>0.41</v>
      </c>
      <c r="Q97" s="112">
        <v>4.6100000000000003</v>
      </c>
    </row>
    <row r="98" spans="1:22" customFormat="1">
      <c r="A98" s="80">
        <v>45540.9375</v>
      </c>
      <c r="B98" s="112">
        <v>8</v>
      </c>
      <c r="C98" s="112">
        <v>6</v>
      </c>
      <c r="D98" s="112">
        <v>14</v>
      </c>
      <c r="E98" s="112">
        <v>10.56</v>
      </c>
      <c r="F98" s="112">
        <v>3.18</v>
      </c>
      <c r="G98" s="112">
        <v>25.78</v>
      </c>
      <c r="H98" s="112">
        <v>10.96</v>
      </c>
      <c r="I98" s="112">
        <v>4.71</v>
      </c>
      <c r="J98" s="112">
        <v>0.37</v>
      </c>
      <c r="K98" s="112">
        <v>270.68</v>
      </c>
      <c r="L98" s="112">
        <v>23.99</v>
      </c>
      <c r="M98" s="112">
        <v>99.94</v>
      </c>
      <c r="N98" s="112">
        <v>2.2000000000000002</v>
      </c>
      <c r="O98" s="112">
        <v>0</v>
      </c>
      <c r="P98" s="112">
        <v>0.4</v>
      </c>
      <c r="Q98" s="112">
        <v>4.6100000000000003</v>
      </c>
    </row>
    <row r="99" spans="1:22" customFormat="1">
      <c r="A99" s="80">
        <v>45540.947916666664</v>
      </c>
      <c r="B99" s="112">
        <v>8</v>
      </c>
      <c r="C99" s="112">
        <v>6</v>
      </c>
      <c r="D99" s="112">
        <v>14</v>
      </c>
      <c r="E99" s="112">
        <v>10.08</v>
      </c>
      <c r="F99" s="112">
        <v>3.33</v>
      </c>
      <c r="G99" s="112">
        <v>24.69</v>
      </c>
      <c r="H99" s="112">
        <v>10.96</v>
      </c>
      <c r="I99" s="112">
        <v>4.75</v>
      </c>
      <c r="J99" s="112">
        <v>0.27</v>
      </c>
      <c r="K99" s="112">
        <v>301.68</v>
      </c>
      <c r="L99" s="112">
        <v>23.96</v>
      </c>
      <c r="M99" s="112">
        <v>99.89</v>
      </c>
      <c r="N99" s="112">
        <v>2.6</v>
      </c>
      <c r="O99" s="112">
        <v>0</v>
      </c>
      <c r="P99" s="112">
        <v>0.39</v>
      </c>
      <c r="Q99" s="112">
        <v>4.5999999999999996</v>
      </c>
    </row>
    <row r="100" spans="1:22" customFormat="1">
      <c r="A100" s="80">
        <v>45540.958333333336</v>
      </c>
      <c r="B100" s="112">
        <v>8</v>
      </c>
      <c r="C100" s="112">
        <v>6</v>
      </c>
      <c r="D100" s="112">
        <v>14</v>
      </c>
      <c r="E100" s="112">
        <v>9.6</v>
      </c>
      <c r="F100" s="112">
        <v>3.48</v>
      </c>
      <c r="G100" s="112">
        <v>20.86</v>
      </c>
      <c r="H100" s="112">
        <v>10.94</v>
      </c>
      <c r="I100" s="112">
        <v>4.59</v>
      </c>
      <c r="J100" s="112">
        <v>0.18</v>
      </c>
      <c r="K100" s="112">
        <v>266.32</v>
      </c>
      <c r="L100" s="112">
        <v>24.07</v>
      </c>
      <c r="M100" s="112">
        <v>99.73</v>
      </c>
      <c r="N100" s="112">
        <v>2.2000000000000002</v>
      </c>
      <c r="O100" s="112">
        <v>0</v>
      </c>
      <c r="P100" s="112">
        <v>0.37</v>
      </c>
      <c r="Q100" s="112">
        <v>4.6100000000000003</v>
      </c>
    </row>
    <row r="101" spans="1:22" customFormat="1">
      <c r="A101" s="80">
        <v>45540.96875</v>
      </c>
      <c r="B101" s="112">
        <v>8</v>
      </c>
      <c r="C101" s="112">
        <v>6</v>
      </c>
      <c r="D101" s="112">
        <v>14</v>
      </c>
      <c r="E101" s="112">
        <v>9.35</v>
      </c>
      <c r="F101" s="112">
        <v>3.84</v>
      </c>
      <c r="G101" s="112">
        <v>20.86</v>
      </c>
      <c r="H101" s="112">
        <v>10.94</v>
      </c>
      <c r="I101" s="112">
        <v>4.53</v>
      </c>
      <c r="J101" s="112">
        <v>0.1</v>
      </c>
      <c r="K101" s="112">
        <v>39.770000000000003</v>
      </c>
      <c r="L101" s="112">
        <v>24.1</v>
      </c>
      <c r="M101" s="112">
        <v>99.69</v>
      </c>
      <c r="N101" s="112">
        <v>2.2999999999999998</v>
      </c>
      <c r="O101" s="112">
        <v>0.4</v>
      </c>
      <c r="P101" s="112">
        <v>0.38</v>
      </c>
      <c r="Q101" s="112">
        <v>4.5999999999999996</v>
      </c>
    </row>
    <row r="102" spans="1:22" customFormat="1">
      <c r="A102" s="80">
        <v>45540.979166666664</v>
      </c>
      <c r="B102" s="112">
        <v>8</v>
      </c>
      <c r="C102" s="112">
        <v>6</v>
      </c>
      <c r="D102" s="112">
        <v>14</v>
      </c>
      <c r="E102" s="112">
        <v>8.51</v>
      </c>
      <c r="F102" s="112">
        <v>3.9</v>
      </c>
      <c r="G102" s="112">
        <v>20.86</v>
      </c>
      <c r="H102" s="112">
        <v>10.94</v>
      </c>
      <c r="I102" s="112">
        <v>4.29</v>
      </c>
      <c r="J102" s="112">
        <v>0.15</v>
      </c>
      <c r="K102" s="112">
        <v>210.05</v>
      </c>
      <c r="L102" s="112">
        <v>24.2</v>
      </c>
      <c r="M102" s="112">
        <v>99.59</v>
      </c>
      <c r="N102" s="112">
        <v>2.2000000000000002</v>
      </c>
      <c r="O102" s="112">
        <v>0</v>
      </c>
      <c r="P102" s="112">
        <v>0.37</v>
      </c>
      <c r="Q102" s="112">
        <v>4.5999999999999996</v>
      </c>
    </row>
    <row r="103" spans="1:22" customFormat="1">
      <c r="A103" s="80">
        <v>45540.989583333336</v>
      </c>
      <c r="B103" s="112">
        <v>8</v>
      </c>
      <c r="C103" s="112">
        <v>6</v>
      </c>
      <c r="D103" s="112">
        <v>14</v>
      </c>
      <c r="E103" s="112">
        <v>9.32</v>
      </c>
      <c r="F103" s="112">
        <v>4.2699999999999996</v>
      </c>
      <c r="G103" s="112">
        <v>20.350000000000001</v>
      </c>
      <c r="H103" s="112">
        <v>11.58</v>
      </c>
      <c r="I103" s="112">
        <v>4.29</v>
      </c>
      <c r="J103" s="112">
        <v>0.05</v>
      </c>
      <c r="K103" s="112">
        <v>199.5</v>
      </c>
      <c r="L103" s="112">
        <v>24.23</v>
      </c>
      <c r="M103" s="112">
        <v>99.58</v>
      </c>
      <c r="N103" s="112">
        <v>2.1</v>
      </c>
      <c r="O103" s="112">
        <v>0</v>
      </c>
      <c r="P103" s="112">
        <v>0.37</v>
      </c>
      <c r="Q103" s="112">
        <v>4.5999999999999996</v>
      </c>
    </row>
    <row r="104" spans="1:22" customFormat="1">
      <c r="A104" s="80">
        <v>45541</v>
      </c>
      <c r="B104" s="112">
        <v>8</v>
      </c>
      <c r="C104" s="112">
        <v>6</v>
      </c>
      <c r="D104" s="112">
        <v>14</v>
      </c>
      <c r="E104" s="112">
        <v>7.94</v>
      </c>
      <c r="F104" s="112">
        <v>3.16</v>
      </c>
      <c r="G104" s="112">
        <v>18.59</v>
      </c>
      <c r="H104" s="112">
        <v>13.17</v>
      </c>
      <c r="I104" s="112">
        <v>4.29</v>
      </c>
      <c r="J104" s="112">
        <v>0.02</v>
      </c>
      <c r="K104" s="112">
        <v>167.81</v>
      </c>
      <c r="L104" s="112">
        <v>24.34</v>
      </c>
      <c r="M104" s="112">
        <v>99.55</v>
      </c>
      <c r="N104" s="112">
        <v>2.1</v>
      </c>
      <c r="O104" s="112">
        <v>0</v>
      </c>
      <c r="P104" s="112">
        <v>0.38</v>
      </c>
      <c r="Q104" s="112">
        <v>4.5999999999999996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8</v>
      </c>
      <c r="C106" s="183">
        <f>MIN(C9:C104)</f>
        <v>4.03</v>
      </c>
      <c r="D106" s="183">
        <f t="shared" ref="D106:Q106" si="0">MIN(D9:D104)</f>
        <v>14</v>
      </c>
      <c r="E106" s="183">
        <f t="shared" si="0"/>
        <v>7.89</v>
      </c>
      <c r="F106" s="183">
        <f t="shared" si="0"/>
        <v>1</v>
      </c>
      <c r="G106" s="183">
        <f t="shared" si="0"/>
        <v>12.91</v>
      </c>
      <c r="H106" s="183">
        <f t="shared" si="0"/>
        <v>3.6</v>
      </c>
      <c r="I106" s="183">
        <f t="shared" si="0"/>
        <v>2.69</v>
      </c>
      <c r="J106" s="183">
        <f t="shared" si="0"/>
        <v>0.02</v>
      </c>
      <c r="K106" s="183">
        <f t="shared" si="0"/>
        <v>-0.08</v>
      </c>
      <c r="L106" s="183">
        <f t="shared" si="0"/>
        <v>22.72</v>
      </c>
      <c r="M106" s="183">
        <f t="shared" si="0"/>
        <v>66.25</v>
      </c>
      <c r="N106" s="183">
        <f t="shared" si="0"/>
        <v>0.9</v>
      </c>
      <c r="O106" s="183">
        <f t="shared" si="0"/>
        <v>0</v>
      </c>
      <c r="P106" s="183">
        <f t="shared" si="0"/>
        <v>0.32</v>
      </c>
      <c r="Q106" s="183">
        <f t="shared" si="0"/>
        <v>4.28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10.4</v>
      </c>
      <c r="C107" s="184">
        <f t="shared" ref="C107:Q107" si="1">MAX(C9:C104)</f>
        <v>6</v>
      </c>
      <c r="D107" s="184">
        <f t="shared" si="1"/>
        <v>14.77</v>
      </c>
      <c r="E107" s="184">
        <f t="shared" si="1"/>
        <v>16.87</v>
      </c>
      <c r="F107" s="184">
        <f t="shared" si="1"/>
        <v>16.11</v>
      </c>
      <c r="G107" s="184">
        <f t="shared" si="1"/>
        <v>85.94</v>
      </c>
      <c r="H107" s="184">
        <f t="shared" si="1"/>
        <v>29.01</v>
      </c>
      <c r="I107" s="184">
        <f t="shared" si="1"/>
        <v>5.59</v>
      </c>
      <c r="J107" s="184">
        <f t="shared" si="1"/>
        <v>1.82</v>
      </c>
      <c r="K107" s="184">
        <f t="shared" si="1"/>
        <v>317.77</v>
      </c>
      <c r="L107" s="184">
        <f t="shared" si="1"/>
        <v>32.68</v>
      </c>
      <c r="M107" s="184">
        <f t="shared" si="1"/>
        <v>100.06</v>
      </c>
      <c r="N107" s="184">
        <f t="shared" si="1"/>
        <v>472</v>
      </c>
      <c r="O107" s="184">
        <f t="shared" si="1"/>
        <v>23.2</v>
      </c>
      <c r="P107" s="184">
        <f t="shared" si="1"/>
        <v>0.56000000000000005</v>
      </c>
      <c r="Q107" s="184">
        <f t="shared" si="1"/>
        <v>5.0599999999999996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8.6230107526881721</v>
      </c>
      <c r="C108" s="183">
        <f t="shared" ref="C108:Q108" si="2">AVERAGE(C9:C104)</f>
        <v>5.0647311827956996</v>
      </c>
      <c r="D108" s="183">
        <f t="shared" si="2"/>
        <v>14.009354838709676</v>
      </c>
      <c r="E108" s="183">
        <f t="shared" si="2"/>
        <v>10.379130434782613</v>
      </c>
      <c r="F108" s="183">
        <f t="shared" si="2"/>
        <v>5.7492553191489355</v>
      </c>
      <c r="G108" s="183">
        <f t="shared" si="2"/>
        <v>30.605319148936182</v>
      </c>
      <c r="H108" s="183">
        <f t="shared" si="2"/>
        <v>11.013191489361702</v>
      </c>
      <c r="I108" s="183">
        <f t="shared" si="2"/>
        <v>4.7416304347826079</v>
      </c>
      <c r="J108" s="183">
        <f t="shared" si="2"/>
        <v>0.27234042553191495</v>
      </c>
      <c r="K108" s="183">
        <f t="shared" si="2"/>
        <v>200.64553191489355</v>
      </c>
      <c r="L108" s="183">
        <f t="shared" si="2"/>
        <v>27.296914893617021</v>
      </c>
      <c r="M108" s="183">
        <f t="shared" si="2"/>
        <v>90.300106382978697</v>
      </c>
      <c r="N108" s="183">
        <f t="shared" si="2"/>
        <v>82.172340425531928</v>
      </c>
      <c r="O108" s="183">
        <f t="shared" si="2"/>
        <v>0.68085106382978711</v>
      </c>
      <c r="P108" s="183">
        <f t="shared" si="2"/>
        <v>0.41968085106382969</v>
      </c>
      <c r="Q108" s="183">
        <f t="shared" si="2"/>
        <v>4.8130434782608713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0.64672718686549147</v>
      </c>
      <c r="C109" s="183">
        <f t="shared" ref="C109:Q109" si="3">STDEV(C9:C104)</f>
        <v>0.95514464121801135</v>
      </c>
      <c r="D109" s="183">
        <f t="shared" si="3"/>
        <v>7.9997370223256314E-2</v>
      </c>
      <c r="E109" s="183">
        <f t="shared" si="3"/>
        <v>1.9374875628674144</v>
      </c>
      <c r="F109" s="183">
        <f t="shared" si="3"/>
        <v>3.230169688063012</v>
      </c>
      <c r="G109" s="183">
        <f t="shared" si="3"/>
        <v>14.893269873720042</v>
      </c>
      <c r="H109" s="183">
        <f t="shared" si="3"/>
        <v>5.2526677733444327</v>
      </c>
      <c r="I109" s="183">
        <f t="shared" si="3"/>
        <v>0.47860437485985435</v>
      </c>
      <c r="J109" s="183">
        <f t="shared" si="3"/>
        <v>0.27651605771846421</v>
      </c>
      <c r="K109" s="183">
        <f t="shared" si="3"/>
        <v>82.497786267034883</v>
      </c>
      <c r="L109" s="183">
        <f t="shared" si="3"/>
        <v>2.4370240209527223</v>
      </c>
      <c r="M109" s="183">
        <f t="shared" si="3"/>
        <v>9.1187825180900735</v>
      </c>
      <c r="N109" s="183">
        <f t="shared" si="3"/>
        <v>122.44133148912219</v>
      </c>
      <c r="O109" s="183">
        <f t="shared" si="3"/>
        <v>3.1096546361411463</v>
      </c>
      <c r="P109" s="183">
        <f t="shared" si="3"/>
        <v>5.7929362392703576E-2</v>
      </c>
      <c r="Q109" s="183">
        <f t="shared" si="3"/>
        <v>0.2244198338496452</v>
      </c>
      <c r="R109" s="187"/>
      <c r="S109" s="187"/>
      <c r="T109" s="187"/>
      <c r="U109" s="187"/>
    </row>
    <row r="110" spans="1:22">
      <c r="A110" s="182" t="s">
        <v>52</v>
      </c>
      <c r="B110" s="184">
        <v>96</v>
      </c>
      <c r="C110" s="184">
        <v>96</v>
      </c>
      <c r="D110" s="184">
        <v>96</v>
      </c>
      <c r="E110" s="184">
        <v>96</v>
      </c>
      <c r="F110" s="184">
        <v>96</v>
      </c>
      <c r="G110" s="184">
        <v>96</v>
      </c>
      <c r="H110" s="184">
        <v>96</v>
      </c>
      <c r="I110" s="184">
        <v>96</v>
      </c>
      <c r="J110" s="184">
        <v>96</v>
      </c>
      <c r="K110" s="184">
        <v>96</v>
      </c>
      <c r="L110" s="184">
        <v>96</v>
      </c>
      <c r="M110" s="184">
        <v>96</v>
      </c>
      <c r="N110" s="184">
        <v>96</v>
      </c>
      <c r="O110" s="184">
        <v>96</v>
      </c>
      <c r="P110" s="184">
        <v>96</v>
      </c>
      <c r="Q110" s="184"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4">IF(C110&gt;=87,"&gt;90%",IF(C110&lt;=87,"&lt;90%"))</f>
        <v>&gt;90%</v>
      </c>
      <c r="D111" s="147" t="str">
        <f t="shared" si="4"/>
        <v>&gt;90%</v>
      </c>
      <c r="E111" s="147" t="str">
        <f t="shared" si="4"/>
        <v>&gt;90%</v>
      </c>
      <c r="F111" s="147" t="str">
        <f t="shared" si="4"/>
        <v>&gt;90%</v>
      </c>
      <c r="G111" s="147" t="str">
        <f t="shared" si="4"/>
        <v>&gt;90%</v>
      </c>
      <c r="H111" s="147" t="str">
        <f t="shared" si="4"/>
        <v>&gt;90%</v>
      </c>
      <c r="I111" s="147" t="str">
        <f t="shared" si="4"/>
        <v>&gt;90%</v>
      </c>
      <c r="J111" s="147" t="str">
        <f t="shared" si="4"/>
        <v>&gt;90%</v>
      </c>
      <c r="K111" s="147" t="str">
        <f t="shared" si="4"/>
        <v>&gt;90%</v>
      </c>
      <c r="L111" s="147" t="str">
        <f t="shared" si="4"/>
        <v>&gt;90%</v>
      </c>
      <c r="M111" s="147" t="str">
        <f t="shared" si="4"/>
        <v>&gt;90%</v>
      </c>
      <c r="N111" s="147" t="str">
        <f t="shared" si="4"/>
        <v>&gt;90%</v>
      </c>
      <c r="O111" s="147" t="str">
        <f t="shared" si="4"/>
        <v>&gt;90%</v>
      </c>
      <c r="P111" s="147" t="str">
        <f t="shared" si="4"/>
        <v>&gt;90%</v>
      </c>
      <c r="Q111" s="147" t="str">
        <f t="shared" si="4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5">IF(C110&gt;=87,"OK",IF(C110&lt;=87,"LESS"))</f>
        <v>OK</v>
      </c>
      <c r="D112" s="147" t="str">
        <f t="shared" si="5"/>
        <v>OK</v>
      </c>
      <c r="E112" s="147" t="str">
        <f t="shared" si="5"/>
        <v>OK</v>
      </c>
      <c r="F112" s="147" t="str">
        <f t="shared" si="5"/>
        <v>OK</v>
      </c>
      <c r="G112" s="147" t="str">
        <f t="shared" si="5"/>
        <v>OK</v>
      </c>
      <c r="H112" s="147" t="str">
        <f t="shared" si="5"/>
        <v>OK</v>
      </c>
      <c r="I112" s="147" t="str">
        <f t="shared" si="5"/>
        <v>OK</v>
      </c>
      <c r="J112" s="147" t="str">
        <f t="shared" si="5"/>
        <v>OK</v>
      </c>
      <c r="K112" s="147" t="str">
        <f t="shared" si="5"/>
        <v>OK</v>
      </c>
      <c r="L112" s="147" t="str">
        <f t="shared" si="5"/>
        <v>OK</v>
      </c>
      <c r="M112" s="147" t="str">
        <f t="shared" si="5"/>
        <v>OK</v>
      </c>
      <c r="N112" s="147" t="str">
        <f t="shared" si="5"/>
        <v>OK</v>
      </c>
      <c r="O112" s="147" t="str">
        <f t="shared" si="5"/>
        <v>OK</v>
      </c>
      <c r="P112" s="147" t="str">
        <f t="shared" si="5"/>
        <v>OK</v>
      </c>
      <c r="Q112" s="147" t="str">
        <f t="shared" si="5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8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45541.010416666664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45541.010416666664</v>
      </c>
      <c r="B9" s="112">
        <v>9.26</v>
      </c>
      <c r="C9" s="112">
        <v>4.08</v>
      </c>
      <c r="D9" s="112">
        <v>14.01</v>
      </c>
      <c r="E9" s="112">
        <v>8.75</v>
      </c>
      <c r="F9" s="112">
        <v>2.27</v>
      </c>
      <c r="G9" s="112">
        <v>18.59</v>
      </c>
      <c r="H9" s="112">
        <v>13.17</v>
      </c>
      <c r="I9" s="112">
        <v>4.37</v>
      </c>
      <c r="J9" s="112">
        <v>0.18</v>
      </c>
      <c r="K9" s="112">
        <v>158.51</v>
      </c>
      <c r="L9" s="112">
        <v>24.41</v>
      </c>
      <c r="M9" s="112">
        <v>99.56</v>
      </c>
      <c r="N9" s="112">
        <v>2.2999999999999998</v>
      </c>
      <c r="O9" s="112">
        <v>0</v>
      </c>
      <c r="P9" s="112">
        <v>0.37</v>
      </c>
      <c r="Q9" s="112">
        <v>4.6100000000000003</v>
      </c>
    </row>
    <row r="10" spans="1:21" customFormat="1">
      <c r="A10" s="80">
        <v>45541.020833333336</v>
      </c>
      <c r="B10" s="112">
        <v>9.3000000000000007</v>
      </c>
      <c r="C10" s="112">
        <v>4.07</v>
      </c>
      <c r="D10" s="112">
        <v>14.03</v>
      </c>
      <c r="E10" s="112">
        <v>8.27</v>
      </c>
      <c r="F10" s="112">
        <v>6.13</v>
      </c>
      <c r="G10" s="112">
        <v>18.59</v>
      </c>
      <c r="H10" s="112">
        <v>13.17</v>
      </c>
      <c r="I10" s="112">
        <v>4.4800000000000004</v>
      </c>
      <c r="J10" s="112">
        <v>0.11</v>
      </c>
      <c r="K10" s="112">
        <v>88.05</v>
      </c>
      <c r="L10" s="112">
        <v>24.24</v>
      </c>
      <c r="M10" s="112">
        <v>99.57</v>
      </c>
      <c r="N10" s="112">
        <v>2.4</v>
      </c>
      <c r="O10" s="112">
        <v>0</v>
      </c>
      <c r="P10" s="112">
        <v>0.33</v>
      </c>
      <c r="Q10" s="112">
        <v>4.6100000000000003</v>
      </c>
    </row>
    <row r="11" spans="1:21" customFormat="1">
      <c r="A11" s="80">
        <v>45541.03125</v>
      </c>
      <c r="B11" s="112">
        <v>9.2799999999999994</v>
      </c>
      <c r="C11" s="112">
        <v>4.08</v>
      </c>
      <c r="D11" s="112">
        <v>14.02</v>
      </c>
      <c r="E11" s="112">
        <v>8.43</v>
      </c>
      <c r="F11" s="112">
        <v>6.28</v>
      </c>
      <c r="G11" s="112">
        <v>19.82</v>
      </c>
      <c r="H11" s="112">
        <v>12.15</v>
      </c>
      <c r="I11" s="112">
        <v>4.53</v>
      </c>
      <c r="J11" s="112">
        <v>0.11</v>
      </c>
      <c r="K11" s="112">
        <v>276.13</v>
      </c>
      <c r="L11" s="112">
        <v>24.25</v>
      </c>
      <c r="M11" s="112">
        <v>99.55</v>
      </c>
      <c r="N11" s="112">
        <v>2.2000000000000002</v>
      </c>
      <c r="O11" s="112">
        <v>0</v>
      </c>
      <c r="P11" s="112">
        <v>0.34</v>
      </c>
      <c r="Q11" s="112">
        <v>4.6100000000000003</v>
      </c>
    </row>
    <row r="12" spans="1:21" customFormat="1">
      <c r="A12" s="80">
        <v>45541.041666666664</v>
      </c>
      <c r="B12" s="112">
        <v>9.2899999999999991</v>
      </c>
      <c r="C12" s="112">
        <v>4.08</v>
      </c>
      <c r="D12" s="112">
        <v>14.03</v>
      </c>
      <c r="E12" s="112">
        <v>8.61</v>
      </c>
      <c r="F12" s="112">
        <v>4.26</v>
      </c>
      <c r="G12" s="112">
        <v>24.12</v>
      </c>
      <c r="H12" s="112">
        <v>9.6</v>
      </c>
      <c r="I12" s="112">
        <v>4.08</v>
      </c>
      <c r="J12" s="112">
        <v>0.1</v>
      </c>
      <c r="K12" s="112">
        <v>189.01</v>
      </c>
      <c r="L12" s="112">
        <v>24.3</v>
      </c>
      <c r="M12" s="112">
        <v>99.53</v>
      </c>
      <c r="N12" s="112">
        <v>2.2000000000000002</v>
      </c>
      <c r="O12" s="112">
        <v>0</v>
      </c>
      <c r="P12" s="112">
        <v>0.35</v>
      </c>
      <c r="Q12" s="112">
        <v>4.6100000000000003</v>
      </c>
    </row>
    <row r="13" spans="1:21" customFormat="1">
      <c r="A13" s="80">
        <v>45541.052083333336</v>
      </c>
      <c r="B13" s="112">
        <v>9.2799999999999994</v>
      </c>
      <c r="C13" s="112">
        <v>4.07</v>
      </c>
      <c r="D13" s="112">
        <v>14.02</v>
      </c>
      <c r="E13" s="112">
        <v>8.6199999999999992</v>
      </c>
      <c r="F13" s="112">
        <v>4.13</v>
      </c>
      <c r="G13" s="112">
        <v>24.12</v>
      </c>
      <c r="H13" s="112">
        <v>9.6</v>
      </c>
      <c r="I13" s="112">
        <v>4.09</v>
      </c>
      <c r="J13" s="112">
        <v>0.12</v>
      </c>
      <c r="K13" s="112">
        <v>147.29</v>
      </c>
      <c r="L13" s="112">
        <v>24.31</v>
      </c>
      <c r="M13" s="112">
        <v>99.53</v>
      </c>
      <c r="N13" s="112">
        <v>2.2000000000000002</v>
      </c>
      <c r="O13" s="112">
        <v>0</v>
      </c>
      <c r="P13" s="112">
        <v>0.36</v>
      </c>
      <c r="Q13" s="112">
        <v>4.5999999999999996</v>
      </c>
    </row>
    <row r="14" spans="1:21" customFormat="1">
      <c r="A14" s="80">
        <v>45541.0625</v>
      </c>
      <c r="B14" s="112">
        <v>9.2799999999999994</v>
      </c>
      <c r="C14" s="112">
        <v>4.05</v>
      </c>
      <c r="D14" s="112">
        <v>14.01</v>
      </c>
      <c r="E14" s="112">
        <v>9.1</v>
      </c>
      <c r="F14" s="112">
        <v>3.95</v>
      </c>
      <c r="G14" s="112">
        <v>24.12</v>
      </c>
      <c r="H14" s="112">
        <v>9.6</v>
      </c>
      <c r="I14" s="112">
        <v>4.1399999999999997</v>
      </c>
      <c r="J14" s="112">
        <v>0.06</v>
      </c>
      <c r="K14" s="112">
        <v>178.75</v>
      </c>
      <c r="L14" s="112">
        <v>24.19</v>
      </c>
      <c r="M14" s="112">
        <v>99.53</v>
      </c>
      <c r="N14" s="112">
        <v>2.5</v>
      </c>
      <c r="O14" s="112">
        <v>0</v>
      </c>
      <c r="P14" s="112">
        <v>0.37</v>
      </c>
      <c r="Q14" s="112">
        <v>4.5999999999999996</v>
      </c>
    </row>
    <row r="15" spans="1:21" customFormat="1">
      <c r="A15" s="80">
        <v>45541.072916666664</v>
      </c>
      <c r="B15" s="112">
        <v>9.2799999999999994</v>
      </c>
      <c r="C15" s="112">
        <v>4.08</v>
      </c>
      <c r="D15" s="112">
        <v>14.02</v>
      </c>
      <c r="E15" s="112">
        <v>9.44</v>
      </c>
      <c r="F15" s="112">
        <v>4.97</v>
      </c>
      <c r="G15" s="112">
        <v>22.69</v>
      </c>
      <c r="H15" s="112">
        <v>9.73</v>
      </c>
      <c r="I15" s="112">
        <v>4.12</v>
      </c>
      <c r="J15" s="112">
        <v>0.11</v>
      </c>
      <c r="K15" s="112">
        <v>112.16</v>
      </c>
      <c r="L15" s="112">
        <v>24.23</v>
      </c>
      <c r="M15" s="112">
        <v>99.53</v>
      </c>
      <c r="N15" s="112">
        <v>2.2000000000000002</v>
      </c>
      <c r="O15" s="112">
        <v>0</v>
      </c>
      <c r="P15" s="112">
        <v>0.35</v>
      </c>
      <c r="Q15" s="112">
        <v>4.6100000000000003</v>
      </c>
    </row>
    <row r="16" spans="1:21" customFormat="1">
      <c r="A16" s="80">
        <v>45541.083333333336</v>
      </c>
      <c r="B16" s="112">
        <v>9.27</v>
      </c>
      <c r="C16" s="112">
        <v>4.07</v>
      </c>
      <c r="D16" s="112">
        <v>14.01</v>
      </c>
      <c r="E16" s="112">
        <v>9.64</v>
      </c>
      <c r="F16" s="112">
        <v>3.53</v>
      </c>
      <c r="G16" s="112">
        <v>17.66</v>
      </c>
      <c r="H16" s="112">
        <v>10.050000000000001</v>
      </c>
      <c r="I16" s="112">
        <v>4.16</v>
      </c>
      <c r="J16" s="112">
        <v>0.1</v>
      </c>
      <c r="K16" s="112">
        <v>234.15</v>
      </c>
      <c r="L16" s="112">
        <v>24.25</v>
      </c>
      <c r="M16" s="112">
        <v>99.53</v>
      </c>
      <c r="N16" s="112">
        <v>2.1</v>
      </c>
      <c r="O16" s="112">
        <v>0</v>
      </c>
      <c r="P16" s="112">
        <v>0.38</v>
      </c>
      <c r="Q16" s="112">
        <v>4.5999999999999996</v>
      </c>
    </row>
    <row r="17" spans="1:17" customFormat="1">
      <c r="A17" s="80">
        <v>45541.09375</v>
      </c>
      <c r="B17" s="112">
        <v>9.27</v>
      </c>
      <c r="C17" s="112">
        <v>4.07</v>
      </c>
      <c r="D17" s="112">
        <v>14.01</v>
      </c>
      <c r="E17" s="112">
        <v>8.1</v>
      </c>
      <c r="F17" s="112">
        <v>3.92</v>
      </c>
      <c r="G17" s="112">
        <v>17.66</v>
      </c>
      <c r="H17" s="112">
        <v>10.050000000000001</v>
      </c>
      <c r="I17" s="112">
        <v>3.99</v>
      </c>
      <c r="J17" s="112">
        <v>0.15</v>
      </c>
      <c r="K17" s="112">
        <v>174.61</v>
      </c>
      <c r="L17" s="112">
        <v>24.35</v>
      </c>
      <c r="M17" s="112">
        <v>99.53</v>
      </c>
      <c r="N17" s="112">
        <v>2.2999999999999998</v>
      </c>
      <c r="O17" s="112">
        <v>0</v>
      </c>
      <c r="P17" s="112">
        <v>0.39</v>
      </c>
      <c r="Q17" s="112">
        <v>4.5999999999999996</v>
      </c>
    </row>
    <row r="18" spans="1:17" customFormat="1">
      <c r="A18" s="80">
        <v>45541.104166666664</v>
      </c>
      <c r="B18" s="112">
        <v>9.3000000000000007</v>
      </c>
      <c r="C18" s="112">
        <v>4.05</v>
      </c>
      <c r="D18" s="112">
        <v>14.02</v>
      </c>
      <c r="E18" s="112">
        <v>9.34</v>
      </c>
      <c r="F18" s="112">
        <v>4.08</v>
      </c>
      <c r="G18" s="112">
        <v>17.66</v>
      </c>
      <c r="H18" s="112">
        <v>10.050000000000001</v>
      </c>
      <c r="I18" s="112">
        <v>4.16</v>
      </c>
      <c r="J18" s="112">
        <v>0.16</v>
      </c>
      <c r="K18" s="112">
        <v>88.76</v>
      </c>
      <c r="L18" s="112">
        <v>24.34</v>
      </c>
      <c r="M18" s="112">
        <v>99.53</v>
      </c>
      <c r="N18" s="112">
        <v>2.2000000000000002</v>
      </c>
      <c r="O18" s="112">
        <v>0</v>
      </c>
      <c r="P18" s="112">
        <v>0.4</v>
      </c>
      <c r="Q18" s="112">
        <v>4.5999999999999996</v>
      </c>
    </row>
    <row r="19" spans="1:17" customFormat="1">
      <c r="A19" s="80">
        <v>45541.114583333336</v>
      </c>
      <c r="B19" s="112">
        <v>9.27</v>
      </c>
      <c r="C19" s="112">
        <v>4.08</v>
      </c>
      <c r="D19" s="112">
        <v>14.02</v>
      </c>
      <c r="E19" s="112">
        <v>9.64</v>
      </c>
      <c r="F19" s="112">
        <v>2.95</v>
      </c>
      <c r="G19" s="112">
        <v>17.48</v>
      </c>
      <c r="H19" s="112">
        <v>9.65</v>
      </c>
      <c r="I19" s="112">
        <v>4.08</v>
      </c>
      <c r="J19" s="112">
        <v>0.18</v>
      </c>
      <c r="K19" s="112">
        <v>118.32</v>
      </c>
      <c r="L19" s="112">
        <v>24.4</v>
      </c>
      <c r="M19" s="112">
        <v>99.53</v>
      </c>
      <c r="N19" s="112">
        <v>2.1</v>
      </c>
      <c r="O19" s="112">
        <v>0</v>
      </c>
      <c r="P19" s="112">
        <v>0.41</v>
      </c>
      <c r="Q19" s="112">
        <v>4.6100000000000003</v>
      </c>
    </row>
    <row r="20" spans="1:17" customFormat="1">
      <c r="A20" s="80">
        <v>45541.125</v>
      </c>
      <c r="B20" s="112">
        <v>9.27</v>
      </c>
      <c r="C20" s="112">
        <v>4.08</v>
      </c>
      <c r="D20" s="112">
        <v>14.02</v>
      </c>
      <c r="E20" s="112">
        <v>9.6</v>
      </c>
      <c r="F20" s="112">
        <v>3.2</v>
      </c>
      <c r="G20" s="112">
        <v>16.84</v>
      </c>
      <c r="H20" s="112">
        <v>7.76</v>
      </c>
      <c r="I20" s="112">
        <v>4.07</v>
      </c>
      <c r="J20" s="112">
        <v>0.11</v>
      </c>
      <c r="K20" s="112">
        <v>162.33000000000001</v>
      </c>
      <c r="L20" s="112">
        <v>24.39</v>
      </c>
      <c r="M20" s="112">
        <v>99.54</v>
      </c>
      <c r="N20" s="112">
        <v>2.2999999999999998</v>
      </c>
      <c r="O20" s="112">
        <v>0</v>
      </c>
      <c r="P20" s="112">
        <v>0.39</v>
      </c>
      <c r="Q20" s="112">
        <v>4.62</v>
      </c>
    </row>
    <row r="21" spans="1:17" customFormat="1">
      <c r="A21" s="80">
        <v>45541.135416666664</v>
      </c>
      <c r="B21" s="112">
        <v>9.27</v>
      </c>
      <c r="C21" s="112">
        <v>4.07</v>
      </c>
      <c r="D21" s="112">
        <v>14.02</v>
      </c>
      <c r="E21" s="112">
        <v>9.9</v>
      </c>
      <c r="F21" s="112">
        <v>3.29</v>
      </c>
      <c r="G21" s="112">
        <v>16.84</v>
      </c>
      <c r="H21" s="112">
        <v>7.76</v>
      </c>
      <c r="I21" s="112">
        <v>3.99</v>
      </c>
      <c r="J21" s="112">
        <v>0.06</v>
      </c>
      <c r="K21" s="112">
        <v>113.49</v>
      </c>
      <c r="L21" s="112">
        <v>24.35</v>
      </c>
      <c r="M21" s="112">
        <v>99.55</v>
      </c>
      <c r="N21" s="112">
        <v>2.2000000000000002</v>
      </c>
      <c r="O21" s="112">
        <v>0</v>
      </c>
      <c r="P21" s="112">
        <v>0.39</v>
      </c>
      <c r="Q21" s="112">
        <v>4.5999999999999996</v>
      </c>
    </row>
    <row r="22" spans="1:17" customFormat="1">
      <c r="A22" s="80">
        <v>45541.145833333336</v>
      </c>
      <c r="B22" s="112">
        <v>9.2799999999999994</v>
      </c>
      <c r="C22" s="112">
        <v>4.08</v>
      </c>
      <c r="D22" s="112">
        <v>14.03</v>
      </c>
      <c r="E22" s="112">
        <v>10.09</v>
      </c>
      <c r="F22" s="112">
        <v>2.48</v>
      </c>
      <c r="G22" s="112">
        <v>16.84</v>
      </c>
      <c r="H22" s="112">
        <v>7.76</v>
      </c>
      <c r="I22" s="112">
        <v>3.94</v>
      </c>
      <c r="J22" s="112">
        <v>0.11</v>
      </c>
      <c r="K22" s="112">
        <v>87.63</v>
      </c>
      <c r="L22" s="112">
        <v>24.28</v>
      </c>
      <c r="M22" s="112">
        <v>99.53</v>
      </c>
      <c r="N22" s="112">
        <v>2.6</v>
      </c>
      <c r="O22" s="112">
        <v>0</v>
      </c>
      <c r="P22" s="112">
        <v>0.39</v>
      </c>
      <c r="Q22" s="112">
        <v>4.5999999999999996</v>
      </c>
    </row>
    <row r="23" spans="1:17" customFormat="1">
      <c r="A23" s="80">
        <v>45541.15625</v>
      </c>
      <c r="B23" s="112">
        <v>9.2899999999999991</v>
      </c>
      <c r="C23" s="112">
        <v>4.07</v>
      </c>
      <c r="D23" s="112">
        <v>14.03</v>
      </c>
      <c r="E23" s="112">
        <v>9.6300000000000008</v>
      </c>
      <c r="F23" s="112">
        <v>2.5099999999999998</v>
      </c>
      <c r="G23" s="112">
        <v>16.13</v>
      </c>
      <c r="H23" s="112">
        <v>7.25</v>
      </c>
      <c r="I23" s="112">
        <v>4</v>
      </c>
      <c r="J23" s="112">
        <v>0.05</v>
      </c>
      <c r="K23" s="112">
        <v>169.17</v>
      </c>
      <c r="L23" s="112">
        <v>24.14</v>
      </c>
      <c r="M23" s="112">
        <v>99.53</v>
      </c>
      <c r="N23" s="112">
        <v>2.4</v>
      </c>
      <c r="O23" s="112">
        <v>0</v>
      </c>
      <c r="P23" s="112">
        <v>0.39</v>
      </c>
      <c r="Q23" s="112">
        <v>4.5999999999999996</v>
      </c>
    </row>
    <row r="24" spans="1:17" customFormat="1">
      <c r="A24" s="80">
        <v>45541.166666666664</v>
      </c>
      <c r="B24" s="112">
        <v>9.2899999999999991</v>
      </c>
      <c r="C24" s="112">
        <v>4.08</v>
      </c>
      <c r="D24" s="112">
        <v>14.03</v>
      </c>
      <c r="E24" s="112">
        <v>9.66</v>
      </c>
      <c r="F24" s="112">
        <v>3.22</v>
      </c>
      <c r="G24" s="112">
        <v>13.47</v>
      </c>
      <c r="H24" s="112">
        <v>6</v>
      </c>
      <c r="I24" s="112">
        <v>3.96</v>
      </c>
      <c r="J24" s="112">
        <v>0.12</v>
      </c>
      <c r="K24" s="112">
        <v>199.13</v>
      </c>
      <c r="L24" s="112">
        <v>24.17</v>
      </c>
      <c r="M24" s="112">
        <v>99.53</v>
      </c>
      <c r="N24" s="112">
        <v>2.2999999999999998</v>
      </c>
      <c r="O24" s="112">
        <v>0</v>
      </c>
      <c r="P24" s="112">
        <v>0.4</v>
      </c>
      <c r="Q24" s="112">
        <v>4.5999999999999996</v>
      </c>
    </row>
    <row r="25" spans="1:17" customFormat="1">
      <c r="A25" s="80">
        <v>45541.177083333336</v>
      </c>
      <c r="B25" s="112">
        <v>9.2799999999999994</v>
      </c>
      <c r="C25" s="112">
        <v>4.07</v>
      </c>
      <c r="D25" s="112">
        <v>14.02</v>
      </c>
      <c r="E25" s="112">
        <v>10.4</v>
      </c>
      <c r="F25" s="112">
        <v>2.62</v>
      </c>
      <c r="G25" s="112">
        <v>13.47</v>
      </c>
      <c r="H25" s="112">
        <v>6</v>
      </c>
      <c r="I25" s="112">
        <v>3.92</v>
      </c>
      <c r="J25" s="112">
        <v>0.12</v>
      </c>
      <c r="K25" s="112">
        <v>232.1</v>
      </c>
      <c r="L25" s="112">
        <v>24.16</v>
      </c>
      <c r="M25" s="112">
        <v>99.53</v>
      </c>
      <c r="N25" s="112">
        <v>2.2999999999999998</v>
      </c>
      <c r="O25" s="112">
        <v>0</v>
      </c>
      <c r="P25" s="112">
        <v>0.39</v>
      </c>
      <c r="Q25" s="112">
        <v>4.5999999999999996</v>
      </c>
    </row>
    <row r="26" spans="1:17" customFormat="1">
      <c r="A26" s="80">
        <v>45541.1875</v>
      </c>
      <c r="B26" s="112">
        <v>9.2799999999999994</v>
      </c>
      <c r="C26" s="112">
        <v>4.07</v>
      </c>
      <c r="D26" s="112">
        <v>14.01</v>
      </c>
      <c r="E26" s="112">
        <v>10.85</v>
      </c>
      <c r="F26" s="112">
        <v>2.2799999999999998</v>
      </c>
      <c r="G26" s="112">
        <v>13.47</v>
      </c>
      <c r="H26" s="112">
        <v>6</v>
      </c>
      <c r="I26" s="112">
        <v>3.89</v>
      </c>
      <c r="J26" s="112">
        <v>0.06</v>
      </c>
      <c r="K26" s="112">
        <v>212.67</v>
      </c>
      <c r="L26" s="112">
        <v>24.21</v>
      </c>
      <c r="M26" s="112">
        <v>99.53</v>
      </c>
      <c r="N26" s="112">
        <v>2.2999999999999998</v>
      </c>
      <c r="O26" s="112">
        <v>0</v>
      </c>
      <c r="P26" s="112">
        <v>0.39</v>
      </c>
      <c r="Q26" s="112">
        <v>4.6100000000000003</v>
      </c>
    </row>
    <row r="27" spans="1:17" customFormat="1">
      <c r="A27" s="80">
        <v>45541.197916666664</v>
      </c>
      <c r="B27" s="112">
        <v>9.2799999999999994</v>
      </c>
      <c r="C27" s="112">
        <v>4.0599999999999996</v>
      </c>
      <c r="D27" s="112">
        <v>14.01</v>
      </c>
      <c r="E27" s="112">
        <v>10.44</v>
      </c>
      <c r="F27" s="112">
        <v>2.16</v>
      </c>
      <c r="G27" s="112">
        <v>13.61</v>
      </c>
      <c r="H27" s="112">
        <v>5.61</v>
      </c>
      <c r="I27" s="112">
        <v>3.89</v>
      </c>
      <c r="J27" s="112">
        <v>0.06</v>
      </c>
      <c r="K27" s="112">
        <v>166.31</v>
      </c>
      <c r="L27" s="112">
        <v>24.28</v>
      </c>
      <c r="M27" s="112">
        <v>99.53</v>
      </c>
      <c r="N27" s="112">
        <v>2.5</v>
      </c>
      <c r="O27" s="112">
        <v>0</v>
      </c>
      <c r="P27" s="112">
        <v>0.38</v>
      </c>
      <c r="Q27" s="112">
        <v>4.62</v>
      </c>
    </row>
    <row r="28" spans="1:17" customFormat="1">
      <c r="A28" s="80">
        <v>45541.208333333336</v>
      </c>
      <c r="B28" s="112">
        <v>9.2799999999999994</v>
      </c>
      <c r="C28" s="112">
        <v>4.05</v>
      </c>
      <c r="D28" s="112">
        <v>14</v>
      </c>
      <c r="E28" s="112">
        <v>10.78</v>
      </c>
      <c r="F28" s="112">
        <v>2.12</v>
      </c>
      <c r="G28" s="112">
        <v>14.1</v>
      </c>
      <c r="H28" s="112">
        <v>4.6500000000000004</v>
      </c>
      <c r="I28" s="112">
        <v>3.84</v>
      </c>
      <c r="J28" s="112">
        <v>0.12</v>
      </c>
      <c r="K28" s="112">
        <v>204.15</v>
      </c>
      <c r="L28" s="112">
        <v>24.19</v>
      </c>
      <c r="M28" s="112">
        <v>99.53</v>
      </c>
      <c r="N28" s="112">
        <v>2.8</v>
      </c>
      <c r="O28" s="112">
        <v>0</v>
      </c>
      <c r="P28" s="112">
        <v>0.38</v>
      </c>
      <c r="Q28" s="112">
        <v>4.62</v>
      </c>
    </row>
    <row r="29" spans="1:17" customFormat="1">
      <c r="A29" s="80">
        <v>45541.21875</v>
      </c>
      <c r="B29" s="112">
        <v>9.26</v>
      </c>
      <c r="C29" s="112">
        <v>4.08</v>
      </c>
      <c r="D29" s="112">
        <v>14</v>
      </c>
      <c r="E29" s="112">
        <v>11.03</v>
      </c>
      <c r="F29" s="112">
        <v>1.79</v>
      </c>
      <c r="G29" s="112">
        <v>14.1</v>
      </c>
      <c r="H29" s="112">
        <v>4.6500000000000004</v>
      </c>
      <c r="I29" s="112">
        <v>3.75</v>
      </c>
      <c r="J29" s="112">
        <v>0.11</v>
      </c>
      <c r="K29" s="112">
        <v>227.35</v>
      </c>
      <c r="L29" s="112">
        <v>24.23</v>
      </c>
      <c r="M29" s="112">
        <v>99.56</v>
      </c>
      <c r="N29" s="112">
        <v>2.4</v>
      </c>
      <c r="O29" s="112">
        <v>0</v>
      </c>
      <c r="P29" s="112">
        <v>0.37</v>
      </c>
      <c r="Q29" s="112">
        <v>4.62</v>
      </c>
    </row>
    <row r="30" spans="1:17" customFormat="1">
      <c r="A30" s="80">
        <v>45541.229166666664</v>
      </c>
      <c r="B30" s="112">
        <v>9.27</v>
      </c>
      <c r="C30" s="112">
        <v>4.0599999999999996</v>
      </c>
      <c r="D30" s="112">
        <v>14</v>
      </c>
      <c r="E30" s="112">
        <v>11.08</v>
      </c>
      <c r="F30" s="112">
        <v>1.69</v>
      </c>
      <c r="G30" s="112">
        <v>14.1</v>
      </c>
      <c r="H30" s="112">
        <v>4.6500000000000004</v>
      </c>
      <c r="I30" s="112">
        <v>3.79</v>
      </c>
      <c r="J30" s="112">
        <v>0.04</v>
      </c>
      <c r="K30" s="112">
        <v>210.05</v>
      </c>
      <c r="L30" s="112">
        <v>24.29</v>
      </c>
      <c r="M30" s="112">
        <v>99.62</v>
      </c>
      <c r="N30" s="112">
        <v>2.5</v>
      </c>
      <c r="O30" s="112">
        <v>0</v>
      </c>
      <c r="P30" s="112">
        <v>0.37</v>
      </c>
      <c r="Q30" s="112">
        <v>4.5999999999999996</v>
      </c>
    </row>
    <row r="31" spans="1:17" customFormat="1">
      <c r="A31" s="80">
        <v>45541.239583333336</v>
      </c>
      <c r="B31" s="112">
        <v>9.27</v>
      </c>
      <c r="C31" s="112">
        <v>4.05</v>
      </c>
      <c r="D31" s="112">
        <v>14</v>
      </c>
      <c r="E31" s="112">
        <v>11.5</v>
      </c>
      <c r="F31" s="112">
        <v>1.82</v>
      </c>
      <c r="G31" s="112">
        <v>14.05</v>
      </c>
      <c r="H31" s="112">
        <v>5.16</v>
      </c>
      <c r="I31" s="112">
        <v>3.88</v>
      </c>
      <c r="J31" s="112">
        <v>0.08</v>
      </c>
      <c r="K31" s="112">
        <v>182.9</v>
      </c>
      <c r="L31" s="112">
        <v>24.44</v>
      </c>
      <c r="M31" s="112">
        <v>99.65</v>
      </c>
      <c r="N31" s="112">
        <v>3.5</v>
      </c>
      <c r="O31" s="112">
        <v>0</v>
      </c>
      <c r="P31" s="112">
        <v>0.37</v>
      </c>
      <c r="Q31" s="112">
        <v>4.6100000000000003</v>
      </c>
    </row>
    <row r="32" spans="1:17" customFormat="1">
      <c r="A32" s="80">
        <v>45541.25</v>
      </c>
      <c r="B32" s="112">
        <v>9.25</v>
      </c>
      <c r="C32" s="112">
        <v>4.09</v>
      </c>
      <c r="D32" s="112">
        <v>14</v>
      </c>
      <c r="E32" s="112">
        <v>11.9</v>
      </c>
      <c r="F32" s="112">
        <v>1.74</v>
      </c>
      <c r="G32" s="112">
        <v>13.84</v>
      </c>
      <c r="H32" s="112">
        <v>6.42</v>
      </c>
      <c r="I32" s="112">
        <v>3.69</v>
      </c>
      <c r="J32" s="112">
        <v>0.12</v>
      </c>
      <c r="K32" s="112">
        <v>180.89</v>
      </c>
      <c r="L32" s="112">
        <v>24.54</v>
      </c>
      <c r="M32" s="112">
        <v>99.65</v>
      </c>
      <c r="N32" s="112">
        <v>6.6</v>
      </c>
      <c r="O32" s="112">
        <v>0</v>
      </c>
      <c r="P32" s="112">
        <v>0.37</v>
      </c>
      <c r="Q32" s="112">
        <v>4.6100000000000003</v>
      </c>
    </row>
    <row r="33" spans="1:17" customFormat="1">
      <c r="A33" s="80">
        <v>45541.260416666664</v>
      </c>
      <c r="B33" s="112">
        <v>9.26</v>
      </c>
      <c r="C33" s="112">
        <v>4.08</v>
      </c>
      <c r="D33" s="112">
        <v>14</v>
      </c>
      <c r="E33" s="112">
        <v>11.67</v>
      </c>
      <c r="F33" s="112">
        <v>2.02</v>
      </c>
      <c r="G33" s="112">
        <v>13.84</v>
      </c>
      <c r="H33" s="112">
        <v>6.42</v>
      </c>
      <c r="I33" s="112">
        <v>3.64</v>
      </c>
      <c r="J33" s="112">
        <v>0.1</v>
      </c>
      <c r="K33" s="112">
        <v>173.28</v>
      </c>
      <c r="L33" s="112">
        <v>24.63</v>
      </c>
      <c r="M33" s="112">
        <v>99.69</v>
      </c>
      <c r="N33" s="112">
        <v>11.1</v>
      </c>
      <c r="O33" s="112">
        <v>0</v>
      </c>
      <c r="P33" s="112">
        <v>0.36</v>
      </c>
      <c r="Q33" s="112">
        <v>4.5999999999999996</v>
      </c>
    </row>
    <row r="34" spans="1:17" customFormat="1">
      <c r="A34" s="80">
        <v>45541.270833333336</v>
      </c>
      <c r="B34" s="112">
        <v>9.26</v>
      </c>
      <c r="C34" s="112">
        <v>4.07</v>
      </c>
      <c r="D34" s="112">
        <v>14</v>
      </c>
      <c r="E34" s="112">
        <v>11.21</v>
      </c>
      <c r="F34" s="112">
        <v>1.9</v>
      </c>
      <c r="G34" s="112">
        <v>13.84</v>
      </c>
      <c r="H34" s="112">
        <v>6.42</v>
      </c>
      <c r="I34" s="112">
        <v>3.63</v>
      </c>
      <c r="J34" s="112">
        <v>0.12</v>
      </c>
      <c r="K34" s="112">
        <v>263.17</v>
      </c>
      <c r="L34" s="112">
        <v>24.73</v>
      </c>
      <c r="M34" s="112">
        <v>99.77</v>
      </c>
      <c r="N34" s="112">
        <v>20.9</v>
      </c>
      <c r="O34" s="112">
        <v>0</v>
      </c>
      <c r="P34" s="112">
        <v>0.36</v>
      </c>
      <c r="Q34" s="112">
        <v>4.5999999999999996</v>
      </c>
    </row>
    <row r="35" spans="1:17" customFormat="1">
      <c r="A35" s="80">
        <v>45541.28125</v>
      </c>
      <c r="B35" s="112">
        <v>9.25</v>
      </c>
      <c r="C35" s="112">
        <v>4.09</v>
      </c>
      <c r="D35" s="112">
        <v>14</v>
      </c>
      <c r="E35" s="112">
        <v>11.45</v>
      </c>
      <c r="F35" s="112">
        <v>1.93</v>
      </c>
      <c r="G35" s="112">
        <v>15.04</v>
      </c>
      <c r="H35" s="112">
        <v>5.99</v>
      </c>
      <c r="I35" s="112">
        <v>3.61</v>
      </c>
      <c r="J35" s="112">
        <v>0.19</v>
      </c>
      <c r="K35" s="112">
        <v>266.92</v>
      </c>
      <c r="L35" s="112">
        <v>24.87</v>
      </c>
      <c r="M35" s="112">
        <v>99.78</v>
      </c>
      <c r="N35" s="112">
        <v>31.6</v>
      </c>
      <c r="O35" s="112">
        <v>0</v>
      </c>
      <c r="P35" s="112">
        <v>0.36</v>
      </c>
      <c r="Q35" s="112">
        <v>4.6100000000000003</v>
      </c>
    </row>
    <row r="36" spans="1:17" customFormat="1">
      <c r="A36" s="80">
        <v>45541.291666666664</v>
      </c>
      <c r="B36" s="112">
        <v>9.24</v>
      </c>
      <c r="C36" s="112">
        <v>4.1100000000000003</v>
      </c>
      <c r="D36" s="112">
        <v>14</v>
      </c>
      <c r="E36" s="112">
        <v>11.95</v>
      </c>
      <c r="F36" s="112">
        <v>1.53</v>
      </c>
      <c r="G36" s="112">
        <v>19.52</v>
      </c>
      <c r="H36" s="112">
        <v>4.92</v>
      </c>
      <c r="I36" s="112">
        <v>3.66</v>
      </c>
      <c r="J36" s="112">
        <v>0.17</v>
      </c>
      <c r="K36" s="112">
        <v>251.81</v>
      </c>
      <c r="L36" s="112">
        <v>25.09</v>
      </c>
      <c r="M36" s="112">
        <v>99.78</v>
      </c>
      <c r="N36" s="112">
        <v>41.5</v>
      </c>
      <c r="O36" s="112">
        <v>0</v>
      </c>
      <c r="P36" s="112">
        <v>0.36</v>
      </c>
      <c r="Q36" s="112">
        <v>4.63</v>
      </c>
    </row>
    <row r="37" spans="1:17" customFormat="1">
      <c r="A37" s="80">
        <v>45541.302083333336</v>
      </c>
      <c r="B37" s="112">
        <v>9.23</v>
      </c>
      <c r="C37" s="112">
        <v>4.1100000000000003</v>
      </c>
      <c r="D37" s="112">
        <v>14</v>
      </c>
      <c r="E37" s="112">
        <v>12.08</v>
      </c>
      <c r="F37" s="112">
        <v>2.1800000000000002</v>
      </c>
      <c r="G37" s="112">
        <v>19.52</v>
      </c>
      <c r="H37" s="112">
        <v>4.92</v>
      </c>
      <c r="I37" s="112">
        <v>3.68</v>
      </c>
      <c r="J37" s="112">
        <v>0.06</v>
      </c>
      <c r="K37" s="112">
        <v>209.5</v>
      </c>
      <c r="L37" s="112">
        <v>25.3</v>
      </c>
      <c r="M37" s="112">
        <v>99.78</v>
      </c>
      <c r="N37" s="112">
        <v>58.9</v>
      </c>
      <c r="O37" s="112">
        <v>0</v>
      </c>
      <c r="P37" s="112">
        <v>0.35</v>
      </c>
      <c r="Q37" s="112">
        <v>4.63</v>
      </c>
    </row>
    <row r="38" spans="1:17" customFormat="1">
      <c r="A38" s="80">
        <v>45541.3125</v>
      </c>
      <c r="B38" s="112">
        <v>9.25</v>
      </c>
      <c r="C38" s="112">
        <v>4.09</v>
      </c>
      <c r="D38" s="112">
        <v>14.01</v>
      </c>
      <c r="E38" s="112">
        <v>11.62</v>
      </c>
      <c r="F38" s="112">
        <v>2.57</v>
      </c>
      <c r="G38" s="112">
        <v>19.52</v>
      </c>
      <c r="H38" s="112">
        <v>4.92</v>
      </c>
      <c r="I38" s="112">
        <v>3.78</v>
      </c>
      <c r="J38" s="112">
        <v>0.11</v>
      </c>
      <c r="K38" s="112">
        <v>196.42</v>
      </c>
      <c r="L38" s="112">
        <v>25.79</v>
      </c>
      <c r="M38" s="112">
        <v>99.76</v>
      </c>
      <c r="N38" s="112">
        <v>93.8</v>
      </c>
      <c r="O38" s="112">
        <v>0</v>
      </c>
      <c r="P38" s="112">
        <v>0.35</v>
      </c>
      <c r="Q38" s="112">
        <v>4.6100000000000003</v>
      </c>
    </row>
    <row r="39" spans="1:17" customFormat="1">
      <c r="A39" s="80">
        <v>45541.322916666664</v>
      </c>
      <c r="B39" s="112">
        <v>9.27</v>
      </c>
      <c r="C39" s="112">
        <v>4.0599999999999996</v>
      </c>
      <c r="D39" s="112">
        <v>14.01</v>
      </c>
      <c r="E39" s="112">
        <v>12.26</v>
      </c>
      <c r="F39" s="112">
        <v>2.72</v>
      </c>
      <c r="G39" s="112">
        <v>20.46</v>
      </c>
      <c r="H39" s="112">
        <v>6.88</v>
      </c>
      <c r="I39" s="112">
        <v>3.81</v>
      </c>
      <c r="J39" s="112">
        <v>0.28999999999999998</v>
      </c>
      <c r="K39" s="112">
        <v>70.02</v>
      </c>
      <c r="L39" s="112">
        <v>26.19</v>
      </c>
      <c r="M39" s="112">
        <v>99.72</v>
      </c>
      <c r="N39" s="112">
        <v>121.6</v>
      </c>
      <c r="O39" s="112">
        <v>0</v>
      </c>
      <c r="P39" s="112">
        <v>0.37</v>
      </c>
      <c r="Q39" s="112">
        <v>4.62</v>
      </c>
    </row>
    <row r="40" spans="1:17" customFormat="1">
      <c r="A40" s="80">
        <v>45541.333333333336</v>
      </c>
      <c r="B40" s="112">
        <v>9.2899999999999991</v>
      </c>
      <c r="C40" s="112">
        <v>4.0599999999999996</v>
      </c>
      <c r="D40" s="112">
        <v>14.02</v>
      </c>
      <c r="E40" s="112">
        <v>13.61</v>
      </c>
      <c r="F40" s="112">
        <v>2.95</v>
      </c>
      <c r="G40" s="112">
        <v>23.73</v>
      </c>
      <c r="H40" s="112">
        <v>11.74</v>
      </c>
      <c r="I40" s="112">
        <v>3.83</v>
      </c>
      <c r="J40" s="112">
        <v>0.48</v>
      </c>
      <c r="K40" s="112">
        <v>63.29</v>
      </c>
      <c r="L40" s="112">
        <v>26.79</v>
      </c>
      <c r="M40" s="112">
        <v>99.52</v>
      </c>
      <c r="N40" s="112">
        <v>189.1</v>
      </c>
      <c r="O40" s="112">
        <v>0</v>
      </c>
      <c r="P40" s="112">
        <v>0.37</v>
      </c>
      <c r="Q40" s="112">
        <v>4.63</v>
      </c>
    </row>
    <row r="41" spans="1:17" customFormat="1">
      <c r="A41" s="80">
        <v>45541.34375</v>
      </c>
      <c r="B41" s="112">
        <v>9.2799999999999994</v>
      </c>
      <c r="C41" s="112">
        <v>4.0599999999999996</v>
      </c>
      <c r="D41" s="112">
        <v>14.02</v>
      </c>
      <c r="E41" s="112">
        <v>13.96</v>
      </c>
      <c r="F41" s="112">
        <v>3.04</v>
      </c>
      <c r="G41" s="112">
        <v>23.73</v>
      </c>
      <c r="H41" s="112">
        <v>11.74</v>
      </c>
      <c r="I41" s="112">
        <v>3.95</v>
      </c>
      <c r="J41" s="112">
        <v>0.56999999999999995</v>
      </c>
      <c r="K41" s="112">
        <v>63.26</v>
      </c>
      <c r="L41" s="112">
        <v>27.41</v>
      </c>
      <c r="M41" s="112">
        <v>91.06</v>
      </c>
      <c r="N41" s="112">
        <v>196.4</v>
      </c>
      <c r="O41" s="112">
        <v>0</v>
      </c>
      <c r="P41" s="112">
        <v>0.37</v>
      </c>
      <c r="Q41" s="112">
        <v>4.62</v>
      </c>
    </row>
    <row r="42" spans="1:17" customFormat="1">
      <c r="A42" s="80">
        <v>45541.354166666664</v>
      </c>
      <c r="B42" s="112">
        <v>9.2799999999999994</v>
      </c>
      <c r="C42" s="112">
        <v>4.07</v>
      </c>
      <c r="D42" s="112">
        <v>14.01</v>
      </c>
      <c r="E42" s="112">
        <v>13.41</v>
      </c>
      <c r="F42" s="112">
        <v>3.41</v>
      </c>
      <c r="G42" s="112">
        <v>23.73</v>
      </c>
      <c r="H42" s="112">
        <v>11.74</v>
      </c>
      <c r="I42" s="112">
        <v>4.1500000000000004</v>
      </c>
      <c r="J42" s="112">
        <v>0.22</v>
      </c>
      <c r="K42" s="112">
        <v>100.25</v>
      </c>
      <c r="L42" s="112">
        <v>27.71</v>
      </c>
      <c r="M42" s="112">
        <v>85.69</v>
      </c>
      <c r="N42" s="112">
        <v>153.1</v>
      </c>
      <c r="O42" s="112">
        <v>0</v>
      </c>
      <c r="P42" s="112">
        <v>0.38</v>
      </c>
      <c r="Q42" s="112">
        <v>4.62</v>
      </c>
    </row>
    <row r="43" spans="1:17" customFormat="1">
      <c r="A43" s="80">
        <v>45541.364583333336</v>
      </c>
      <c r="B43" s="112">
        <v>9.26</v>
      </c>
      <c r="C43" s="112">
        <v>4.08</v>
      </c>
      <c r="D43" s="112">
        <v>14</v>
      </c>
      <c r="E43" s="112">
        <v>15.93</v>
      </c>
      <c r="F43" s="112">
        <v>6.23</v>
      </c>
      <c r="G43" s="112">
        <v>31.37</v>
      </c>
      <c r="H43" s="112">
        <v>13.05</v>
      </c>
      <c r="I43" s="112">
        <v>4.25</v>
      </c>
      <c r="J43" s="112">
        <v>0.45</v>
      </c>
      <c r="K43" s="112">
        <v>65.09</v>
      </c>
      <c r="L43" s="112">
        <v>27.93</v>
      </c>
      <c r="M43" s="112">
        <v>84.14</v>
      </c>
      <c r="N43" s="112">
        <v>194.9</v>
      </c>
      <c r="O43" s="112">
        <v>0</v>
      </c>
      <c r="P43" s="112">
        <v>0.44</v>
      </c>
      <c r="Q43" s="112">
        <v>4.6100000000000003</v>
      </c>
    </row>
    <row r="44" spans="1:17" customFormat="1">
      <c r="A44" s="80">
        <v>45541.375</v>
      </c>
      <c r="B44" s="112">
        <v>9.24</v>
      </c>
      <c r="C44" s="112">
        <v>4.09</v>
      </c>
      <c r="D44" s="112">
        <v>14</v>
      </c>
      <c r="E44" s="112">
        <v>19.53</v>
      </c>
      <c r="F44" s="112">
        <v>6.26</v>
      </c>
      <c r="G44" s="112">
        <v>58.12</v>
      </c>
      <c r="H44" s="112">
        <v>19.18</v>
      </c>
      <c r="I44" s="112">
        <v>4.3099999999999996</v>
      </c>
      <c r="J44" s="112">
        <v>0.33</v>
      </c>
      <c r="K44" s="112">
        <v>75.48</v>
      </c>
      <c r="L44" s="112">
        <v>28.7</v>
      </c>
      <c r="M44" s="112">
        <v>81.56</v>
      </c>
      <c r="N44" s="112">
        <v>252.6</v>
      </c>
      <c r="O44" s="112">
        <v>0</v>
      </c>
      <c r="P44" s="112">
        <v>0.42</v>
      </c>
      <c r="Q44" s="112">
        <v>4.6100000000000003</v>
      </c>
    </row>
    <row r="45" spans="1:17" customFormat="1">
      <c r="A45" s="80">
        <v>45541.385416666664</v>
      </c>
      <c r="B45" s="112">
        <v>9.26</v>
      </c>
      <c r="C45" s="112">
        <v>4.08</v>
      </c>
      <c r="D45" s="112">
        <v>14</v>
      </c>
      <c r="E45" s="112">
        <v>17.649999999999999</v>
      </c>
      <c r="F45" s="112">
        <v>5.44</v>
      </c>
      <c r="G45" s="112">
        <v>58.12</v>
      </c>
      <c r="H45" s="112">
        <v>19.18</v>
      </c>
      <c r="I45" s="112">
        <v>4.37</v>
      </c>
      <c r="J45" s="112">
        <v>0.68</v>
      </c>
      <c r="K45" s="112">
        <v>60.47</v>
      </c>
      <c r="L45" s="112">
        <v>28.96</v>
      </c>
      <c r="M45" s="112">
        <v>80.010000000000005</v>
      </c>
      <c r="N45" s="112">
        <v>368.7</v>
      </c>
      <c r="O45" s="112">
        <v>0</v>
      </c>
      <c r="P45" s="112">
        <v>0.42</v>
      </c>
      <c r="Q45" s="112">
        <v>4.6100000000000003</v>
      </c>
    </row>
    <row r="46" spans="1:17" customFormat="1">
      <c r="A46" s="80">
        <v>45541.395833333336</v>
      </c>
      <c r="B46" s="112">
        <v>9.26</v>
      </c>
      <c r="C46" s="112">
        <v>4.07</v>
      </c>
      <c r="D46" s="112">
        <v>14</v>
      </c>
      <c r="E46" s="112">
        <v>24.01</v>
      </c>
      <c r="F46" s="112">
        <v>4.74</v>
      </c>
      <c r="G46" s="112">
        <v>58.12</v>
      </c>
      <c r="H46" s="112">
        <v>19.18</v>
      </c>
      <c r="I46" s="112">
        <v>4.3600000000000003</v>
      </c>
      <c r="J46" s="112">
        <v>0.84</v>
      </c>
      <c r="K46" s="112">
        <v>58.79</v>
      </c>
      <c r="L46" s="112">
        <v>28.8</v>
      </c>
      <c r="M46" s="112">
        <v>79.58</v>
      </c>
      <c r="N46" s="112">
        <v>385.1</v>
      </c>
      <c r="O46" s="112">
        <v>0</v>
      </c>
      <c r="P46" s="112">
        <v>0.45</v>
      </c>
      <c r="Q46" s="112">
        <v>4.62</v>
      </c>
    </row>
    <row r="47" spans="1:17" customFormat="1">
      <c r="A47" s="80">
        <v>45541.40625</v>
      </c>
      <c r="B47" s="112">
        <v>9.25</v>
      </c>
      <c r="C47" s="112">
        <v>4.08</v>
      </c>
      <c r="D47" s="112">
        <v>14</v>
      </c>
      <c r="E47" s="112">
        <v>31.24</v>
      </c>
      <c r="F47" s="112">
        <v>5.13</v>
      </c>
      <c r="G47" s="112">
        <v>66.59</v>
      </c>
      <c r="H47" s="112">
        <v>20.78</v>
      </c>
      <c r="I47" s="112">
        <v>4.4000000000000004</v>
      </c>
      <c r="J47" s="112">
        <v>0.85</v>
      </c>
      <c r="K47" s="112">
        <v>58.25</v>
      </c>
      <c r="L47" s="112">
        <v>29.18</v>
      </c>
      <c r="M47" s="112">
        <v>78.55</v>
      </c>
      <c r="N47" s="112">
        <v>413.9</v>
      </c>
      <c r="O47" s="112">
        <v>0</v>
      </c>
      <c r="P47" s="112">
        <v>0.48</v>
      </c>
      <c r="Q47" s="112">
        <v>4.6399999999999997</v>
      </c>
    </row>
    <row r="48" spans="1:17" customFormat="1">
      <c r="A48" s="80">
        <v>45541.416666666664</v>
      </c>
      <c r="B48" s="112">
        <v>9.25</v>
      </c>
      <c r="C48" s="112">
        <v>4.08</v>
      </c>
      <c r="D48" s="112">
        <v>14</v>
      </c>
      <c r="E48" s="112">
        <v>26.9</v>
      </c>
      <c r="F48" s="112">
        <v>5.83</v>
      </c>
      <c r="G48" s="112">
        <v>96.23</v>
      </c>
      <c r="H48" s="112">
        <v>24.73</v>
      </c>
      <c r="I48" s="112">
        <v>4.66</v>
      </c>
      <c r="J48" s="112">
        <v>0.69</v>
      </c>
      <c r="K48" s="112">
        <v>65.209999999999994</v>
      </c>
      <c r="L48" s="112">
        <v>29.57</v>
      </c>
      <c r="M48" s="112">
        <v>77.260000000000005</v>
      </c>
      <c r="N48" s="112">
        <v>492.8</v>
      </c>
      <c r="O48" s="112">
        <v>0</v>
      </c>
      <c r="P48" s="112">
        <v>0.47</v>
      </c>
      <c r="Q48" s="112">
        <v>4.62</v>
      </c>
    </row>
    <row r="49" spans="1:17" customFormat="1">
      <c r="A49" s="80">
        <v>45541.427083333336</v>
      </c>
      <c r="B49" s="112">
        <v>9.25</v>
      </c>
      <c r="C49" s="112">
        <v>4.09</v>
      </c>
      <c r="D49" s="112">
        <v>14</v>
      </c>
      <c r="E49" s="112">
        <v>20.399999999999999</v>
      </c>
      <c r="F49" s="112">
        <v>7.17</v>
      </c>
      <c r="G49" s="112">
        <v>96.23</v>
      </c>
      <c r="H49" s="112">
        <v>24.73</v>
      </c>
      <c r="I49" s="112">
        <v>4.9400000000000004</v>
      </c>
      <c r="J49" s="112">
        <v>0.73</v>
      </c>
      <c r="K49" s="112">
        <v>55.77</v>
      </c>
      <c r="L49" s="112">
        <v>29.93</v>
      </c>
      <c r="M49" s="112">
        <v>74.91</v>
      </c>
      <c r="N49" s="112">
        <v>347.5</v>
      </c>
      <c r="O49" s="112">
        <v>0</v>
      </c>
      <c r="P49" s="112">
        <v>0.48</v>
      </c>
      <c r="Q49" s="112">
        <v>4.62</v>
      </c>
    </row>
    <row r="50" spans="1:17" customFormat="1">
      <c r="A50" s="80">
        <v>45541.4375</v>
      </c>
      <c r="B50" s="112">
        <v>9.25</v>
      </c>
      <c r="C50" s="112">
        <v>4.07</v>
      </c>
      <c r="D50" s="112">
        <v>14</v>
      </c>
      <c r="E50" s="112">
        <v>19.29</v>
      </c>
      <c r="F50" s="112">
        <v>5.98</v>
      </c>
      <c r="G50" s="112">
        <v>96.23</v>
      </c>
      <c r="H50" s="112">
        <v>24.73</v>
      </c>
      <c r="I50" s="112">
        <v>4.7</v>
      </c>
      <c r="J50" s="112">
        <v>0.43</v>
      </c>
      <c r="K50" s="112">
        <v>73.819999999999993</v>
      </c>
      <c r="L50" s="112">
        <v>30.34</v>
      </c>
      <c r="M50" s="112">
        <v>74.13</v>
      </c>
      <c r="N50" s="112">
        <v>465.5</v>
      </c>
      <c r="O50" s="112">
        <v>0</v>
      </c>
      <c r="P50" s="112">
        <v>0.48</v>
      </c>
      <c r="Q50" s="112">
        <v>4.6100000000000003</v>
      </c>
    </row>
    <row r="51" spans="1:17" customFormat="1">
      <c r="A51" s="80">
        <v>45541.447916666664</v>
      </c>
      <c r="B51" s="112">
        <v>9.26</v>
      </c>
      <c r="C51" s="112">
        <v>4.07</v>
      </c>
      <c r="D51" s="112">
        <v>14</v>
      </c>
      <c r="E51" s="112">
        <v>14.31</v>
      </c>
      <c r="F51" s="112">
        <v>6.9</v>
      </c>
      <c r="G51" s="112">
        <v>96.26</v>
      </c>
      <c r="H51" s="112">
        <v>25.45</v>
      </c>
      <c r="I51" s="112">
        <v>4.75</v>
      </c>
      <c r="J51" s="112">
        <v>0.83</v>
      </c>
      <c r="K51" s="112">
        <v>58.19</v>
      </c>
      <c r="L51" s="112">
        <v>30.43</v>
      </c>
      <c r="M51" s="112">
        <v>71.97</v>
      </c>
      <c r="N51" s="112">
        <v>355.4</v>
      </c>
      <c r="O51" s="112">
        <v>0</v>
      </c>
      <c r="P51" s="112">
        <v>0.48</v>
      </c>
      <c r="Q51" s="112">
        <v>4.6100000000000003</v>
      </c>
    </row>
    <row r="52" spans="1:17" customFormat="1">
      <c r="A52" s="80">
        <v>45541.458333333336</v>
      </c>
      <c r="B52" s="112">
        <v>9.3000000000000007</v>
      </c>
      <c r="C52" s="112">
        <v>4.07</v>
      </c>
      <c r="D52" s="112">
        <v>14.03</v>
      </c>
      <c r="E52" s="112">
        <v>13.47</v>
      </c>
      <c r="F52" s="112">
        <v>9.08</v>
      </c>
      <c r="G52" s="112">
        <v>96.34</v>
      </c>
      <c r="H52" s="112">
        <v>27.23</v>
      </c>
      <c r="I52" s="112">
        <v>4.79</v>
      </c>
      <c r="J52" s="112">
        <v>0.69</v>
      </c>
      <c r="K52" s="112">
        <v>55.75</v>
      </c>
      <c r="L52" s="112">
        <v>30.28</v>
      </c>
      <c r="M52" s="112">
        <v>72.95</v>
      </c>
      <c r="N52" s="112">
        <v>301.60000000000002</v>
      </c>
      <c r="O52" s="112">
        <v>0</v>
      </c>
      <c r="P52" s="112">
        <v>0.49</v>
      </c>
      <c r="Q52" s="112">
        <v>4.62</v>
      </c>
    </row>
    <row r="53" spans="1:17" customFormat="1">
      <c r="A53" s="80">
        <v>45541.46875</v>
      </c>
      <c r="B53" s="112">
        <v>9.31</v>
      </c>
      <c r="C53" s="112">
        <v>4.07</v>
      </c>
      <c r="D53" s="112">
        <v>14.04</v>
      </c>
      <c r="E53" s="112">
        <v>10.95</v>
      </c>
      <c r="F53" s="112">
        <v>5.88</v>
      </c>
      <c r="G53" s="112">
        <v>96.34</v>
      </c>
      <c r="H53" s="112">
        <v>27.23</v>
      </c>
      <c r="I53" s="112">
        <v>4.93</v>
      </c>
      <c r="J53" s="112">
        <v>0.46</v>
      </c>
      <c r="K53" s="112">
        <v>55.99</v>
      </c>
      <c r="L53" s="112">
        <v>30.89</v>
      </c>
      <c r="M53" s="112">
        <v>72.31</v>
      </c>
      <c r="N53" s="112">
        <v>453</v>
      </c>
      <c r="O53" s="112">
        <v>0</v>
      </c>
      <c r="P53" s="112">
        <v>0.49</v>
      </c>
      <c r="Q53" s="112">
        <v>4.62</v>
      </c>
    </row>
    <row r="54" spans="1:17" customFormat="1">
      <c r="A54" s="80">
        <v>45541.479166666664</v>
      </c>
      <c r="B54" s="112">
        <v>9.2899999999999991</v>
      </c>
      <c r="C54" s="112">
        <v>4.09</v>
      </c>
      <c r="D54" s="112">
        <v>14.03</v>
      </c>
      <c r="E54" s="112">
        <v>10.42</v>
      </c>
      <c r="F54" s="112">
        <v>8.67</v>
      </c>
      <c r="G54" s="112">
        <v>96.34</v>
      </c>
      <c r="H54" s="112">
        <v>27.23</v>
      </c>
      <c r="I54" s="112">
        <v>4.87</v>
      </c>
      <c r="J54" s="112">
        <v>0.3</v>
      </c>
      <c r="K54" s="112">
        <v>41.31</v>
      </c>
      <c r="L54" s="112">
        <v>30.64</v>
      </c>
      <c r="M54" s="112">
        <v>71.930000000000007</v>
      </c>
      <c r="N54" s="112">
        <v>361.7</v>
      </c>
      <c r="O54" s="112">
        <v>0</v>
      </c>
      <c r="P54" s="112">
        <v>0.49</v>
      </c>
      <c r="Q54" s="112">
        <v>4.62</v>
      </c>
    </row>
    <row r="55" spans="1:17" customFormat="1">
      <c r="A55" s="80">
        <v>45541.489583333336</v>
      </c>
      <c r="B55" s="112">
        <v>9.2899999999999991</v>
      </c>
      <c r="C55" s="112">
        <v>4.07</v>
      </c>
      <c r="D55" s="112">
        <v>14.02</v>
      </c>
      <c r="E55" s="112">
        <v>10.3</v>
      </c>
      <c r="F55" s="112">
        <v>10.15</v>
      </c>
      <c r="G55" s="112">
        <v>93.35</v>
      </c>
      <c r="H55" s="112">
        <v>26.74</v>
      </c>
      <c r="I55" s="112">
        <v>4.96</v>
      </c>
      <c r="J55" s="112">
        <v>0.65</v>
      </c>
      <c r="K55" s="112">
        <v>57.71</v>
      </c>
      <c r="L55" s="112">
        <v>30.72</v>
      </c>
      <c r="M55" s="112">
        <v>70.34</v>
      </c>
      <c r="N55" s="112">
        <v>675.6</v>
      </c>
      <c r="O55" s="112">
        <v>0</v>
      </c>
      <c r="P55" s="112">
        <v>0.48</v>
      </c>
      <c r="Q55" s="112">
        <v>4.5999999999999996</v>
      </c>
    </row>
    <row r="56" spans="1:17" customFormat="1">
      <c r="A56" s="80">
        <v>45541.5</v>
      </c>
      <c r="B56" s="112">
        <v>9.3000000000000007</v>
      </c>
      <c r="C56" s="112">
        <v>4.07</v>
      </c>
      <c r="D56" s="112">
        <v>14.03</v>
      </c>
      <c r="E56" s="112">
        <v>11.14</v>
      </c>
      <c r="F56" s="112">
        <v>10.94</v>
      </c>
      <c r="G56" s="112">
        <v>82.87</v>
      </c>
      <c r="H56" s="112">
        <v>25.54</v>
      </c>
      <c r="I56" s="112">
        <v>4.84</v>
      </c>
      <c r="J56" s="112">
        <v>0.42</v>
      </c>
      <c r="K56" s="112">
        <v>60.48</v>
      </c>
      <c r="L56" s="112">
        <v>31.1</v>
      </c>
      <c r="M56" s="112">
        <v>69.72</v>
      </c>
      <c r="N56" s="112">
        <v>676.1</v>
      </c>
      <c r="O56" s="112">
        <v>0</v>
      </c>
      <c r="P56" s="112">
        <v>0.47</v>
      </c>
      <c r="Q56" s="112">
        <v>4.62</v>
      </c>
    </row>
    <row r="57" spans="1:17" customFormat="1">
      <c r="A57" s="80">
        <v>45541.510416666664</v>
      </c>
      <c r="B57" s="112">
        <v>9.3000000000000007</v>
      </c>
      <c r="C57" s="112">
        <v>4.0599999999999996</v>
      </c>
      <c r="D57" s="112">
        <v>14.03</v>
      </c>
      <c r="E57" s="112">
        <v>10.75</v>
      </c>
      <c r="F57" s="112">
        <v>10.32</v>
      </c>
      <c r="G57" s="112">
        <v>82.87</v>
      </c>
      <c r="H57" s="112">
        <v>25.54</v>
      </c>
      <c r="I57" s="112">
        <v>4.6900000000000004</v>
      </c>
      <c r="J57" s="112">
        <v>0.6</v>
      </c>
      <c r="K57" s="112">
        <v>53.68</v>
      </c>
      <c r="L57" s="112">
        <v>31.04</v>
      </c>
      <c r="M57" s="112">
        <v>70.33</v>
      </c>
      <c r="N57" s="112">
        <v>468.9</v>
      </c>
      <c r="O57" s="112">
        <v>0</v>
      </c>
      <c r="P57" s="112">
        <v>0.47</v>
      </c>
      <c r="Q57" s="112">
        <v>4.6399999999999997</v>
      </c>
    </row>
    <row r="58" spans="1:17" customFormat="1">
      <c r="A58" s="80">
        <v>45541.520833333336</v>
      </c>
      <c r="B58" s="112">
        <v>9.3000000000000007</v>
      </c>
      <c r="C58" s="112">
        <v>4.07</v>
      </c>
      <c r="D58" s="112">
        <v>14.03</v>
      </c>
      <c r="E58" s="112">
        <v>10.27</v>
      </c>
      <c r="F58" s="112">
        <v>6.79</v>
      </c>
      <c r="G58" s="112">
        <v>82.87</v>
      </c>
      <c r="H58" s="112">
        <v>25.54</v>
      </c>
      <c r="I58" s="112">
        <v>4.6500000000000004</v>
      </c>
      <c r="J58" s="112">
        <v>0.65</v>
      </c>
      <c r="K58" s="112">
        <v>67.05</v>
      </c>
      <c r="L58" s="112">
        <v>31.35</v>
      </c>
      <c r="M58" s="112">
        <v>70.56</v>
      </c>
      <c r="N58" s="112">
        <v>559.4</v>
      </c>
      <c r="O58" s="112">
        <v>0</v>
      </c>
      <c r="P58" s="112">
        <v>0.47</v>
      </c>
      <c r="Q58" s="112">
        <v>4.6399999999999997</v>
      </c>
    </row>
    <row r="59" spans="1:17" customFormat="1">
      <c r="A59" s="80">
        <v>45541.53125</v>
      </c>
      <c r="B59" s="112">
        <v>9.2899999999999991</v>
      </c>
      <c r="C59" s="112">
        <v>4.09</v>
      </c>
      <c r="D59" s="112">
        <v>14.04</v>
      </c>
      <c r="E59" s="112">
        <v>10.3</v>
      </c>
      <c r="F59" s="112">
        <v>11.46</v>
      </c>
      <c r="G59" s="112">
        <v>82.54</v>
      </c>
      <c r="H59" s="112">
        <v>25.81</v>
      </c>
      <c r="I59" s="112">
        <v>4.66</v>
      </c>
      <c r="J59" s="112">
        <v>0.49</v>
      </c>
      <c r="K59" s="112">
        <v>45.31</v>
      </c>
      <c r="L59" s="112">
        <v>31.35</v>
      </c>
      <c r="M59" s="112">
        <v>69.069999999999993</v>
      </c>
      <c r="N59" s="112">
        <v>642.9</v>
      </c>
      <c r="O59" s="112">
        <v>0</v>
      </c>
      <c r="P59" s="112">
        <v>0.47</v>
      </c>
      <c r="Q59" s="112">
        <v>4.62</v>
      </c>
    </row>
    <row r="60" spans="1:17" customFormat="1">
      <c r="A60" s="80">
        <v>45541.541666666664</v>
      </c>
      <c r="B60" s="112">
        <v>9.2899999999999991</v>
      </c>
      <c r="C60" s="112">
        <v>4.08</v>
      </c>
      <c r="D60" s="112">
        <v>14.04</v>
      </c>
      <c r="E60" s="112">
        <v>11.33</v>
      </c>
      <c r="F60" s="112">
        <v>10.77</v>
      </c>
      <c r="G60" s="112">
        <v>81.36</v>
      </c>
      <c r="H60" s="112">
        <v>26.48</v>
      </c>
      <c r="I60" s="112">
        <v>4.75</v>
      </c>
      <c r="J60" s="112">
        <v>0.75</v>
      </c>
      <c r="K60" s="112">
        <v>56.76</v>
      </c>
      <c r="L60" s="112">
        <v>31.32</v>
      </c>
      <c r="M60" s="112">
        <v>69.02</v>
      </c>
      <c r="N60" s="112">
        <v>343.4</v>
      </c>
      <c r="O60" s="112">
        <v>0</v>
      </c>
      <c r="P60" s="112">
        <v>0.46</v>
      </c>
      <c r="Q60" s="112">
        <v>4.62</v>
      </c>
    </row>
    <row r="61" spans="1:17" customFormat="1">
      <c r="A61" s="80">
        <v>45541.552083333336</v>
      </c>
      <c r="B61" s="112">
        <v>9.2899999999999991</v>
      </c>
      <c r="C61" s="112">
        <v>4.13</v>
      </c>
      <c r="D61" s="112">
        <v>14.05</v>
      </c>
      <c r="E61" s="112">
        <v>12.21</v>
      </c>
      <c r="F61" s="112">
        <v>6.4</v>
      </c>
      <c r="G61" s="112">
        <v>81.36</v>
      </c>
      <c r="H61" s="112">
        <v>26.48</v>
      </c>
      <c r="I61" s="112">
        <v>4.68</v>
      </c>
      <c r="J61" s="112">
        <v>0.37</v>
      </c>
      <c r="K61" s="112">
        <v>80.150000000000006</v>
      </c>
      <c r="L61" s="112">
        <v>31.55</v>
      </c>
      <c r="M61" s="112">
        <v>70.180000000000007</v>
      </c>
      <c r="N61" s="112">
        <v>350</v>
      </c>
      <c r="O61" s="112">
        <v>0</v>
      </c>
      <c r="P61" s="112">
        <v>0.45</v>
      </c>
      <c r="Q61" s="112">
        <v>4.63</v>
      </c>
    </row>
    <row r="62" spans="1:17" customFormat="1">
      <c r="A62" s="80">
        <v>45541.5625</v>
      </c>
      <c r="B62" s="112">
        <v>9.27</v>
      </c>
      <c r="C62" s="112">
        <v>4.0999999999999996</v>
      </c>
      <c r="D62" s="112">
        <v>14.03</v>
      </c>
      <c r="E62" s="112">
        <v>12.08</v>
      </c>
      <c r="F62" s="112">
        <v>5.36</v>
      </c>
      <c r="G62" s="112">
        <v>81.36</v>
      </c>
      <c r="H62" s="112">
        <v>26.48</v>
      </c>
      <c r="I62" s="112">
        <v>4.63</v>
      </c>
      <c r="J62" s="112">
        <v>0.63</v>
      </c>
      <c r="K62" s="112">
        <v>65.75</v>
      </c>
      <c r="L62" s="112">
        <v>32.46</v>
      </c>
      <c r="M62" s="112">
        <v>66.680000000000007</v>
      </c>
      <c r="N62" s="112">
        <v>487.1</v>
      </c>
      <c r="O62" s="112">
        <v>0</v>
      </c>
      <c r="P62" s="112">
        <v>0.45</v>
      </c>
      <c r="Q62" s="112">
        <v>4.62</v>
      </c>
    </row>
    <row r="63" spans="1:17" customFormat="1">
      <c r="A63" s="80">
        <v>45541.572916666664</v>
      </c>
      <c r="B63" s="112">
        <v>9.2799999999999994</v>
      </c>
      <c r="C63" s="112">
        <v>4.09</v>
      </c>
      <c r="D63" s="112">
        <v>14.02</v>
      </c>
      <c r="E63" s="112">
        <v>12.78</v>
      </c>
      <c r="F63" s="112">
        <v>5.61</v>
      </c>
      <c r="G63" s="112">
        <v>80.87</v>
      </c>
      <c r="H63" s="112">
        <v>27.23</v>
      </c>
      <c r="I63" s="112">
        <v>4.5599999999999996</v>
      </c>
      <c r="J63" s="112">
        <v>0.95</v>
      </c>
      <c r="K63" s="112">
        <v>61.68</v>
      </c>
      <c r="L63" s="112">
        <v>31.75</v>
      </c>
      <c r="M63" s="112">
        <v>66.92</v>
      </c>
      <c r="N63" s="112">
        <v>191.2</v>
      </c>
      <c r="O63" s="112">
        <v>0</v>
      </c>
      <c r="P63" s="112">
        <v>0.45</v>
      </c>
      <c r="Q63" s="112">
        <v>4.63</v>
      </c>
    </row>
    <row r="64" spans="1:17" customFormat="1">
      <c r="A64" s="80">
        <v>45541.583333333336</v>
      </c>
      <c r="B64" s="112">
        <v>9.2799999999999994</v>
      </c>
      <c r="C64" s="112">
        <v>4.07</v>
      </c>
      <c r="D64" s="112">
        <v>14.02</v>
      </c>
      <c r="E64" s="112">
        <v>13.38</v>
      </c>
      <c r="F64" s="112">
        <v>6.28</v>
      </c>
      <c r="G64" s="112">
        <v>79.14</v>
      </c>
      <c r="H64" s="112">
        <v>29.09</v>
      </c>
      <c r="I64" s="112">
        <v>4.58</v>
      </c>
      <c r="J64" s="112">
        <v>0.52</v>
      </c>
      <c r="K64" s="112">
        <v>63.66</v>
      </c>
      <c r="L64" s="112">
        <v>32.17</v>
      </c>
      <c r="M64" s="112">
        <v>66.650000000000006</v>
      </c>
      <c r="N64" s="112">
        <v>216.7</v>
      </c>
      <c r="O64" s="112">
        <v>0</v>
      </c>
      <c r="P64" s="112">
        <v>0.44</v>
      </c>
      <c r="Q64" s="112">
        <v>4.63</v>
      </c>
    </row>
    <row r="65" spans="1:17" customFormat="1">
      <c r="A65" s="80">
        <v>45541.59375</v>
      </c>
      <c r="B65" s="112">
        <v>9.26</v>
      </c>
      <c r="C65" s="112">
        <v>4.08</v>
      </c>
      <c r="D65" s="112">
        <v>14.01</v>
      </c>
      <c r="E65" s="112">
        <v>12.73</v>
      </c>
      <c r="F65" s="112">
        <v>9.48</v>
      </c>
      <c r="G65" s="112">
        <v>79.14</v>
      </c>
      <c r="H65" s="112">
        <v>29.09</v>
      </c>
      <c r="I65" s="112">
        <v>4.45</v>
      </c>
      <c r="J65" s="112">
        <v>0.79</v>
      </c>
      <c r="K65" s="112">
        <v>55.72</v>
      </c>
      <c r="L65" s="112">
        <v>31.91</v>
      </c>
      <c r="M65" s="112">
        <v>66.42</v>
      </c>
      <c r="N65" s="112">
        <v>178.5</v>
      </c>
      <c r="O65" s="112">
        <v>0</v>
      </c>
      <c r="P65" s="112">
        <v>0.42</v>
      </c>
      <c r="Q65" s="112">
        <v>4.62</v>
      </c>
    </row>
    <row r="66" spans="1:17" customFormat="1">
      <c r="A66" s="80">
        <v>45541.604166666664</v>
      </c>
      <c r="B66" s="112">
        <v>9.26</v>
      </c>
      <c r="C66" s="112">
        <v>4.08</v>
      </c>
      <c r="D66" s="112">
        <v>14.01</v>
      </c>
      <c r="E66" s="112">
        <v>12.7</v>
      </c>
      <c r="F66" s="112">
        <v>10.61</v>
      </c>
      <c r="G66" s="112">
        <v>79.14</v>
      </c>
      <c r="H66" s="112">
        <v>29.09</v>
      </c>
      <c r="I66" s="112">
        <v>4.4000000000000004</v>
      </c>
      <c r="J66" s="112">
        <v>0.56999999999999995</v>
      </c>
      <c r="K66" s="112">
        <v>51.92</v>
      </c>
      <c r="L66" s="112">
        <v>31.95</v>
      </c>
      <c r="M66" s="112">
        <v>64.37</v>
      </c>
      <c r="N66" s="112">
        <v>181.4</v>
      </c>
      <c r="O66" s="112">
        <v>0</v>
      </c>
      <c r="P66" s="112">
        <v>0.44</v>
      </c>
      <c r="Q66" s="112">
        <v>4.62</v>
      </c>
    </row>
    <row r="67" spans="1:17" customFormat="1">
      <c r="A67" s="80">
        <v>45541.614583333336</v>
      </c>
      <c r="B67" s="112">
        <v>9.25</v>
      </c>
      <c r="C67" s="112">
        <v>4.09</v>
      </c>
      <c r="D67" s="112">
        <v>14.01</v>
      </c>
      <c r="E67" s="112">
        <v>12.12</v>
      </c>
      <c r="F67" s="112">
        <v>14.65</v>
      </c>
      <c r="G67" s="112">
        <v>78.56</v>
      </c>
      <c r="H67" s="112">
        <v>27.79</v>
      </c>
      <c r="I67" s="112">
        <v>4.5199999999999996</v>
      </c>
      <c r="J67" s="112">
        <v>0.79</v>
      </c>
      <c r="K67" s="112">
        <v>60.02</v>
      </c>
      <c r="L67" s="112">
        <v>32</v>
      </c>
      <c r="M67" s="112">
        <v>65.540000000000006</v>
      </c>
      <c r="N67" s="112">
        <v>158.19999999999999</v>
      </c>
      <c r="O67" s="112">
        <v>0</v>
      </c>
      <c r="P67" s="112">
        <v>0.43</v>
      </c>
      <c r="Q67" s="112">
        <v>4.5999999999999996</v>
      </c>
    </row>
    <row r="68" spans="1:17" customFormat="1">
      <c r="A68" s="80">
        <v>45541.625</v>
      </c>
      <c r="B68" s="112">
        <v>9.25</v>
      </c>
      <c r="C68" s="112">
        <v>4.09</v>
      </c>
      <c r="D68" s="112">
        <v>14.01</v>
      </c>
      <c r="E68" s="112">
        <v>11.76</v>
      </c>
      <c r="F68" s="112">
        <v>9.7100000000000009</v>
      </c>
      <c r="G68" s="112">
        <v>76.55</v>
      </c>
      <c r="H68" s="112">
        <v>21.69</v>
      </c>
      <c r="I68" s="112">
        <v>4.4000000000000004</v>
      </c>
      <c r="J68" s="112">
        <v>0.55000000000000004</v>
      </c>
      <c r="K68" s="112">
        <v>58.96</v>
      </c>
      <c r="L68" s="112">
        <v>32.15</v>
      </c>
      <c r="M68" s="112">
        <v>64.739999999999995</v>
      </c>
      <c r="N68" s="112">
        <v>157.19999999999999</v>
      </c>
      <c r="O68" s="112">
        <v>0</v>
      </c>
      <c r="P68" s="112">
        <v>0.43</v>
      </c>
      <c r="Q68" s="112">
        <v>4.62</v>
      </c>
    </row>
    <row r="69" spans="1:17" customFormat="1">
      <c r="A69" s="80">
        <v>45541.635416666664</v>
      </c>
      <c r="B69" s="112">
        <v>9.27</v>
      </c>
      <c r="C69" s="112">
        <v>4.05</v>
      </c>
      <c r="D69" s="112">
        <v>14</v>
      </c>
      <c r="E69" s="112">
        <v>11.83</v>
      </c>
      <c r="F69" s="112">
        <v>11.72</v>
      </c>
      <c r="G69" s="112">
        <v>76.55</v>
      </c>
      <c r="H69" s="112">
        <v>21.69</v>
      </c>
      <c r="I69" s="112">
        <v>4.3899999999999997</v>
      </c>
      <c r="J69" s="112">
        <v>0.14000000000000001</v>
      </c>
      <c r="K69" s="112">
        <v>27.84</v>
      </c>
      <c r="L69" s="112">
        <v>32.270000000000003</v>
      </c>
      <c r="M69" s="112">
        <v>65.989999999999995</v>
      </c>
      <c r="N69" s="112">
        <v>260.7</v>
      </c>
      <c r="O69" s="112">
        <v>0</v>
      </c>
      <c r="P69" s="112">
        <v>0.43</v>
      </c>
      <c r="Q69" s="112">
        <v>4.6100000000000003</v>
      </c>
    </row>
    <row r="70" spans="1:17" customFormat="1">
      <c r="A70" s="80">
        <v>45541.645833333336</v>
      </c>
      <c r="B70" s="112">
        <v>9.27</v>
      </c>
      <c r="C70" s="112">
        <v>4.0599999999999996</v>
      </c>
      <c r="D70" s="112">
        <v>14.01</v>
      </c>
      <c r="E70" s="112">
        <v>11.55</v>
      </c>
      <c r="F70" s="112">
        <v>13.61</v>
      </c>
      <c r="G70" s="112">
        <v>76.55</v>
      </c>
      <c r="H70" s="112">
        <v>21.69</v>
      </c>
      <c r="I70" s="112">
        <v>4.45</v>
      </c>
      <c r="J70" s="112">
        <v>0.4</v>
      </c>
      <c r="K70" s="112">
        <v>54.21</v>
      </c>
      <c r="L70" s="112">
        <v>32.159999999999997</v>
      </c>
      <c r="M70" s="112">
        <v>64.87</v>
      </c>
      <c r="N70" s="112">
        <v>238.7</v>
      </c>
      <c r="O70" s="112">
        <v>0</v>
      </c>
      <c r="P70" s="112">
        <v>0.42</v>
      </c>
      <c r="Q70" s="112">
        <v>4.6100000000000003</v>
      </c>
    </row>
    <row r="71" spans="1:17" customFormat="1">
      <c r="A71" s="80">
        <v>45541.65625</v>
      </c>
      <c r="B71" s="112">
        <v>9.2799999999999994</v>
      </c>
      <c r="C71" s="112">
        <v>4.04</v>
      </c>
      <c r="D71" s="112">
        <v>14.01</v>
      </c>
      <c r="E71" s="112">
        <v>11.83</v>
      </c>
      <c r="F71" s="112">
        <v>8.44</v>
      </c>
      <c r="G71" s="112">
        <v>75.86</v>
      </c>
      <c r="H71" s="112">
        <v>20.02</v>
      </c>
      <c r="I71" s="112">
        <v>4.2699999999999996</v>
      </c>
      <c r="J71" s="112">
        <v>0.22</v>
      </c>
      <c r="K71" s="112">
        <v>122.69</v>
      </c>
      <c r="L71" s="112">
        <v>31.93</v>
      </c>
      <c r="M71" s="112">
        <v>67.260000000000005</v>
      </c>
      <c r="N71" s="112">
        <v>156.1</v>
      </c>
      <c r="O71" s="112">
        <v>0</v>
      </c>
      <c r="P71" s="112">
        <v>0.43</v>
      </c>
      <c r="Q71" s="112">
        <v>4.5999999999999996</v>
      </c>
    </row>
    <row r="72" spans="1:17" customFormat="1">
      <c r="A72" s="80">
        <v>45541.666666666664</v>
      </c>
      <c r="B72" s="112">
        <v>9.27</v>
      </c>
      <c r="C72" s="112">
        <v>4.07</v>
      </c>
      <c r="D72" s="112">
        <v>14.01</v>
      </c>
      <c r="E72" s="112">
        <v>12.04</v>
      </c>
      <c r="F72" s="112">
        <v>12.24</v>
      </c>
      <c r="G72" s="112">
        <v>73.459999999999994</v>
      </c>
      <c r="H72" s="112">
        <v>15.88</v>
      </c>
      <c r="I72" s="112">
        <v>4.1900000000000004</v>
      </c>
      <c r="J72" s="112">
        <v>0.28999999999999998</v>
      </c>
      <c r="K72" s="112">
        <v>73.34</v>
      </c>
      <c r="L72" s="112">
        <v>32.06</v>
      </c>
      <c r="M72" s="112">
        <v>68.44</v>
      </c>
      <c r="N72" s="112">
        <v>90.5</v>
      </c>
      <c r="O72" s="112">
        <v>0</v>
      </c>
      <c r="P72" s="112">
        <v>0.42</v>
      </c>
      <c r="Q72" s="112">
        <v>4.62</v>
      </c>
    </row>
    <row r="73" spans="1:17" customFormat="1">
      <c r="A73" s="80">
        <v>45541.677083333336</v>
      </c>
      <c r="B73" s="112">
        <v>9.26</v>
      </c>
      <c r="C73" s="112">
        <v>4.08</v>
      </c>
      <c r="D73" s="112">
        <v>14.01</v>
      </c>
      <c r="E73" s="112">
        <v>11.8</v>
      </c>
      <c r="F73" s="112">
        <v>8.5399999999999991</v>
      </c>
      <c r="G73" s="112">
        <v>73.459999999999994</v>
      </c>
      <c r="H73" s="112">
        <v>15.88</v>
      </c>
      <c r="I73" s="112">
        <v>4.1900000000000004</v>
      </c>
      <c r="J73" s="112">
        <v>0.41</v>
      </c>
      <c r="K73" s="112">
        <v>77.62</v>
      </c>
      <c r="L73" s="112">
        <v>31.75</v>
      </c>
      <c r="M73" s="112">
        <v>69.349999999999994</v>
      </c>
      <c r="N73" s="112">
        <v>103.1</v>
      </c>
      <c r="O73" s="112">
        <v>0</v>
      </c>
      <c r="P73" s="112">
        <v>0.44</v>
      </c>
      <c r="Q73" s="112">
        <v>4.62</v>
      </c>
    </row>
    <row r="74" spans="1:17" customFormat="1">
      <c r="A74" s="80">
        <v>45541.6875</v>
      </c>
      <c r="B74" s="112">
        <v>9.26</v>
      </c>
      <c r="C74" s="112">
        <v>4.07</v>
      </c>
      <c r="D74" s="112">
        <v>14</v>
      </c>
      <c r="E74" s="112">
        <v>12.69</v>
      </c>
      <c r="F74" s="112">
        <v>13.57</v>
      </c>
      <c r="G74" s="112">
        <v>73.459999999999994</v>
      </c>
      <c r="H74" s="112">
        <v>15.88</v>
      </c>
      <c r="I74" s="112">
        <v>4.05</v>
      </c>
      <c r="J74" s="112">
        <v>0.54</v>
      </c>
      <c r="K74" s="112">
        <v>56.38</v>
      </c>
      <c r="L74" s="112">
        <v>31.51</v>
      </c>
      <c r="M74" s="112">
        <v>69.319999999999993</v>
      </c>
      <c r="N74" s="112">
        <v>53.3</v>
      </c>
      <c r="O74" s="112">
        <v>0</v>
      </c>
      <c r="P74" s="112">
        <v>0.45</v>
      </c>
      <c r="Q74" s="112">
        <v>4.5999999999999996</v>
      </c>
    </row>
    <row r="75" spans="1:17" customFormat="1">
      <c r="A75" s="80">
        <v>45541.697916666664</v>
      </c>
      <c r="B75" s="112">
        <v>9.31</v>
      </c>
      <c r="C75" s="112">
        <v>4.07</v>
      </c>
      <c r="D75" s="112">
        <v>14.04</v>
      </c>
      <c r="E75" s="112">
        <v>13.92</v>
      </c>
      <c r="F75" s="112">
        <v>11.83</v>
      </c>
      <c r="G75" s="112">
        <v>73.83</v>
      </c>
      <c r="H75" s="112">
        <v>15.73</v>
      </c>
      <c r="I75" s="112">
        <v>4.22</v>
      </c>
      <c r="J75" s="112">
        <v>0.43</v>
      </c>
      <c r="K75" s="112">
        <v>64.14</v>
      </c>
      <c r="L75" s="112">
        <v>31.1</v>
      </c>
      <c r="M75" s="112">
        <v>71.14</v>
      </c>
      <c r="N75" s="112">
        <v>42.6</v>
      </c>
      <c r="O75" s="112">
        <v>0</v>
      </c>
      <c r="P75" s="112">
        <v>0.49</v>
      </c>
      <c r="Q75" s="112">
        <v>4.6100000000000003</v>
      </c>
    </row>
    <row r="76" spans="1:17" customFormat="1">
      <c r="A76" s="80">
        <v>45541.708333333336</v>
      </c>
      <c r="B76" s="112">
        <v>9.33</v>
      </c>
      <c r="C76" s="112">
        <v>4.07</v>
      </c>
      <c r="D76" s="112">
        <v>14.06</v>
      </c>
      <c r="E76" s="112">
        <v>13.87</v>
      </c>
      <c r="F76" s="112">
        <v>9.99</v>
      </c>
      <c r="G76" s="112">
        <v>75.13</v>
      </c>
      <c r="H76" s="112">
        <v>15.35</v>
      </c>
      <c r="I76" s="112">
        <v>4.1399999999999997</v>
      </c>
      <c r="J76" s="112">
        <v>0.36</v>
      </c>
      <c r="K76" s="112">
        <v>70.48</v>
      </c>
      <c r="L76" s="112">
        <v>31.05</v>
      </c>
      <c r="M76" s="112">
        <v>70.900000000000006</v>
      </c>
      <c r="N76" s="112">
        <v>32.799999999999997</v>
      </c>
      <c r="O76" s="112">
        <v>0</v>
      </c>
      <c r="P76" s="112">
        <v>0.47</v>
      </c>
      <c r="Q76" s="112">
        <v>4.62</v>
      </c>
    </row>
    <row r="77" spans="1:17" customFormat="1">
      <c r="A77" s="80">
        <v>45541.71875</v>
      </c>
      <c r="B77" s="112">
        <v>9.32</v>
      </c>
      <c r="C77" s="112">
        <v>4.05</v>
      </c>
      <c r="D77" s="112">
        <v>14.05</v>
      </c>
      <c r="E77" s="112">
        <v>13.74</v>
      </c>
      <c r="F77" s="112">
        <v>9.93</v>
      </c>
      <c r="G77" s="112">
        <v>75.13</v>
      </c>
      <c r="H77" s="112">
        <v>15.35</v>
      </c>
      <c r="I77" s="112">
        <v>4.4400000000000004</v>
      </c>
      <c r="J77" s="112">
        <v>0.11</v>
      </c>
      <c r="K77" s="112">
        <v>166.76</v>
      </c>
      <c r="L77" s="112">
        <v>30.4</v>
      </c>
      <c r="M77" s="112">
        <v>77.98</v>
      </c>
      <c r="N77" s="112">
        <v>21.3</v>
      </c>
      <c r="O77" s="112">
        <v>0</v>
      </c>
      <c r="P77" s="112">
        <v>0.45</v>
      </c>
      <c r="Q77" s="112">
        <v>4.5999999999999996</v>
      </c>
    </row>
    <row r="78" spans="1:17" customFormat="1">
      <c r="A78" s="80">
        <v>45541.729166666664</v>
      </c>
      <c r="B78" s="112">
        <v>9.26</v>
      </c>
      <c r="C78" s="112">
        <v>4.07</v>
      </c>
      <c r="D78" s="112">
        <v>14</v>
      </c>
      <c r="E78" s="112">
        <v>13.53</v>
      </c>
      <c r="F78" s="112">
        <v>10.54</v>
      </c>
      <c r="G78" s="112">
        <v>75.13</v>
      </c>
      <c r="H78" s="112">
        <v>15.35</v>
      </c>
      <c r="I78" s="112">
        <v>4.3899999999999997</v>
      </c>
      <c r="J78" s="112">
        <v>0.28999999999999998</v>
      </c>
      <c r="K78" s="112">
        <v>261.73</v>
      </c>
      <c r="L78" s="112">
        <v>29.72</v>
      </c>
      <c r="M78" s="112">
        <v>77.260000000000005</v>
      </c>
      <c r="N78" s="112">
        <v>14.8</v>
      </c>
      <c r="O78" s="112">
        <v>0</v>
      </c>
      <c r="P78" s="112">
        <v>0.47</v>
      </c>
      <c r="Q78" s="112">
        <v>4.59</v>
      </c>
    </row>
    <row r="79" spans="1:17" customFormat="1">
      <c r="A79" s="80">
        <v>45541.739583333336</v>
      </c>
      <c r="B79" s="112">
        <v>9.2200000000000006</v>
      </c>
      <c r="C79" s="112">
        <v>4.12</v>
      </c>
      <c r="D79" s="112">
        <v>14</v>
      </c>
      <c r="E79" s="112">
        <v>13.7</v>
      </c>
      <c r="F79" s="112">
        <v>14.49</v>
      </c>
      <c r="G79" s="112">
        <v>74.39</v>
      </c>
      <c r="H79" s="112">
        <v>16.53</v>
      </c>
      <c r="I79" s="112">
        <v>4.99</v>
      </c>
      <c r="J79" s="112">
        <v>0.3</v>
      </c>
      <c r="K79" s="112">
        <v>264.54000000000002</v>
      </c>
      <c r="L79" s="112">
        <v>29.19</v>
      </c>
      <c r="M79" s="112">
        <v>80.73</v>
      </c>
      <c r="N79" s="112">
        <v>9.9</v>
      </c>
      <c r="O79" s="112">
        <v>0</v>
      </c>
      <c r="P79" s="112">
        <v>0.51</v>
      </c>
      <c r="Q79" s="112">
        <v>4.5999999999999996</v>
      </c>
    </row>
    <row r="80" spans="1:17" customFormat="1">
      <c r="A80" s="80">
        <v>45541.75</v>
      </c>
      <c r="B80" s="112">
        <v>9.2100000000000009</v>
      </c>
      <c r="C80" s="112">
        <v>4.1399999999999997</v>
      </c>
      <c r="D80" s="112">
        <v>14</v>
      </c>
      <c r="E80" s="112">
        <v>11.94</v>
      </c>
      <c r="F80" s="112">
        <v>14.32</v>
      </c>
      <c r="G80" s="112">
        <v>71.819999999999993</v>
      </c>
      <c r="H80" s="112">
        <v>19.46</v>
      </c>
      <c r="I80" s="112">
        <v>4.84</v>
      </c>
      <c r="J80" s="112">
        <v>0.38</v>
      </c>
      <c r="K80" s="112">
        <v>271.63</v>
      </c>
      <c r="L80" s="112">
        <v>29.1</v>
      </c>
      <c r="M80" s="112">
        <v>82.12</v>
      </c>
      <c r="N80" s="112">
        <v>5.4</v>
      </c>
      <c r="O80" s="112">
        <v>0</v>
      </c>
      <c r="P80" s="112">
        <v>0.53</v>
      </c>
      <c r="Q80" s="112">
        <v>4.6100000000000003</v>
      </c>
    </row>
    <row r="81" spans="1:17" customFormat="1">
      <c r="A81" s="80">
        <v>45541.760416666664</v>
      </c>
      <c r="B81" s="112">
        <v>9.1999999999999993</v>
      </c>
      <c r="C81" s="112">
        <v>4.16</v>
      </c>
      <c r="D81" s="112">
        <v>14</v>
      </c>
      <c r="E81" s="112">
        <v>10.85</v>
      </c>
      <c r="F81" s="112">
        <v>13.34</v>
      </c>
      <c r="G81" s="112">
        <v>71.819999999999993</v>
      </c>
      <c r="H81" s="112">
        <v>19.46</v>
      </c>
      <c r="I81" s="112">
        <v>5.22</v>
      </c>
      <c r="J81" s="112">
        <v>0.26</v>
      </c>
      <c r="K81" s="112">
        <v>261.55</v>
      </c>
      <c r="L81" s="112">
        <v>28.92</v>
      </c>
      <c r="M81" s="112">
        <v>84.75</v>
      </c>
      <c r="N81" s="112">
        <v>2.8</v>
      </c>
      <c r="O81" s="112">
        <v>0</v>
      </c>
      <c r="P81" s="112">
        <v>0.56999999999999995</v>
      </c>
      <c r="Q81" s="112">
        <v>4.5999999999999996</v>
      </c>
    </row>
    <row r="82" spans="1:17" customFormat="1">
      <c r="A82" s="80">
        <v>45541.770833333336</v>
      </c>
      <c r="B82" s="112">
        <v>9.1999999999999993</v>
      </c>
      <c r="C82" s="112">
        <v>4.16</v>
      </c>
      <c r="D82" s="112">
        <v>14</v>
      </c>
      <c r="E82" s="112">
        <v>11.85</v>
      </c>
      <c r="F82" s="112">
        <v>12.27</v>
      </c>
      <c r="G82" s="112">
        <v>71.819999999999993</v>
      </c>
      <c r="H82" s="112">
        <v>19.46</v>
      </c>
      <c r="I82" s="112">
        <v>5.56</v>
      </c>
      <c r="J82" s="112">
        <v>0.48</v>
      </c>
      <c r="K82" s="112">
        <v>273.56</v>
      </c>
      <c r="L82" s="112">
        <v>28.89</v>
      </c>
      <c r="M82" s="112">
        <v>84.48</v>
      </c>
      <c r="N82" s="112">
        <v>2.1</v>
      </c>
      <c r="O82" s="112">
        <v>0</v>
      </c>
      <c r="P82" s="112">
        <v>0.6</v>
      </c>
      <c r="Q82" s="112">
        <v>4.6100000000000003</v>
      </c>
    </row>
    <row r="83" spans="1:17" customFormat="1">
      <c r="A83" s="80">
        <v>45541.78125</v>
      </c>
      <c r="B83" s="112">
        <v>9.1999999999999993</v>
      </c>
      <c r="C83" s="112">
        <v>4.16</v>
      </c>
      <c r="D83" s="112">
        <v>14</v>
      </c>
      <c r="E83" s="112">
        <v>11.57</v>
      </c>
      <c r="F83" s="112">
        <v>11.76</v>
      </c>
      <c r="G83" s="112">
        <v>70.31</v>
      </c>
      <c r="H83" s="112">
        <v>19.420000000000002</v>
      </c>
      <c r="I83" s="112">
        <v>6.12</v>
      </c>
      <c r="J83" s="112">
        <v>0.59</v>
      </c>
      <c r="K83" s="112">
        <v>274.36</v>
      </c>
      <c r="L83" s="112">
        <v>28.83</v>
      </c>
      <c r="M83" s="112">
        <v>84.65</v>
      </c>
      <c r="N83" s="112">
        <v>2.2999999999999998</v>
      </c>
      <c r="O83" s="112">
        <v>0</v>
      </c>
      <c r="P83" s="112">
        <v>0.56000000000000005</v>
      </c>
      <c r="Q83" s="112">
        <v>4.62</v>
      </c>
    </row>
    <row r="84" spans="1:17" customFormat="1">
      <c r="A84" s="80">
        <v>45541.791666666664</v>
      </c>
      <c r="B84" s="112">
        <v>9.19</v>
      </c>
      <c r="C84" s="112">
        <v>4.17</v>
      </c>
      <c r="D84" s="112">
        <v>14</v>
      </c>
      <c r="E84" s="112">
        <v>11.77</v>
      </c>
      <c r="F84" s="112">
        <v>10.99</v>
      </c>
      <c r="G84" s="112">
        <v>65.040000000000006</v>
      </c>
      <c r="H84" s="112">
        <v>19.309999999999999</v>
      </c>
      <c r="I84" s="112">
        <v>6.48</v>
      </c>
      <c r="J84" s="112">
        <v>0.53</v>
      </c>
      <c r="K84" s="112">
        <v>274.88</v>
      </c>
      <c r="L84" s="112">
        <v>28.76</v>
      </c>
      <c r="M84" s="112">
        <v>82.97</v>
      </c>
      <c r="N84" s="112">
        <v>2.2000000000000002</v>
      </c>
      <c r="O84" s="112">
        <v>0</v>
      </c>
      <c r="P84" s="112">
        <v>0.53</v>
      </c>
      <c r="Q84" s="112">
        <v>4.62</v>
      </c>
    </row>
    <row r="85" spans="1:17" customFormat="1">
      <c r="A85" s="80">
        <v>45541.802083333336</v>
      </c>
      <c r="B85" s="112">
        <v>9.19</v>
      </c>
      <c r="C85" s="112">
        <v>4.17</v>
      </c>
      <c r="D85" s="112">
        <v>14</v>
      </c>
      <c r="E85" s="112">
        <v>10.71</v>
      </c>
      <c r="F85" s="112">
        <v>10.71</v>
      </c>
      <c r="G85" s="112">
        <v>65.040000000000006</v>
      </c>
      <c r="H85" s="112">
        <v>19.309999999999999</v>
      </c>
      <c r="I85" s="112">
        <v>6.07</v>
      </c>
      <c r="J85" s="112">
        <v>0.52</v>
      </c>
      <c r="K85" s="112">
        <v>274.27</v>
      </c>
      <c r="L85" s="112">
        <v>28.56</v>
      </c>
      <c r="M85" s="112">
        <v>82.96</v>
      </c>
      <c r="N85" s="112">
        <v>2.4</v>
      </c>
      <c r="O85" s="112">
        <v>0</v>
      </c>
      <c r="P85" s="112">
        <v>0.52</v>
      </c>
      <c r="Q85" s="112">
        <v>4.6100000000000003</v>
      </c>
    </row>
    <row r="86" spans="1:17" customFormat="1">
      <c r="A86" s="80">
        <v>45541.8125</v>
      </c>
      <c r="B86" s="112">
        <v>9.19</v>
      </c>
      <c r="C86" s="112">
        <v>4.18</v>
      </c>
      <c r="D86" s="112">
        <v>14</v>
      </c>
      <c r="E86" s="112">
        <v>10.34</v>
      </c>
      <c r="F86" s="112">
        <v>9.8800000000000008</v>
      </c>
      <c r="G86" s="112">
        <v>65.040000000000006</v>
      </c>
      <c r="H86" s="112">
        <v>19.309999999999999</v>
      </c>
      <c r="I86" s="112">
        <v>5.7</v>
      </c>
      <c r="J86" s="112">
        <v>0.38</v>
      </c>
      <c r="K86" s="112">
        <v>269.05</v>
      </c>
      <c r="L86" s="112">
        <v>28.41</v>
      </c>
      <c r="M86" s="112">
        <v>83.31</v>
      </c>
      <c r="N86" s="112">
        <v>2.4</v>
      </c>
      <c r="O86" s="112">
        <v>0</v>
      </c>
      <c r="P86" s="112">
        <v>0.52</v>
      </c>
      <c r="Q86" s="112">
        <v>4.62</v>
      </c>
    </row>
    <row r="87" spans="1:17" customFormat="1">
      <c r="A87" s="80">
        <v>45541.822916666664</v>
      </c>
      <c r="B87" s="112">
        <v>9.17</v>
      </c>
      <c r="C87" s="112">
        <v>4.2</v>
      </c>
      <c r="D87" s="112">
        <v>14</v>
      </c>
      <c r="E87" s="112">
        <v>10.44</v>
      </c>
      <c r="F87" s="112">
        <v>8.81</v>
      </c>
      <c r="G87" s="112">
        <v>63.43</v>
      </c>
      <c r="H87" s="112">
        <v>18.22</v>
      </c>
      <c r="I87" s="112">
        <v>5.57</v>
      </c>
      <c r="J87" s="112">
        <v>0.27</v>
      </c>
      <c r="K87" s="112">
        <v>255.24</v>
      </c>
      <c r="L87" s="112">
        <v>28.31</v>
      </c>
      <c r="M87" s="112">
        <v>83.96</v>
      </c>
      <c r="N87" s="112">
        <v>2.2000000000000002</v>
      </c>
      <c r="O87" s="112">
        <v>0</v>
      </c>
      <c r="P87" s="112">
        <v>0.54</v>
      </c>
      <c r="Q87" s="112">
        <v>4.62</v>
      </c>
    </row>
    <row r="88" spans="1:17" customFormat="1">
      <c r="A88" s="80">
        <v>45541.833333333336</v>
      </c>
      <c r="B88" s="112">
        <v>9.1999999999999993</v>
      </c>
      <c r="C88" s="112">
        <v>4.1500000000000004</v>
      </c>
      <c r="D88" s="112">
        <v>14</v>
      </c>
      <c r="E88" s="112">
        <v>10.45</v>
      </c>
      <c r="F88" s="112">
        <v>7.53</v>
      </c>
      <c r="G88" s="112">
        <v>57.79</v>
      </c>
      <c r="H88" s="112">
        <v>15.53</v>
      </c>
      <c r="I88" s="112">
        <v>5.55</v>
      </c>
      <c r="J88" s="112">
        <v>0.25</v>
      </c>
      <c r="K88" s="112">
        <v>299.07</v>
      </c>
      <c r="L88" s="112">
        <v>28.19</v>
      </c>
      <c r="M88" s="112">
        <v>83.59</v>
      </c>
      <c r="N88" s="112">
        <v>2.1</v>
      </c>
      <c r="O88" s="112">
        <v>0</v>
      </c>
      <c r="P88" s="112">
        <v>0.56999999999999995</v>
      </c>
      <c r="Q88" s="112">
        <v>4.62</v>
      </c>
    </row>
    <row r="89" spans="1:17" customFormat="1">
      <c r="A89" s="80">
        <v>45541.84375</v>
      </c>
      <c r="B89" s="112">
        <v>9.2100000000000009</v>
      </c>
      <c r="C89" s="112">
        <v>4.1399999999999997</v>
      </c>
      <c r="D89" s="112">
        <v>14</v>
      </c>
      <c r="E89" s="112">
        <v>12.29</v>
      </c>
      <c r="F89" s="112">
        <v>7.2</v>
      </c>
      <c r="G89" s="112">
        <v>57.79</v>
      </c>
      <c r="H89" s="112">
        <v>15.53</v>
      </c>
      <c r="I89" s="112">
        <v>5.73</v>
      </c>
      <c r="J89" s="112">
        <v>0.14000000000000001</v>
      </c>
      <c r="K89" s="112">
        <v>53.28</v>
      </c>
      <c r="L89" s="112">
        <v>28.01</v>
      </c>
      <c r="M89" s="112">
        <v>84</v>
      </c>
      <c r="N89" s="112">
        <v>2.5</v>
      </c>
      <c r="O89" s="112">
        <v>0</v>
      </c>
      <c r="P89" s="112">
        <v>0.56000000000000005</v>
      </c>
      <c r="Q89" s="112">
        <v>4.62</v>
      </c>
    </row>
    <row r="90" spans="1:17" customFormat="1">
      <c r="A90" s="80">
        <v>45541.854166666664</v>
      </c>
      <c r="B90" s="112">
        <v>9.26</v>
      </c>
      <c r="C90" s="112">
        <v>4.08</v>
      </c>
      <c r="D90" s="112">
        <v>14.01</v>
      </c>
      <c r="E90" s="112">
        <v>12.96</v>
      </c>
      <c r="F90" s="112">
        <v>5.72</v>
      </c>
      <c r="G90" s="112">
        <v>57.79</v>
      </c>
      <c r="H90" s="112">
        <v>15.53</v>
      </c>
      <c r="I90" s="112">
        <v>5.91</v>
      </c>
      <c r="J90" s="112">
        <v>0.11</v>
      </c>
      <c r="K90" s="112">
        <v>64.95</v>
      </c>
      <c r="L90" s="112">
        <v>27.77</v>
      </c>
      <c r="M90" s="112">
        <v>85.11</v>
      </c>
      <c r="N90" s="112">
        <v>2.2999999999999998</v>
      </c>
      <c r="O90" s="112">
        <v>0</v>
      </c>
      <c r="P90" s="112">
        <v>0.55000000000000004</v>
      </c>
      <c r="Q90" s="112">
        <v>4.62</v>
      </c>
    </row>
    <row r="91" spans="1:17" customFormat="1">
      <c r="A91" s="80">
        <v>45541.864583333336</v>
      </c>
      <c r="B91" s="112">
        <v>9.2899999999999991</v>
      </c>
      <c r="C91" s="112">
        <v>4.07</v>
      </c>
      <c r="D91" s="112">
        <v>14.02</v>
      </c>
      <c r="E91" s="112">
        <v>12.73</v>
      </c>
      <c r="F91" s="112">
        <v>4.2300000000000004</v>
      </c>
      <c r="G91" s="112">
        <v>58.62</v>
      </c>
      <c r="H91" s="112">
        <v>16.350000000000001</v>
      </c>
      <c r="I91" s="112">
        <v>6.42</v>
      </c>
      <c r="J91" s="112">
        <v>0.09</v>
      </c>
      <c r="K91" s="112">
        <v>258.06</v>
      </c>
      <c r="L91" s="112">
        <v>27.39</v>
      </c>
      <c r="M91" s="112">
        <v>88.14</v>
      </c>
      <c r="N91" s="112">
        <v>2.2999999999999998</v>
      </c>
      <c r="O91" s="112">
        <v>0</v>
      </c>
      <c r="P91" s="112">
        <v>0.53</v>
      </c>
      <c r="Q91" s="112">
        <v>4.62</v>
      </c>
    </row>
    <row r="92" spans="1:17" customFormat="1">
      <c r="A92" s="80">
        <v>45541.875</v>
      </c>
      <c r="B92" s="112">
        <v>9.2799999999999994</v>
      </c>
      <c r="C92" s="112">
        <v>4.1100000000000003</v>
      </c>
      <c r="D92" s="112">
        <v>14.04</v>
      </c>
      <c r="E92" s="112">
        <v>11.73</v>
      </c>
      <c r="F92" s="112">
        <v>3.11</v>
      </c>
      <c r="G92" s="112">
        <v>61.55</v>
      </c>
      <c r="H92" s="112">
        <v>20.170000000000002</v>
      </c>
      <c r="I92" s="112">
        <v>8.1999999999999993</v>
      </c>
      <c r="J92" s="112">
        <v>0.05</v>
      </c>
      <c r="K92" s="112">
        <v>204.39</v>
      </c>
      <c r="L92" s="112">
        <v>27.51</v>
      </c>
      <c r="M92" s="112">
        <v>89.21</v>
      </c>
      <c r="N92" s="112">
        <v>2.1</v>
      </c>
      <c r="O92" s="112">
        <v>0</v>
      </c>
      <c r="P92" s="112">
        <v>0.56999999999999995</v>
      </c>
      <c r="Q92" s="112">
        <v>4.6399999999999997</v>
      </c>
    </row>
    <row r="93" spans="1:17" customFormat="1">
      <c r="A93" s="80">
        <v>45541.885416666664</v>
      </c>
      <c r="B93" s="112">
        <v>9.33</v>
      </c>
      <c r="C93" s="112">
        <v>4.0999999999999996</v>
      </c>
      <c r="D93" s="112">
        <v>14.08</v>
      </c>
      <c r="E93" s="112">
        <v>13.26</v>
      </c>
      <c r="F93" s="112">
        <v>2.4900000000000002</v>
      </c>
      <c r="G93" s="112">
        <v>61.55</v>
      </c>
      <c r="H93" s="112">
        <v>20.170000000000002</v>
      </c>
      <c r="I93" s="112">
        <v>9</v>
      </c>
      <c r="J93" s="112">
        <v>0.18</v>
      </c>
      <c r="K93" s="112">
        <v>185.96</v>
      </c>
      <c r="L93" s="112">
        <v>27.56</v>
      </c>
      <c r="M93" s="112">
        <v>88.97</v>
      </c>
      <c r="N93" s="112">
        <v>2.1</v>
      </c>
      <c r="O93" s="112">
        <v>0</v>
      </c>
      <c r="P93" s="112">
        <v>0.59</v>
      </c>
      <c r="Q93" s="112">
        <v>4.63</v>
      </c>
    </row>
    <row r="94" spans="1:17" customFormat="1">
      <c r="A94" s="80">
        <v>45541.895833333336</v>
      </c>
      <c r="B94" s="112">
        <v>9.3699999999999992</v>
      </c>
      <c r="C94" s="112">
        <v>4.05</v>
      </c>
      <c r="D94" s="112">
        <v>14.08</v>
      </c>
      <c r="E94" s="112">
        <v>11.65</v>
      </c>
      <c r="F94" s="112">
        <v>2.52</v>
      </c>
      <c r="G94" s="112">
        <v>61.55</v>
      </c>
      <c r="H94" s="112">
        <v>20.170000000000002</v>
      </c>
      <c r="I94" s="112">
        <v>8.8699999999999992</v>
      </c>
      <c r="J94" s="112">
        <v>0.14000000000000001</v>
      </c>
      <c r="K94" s="112">
        <v>181.39</v>
      </c>
      <c r="L94" s="112">
        <v>27.36</v>
      </c>
      <c r="M94" s="112">
        <v>90.33</v>
      </c>
      <c r="N94" s="112">
        <v>2.2000000000000002</v>
      </c>
      <c r="O94" s="112">
        <v>0</v>
      </c>
      <c r="P94" s="112">
        <v>0.6</v>
      </c>
      <c r="Q94" s="112">
        <v>4.63</v>
      </c>
    </row>
    <row r="95" spans="1:17" customFormat="1">
      <c r="A95" s="80">
        <v>45541.90625</v>
      </c>
      <c r="B95" s="112">
        <v>9.33</v>
      </c>
      <c r="C95" s="112">
        <v>4.08</v>
      </c>
      <c r="D95" s="112">
        <v>14.06</v>
      </c>
      <c r="E95" s="112">
        <v>10.86</v>
      </c>
      <c r="F95" s="112">
        <v>4.4000000000000004</v>
      </c>
      <c r="G95" s="112">
        <v>63.64</v>
      </c>
      <c r="H95" s="112">
        <v>22.3</v>
      </c>
      <c r="I95" s="112">
        <v>8.18</v>
      </c>
      <c r="J95" s="112">
        <v>0.26</v>
      </c>
      <c r="K95" s="112">
        <v>259.06</v>
      </c>
      <c r="L95" s="112">
        <v>27.4</v>
      </c>
      <c r="M95" s="112">
        <v>94.26</v>
      </c>
      <c r="N95" s="112">
        <v>1.9</v>
      </c>
      <c r="O95" s="112">
        <v>0</v>
      </c>
      <c r="P95" s="112">
        <v>0.61</v>
      </c>
      <c r="Q95" s="112">
        <v>4.63</v>
      </c>
    </row>
    <row r="96" spans="1:17" customFormat="1">
      <c r="A96" s="80">
        <v>45541.916666666664</v>
      </c>
      <c r="B96" s="112">
        <v>9.31</v>
      </c>
      <c r="C96" s="112">
        <v>4.0599999999999996</v>
      </c>
      <c r="D96" s="112">
        <v>14.03</v>
      </c>
      <c r="E96" s="112">
        <v>11.15</v>
      </c>
      <c r="F96" s="112">
        <v>5.2</v>
      </c>
      <c r="G96" s="112">
        <v>70.95</v>
      </c>
      <c r="H96" s="112">
        <v>27.56</v>
      </c>
      <c r="I96" s="112">
        <v>7.85</v>
      </c>
      <c r="J96" s="112">
        <v>0.45</v>
      </c>
      <c r="K96" s="112">
        <v>270.79000000000002</v>
      </c>
      <c r="L96" s="112">
        <v>27.44</v>
      </c>
      <c r="M96" s="112">
        <v>94.17</v>
      </c>
      <c r="N96" s="112">
        <v>2</v>
      </c>
      <c r="O96" s="112">
        <v>0</v>
      </c>
      <c r="P96" s="112">
        <v>0.56000000000000005</v>
      </c>
      <c r="Q96" s="112">
        <v>4.62</v>
      </c>
    </row>
    <row r="97" spans="1:22" customFormat="1">
      <c r="A97" s="80">
        <v>45541.927083333336</v>
      </c>
      <c r="B97" s="112">
        <v>9.2899999999999991</v>
      </c>
      <c r="C97" s="112">
        <v>4.07</v>
      </c>
      <c r="D97" s="112">
        <v>14.03</v>
      </c>
      <c r="E97" s="112">
        <v>10.54</v>
      </c>
      <c r="F97" s="112">
        <v>6.2</v>
      </c>
      <c r="G97" s="112">
        <v>70.95</v>
      </c>
      <c r="H97" s="112">
        <v>27.56</v>
      </c>
      <c r="I97" s="112">
        <v>7.74</v>
      </c>
      <c r="J97" s="112">
        <v>0.82</v>
      </c>
      <c r="K97" s="112">
        <v>278.08</v>
      </c>
      <c r="L97" s="112">
        <v>27.28</v>
      </c>
      <c r="M97" s="112">
        <v>92.5</v>
      </c>
      <c r="N97" s="112">
        <v>2.2000000000000002</v>
      </c>
      <c r="O97" s="112">
        <v>0</v>
      </c>
      <c r="P97" s="112">
        <v>0.56000000000000005</v>
      </c>
      <c r="Q97" s="112">
        <v>4.62</v>
      </c>
    </row>
    <row r="98" spans="1:22" customFormat="1">
      <c r="A98" s="80">
        <v>45541.9375</v>
      </c>
      <c r="B98" s="112">
        <v>9.2799999999999994</v>
      </c>
      <c r="C98" s="112">
        <v>4.07</v>
      </c>
      <c r="D98" s="112">
        <v>14.02</v>
      </c>
      <c r="E98" s="112">
        <v>11.17</v>
      </c>
      <c r="F98" s="112">
        <v>5.93</v>
      </c>
      <c r="G98" s="112">
        <v>70.95</v>
      </c>
      <c r="H98" s="112">
        <v>27.56</v>
      </c>
      <c r="I98" s="112">
        <v>7.37</v>
      </c>
      <c r="J98" s="112">
        <v>0.55000000000000004</v>
      </c>
      <c r="K98" s="112">
        <v>276.07</v>
      </c>
      <c r="L98" s="112">
        <v>27.1</v>
      </c>
      <c r="M98" s="112">
        <v>90.8</v>
      </c>
      <c r="N98" s="112">
        <v>2.2000000000000002</v>
      </c>
      <c r="O98" s="112">
        <v>0</v>
      </c>
      <c r="P98" s="112">
        <v>0.56000000000000005</v>
      </c>
      <c r="Q98" s="112">
        <v>4.63</v>
      </c>
    </row>
    <row r="99" spans="1:22" customFormat="1">
      <c r="A99" s="80">
        <v>45541.947916666664</v>
      </c>
      <c r="B99" s="112">
        <v>9.2799999999999994</v>
      </c>
      <c r="C99" s="112">
        <v>4.09</v>
      </c>
      <c r="D99" s="112">
        <v>14.03</v>
      </c>
      <c r="E99" s="112">
        <v>10.55</v>
      </c>
      <c r="F99" s="112">
        <v>6.14</v>
      </c>
      <c r="G99" s="112">
        <v>69.430000000000007</v>
      </c>
      <c r="H99" s="112">
        <v>25.21</v>
      </c>
      <c r="I99" s="112">
        <v>7.13</v>
      </c>
      <c r="J99" s="112">
        <v>0.4</v>
      </c>
      <c r="K99" s="112">
        <v>272.98</v>
      </c>
      <c r="L99" s="112">
        <v>26.98</v>
      </c>
      <c r="M99" s="112">
        <v>90.41</v>
      </c>
      <c r="N99" s="112">
        <v>2.1</v>
      </c>
      <c r="O99" s="112">
        <v>0</v>
      </c>
      <c r="P99" s="112">
        <v>0.54</v>
      </c>
      <c r="Q99" s="112">
        <v>4.62</v>
      </c>
    </row>
    <row r="100" spans="1:22" customFormat="1">
      <c r="A100" s="80">
        <v>45541.958333333336</v>
      </c>
      <c r="B100" s="112">
        <v>9.2799999999999994</v>
      </c>
      <c r="C100" s="112">
        <v>4.07</v>
      </c>
      <c r="D100" s="112">
        <v>14.02</v>
      </c>
      <c r="E100" s="112">
        <v>11.15</v>
      </c>
      <c r="F100" s="112">
        <v>5.74</v>
      </c>
      <c r="G100" s="112">
        <v>64.12</v>
      </c>
      <c r="H100" s="112">
        <v>19.41</v>
      </c>
      <c r="I100" s="112">
        <v>7.04</v>
      </c>
      <c r="J100" s="112">
        <v>0.32</v>
      </c>
      <c r="K100" s="112">
        <v>271.45999999999998</v>
      </c>
      <c r="L100" s="112">
        <v>26.91</v>
      </c>
      <c r="M100" s="112">
        <v>90.12</v>
      </c>
      <c r="N100" s="112">
        <v>2.1</v>
      </c>
      <c r="O100" s="112">
        <v>0</v>
      </c>
      <c r="P100" s="112">
        <v>0.53</v>
      </c>
      <c r="Q100" s="112">
        <v>4.62</v>
      </c>
    </row>
    <row r="101" spans="1:22" customFormat="1">
      <c r="A101" s="80">
        <v>45541.96875</v>
      </c>
      <c r="B101" s="112">
        <v>9.27</v>
      </c>
      <c r="C101" s="112">
        <v>4.08</v>
      </c>
      <c r="D101" s="112">
        <v>14.02</v>
      </c>
      <c r="E101" s="112">
        <v>10.9</v>
      </c>
      <c r="F101" s="112">
        <v>5.61</v>
      </c>
      <c r="G101" s="112">
        <v>64.12</v>
      </c>
      <c r="H101" s="112">
        <v>19.41</v>
      </c>
      <c r="I101" s="112">
        <v>6.79</v>
      </c>
      <c r="J101" s="112">
        <v>0.11</v>
      </c>
      <c r="K101" s="112">
        <v>213.27</v>
      </c>
      <c r="L101" s="112">
        <v>26.88</v>
      </c>
      <c r="M101" s="112">
        <v>89.64</v>
      </c>
      <c r="N101" s="112">
        <v>2.1</v>
      </c>
      <c r="O101" s="112">
        <v>0</v>
      </c>
      <c r="P101" s="112">
        <v>0.56000000000000005</v>
      </c>
      <c r="Q101" s="112">
        <v>4.62</v>
      </c>
    </row>
    <row r="102" spans="1:22" customFormat="1">
      <c r="A102" s="80">
        <v>45541.979166666664</v>
      </c>
      <c r="B102" s="112">
        <v>9.2799999999999994</v>
      </c>
      <c r="C102" s="112">
        <v>4.0599999999999996</v>
      </c>
      <c r="D102" s="112">
        <v>14.01</v>
      </c>
      <c r="E102" s="112">
        <v>11.11</v>
      </c>
      <c r="F102" s="112">
        <v>3.79</v>
      </c>
      <c r="G102" s="112">
        <v>64.12</v>
      </c>
      <c r="H102" s="112">
        <v>19.41</v>
      </c>
      <c r="I102" s="112">
        <v>6.61</v>
      </c>
      <c r="J102" s="112">
        <v>0.17</v>
      </c>
      <c r="K102" s="112">
        <v>184.3</v>
      </c>
      <c r="L102" s="112">
        <v>26.74</v>
      </c>
      <c r="M102" s="112">
        <v>91.55</v>
      </c>
      <c r="N102" s="112">
        <v>2.2000000000000002</v>
      </c>
      <c r="O102" s="112">
        <v>0</v>
      </c>
      <c r="P102" s="112">
        <v>0.61</v>
      </c>
      <c r="Q102" s="112">
        <v>4.62</v>
      </c>
    </row>
    <row r="103" spans="1:22" customFormat="1">
      <c r="A103" s="80">
        <v>45541.989583333336</v>
      </c>
      <c r="B103" s="112">
        <v>9.2799999999999994</v>
      </c>
      <c r="C103" s="112">
        <v>4.0599999999999996</v>
      </c>
      <c r="D103" s="112">
        <v>14.01</v>
      </c>
      <c r="E103" s="112">
        <v>10.98</v>
      </c>
      <c r="F103" s="112">
        <v>4.22</v>
      </c>
      <c r="G103" s="112">
        <v>59.68</v>
      </c>
      <c r="H103" s="112">
        <v>19.39</v>
      </c>
      <c r="I103" s="112">
        <v>6.91</v>
      </c>
      <c r="J103" s="112">
        <v>7.0000000000000007E-2</v>
      </c>
      <c r="K103" s="112">
        <v>232.61</v>
      </c>
      <c r="L103" s="112">
        <v>26.6</v>
      </c>
      <c r="M103" s="112">
        <v>92.7</v>
      </c>
      <c r="N103" s="112">
        <v>2.1</v>
      </c>
      <c r="O103" s="112">
        <v>0</v>
      </c>
      <c r="P103" s="112">
        <v>0.61</v>
      </c>
      <c r="Q103" s="112">
        <v>4.62</v>
      </c>
    </row>
    <row r="104" spans="1:22" customFormat="1">
      <c r="A104" s="80">
        <v>45542</v>
      </c>
      <c r="B104" s="112">
        <v>9.2799999999999994</v>
      </c>
      <c r="C104" s="112">
        <v>4.05</v>
      </c>
      <c r="D104" s="112">
        <v>14.01</v>
      </c>
      <c r="E104" s="112">
        <v>11.3</v>
      </c>
      <c r="F104" s="112">
        <v>3.41</v>
      </c>
      <c r="G104" s="112">
        <v>44.14</v>
      </c>
      <c r="H104" s="112">
        <v>19.34</v>
      </c>
      <c r="I104" s="112">
        <v>7.37</v>
      </c>
      <c r="J104" s="112">
        <v>0.1</v>
      </c>
      <c r="K104" s="112">
        <v>177.46</v>
      </c>
      <c r="L104" s="112">
        <v>26.5</v>
      </c>
      <c r="M104" s="112">
        <v>92.92</v>
      </c>
      <c r="N104" s="112">
        <v>2.1</v>
      </c>
      <c r="O104" s="112">
        <v>0</v>
      </c>
      <c r="P104" s="112">
        <v>0.62</v>
      </c>
      <c r="Q104" s="112">
        <v>4.63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9.17</v>
      </c>
      <c r="C106" s="183">
        <f>MIN(C9:C104)</f>
        <v>4.04</v>
      </c>
      <c r="D106" s="183">
        <f t="shared" ref="D106:Q106" si="0">MIN(D9:D104)</f>
        <v>14</v>
      </c>
      <c r="E106" s="183">
        <f t="shared" si="0"/>
        <v>8.1</v>
      </c>
      <c r="F106" s="183">
        <f t="shared" si="0"/>
        <v>1.53</v>
      </c>
      <c r="G106" s="183">
        <f t="shared" si="0"/>
        <v>13.47</v>
      </c>
      <c r="H106" s="183">
        <f t="shared" si="0"/>
        <v>4.6500000000000004</v>
      </c>
      <c r="I106" s="183">
        <f t="shared" si="0"/>
        <v>3.61</v>
      </c>
      <c r="J106" s="183">
        <f t="shared" si="0"/>
        <v>0.04</v>
      </c>
      <c r="K106" s="183">
        <f t="shared" si="0"/>
        <v>27.84</v>
      </c>
      <c r="L106" s="183">
        <f t="shared" si="0"/>
        <v>24.14</v>
      </c>
      <c r="M106" s="183">
        <f t="shared" si="0"/>
        <v>64.37</v>
      </c>
      <c r="N106" s="183">
        <f t="shared" si="0"/>
        <v>1.9</v>
      </c>
      <c r="O106" s="183">
        <f t="shared" si="0"/>
        <v>0</v>
      </c>
      <c r="P106" s="183">
        <f t="shared" si="0"/>
        <v>0.33</v>
      </c>
      <c r="Q106" s="183">
        <f t="shared" si="0"/>
        <v>4.59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9.3699999999999992</v>
      </c>
      <c r="C107" s="184">
        <f t="shared" ref="C107:Q107" si="1">MAX(C9:C104)</f>
        <v>4.2</v>
      </c>
      <c r="D107" s="184">
        <f t="shared" si="1"/>
        <v>14.08</v>
      </c>
      <c r="E107" s="184">
        <f t="shared" si="1"/>
        <v>31.24</v>
      </c>
      <c r="F107" s="184">
        <f t="shared" si="1"/>
        <v>14.65</v>
      </c>
      <c r="G107" s="184">
        <f t="shared" si="1"/>
        <v>96.34</v>
      </c>
      <c r="H107" s="184">
        <f t="shared" si="1"/>
        <v>29.09</v>
      </c>
      <c r="I107" s="184">
        <f t="shared" si="1"/>
        <v>9</v>
      </c>
      <c r="J107" s="184">
        <f t="shared" si="1"/>
        <v>0.95</v>
      </c>
      <c r="K107" s="184">
        <f t="shared" si="1"/>
        <v>299.07</v>
      </c>
      <c r="L107" s="184">
        <f t="shared" si="1"/>
        <v>32.46</v>
      </c>
      <c r="M107" s="184">
        <f t="shared" si="1"/>
        <v>99.78</v>
      </c>
      <c r="N107" s="184">
        <f t="shared" si="1"/>
        <v>676.1</v>
      </c>
      <c r="O107" s="184">
        <f t="shared" si="1"/>
        <v>0</v>
      </c>
      <c r="P107" s="184">
        <f t="shared" si="1"/>
        <v>0.62</v>
      </c>
      <c r="Q107" s="184">
        <f t="shared" si="1"/>
        <v>4.6399999999999997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9.268437500000001</v>
      </c>
      <c r="C108" s="183">
        <f t="shared" ref="C108:Q108" si="2">AVERAGE(C9:C104)</f>
        <v>4.0841666666666674</v>
      </c>
      <c r="D108" s="183">
        <f t="shared" si="2"/>
        <v>14.016145833333324</v>
      </c>
      <c r="E108" s="183">
        <f t="shared" si="2"/>
        <v>12.195000000000002</v>
      </c>
      <c r="F108" s="183">
        <f t="shared" si="2"/>
        <v>6.3322916666666664</v>
      </c>
      <c r="G108" s="183">
        <f t="shared" si="2"/>
        <v>53.339375000000018</v>
      </c>
      <c r="H108" s="183">
        <f t="shared" si="2"/>
        <v>16.785104166666667</v>
      </c>
      <c r="I108" s="183">
        <f t="shared" si="2"/>
        <v>4.9020833333333362</v>
      </c>
      <c r="J108" s="183">
        <f t="shared" si="2"/>
        <v>0.33302083333333332</v>
      </c>
      <c r="K108" s="183">
        <f t="shared" si="2"/>
        <v>150.12760416666666</v>
      </c>
      <c r="L108" s="183">
        <f t="shared" si="2"/>
        <v>27.879791666666673</v>
      </c>
      <c r="M108" s="183">
        <f t="shared" si="2"/>
        <v>85.567187500000003</v>
      </c>
      <c r="N108" s="183">
        <f t="shared" si="2"/>
        <v>122.30104166666672</v>
      </c>
      <c r="O108" s="183">
        <f t="shared" si="2"/>
        <v>0</v>
      </c>
      <c r="P108" s="183">
        <f t="shared" si="2"/>
        <v>0.45479166666666671</v>
      </c>
      <c r="Q108" s="183">
        <f t="shared" si="2"/>
        <v>4.6152083333333369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3.3508149048128238E-2</v>
      </c>
      <c r="C109" s="183">
        <f t="shared" ref="C109:Q109" si="3">STDEV(C9:C104)</f>
        <v>3.1545011004883897E-2</v>
      </c>
      <c r="D109" s="183">
        <f t="shared" si="3"/>
        <v>1.761397720511905E-2</v>
      </c>
      <c r="E109" s="183">
        <f t="shared" si="3"/>
        <v>3.5264074457844692</v>
      </c>
      <c r="F109" s="183">
        <f t="shared" si="3"/>
        <v>3.6749102328217811</v>
      </c>
      <c r="G109" s="183">
        <f t="shared" si="3"/>
        <v>28.522453087551575</v>
      </c>
      <c r="H109" s="183">
        <f t="shared" si="3"/>
        <v>7.6376594644104276</v>
      </c>
      <c r="I109" s="183">
        <f t="shared" si="3"/>
        <v>1.2727317629221182</v>
      </c>
      <c r="J109" s="183">
        <f t="shared" si="3"/>
        <v>0.2434191524344991</v>
      </c>
      <c r="K109" s="183">
        <f t="shared" si="3"/>
        <v>86.09721485494471</v>
      </c>
      <c r="L109" s="183">
        <f t="shared" si="3"/>
        <v>2.821864997019357</v>
      </c>
      <c r="M109" s="183">
        <f t="shared" si="3"/>
        <v>12.556881334498785</v>
      </c>
      <c r="N109" s="183">
        <f t="shared" si="3"/>
        <v>180.45166694759752</v>
      </c>
      <c r="O109" s="183">
        <f t="shared" si="3"/>
        <v>0</v>
      </c>
      <c r="P109" s="183">
        <f t="shared" si="3"/>
        <v>7.8498798739272485E-2</v>
      </c>
      <c r="Q109" s="183">
        <f t="shared" si="3"/>
        <v>1.1048140273764303E-2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E110" sqref="E110:Q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45542.010416666664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45542.010416666664</v>
      </c>
      <c r="B9" s="112">
        <v>9.31</v>
      </c>
      <c r="C9" s="112">
        <v>4.05</v>
      </c>
      <c r="D9" s="112">
        <v>14.03</v>
      </c>
      <c r="E9" s="112">
        <v>11.37</v>
      </c>
      <c r="F9" s="112">
        <v>3.12</v>
      </c>
      <c r="G9" s="112">
        <v>44.14</v>
      </c>
      <c r="H9" s="112">
        <v>19.34</v>
      </c>
      <c r="I9" s="112">
        <v>7.44</v>
      </c>
      <c r="J9" s="112">
        <v>0.13</v>
      </c>
      <c r="K9" s="112">
        <v>206.52</v>
      </c>
      <c r="L9" s="112">
        <v>26.38</v>
      </c>
      <c r="M9" s="112">
        <v>93.79</v>
      </c>
      <c r="N9" s="112">
        <v>2.1</v>
      </c>
      <c r="O9" s="112">
        <v>0</v>
      </c>
      <c r="P9" s="112">
        <v>0.62</v>
      </c>
      <c r="Q9" s="112">
        <v>4.62</v>
      </c>
    </row>
    <row r="10" spans="1:21" customFormat="1">
      <c r="A10" s="80">
        <v>45542.020833333336</v>
      </c>
      <c r="B10" s="112">
        <v>9.3000000000000007</v>
      </c>
      <c r="C10" s="112">
        <v>4.07</v>
      </c>
      <c r="D10" s="112">
        <v>14.04</v>
      </c>
      <c r="E10" s="112">
        <v>11.09</v>
      </c>
      <c r="F10" s="112">
        <v>2.56</v>
      </c>
      <c r="G10" s="112">
        <v>44.14</v>
      </c>
      <c r="H10" s="112">
        <v>19.34</v>
      </c>
      <c r="I10" s="112">
        <v>7.64</v>
      </c>
      <c r="J10" s="112">
        <v>0.16</v>
      </c>
      <c r="K10" s="112">
        <v>242.56</v>
      </c>
      <c r="L10" s="112">
        <v>26.35</v>
      </c>
      <c r="M10" s="112">
        <v>94.09</v>
      </c>
      <c r="N10" s="112">
        <v>2.1</v>
      </c>
      <c r="O10" s="112">
        <v>0</v>
      </c>
      <c r="P10" s="112">
        <v>0.62</v>
      </c>
      <c r="Q10" s="112">
        <v>4.62</v>
      </c>
    </row>
    <row r="11" spans="1:21" customFormat="1">
      <c r="A11" s="80">
        <v>45542.03125</v>
      </c>
      <c r="B11" s="112">
        <v>9.3000000000000007</v>
      </c>
      <c r="C11" s="112">
        <v>4.07</v>
      </c>
      <c r="D11" s="112">
        <v>14.03</v>
      </c>
      <c r="E11" s="112">
        <v>11.14</v>
      </c>
      <c r="F11" s="112">
        <v>1.68</v>
      </c>
      <c r="G11" s="112">
        <v>45.26</v>
      </c>
      <c r="H11" s="112">
        <v>19.12</v>
      </c>
      <c r="I11" s="112">
        <v>7.84</v>
      </c>
      <c r="J11" s="112">
        <v>0.15</v>
      </c>
      <c r="K11" s="112">
        <v>190.93</v>
      </c>
      <c r="L11" s="112">
        <v>26.33</v>
      </c>
      <c r="M11" s="112">
        <v>94.89</v>
      </c>
      <c r="N11" s="112">
        <v>2.1</v>
      </c>
      <c r="O11" s="112">
        <v>0</v>
      </c>
      <c r="P11" s="112">
        <v>0.65</v>
      </c>
      <c r="Q11" s="112">
        <v>4.62</v>
      </c>
    </row>
    <row r="12" spans="1:21" customFormat="1">
      <c r="A12" s="80">
        <v>45542.041666666664</v>
      </c>
      <c r="B12" s="112">
        <v>9.2799999999999994</v>
      </c>
      <c r="C12" s="112">
        <v>4.0599999999999996</v>
      </c>
      <c r="D12" s="112">
        <v>14.01</v>
      </c>
      <c r="E12" s="112">
        <v>11.5</v>
      </c>
      <c r="F12" s="112">
        <v>2.16</v>
      </c>
      <c r="G12" s="112">
        <v>49.16</v>
      </c>
      <c r="H12" s="112">
        <v>18.57</v>
      </c>
      <c r="I12" s="112">
        <v>8.0299999999999994</v>
      </c>
      <c r="J12" s="112">
        <v>0.16</v>
      </c>
      <c r="K12" s="112">
        <v>192.14</v>
      </c>
      <c r="L12" s="112">
        <v>26.34</v>
      </c>
      <c r="M12" s="112">
        <v>94.78</v>
      </c>
      <c r="N12" s="112">
        <v>2.1</v>
      </c>
      <c r="O12" s="112">
        <v>0</v>
      </c>
      <c r="P12" s="112">
        <v>0.65</v>
      </c>
      <c r="Q12" s="112">
        <v>4.62</v>
      </c>
    </row>
    <row r="13" spans="1:21" customFormat="1">
      <c r="A13" s="80">
        <v>45542.052083333336</v>
      </c>
      <c r="B13" s="112">
        <v>9.2799999999999994</v>
      </c>
      <c r="C13" s="112">
        <v>4.04</v>
      </c>
      <c r="D13" s="112">
        <v>14.01</v>
      </c>
      <c r="E13" s="112">
        <v>11.98</v>
      </c>
      <c r="F13" s="112">
        <v>2.61</v>
      </c>
      <c r="G13" s="112">
        <v>49.16</v>
      </c>
      <c r="H13" s="112">
        <v>18.57</v>
      </c>
      <c r="I13" s="112">
        <v>8.4600000000000009</v>
      </c>
      <c r="J13" s="112">
        <v>0.16</v>
      </c>
      <c r="K13" s="112">
        <v>182.73</v>
      </c>
      <c r="L13" s="112">
        <v>26.23</v>
      </c>
      <c r="M13" s="112">
        <v>94.92</v>
      </c>
      <c r="N13" s="112">
        <v>2.1</v>
      </c>
      <c r="O13" s="112">
        <v>0</v>
      </c>
      <c r="P13" s="112">
        <v>0.62</v>
      </c>
      <c r="Q13" s="112">
        <v>4.6100000000000003</v>
      </c>
    </row>
    <row r="14" spans="1:21" customFormat="1">
      <c r="A14" s="80">
        <v>45542.0625</v>
      </c>
      <c r="B14" s="112">
        <v>9.2899999999999991</v>
      </c>
      <c r="C14" s="112">
        <v>4.07</v>
      </c>
      <c r="D14" s="112">
        <v>14.03</v>
      </c>
      <c r="E14" s="112">
        <v>11.54</v>
      </c>
      <c r="F14" s="112">
        <v>2.5299999999999998</v>
      </c>
      <c r="G14" s="112">
        <v>49.16</v>
      </c>
      <c r="H14" s="112">
        <v>18.57</v>
      </c>
      <c r="I14" s="112">
        <v>8.3000000000000007</v>
      </c>
      <c r="J14" s="112">
        <v>0.11</v>
      </c>
      <c r="K14" s="112">
        <v>201.09</v>
      </c>
      <c r="L14" s="112">
        <v>26.08</v>
      </c>
      <c r="M14" s="112">
        <v>96.06</v>
      </c>
      <c r="N14" s="112">
        <v>2.1</v>
      </c>
      <c r="O14" s="112">
        <v>0</v>
      </c>
      <c r="P14" s="112">
        <v>0.62</v>
      </c>
      <c r="Q14" s="112">
        <v>4.6100000000000003</v>
      </c>
    </row>
    <row r="15" spans="1:21" customFormat="1">
      <c r="A15" s="80">
        <v>45542.072916666664</v>
      </c>
      <c r="B15" s="112">
        <v>9.2899999999999991</v>
      </c>
      <c r="C15" s="112">
        <v>4.0599999999999996</v>
      </c>
      <c r="D15" s="112">
        <v>14.02</v>
      </c>
      <c r="E15" s="112">
        <v>11.29</v>
      </c>
      <c r="F15" s="112">
        <v>2.73</v>
      </c>
      <c r="G15" s="112">
        <v>47.49</v>
      </c>
      <c r="H15" s="112">
        <v>17.37</v>
      </c>
      <c r="I15" s="112">
        <v>7.97</v>
      </c>
      <c r="J15" s="112">
        <v>0.11</v>
      </c>
      <c r="K15" s="112">
        <v>181.77</v>
      </c>
      <c r="L15" s="112">
        <v>25.99</v>
      </c>
      <c r="M15" s="112">
        <v>96.29</v>
      </c>
      <c r="N15" s="112">
        <v>2.1</v>
      </c>
      <c r="O15" s="112">
        <v>0</v>
      </c>
      <c r="P15" s="112">
        <v>0.6</v>
      </c>
      <c r="Q15" s="112">
        <v>4.62</v>
      </c>
    </row>
    <row r="16" spans="1:21" customFormat="1">
      <c r="A16" s="80">
        <v>45542.083333333336</v>
      </c>
      <c r="B16" s="112">
        <v>9.2799999999999994</v>
      </c>
      <c r="C16" s="112">
        <v>4.07</v>
      </c>
      <c r="D16" s="112">
        <v>14.02</v>
      </c>
      <c r="E16" s="112">
        <v>11.79</v>
      </c>
      <c r="F16" s="112">
        <v>3.34</v>
      </c>
      <c r="G16" s="112">
        <v>41.21</v>
      </c>
      <c r="H16" s="112">
        <v>14.39</v>
      </c>
      <c r="I16" s="112">
        <v>7.89</v>
      </c>
      <c r="J16" s="112">
        <v>0.09</v>
      </c>
      <c r="K16" s="112">
        <v>229.33</v>
      </c>
      <c r="L16" s="112">
        <v>25.93</v>
      </c>
      <c r="M16" s="112">
        <v>96.19</v>
      </c>
      <c r="N16" s="112">
        <v>2.1</v>
      </c>
      <c r="O16" s="112">
        <v>0</v>
      </c>
      <c r="P16" s="112">
        <v>0.57999999999999996</v>
      </c>
      <c r="Q16" s="112">
        <v>4.62</v>
      </c>
    </row>
    <row r="17" spans="1:17" customFormat="1">
      <c r="A17" s="80">
        <v>45542.09375</v>
      </c>
      <c r="B17" s="112">
        <v>9.2899999999999991</v>
      </c>
      <c r="C17" s="112">
        <v>4.07</v>
      </c>
      <c r="D17" s="112">
        <v>14.02</v>
      </c>
      <c r="E17" s="112">
        <v>9.2799999999999994</v>
      </c>
      <c r="F17" s="112">
        <v>3.69</v>
      </c>
      <c r="G17" s="112">
        <v>41.21</v>
      </c>
      <c r="H17" s="112">
        <v>14.39</v>
      </c>
      <c r="I17" s="112">
        <v>7.67</v>
      </c>
      <c r="J17" s="112">
        <v>0.13</v>
      </c>
      <c r="K17" s="112">
        <v>232.18</v>
      </c>
      <c r="L17" s="112">
        <v>25.86</v>
      </c>
      <c r="M17" s="112">
        <v>97.25</v>
      </c>
      <c r="N17" s="112">
        <v>2.1</v>
      </c>
      <c r="O17" s="112">
        <v>0</v>
      </c>
      <c r="P17" s="112">
        <v>0.56999999999999995</v>
      </c>
      <c r="Q17" s="112">
        <v>4.63</v>
      </c>
    </row>
    <row r="18" spans="1:17" customFormat="1">
      <c r="A18" s="80">
        <v>45542.104166666664</v>
      </c>
      <c r="B18" s="112">
        <v>9.2799999999999994</v>
      </c>
      <c r="C18" s="112">
        <v>4.08</v>
      </c>
      <c r="D18" s="112">
        <v>14.02</v>
      </c>
      <c r="E18" s="112">
        <v>10.029999999999999</v>
      </c>
      <c r="F18" s="112">
        <v>3.82</v>
      </c>
      <c r="G18" s="112">
        <v>41.21</v>
      </c>
      <c r="H18" s="112">
        <v>14.39</v>
      </c>
      <c r="I18" s="112">
        <v>7.45</v>
      </c>
      <c r="J18" s="112">
        <v>0.15</v>
      </c>
      <c r="K18" s="112">
        <v>185.85</v>
      </c>
      <c r="L18" s="112">
        <v>25.77</v>
      </c>
      <c r="M18" s="112">
        <v>97.62</v>
      </c>
      <c r="N18" s="112">
        <v>2.1</v>
      </c>
      <c r="O18" s="112">
        <v>0</v>
      </c>
      <c r="P18" s="112">
        <v>0.55000000000000004</v>
      </c>
      <c r="Q18" s="112">
        <v>4.62</v>
      </c>
    </row>
    <row r="19" spans="1:17" customFormat="1">
      <c r="A19" s="80">
        <v>45542.114583333336</v>
      </c>
      <c r="B19" s="112">
        <v>9.27</v>
      </c>
      <c r="C19" s="112">
        <v>4.09</v>
      </c>
      <c r="D19" s="112">
        <v>14.02</v>
      </c>
      <c r="E19" s="112">
        <v>9.84</v>
      </c>
      <c r="F19" s="112">
        <v>4.88</v>
      </c>
      <c r="G19" s="112">
        <v>40.1</v>
      </c>
      <c r="H19" s="112">
        <v>14.41</v>
      </c>
      <c r="I19" s="112">
        <v>7.41</v>
      </c>
      <c r="J19" s="112">
        <v>0.11</v>
      </c>
      <c r="K19" s="112">
        <v>165.49</v>
      </c>
      <c r="L19" s="112">
        <v>25.75</v>
      </c>
      <c r="M19" s="112">
        <v>97.37</v>
      </c>
      <c r="N19" s="112">
        <v>2.1</v>
      </c>
      <c r="O19" s="112">
        <v>0</v>
      </c>
      <c r="P19" s="112">
        <v>0.53</v>
      </c>
      <c r="Q19" s="112">
        <v>4.63</v>
      </c>
    </row>
    <row r="20" spans="1:17" customFormat="1">
      <c r="A20" s="80">
        <v>45542.125</v>
      </c>
      <c r="B20" s="112">
        <v>9.3000000000000007</v>
      </c>
      <c r="C20" s="112">
        <v>4.08</v>
      </c>
      <c r="D20" s="112">
        <v>14.03</v>
      </c>
      <c r="E20" s="112">
        <v>8.8000000000000007</v>
      </c>
      <c r="F20" s="112">
        <v>6.29</v>
      </c>
      <c r="G20" s="112">
        <v>35.93</v>
      </c>
      <c r="H20" s="112">
        <v>14.48</v>
      </c>
      <c r="I20" s="112">
        <v>7.23</v>
      </c>
      <c r="J20" s="112">
        <v>0.12</v>
      </c>
      <c r="K20" s="112">
        <v>195.48</v>
      </c>
      <c r="L20" s="112">
        <v>25.79</v>
      </c>
      <c r="M20" s="112">
        <v>97.65</v>
      </c>
      <c r="N20" s="112">
        <v>2.1</v>
      </c>
      <c r="O20" s="112">
        <v>0</v>
      </c>
      <c r="P20" s="112">
        <v>0.51</v>
      </c>
      <c r="Q20" s="112">
        <v>4.62</v>
      </c>
    </row>
    <row r="21" spans="1:17" customFormat="1">
      <c r="A21" s="80">
        <v>45542.135416666664</v>
      </c>
      <c r="B21" s="112">
        <v>9.2899999999999991</v>
      </c>
      <c r="C21" s="112">
        <v>4.08</v>
      </c>
      <c r="D21" s="112">
        <v>14.03</v>
      </c>
      <c r="E21" s="112">
        <v>8.5500000000000007</v>
      </c>
      <c r="F21" s="112">
        <v>5.51</v>
      </c>
      <c r="G21" s="112">
        <v>35.93</v>
      </c>
      <c r="H21" s="112">
        <v>14.48</v>
      </c>
      <c r="I21" s="112">
        <v>6.92</v>
      </c>
      <c r="J21" s="112">
        <v>7.0000000000000007E-2</v>
      </c>
      <c r="K21" s="112">
        <v>224.64</v>
      </c>
      <c r="L21" s="112">
        <v>25.87</v>
      </c>
      <c r="M21" s="112">
        <v>97.79</v>
      </c>
      <c r="N21" s="112">
        <v>2.1</v>
      </c>
      <c r="O21" s="112">
        <v>0</v>
      </c>
      <c r="P21" s="112">
        <v>0.49</v>
      </c>
      <c r="Q21" s="112">
        <v>4.63</v>
      </c>
    </row>
    <row r="22" spans="1:17" customFormat="1">
      <c r="A22" s="80">
        <v>45542.145833333336</v>
      </c>
      <c r="B22" s="112">
        <v>9.2899999999999991</v>
      </c>
      <c r="C22" s="112">
        <v>4.0999999999999996</v>
      </c>
      <c r="D22" s="112">
        <v>14.04</v>
      </c>
      <c r="E22" s="112">
        <v>8.73</v>
      </c>
      <c r="F22" s="112">
        <v>5.37</v>
      </c>
      <c r="G22" s="112">
        <v>35.93</v>
      </c>
      <c r="H22" s="112">
        <v>14.48</v>
      </c>
      <c r="I22" s="112">
        <v>6.69</v>
      </c>
      <c r="J22" s="112">
        <v>0.14000000000000001</v>
      </c>
      <c r="K22" s="112">
        <v>167.84</v>
      </c>
      <c r="L22" s="112">
        <v>25.96</v>
      </c>
      <c r="M22" s="112">
        <v>96.89</v>
      </c>
      <c r="N22" s="112">
        <v>2.2000000000000002</v>
      </c>
      <c r="O22" s="112">
        <v>0</v>
      </c>
      <c r="P22" s="112">
        <v>0.48</v>
      </c>
      <c r="Q22" s="112">
        <v>4.62</v>
      </c>
    </row>
    <row r="23" spans="1:17" customFormat="1">
      <c r="A23" s="80">
        <v>45542.15625</v>
      </c>
      <c r="B23" s="112">
        <v>9.2899999999999991</v>
      </c>
      <c r="C23" s="112">
        <v>4.0999999999999996</v>
      </c>
      <c r="D23" s="112">
        <v>14.04</v>
      </c>
      <c r="E23" s="112">
        <v>8.51</v>
      </c>
      <c r="F23" s="112">
        <v>5.94</v>
      </c>
      <c r="G23" s="112">
        <v>34.29</v>
      </c>
      <c r="H23" s="112">
        <v>13.37</v>
      </c>
      <c r="I23" s="112">
        <v>6.6</v>
      </c>
      <c r="J23" s="112">
        <v>0.21</v>
      </c>
      <c r="K23" s="112">
        <v>258.01</v>
      </c>
      <c r="L23" s="112">
        <v>25.95</v>
      </c>
      <c r="M23" s="112">
        <v>97.32</v>
      </c>
      <c r="N23" s="112">
        <v>2.1</v>
      </c>
      <c r="O23" s="112">
        <v>0</v>
      </c>
      <c r="P23" s="112">
        <v>0.46</v>
      </c>
      <c r="Q23" s="112">
        <v>4.63</v>
      </c>
    </row>
    <row r="24" spans="1:17" customFormat="1">
      <c r="A24" s="80">
        <v>45542.166666666664</v>
      </c>
      <c r="B24" s="112">
        <v>9.2799999999999994</v>
      </c>
      <c r="C24" s="112">
        <v>4.07</v>
      </c>
      <c r="D24" s="112">
        <v>14.02</v>
      </c>
      <c r="E24" s="112">
        <v>8.24</v>
      </c>
      <c r="F24" s="112">
        <v>5.83</v>
      </c>
      <c r="G24" s="112">
        <v>28.54</v>
      </c>
      <c r="H24" s="112">
        <v>10.64</v>
      </c>
      <c r="I24" s="112">
        <v>6.48</v>
      </c>
      <c r="J24" s="112">
        <v>0.17</v>
      </c>
      <c r="K24" s="112">
        <v>250.07</v>
      </c>
      <c r="L24" s="112">
        <v>25.85</v>
      </c>
      <c r="M24" s="112">
        <v>97.43</v>
      </c>
      <c r="N24" s="112">
        <v>2.1</v>
      </c>
      <c r="O24" s="112">
        <v>0</v>
      </c>
      <c r="P24" s="112">
        <v>0.45</v>
      </c>
      <c r="Q24" s="112">
        <v>4.6399999999999997</v>
      </c>
    </row>
    <row r="25" spans="1:17" customFormat="1">
      <c r="A25" s="80">
        <v>45542.177083333336</v>
      </c>
      <c r="B25" s="112">
        <v>9.27</v>
      </c>
      <c r="C25" s="112">
        <v>4.0599999999999996</v>
      </c>
      <c r="D25" s="112">
        <v>14.01</v>
      </c>
      <c r="E25" s="112">
        <v>8.17</v>
      </c>
      <c r="F25" s="112">
        <v>5.49</v>
      </c>
      <c r="G25" s="112">
        <v>28.54</v>
      </c>
      <c r="H25" s="112">
        <v>10.64</v>
      </c>
      <c r="I25" s="112">
        <v>6.23</v>
      </c>
      <c r="J25" s="112">
        <v>0.19</v>
      </c>
      <c r="K25" s="112">
        <v>256.89</v>
      </c>
      <c r="L25" s="112">
        <v>25.74</v>
      </c>
      <c r="M25" s="112">
        <v>97.53</v>
      </c>
      <c r="N25" s="112">
        <v>2.1</v>
      </c>
      <c r="O25" s="112">
        <v>0</v>
      </c>
      <c r="P25" s="112">
        <v>0.44</v>
      </c>
      <c r="Q25" s="112">
        <v>4.63</v>
      </c>
    </row>
    <row r="26" spans="1:17" customFormat="1">
      <c r="A26" s="80">
        <v>45542.1875</v>
      </c>
      <c r="B26" s="112">
        <v>9.25</v>
      </c>
      <c r="C26" s="112">
        <v>4.09</v>
      </c>
      <c r="D26" s="112">
        <v>14</v>
      </c>
      <c r="E26" s="112">
        <v>8.81</v>
      </c>
      <c r="F26" s="112">
        <v>5.68</v>
      </c>
      <c r="G26" s="112">
        <v>28.54</v>
      </c>
      <c r="H26" s="112">
        <v>10.64</v>
      </c>
      <c r="I26" s="112">
        <v>6.27</v>
      </c>
      <c r="J26" s="112">
        <v>0.15</v>
      </c>
      <c r="K26" s="112">
        <v>261.42</v>
      </c>
      <c r="L26" s="112">
        <v>25.69</v>
      </c>
      <c r="M26" s="112">
        <v>97.84</v>
      </c>
      <c r="N26" s="112">
        <v>2.1</v>
      </c>
      <c r="O26" s="112">
        <v>0</v>
      </c>
      <c r="P26" s="112">
        <v>0.43</v>
      </c>
      <c r="Q26" s="112">
        <v>4.63</v>
      </c>
    </row>
    <row r="27" spans="1:17" customFormat="1">
      <c r="A27" s="80">
        <v>45542.197916666664</v>
      </c>
      <c r="B27" s="112">
        <v>9.2799999999999994</v>
      </c>
      <c r="C27" s="112">
        <v>4.04</v>
      </c>
      <c r="D27" s="112">
        <v>14</v>
      </c>
      <c r="E27" s="112">
        <v>7.85</v>
      </c>
      <c r="F27" s="112">
        <v>6.35</v>
      </c>
      <c r="G27" s="112">
        <v>28.07</v>
      </c>
      <c r="H27" s="112">
        <v>9.76</v>
      </c>
      <c r="I27" s="112">
        <v>6.19</v>
      </c>
      <c r="J27" s="112">
        <v>0.16</v>
      </c>
      <c r="K27" s="112">
        <v>274.45999999999998</v>
      </c>
      <c r="L27" s="112">
        <v>25.61</v>
      </c>
      <c r="M27" s="112">
        <v>98.23</v>
      </c>
      <c r="N27" s="112">
        <v>2.1</v>
      </c>
      <c r="O27" s="112">
        <v>0</v>
      </c>
      <c r="P27" s="112">
        <v>0.4</v>
      </c>
      <c r="Q27" s="112">
        <v>4.63</v>
      </c>
    </row>
    <row r="28" spans="1:17" customFormat="1">
      <c r="A28" s="80">
        <v>45542.208333333336</v>
      </c>
      <c r="B28" s="112">
        <v>9.2799999999999994</v>
      </c>
      <c r="C28" s="112">
        <v>4.05</v>
      </c>
      <c r="D28" s="112">
        <v>14.01</v>
      </c>
      <c r="E28" s="112">
        <v>8.34</v>
      </c>
      <c r="F28" s="112">
        <v>6.5</v>
      </c>
      <c r="G28" s="112">
        <v>26.42</v>
      </c>
      <c r="H28" s="112">
        <v>7.58</v>
      </c>
      <c r="I28" s="112">
        <v>6.05</v>
      </c>
      <c r="J28" s="112">
        <v>7.0000000000000007E-2</v>
      </c>
      <c r="K28" s="112">
        <v>202.4</v>
      </c>
      <c r="L28" s="112">
        <v>25.54</v>
      </c>
      <c r="M28" s="112">
        <v>98.44</v>
      </c>
      <c r="N28" s="112">
        <v>2.1</v>
      </c>
      <c r="O28" s="112">
        <v>0</v>
      </c>
      <c r="P28" s="112">
        <v>0.39</v>
      </c>
      <c r="Q28" s="112">
        <v>4.63</v>
      </c>
    </row>
    <row r="29" spans="1:17" customFormat="1">
      <c r="A29" s="80">
        <v>45542.21875</v>
      </c>
      <c r="B29" s="112">
        <v>9.3000000000000007</v>
      </c>
      <c r="C29" s="112">
        <v>4.0599999999999996</v>
      </c>
      <c r="D29" s="112">
        <v>14.03</v>
      </c>
      <c r="E29" s="112">
        <v>7.94</v>
      </c>
      <c r="F29" s="112">
        <v>6.32</v>
      </c>
      <c r="G29" s="112">
        <v>26.42</v>
      </c>
      <c r="H29" s="112">
        <v>7.58</v>
      </c>
      <c r="I29" s="112">
        <v>5.61</v>
      </c>
      <c r="J29" s="112">
        <v>0.12</v>
      </c>
      <c r="K29" s="112">
        <v>172.33</v>
      </c>
      <c r="L29" s="112">
        <v>25.53</v>
      </c>
      <c r="M29" s="112">
        <v>98.56</v>
      </c>
      <c r="N29" s="112">
        <v>2.1</v>
      </c>
      <c r="O29" s="112">
        <v>0</v>
      </c>
      <c r="P29" s="112">
        <v>0.39</v>
      </c>
      <c r="Q29" s="112">
        <v>4.63</v>
      </c>
    </row>
    <row r="30" spans="1:17" customFormat="1">
      <c r="A30" s="80">
        <v>45542.229166666664</v>
      </c>
      <c r="B30" s="112">
        <v>9.32</v>
      </c>
      <c r="C30" s="112">
        <v>4.07</v>
      </c>
      <c r="D30" s="112">
        <v>14.05</v>
      </c>
      <c r="E30" s="112">
        <v>8.02</v>
      </c>
      <c r="F30" s="112">
        <v>6.54</v>
      </c>
      <c r="G30" s="112">
        <v>26.42</v>
      </c>
      <c r="H30" s="112">
        <v>7.58</v>
      </c>
      <c r="I30" s="112">
        <v>5.6</v>
      </c>
      <c r="J30" s="112">
        <v>0.16</v>
      </c>
      <c r="K30" s="112">
        <v>156.76</v>
      </c>
      <c r="L30" s="112">
        <v>25.48</v>
      </c>
      <c r="M30" s="112">
        <v>98.74</v>
      </c>
      <c r="N30" s="112">
        <v>2.2000000000000002</v>
      </c>
      <c r="O30" s="112">
        <v>0</v>
      </c>
      <c r="P30" s="112">
        <v>0.38</v>
      </c>
      <c r="Q30" s="112">
        <v>4.6100000000000003</v>
      </c>
    </row>
    <row r="31" spans="1:17" customFormat="1">
      <c r="A31" s="80">
        <v>45542.239583333336</v>
      </c>
      <c r="B31" s="112">
        <v>9.33</v>
      </c>
      <c r="C31" s="112">
        <v>4.07</v>
      </c>
      <c r="D31" s="112">
        <v>14.06</v>
      </c>
      <c r="E31" s="112">
        <v>7.46</v>
      </c>
      <c r="F31" s="112">
        <v>6.55</v>
      </c>
      <c r="G31" s="112">
        <v>25</v>
      </c>
      <c r="H31" s="112">
        <v>7.08</v>
      </c>
      <c r="I31" s="112">
        <v>5.55</v>
      </c>
      <c r="J31" s="112">
        <v>0.15</v>
      </c>
      <c r="K31" s="112">
        <v>214.11</v>
      </c>
      <c r="L31" s="112">
        <v>25.48</v>
      </c>
      <c r="M31" s="112">
        <v>98.72</v>
      </c>
      <c r="N31" s="112">
        <v>4.4000000000000004</v>
      </c>
      <c r="O31" s="112">
        <v>0</v>
      </c>
      <c r="P31" s="112">
        <v>0.37</v>
      </c>
      <c r="Q31" s="112">
        <v>4.62</v>
      </c>
    </row>
    <row r="32" spans="1:17" customFormat="1">
      <c r="A32" s="80">
        <v>45542.25</v>
      </c>
      <c r="B32" s="112">
        <v>9.31</v>
      </c>
      <c r="C32" s="112">
        <v>4.08</v>
      </c>
      <c r="D32" s="112">
        <v>14.04</v>
      </c>
      <c r="E32" s="112">
        <v>7.99</v>
      </c>
      <c r="F32" s="112">
        <v>5.38</v>
      </c>
      <c r="G32" s="112">
        <v>20.02</v>
      </c>
      <c r="H32" s="112">
        <v>5.82</v>
      </c>
      <c r="I32" s="112">
        <v>5.43</v>
      </c>
      <c r="J32" s="112">
        <v>0.14000000000000001</v>
      </c>
      <c r="K32" s="112">
        <v>186.75</v>
      </c>
      <c r="L32" s="112">
        <v>25.58</v>
      </c>
      <c r="M32" s="112">
        <v>98.88</v>
      </c>
      <c r="N32" s="112">
        <v>11.8</v>
      </c>
      <c r="O32" s="112">
        <v>0</v>
      </c>
      <c r="P32" s="112">
        <v>0.36</v>
      </c>
      <c r="Q32" s="112">
        <v>4.6399999999999997</v>
      </c>
    </row>
    <row r="33" spans="1:17" customFormat="1">
      <c r="A33" s="80">
        <v>45542.260416666664</v>
      </c>
      <c r="B33" s="112">
        <v>9.3000000000000007</v>
      </c>
      <c r="C33" s="112">
        <v>4.09</v>
      </c>
      <c r="D33" s="112">
        <v>14.04</v>
      </c>
      <c r="E33" s="112">
        <v>8.1300000000000008</v>
      </c>
      <c r="F33" s="112">
        <v>4.1500000000000004</v>
      </c>
      <c r="G33" s="112">
        <v>20.02</v>
      </c>
      <c r="H33" s="112">
        <v>5.82</v>
      </c>
      <c r="I33" s="112">
        <v>5.03</v>
      </c>
      <c r="J33" s="112">
        <v>0.15</v>
      </c>
      <c r="K33" s="112">
        <v>252.1</v>
      </c>
      <c r="L33" s="112">
        <v>25.7</v>
      </c>
      <c r="M33" s="112">
        <v>98.98</v>
      </c>
      <c r="N33" s="112">
        <v>26.7</v>
      </c>
      <c r="O33" s="112">
        <v>0</v>
      </c>
      <c r="P33" s="112">
        <v>0.38</v>
      </c>
      <c r="Q33" s="112">
        <v>4.6399999999999997</v>
      </c>
    </row>
    <row r="34" spans="1:17" customFormat="1">
      <c r="A34" s="80">
        <v>45542.270833333336</v>
      </c>
      <c r="B34" s="112">
        <v>9.3000000000000007</v>
      </c>
      <c r="C34" s="112">
        <v>4.08</v>
      </c>
      <c r="D34" s="112">
        <v>14.04</v>
      </c>
      <c r="E34" s="112">
        <v>8.44</v>
      </c>
      <c r="F34" s="112">
        <v>4.2300000000000004</v>
      </c>
      <c r="G34" s="112">
        <v>20.02</v>
      </c>
      <c r="H34" s="112">
        <v>5.82</v>
      </c>
      <c r="I34" s="112">
        <v>5.16</v>
      </c>
      <c r="J34" s="112">
        <v>0.25</v>
      </c>
      <c r="K34" s="112">
        <v>267</v>
      </c>
      <c r="L34" s="112">
        <v>25.97</v>
      </c>
      <c r="M34" s="112">
        <v>98.38</v>
      </c>
      <c r="N34" s="112">
        <v>38.700000000000003</v>
      </c>
      <c r="O34" s="112">
        <v>0</v>
      </c>
      <c r="P34" s="112">
        <v>0.43</v>
      </c>
      <c r="Q34" s="112">
        <v>4.62</v>
      </c>
    </row>
    <row r="35" spans="1:17" customFormat="1">
      <c r="A35" s="80">
        <v>45542.28125</v>
      </c>
      <c r="B35" s="112">
        <v>9.3000000000000007</v>
      </c>
      <c r="C35" s="112">
        <v>4.07</v>
      </c>
      <c r="D35" s="112">
        <v>14.03</v>
      </c>
      <c r="E35" s="112">
        <v>7.99</v>
      </c>
      <c r="F35" s="112">
        <v>5.1100000000000003</v>
      </c>
      <c r="G35" s="112">
        <v>20.260000000000002</v>
      </c>
      <c r="H35" s="112">
        <v>6.98</v>
      </c>
      <c r="I35" s="112">
        <v>5.44</v>
      </c>
      <c r="J35" s="112">
        <v>0.39</v>
      </c>
      <c r="K35" s="112">
        <v>272.22000000000003</v>
      </c>
      <c r="L35" s="112">
        <v>26.21</v>
      </c>
      <c r="M35" s="112">
        <v>96.71</v>
      </c>
      <c r="N35" s="112">
        <v>45.9</v>
      </c>
      <c r="O35" s="112">
        <v>0</v>
      </c>
      <c r="P35" s="112">
        <v>0.45</v>
      </c>
      <c r="Q35" s="112">
        <v>4.62</v>
      </c>
    </row>
    <row r="36" spans="1:17" customFormat="1">
      <c r="A36" s="80">
        <v>45542.291666666664</v>
      </c>
      <c r="B36" s="112">
        <v>9.2799999999999994</v>
      </c>
      <c r="C36" s="112">
        <v>4.0599999999999996</v>
      </c>
      <c r="D36" s="112">
        <v>14.01</v>
      </c>
      <c r="E36" s="112">
        <v>8.33</v>
      </c>
      <c r="F36" s="112">
        <v>5.09</v>
      </c>
      <c r="G36" s="112">
        <v>21.08</v>
      </c>
      <c r="H36" s="112">
        <v>9.84</v>
      </c>
      <c r="I36" s="112">
        <v>5.62</v>
      </c>
      <c r="J36" s="112">
        <v>0.47</v>
      </c>
      <c r="K36" s="112">
        <v>271.94</v>
      </c>
      <c r="L36" s="112">
        <v>26.45</v>
      </c>
      <c r="M36" s="112">
        <v>94.88</v>
      </c>
      <c r="N36" s="112">
        <v>58.5</v>
      </c>
      <c r="O36" s="112">
        <v>0</v>
      </c>
      <c r="P36" s="112">
        <v>0.44</v>
      </c>
      <c r="Q36" s="112">
        <v>4.62</v>
      </c>
    </row>
    <row r="37" spans="1:17" customFormat="1">
      <c r="A37" s="80">
        <v>45542.302083333336</v>
      </c>
      <c r="B37" s="112">
        <v>9.2799999999999994</v>
      </c>
      <c r="C37" s="112">
        <v>4.05</v>
      </c>
      <c r="D37" s="112">
        <v>14</v>
      </c>
      <c r="E37" s="112">
        <v>8.59</v>
      </c>
      <c r="F37" s="112">
        <v>4.55</v>
      </c>
      <c r="G37" s="112">
        <v>21.08</v>
      </c>
      <c r="H37" s="112">
        <v>9.84</v>
      </c>
      <c r="I37" s="112">
        <v>5.49</v>
      </c>
      <c r="J37" s="112">
        <v>0.49</v>
      </c>
      <c r="K37" s="112">
        <v>274.77</v>
      </c>
      <c r="L37" s="112">
        <v>26.82</v>
      </c>
      <c r="M37" s="112">
        <v>92.42</v>
      </c>
      <c r="N37" s="112">
        <v>73.5</v>
      </c>
      <c r="O37" s="112">
        <v>0</v>
      </c>
      <c r="P37" s="112">
        <v>0.45</v>
      </c>
      <c r="Q37" s="112">
        <v>4.62</v>
      </c>
    </row>
    <row r="38" spans="1:17" customFormat="1">
      <c r="A38" s="80">
        <v>45542.3125</v>
      </c>
      <c r="B38" s="112">
        <v>9.25</v>
      </c>
      <c r="C38" s="112">
        <v>4.08</v>
      </c>
      <c r="D38" s="112">
        <v>14</v>
      </c>
      <c r="E38" s="112">
        <v>8.75</v>
      </c>
      <c r="F38" s="112">
        <v>4.79</v>
      </c>
      <c r="G38" s="112">
        <v>21.08</v>
      </c>
      <c r="H38" s="112">
        <v>9.84</v>
      </c>
      <c r="I38" s="112">
        <v>5.51</v>
      </c>
      <c r="J38" s="112">
        <v>0.44</v>
      </c>
      <c r="K38" s="112">
        <v>287.14</v>
      </c>
      <c r="L38" s="112">
        <v>27.24</v>
      </c>
      <c r="M38" s="112">
        <v>90.61</v>
      </c>
      <c r="N38" s="112">
        <v>87.1</v>
      </c>
      <c r="O38" s="112">
        <v>0</v>
      </c>
      <c r="P38" s="112">
        <v>0.45</v>
      </c>
      <c r="Q38" s="112">
        <v>4.62</v>
      </c>
    </row>
    <row r="39" spans="1:17" customFormat="1">
      <c r="A39" s="80">
        <v>45542.322916666664</v>
      </c>
      <c r="B39" s="112">
        <v>9.26</v>
      </c>
      <c r="C39" s="112">
        <v>4.07</v>
      </c>
      <c r="D39" s="112">
        <v>14</v>
      </c>
      <c r="E39" s="112">
        <v>9.0399999999999991</v>
      </c>
      <c r="F39" s="112">
        <v>4.67</v>
      </c>
      <c r="G39" s="112">
        <v>22.22</v>
      </c>
      <c r="H39" s="112">
        <v>9.65</v>
      </c>
      <c r="I39" s="112">
        <v>5.54</v>
      </c>
      <c r="J39" s="112">
        <v>0.49</v>
      </c>
      <c r="K39" s="112">
        <v>282.68</v>
      </c>
      <c r="L39" s="112">
        <v>27.61</v>
      </c>
      <c r="M39" s="112">
        <v>87.85</v>
      </c>
      <c r="N39" s="112">
        <v>107.4</v>
      </c>
      <c r="O39" s="112">
        <v>0</v>
      </c>
      <c r="P39" s="112">
        <v>0.45</v>
      </c>
      <c r="Q39" s="112">
        <v>4.6399999999999997</v>
      </c>
    </row>
    <row r="40" spans="1:17" customFormat="1">
      <c r="A40" s="80">
        <v>45542.333333333336</v>
      </c>
      <c r="B40" s="112">
        <v>9.27</v>
      </c>
      <c r="C40" s="112">
        <v>4.0599999999999996</v>
      </c>
      <c r="D40" s="112">
        <v>14</v>
      </c>
      <c r="E40" s="112">
        <v>9.0399999999999991</v>
      </c>
      <c r="F40" s="112">
        <v>4.74</v>
      </c>
      <c r="G40" s="112">
        <v>26.2</v>
      </c>
      <c r="H40" s="112">
        <v>9.18</v>
      </c>
      <c r="I40" s="112">
        <v>5.57</v>
      </c>
      <c r="J40" s="112">
        <v>0.41</v>
      </c>
      <c r="K40" s="112">
        <v>307.3</v>
      </c>
      <c r="L40" s="112">
        <v>28.18</v>
      </c>
      <c r="M40" s="112">
        <v>84.26</v>
      </c>
      <c r="N40" s="112">
        <v>192</v>
      </c>
      <c r="O40" s="112">
        <v>0</v>
      </c>
      <c r="P40" s="112">
        <v>0.46</v>
      </c>
      <c r="Q40" s="112">
        <v>4.6399999999999997</v>
      </c>
    </row>
    <row r="41" spans="1:17" customFormat="1">
      <c r="A41" s="80">
        <v>45542.34375</v>
      </c>
      <c r="B41" s="112">
        <v>9.27</v>
      </c>
      <c r="C41" s="112">
        <v>4.05</v>
      </c>
      <c r="D41" s="112">
        <v>14</v>
      </c>
      <c r="E41" s="112">
        <v>9.41</v>
      </c>
      <c r="F41" s="112">
        <v>4.1399999999999997</v>
      </c>
      <c r="G41" s="112">
        <v>26.2</v>
      </c>
      <c r="H41" s="112">
        <v>9.18</v>
      </c>
      <c r="I41" s="112">
        <v>5.61</v>
      </c>
      <c r="J41" s="112">
        <v>0.46</v>
      </c>
      <c r="K41" s="112">
        <v>300.63</v>
      </c>
      <c r="L41" s="112">
        <v>28.63</v>
      </c>
      <c r="M41" s="112">
        <v>81.41</v>
      </c>
      <c r="N41" s="112">
        <v>211.1</v>
      </c>
      <c r="O41" s="112">
        <v>0</v>
      </c>
      <c r="P41" s="112">
        <v>0.46</v>
      </c>
      <c r="Q41" s="112">
        <v>4.62</v>
      </c>
    </row>
    <row r="42" spans="1:17" customFormat="1">
      <c r="A42" s="80">
        <v>45542.354166666664</v>
      </c>
      <c r="B42" s="112">
        <v>9.27</v>
      </c>
      <c r="C42" s="112">
        <v>4.07</v>
      </c>
      <c r="D42" s="112">
        <v>14.01</v>
      </c>
      <c r="E42" s="112">
        <v>9.41</v>
      </c>
      <c r="F42" s="112">
        <v>3.54</v>
      </c>
      <c r="G42" s="112">
        <v>26.2</v>
      </c>
      <c r="H42" s="112">
        <v>9.18</v>
      </c>
      <c r="I42" s="112">
        <v>5.64</v>
      </c>
      <c r="J42" s="112">
        <v>0.33</v>
      </c>
      <c r="K42" s="112">
        <v>301.91000000000003</v>
      </c>
      <c r="L42" s="112">
        <v>29.1</v>
      </c>
      <c r="M42" s="112">
        <v>79.040000000000006</v>
      </c>
      <c r="N42" s="112">
        <v>234.4</v>
      </c>
      <c r="O42" s="112">
        <v>0</v>
      </c>
      <c r="P42" s="112">
        <v>0.46</v>
      </c>
      <c r="Q42" s="112">
        <v>4.63</v>
      </c>
    </row>
    <row r="43" spans="1:17" customFormat="1">
      <c r="A43" s="80">
        <v>45542.364583333336</v>
      </c>
      <c r="B43" s="112">
        <v>9.27</v>
      </c>
      <c r="C43" s="112">
        <v>4.07</v>
      </c>
      <c r="D43" s="112">
        <v>14.01</v>
      </c>
      <c r="E43" s="112">
        <v>10.130000000000001</v>
      </c>
      <c r="F43" s="112">
        <v>6.33</v>
      </c>
      <c r="G43" s="112">
        <v>27.84</v>
      </c>
      <c r="H43" s="112">
        <v>9.18</v>
      </c>
      <c r="I43" s="112">
        <v>5.71</v>
      </c>
      <c r="J43" s="112">
        <v>0.05</v>
      </c>
      <c r="K43" s="112">
        <v>20.22</v>
      </c>
      <c r="L43" s="112">
        <v>29.87</v>
      </c>
      <c r="M43" s="112">
        <v>75.88</v>
      </c>
      <c r="N43" s="112">
        <v>215.5</v>
      </c>
      <c r="O43" s="112">
        <v>0</v>
      </c>
      <c r="P43" s="112">
        <v>0.46</v>
      </c>
      <c r="Q43" s="112">
        <v>4.63</v>
      </c>
    </row>
    <row r="44" spans="1:17" customFormat="1">
      <c r="A44" s="80">
        <v>45542.375</v>
      </c>
      <c r="B44" s="112">
        <v>9.2799999999999994</v>
      </c>
      <c r="C44" s="112">
        <v>4.0599999999999996</v>
      </c>
      <c r="D44" s="112">
        <v>14.02</v>
      </c>
      <c r="E44" s="112">
        <v>10.66</v>
      </c>
      <c r="F44" s="112">
        <v>5.46</v>
      </c>
      <c r="G44" s="112">
        <v>33.58</v>
      </c>
      <c r="H44" s="112">
        <v>9.16</v>
      </c>
      <c r="I44" s="112">
        <v>5.76</v>
      </c>
      <c r="J44" s="112">
        <v>0.15</v>
      </c>
      <c r="K44" s="112">
        <v>341.19</v>
      </c>
      <c r="L44" s="112">
        <v>30.31</v>
      </c>
      <c r="M44" s="112">
        <v>74.260000000000005</v>
      </c>
      <c r="N44" s="112">
        <v>242.1</v>
      </c>
      <c r="O44" s="112">
        <v>0</v>
      </c>
      <c r="P44" s="112">
        <v>0.46</v>
      </c>
      <c r="Q44" s="112">
        <v>4.63</v>
      </c>
    </row>
    <row r="45" spans="1:17" customFormat="1">
      <c r="A45" s="80">
        <v>45542.385416666664</v>
      </c>
      <c r="B45" s="112">
        <v>9.2899999999999991</v>
      </c>
      <c r="C45" s="112">
        <v>4.09</v>
      </c>
      <c r="D45" s="112">
        <v>14.04</v>
      </c>
      <c r="E45" s="112">
        <v>11.13</v>
      </c>
      <c r="F45" s="112">
        <v>4.78</v>
      </c>
      <c r="G45" s="112">
        <v>33.58</v>
      </c>
      <c r="H45" s="112">
        <v>9.16</v>
      </c>
      <c r="I45" s="112">
        <v>5.52</v>
      </c>
      <c r="J45" s="112">
        <v>0.33</v>
      </c>
      <c r="K45" s="112">
        <v>61.95</v>
      </c>
      <c r="L45" s="112">
        <v>30.28</v>
      </c>
      <c r="M45" s="112">
        <v>73.38</v>
      </c>
      <c r="N45" s="112">
        <v>414.2</v>
      </c>
      <c r="O45" s="112">
        <v>0</v>
      </c>
      <c r="P45" s="112">
        <v>0.46</v>
      </c>
      <c r="Q45" s="112">
        <v>4.63</v>
      </c>
    </row>
    <row r="46" spans="1:17" customFormat="1">
      <c r="A46" s="80">
        <v>45542.395833333336</v>
      </c>
      <c r="B46" s="112">
        <v>9.3000000000000007</v>
      </c>
      <c r="C46" s="112">
        <v>4.08</v>
      </c>
      <c r="D46" s="112">
        <v>14.04</v>
      </c>
      <c r="E46" s="112">
        <v>10.65</v>
      </c>
      <c r="F46" s="112">
        <v>5.53</v>
      </c>
      <c r="G46" s="112">
        <v>33.58</v>
      </c>
      <c r="H46" s="112">
        <v>9.16</v>
      </c>
      <c r="I46" s="112">
        <v>5.78</v>
      </c>
      <c r="J46" s="112">
        <v>0.26</v>
      </c>
      <c r="K46" s="112">
        <v>51.96</v>
      </c>
      <c r="L46" s="112">
        <v>31.05</v>
      </c>
      <c r="M46" s="112">
        <v>71</v>
      </c>
      <c r="N46" s="112">
        <v>440.3</v>
      </c>
      <c r="O46" s="112">
        <v>0</v>
      </c>
      <c r="P46" s="112">
        <v>0.47</v>
      </c>
      <c r="Q46" s="112">
        <v>4.6399999999999997</v>
      </c>
    </row>
    <row r="47" spans="1:17" customFormat="1">
      <c r="A47" s="80">
        <v>45542.40625</v>
      </c>
      <c r="B47" s="112">
        <v>9.2899999999999991</v>
      </c>
      <c r="C47" s="112">
        <v>4.09</v>
      </c>
      <c r="D47" s="112">
        <v>14.04</v>
      </c>
      <c r="E47" s="112">
        <v>12.51</v>
      </c>
      <c r="F47" s="112">
        <v>6.33</v>
      </c>
      <c r="G47" s="112">
        <v>35.58</v>
      </c>
      <c r="H47" s="112">
        <v>10.38</v>
      </c>
      <c r="I47" s="112">
        <v>5.84</v>
      </c>
      <c r="J47" s="112">
        <v>0.26</v>
      </c>
      <c r="K47" s="112">
        <v>355.31</v>
      </c>
      <c r="L47" s="112">
        <v>30.89</v>
      </c>
      <c r="M47" s="112">
        <v>71.150000000000006</v>
      </c>
      <c r="N47" s="112">
        <v>486.2</v>
      </c>
      <c r="O47" s="112">
        <v>0</v>
      </c>
      <c r="P47" s="112">
        <v>0.49</v>
      </c>
      <c r="Q47" s="112">
        <v>4.6399999999999997</v>
      </c>
    </row>
    <row r="48" spans="1:17" customFormat="1">
      <c r="A48" s="80">
        <v>45542.416666666664</v>
      </c>
      <c r="B48" s="112">
        <v>9.2899999999999991</v>
      </c>
      <c r="C48" s="112">
        <v>4.07</v>
      </c>
      <c r="D48" s="112">
        <v>14.02</v>
      </c>
      <c r="E48" s="112">
        <v>12.55</v>
      </c>
      <c r="F48" s="112">
        <v>5.79</v>
      </c>
      <c r="G48" s="112">
        <v>42.57</v>
      </c>
      <c r="H48" s="112">
        <v>13.38</v>
      </c>
      <c r="I48" s="112">
        <v>5.79</v>
      </c>
      <c r="J48" s="112">
        <v>0.11</v>
      </c>
      <c r="K48" s="112">
        <v>304.74</v>
      </c>
      <c r="L48" s="112">
        <v>30.67</v>
      </c>
      <c r="M48" s="112">
        <v>70.92</v>
      </c>
      <c r="N48" s="112">
        <v>404.3</v>
      </c>
      <c r="O48" s="112">
        <v>0</v>
      </c>
      <c r="P48" s="112">
        <v>0.49</v>
      </c>
      <c r="Q48" s="112">
        <v>4.6399999999999997</v>
      </c>
    </row>
    <row r="49" spans="1:17" customFormat="1">
      <c r="A49" s="80">
        <v>45542.427083333336</v>
      </c>
      <c r="B49" s="112">
        <v>9.27</v>
      </c>
      <c r="C49" s="112">
        <v>4.07</v>
      </c>
      <c r="D49" s="112">
        <v>14.01</v>
      </c>
      <c r="E49" s="112">
        <v>11.63</v>
      </c>
      <c r="F49" s="112">
        <v>5.19</v>
      </c>
      <c r="G49" s="112">
        <v>42.57</v>
      </c>
      <c r="H49" s="112">
        <v>13.38</v>
      </c>
      <c r="I49" s="112">
        <v>5.79</v>
      </c>
      <c r="J49" s="112">
        <v>0.48</v>
      </c>
      <c r="K49" s="112">
        <v>78.61</v>
      </c>
      <c r="L49" s="112">
        <v>31.52</v>
      </c>
      <c r="M49" s="112">
        <v>67.28</v>
      </c>
      <c r="N49" s="112">
        <v>376.2</v>
      </c>
      <c r="O49" s="112">
        <v>0</v>
      </c>
      <c r="P49" s="112">
        <v>0.49</v>
      </c>
      <c r="Q49" s="112">
        <v>4.6399999999999997</v>
      </c>
    </row>
    <row r="50" spans="1:17" customFormat="1">
      <c r="A50" s="80">
        <v>45542.4375</v>
      </c>
      <c r="B50" s="112">
        <v>9.27</v>
      </c>
      <c r="C50" s="112">
        <v>4.05</v>
      </c>
      <c r="D50" s="112">
        <v>14</v>
      </c>
      <c r="E50" s="112">
        <v>13.52</v>
      </c>
      <c r="F50" s="112">
        <v>6.02</v>
      </c>
      <c r="G50" s="112">
        <v>42.57</v>
      </c>
      <c r="H50" s="112">
        <v>13.38</v>
      </c>
      <c r="I50" s="112">
        <v>5.81</v>
      </c>
      <c r="J50" s="112">
        <v>0.28000000000000003</v>
      </c>
      <c r="K50" s="112">
        <v>150.18</v>
      </c>
      <c r="L50" s="112">
        <v>32.25</v>
      </c>
      <c r="M50" s="112">
        <v>65.150000000000006</v>
      </c>
      <c r="N50" s="112">
        <v>351.4</v>
      </c>
      <c r="O50" s="112">
        <v>0</v>
      </c>
      <c r="P50" s="112">
        <v>0.5</v>
      </c>
      <c r="Q50" s="112">
        <v>4.63</v>
      </c>
    </row>
    <row r="51" spans="1:17" customFormat="1">
      <c r="A51" s="80">
        <v>45542.447916666664</v>
      </c>
      <c r="B51" s="112">
        <v>9.27</v>
      </c>
      <c r="C51" s="112">
        <v>4.0599999999999996</v>
      </c>
      <c r="D51" s="112">
        <v>14.01</v>
      </c>
      <c r="E51" s="112">
        <v>15.7</v>
      </c>
      <c r="F51" s="112">
        <v>10.220000000000001</v>
      </c>
      <c r="G51" s="112">
        <v>47.38</v>
      </c>
      <c r="H51" s="112">
        <v>16.059999999999999</v>
      </c>
      <c r="I51" s="112">
        <v>5.85</v>
      </c>
      <c r="J51" s="112">
        <v>0.09</v>
      </c>
      <c r="K51" s="112">
        <v>78.760000000000005</v>
      </c>
      <c r="L51" s="112">
        <v>32.020000000000003</v>
      </c>
      <c r="M51" s="112">
        <v>66.25</v>
      </c>
      <c r="N51" s="112">
        <v>251.1</v>
      </c>
      <c r="O51" s="112">
        <v>0</v>
      </c>
      <c r="P51" s="112">
        <v>0.5</v>
      </c>
      <c r="Q51" s="112">
        <v>4.6399999999999997</v>
      </c>
    </row>
    <row r="52" spans="1:17" customFormat="1">
      <c r="A52" s="80">
        <v>45542.458333333336</v>
      </c>
      <c r="B52" s="112">
        <v>9.2799999999999994</v>
      </c>
      <c r="C52" s="112">
        <v>4.07</v>
      </c>
      <c r="D52" s="112">
        <v>14.02</v>
      </c>
      <c r="E52" s="112">
        <v>14.46</v>
      </c>
      <c r="F52" s="112">
        <v>5.93</v>
      </c>
      <c r="G52" s="112">
        <v>64.22</v>
      </c>
      <c r="H52" s="112">
        <v>22.68</v>
      </c>
      <c r="I52" s="112">
        <v>5.71</v>
      </c>
      <c r="J52" s="112">
        <v>0.25</v>
      </c>
      <c r="K52" s="112">
        <v>169.63</v>
      </c>
      <c r="L52" s="112">
        <v>32.35</v>
      </c>
      <c r="M52" s="112">
        <v>67.900000000000006</v>
      </c>
      <c r="N52" s="112">
        <v>277.60000000000002</v>
      </c>
      <c r="O52" s="112">
        <v>0</v>
      </c>
      <c r="P52" s="112">
        <v>0.5</v>
      </c>
      <c r="Q52" s="112">
        <v>4.6399999999999997</v>
      </c>
    </row>
    <row r="53" spans="1:17" customFormat="1">
      <c r="A53" s="80">
        <v>45542.46875</v>
      </c>
      <c r="B53" s="112">
        <v>9.26</v>
      </c>
      <c r="C53" s="112">
        <v>4.07</v>
      </c>
      <c r="D53" s="112">
        <v>14</v>
      </c>
      <c r="E53" s="112">
        <v>14.87</v>
      </c>
      <c r="F53" s="112">
        <v>11.34</v>
      </c>
      <c r="G53" s="112">
        <v>64.22</v>
      </c>
      <c r="H53" s="112">
        <v>22.68</v>
      </c>
      <c r="I53" s="112">
        <v>5.53</v>
      </c>
      <c r="J53" s="112">
        <v>0.32</v>
      </c>
      <c r="K53" s="112">
        <v>196.9</v>
      </c>
      <c r="L53" s="112">
        <v>32.520000000000003</v>
      </c>
      <c r="M53" s="112">
        <v>64.59</v>
      </c>
      <c r="N53" s="112">
        <v>404.4</v>
      </c>
      <c r="O53" s="112">
        <v>0</v>
      </c>
      <c r="P53" s="112">
        <v>0.49</v>
      </c>
      <c r="Q53" s="112">
        <v>4.6399999999999997</v>
      </c>
    </row>
    <row r="54" spans="1:17" customFormat="1">
      <c r="A54" s="80">
        <v>45542.479166666664</v>
      </c>
      <c r="B54" s="112">
        <v>9.26</v>
      </c>
      <c r="C54" s="112">
        <v>4.07</v>
      </c>
      <c r="D54" s="112">
        <v>14</v>
      </c>
      <c r="E54" s="112">
        <v>16.43</v>
      </c>
      <c r="F54" s="112">
        <v>8.64</v>
      </c>
      <c r="G54" s="112">
        <v>64.22</v>
      </c>
      <c r="H54" s="112">
        <v>22.68</v>
      </c>
      <c r="I54" s="112">
        <v>5.65</v>
      </c>
      <c r="J54" s="112">
        <v>0.44</v>
      </c>
      <c r="K54" s="112">
        <v>179.04</v>
      </c>
      <c r="L54" s="112">
        <v>32.520000000000003</v>
      </c>
      <c r="M54" s="112">
        <v>65.16</v>
      </c>
      <c r="N54" s="112">
        <v>338.1</v>
      </c>
      <c r="O54" s="112">
        <v>0</v>
      </c>
      <c r="P54" s="112">
        <v>0.5</v>
      </c>
      <c r="Q54" s="112">
        <v>4.63</v>
      </c>
    </row>
    <row r="55" spans="1:17" customFormat="1">
      <c r="A55" s="80">
        <v>45542.489583333336</v>
      </c>
      <c r="B55" s="112">
        <v>9.32</v>
      </c>
      <c r="C55" s="112">
        <v>4.08</v>
      </c>
      <c r="D55" s="112">
        <v>14.06</v>
      </c>
      <c r="E55" s="112">
        <v>16.63</v>
      </c>
      <c r="F55" s="112">
        <v>13.52</v>
      </c>
      <c r="G55" s="112">
        <v>66.22</v>
      </c>
      <c r="H55" s="112">
        <v>24.11</v>
      </c>
      <c r="I55" s="112">
        <v>5.55</v>
      </c>
      <c r="J55" s="112">
        <v>0.22</v>
      </c>
      <c r="K55" s="112">
        <v>178.66</v>
      </c>
      <c r="L55" s="112">
        <v>32.700000000000003</v>
      </c>
      <c r="M55" s="112">
        <v>64.81</v>
      </c>
      <c r="N55" s="112">
        <v>346.5</v>
      </c>
      <c r="O55" s="112">
        <v>0</v>
      </c>
      <c r="P55" s="112">
        <v>0.52</v>
      </c>
      <c r="Q55" s="112">
        <v>4.62</v>
      </c>
    </row>
    <row r="56" spans="1:17" customFormat="1">
      <c r="A56" s="80">
        <v>45542.5</v>
      </c>
      <c r="B56" s="112">
        <v>9.3800000000000008</v>
      </c>
      <c r="C56" s="112">
        <v>4.05</v>
      </c>
      <c r="D56" s="112">
        <v>14.09</v>
      </c>
      <c r="E56" s="112">
        <v>16.12</v>
      </c>
      <c r="F56" s="112">
        <v>7.95</v>
      </c>
      <c r="G56" s="112">
        <v>73.2</v>
      </c>
      <c r="H56" s="112">
        <v>27.64</v>
      </c>
      <c r="I56" s="112">
        <v>5.63</v>
      </c>
      <c r="J56" s="112">
        <v>0.13</v>
      </c>
      <c r="K56" s="112">
        <v>128.34</v>
      </c>
      <c r="L56" s="112">
        <v>32.68</v>
      </c>
      <c r="M56" s="112">
        <v>64.819999999999993</v>
      </c>
      <c r="N56" s="112">
        <v>480.1</v>
      </c>
      <c r="O56" s="112">
        <v>0</v>
      </c>
      <c r="P56" s="112">
        <v>0.52</v>
      </c>
      <c r="Q56" s="112">
        <v>4.5999999999999996</v>
      </c>
    </row>
    <row r="57" spans="1:17" customFormat="1">
      <c r="A57" s="80">
        <v>45542.510416666664</v>
      </c>
      <c r="B57" s="112">
        <v>9.3000000000000007</v>
      </c>
      <c r="C57" s="112">
        <v>4.05</v>
      </c>
      <c r="D57" s="112">
        <v>14.02</v>
      </c>
      <c r="E57" s="112">
        <v>15.99</v>
      </c>
      <c r="F57" s="112">
        <v>7.81</v>
      </c>
      <c r="G57" s="112">
        <v>73.2</v>
      </c>
      <c r="H57" s="112">
        <v>27.64</v>
      </c>
      <c r="I57" s="112">
        <v>5.59</v>
      </c>
      <c r="J57" s="112">
        <v>0.6</v>
      </c>
      <c r="K57" s="112">
        <v>65.459999999999994</v>
      </c>
      <c r="L57" s="112">
        <v>32.159999999999997</v>
      </c>
      <c r="M57" s="112">
        <v>66.89</v>
      </c>
      <c r="N57" s="112">
        <v>214.7</v>
      </c>
      <c r="O57" s="112">
        <v>0</v>
      </c>
      <c r="P57" s="112">
        <v>0.54</v>
      </c>
      <c r="Q57" s="112">
        <v>4.63</v>
      </c>
    </row>
    <row r="58" spans="1:17" customFormat="1">
      <c r="A58" s="80">
        <v>45542.520833333336</v>
      </c>
      <c r="B58" s="112">
        <v>9.27</v>
      </c>
      <c r="C58" s="112">
        <v>4.07</v>
      </c>
      <c r="D58" s="112">
        <v>14.01</v>
      </c>
      <c r="E58" s="112">
        <v>18.190000000000001</v>
      </c>
      <c r="F58" s="112">
        <v>11.16</v>
      </c>
      <c r="G58" s="112">
        <v>73.2</v>
      </c>
      <c r="H58" s="112">
        <v>27.64</v>
      </c>
      <c r="I58" s="112">
        <v>5.73</v>
      </c>
      <c r="J58" s="112">
        <v>0.25</v>
      </c>
      <c r="K58" s="112">
        <v>61.48</v>
      </c>
      <c r="L58" s="112">
        <v>31.83</v>
      </c>
      <c r="M58" s="112">
        <v>67.44</v>
      </c>
      <c r="N58" s="112">
        <v>331.2</v>
      </c>
      <c r="O58" s="112">
        <v>0</v>
      </c>
      <c r="P58" s="112">
        <v>0.54</v>
      </c>
      <c r="Q58" s="112">
        <v>4.6100000000000003</v>
      </c>
    </row>
    <row r="59" spans="1:17" customFormat="1">
      <c r="A59" s="80">
        <v>45542.53125</v>
      </c>
      <c r="B59" s="112">
        <v>9.3000000000000007</v>
      </c>
      <c r="C59" s="112">
        <v>4.04</v>
      </c>
      <c r="D59" s="112">
        <v>14.02</v>
      </c>
      <c r="E59" s="112">
        <v>17.8</v>
      </c>
      <c r="F59" s="112">
        <v>13.29</v>
      </c>
      <c r="G59" s="112">
        <v>75.849999999999994</v>
      </c>
      <c r="H59" s="112">
        <v>28.61</v>
      </c>
      <c r="I59" s="112">
        <v>5.78</v>
      </c>
      <c r="J59" s="112">
        <v>0.4</v>
      </c>
      <c r="K59" s="112">
        <v>299.77</v>
      </c>
      <c r="L59" s="112">
        <v>32.15</v>
      </c>
      <c r="M59" s="112">
        <v>68.62</v>
      </c>
      <c r="N59" s="112">
        <v>496.6</v>
      </c>
      <c r="O59" s="112">
        <v>0</v>
      </c>
      <c r="P59" s="112">
        <v>0.54</v>
      </c>
      <c r="Q59" s="112">
        <v>4.6100000000000003</v>
      </c>
    </row>
    <row r="60" spans="1:17" customFormat="1">
      <c r="A60" s="80">
        <v>45542.541666666664</v>
      </c>
      <c r="B60" s="112">
        <v>9.32</v>
      </c>
      <c r="C60" s="112">
        <v>4.05</v>
      </c>
      <c r="D60" s="112">
        <v>14.04</v>
      </c>
      <c r="E60" s="112">
        <v>13.86</v>
      </c>
      <c r="F60" s="112">
        <v>7.65</v>
      </c>
      <c r="G60" s="112">
        <v>85.13</v>
      </c>
      <c r="H60" s="112">
        <v>31</v>
      </c>
      <c r="I60" s="112">
        <v>5.76</v>
      </c>
      <c r="J60" s="112">
        <v>0.68</v>
      </c>
      <c r="K60" s="112">
        <v>281.06</v>
      </c>
      <c r="L60" s="112">
        <v>32.020000000000003</v>
      </c>
      <c r="M60" s="112">
        <v>70.97</v>
      </c>
      <c r="N60" s="112">
        <v>342.3</v>
      </c>
      <c r="O60" s="112">
        <v>0</v>
      </c>
      <c r="P60" s="112">
        <v>0.54</v>
      </c>
      <c r="Q60" s="112">
        <v>4.6100000000000003</v>
      </c>
    </row>
    <row r="61" spans="1:17" customFormat="1">
      <c r="A61" s="80">
        <v>45542.552083333336</v>
      </c>
      <c r="B61" s="112">
        <v>9.27</v>
      </c>
      <c r="C61" s="112">
        <v>4.08</v>
      </c>
      <c r="D61" s="112">
        <v>14.01</v>
      </c>
      <c r="E61" s="112">
        <v>13.15</v>
      </c>
      <c r="F61" s="112">
        <v>7.75</v>
      </c>
      <c r="G61" s="112">
        <v>85.13</v>
      </c>
      <c r="H61" s="112">
        <v>31</v>
      </c>
      <c r="I61" s="112">
        <v>5.69</v>
      </c>
      <c r="J61" s="112">
        <v>1.06</v>
      </c>
      <c r="K61" s="112">
        <v>278.67</v>
      </c>
      <c r="L61" s="112">
        <v>31.01</v>
      </c>
      <c r="M61" s="112">
        <v>75.83</v>
      </c>
      <c r="N61" s="112">
        <v>233.6</v>
      </c>
      <c r="O61" s="112">
        <v>0</v>
      </c>
      <c r="P61" s="112">
        <v>0.53</v>
      </c>
      <c r="Q61" s="112">
        <v>4.6100000000000003</v>
      </c>
    </row>
    <row r="62" spans="1:17" customFormat="1">
      <c r="A62" s="80">
        <v>45542.5625</v>
      </c>
      <c r="B62" s="112">
        <v>9.24</v>
      </c>
      <c r="C62" s="112">
        <v>4.09</v>
      </c>
      <c r="D62" s="112">
        <v>14</v>
      </c>
      <c r="E62" s="112">
        <v>12.42</v>
      </c>
      <c r="F62" s="112">
        <v>20.96</v>
      </c>
      <c r="G62" s="151" t="s">
        <v>12</v>
      </c>
      <c r="H62" s="151" t="s">
        <v>12</v>
      </c>
      <c r="I62" s="112">
        <v>5.86</v>
      </c>
      <c r="J62" s="112">
        <v>0.82</v>
      </c>
      <c r="K62" s="112">
        <v>272.31</v>
      </c>
      <c r="L62" s="112">
        <v>31.05</v>
      </c>
      <c r="M62" s="112">
        <v>76.48</v>
      </c>
      <c r="N62" s="112">
        <v>250.2</v>
      </c>
      <c r="O62" s="112">
        <v>0</v>
      </c>
      <c r="P62" s="112">
        <v>0.53</v>
      </c>
      <c r="Q62" s="112">
        <v>4.5999999999999996</v>
      </c>
    </row>
    <row r="63" spans="1:17" customFormat="1">
      <c r="A63" s="80">
        <v>45542.572916666664</v>
      </c>
      <c r="B63" s="112">
        <v>9.34</v>
      </c>
      <c r="C63" s="112">
        <v>4.08</v>
      </c>
      <c r="D63" s="112">
        <v>14.07</v>
      </c>
      <c r="E63" s="151" t="s">
        <v>12</v>
      </c>
      <c r="F63" s="151" t="s">
        <v>12</v>
      </c>
      <c r="G63" s="151" t="s">
        <v>12</v>
      </c>
      <c r="H63" s="151" t="s">
        <v>12</v>
      </c>
      <c r="I63" s="112">
        <v>5.81</v>
      </c>
      <c r="J63" s="112">
        <v>0.82</v>
      </c>
      <c r="K63" s="112">
        <v>280.42</v>
      </c>
      <c r="L63" s="112">
        <v>31.02</v>
      </c>
      <c r="M63" s="112">
        <v>73.540000000000006</v>
      </c>
      <c r="N63" s="112">
        <v>263.8</v>
      </c>
      <c r="O63" s="112">
        <v>0</v>
      </c>
      <c r="P63" s="151" t="s">
        <v>12</v>
      </c>
      <c r="Q63" s="112">
        <v>4.5999999999999996</v>
      </c>
    </row>
    <row r="64" spans="1:17" customFormat="1">
      <c r="A64" s="80">
        <v>45542.583333333336</v>
      </c>
      <c r="B64" s="112">
        <v>13.22</v>
      </c>
      <c r="C64" s="112">
        <v>4.4000000000000004</v>
      </c>
      <c r="D64" s="112">
        <v>17.350000000000001</v>
      </c>
      <c r="E64" s="151" t="s">
        <v>12</v>
      </c>
      <c r="F64" s="151" t="s">
        <v>12</v>
      </c>
      <c r="G64" s="151" t="s">
        <v>12</v>
      </c>
      <c r="H64" s="151" t="s">
        <v>12</v>
      </c>
      <c r="I64" s="112">
        <v>5.4</v>
      </c>
      <c r="J64" s="112">
        <v>0.82</v>
      </c>
      <c r="K64" s="112">
        <v>278.17</v>
      </c>
      <c r="L64" s="112">
        <v>31.32</v>
      </c>
      <c r="M64" s="112">
        <v>72.790000000000006</v>
      </c>
      <c r="N64" s="112">
        <v>213.4</v>
      </c>
      <c r="O64" s="112">
        <v>0</v>
      </c>
      <c r="P64" s="112">
        <v>0.19</v>
      </c>
      <c r="Q64" s="112">
        <v>4.5999999999999996</v>
      </c>
    </row>
    <row r="65" spans="1:17" customFormat="1">
      <c r="A65" s="80">
        <v>45542.59375</v>
      </c>
      <c r="B65" s="112">
        <v>10.41</v>
      </c>
      <c r="C65" s="112">
        <v>4.21</v>
      </c>
      <c r="D65" s="112">
        <v>15</v>
      </c>
      <c r="E65" s="151" t="s">
        <v>12</v>
      </c>
      <c r="F65" s="151" t="s">
        <v>12</v>
      </c>
      <c r="G65" s="151" t="s">
        <v>12</v>
      </c>
      <c r="H65" s="151" t="s">
        <v>12</v>
      </c>
      <c r="I65" s="112">
        <v>5.27</v>
      </c>
      <c r="J65" s="112">
        <v>0.46</v>
      </c>
      <c r="K65" s="112">
        <v>274.20999999999998</v>
      </c>
      <c r="L65" s="112">
        <v>31.06</v>
      </c>
      <c r="M65" s="112">
        <v>73.900000000000006</v>
      </c>
      <c r="N65" s="112">
        <v>163</v>
      </c>
      <c r="O65" s="112">
        <v>0</v>
      </c>
      <c r="P65" s="112">
        <v>0.43</v>
      </c>
      <c r="Q65" s="112">
        <v>4.59</v>
      </c>
    </row>
    <row r="66" spans="1:17" customFormat="1">
      <c r="A66" s="80">
        <v>45542.604166666664</v>
      </c>
      <c r="B66" s="112">
        <v>9.4600000000000009</v>
      </c>
      <c r="C66" s="112">
        <v>4.08</v>
      </c>
      <c r="D66" s="112">
        <v>14.17</v>
      </c>
      <c r="E66" s="151" t="s">
        <v>12</v>
      </c>
      <c r="F66" s="151" t="s">
        <v>12</v>
      </c>
      <c r="G66" s="151" t="s">
        <v>12</v>
      </c>
      <c r="H66" s="151" t="s">
        <v>12</v>
      </c>
      <c r="I66" s="112">
        <v>6.85</v>
      </c>
      <c r="J66" s="112">
        <v>0.46</v>
      </c>
      <c r="K66" s="112">
        <v>261.48</v>
      </c>
      <c r="L66" s="112">
        <v>31.25</v>
      </c>
      <c r="M66" s="112">
        <v>74.930000000000007</v>
      </c>
      <c r="N66" s="112">
        <v>161.19999999999999</v>
      </c>
      <c r="O66" s="112">
        <v>0</v>
      </c>
      <c r="P66" s="112">
        <v>0.46</v>
      </c>
      <c r="Q66" s="112">
        <v>4.59</v>
      </c>
    </row>
    <row r="67" spans="1:17" customFormat="1">
      <c r="A67" s="80">
        <v>45542.614583333336</v>
      </c>
      <c r="B67" s="112">
        <v>9.32</v>
      </c>
      <c r="C67" s="112">
        <v>4.08</v>
      </c>
      <c r="D67" s="112">
        <v>14.05</v>
      </c>
      <c r="E67" s="151" t="s">
        <v>12</v>
      </c>
      <c r="F67" s="112">
        <v>14.75</v>
      </c>
      <c r="G67" s="151" t="s">
        <v>12</v>
      </c>
      <c r="H67" s="151" t="s">
        <v>12</v>
      </c>
      <c r="I67" s="112">
        <v>7.83</v>
      </c>
      <c r="J67" s="112">
        <v>0.68</v>
      </c>
      <c r="K67" s="112">
        <v>278.91000000000003</v>
      </c>
      <c r="L67" s="112">
        <v>31.18</v>
      </c>
      <c r="M67" s="112">
        <v>73.150000000000006</v>
      </c>
      <c r="N67" s="112">
        <v>247.4</v>
      </c>
      <c r="O67" s="112">
        <v>0</v>
      </c>
      <c r="P67" s="112">
        <v>0.46</v>
      </c>
      <c r="Q67" s="112">
        <v>4.59</v>
      </c>
    </row>
    <row r="68" spans="1:17" customFormat="1">
      <c r="A68" s="80">
        <v>45542.625</v>
      </c>
      <c r="B68" s="112">
        <v>9.33</v>
      </c>
      <c r="C68" s="112">
        <v>4.05</v>
      </c>
      <c r="D68" s="112">
        <v>14.05</v>
      </c>
      <c r="E68" s="112">
        <v>10.029999999999999</v>
      </c>
      <c r="F68" s="112">
        <v>17.79</v>
      </c>
      <c r="G68" s="112">
        <v>6.27</v>
      </c>
      <c r="H68" s="112">
        <v>2.41</v>
      </c>
      <c r="I68" s="112">
        <v>7.37</v>
      </c>
      <c r="J68" s="112">
        <v>0.82</v>
      </c>
      <c r="K68" s="112">
        <v>285.5</v>
      </c>
      <c r="L68" s="112">
        <v>31.33</v>
      </c>
      <c r="M68" s="112">
        <v>71.150000000000006</v>
      </c>
      <c r="N68" s="112">
        <v>277.89999999999998</v>
      </c>
      <c r="O68" s="112">
        <v>0</v>
      </c>
      <c r="P68" s="112">
        <v>0.48</v>
      </c>
      <c r="Q68" s="112">
        <v>4.59</v>
      </c>
    </row>
    <row r="69" spans="1:17" customFormat="1">
      <c r="A69" s="80">
        <v>45542.635416666664</v>
      </c>
      <c r="B69" s="112">
        <v>9.25</v>
      </c>
      <c r="C69" s="112">
        <v>4.09</v>
      </c>
      <c r="D69" s="112">
        <v>14.01</v>
      </c>
      <c r="E69" s="112">
        <v>11.1</v>
      </c>
      <c r="F69" s="112">
        <v>17.02</v>
      </c>
      <c r="G69" s="112">
        <v>23.53</v>
      </c>
      <c r="H69" s="112">
        <v>6.91</v>
      </c>
      <c r="I69" s="112">
        <v>7.02</v>
      </c>
      <c r="J69" s="112">
        <v>0.83</v>
      </c>
      <c r="K69" s="112">
        <v>292.17</v>
      </c>
      <c r="L69" s="112">
        <v>31.25</v>
      </c>
      <c r="M69" s="112">
        <v>71.25</v>
      </c>
      <c r="N69" s="112">
        <v>299.89999999999998</v>
      </c>
      <c r="O69" s="112">
        <v>0</v>
      </c>
      <c r="P69" s="112">
        <v>0.49</v>
      </c>
      <c r="Q69" s="112">
        <v>4.5999999999999996</v>
      </c>
    </row>
    <row r="70" spans="1:17" customFormat="1">
      <c r="A70" s="80">
        <v>45542.645833333336</v>
      </c>
      <c r="B70" s="112">
        <v>9.2100000000000009</v>
      </c>
      <c r="C70" s="112">
        <v>4.1399999999999997</v>
      </c>
      <c r="D70" s="112">
        <v>14</v>
      </c>
      <c r="E70" s="112">
        <v>10.220000000000001</v>
      </c>
      <c r="F70" s="112">
        <v>12.54</v>
      </c>
      <c r="G70" s="112">
        <v>23.53</v>
      </c>
      <c r="H70" s="112">
        <v>6.91</v>
      </c>
      <c r="I70" s="112">
        <v>6.49</v>
      </c>
      <c r="J70" s="112">
        <v>0.82</v>
      </c>
      <c r="K70" s="112">
        <v>288.69</v>
      </c>
      <c r="L70" s="112">
        <v>30.86</v>
      </c>
      <c r="M70" s="112">
        <v>72.38</v>
      </c>
      <c r="N70" s="112">
        <v>263.10000000000002</v>
      </c>
      <c r="O70" s="112">
        <v>0</v>
      </c>
      <c r="P70" s="112">
        <v>0.5</v>
      </c>
      <c r="Q70" s="112">
        <v>4.59</v>
      </c>
    </row>
    <row r="71" spans="1:17" customFormat="1">
      <c r="A71" s="80">
        <v>45542.65625</v>
      </c>
      <c r="B71" s="112">
        <v>9.2100000000000009</v>
      </c>
      <c r="C71" s="112">
        <v>4.1399999999999997</v>
      </c>
      <c r="D71" s="112">
        <v>14</v>
      </c>
      <c r="E71" s="112">
        <v>9.7799999999999994</v>
      </c>
      <c r="F71" s="112">
        <v>13.78</v>
      </c>
      <c r="G71" s="112">
        <v>23.53</v>
      </c>
      <c r="H71" s="112">
        <v>6.91</v>
      </c>
      <c r="I71" s="112">
        <v>6.18</v>
      </c>
      <c r="J71" s="112">
        <v>0.75</v>
      </c>
      <c r="K71" s="112">
        <v>292.27999999999997</v>
      </c>
      <c r="L71" s="112">
        <v>30.67</v>
      </c>
      <c r="M71" s="112">
        <v>74.430000000000007</v>
      </c>
      <c r="N71" s="112">
        <v>186.6</v>
      </c>
      <c r="O71" s="112">
        <v>0</v>
      </c>
      <c r="P71" s="112">
        <v>0.5</v>
      </c>
      <c r="Q71" s="112">
        <v>4.5999999999999996</v>
      </c>
    </row>
    <row r="72" spans="1:17" customFormat="1">
      <c r="A72" s="80">
        <v>45542.666666666664</v>
      </c>
      <c r="B72" s="112">
        <v>9.25</v>
      </c>
      <c r="C72" s="112">
        <v>4.0999999999999996</v>
      </c>
      <c r="D72" s="112">
        <v>14.01</v>
      </c>
      <c r="E72" s="112">
        <v>9</v>
      </c>
      <c r="F72" s="112">
        <v>20.95</v>
      </c>
      <c r="G72" s="112">
        <v>24.92</v>
      </c>
      <c r="H72" s="112">
        <v>7.95</v>
      </c>
      <c r="I72" s="112">
        <v>6.13</v>
      </c>
      <c r="J72" s="112">
        <v>0.5</v>
      </c>
      <c r="K72" s="112">
        <v>288.01</v>
      </c>
      <c r="L72" s="112">
        <v>30.95</v>
      </c>
      <c r="M72" s="112">
        <v>74.599999999999994</v>
      </c>
      <c r="N72" s="112">
        <v>176.2</v>
      </c>
      <c r="O72" s="112">
        <v>0</v>
      </c>
      <c r="P72" s="112">
        <v>0.48</v>
      </c>
      <c r="Q72" s="112">
        <v>4.6100000000000003</v>
      </c>
    </row>
    <row r="73" spans="1:17" customFormat="1">
      <c r="A73" s="80">
        <v>45542.677083333336</v>
      </c>
      <c r="B73" s="112">
        <v>9.3800000000000008</v>
      </c>
      <c r="C73" s="112">
        <v>4.0999999999999996</v>
      </c>
      <c r="D73" s="112">
        <v>14.11</v>
      </c>
      <c r="E73" s="112">
        <v>9.1</v>
      </c>
      <c r="F73" s="112">
        <v>32.56</v>
      </c>
      <c r="G73" s="112">
        <v>28.73</v>
      </c>
      <c r="H73" s="112">
        <v>9.89</v>
      </c>
      <c r="I73" s="112">
        <v>5.91</v>
      </c>
      <c r="J73" s="112">
        <v>0.32</v>
      </c>
      <c r="K73" s="112">
        <v>296.7</v>
      </c>
      <c r="L73" s="112">
        <v>31.08</v>
      </c>
      <c r="M73" s="112">
        <v>72.989999999999995</v>
      </c>
      <c r="N73" s="112">
        <v>126.9</v>
      </c>
      <c r="O73" s="112">
        <v>0</v>
      </c>
      <c r="P73" s="112">
        <v>0.49</v>
      </c>
      <c r="Q73" s="112">
        <v>4.66</v>
      </c>
    </row>
    <row r="74" spans="1:17" customFormat="1">
      <c r="A74" s="80">
        <v>45542.6875</v>
      </c>
      <c r="B74" s="112">
        <v>9.3800000000000008</v>
      </c>
      <c r="C74" s="112">
        <v>4.0999999999999996</v>
      </c>
      <c r="D74" s="112">
        <v>14.11</v>
      </c>
      <c r="E74" s="112">
        <v>9.83</v>
      </c>
      <c r="F74" s="112">
        <v>26</v>
      </c>
      <c r="G74" s="112">
        <v>28.73</v>
      </c>
      <c r="H74" s="112">
        <v>9.89</v>
      </c>
      <c r="I74" s="112">
        <v>5.71</v>
      </c>
      <c r="J74" s="112">
        <v>0.28000000000000003</v>
      </c>
      <c r="K74" s="112">
        <v>220.48</v>
      </c>
      <c r="L74" s="112">
        <v>31.04</v>
      </c>
      <c r="M74" s="112">
        <v>72.63</v>
      </c>
      <c r="N74" s="112">
        <v>80</v>
      </c>
      <c r="O74" s="112">
        <v>0</v>
      </c>
      <c r="P74" s="112">
        <v>0.44</v>
      </c>
      <c r="Q74" s="112">
        <v>4.6399999999999997</v>
      </c>
    </row>
    <row r="75" spans="1:17" customFormat="1">
      <c r="A75" s="80">
        <v>45542.697916666664</v>
      </c>
      <c r="B75" s="112">
        <v>9.3699999999999992</v>
      </c>
      <c r="C75" s="112">
        <v>4.05</v>
      </c>
      <c r="D75" s="112">
        <v>14.08</v>
      </c>
      <c r="E75" s="112">
        <v>11.27</v>
      </c>
      <c r="F75" s="112">
        <v>28.74</v>
      </c>
      <c r="G75" s="112">
        <v>28.73</v>
      </c>
      <c r="H75" s="112">
        <v>9.89</v>
      </c>
      <c r="I75" s="112">
        <v>5.88</v>
      </c>
      <c r="J75" s="112">
        <v>0.32</v>
      </c>
      <c r="K75" s="112">
        <v>179.47</v>
      </c>
      <c r="L75" s="112">
        <v>31.33</v>
      </c>
      <c r="M75" s="112">
        <v>71.09</v>
      </c>
      <c r="N75" s="112">
        <v>50.3</v>
      </c>
      <c r="O75" s="112">
        <v>0</v>
      </c>
      <c r="P75" s="112">
        <v>0.42</v>
      </c>
      <c r="Q75" s="112">
        <v>4.63</v>
      </c>
    </row>
    <row r="76" spans="1:17" customFormat="1">
      <c r="A76" s="80">
        <v>45542.708333333336</v>
      </c>
      <c r="B76" s="112">
        <v>9.3000000000000007</v>
      </c>
      <c r="C76" s="112">
        <v>4.07</v>
      </c>
      <c r="D76" s="112">
        <v>14.04</v>
      </c>
      <c r="E76" s="112">
        <v>11.1</v>
      </c>
      <c r="F76" s="112">
        <v>24.06</v>
      </c>
      <c r="G76" s="112">
        <v>29.59</v>
      </c>
      <c r="H76" s="112">
        <v>13.05</v>
      </c>
      <c r="I76" s="112">
        <v>5.51</v>
      </c>
      <c r="J76" s="112">
        <v>0.16</v>
      </c>
      <c r="K76" s="112">
        <v>208.84</v>
      </c>
      <c r="L76" s="112">
        <v>30.5</v>
      </c>
      <c r="M76" s="112">
        <v>75.099999999999994</v>
      </c>
      <c r="N76" s="112">
        <v>29.9</v>
      </c>
      <c r="O76" s="112">
        <v>0</v>
      </c>
      <c r="P76" s="112">
        <v>0.4</v>
      </c>
      <c r="Q76" s="112">
        <v>4.6399999999999997</v>
      </c>
    </row>
    <row r="77" spans="1:17" customFormat="1">
      <c r="A77" s="80">
        <v>45542.71875</v>
      </c>
      <c r="B77" s="112">
        <v>9.31</v>
      </c>
      <c r="C77" s="112">
        <v>4.08</v>
      </c>
      <c r="D77" s="112">
        <v>14.05</v>
      </c>
      <c r="E77" s="112">
        <v>10.77</v>
      </c>
      <c r="F77" s="112">
        <v>19.77</v>
      </c>
      <c r="G77" s="112">
        <v>31.94</v>
      </c>
      <c r="H77" s="112">
        <v>18.96</v>
      </c>
      <c r="I77" s="112">
        <v>5.16</v>
      </c>
      <c r="J77" s="112">
        <v>0.15</v>
      </c>
      <c r="K77" s="112">
        <v>200.01</v>
      </c>
      <c r="L77" s="112">
        <v>29.91</v>
      </c>
      <c r="M77" s="112">
        <v>78.66</v>
      </c>
      <c r="N77" s="112">
        <v>19.399999999999999</v>
      </c>
      <c r="O77" s="112">
        <v>0</v>
      </c>
      <c r="P77" s="112">
        <v>0.44</v>
      </c>
      <c r="Q77" s="112">
        <v>4.62</v>
      </c>
    </row>
    <row r="78" spans="1:17" customFormat="1">
      <c r="A78" s="80">
        <v>45542.729166666664</v>
      </c>
      <c r="B78" s="112">
        <v>9.3000000000000007</v>
      </c>
      <c r="C78" s="112">
        <v>4.09</v>
      </c>
      <c r="D78" s="112">
        <v>14.05</v>
      </c>
      <c r="E78" s="112">
        <v>10.31</v>
      </c>
      <c r="F78" s="112">
        <v>14.08</v>
      </c>
      <c r="G78" s="112">
        <v>31.94</v>
      </c>
      <c r="H78" s="112">
        <v>18.96</v>
      </c>
      <c r="I78" s="112">
        <v>5.01</v>
      </c>
      <c r="J78" s="112">
        <v>0.17</v>
      </c>
      <c r="K78" s="112">
        <v>207.29</v>
      </c>
      <c r="L78" s="112">
        <v>29.78</v>
      </c>
      <c r="M78" s="112">
        <v>80.489999999999995</v>
      </c>
      <c r="N78" s="112">
        <v>10.3</v>
      </c>
      <c r="O78" s="112">
        <v>0</v>
      </c>
      <c r="P78" s="112">
        <v>0.43</v>
      </c>
      <c r="Q78" s="112">
        <v>4.6399999999999997</v>
      </c>
    </row>
    <row r="79" spans="1:17" customFormat="1">
      <c r="A79" s="80">
        <v>45542.739583333336</v>
      </c>
      <c r="B79" s="112">
        <v>9.3000000000000007</v>
      </c>
      <c r="C79" s="112">
        <v>4.09</v>
      </c>
      <c r="D79" s="112">
        <v>14.05</v>
      </c>
      <c r="E79" s="112">
        <v>10.119999999999999</v>
      </c>
      <c r="F79" s="112">
        <v>21.68</v>
      </c>
      <c r="G79" s="112">
        <v>31.94</v>
      </c>
      <c r="H79" s="112">
        <v>18.96</v>
      </c>
      <c r="I79" s="112">
        <v>5.15</v>
      </c>
      <c r="J79" s="112">
        <v>0.13</v>
      </c>
      <c r="K79" s="112">
        <v>184.51</v>
      </c>
      <c r="L79" s="112">
        <v>29.5</v>
      </c>
      <c r="M79" s="112">
        <v>82.43</v>
      </c>
      <c r="N79" s="112">
        <v>6.3</v>
      </c>
      <c r="O79" s="112">
        <v>0</v>
      </c>
      <c r="P79" s="112">
        <v>0.41</v>
      </c>
      <c r="Q79" s="112">
        <v>4.63</v>
      </c>
    </row>
    <row r="80" spans="1:17" customFormat="1">
      <c r="A80" s="80">
        <v>45542.75</v>
      </c>
      <c r="B80" s="112">
        <v>9.26</v>
      </c>
      <c r="C80" s="112">
        <v>4.07</v>
      </c>
      <c r="D80" s="112">
        <v>14</v>
      </c>
      <c r="E80" s="112">
        <v>10.17</v>
      </c>
      <c r="F80" s="112">
        <v>14.33</v>
      </c>
      <c r="G80" s="112">
        <v>35.86</v>
      </c>
      <c r="H80" s="112">
        <v>20.72</v>
      </c>
      <c r="I80" s="112">
        <v>5.04</v>
      </c>
      <c r="J80" s="112">
        <v>0.13</v>
      </c>
      <c r="K80" s="112">
        <v>183.96</v>
      </c>
      <c r="L80" s="112">
        <v>29.23</v>
      </c>
      <c r="M80" s="112">
        <v>83.63</v>
      </c>
      <c r="N80" s="112">
        <v>3.3</v>
      </c>
      <c r="O80" s="112">
        <v>0</v>
      </c>
      <c r="P80" s="112">
        <v>0.41</v>
      </c>
      <c r="Q80" s="112">
        <v>4.63</v>
      </c>
    </row>
    <row r="81" spans="1:17" customFormat="1">
      <c r="A81" s="80">
        <v>45542.760416666664</v>
      </c>
      <c r="B81" s="112">
        <v>9.25</v>
      </c>
      <c r="C81" s="112">
        <v>4.09</v>
      </c>
      <c r="D81" s="112">
        <v>14</v>
      </c>
      <c r="E81" s="112">
        <v>6.12</v>
      </c>
      <c r="F81" s="112">
        <v>21.07</v>
      </c>
      <c r="G81" s="112">
        <v>46.62</v>
      </c>
      <c r="H81" s="112">
        <v>24.02</v>
      </c>
      <c r="I81" s="112">
        <v>4.92</v>
      </c>
      <c r="J81" s="112">
        <v>0.19</v>
      </c>
      <c r="K81" s="112">
        <v>173.56</v>
      </c>
      <c r="L81" s="112">
        <v>29.04</v>
      </c>
      <c r="M81" s="112">
        <v>85.78</v>
      </c>
      <c r="N81" s="112">
        <v>2.2999999999999998</v>
      </c>
      <c r="O81" s="112">
        <v>0</v>
      </c>
      <c r="P81" s="112">
        <v>0.4</v>
      </c>
      <c r="Q81" s="112">
        <v>4.62</v>
      </c>
    </row>
    <row r="82" spans="1:17" customFormat="1">
      <c r="A82" s="80">
        <v>45542.770833333336</v>
      </c>
      <c r="B82" s="112">
        <v>9.24</v>
      </c>
      <c r="C82" s="112">
        <v>4.0999999999999996</v>
      </c>
      <c r="D82" s="112">
        <v>14</v>
      </c>
      <c r="E82" s="112">
        <v>6.71</v>
      </c>
      <c r="F82" s="112">
        <v>11.46</v>
      </c>
      <c r="G82" s="112">
        <v>46.62</v>
      </c>
      <c r="H82" s="112">
        <v>24.02</v>
      </c>
      <c r="I82" s="112">
        <v>4.8899999999999997</v>
      </c>
      <c r="J82" s="112">
        <v>0.11</v>
      </c>
      <c r="K82" s="112">
        <v>213.05</v>
      </c>
      <c r="L82" s="112">
        <v>28.83</v>
      </c>
      <c r="M82" s="112">
        <v>87.93</v>
      </c>
      <c r="N82" s="112">
        <v>2.4</v>
      </c>
      <c r="O82" s="112">
        <v>0</v>
      </c>
      <c r="P82" s="112">
        <v>0.43</v>
      </c>
      <c r="Q82" s="112">
        <v>4.6399999999999997</v>
      </c>
    </row>
    <row r="83" spans="1:17" customFormat="1">
      <c r="A83" s="80">
        <v>45542.78125</v>
      </c>
      <c r="B83" s="112">
        <v>9.24</v>
      </c>
      <c r="C83" s="112">
        <v>4.0999999999999996</v>
      </c>
      <c r="D83" s="112">
        <v>14</v>
      </c>
      <c r="E83" s="112">
        <v>6.94</v>
      </c>
      <c r="F83" s="112">
        <v>13.87</v>
      </c>
      <c r="G83" s="112">
        <v>46.62</v>
      </c>
      <c r="H83" s="112">
        <v>24.02</v>
      </c>
      <c r="I83" s="112">
        <v>4.82</v>
      </c>
      <c r="J83" s="112">
        <v>0.2</v>
      </c>
      <c r="K83" s="112">
        <v>150.27000000000001</v>
      </c>
      <c r="L83" s="112">
        <v>28.91</v>
      </c>
      <c r="M83" s="112">
        <v>87.89</v>
      </c>
      <c r="N83" s="112">
        <v>2.1</v>
      </c>
      <c r="O83" s="112">
        <v>0</v>
      </c>
      <c r="P83" s="112">
        <v>0.41</v>
      </c>
      <c r="Q83" s="112">
        <v>4.6399999999999997</v>
      </c>
    </row>
    <row r="84" spans="1:17" customFormat="1">
      <c r="A84" s="80">
        <v>45542.791666666664</v>
      </c>
      <c r="B84" s="112">
        <v>9.27</v>
      </c>
      <c r="C84" s="112">
        <v>4.0599999999999996</v>
      </c>
      <c r="D84" s="112">
        <v>14</v>
      </c>
      <c r="E84" s="112">
        <v>6.6</v>
      </c>
      <c r="F84" s="112">
        <v>16.57</v>
      </c>
      <c r="G84" s="112">
        <v>49.6</v>
      </c>
      <c r="H84" s="112">
        <v>23.66</v>
      </c>
      <c r="I84" s="112">
        <v>4.97</v>
      </c>
      <c r="J84" s="112">
        <v>0.13</v>
      </c>
      <c r="K84" s="112">
        <v>207.2</v>
      </c>
      <c r="L84" s="112">
        <v>28.54</v>
      </c>
      <c r="M84" s="112">
        <v>88.07</v>
      </c>
      <c r="N84" s="112">
        <v>2.4</v>
      </c>
      <c r="O84" s="112">
        <v>0</v>
      </c>
      <c r="P84" s="112">
        <v>0.41</v>
      </c>
      <c r="Q84" s="112">
        <v>4.62</v>
      </c>
    </row>
    <row r="85" spans="1:17" customFormat="1">
      <c r="A85" s="80">
        <v>45542.802083333336</v>
      </c>
      <c r="B85" s="112">
        <v>9.27</v>
      </c>
      <c r="C85" s="112">
        <v>4.08</v>
      </c>
      <c r="D85" s="112">
        <v>14.01</v>
      </c>
      <c r="E85" s="112">
        <v>7.31</v>
      </c>
      <c r="F85" s="112">
        <v>10</v>
      </c>
      <c r="G85" s="112">
        <v>57.77</v>
      </c>
      <c r="H85" s="112">
        <v>22.95</v>
      </c>
      <c r="I85" s="112">
        <v>4.83</v>
      </c>
      <c r="J85" s="112">
        <v>0.12</v>
      </c>
      <c r="K85" s="112">
        <v>196.59</v>
      </c>
      <c r="L85" s="112">
        <v>28.43</v>
      </c>
      <c r="M85" s="112">
        <v>88.82</v>
      </c>
      <c r="N85" s="112">
        <v>2.2000000000000002</v>
      </c>
      <c r="O85" s="112">
        <v>0</v>
      </c>
      <c r="P85" s="112">
        <v>0.41</v>
      </c>
      <c r="Q85" s="112">
        <v>4.6399999999999997</v>
      </c>
    </row>
    <row r="86" spans="1:17" customFormat="1">
      <c r="A86" s="80">
        <v>45542.8125</v>
      </c>
      <c r="B86" s="112">
        <v>9.27</v>
      </c>
      <c r="C86" s="112">
        <v>4.0599999999999996</v>
      </c>
      <c r="D86" s="112">
        <v>14.01</v>
      </c>
      <c r="E86" s="112">
        <v>7.04</v>
      </c>
      <c r="F86" s="112">
        <v>14.92</v>
      </c>
      <c r="G86" s="112">
        <v>57.77</v>
      </c>
      <c r="H86" s="112">
        <v>22.95</v>
      </c>
      <c r="I86" s="112">
        <v>4.92</v>
      </c>
      <c r="J86" s="112">
        <v>0.15</v>
      </c>
      <c r="K86" s="112">
        <v>182.4</v>
      </c>
      <c r="L86" s="112">
        <v>28.33</v>
      </c>
      <c r="M86" s="112">
        <v>90.16</v>
      </c>
      <c r="N86" s="112">
        <v>2.1</v>
      </c>
      <c r="O86" s="112">
        <v>0</v>
      </c>
      <c r="P86" s="112">
        <v>0.4</v>
      </c>
      <c r="Q86" s="112">
        <v>4.63</v>
      </c>
    </row>
    <row r="87" spans="1:17" customFormat="1">
      <c r="A87" s="80">
        <v>45542.822916666664</v>
      </c>
      <c r="B87" s="112">
        <v>9.2899999999999991</v>
      </c>
      <c r="C87" s="112">
        <v>4.04</v>
      </c>
      <c r="D87" s="112">
        <v>14.01</v>
      </c>
      <c r="E87" s="112">
        <v>7.45</v>
      </c>
      <c r="F87" s="112">
        <v>13.38</v>
      </c>
      <c r="G87" s="112">
        <v>57.77</v>
      </c>
      <c r="H87" s="112">
        <v>22.95</v>
      </c>
      <c r="I87" s="112">
        <v>4.9800000000000004</v>
      </c>
      <c r="J87" s="112">
        <v>0.13</v>
      </c>
      <c r="K87" s="112">
        <v>153.1</v>
      </c>
      <c r="L87" s="112">
        <v>28.32</v>
      </c>
      <c r="M87" s="112">
        <v>91.43</v>
      </c>
      <c r="N87" s="112">
        <v>2</v>
      </c>
      <c r="O87" s="112">
        <v>0</v>
      </c>
      <c r="P87" s="112">
        <v>0.42</v>
      </c>
      <c r="Q87" s="112">
        <v>4.63</v>
      </c>
    </row>
    <row r="88" spans="1:17" customFormat="1">
      <c r="A88" s="80">
        <v>45542.833333333336</v>
      </c>
      <c r="B88" s="112">
        <v>9.2799999999999994</v>
      </c>
      <c r="C88" s="112">
        <v>4.09</v>
      </c>
      <c r="D88" s="112">
        <v>14.03</v>
      </c>
      <c r="E88" s="112">
        <v>7.41</v>
      </c>
      <c r="F88" s="112">
        <v>12.49</v>
      </c>
      <c r="G88" s="112">
        <v>56.08</v>
      </c>
      <c r="H88" s="112">
        <v>23.62</v>
      </c>
      <c r="I88" s="112">
        <v>4.75</v>
      </c>
      <c r="J88" s="112">
        <v>0.12</v>
      </c>
      <c r="K88" s="112">
        <v>195.76</v>
      </c>
      <c r="L88" s="112">
        <v>28.49</v>
      </c>
      <c r="M88" s="112">
        <v>89.6</v>
      </c>
      <c r="N88" s="112">
        <v>2.1</v>
      </c>
      <c r="O88" s="112">
        <v>0</v>
      </c>
      <c r="P88" s="112">
        <v>0.42</v>
      </c>
      <c r="Q88" s="112">
        <v>4.6399999999999997</v>
      </c>
    </row>
    <row r="89" spans="1:17" customFormat="1">
      <c r="A89" s="80">
        <v>45542.84375</v>
      </c>
      <c r="B89" s="112">
        <v>9.27</v>
      </c>
      <c r="C89" s="112">
        <v>4.08</v>
      </c>
      <c r="D89" s="112">
        <v>14.02</v>
      </c>
      <c r="E89" s="112">
        <v>7.3</v>
      </c>
      <c r="F89" s="112">
        <v>14.36</v>
      </c>
      <c r="G89" s="112">
        <v>51.43</v>
      </c>
      <c r="H89" s="112">
        <v>26.51</v>
      </c>
      <c r="I89" s="112">
        <v>4.8899999999999997</v>
      </c>
      <c r="J89" s="112">
        <v>0.12</v>
      </c>
      <c r="K89" s="112">
        <v>178.72</v>
      </c>
      <c r="L89" s="112">
        <v>28.21</v>
      </c>
      <c r="M89" s="112">
        <v>92.26</v>
      </c>
      <c r="N89" s="112">
        <v>2.1</v>
      </c>
      <c r="O89" s="112">
        <v>0</v>
      </c>
      <c r="P89" s="112">
        <v>0.42</v>
      </c>
      <c r="Q89" s="112">
        <v>4.63</v>
      </c>
    </row>
    <row r="90" spans="1:17" customFormat="1">
      <c r="A90" s="80">
        <v>45542.854166666664</v>
      </c>
      <c r="B90" s="112">
        <v>9.2899999999999991</v>
      </c>
      <c r="C90" s="112">
        <v>4.04</v>
      </c>
      <c r="D90" s="112">
        <v>14.01</v>
      </c>
      <c r="E90" s="112">
        <v>7.95</v>
      </c>
      <c r="F90" s="112">
        <v>6.35</v>
      </c>
      <c r="G90" s="112">
        <v>51.43</v>
      </c>
      <c r="H90" s="112">
        <v>26.51</v>
      </c>
      <c r="I90" s="112">
        <v>4.82</v>
      </c>
      <c r="J90" s="112">
        <v>0.17</v>
      </c>
      <c r="K90" s="112">
        <v>84.4</v>
      </c>
      <c r="L90" s="112">
        <v>28.13</v>
      </c>
      <c r="M90" s="112">
        <v>94.19</v>
      </c>
      <c r="N90" s="112">
        <v>2.1</v>
      </c>
      <c r="O90" s="112">
        <v>0.4</v>
      </c>
      <c r="P90" s="112">
        <v>0.43</v>
      </c>
      <c r="Q90" s="112">
        <v>4.6399999999999997</v>
      </c>
    </row>
    <row r="91" spans="1:17" customFormat="1">
      <c r="A91" s="80">
        <v>45542.864583333336</v>
      </c>
      <c r="B91" s="112">
        <v>9.27</v>
      </c>
      <c r="C91" s="112">
        <v>4.08</v>
      </c>
      <c r="D91" s="112">
        <v>14.01</v>
      </c>
      <c r="E91" s="112">
        <v>8.1</v>
      </c>
      <c r="F91" s="112">
        <v>8.5299999999999994</v>
      </c>
      <c r="G91" s="112">
        <v>51.43</v>
      </c>
      <c r="H91" s="112">
        <v>26.51</v>
      </c>
      <c r="I91" s="112">
        <v>4.87</v>
      </c>
      <c r="J91" s="112">
        <v>0.26</v>
      </c>
      <c r="K91" s="112">
        <v>76.099999999999994</v>
      </c>
      <c r="L91" s="112">
        <v>28.16</v>
      </c>
      <c r="M91" s="112">
        <v>95.84</v>
      </c>
      <c r="N91" s="112">
        <v>2.2000000000000002</v>
      </c>
      <c r="O91" s="112">
        <v>0</v>
      </c>
      <c r="P91" s="112">
        <v>0.51</v>
      </c>
      <c r="Q91" s="112">
        <v>4.62</v>
      </c>
    </row>
    <row r="92" spans="1:17" customFormat="1">
      <c r="A92" s="80">
        <v>45542.875</v>
      </c>
      <c r="B92" s="112">
        <v>9.2899999999999991</v>
      </c>
      <c r="C92" s="112">
        <v>4.1100000000000003</v>
      </c>
      <c r="D92" s="112">
        <v>14.05</v>
      </c>
      <c r="E92" s="112">
        <v>8.1300000000000008</v>
      </c>
      <c r="F92" s="112">
        <v>9.8800000000000008</v>
      </c>
      <c r="G92" s="112">
        <v>51.75</v>
      </c>
      <c r="H92" s="112">
        <v>27.69</v>
      </c>
      <c r="I92" s="112">
        <v>5.08</v>
      </c>
      <c r="J92" s="112">
        <v>0.17</v>
      </c>
      <c r="K92" s="112">
        <v>191.25</v>
      </c>
      <c r="L92" s="112">
        <v>27.86</v>
      </c>
      <c r="M92" s="112">
        <v>97.2</v>
      </c>
      <c r="N92" s="112">
        <v>2.2999999999999998</v>
      </c>
      <c r="O92" s="112">
        <v>0</v>
      </c>
      <c r="P92" s="112">
        <v>0.49</v>
      </c>
      <c r="Q92" s="112">
        <v>4.6100000000000003</v>
      </c>
    </row>
    <row r="93" spans="1:17" customFormat="1">
      <c r="A93" s="80">
        <v>45542.885416666664</v>
      </c>
      <c r="B93" s="112">
        <v>9.32</v>
      </c>
      <c r="C93" s="112">
        <v>4.08</v>
      </c>
      <c r="D93" s="112">
        <v>14.06</v>
      </c>
      <c r="E93" s="112">
        <v>7.68</v>
      </c>
      <c r="F93" s="112">
        <v>10.199999999999999</v>
      </c>
      <c r="G93" s="112">
        <v>52.65</v>
      </c>
      <c r="H93" s="112">
        <v>29.9</v>
      </c>
      <c r="I93" s="112">
        <v>5.39</v>
      </c>
      <c r="J93" s="112">
        <v>0.14000000000000001</v>
      </c>
      <c r="K93" s="112">
        <v>169.23</v>
      </c>
      <c r="L93" s="112">
        <v>27.78</v>
      </c>
      <c r="M93" s="112">
        <v>98.1</v>
      </c>
      <c r="N93" s="112">
        <v>2.1</v>
      </c>
      <c r="O93" s="112">
        <v>0.2</v>
      </c>
      <c r="P93" s="112">
        <v>0.47</v>
      </c>
      <c r="Q93" s="112">
        <v>4.63</v>
      </c>
    </row>
    <row r="94" spans="1:17" customFormat="1">
      <c r="A94" s="80">
        <v>45542.895833333336</v>
      </c>
      <c r="B94" s="112">
        <v>9.32</v>
      </c>
      <c r="C94" s="112">
        <v>4.0599999999999996</v>
      </c>
      <c r="D94" s="112">
        <v>14.05</v>
      </c>
      <c r="E94" s="112">
        <v>7.59</v>
      </c>
      <c r="F94" s="112">
        <v>9.41</v>
      </c>
      <c r="G94" s="112">
        <v>52.65</v>
      </c>
      <c r="H94" s="112">
        <v>29.9</v>
      </c>
      <c r="I94" s="112">
        <v>5.36</v>
      </c>
      <c r="J94" s="112">
        <v>0.15</v>
      </c>
      <c r="K94" s="112">
        <v>192.84</v>
      </c>
      <c r="L94" s="112">
        <v>27.68</v>
      </c>
      <c r="M94" s="112">
        <v>98.47</v>
      </c>
      <c r="N94" s="112">
        <v>2.2999999999999998</v>
      </c>
      <c r="O94" s="112">
        <v>0</v>
      </c>
      <c r="P94" s="112">
        <v>0.47</v>
      </c>
      <c r="Q94" s="112">
        <v>4.62</v>
      </c>
    </row>
    <row r="95" spans="1:17" customFormat="1">
      <c r="A95" s="80">
        <v>45542.90625</v>
      </c>
      <c r="B95" s="112">
        <v>9.31</v>
      </c>
      <c r="C95" s="112">
        <v>4.03</v>
      </c>
      <c r="D95" s="112">
        <v>14.03</v>
      </c>
      <c r="E95" s="112">
        <v>7.05</v>
      </c>
      <c r="F95" s="112">
        <v>12.31</v>
      </c>
      <c r="G95" s="112">
        <v>52.65</v>
      </c>
      <c r="H95" s="112">
        <v>29.9</v>
      </c>
      <c r="I95" s="112">
        <v>5.38</v>
      </c>
      <c r="J95" s="112">
        <v>0.12</v>
      </c>
      <c r="K95" s="112">
        <v>185.21</v>
      </c>
      <c r="L95" s="112">
        <v>27.52</v>
      </c>
      <c r="M95" s="112">
        <v>98.63</v>
      </c>
      <c r="N95" s="112">
        <v>2.1</v>
      </c>
      <c r="O95" s="112">
        <v>0</v>
      </c>
      <c r="P95" s="112">
        <v>0.49</v>
      </c>
      <c r="Q95" s="112">
        <v>4.6100000000000003</v>
      </c>
    </row>
    <row r="96" spans="1:17" customFormat="1">
      <c r="A96" s="80">
        <v>45542.916666666664</v>
      </c>
      <c r="B96" s="112">
        <v>9.3000000000000007</v>
      </c>
      <c r="C96" s="112">
        <v>4.0599999999999996</v>
      </c>
      <c r="D96" s="112">
        <v>14.03</v>
      </c>
      <c r="E96" s="112">
        <v>6.9</v>
      </c>
      <c r="F96" s="112">
        <v>11.64</v>
      </c>
      <c r="G96" s="112">
        <v>54.13</v>
      </c>
      <c r="H96" s="112">
        <v>28.96</v>
      </c>
      <c r="I96" s="112">
        <v>5.43</v>
      </c>
      <c r="J96" s="112">
        <v>0.12</v>
      </c>
      <c r="K96" s="112">
        <v>175.42</v>
      </c>
      <c r="L96" s="112">
        <v>27.49</v>
      </c>
      <c r="M96" s="112">
        <v>98.54</v>
      </c>
      <c r="N96" s="112">
        <v>2.1</v>
      </c>
      <c r="O96" s="112">
        <v>0</v>
      </c>
      <c r="P96" s="112">
        <v>0.5</v>
      </c>
      <c r="Q96" s="112">
        <v>4.62</v>
      </c>
    </row>
    <row r="97" spans="1:22" customFormat="1">
      <c r="A97" s="80">
        <v>45542.927083333336</v>
      </c>
      <c r="B97" s="112">
        <v>9.3000000000000007</v>
      </c>
      <c r="C97" s="112">
        <v>4.0599999999999996</v>
      </c>
      <c r="D97" s="112">
        <v>14.03</v>
      </c>
      <c r="E97" s="112">
        <v>6.92</v>
      </c>
      <c r="F97" s="112">
        <v>9.81</v>
      </c>
      <c r="G97" s="112">
        <v>58.21</v>
      </c>
      <c r="H97" s="112">
        <v>27.2</v>
      </c>
      <c r="I97" s="112">
        <v>5.48</v>
      </c>
      <c r="J97" s="112">
        <v>0.13</v>
      </c>
      <c r="K97" s="112">
        <v>158.49</v>
      </c>
      <c r="L97" s="112">
        <v>27.48</v>
      </c>
      <c r="M97" s="112">
        <v>98.91</v>
      </c>
      <c r="N97" s="112">
        <v>2.1</v>
      </c>
      <c r="O97" s="112">
        <v>0</v>
      </c>
      <c r="P97" s="112">
        <v>0.49</v>
      </c>
      <c r="Q97" s="112">
        <v>4.62</v>
      </c>
    </row>
    <row r="98" spans="1:22" customFormat="1">
      <c r="A98" s="80">
        <v>45542.9375</v>
      </c>
      <c r="B98" s="112">
        <v>9.2899999999999991</v>
      </c>
      <c r="C98" s="112">
        <v>4.07</v>
      </c>
      <c r="D98" s="112">
        <v>14.02</v>
      </c>
      <c r="E98" s="112">
        <v>6.71</v>
      </c>
      <c r="F98" s="112">
        <v>8.2100000000000009</v>
      </c>
      <c r="G98" s="112">
        <v>58.21</v>
      </c>
      <c r="H98" s="112">
        <v>27.2</v>
      </c>
      <c r="I98" s="112">
        <v>5.66</v>
      </c>
      <c r="J98" s="112">
        <v>0.1</v>
      </c>
      <c r="K98" s="112">
        <v>132.06</v>
      </c>
      <c r="L98" s="112">
        <v>27.53</v>
      </c>
      <c r="M98" s="112">
        <v>98.91</v>
      </c>
      <c r="N98" s="112">
        <v>2.1</v>
      </c>
      <c r="O98" s="112">
        <v>0</v>
      </c>
      <c r="P98" s="112">
        <v>0.49</v>
      </c>
      <c r="Q98" s="112">
        <v>4.62</v>
      </c>
    </row>
    <row r="99" spans="1:22" customFormat="1">
      <c r="A99" s="80">
        <v>45542.947916666664</v>
      </c>
      <c r="B99" s="112">
        <v>9.32</v>
      </c>
      <c r="C99" s="112">
        <v>4.04</v>
      </c>
      <c r="D99" s="112">
        <v>14.03</v>
      </c>
      <c r="E99" s="112">
        <v>6.36</v>
      </c>
      <c r="F99" s="112">
        <v>11.08</v>
      </c>
      <c r="G99" s="112">
        <v>58.21</v>
      </c>
      <c r="H99" s="112">
        <v>27.2</v>
      </c>
      <c r="I99" s="112">
        <v>5.67</v>
      </c>
      <c r="J99" s="112">
        <v>7.0000000000000007E-2</v>
      </c>
      <c r="K99" s="112">
        <v>199.92</v>
      </c>
      <c r="L99" s="112">
        <v>27.42</v>
      </c>
      <c r="M99" s="112">
        <v>99.12</v>
      </c>
      <c r="N99" s="112">
        <v>2.2999999999999998</v>
      </c>
      <c r="O99" s="112">
        <v>0</v>
      </c>
      <c r="P99" s="112">
        <v>0.47</v>
      </c>
      <c r="Q99" s="112">
        <v>4.62</v>
      </c>
    </row>
    <row r="100" spans="1:22" customFormat="1">
      <c r="A100" s="80">
        <v>45542.958333333336</v>
      </c>
      <c r="B100" s="112">
        <v>9.3000000000000007</v>
      </c>
      <c r="C100" s="112">
        <v>4.0599999999999996</v>
      </c>
      <c r="D100" s="112">
        <v>14.03</v>
      </c>
      <c r="E100" s="112">
        <v>6.1</v>
      </c>
      <c r="F100" s="112">
        <v>11.77</v>
      </c>
      <c r="G100" s="112">
        <v>56.42</v>
      </c>
      <c r="H100" s="112">
        <v>27.49</v>
      </c>
      <c r="I100" s="112">
        <v>5.51</v>
      </c>
      <c r="J100" s="112">
        <v>0.12</v>
      </c>
      <c r="K100" s="112">
        <v>157.19</v>
      </c>
      <c r="L100" s="112">
        <v>27.42</v>
      </c>
      <c r="M100" s="112">
        <v>99.32</v>
      </c>
      <c r="N100" s="112">
        <v>2.1</v>
      </c>
      <c r="O100" s="112">
        <v>0</v>
      </c>
      <c r="P100" s="112">
        <v>0.47</v>
      </c>
      <c r="Q100" s="112">
        <v>4.6100000000000003</v>
      </c>
    </row>
    <row r="101" spans="1:22" customFormat="1">
      <c r="A101" s="80">
        <v>45542.96875</v>
      </c>
      <c r="B101" s="112">
        <v>9.2799999999999994</v>
      </c>
      <c r="C101" s="112">
        <v>4.0999999999999996</v>
      </c>
      <c r="D101" s="112">
        <v>14.03</v>
      </c>
      <c r="E101" s="112">
        <v>6.38</v>
      </c>
      <c r="F101" s="112">
        <v>4.8099999999999996</v>
      </c>
      <c r="G101" s="112">
        <v>51.48</v>
      </c>
      <c r="H101" s="112">
        <v>28.02</v>
      </c>
      <c r="I101" s="112">
        <v>5.41</v>
      </c>
      <c r="J101" s="112">
        <v>0.1</v>
      </c>
      <c r="K101" s="112">
        <v>325.04000000000002</v>
      </c>
      <c r="L101" s="112">
        <v>27.52</v>
      </c>
      <c r="M101" s="112">
        <v>99.08</v>
      </c>
      <c r="N101" s="112">
        <v>2.1</v>
      </c>
      <c r="O101" s="112">
        <v>0</v>
      </c>
      <c r="P101" s="112">
        <v>0.5</v>
      </c>
      <c r="Q101" s="112">
        <v>4.6399999999999997</v>
      </c>
    </row>
    <row r="102" spans="1:22" customFormat="1">
      <c r="A102" s="80">
        <v>45542.979166666664</v>
      </c>
      <c r="B102" s="112">
        <v>9.2899999999999991</v>
      </c>
      <c r="C102" s="112">
        <v>4.07</v>
      </c>
      <c r="D102" s="112">
        <v>14.02</v>
      </c>
      <c r="E102" s="112">
        <v>6.16</v>
      </c>
      <c r="F102" s="112">
        <v>12.04</v>
      </c>
      <c r="G102" s="112">
        <v>51.48</v>
      </c>
      <c r="H102" s="112">
        <v>28.02</v>
      </c>
      <c r="I102" s="112">
        <v>5.29</v>
      </c>
      <c r="J102" s="112">
        <v>0.31</v>
      </c>
      <c r="K102" s="112">
        <v>59.01</v>
      </c>
      <c r="L102" s="112">
        <v>27.47</v>
      </c>
      <c r="M102" s="112">
        <v>99.03</v>
      </c>
      <c r="N102" s="112">
        <v>2.2999999999999998</v>
      </c>
      <c r="O102" s="112">
        <v>0</v>
      </c>
      <c r="P102" s="112">
        <v>0.48</v>
      </c>
      <c r="Q102" s="112">
        <v>4.63</v>
      </c>
    </row>
    <row r="103" spans="1:22" customFormat="1">
      <c r="A103" s="80">
        <v>45542.989583333336</v>
      </c>
      <c r="B103" s="112">
        <v>9.2799999999999994</v>
      </c>
      <c r="C103" s="112">
        <v>4.08</v>
      </c>
      <c r="D103" s="112">
        <v>14.02</v>
      </c>
      <c r="E103" s="112">
        <v>5.67</v>
      </c>
      <c r="F103" s="112">
        <v>12.79</v>
      </c>
      <c r="G103" s="112">
        <v>51.48</v>
      </c>
      <c r="H103" s="112">
        <v>28.02</v>
      </c>
      <c r="I103" s="112">
        <v>5.55</v>
      </c>
      <c r="J103" s="112">
        <v>0.1</v>
      </c>
      <c r="K103" s="112">
        <v>77.61</v>
      </c>
      <c r="L103" s="112">
        <v>27.42</v>
      </c>
      <c r="M103" s="112">
        <v>98.92</v>
      </c>
      <c r="N103" s="112">
        <v>2.2999999999999998</v>
      </c>
      <c r="O103" s="112">
        <v>0</v>
      </c>
      <c r="P103" s="112">
        <v>0.46</v>
      </c>
      <c r="Q103" s="112">
        <v>4.63</v>
      </c>
    </row>
    <row r="104" spans="1:22" customFormat="1">
      <c r="A104" s="80">
        <v>45543</v>
      </c>
      <c r="B104" s="112">
        <v>9.27</v>
      </c>
      <c r="C104" s="112">
        <v>4.08</v>
      </c>
      <c r="D104" s="112">
        <v>14.01</v>
      </c>
      <c r="E104" s="112">
        <v>5.71</v>
      </c>
      <c r="F104" s="112">
        <v>7.57</v>
      </c>
      <c r="G104" s="112">
        <v>57.83</v>
      </c>
      <c r="H104" s="112">
        <v>28.16</v>
      </c>
      <c r="I104" s="112">
        <v>5.46</v>
      </c>
      <c r="J104" s="112">
        <v>0.46</v>
      </c>
      <c r="K104" s="112">
        <v>62.89</v>
      </c>
      <c r="L104" s="112">
        <v>27.41</v>
      </c>
      <c r="M104" s="112">
        <v>98.88</v>
      </c>
      <c r="N104" s="112">
        <v>2.4</v>
      </c>
      <c r="O104" s="112">
        <v>0</v>
      </c>
      <c r="P104" s="112">
        <v>0.47</v>
      </c>
      <c r="Q104" s="112">
        <v>4.6399999999999997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9.2100000000000009</v>
      </c>
      <c r="C106" s="183">
        <f>MIN(C9:C104)</f>
        <v>4.03</v>
      </c>
      <c r="D106" s="183">
        <f t="shared" ref="D106:Q106" si="0">MIN(D9:D104)</f>
        <v>14</v>
      </c>
      <c r="E106" s="183">
        <f t="shared" si="0"/>
        <v>5.67</v>
      </c>
      <c r="F106" s="183">
        <f t="shared" si="0"/>
        <v>1.68</v>
      </c>
      <c r="G106" s="183">
        <f t="shared" si="0"/>
        <v>6.27</v>
      </c>
      <c r="H106" s="183">
        <f t="shared" si="0"/>
        <v>2.41</v>
      </c>
      <c r="I106" s="183">
        <f t="shared" si="0"/>
        <v>4.75</v>
      </c>
      <c r="J106" s="183">
        <f t="shared" si="0"/>
        <v>0.05</v>
      </c>
      <c r="K106" s="183">
        <f t="shared" si="0"/>
        <v>20.22</v>
      </c>
      <c r="L106" s="183">
        <f t="shared" si="0"/>
        <v>25.48</v>
      </c>
      <c r="M106" s="183">
        <f t="shared" si="0"/>
        <v>64.59</v>
      </c>
      <c r="N106" s="183">
        <f t="shared" si="0"/>
        <v>2</v>
      </c>
      <c r="O106" s="183">
        <f t="shared" si="0"/>
        <v>0</v>
      </c>
      <c r="P106" s="183">
        <f t="shared" si="0"/>
        <v>0.19</v>
      </c>
      <c r="Q106" s="183">
        <f t="shared" si="0"/>
        <v>4.59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13.22</v>
      </c>
      <c r="C107" s="184">
        <f t="shared" ref="C107:Q107" si="1">MAX(C9:C104)</f>
        <v>4.4000000000000004</v>
      </c>
      <c r="D107" s="184">
        <f t="shared" si="1"/>
        <v>17.350000000000001</v>
      </c>
      <c r="E107" s="184">
        <f t="shared" si="1"/>
        <v>18.190000000000001</v>
      </c>
      <c r="F107" s="184">
        <f t="shared" si="1"/>
        <v>32.56</v>
      </c>
      <c r="G107" s="184">
        <f t="shared" si="1"/>
        <v>85.13</v>
      </c>
      <c r="H107" s="184">
        <f t="shared" si="1"/>
        <v>31</v>
      </c>
      <c r="I107" s="184">
        <f t="shared" si="1"/>
        <v>8.4600000000000009</v>
      </c>
      <c r="J107" s="184">
        <f t="shared" si="1"/>
        <v>1.06</v>
      </c>
      <c r="K107" s="184">
        <f t="shared" si="1"/>
        <v>355.31</v>
      </c>
      <c r="L107" s="184">
        <f t="shared" si="1"/>
        <v>32.700000000000003</v>
      </c>
      <c r="M107" s="184">
        <f t="shared" si="1"/>
        <v>99.32</v>
      </c>
      <c r="N107" s="184">
        <f t="shared" si="1"/>
        <v>496.6</v>
      </c>
      <c r="O107" s="184">
        <f t="shared" si="1"/>
        <v>0.4</v>
      </c>
      <c r="P107" s="184">
        <f t="shared" si="1"/>
        <v>0.65</v>
      </c>
      <c r="Q107" s="184">
        <f t="shared" si="1"/>
        <v>4.66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9.342499999999994</v>
      </c>
      <c r="C108" s="183">
        <f t="shared" ref="C108:Q108" si="2">AVERAGE(C9:C104)</f>
        <v>4.0777083333333337</v>
      </c>
      <c r="D108" s="183">
        <f t="shared" si="2"/>
        <v>14.071979166666658</v>
      </c>
      <c r="E108" s="183">
        <f t="shared" si="2"/>
        <v>9.8118681318681311</v>
      </c>
      <c r="F108" s="183">
        <f t="shared" si="2"/>
        <v>9.5663043478260867</v>
      </c>
      <c r="G108" s="183">
        <f t="shared" si="2"/>
        <v>42.111333333333341</v>
      </c>
      <c r="H108" s="183">
        <f t="shared" si="2"/>
        <v>17.373666666666669</v>
      </c>
      <c r="I108" s="183">
        <f t="shared" si="2"/>
        <v>5.916041666666664</v>
      </c>
      <c r="J108" s="183">
        <f t="shared" si="2"/>
        <v>0.27895833333333347</v>
      </c>
      <c r="K108" s="183">
        <f t="shared" si="2"/>
        <v>206.27177083333331</v>
      </c>
      <c r="L108" s="183">
        <f t="shared" si="2"/>
        <v>28.640520833333326</v>
      </c>
      <c r="M108" s="183">
        <f t="shared" si="2"/>
        <v>85.883437500000014</v>
      </c>
      <c r="N108" s="183">
        <f t="shared" si="2"/>
        <v>111.10416666666664</v>
      </c>
      <c r="O108" s="183">
        <f t="shared" si="2"/>
        <v>6.2500000000000012E-3</v>
      </c>
      <c r="P108" s="183">
        <f t="shared" si="2"/>
        <v>0.47368421052631554</v>
      </c>
      <c r="Q108" s="183">
        <f t="shared" si="2"/>
        <v>4.623645833333331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0.41738030115173735</v>
      </c>
      <c r="C109" s="183">
        <f t="shared" ref="C109:Q109" si="3">STDEV(C9:C104)</f>
        <v>4.1051422609278923E-2</v>
      </c>
      <c r="D109" s="183">
        <f t="shared" si="3"/>
        <v>0.35342718982696092</v>
      </c>
      <c r="E109" s="183">
        <f t="shared" si="3"/>
        <v>2.873517361503509</v>
      </c>
      <c r="F109" s="183">
        <f t="shared" si="3"/>
        <v>6.2504329023511715</v>
      </c>
      <c r="G109" s="183">
        <f t="shared" si="3"/>
        <v>16.385031069426368</v>
      </c>
      <c r="H109" s="183">
        <f t="shared" si="3"/>
        <v>8.13653881773965</v>
      </c>
      <c r="I109" s="183">
        <f t="shared" si="3"/>
        <v>0.90026835667767402</v>
      </c>
      <c r="J109" s="183">
        <f t="shared" si="3"/>
        <v>0.22300096373011788</v>
      </c>
      <c r="K109" s="183">
        <f t="shared" si="3"/>
        <v>74.028442471295335</v>
      </c>
      <c r="L109" s="183">
        <f t="shared" si="3"/>
        <v>2.3200836508475819</v>
      </c>
      <c r="M109" s="183">
        <f t="shared" si="3"/>
        <v>12.233134970934648</v>
      </c>
      <c r="N109" s="183">
        <f t="shared" si="3"/>
        <v>148.04600843668527</v>
      </c>
      <c r="O109" s="183">
        <f t="shared" si="3"/>
        <v>4.5450956796135887E-2</v>
      </c>
      <c r="P109" s="183">
        <f t="shared" si="3"/>
        <v>6.8634905696412424E-2</v>
      </c>
      <c r="Q109" s="183">
        <f t="shared" si="3"/>
        <v>1.4372473080724067E-2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D110" si="4">COUNT(B9:B104)</f>
        <v>96</v>
      </c>
      <c r="C110" s="184">
        <f t="shared" si="4"/>
        <v>96</v>
      </c>
      <c r="D110" s="184">
        <f t="shared" si="4"/>
        <v>96</v>
      </c>
      <c r="E110" s="184">
        <v>96</v>
      </c>
      <c r="F110" s="184">
        <v>96</v>
      </c>
      <c r="G110" s="184">
        <v>96</v>
      </c>
      <c r="H110" s="184">
        <v>96</v>
      </c>
      <c r="I110" s="184">
        <v>96</v>
      </c>
      <c r="J110" s="184">
        <v>96</v>
      </c>
      <c r="K110" s="184">
        <v>96</v>
      </c>
      <c r="L110" s="184">
        <v>96</v>
      </c>
      <c r="M110" s="184">
        <v>96</v>
      </c>
      <c r="N110" s="184">
        <v>96</v>
      </c>
      <c r="O110" s="184">
        <v>96</v>
      </c>
      <c r="P110" s="184">
        <v>96</v>
      </c>
      <c r="Q110" s="184"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11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45543.010416666664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45543.010416666664</v>
      </c>
      <c r="B9" s="112">
        <v>9.31</v>
      </c>
      <c r="C9" s="112">
        <v>4.01</v>
      </c>
      <c r="D9" s="112">
        <v>14.01</v>
      </c>
      <c r="E9" s="112">
        <v>5.69</v>
      </c>
      <c r="F9" s="112">
        <v>7.14</v>
      </c>
      <c r="G9" s="112">
        <v>75.290000000000006</v>
      </c>
      <c r="H9" s="112">
        <v>28.42</v>
      </c>
      <c r="I9" s="112">
        <v>5.35</v>
      </c>
      <c r="J9" s="112">
        <v>0.33</v>
      </c>
      <c r="K9" s="112">
        <v>61.53</v>
      </c>
      <c r="L9" s="112">
        <v>27.44</v>
      </c>
      <c r="M9" s="112">
        <v>98.41</v>
      </c>
      <c r="N9" s="112">
        <v>2.4</v>
      </c>
      <c r="O9" s="112">
        <v>0</v>
      </c>
      <c r="P9" s="112">
        <v>0.48</v>
      </c>
      <c r="Q9" s="112">
        <v>4.6399999999999997</v>
      </c>
    </row>
    <row r="10" spans="1:21" customFormat="1">
      <c r="A10" s="80">
        <v>45543.020833333336</v>
      </c>
      <c r="B10" s="112">
        <v>9.31</v>
      </c>
      <c r="C10" s="112">
        <v>4.0599999999999996</v>
      </c>
      <c r="D10" s="112">
        <v>14.03</v>
      </c>
      <c r="E10" s="112">
        <v>5.77</v>
      </c>
      <c r="F10" s="112">
        <v>7.08</v>
      </c>
      <c r="G10" s="112">
        <v>75.290000000000006</v>
      </c>
      <c r="H10" s="112">
        <v>28.42</v>
      </c>
      <c r="I10" s="112">
        <v>5.27</v>
      </c>
      <c r="J10" s="112">
        <v>0.14000000000000001</v>
      </c>
      <c r="K10" s="112">
        <v>103.36</v>
      </c>
      <c r="L10" s="112">
        <v>27.45</v>
      </c>
      <c r="M10" s="112">
        <v>98.38</v>
      </c>
      <c r="N10" s="112">
        <v>2.2999999999999998</v>
      </c>
      <c r="O10" s="112">
        <v>0</v>
      </c>
      <c r="P10" s="112">
        <v>0.46</v>
      </c>
      <c r="Q10" s="112">
        <v>4.6399999999999997</v>
      </c>
    </row>
    <row r="11" spans="1:21" customFormat="1">
      <c r="A11" s="80">
        <v>45543.03125</v>
      </c>
      <c r="B11" s="112">
        <v>9.32</v>
      </c>
      <c r="C11" s="112">
        <v>4.0599999999999996</v>
      </c>
      <c r="D11" s="112">
        <v>14.04</v>
      </c>
      <c r="E11" s="112">
        <v>5.77</v>
      </c>
      <c r="F11" s="112">
        <v>7.53</v>
      </c>
      <c r="G11" s="112">
        <v>75.290000000000006</v>
      </c>
      <c r="H11" s="112">
        <v>28.42</v>
      </c>
      <c r="I11" s="112">
        <v>5.43</v>
      </c>
      <c r="J11" s="112">
        <v>0.13</v>
      </c>
      <c r="K11" s="112">
        <v>185.23</v>
      </c>
      <c r="L11" s="112">
        <v>27.34</v>
      </c>
      <c r="M11" s="112">
        <v>98.38</v>
      </c>
      <c r="N11" s="112">
        <v>2.4</v>
      </c>
      <c r="O11" s="112">
        <v>0</v>
      </c>
      <c r="P11" s="112">
        <v>0.44</v>
      </c>
      <c r="Q11" s="112">
        <v>4.62</v>
      </c>
    </row>
    <row r="12" spans="1:21" customFormat="1">
      <c r="A12" s="80">
        <v>45543.041666666664</v>
      </c>
      <c r="B12" s="112">
        <v>9.32</v>
      </c>
      <c r="C12" s="112">
        <v>4.04</v>
      </c>
      <c r="D12" s="112">
        <v>14.04</v>
      </c>
      <c r="E12" s="112">
        <v>5.59</v>
      </c>
      <c r="F12" s="112">
        <v>7.56</v>
      </c>
      <c r="G12" s="112">
        <v>74.709999999999994</v>
      </c>
      <c r="H12" s="112">
        <v>28.52</v>
      </c>
      <c r="I12" s="112">
        <v>5.43</v>
      </c>
      <c r="J12" s="112">
        <v>0.1</v>
      </c>
      <c r="K12" s="112">
        <v>173.34</v>
      </c>
      <c r="L12" s="112">
        <v>27.29</v>
      </c>
      <c r="M12" s="112">
        <v>99.03</v>
      </c>
      <c r="N12" s="112">
        <v>2.2999999999999998</v>
      </c>
      <c r="O12" s="112">
        <v>0</v>
      </c>
      <c r="P12" s="112">
        <v>0.44</v>
      </c>
      <c r="Q12" s="112">
        <v>4.6100000000000003</v>
      </c>
    </row>
    <row r="13" spans="1:21" customFormat="1">
      <c r="A13" s="80">
        <v>45543.052083333336</v>
      </c>
      <c r="B13" s="112">
        <v>9.2899999999999991</v>
      </c>
      <c r="C13" s="112">
        <v>4.0999999999999996</v>
      </c>
      <c r="D13" s="112">
        <v>14.04</v>
      </c>
      <c r="E13" s="112">
        <v>6.42</v>
      </c>
      <c r="F13" s="112">
        <v>5.64</v>
      </c>
      <c r="G13" s="112">
        <v>73.13</v>
      </c>
      <c r="H13" s="112">
        <v>28.7</v>
      </c>
      <c r="I13" s="112">
        <v>5.56</v>
      </c>
      <c r="J13" s="112">
        <v>0.18</v>
      </c>
      <c r="K13" s="112">
        <v>81.12</v>
      </c>
      <c r="L13" s="112">
        <v>27.21</v>
      </c>
      <c r="M13" s="112">
        <v>99.46</v>
      </c>
      <c r="N13" s="112">
        <v>2.2999999999999998</v>
      </c>
      <c r="O13" s="112">
        <v>0</v>
      </c>
      <c r="P13" s="112">
        <v>0.45</v>
      </c>
      <c r="Q13" s="112">
        <v>4.63</v>
      </c>
    </row>
    <row r="14" spans="1:21" customFormat="1">
      <c r="A14" s="80">
        <v>45543.0625</v>
      </c>
      <c r="B14" s="112">
        <v>9.3000000000000007</v>
      </c>
      <c r="C14" s="112">
        <v>4.05</v>
      </c>
      <c r="D14" s="112">
        <v>14.02</v>
      </c>
      <c r="E14" s="112">
        <v>6.7</v>
      </c>
      <c r="F14" s="112">
        <v>4.41</v>
      </c>
      <c r="G14" s="112">
        <v>73.13</v>
      </c>
      <c r="H14" s="112">
        <v>28.7</v>
      </c>
      <c r="I14" s="112">
        <v>5.58</v>
      </c>
      <c r="J14" s="112">
        <v>0.31</v>
      </c>
      <c r="K14" s="112">
        <v>69.91</v>
      </c>
      <c r="L14" s="112">
        <v>27.24</v>
      </c>
      <c r="M14" s="112">
        <v>99.12</v>
      </c>
      <c r="N14" s="112">
        <v>2.6</v>
      </c>
      <c r="O14" s="112">
        <v>0</v>
      </c>
      <c r="P14" s="112">
        <v>0.47</v>
      </c>
      <c r="Q14" s="112">
        <v>4.63</v>
      </c>
    </row>
    <row r="15" spans="1:21" customFormat="1">
      <c r="A15" s="80">
        <v>45543.072916666664</v>
      </c>
      <c r="B15" s="112">
        <v>9.27</v>
      </c>
      <c r="C15" s="112">
        <v>4.08</v>
      </c>
      <c r="D15" s="112">
        <v>14.02</v>
      </c>
      <c r="E15" s="112">
        <v>6.47</v>
      </c>
      <c r="F15" s="112">
        <v>4.68</v>
      </c>
      <c r="G15" s="112">
        <v>73.13</v>
      </c>
      <c r="H15" s="112">
        <v>28.7</v>
      </c>
      <c r="I15" s="112">
        <v>5.7</v>
      </c>
      <c r="J15" s="112">
        <v>0.35</v>
      </c>
      <c r="K15" s="112">
        <v>63.51</v>
      </c>
      <c r="L15" s="112">
        <v>27.14</v>
      </c>
      <c r="M15" s="112">
        <v>97.83</v>
      </c>
      <c r="N15" s="112">
        <v>2.6</v>
      </c>
      <c r="O15" s="112">
        <v>0</v>
      </c>
      <c r="P15" s="112">
        <v>0.47</v>
      </c>
      <c r="Q15" s="112">
        <v>4.63</v>
      </c>
    </row>
    <row r="16" spans="1:21" customFormat="1">
      <c r="A16" s="80">
        <v>45543.083333333336</v>
      </c>
      <c r="B16" s="112">
        <v>9.31</v>
      </c>
      <c r="C16" s="112">
        <v>4.07</v>
      </c>
      <c r="D16" s="112">
        <v>14.04</v>
      </c>
      <c r="E16" s="112">
        <v>6.74</v>
      </c>
      <c r="F16" s="112">
        <v>4.7699999999999996</v>
      </c>
      <c r="G16" s="112">
        <v>70.540000000000006</v>
      </c>
      <c r="H16" s="112">
        <v>28.26</v>
      </c>
      <c r="I16" s="112">
        <v>5.8</v>
      </c>
      <c r="J16" s="112">
        <v>0.41</v>
      </c>
      <c r="K16" s="112">
        <v>65.45</v>
      </c>
      <c r="L16" s="112">
        <v>27.05</v>
      </c>
      <c r="M16" s="112">
        <v>97.77</v>
      </c>
      <c r="N16" s="112">
        <v>2.5</v>
      </c>
      <c r="O16" s="112">
        <v>0</v>
      </c>
      <c r="P16" s="112">
        <v>0.47</v>
      </c>
      <c r="Q16" s="112">
        <v>4.63</v>
      </c>
    </row>
    <row r="17" spans="1:17" customFormat="1">
      <c r="A17" s="80">
        <v>45543.09375</v>
      </c>
      <c r="B17" s="112">
        <v>9.32</v>
      </c>
      <c r="C17" s="112">
        <v>4.07</v>
      </c>
      <c r="D17" s="112">
        <v>14.05</v>
      </c>
      <c r="E17" s="112">
        <v>8.0299999999999994</v>
      </c>
      <c r="F17" s="112">
        <v>4.96</v>
      </c>
      <c r="G17" s="112">
        <v>63.41</v>
      </c>
      <c r="H17" s="112">
        <v>26.31</v>
      </c>
      <c r="I17" s="112">
        <v>5.74</v>
      </c>
      <c r="J17" s="112">
        <v>0.21</v>
      </c>
      <c r="K17" s="112">
        <v>69.709999999999994</v>
      </c>
      <c r="L17" s="112">
        <v>27.03</v>
      </c>
      <c r="M17" s="112">
        <v>98.14</v>
      </c>
      <c r="N17" s="112">
        <v>2.2999999999999998</v>
      </c>
      <c r="O17" s="112">
        <v>0</v>
      </c>
      <c r="P17" s="112">
        <v>0.46</v>
      </c>
      <c r="Q17" s="112">
        <v>4.6399999999999997</v>
      </c>
    </row>
    <row r="18" spans="1:17" customFormat="1">
      <c r="A18" s="80">
        <v>45543.104166666664</v>
      </c>
      <c r="B18" s="112">
        <v>9.2899999999999991</v>
      </c>
      <c r="C18" s="112">
        <v>4.0599999999999996</v>
      </c>
      <c r="D18" s="112">
        <v>14.02</v>
      </c>
      <c r="E18" s="112">
        <v>9.5</v>
      </c>
      <c r="F18" s="112">
        <v>4</v>
      </c>
      <c r="G18" s="112">
        <v>63.41</v>
      </c>
      <c r="H18" s="112">
        <v>26.31</v>
      </c>
      <c r="I18" s="112">
        <v>5.73</v>
      </c>
      <c r="J18" s="112">
        <v>0.22</v>
      </c>
      <c r="K18" s="112">
        <v>60.69</v>
      </c>
      <c r="L18" s="112">
        <v>26.96</v>
      </c>
      <c r="M18" s="112">
        <v>98.5</v>
      </c>
      <c r="N18" s="112">
        <v>2.4</v>
      </c>
      <c r="O18" s="112">
        <v>0</v>
      </c>
      <c r="P18" s="112">
        <v>0.45</v>
      </c>
      <c r="Q18" s="112">
        <v>4.62</v>
      </c>
    </row>
    <row r="19" spans="1:17" customFormat="1">
      <c r="A19" s="80">
        <v>45543.114583333336</v>
      </c>
      <c r="B19" s="112">
        <v>9.27</v>
      </c>
      <c r="C19" s="112">
        <v>4.0599999999999996</v>
      </c>
      <c r="D19" s="112">
        <v>14.01</v>
      </c>
      <c r="E19" s="112">
        <v>10.050000000000001</v>
      </c>
      <c r="F19" s="112">
        <v>3.61</v>
      </c>
      <c r="G19" s="112">
        <v>63.41</v>
      </c>
      <c r="H19" s="112">
        <v>26.31</v>
      </c>
      <c r="I19" s="112">
        <v>5.7</v>
      </c>
      <c r="J19" s="112">
        <v>0.11</v>
      </c>
      <c r="K19" s="112">
        <v>187.69</v>
      </c>
      <c r="L19" s="112">
        <v>26.86</v>
      </c>
      <c r="M19" s="112">
        <v>98.86</v>
      </c>
      <c r="N19" s="112">
        <v>2.2999999999999998</v>
      </c>
      <c r="O19" s="112">
        <v>0</v>
      </c>
      <c r="P19" s="112">
        <v>0.46</v>
      </c>
      <c r="Q19" s="112">
        <v>4.62</v>
      </c>
    </row>
    <row r="20" spans="1:17" customFormat="1">
      <c r="A20" s="80">
        <v>45543.125</v>
      </c>
      <c r="B20" s="112">
        <v>9.27</v>
      </c>
      <c r="C20" s="112">
        <v>4.0599999999999996</v>
      </c>
      <c r="D20" s="112">
        <v>14.01</v>
      </c>
      <c r="E20" s="112">
        <v>10.1</v>
      </c>
      <c r="F20" s="112">
        <v>3.49</v>
      </c>
      <c r="G20" s="112">
        <v>62.65</v>
      </c>
      <c r="H20" s="112">
        <v>26.67</v>
      </c>
      <c r="I20" s="112">
        <v>5.66</v>
      </c>
      <c r="J20" s="112">
        <v>0.11</v>
      </c>
      <c r="K20" s="112">
        <v>161.02000000000001</v>
      </c>
      <c r="L20" s="112">
        <v>26.81</v>
      </c>
      <c r="M20" s="112">
        <v>99.25</v>
      </c>
      <c r="N20" s="112">
        <v>2.2000000000000002</v>
      </c>
      <c r="O20" s="112">
        <v>0</v>
      </c>
      <c r="P20" s="112">
        <v>0.46</v>
      </c>
      <c r="Q20" s="112">
        <v>4.63</v>
      </c>
    </row>
    <row r="21" spans="1:17" customFormat="1">
      <c r="A21" s="80">
        <v>45543.135416666664</v>
      </c>
      <c r="B21" s="112">
        <v>9.2799999999999994</v>
      </c>
      <c r="C21" s="112">
        <v>4.0599999999999996</v>
      </c>
      <c r="D21" s="112">
        <v>14.01</v>
      </c>
      <c r="E21" s="112">
        <v>10.09</v>
      </c>
      <c r="F21" s="112">
        <v>3.5</v>
      </c>
      <c r="G21" s="112">
        <v>60.56</v>
      </c>
      <c r="H21" s="112">
        <v>27.39</v>
      </c>
      <c r="I21" s="112">
        <v>5.71</v>
      </c>
      <c r="J21" s="112">
        <v>0.06</v>
      </c>
      <c r="K21" s="112">
        <v>225.02</v>
      </c>
      <c r="L21" s="112">
        <v>26.82</v>
      </c>
      <c r="M21" s="112">
        <v>99.56</v>
      </c>
      <c r="N21" s="112">
        <v>2.1</v>
      </c>
      <c r="O21" s="112">
        <v>0</v>
      </c>
      <c r="P21" s="112">
        <v>0.45</v>
      </c>
      <c r="Q21" s="112">
        <v>4.63</v>
      </c>
    </row>
    <row r="22" spans="1:17" customFormat="1">
      <c r="A22" s="80">
        <v>45543.145833333336</v>
      </c>
      <c r="B22" s="112">
        <v>9.2899999999999991</v>
      </c>
      <c r="C22" s="112">
        <v>4.07</v>
      </c>
      <c r="D22" s="112">
        <v>14.02</v>
      </c>
      <c r="E22" s="112">
        <v>10.07</v>
      </c>
      <c r="F22" s="112">
        <v>3.47</v>
      </c>
      <c r="G22" s="112">
        <v>60.56</v>
      </c>
      <c r="H22" s="112">
        <v>27.39</v>
      </c>
      <c r="I22" s="112">
        <v>5.7</v>
      </c>
      <c r="J22" s="112">
        <v>0.09</v>
      </c>
      <c r="K22" s="112">
        <v>204.8</v>
      </c>
      <c r="L22" s="112">
        <v>26.8</v>
      </c>
      <c r="M22" s="112">
        <v>100.01</v>
      </c>
      <c r="N22" s="112">
        <v>2.2000000000000002</v>
      </c>
      <c r="O22" s="112">
        <v>0</v>
      </c>
      <c r="P22" s="112">
        <v>0.45</v>
      </c>
      <c r="Q22" s="112">
        <v>4.63</v>
      </c>
    </row>
    <row r="23" spans="1:17" customFormat="1">
      <c r="A23" s="80">
        <v>45543.15625</v>
      </c>
      <c r="B23" s="112">
        <v>9.2799999999999994</v>
      </c>
      <c r="C23" s="112">
        <v>4.07</v>
      </c>
      <c r="D23" s="112">
        <v>14.02</v>
      </c>
      <c r="E23" s="112">
        <v>10.15</v>
      </c>
      <c r="F23" s="112">
        <v>3.92</v>
      </c>
      <c r="G23" s="112">
        <v>60.56</v>
      </c>
      <c r="H23" s="112">
        <v>27.39</v>
      </c>
      <c r="I23" s="112">
        <v>5.53</v>
      </c>
      <c r="J23" s="112">
        <v>0.13</v>
      </c>
      <c r="K23" s="112">
        <v>136.66</v>
      </c>
      <c r="L23" s="112">
        <v>26.87</v>
      </c>
      <c r="M23" s="112">
        <v>100.02</v>
      </c>
      <c r="N23" s="112">
        <v>2.2000000000000002</v>
      </c>
      <c r="O23" s="112">
        <v>0</v>
      </c>
      <c r="P23" s="112">
        <v>0.45</v>
      </c>
      <c r="Q23" s="112">
        <v>4.6399999999999997</v>
      </c>
    </row>
    <row r="24" spans="1:17" customFormat="1">
      <c r="A24" s="80">
        <v>45543.166666666664</v>
      </c>
      <c r="B24" s="112">
        <v>9.2799999999999994</v>
      </c>
      <c r="C24" s="112">
        <v>4.0599999999999996</v>
      </c>
      <c r="D24" s="112">
        <v>14.01</v>
      </c>
      <c r="E24" s="112">
        <v>10.43</v>
      </c>
      <c r="F24" s="112">
        <v>4.16</v>
      </c>
      <c r="G24" s="112">
        <v>55.9</v>
      </c>
      <c r="H24" s="112">
        <v>24.74</v>
      </c>
      <c r="I24" s="112">
        <v>5.54</v>
      </c>
      <c r="J24" s="112">
        <v>0.11</v>
      </c>
      <c r="K24" s="112">
        <v>159.71</v>
      </c>
      <c r="L24" s="112">
        <v>26.84</v>
      </c>
      <c r="M24" s="112">
        <v>99.32</v>
      </c>
      <c r="N24" s="112">
        <v>2.2000000000000002</v>
      </c>
      <c r="O24" s="112">
        <v>0</v>
      </c>
      <c r="P24" s="112">
        <v>0.46</v>
      </c>
      <c r="Q24" s="112">
        <v>4.62</v>
      </c>
    </row>
    <row r="25" spans="1:17" customFormat="1">
      <c r="A25" s="80">
        <v>45543.177083333336</v>
      </c>
      <c r="B25" s="112">
        <v>9.27</v>
      </c>
      <c r="C25" s="112">
        <v>4.08</v>
      </c>
      <c r="D25" s="112">
        <v>14.02</v>
      </c>
      <c r="E25" s="112">
        <v>10.06</v>
      </c>
      <c r="F25" s="112">
        <v>3.42</v>
      </c>
      <c r="G25" s="112">
        <v>43.09</v>
      </c>
      <c r="H25" s="112">
        <v>19.68</v>
      </c>
      <c r="I25" s="112">
        <v>5.61</v>
      </c>
      <c r="J25" s="112">
        <v>0.22</v>
      </c>
      <c r="K25" s="112">
        <v>63.77</v>
      </c>
      <c r="L25" s="112">
        <v>26.83</v>
      </c>
      <c r="M25" s="112">
        <v>99.31</v>
      </c>
      <c r="N25" s="112">
        <v>2.2000000000000002</v>
      </c>
      <c r="O25" s="112">
        <v>0</v>
      </c>
      <c r="P25" s="112">
        <v>0.44</v>
      </c>
      <c r="Q25" s="112">
        <v>4.6500000000000004</v>
      </c>
    </row>
    <row r="26" spans="1:17" customFormat="1">
      <c r="A26" s="80">
        <v>45543.1875</v>
      </c>
      <c r="B26" s="112">
        <v>9.27</v>
      </c>
      <c r="C26" s="112">
        <v>4.08</v>
      </c>
      <c r="D26" s="112">
        <v>14.02</v>
      </c>
      <c r="E26" s="112">
        <v>10.54</v>
      </c>
      <c r="F26" s="112">
        <v>3.36</v>
      </c>
      <c r="G26" s="112">
        <v>43.09</v>
      </c>
      <c r="H26" s="112">
        <v>19.68</v>
      </c>
      <c r="I26" s="112">
        <v>5.59</v>
      </c>
      <c r="J26" s="112">
        <v>0.17</v>
      </c>
      <c r="K26" s="112">
        <v>72.39</v>
      </c>
      <c r="L26" s="112">
        <v>26.86</v>
      </c>
      <c r="M26" s="112">
        <v>99.45</v>
      </c>
      <c r="N26" s="112">
        <v>2.4</v>
      </c>
      <c r="O26" s="112">
        <v>0</v>
      </c>
      <c r="P26" s="112">
        <v>0.44</v>
      </c>
      <c r="Q26" s="112">
        <v>4.63</v>
      </c>
    </row>
    <row r="27" spans="1:17" customFormat="1">
      <c r="A27" s="80">
        <v>45543.197916666664</v>
      </c>
      <c r="B27" s="112">
        <v>9.2899999999999991</v>
      </c>
      <c r="C27" s="112">
        <v>4.07</v>
      </c>
      <c r="D27" s="112">
        <v>14.02</v>
      </c>
      <c r="E27" s="112">
        <v>10.82</v>
      </c>
      <c r="F27" s="112">
        <v>2.72</v>
      </c>
      <c r="G27" s="112">
        <v>43.09</v>
      </c>
      <c r="H27" s="112">
        <v>19.68</v>
      </c>
      <c r="I27" s="112">
        <v>5.43</v>
      </c>
      <c r="J27" s="112">
        <v>0.03</v>
      </c>
      <c r="K27" s="112">
        <v>99.11</v>
      </c>
      <c r="L27" s="112">
        <v>26.83</v>
      </c>
      <c r="M27" s="112">
        <v>99.22</v>
      </c>
      <c r="N27" s="112">
        <v>2.2999999999999998</v>
      </c>
      <c r="O27" s="112">
        <v>0</v>
      </c>
      <c r="P27" s="112">
        <v>0.45</v>
      </c>
      <c r="Q27" s="112">
        <v>4.62</v>
      </c>
    </row>
    <row r="28" spans="1:17" customFormat="1">
      <c r="A28" s="80">
        <v>45543.208333333336</v>
      </c>
      <c r="B28" s="112">
        <v>9.2899999999999991</v>
      </c>
      <c r="C28" s="112">
        <v>4.07</v>
      </c>
      <c r="D28" s="112">
        <v>14.02</v>
      </c>
      <c r="E28" s="112">
        <v>10.75</v>
      </c>
      <c r="F28" s="112">
        <v>2.2400000000000002</v>
      </c>
      <c r="G28" s="112">
        <v>47.92</v>
      </c>
      <c r="H28" s="112">
        <v>20.82</v>
      </c>
      <c r="I28" s="112">
        <v>5.48</v>
      </c>
      <c r="J28" s="112">
        <v>0.08</v>
      </c>
      <c r="K28" s="112">
        <v>131.91</v>
      </c>
      <c r="L28" s="112">
        <v>26.8</v>
      </c>
      <c r="M28" s="112">
        <v>99.45</v>
      </c>
      <c r="N28" s="112">
        <v>2.1</v>
      </c>
      <c r="O28" s="112">
        <v>0</v>
      </c>
      <c r="P28" s="112">
        <v>0.44</v>
      </c>
      <c r="Q28" s="112">
        <v>4.63</v>
      </c>
    </row>
    <row r="29" spans="1:17" customFormat="1">
      <c r="A29" s="80">
        <v>45543.21875</v>
      </c>
      <c r="B29" s="112">
        <v>9.2799999999999994</v>
      </c>
      <c r="C29" s="112">
        <v>4.08</v>
      </c>
      <c r="D29" s="112">
        <v>14.02</v>
      </c>
      <c r="E29" s="112">
        <v>10.27</v>
      </c>
      <c r="F29" s="112">
        <v>2.09</v>
      </c>
      <c r="G29" s="112">
        <v>61.18</v>
      </c>
      <c r="H29" s="112">
        <v>23.02</v>
      </c>
      <c r="I29" s="112">
        <v>5.52</v>
      </c>
      <c r="J29" s="112">
        <v>0.1</v>
      </c>
      <c r="K29" s="112">
        <v>187.07</v>
      </c>
      <c r="L29" s="112">
        <v>26.83</v>
      </c>
      <c r="M29" s="112">
        <v>99.66</v>
      </c>
      <c r="N29" s="112">
        <v>2.1</v>
      </c>
      <c r="O29" s="112">
        <v>0</v>
      </c>
      <c r="P29" s="112">
        <v>0.45</v>
      </c>
      <c r="Q29" s="112">
        <v>4.62</v>
      </c>
    </row>
    <row r="30" spans="1:17" customFormat="1">
      <c r="A30" s="80">
        <v>45543.229166666664</v>
      </c>
      <c r="B30" s="112">
        <v>9.2899999999999991</v>
      </c>
      <c r="C30" s="112">
        <v>4.0599999999999996</v>
      </c>
      <c r="D30" s="112">
        <v>14.02</v>
      </c>
      <c r="E30" s="112">
        <v>10.84</v>
      </c>
      <c r="F30" s="112">
        <v>2.95</v>
      </c>
      <c r="G30" s="112">
        <v>61.18</v>
      </c>
      <c r="H30" s="112">
        <v>23.02</v>
      </c>
      <c r="I30" s="112">
        <v>5.4</v>
      </c>
      <c r="J30" s="112">
        <v>0.15</v>
      </c>
      <c r="K30" s="112">
        <v>172.14</v>
      </c>
      <c r="L30" s="112">
        <v>26.89</v>
      </c>
      <c r="M30" s="112">
        <v>99.97</v>
      </c>
      <c r="N30" s="112">
        <v>2.4</v>
      </c>
      <c r="O30" s="112">
        <v>0</v>
      </c>
      <c r="P30" s="112">
        <v>0.45</v>
      </c>
      <c r="Q30" s="112">
        <v>4.62</v>
      </c>
    </row>
    <row r="31" spans="1:17" customFormat="1">
      <c r="A31" s="80">
        <v>45543.239583333336</v>
      </c>
      <c r="B31" s="112">
        <v>9.2899999999999991</v>
      </c>
      <c r="C31" s="112">
        <v>4.05</v>
      </c>
      <c r="D31" s="112">
        <v>14.02</v>
      </c>
      <c r="E31" s="112">
        <v>10.54</v>
      </c>
      <c r="F31" s="112">
        <v>2.74</v>
      </c>
      <c r="G31" s="112">
        <v>61.18</v>
      </c>
      <c r="H31" s="112">
        <v>23.02</v>
      </c>
      <c r="I31" s="112">
        <v>5.44</v>
      </c>
      <c r="J31" s="112">
        <v>0.16</v>
      </c>
      <c r="K31" s="112">
        <v>71.61</v>
      </c>
      <c r="L31" s="112">
        <v>27</v>
      </c>
      <c r="M31" s="112">
        <v>99.93</v>
      </c>
      <c r="N31" s="112">
        <v>4</v>
      </c>
      <c r="O31" s="112">
        <v>0</v>
      </c>
      <c r="P31" s="112">
        <v>0.45</v>
      </c>
      <c r="Q31" s="112">
        <v>4.62</v>
      </c>
    </row>
    <row r="32" spans="1:17" customFormat="1">
      <c r="A32" s="80">
        <v>45543.25</v>
      </c>
      <c r="B32" s="112">
        <v>9.2899999999999991</v>
      </c>
      <c r="C32" s="112">
        <v>4.04</v>
      </c>
      <c r="D32" s="112">
        <v>14.01</v>
      </c>
      <c r="E32" s="112">
        <v>10.35</v>
      </c>
      <c r="F32" s="112">
        <v>1.9</v>
      </c>
      <c r="G32" s="112">
        <v>62.69</v>
      </c>
      <c r="H32" s="112">
        <v>23.42</v>
      </c>
      <c r="I32" s="112">
        <v>5.45</v>
      </c>
      <c r="J32" s="112">
        <v>7.0000000000000007E-2</v>
      </c>
      <c r="K32" s="112">
        <v>230.26</v>
      </c>
      <c r="L32" s="112">
        <v>27.04</v>
      </c>
      <c r="M32" s="112">
        <v>99.71</v>
      </c>
      <c r="N32" s="112">
        <v>8.6</v>
      </c>
      <c r="O32" s="112">
        <v>0</v>
      </c>
      <c r="P32" s="112">
        <v>0.49</v>
      </c>
      <c r="Q32" s="112">
        <v>4.62</v>
      </c>
    </row>
    <row r="33" spans="1:17" customFormat="1">
      <c r="A33" s="80">
        <v>45543.260416666664</v>
      </c>
      <c r="B33" s="112">
        <v>9.2899999999999991</v>
      </c>
      <c r="C33" s="112">
        <v>4.04</v>
      </c>
      <c r="D33" s="112">
        <v>14.02</v>
      </c>
      <c r="E33" s="112">
        <v>10.89</v>
      </c>
      <c r="F33" s="112">
        <v>2.4700000000000002</v>
      </c>
      <c r="G33" s="112">
        <v>66.819999999999993</v>
      </c>
      <c r="H33" s="112">
        <v>24.2</v>
      </c>
      <c r="I33" s="112">
        <v>5.57</v>
      </c>
      <c r="J33" s="112">
        <v>0.02</v>
      </c>
      <c r="K33" s="112">
        <v>146.41999999999999</v>
      </c>
      <c r="L33" s="112">
        <v>27.07</v>
      </c>
      <c r="M33" s="112">
        <v>99.53</v>
      </c>
      <c r="N33" s="112">
        <v>16.100000000000001</v>
      </c>
      <c r="O33" s="112">
        <v>0</v>
      </c>
      <c r="P33" s="112">
        <v>0.52</v>
      </c>
      <c r="Q33" s="112">
        <v>4.62</v>
      </c>
    </row>
    <row r="34" spans="1:17" customFormat="1">
      <c r="A34" s="80">
        <v>45543.270833333336</v>
      </c>
      <c r="B34" s="112">
        <v>9.2799999999999994</v>
      </c>
      <c r="C34" s="112">
        <v>4.05</v>
      </c>
      <c r="D34" s="112">
        <v>14.01</v>
      </c>
      <c r="E34" s="112">
        <v>11.6</v>
      </c>
      <c r="F34" s="112">
        <v>2.2000000000000002</v>
      </c>
      <c r="G34" s="112">
        <v>66.819999999999993</v>
      </c>
      <c r="H34" s="112">
        <v>24.2</v>
      </c>
      <c r="I34" s="112">
        <v>5.97</v>
      </c>
      <c r="J34" s="112">
        <v>0.12</v>
      </c>
      <c r="K34" s="112">
        <v>65.23</v>
      </c>
      <c r="L34" s="112">
        <v>27.17</v>
      </c>
      <c r="M34" s="112">
        <v>98.84</v>
      </c>
      <c r="N34" s="112">
        <v>22.4</v>
      </c>
      <c r="O34" s="112">
        <v>0</v>
      </c>
      <c r="P34" s="112">
        <v>0.59</v>
      </c>
      <c r="Q34" s="112">
        <v>4.63</v>
      </c>
    </row>
    <row r="35" spans="1:17" customFormat="1">
      <c r="A35" s="80">
        <v>45543.28125</v>
      </c>
      <c r="B35" s="112">
        <v>9.26</v>
      </c>
      <c r="C35" s="112">
        <v>4.07</v>
      </c>
      <c r="D35" s="112">
        <v>14.01</v>
      </c>
      <c r="E35" s="112">
        <v>12.05</v>
      </c>
      <c r="F35" s="112">
        <v>2.78</v>
      </c>
      <c r="G35" s="112">
        <v>66.819999999999993</v>
      </c>
      <c r="H35" s="112">
        <v>24.2</v>
      </c>
      <c r="I35" s="112">
        <v>6.38</v>
      </c>
      <c r="J35" s="112">
        <v>0.21</v>
      </c>
      <c r="K35" s="112">
        <v>56.15</v>
      </c>
      <c r="L35" s="112">
        <v>27.21</v>
      </c>
      <c r="M35" s="112">
        <v>98.62</v>
      </c>
      <c r="N35" s="112">
        <v>16.899999999999999</v>
      </c>
      <c r="O35" s="112">
        <v>0</v>
      </c>
      <c r="P35" s="112">
        <v>0.65</v>
      </c>
      <c r="Q35" s="112">
        <v>4.63</v>
      </c>
    </row>
    <row r="36" spans="1:17" customFormat="1">
      <c r="A36" s="80">
        <v>45543.291666666664</v>
      </c>
      <c r="B36" s="112">
        <v>9.26</v>
      </c>
      <c r="C36" s="112">
        <v>4.07</v>
      </c>
      <c r="D36" s="112">
        <v>14</v>
      </c>
      <c r="E36" s="112">
        <v>11.96</v>
      </c>
      <c r="F36" s="112">
        <v>3.83</v>
      </c>
      <c r="G36" s="112">
        <v>73.349999999999994</v>
      </c>
      <c r="H36" s="112">
        <v>27.32</v>
      </c>
      <c r="I36" s="112">
        <v>7.27</v>
      </c>
      <c r="J36" s="112">
        <v>0.44</v>
      </c>
      <c r="K36" s="112">
        <v>62</v>
      </c>
      <c r="L36" s="112">
        <v>27.21</v>
      </c>
      <c r="M36" s="112">
        <v>97.99</v>
      </c>
      <c r="N36" s="112">
        <v>25.7</v>
      </c>
      <c r="O36" s="112">
        <v>0</v>
      </c>
      <c r="P36" s="112">
        <v>0.62</v>
      </c>
      <c r="Q36" s="112">
        <v>4.62</v>
      </c>
    </row>
    <row r="37" spans="1:17" customFormat="1">
      <c r="A37" s="80">
        <v>45543.302083333336</v>
      </c>
      <c r="B37" s="112">
        <v>9.26</v>
      </c>
      <c r="C37" s="112">
        <v>4.08</v>
      </c>
      <c r="D37" s="112">
        <v>14</v>
      </c>
      <c r="E37" s="112">
        <v>11.85</v>
      </c>
      <c r="F37" s="112">
        <v>3.12</v>
      </c>
      <c r="G37" s="112">
        <v>92.35</v>
      </c>
      <c r="H37" s="112">
        <v>33.28</v>
      </c>
      <c r="I37" s="112">
        <v>7.78</v>
      </c>
      <c r="J37" s="112">
        <v>0.1</v>
      </c>
      <c r="K37" s="112">
        <v>334.56</v>
      </c>
      <c r="L37" s="112">
        <v>27.22</v>
      </c>
      <c r="M37" s="112">
        <v>97.91</v>
      </c>
      <c r="N37" s="112">
        <v>26.2</v>
      </c>
      <c r="O37" s="112">
        <v>0</v>
      </c>
      <c r="P37" s="112">
        <v>0.57999999999999996</v>
      </c>
      <c r="Q37" s="112">
        <v>4.62</v>
      </c>
    </row>
    <row r="38" spans="1:17" customFormat="1">
      <c r="A38" s="80">
        <v>45543.3125</v>
      </c>
      <c r="B38" s="112">
        <v>9.25</v>
      </c>
      <c r="C38" s="112">
        <v>4.0999999999999996</v>
      </c>
      <c r="D38" s="112">
        <v>14.01</v>
      </c>
      <c r="E38" s="112">
        <v>11.41</v>
      </c>
      <c r="F38" s="112">
        <v>4.3099999999999996</v>
      </c>
      <c r="G38" s="112">
        <v>92.35</v>
      </c>
      <c r="H38" s="112">
        <v>33.28</v>
      </c>
      <c r="I38" s="112">
        <v>7.57</v>
      </c>
      <c r="J38" s="112">
        <v>0.28999999999999998</v>
      </c>
      <c r="K38" s="112">
        <v>317.95</v>
      </c>
      <c r="L38" s="112">
        <v>27.09</v>
      </c>
      <c r="M38" s="112">
        <v>98.11</v>
      </c>
      <c r="N38" s="112">
        <v>35.4</v>
      </c>
      <c r="O38" s="112">
        <v>0</v>
      </c>
      <c r="P38" s="112">
        <v>0.56000000000000005</v>
      </c>
      <c r="Q38" s="112">
        <v>4.62</v>
      </c>
    </row>
    <row r="39" spans="1:17" customFormat="1">
      <c r="A39" s="80">
        <v>45543.322916666664</v>
      </c>
      <c r="B39" s="112">
        <v>9.25</v>
      </c>
      <c r="C39" s="112">
        <v>4.09</v>
      </c>
      <c r="D39" s="112">
        <v>14.01</v>
      </c>
      <c r="E39" s="112">
        <v>12.07</v>
      </c>
      <c r="F39" s="112">
        <v>4.6900000000000004</v>
      </c>
      <c r="G39" s="112">
        <v>92.35</v>
      </c>
      <c r="H39" s="112">
        <v>33.28</v>
      </c>
      <c r="I39" s="112">
        <v>7.06</v>
      </c>
      <c r="J39" s="112">
        <v>0.23</v>
      </c>
      <c r="K39" s="112">
        <v>312.39999999999998</v>
      </c>
      <c r="L39" s="112">
        <v>27.3</v>
      </c>
      <c r="M39" s="112">
        <v>97.28</v>
      </c>
      <c r="N39" s="112">
        <v>64.099999999999994</v>
      </c>
      <c r="O39" s="112">
        <v>0</v>
      </c>
      <c r="P39" s="112">
        <v>0.57999999999999996</v>
      </c>
      <c r="Q39" s="112">
        <v>4.62</v>
      </c>
    </row>
    <row r="40" spans="1:17" customFormat="1">
      <c r="A40" s="80">
        <v>45543.333333333336</v>
      </c>
      <c r="B40" s="112">
        <v>9.25</v>
      </c>
      <c r="C40" s="112">
        <v>4.09</v>
      </c>
      <c r="D40" s="112">
        <v>14.01</v>
      </c>
      <c r="E40" s="112">
        <v>15.12</v>
      </c>
      <c r="F40" s="112">
        <v>5.19</v>
      </c>
      <c r="G40" s="112">
        <v>95.65</v>
      </c>
      <c r="H40" s="112">
        <v>33.700000000000003</v>
      </c>
      <c r="I40" s="112">
        <v>6.85</v>
      </c>
      <c r="J40" s="112">
        <v>0.25</v>
      </c>
      <c r="K40" s="112">
        <v>320.52</v>
      </c>
      <c r="L40" s="112">
        <v>27.57</v>
      </c>
      <c r="M40" s="112">
        <v>94.66</v>
      </c>
      <c r="N40" s="112">
        <v>95.1</v>
      </c>
      <c r="O40" s="112">
        <v>0</v>
      </c>
      <c r="P40" s="112">
        <v>0.64</v>
      </c>
      <c r="Q40" s="112">
        <v>4.6500000000000004</v>
      </c>
    </row>
    <row r="41" spans="1:17" customFormat="1">
      <c r="A41" s="80">
        <v>45543.34375</v>
      </c>
      <c r="B41" s="112">
        <v>9.27</v>
      </c>
      <c r="C41" s="112">
        <v>4.05</v>
      </c>
      <c r="D41" s="112">
        <v>14</v>
      </c>
      <c r="E41" s="112">
        <v>17.82</v>
      </c>
      <c r="F41" s="112">
        <v>6</v>
      </c>
      <c r="G41" s="112">
        <v>104.74</v>
      </c>
      <c r="H41" s="112">
        <v>35.549999999999997</v>
      </c>
      <c r="I41" s="112">
        <v>6.88</v>
      </c>
      <c r="J41" s="112">
        <v>0.27</v>
      </c>
      <c r="K41" s="112">
        <v>28.3</v>
      </c>
      <c r="L41" s="112">
        <v>28.02</v>
      </c>
      <c r="M41" s="112">
        <v>92.03</v>
      </c>
      <c r="N41" s="112">
        <v>122.1</v>
      </c>
      <c r="O41" s="112">
        <v>0</v>
      </c>
      <c r="P41" s="112">
        <v>0.64</v>
      </c>
      <c r="Q41" s="112">
        <v>4.6399999999999997</v>
      </c>
    </row>
    <row r="42" spans="1:17" customFormat="1">
      <c r="A42" s="80">
        <v>45543.354166666664</v>
      </c>
      <c r="B42" s="112">
        <v>9.24</v>
      </c>
      <c r="C42" s="112">
        <v>4.0999999999999996</v>
      </c>
      <c r="D42" s="112">
        <v>14</v>
      </c>
      <c r="E42" s="112">
        <v>21.4</v>
      </c>
      <c r="F42" s="112">
        <v>7.28</v>
      </c>
      <c r="G42" s="112">
        <v>104.74</v>
      </c>
      <c r="H42" s="112">
        <v>35.549999999999997</v>
      </c>
      <c r="I42" s="112">
        <v>6.97</v>
      </c>
      <c r="J42" s="112">
        <v>0.25</v>
      </c>
      <c r="K42" s="112">
        <v>326.14</v>
      </c>
      <c r="L42" s="112">
        <v>28.27</v>
      </c>
      <c r="M42" s="112">
        <v>90.39</v>
      </c>
      <c r="N42" s="112">
        <v>135.5</v>
      </c>
      <c r="O42" s="112">
        <v>0</v>
      </c>
      <c r="P42" s="112">
        <v>0.72</v>
      </c>
      <c r="Q42" s="112">
        <v>4.63</v>
      </c>
    </row>
    <row r="43" spans="1:17" customFormat="1">
      <c r="A43" s="80">
        <v>45543.364583333336</v>
      </c>
      <c r="B43" s="112">
        <v>9.24</v>
      </c>
      <c r="C43" s="112">
        <v>4.0999999999999996</v>
      </c>
      <c r="D43" s="112">
        <v>14</v>
      </c>
      <c r="E43" s="112">
        <v>25.66</v>
      </c>
      <c r="F43" s="112">
        <v>6.68</v>
      </c>
      <c r="G43" s="112">
        <v>104.74</v>
      </c>
      <c r="H43" s="112">
        <v>35.549999999999997</v>
      </c>
      <c r="I43" s="112">
        <v>7.12</v>
      </c>
      <c r="J43" s="112">
        <v>0.44</v>
      </c>
      <c r="K43" s="112">
        <v>306.68</v>
      </c>
      <c r="L43" s="112">
        <v>28.54</v>
      </c>
      <c r="M43" s="112">
        <v>88.83</v>
      </c>
      <c r="N43" s="112">
        <v>169.7</v>
      </c>
      <c r="O43" s="112">
        <v>0</v>
      </c>
      <c r="P43" s="112">
        <v>0.69</v>
      </c>
      <c r="Q43" s="112">
        <v>4.6399999999999997</v>
      </c>
    </row>
    <row r="44" spans="1:17" customFormat="1">
      <c r="A44" s="80">
        <v>45543.375</v>
      </c>
      <c r="B44" s="112">
        <v>9.24</v>
      </c>
      <c r="C44" s="112">
        <v>4.0999999999999996</v>
      </c>
      <c r="D44" s="112">
        <v>14</v>
      </c>
      <c r="E44" s="112">
        <v>25.07</v>
      </c>
      <c r="F44" s="112">
        <v>7.41</v>
      </c>
      <c r="G44" s="112">
        <v>110.94</v>
      </c>
      <c r="H44" s="112">
        <v>40.450000000000003</v>
      </c>
      <c r="I44" s="112">
        <v>7.29</v>
      </c>
      <c r="J44" s="112">
        <v>0.42</v>
      </c>
      <c r="K44" s="112">
        <v>47.84</v>
      </c>
      <c r="L44" s="112">
        <v>29.03</v>
      </c>
      <c r="M44" s="112">
        <v>86.05</v>
      </c>
      <c r="N44" s="112">
        <v>234.1</v>
      </c>
      <c r="O44" s="112">
        <v>0</v>
      </c>
      <c r="P44" s="112">
        <v>0.67</v>
      </c>
      <c r="Q44" s="112">
        <v>4.6500000000000004</v>
      </c>
    </row>
    <row r="45" spans="1:17" customFormat="1">
      <c r="A45" s="80">
        <v>45543.385416666664</v>
      </c>
      <c r="B45" s="112">
        <v>9.25</v>
      </c>
      <c r="C45" s="112">
        <v>4.08</v>
      </c>
      <c r="D45" s="112">
        <v>14</v>
      </c>
      <c r="E45" s="112">
        <v>23.56</v>
      </c>
      <c r="F45" s="112">
        <v>7.49</v>
      </c>
      <c r="G45" s="112">
        <v>128.01</v>
      </c>
      <c r="H45" s="112">
        <v>49.83</v>
      </c>
      <c r="I45" s="112">
        <v>7.57</v>
      </c>
      <c r="J45" s="112">
        <v>0.33</v>
      </c>
      <c r="K45" s="112">
        <v>1.81</v>
      </c>
      <c r="L45" s="112">
        <v>29.33</v>
      </c>
      <c r="M45" s="112">
        <v>84.14</v>
      </c>
      <c r="N45" s="112">
        <v>282.8</v>
      </c>
      <c r="O45" s="112">
        <v>0</v>
      </c>
      <c r="P45" s="112">
        <v>0.7</v>
      </c>
      <c r="Q45" s="112">
        <v>4.63</v>
      </c>
    </row>
    <row r="46" spans="1:17" customFormat="1">
      <c r="A46" s="80">
        <v>45543.395833333336</v>
      </c>
      <c r="B46" s="112">
        <v>9.24</v>
      </c>
      <c r="C46" s="112">
        <v>4.0999999999999996</v>
      </c>
      <c r="D46" s="112">
        <v>14</v>
      </c>
      <c r="E46" s="112">
        <v>22.63</v>
      </c>
      <c r="F46" s="112">
        <v>6.47</v>
      </c>
      <c r="G46" s="112">
        <v>128.01</v>
      </c>
      <c r="H46" s="112">
        <v>49.83</v>
      </c>
      <c r="I46" s="112">
        <v>7.37</v>
      </c>
      <c r="J46" s="112">
        <v>0.35</v>
      </c>
      <c r="K46" s="112">
        <v>356.46</v>
      </c>
      <c r="L46" s="112">
        <v>29.66</v>
      </c>
      <c r="M46" s="112">
        <v>83.27</v>
      </c>
      <c r="N46" s="112">
        <v>358.6</v>
      </c>
      <c r="O46" s="112">
        <v>0</v>
      </c>
      <c r="P46" s="112">
        <v>0.71</v>
      </c>
      <c r="Q46" s="112">
        <v>4.63</v>
      </c>
    </row>
    <row r="47" spans="1:17" customFormat="1">
      <c r="A47" s="80">
        <v>45543.40625</v>
      </c>
      <c r="B47" s="112">
        <v>9.23</v>
      </c>
      <c r="C47" s="112">
        <v>4.1100000000000003</v>
      </c>
      <c r="D47" s="112">
        <v>14</v>
      </c>
      <c r="E47" s="112">
        <v>21.87</v>
      </c>
      <c r="F47" s="112">
        <v>7.9</v>
      </c>
      <c r="G47" s="112">
        <v>128.01</v>
      </c>
      <c r="H47" s="112">
        <v>49.83</v>
      </c>
      <c r="I47" s="112">
        <v>7.25</v>
      </c>
      <c r="J47" s="112">
        <v>0.52</v>
      </c>
      <c r="K47" s="112">
        <v>40.08</v>
      </c>
      <c r="L47" s="112">
        <v>30.25</v>
      </c>
      <c r="M47" s="112">
        <v>79.66</v>
      </c>
      <c r="N47" s="112">
        <v>359.2</v>
      </c>
      <c r="O47" s="112">
        <v>0</v>
      </c>
      <c r="P47" s="112">
        <v>0.72</v>
      </c>
      <c r="Q47" s="112">
        <v>4.63</v>
      </c>
    </row>
    <row r="48" spans="1:17" customFormat="1">
      <c r="A48" s="80">
        <v>45543.416666666664</v>
      </c>
      <c r="B48" s="112">
        <v>9.25</v>
      </c>
      <c r="C48" s="112">
        <v>4.08</v>
      </c>
      <c r="D48" s="112">
        <v>14</v>
      </c>
      <c r="E48" s="112">
        <v>23.58</v>
      </c>
      <c r="F48" s="112">
        <v>9.4700000000000006</v>
      </c>
      <c r="G48" s="112">
        <v>128.74</v>
      </c>
      <c r="H48" s="112">
        <v>49.56</v>
      </c>
      <c r="I48" s="112">
        <v>7.24</v>
      </c>
      <c r="J48" s="112">
        <v>0.33</v>
      </c>
      <c r="K48" s="112">
        <v>352.62</v>
      </c>
      <c r="L48" s="112">
        <v>30.56</v>
      </c>
      <c r="M48" s="112">
        <v>78.58</v>
      </c>
      <c r="N48" s="112">
        <v>298.5</v>
      </c>
      <c r="O48" s="112">
        <v>0</v>
      </c>
      <c r="P48" s="112">
        <v>0.74</v>
      </c>
      <c r="Q48" s="112">
        <v>4.62</v>
      </c>
    </row>
    <row r="49" spans="1:17" customFormat="1">
      <c r="A49" s="80">
        <v>45543.427083333336</v>
      </c>
      <c r="B49" s="112">
        <v>9.24</v>
      </c>
      <c r="C49" s="112">
        <v>4.09</v>
      </c>
      <c r="D49" s="112">
        <v>14</v>
      </c>
      <c r="E49" s="112">
        <v>16.66</v>
      </c>
      <c r="F49" s="112">
        <v>7.57</v>
      </c>
      <c r="G49" s="112">
        <v>130.74</v>
      </c>
      <c r="H49" s="112">
        <v>49.05</v>
      </c>
      <c r="I49" s="112">
        <v>7.25</v>
      </c>
      <c r="J49" s="112">
        <v>0.43</v>
      </c>
      <c r="K49" s="112">
        <v>40.06</v>
      </c>
      <c r="L49" s="112">
        <v>30.77</v>
      </c>
      <c r="M49" s="112">
        <v>77.56</v>
      </c>
      <c r="N49" s="112">
        <v>300.3</v>
      </c>
      <c r="O49" s="112">
        <v>0</v>
      </c>
      <c r="P49" s="112">
        <v>0.75</v>
      </c>
      <c r="Q49" s="112">
        <v>4.63</v>
      </c>
    </row>
    <row r="50" spans="1:17" customFormat="1">
      <c r="A50" s="80">
        <v>45543.4375</v>
      </c>
      <c r="B50" s="112">
        <v>9.24</v>
      </c>
      <c r="C50" s="112">
        <v>4.09</v>
      </c>
      <c r="D50" s="112">
        <v>14</v>
      </c>
      <c r="E50" s="112">
        <v>24.99</v>
      </c>
      <c r="F50" s="112">
        <v>7.84</v>
      </c>
      <c r="G50" s="112">
        <v>130.74</v>
      </c>
      <c r="H50" s="112">
        <v>49.05</v>
      </c>
      <c r="I50" s="112">
        <v>7.12</v>
      </c>
      <c r="J50" s="112">
        <v>0.39</v>
      </c>
      <c r="K50" s="112">
        <v>32.409999999999997</v>
      </c>
      <c r="L50" s="112">
        <v>31.2</v>
      </c>
      <c r="M50" s="112">
        <v>75.7</v>
      </c>
      <c r="N50" s="112">
        <v>283.89999999999998</v>
      </c>
      <c r="O50" s="112">
        <v>0</v>
      </c>
      <c r="P50" s="112">
        <v>0.74</v>
      </c>
      <c r="Q50" s="112">
        <v>4.62</v>
      </c>
    </row>
    <row r="51" spans="1:17" customFormat="1">
      <c r="A51" s="80">
        <v>45543.447916666664</v>
      </c>
      <c r="B51" s="112">
        <v>9.2799999999999994</v>
      </c>
      <c r="C51" s="112">
        <v>4.0599999999999996</v>
      </c>
      <c r="D51" s="112">
        <v>14.01</v>
      </c>
      <c r="E51" s="112">
        <v>23.08</v>
      </c>
      <c r="F51" s="112">
        <v>9.33</v>
      </c>
      <c r="G51" s="112">
        <v>130.74</v>
      </c>
      <c r="H51" s="112">
        <v>49.05</v>
      </c>
      <c r="I51" s="112">
        <v>7.26</v>
      </c>
      <c r="J51" s="112">
        <v>0.43</v>
      </c>
      <c r="K51" s="112">
        <v>24.27</v>
      </c>
      <c r="L51" s="112">
        <v>31.17</v>
      </c>
      <c r="M51" s="112">
        <v>74.52</v>
      </c>
      <c r="N51" s="112">
        <v>241.6</v>
      </c>
      <c r="O51" s="112">
        <v>0</v>
      </c>
      <c r="P51" s="112">
        <v>0.74</v>
      </c>
      <c r="Q51" s="112">
        <v>4.63</v>
      </c>
    </row>
    <row r="52" spans="1:17" customFormat="1">
      <c r="A52" s="80">
        <v>45543.458333333336</v>
      </c>
      <c r="B52" s="112">
        <v>9.32</v>
      </c>
      <c r="C52" s="112">
        <v>4.0199999999999996</v>
      </c>
      <c r="D52" s="112">
        <v>14.02</v>
      </c>
      <c r="E52" s="112">
        <v>19.899999999999999</v>
      </c>
      <c r="F52" s="112">
        <v>10.27</v>
      </c>
      <c r="G52" s="112">
        <v>130.83000000000001</v>
      </c>
      <c r="H52" s="112">
        <v>50.07</v>
      </c>
      <c r="I52" s="112">
        <v>7.27</v>
      </c>
      <c r="J52" s="112">
        <v>0.3</v>
      </c>
      <c r="K52" s="112">
        <v>349.42</v>
      </c>
      <c r="L52" s="112">
        <v>31.48</v>
      </c>
      <c r="M52" s="112">
        <v>75.05</v>
      </c>
      <c r="N52" s="112">
        <v>220.2</v>
      </c>
      <c r="O52" s="112">
        <v>0</v>
      </c>
      <c r="P52" s="112">
        <v>0.73</v>
      </c>
      <c r="Q52" s="112">
        <v>4.6399999999999997</v>
      </c>
    </row>
    <row r="53" spans="1:17" customFormat="1">
      <c r="A53" s="80">
        <v>45543.46875</v>
      </c>
      <c r="B53" s="112">
        <v>9.31</v>
      </c>
      <c r="C53" s="112">
        <v>4.05</v>
      </c>
      <c r="D53" s="112">
        <v>14.04</v>
      </c>
      <c r="E53" s="112">
        <v>17.22</v>
      </c>
      <c r="F53" s="112">
        <v>11.47</v>
      </c>
      <c r="G53" s="112">
        <v>131.06</v>
      </c>
      <c r="H53" s="112">
        <v>51.97</v>
      </c>
      <c r="I53" s="112">
        <v>7.23</v>
      </c>
      <c r="J53" s="112">
        <v>0.31</v>
      </c>
      <c r="K53" s="112">
        <v>19.95</v>
      </c>
      <c r="L53" s="112">
        <v>31.42</v>
      </c>
      <c r="M53" s="112">
        <v>74.39</v>
      </c>
      <c r="N53" s="112">
        <v>202.7</v>
      </c>
      <c r="O53" s="112">
        <v>0</v>
      </c>
      <c r="P53" s="112">
        <v>0.7</v>
      </c>
      <c r="Q53" s="112">
        <v>4.6399999999999997</v>
      </c>
    </row>
    <row r="54" spans="1:17" customFormat="1">
      <c r="A54" s="80">
        <v>45543.479166666664</v>
      </c>
      <c r="B54" s="112">
        <v>9.33</v>
      </c>
      <c r="C54" s="112">
        <v>4.09</v>
      </c>
      <c r="D54" s="112">
        <v>14.07</v>
      </c>
      <c r="E54" s="112">
        <v>17.059999999999999</v>
      </c>
      <c r="F54" s="112">
        <v>9.01</v>
      </c>
      <c r="G54" s="112">
        <v>131.06</v>
      </c>
      <c r="H54" s="112">
        <v>51.97</v>
      </c>
      <c r="I54" s="112">
        <v>7.02</v>
      </c>
      <c r="J54" s="112">
        <v>0.48</v>
      </c>
      <c r="K54" s="112">
        <v>37.94</v>
      </c>
      <c r="L54" s="112">
        <v>31.84</v>
      </c>
      <c r="M54" s="112">
        <v>71.400000000000006</v>
      </c>
      <c r="N54" s="112">
        <v>421.9</v>
      </c>
      <c r="O54" s="112">
        <v>0</v>
      </c>
      <c r="P54" s="112">
        <v>0.69</v>
      </c>
      <c r="Q54" s="112">
        <v>4.62</v>
      </c>
    </row>
    <row r="55" spans="1:17" customFormat="1">
      <c r="A55" s="80">
        <v>45543.489583333336</v>
      </c>
      <c r="B55" s="112">
        <v>9.34</v>
      </c>
      <c r="C55" s="112">
        <v>4.0999999999999996</v>
      </c>
      <c r="D55" s="112">
        <v>14.08</v>
      </c>
      <c r="E55" s="112">
        <v>17.809999999999999</v>
      </c>
      <c r="F55" s="112">
        <v>10.68</v>
      </c>
      <c r="G55" s="112">
        <v>131.06</v>
      </c>
      <c r="H55" s="112">
        <v>51.97</v>
      </c>
      <c r="I55" s="112">
        <v>6.96</v>
      </c>
      <c r="J55" s="112">
        <v>0.81</v>
      </c>
      <c r="K55" s="112">
        <v>48.65</v>
      </c>
      <c r="L55" s="112">
        <v>31.98</v>
      </c>
      <c r="M55" s="112">
        <v>70</v>
      </c>
      <c r="N55" s="112">
        <v>392.3</v>
      </c>
      <c r="O55" s="112">
        <v>0</v>
      </c>
      <c r="P55" s="112">
        <v>0.67</v>
      </c>
      <c r="Q55" s="112">
        <v>4.63</v>
      </c>
    </row>
    <row r="56" spans="1:17" customFormat="1">
      <c r="A56" s="80">
        <v>45543.5</v>
      </c>
      <c r="B56" s="112">
        <v>9.3000000000000007</v>
      </c>
      <c r="C56" s="112">
        <v>4.13</v>
      </c>
      <c r="D56" s="112">
        <v>14.06</v>
      </c>
      <c r="E56" s="112">
        <v>16.149999999999999</v>
      </c>
      <c r="F56" s="112">
        <v>12.23</v>
      </c>
      <c r="G56" s="112">
        <v>129.78</v>
      </c>
      <c r="H56" s="112">
        <v>50.56</v>
      </c>
      <c r="I56" s="112">
        <v>6.85</v>
      </c>
      <c r="J56" s="112">
        <v>0.6</v>
      </c>
      <c r="K56" s="112">
        <v>46.85</v>
      </c>
      <c r="L56" s="112">
        <v>32.299999999999997</v>
      </c>
      <c r="M56" s="112">
        <v>70.58</v>
      </c>
      <c r="N56" s="112">
        <v>490.2</v>
      </c>
      <c r="O56" s="112">
        <v>0</v>
      </c>
      <c r="P56" s="112">
        <v>0.65</v>
      </c>
      <c r="Q56" s="112">
        <v>4.63</v>
      </c>
    </row>
    <row r="57" spans="1:17" customFormat="1">
      <c r="A57" s="80">
        <v>45543.510416666664</v>
      </c>
      <c r="B57" s="112">
        <v>9.3000000000000007</v>
      </c>
      <c r="C57" s="112">
        <v>4.0599999999999996</v>
      </c>
      <c r="D57" s="112">
        <v>14.03</v>
      </c>
      <c r="E57" s="112">
        <v>16.52</v>
      </c>
      <c r="F57" s="112">
        <v>12.58</v>
      </c>
      <c r="G57" s="112">
        <v>126.08</v>
      </c>
      <c r="H57" s="112">
        <v>47.86</v>
      </c>
      <c r="I57" s="112">
        <v>6.52</v>
      </c>
      <c r="J57" s="112">
        <v>0.98</v>
      </c>
      <c r="K57" s="112">
        <v>51.51</v>
      </c>
      <c r="L57" s="112">
        <v>32.130000000000003</v>
      </c>
      <c r="M57" s="112">
        <v>69.16</v>
      </c>
      <c r="N57" s="112">
        <v>460.7</v>
      </c>
      <c r="O57" s="112">
        <v>0</v>
      </c>
      <c r="P57" s="112">
        <v>0.65</v>
      </c>
      <c r="Q57" s="112">
        <v>4.63</v>
      </c>
    </row>
    <row r="58" spans="1:17" customFormat="1">
      <c r="A58" s="80">
        <v>45543.520833333336</v>
      </c>
      <c r="B58" s="112">
        <v>9.3000000000000007</v>
      </c>
      <c r="C58" s="112">
        <v>4.0599999999999996</v>
      </c>
      <c r="D58" s="112">
        <v>14.03</v>
      </c>
      <c r="E58" s="112">
        <v>15.95</v>
      </c>
      <c r="F58" s="112">
        <v>14.98</v>
      </c>
      <c r="G58" s="112">
        <v>126.08</v>
      </c>
      <c r="H58" s="112">
        <v>47.86</v>
      </c>
      <c r="I58" s="112">
        <v>6.21</v>
      </c>
      <c r="J58" s="112">
        <v>0.8</v>
      </c>
      <c r="K58" s="112">
        <v>47.8</v>
      </c>
      <c r="L58" s="112">
        <v>32.49</v>
      </c>
      <c r="M58" s="112">
        <v>68.22</v>
      </c>
      <c r="N58" s="112">
        <v>632</v>
      </c>
      <c r="O58" s="112">
        <v>0</v>
      </c>
      <c r="P58" s="112">
        <v>0.61</v>
      </c>
      <c r="Q58" s="112">
        <v>4.6500000000000004</v>
      </c>
    </row>
    <row r="59" spans="1:17" customFormat="1">
      <c r="A59" s="80">
        <v>45543.53125</v>
      </c>
      <c r="B59" s="112">
        <v>9.3000000000000007</v>
      </c>
      <c r="C59" s="112">
        <v>4.0599999999999996</v>
      </c>
      <c r="D59" s="112">
        <v>14.03</v>
      </c>
      <c r="E59" s="112">
        <v>14.55</v>
      </c>
      <c r="F59" s="112">
        <v>12.37</v>
      </c>
      <c r="G59" s="112">
        <v>126.08</v>
      </c>
      <c r="H59" s="112">
        <v>47.86</v>
      </c>
      <c r="I59" s="112">
        <v>6.35</v>
      </c>
      <c r="J59" s="112">
        <v>0.83</v>
      </c>
      <c r="K59" s="112">
        <v>41.8</v>
      </c>
      <c r="L59" s="112">
        <v>32.9</v>
      </c>
      <c r="M59" s="112">
        <v>65.989999999999995</v>
      </c>
      <c r="N59" s="112">
        <v>591.5</v>
      </c>
      <c r="O59" s="112">
        <v>0</v>
      </c>
      <c r="P59" s="112">
        <v>0.59</v>
      </c>
      <c r="Q59" s="112">
        <v>4.6500000000000004</v>
      </c>
    </row>
    <row r="60" spans="1:17" customFormat="1">
      <c r="A60" s="80">
        <v>45543.541666666664</v>
      </c>
      <c r="B60" s="112">
        <v>9.2899999999999991</v>
      </c>
      <c r="C60" s="112">
        <v>4.0599999999999996</v>
      </c>
      <c r="D60" s="112">
        <v>14.02</v>
      </c>
      <c r="E60" s="112">
        <v>14.21</v>
      </c>
      <c r="F60" s="112">
        <v>11.95</v>
      </c>
      <c r="G60" s="112">
        <v>120.24</v>
      </c>
      <c r="H60" s="112">
        <v>46.3</v>
      </c>
      <c r="I60" s="112">
        <v>5.82</v>
      </c>
      <c r="J60" s="112">
        <v>0.42</v>
      </c>
      <c r="K60" s="112">
        <v>344.92</v>
      </c>
      <c r="L60" s="112">
        <v>32.909999999999997</v>
      </c>
      <c r="M60" s="112">
        <v>66.66</v>
      </c>
      <c r="N60" s="112">
        <v>539.9</v>
      </c>
      <c r="O60" s="112">
        <v>0</v>
      </c>
      <c r="P60" s="112">
        <v>0.59</v>
      </c>
      <c r="Q60" s="112">
        <v>4.63</v>
      </c>
    </row>
    <row r="61" spans="1:17" customFormat="1">
      <c r="A61" s="80">
        <v>45543.552083333336</v>
      </c>
      <c r="B61" s="112">
        <v>9.27</v>
      </c>
      <c r="C61" s="112">
        <v>4.0599999999999996</v>
      </c>
      <c r="D61" s="112">
        <v>14.01</v>
      </c>
      <c r="E61" s="112">
        <v>15.27</v>
      </c>
      <c r="F61" s="112">
        <v>13.39</v>
      </c>
      <c r="G61" s="112">
        <v>104.2</v>
      </c>
      <c r="H61" s="112">
        <v>43.3</v>
      </c>
      <c r="I61" s="112">
        <v>5.83</v>
      </c>
      <c r="J61" s="112">
        <v>0.44</v>
      </c>
      <c r="K61" s="112">
        <v>352.69</v>
      </c>
      <c r="L61" s="112">
        <v>32.69</v>
      </c>
      <c r="M61" s="112">
        <v>67.290000000000006</v>
      </c>
      <c r="N61" s="112">
        <v>323.60000000000002</v>
      </c>
      <c r="O61" s="112">
        <v>0</v>
      </c>
      <c r="P61" s="112">
        <v>0.57999999999999996</v>
      </c>
      <c r="Q61" s="112">
        <v>4.63</v>
      </c>
    </row>
    <row r="62" spans="1:17" customFormat="1">
      <c r="A62" s="80">
        <v>45543.5625</v>
      </c>
      <c r="B62" s="112">
        <v>9.2799999999999994</v>
      </c>
      <c r="C62" s="112">
        <v>4.0599999999999996</v>
      </c>
      <c r="D62" s="112">
        <v>14.01</v>
      </c>
      <c r="E62" s="112">
        <v>15.11</v>
      </c>
      <c r="F62" s="112">
        <v>9.6999999999999993</v>
      </c>
      <c r="G62" s="112">
        <v>104.2</v>
      </c>
      <c r="H62" s="112">
        <v>43.3</v>
      </c>
      <c r="I62" s="112">
        <v>5.67</v>
      </c>
      <c r="J62" s="112">
        <v>0.45</v>
      </c>
      <c r="K62" s="112">
        <v>326.7</v>
      </c>
      <c r="L62" s="112">
        <v>32.6</v>
      </c>
      <c r="M62" s="112">
        <v>67.790000000000006</v>
      </c>
      <c r="N62" s="112">
        <v>272.60000000000002</v>
      </c>
      <c r="O62" s="112">
        <v>0</v>
      </c>
      <c r="P62" s="112">
        <v>0.57999999999999996</v>
      </c>
      <c r="Q62" s="112">
        <v>4.6399999999999997</v>
      </c>
    </row>
    <row r="63" spans="1:17" customFormat="1">
      <c r="A63" s="80">
        <v>45543.572916666664</v>
      </c>
      <c r="B63" s="112">
        <v>9.27</v>
      </c>
      <c r="C63" s="112">
        <v>4.1100000000000003</v>
      </c>
      <c r="D63" s="112">
        <v>14.03</v>
      </c>
      <c r="E63" s="112">
        <v>14.37</v>
      </c>
      <c r="F63" s="112">
        <v>11.36</v>
      </c>
      <c r="G63" s="112">
        <v>104.2</v>
      </c>
      <c r="H63" s="112">
        <v>43.3</v>
      </c>
      <c r="I63" s="112">
        <v>5.56</v>
      </c>
      <c r="J63" s="112">
        <v>0.46</v>
      </c>
      <c r="K63" s="112">
        <v>292.10000000000002</v>
      </c>
      <c r="L63" s="112">
        <v>33.18</v>
      </c>
      <c r="M63" s="112">
        <v>66.66</v>
      </c>
      <c r="N63" s="112">
        <v>280.3</v>
      </c>
      <c r="O63" s="112">
        <v>0</v>
      </c>
      <c r="P63" s="112">
        <v>0.59</v>
      </c>
      <c r="Q63" s="112">
        <v>4.6399999999999997</v>
      </c>
    </row>
    <row r="64" spans="1:17" customFormat="1">
      <c r="A64" s="80">
        <v>45543.583333333336</v>
      </c>
      <c r="B64" s="112">
        <v>9.2799999999999994</v>
      </c>
      <c r="C64" s="112">
        <v>4.08</v>
      </c>
      <c r="D64" s="112">
        <v>14.03</v>
      </c>
      <c r="E64" s="112">
        <v>16.100000000000001</v>
      </c>
      <c r="F64" s="112">
        <v>15.8</v>
      </c>
      <c r="G64" s="112">
        <v>101.52</v>
      </c>
      <c r="H64" s="112">
        <v>43.28</v>
      </c>
      <c r="I64" s="112">
        <v>5.6</v>
      </c>
      <c r="J64" s="112">
        <v>0.59</v>
      </c>
      <c r="K64" s="112">
        <v>40.15</v>
      </c>
      <c r="L64" s="112">
        <v>33.21</v>
      </c>
      <c r="M64" s="112">
        <v>65.08</v>
      </c>
      <c r="N64" s="112">
        <v>162.80000000000001</v>
      </c>
      <c r="O64" s="112">
        <v>0</v>
      </c>
      <c r="P64" s="112">
        <v>0.6</v>
      </c>
      <c r="Q64" s="112">
        <v>4.63</v>
      </c>
    </row>
    <row r="65" spans="1:17" customFormat="1">
      <c r="A65" s="80">
        <v>45543.59375</v>
      </c>
      <c r="B65" s="112">
        <v>9.2899999999999991</v>
      </c>
      <c r="C65" s="112">
        <v>4.1100000000000003</v>
      </c>
      <c r="D65" s="112">
        <v>14.05</v>
      </c>
      <c r="E65" s="112">
        <v>15.07</v>
      </c>
      <c r="F65" s="112">
        <v>9.9700000000000006</v>
      </c>
      <c r="G65" s="112">
        <v>94.15</v>
      </c>
      <c r="H65" s="112">
        <v>43.21</v>
      </c>
      <c r="I65" s="112">
        <v>5.49</v>
      </c>
      <c r="J65" s="112">
        <v>0.39</v>
      </c>
      <c r="K65" s="112">
        <v>25.91</v>
      </c>
      <c r="L65" s="112">
        <v>32.880000000000003</v>
      </c>
      <c r="M65" s="112">
        <v>65.430000000000007</v>
      </c>
      <c r="N65" s="112">
        <v>174</v>
      </c>
      <c r="O65" s="112">
        <v>0</v>
      </c>
      <c r="P65" s="112">
        <v>0.57999999999999996</v>
      </c>
      <c r="Q65" s="112">
        <v>4.6399999999999997</v>
      </c>
    </row>
    <row r="66" spans="1:17" customFormat="1">
      <c r="A66" s="80">
        <v>45543.604166666664</v>
      </c>
      <c r="B66" s="112">
        <v>9.2899999999999991</v>
      </c>
      <c r="C66" s="112">
        <v>4.1100000000000003</v>
      </c>
      <c r="D66" s="112">
        <v>14.04</v>
      </c>
      <c r="E66" s="112">
        <v>16.329999999999998</v>
      </c>
      <c r="F66" s="112">
        <v>13.68</v>
      </c>
      <c r="G66" s="112">
        <v>94.15</v>
      </c>
      <c r="H66" s="112">
        <v>43.21</v>
      </c>
      <c r="I66" s="112">
        <v>5.24</v>
      </c>
      <c r="J66" s="112">
        <v>0.64</v>
      </c>
      <c r="K66" s="112">
        <v>51.09</v>
      </c>
      <c r="L66" s="112">
        <v>32.72</v>
      </c>
      <c r="M66" s="112">
        <v>65.680000000000007</v>
      </c>
      <c r="N66" s="112">
        <v>128.19999999999999</v>
      </c>
      <c r="O66" s="112">
        <v>0</v>
      </c>
      <c r="P66" s="112">
        <v>0.57999999999999996</v>
      </c>
      <c r="Q66" s="112">
        <v>4.63</v>
      </c>
    </row>
    <row r="67" spans="1:17" customFormat="1">
      <c r="A67" s="80">
        <v>45543.614583333336</v>
      </c>
      <c r="B67" s="112">
        <v>9.3000000000000007</v>
      </c>
      <c r="C67" s="112">
        <v>4.07</v>
      </c>
      <c r="D67" s="112">
        <v>14.03</v>
      </c>
      <c r="E67" s="112">
        <v>15.78</v>
      </c>
      <c r="F67" s="112">
        <v>9.52</v>
      </c>
      <c r="G67" s="112">
        <v>94.15</v>
      </c>
      <c r="H67" s="112">
        <v>43.21</v>
      </c>
      <c r="I67" s="112">
        <v>5.41</v>
      </c>
      <c r="J67" s="112">
        <v>0.35</v>
      </c>
      <c r="K67" s="112">
        <v>22.47</v>
      </c>
      <c r="L67" s="112">
        <v>32.46</v>
      </c>
      <c r="M67" s="112">
        <v>68.73</v>
      </c>
      <c r="N67" s="112">
        <v>141.19999999999999</v>
      </c>
      <c r="O67" s="112">
        <v>0</v>
      </c>
      <c r="P67" s="112">
        <v>0.56999999999999995</v>
      </c>
      <c r="Q67" s="112">
        <v>4.6399999999999997</v>
      </c>
    </row>
    <row r="68" spans="1:17" customFormat="1">
      <c r="A68" s="80">
        <v>45543.625</v>
      </c>
      <c r="B68" s="112">
        <v>9.31</v>
      </c>
      <c r="C68" s="112">
        <v>4.0599999999999996</v>
      </c>
      <c r="D68" s="112">
        <v>14.04</v>
      </c>
      <c r="E68" s="112">
        <v>14.89</v>
      </c>
      <c r="F68" s="112">
        <v>15.45</v>
      </c>
      <c r="G68" s="112">
        <v>92.3</v>
      </c>
      <c r="H68" s="112">
        <v>42.07</v>
      </c>
      <c r="I68" s="112">
        <v>5.23</v>
      </c>
      <c r="J68" s="112">
        <v>0.63</v>
      </c>
      <c r="K68" s="112">
        <v>50.2</v>
      </c>
      <c r="L68" s="112">
        <v>32.61</v>
      </c>
      <c r="M68" s="112">
        <v>67.44</v>
      </c>
      <c r="N68" s="112">
        <v>138.80000000000001</v>
      </c>
      <c r="O68" s="112">
        <v>0</v>
      </c>
      <c r="P68" s="112">
        <v>0.54</v>
      </c>
      <c r="Q68" s="112">
        <v>4.6399999999999997</v>
      </c>
    </row>
    <row r="69" spans="1:17" customFormat="1">
      <c r="A69" s="80">
        <v>45543.635416666664</v>
      </c>
      <c r="B69" s="112">
        <v>9.3000000000000007</v>
      </c>
      <c r="C69" s="112">
        <v>4.05</v>
      </c>
      <c r="D69" s="112">
        <v>14.03</v>
      </c>
      <c r="E69" s="112">
        <v>14.7</v>
      </c>
      <c r="F69" s="112">
        <v>11.89</v>
      </c>
      <c r="G69" s="112">
        <v>87.21</v>
      </c>
      <c r="H69" s="112">
        <v>39.94</v>
      </c>
      <c r="I69" s="112">
        <v>5.25</v>
      </c>
      <c r="J69" s="112">
        <v>0.46</v>
      </c>
      <c r="K69" s="112">
        <v>47.27</v>
      </c>
      <c r="L69" s="112">
        <v>32.68</v>
      </c>
      <c r="M69" s="112">
        <v>67.92</v>
      </c>
      <c r="N69" s="112">
        <v>202.7</v>
      </c>
      <c r="O69" s="112">
        <v>0</v>
      </c>
      <c r="P69" s="112">
        <v>0.56999999999999995</v>
      </c>
      <c r="Q69" s="112">
        <v>4.6500000000000004</v>
      </c>
    </row>
    <row r="70" spans="1:17" customFormat="1">
      <c r="A70" s="80">
        <v>45543.645833333336</v>
      </c>
      <c r="B70" s="112">
        <v>9.3000000000000007</v>
      </c>
      <c r="C70" s="112">
        <v>4.07</v>
      </c>
      <c r="D70" s="112">
        <v>14.04</v>
      </c>
      <c r="E70" s="112">
        <v>14.57</v>
      </c>
      <c r="F70" s="112">
        <v>14.61</v>
      </c>
      <c r="G70" s="112">
        <v>87.21</v>
      </c>
      <c r="H70" s="112">
        <v>39.94</v>
      </c>
      <c r="I70" s="112">
        <v>4.87</v>
      </c>
      <c r="J70" s="112">
        <v>0.31</v>
      </c>
      <c r="K70" s="112">
        <v>0.25</v>
      </c>
      <c r="L70" s="112">
        <v>32.369999999999997</v>
      </c>
      <c r="M70" s="112">
        <v>68.36</v>
      </c>
      <c r="N70" s="112">
        <v>116.8</v>
      </c>
      <c r="O70" s="112">
        <v>0</v>
      </c>
      <c r="P70" s="112">
        <v>0.52</v>
      </c>
      <c r="Q70" s="112">
        <v>4.62</v>
      </c>
    </row>
    <row r="71" spans="1:17" customFormat="1">
      <c r="A71" s="80">
        <v>45543.65625</v>
      </c>
      <c r="B71" s="112">
        <v>9.31</v>
      </c>
      <c r="C71" s="112">
        <v>4.05</v>
      </c>
      <c r="D71" s="112">
        <v>14.03</v>
      </c>
      <c r="E71" s="112">
        <v>14.79</v>
      </c>
      <c r="F71" s="112">
        <v>19.53</v>
      </c>
      <c r="G71" s="112">
        <v>87.21</v>
      </c>
      <c r="H71" s="112">
        <v>39.94</v>
      </c>
      <c r="I71" s="112">
        <v>5.0199999999999996</v>
      </c>
      <c r="J71" s="112">
        <v>0.32</v>
      </c>
      <c r="K71" s="112">
        <v>357.85</v>
      </c>
      <c r="L71" s="112">
        <v>32.729999999999997</v>
      </c>
      <c r="M71" s="112">
        <v>67.180000000000007</v>
      </c>
      <c r="N71" s="112">
        <v>202.4</v>
      </c>
      <c r="O71" s="112">
        <v>0</v>
      </c>
      <c r="P71" s="112">
        <v>0.5</v>
      </c>
      <c r="Q71" s="112">
        <v>4.62</v>
      </c>
    </row>
    <row r="72" spans="1:17" customFormat="1">
      <c r="A72" s="80">
        <v>45543.666666666664</v>
      </c>
      <c r="B72" s="112">
        <v>9.2799999999999994</v>
      </c>
      <c r="C72" s="112">
        <v>4.09</v>
      </c>
      <c r="D72" s="112">
        <v>14.03</v>
      </c>
      <c r="E72" s="112">
        <v>14.37</v>
      </c>
      <c r="F72" s="112">
        <v>16.440000000000001</v>
      </c>
      <c r="G72" s="112">
        <v>84.47</v>
      </c>
      <c r="H72" s="112">
        <v>36.54</v>
      </c>
      <c r="I72" s="112">
        <v>4.71</v>
      </c>
      <c r="J72" s="112">
        <v>0.43</v>
      </c>
      <c r="K72" s="112">
        <v>311</v>
      </c>
      <c r="L72" s="112">
        <v>32.36</v>
      </c>
      <c r="M72" s="112">
        <v>68.17</v>
      </c>
      <c r="N72" s="112">
        <v>67.2</v>
      </c>
      <c r="O72" s="112">
        <v>0</v>
      </c>
      <c r="P72" s="112">
        <v>0.51</v>
      </c>
      <c r="Q72" s="112">
        <v>4.62</v>
      </c>
    </row>
    <row r="73" spans="1:17" customFormat="1">
      <c r="A73" s="80">
        <v>45543.677083333336</v>
      </c>
      <c r="B73" s="112">
        <v>9.32</v>
      </c>
      <c r="C73" s="112">
        <v>4.07</v>
      </c>
      <c r="D73" s="112">
        <v>14.05</v>
      </c>
      <c r="E73" s="112">
        <v>13.25</v>
      </c>
      <c r="F73" s="112">
        <v>7.33</v>
      </c>
      <c r="G73" s="112">
        <v>76.95</v>
      </c>
      <c r="H73" s="112">
        <v>30.18</v>
      </c>
      <c r="I73" s="112">
        <v>4.54</v>
      </c>
      <c r="J73" s="112">
        <v>0.85</v>
      </c>
      <c r="K73" s="112">
        <v>290.72000000000003</v>
      </c>
      <c r="L73" s="112">
        <v>31.02</v>
      </c>
      <c r="M73" s="112">
        <v>74.44</v>
      </c>
      <c r="N73" s="112">
        <v>31.7</v>
      </c>
      <c r="O73" s="112">
        <v>0</v>
      </c>
      <c r="P73" s="112">
        <v>0.54</v>
      </c>
      <c r="Q73" s="112">
        <v>4.62</v>
      </c>
    </row>
    <row r="74" spans="1:17" customFormat="1">
      <c r="A74" s="80">
        <v>45543.6875</v>
      </c>
      <c r="B74" s="112">
        <v>9.34</v>
      </c>
      <c r="C74" s="112">
        <v>4.0599999999999996</v>
      </c>
      <c r="D74" s="112">
        <v>14.06</v>
      </c>
      <c r="E74" s="112">
        <v>11.74</v>
      </c>
      <c r="F74" s="112">
        <v>6.99</v>
      </c>
      <c r="G74" s="112">
        <v>76.95</v>
      </c>
      <c r="H74" s="112">
        <v>30.18</v>
      </c>
      <c r="I74" s="112">
        <v>4.59</v>
      </c>
      <c r="J74" s="112">
        <v>1.02</v>
      </c>
      <c r="K74" s="112">
        <v>290.14</v>
      </c>
      <c r="L74" s="112">
        <v>30.18</v>
      </c>
      <c r="M74" s="112">
        <v>73.290000000000006</v>
      </c>
      <c r="N74" s="112">
        <v>42.5</v>
      </c>
      <c r="O74" s="112">
        <v>0</v>
      </c>
      <c r="P74" s="112">
        <v>0.54</v>
      </c>
      <c r="Q74" s="112">
        <v>4.6100000000000003</v>
      </c>
    </row>
    <row r="75" spans="1:17" customFormat="1">
      <c r="A75" s="80">
        <v>45543.697916666664</v>
      </c>
      <c r="B75" s="112">
        <v>9.33</v>
      </c>
      <c r="C75" s="112">
        <v>4.09</v>
      </c>
      <c r="D75" s="112">
        <v>14.07</v>
      </c>
      <c r="E75" s="112">
        <v>11.18</v>
      </c>
      <c r="F75" s="112">
        <v>8.07</v>
      </c>
      <c r="G75" s="112">
        <v>76.95</v>
      </c>
      <c r="H75" s="112">
        <v>30.18</v>
      </c>
      <c r="I75" s="112">
        <v>4.9800000000000004</v>
      </c>
      <c r="J75" s="112">
        <v>1.21</v>
      </c>
      <c r="K75" s="112">
        <v>4.3600000000000003</v>
      </c>
      <c r="L75" s="112">
        <v>28.77</v>
      </c>
      <c r="M75" s="112">
        <v>80.45</v>
      </c>
      <c r="N75" s="112">
        <v>20.2</v>
      </c>
      <c r="O75" s="112">
        <v>11.6</v>
      </c>
      <c r="P75" s="112">
        <v>0.53</v>
      </c>
      <c r="Q75" s="112">
        <v>4.6100000000000003</v>
      </c>
    </row>
    <row r="76" spans="1:17" customFormat="1">
      <c r="A76" s="80">
        <v>45543.708333333336</v>
      </c>
      <c r="B76" s="112">
        <v>9.26</v>
      </c>
      <c r="C76" s="112">
        <v>4.08</v>
      </c>
      <c r="D76" s="112">
        <v>14.01</v>
      </c>
      <c r="E76" s="112">
        <v>10.86</v>
      </c>
      <c r="F76" s="112">
        <v>5.29</v>
      </c>
      <c r="G76" s="112">
        <v>73.14</v>
      </c>
      <c r="H76" s="112">
        <v>30.03</v>
      </c>
      <c r="I76" s="112">
        <v>5.04</v>
      </c>
      <c r="J76" s="112">
        <v>1.63</v>
      </c>
      <c r="K76" s="112">
        <v>305.45999999999998</v>
      </c>
      <c r="L76" s="112">
        <v>24.63</v>
      </c>
      <c r="M76" s="112">
        <v>99.67</v>
      </c>
      <c r="N76" s="112">
        <v>6.3</v>
      </c>
      <c r="O76" s="112">
        <v>18.8</v>
      </c>
      <c r="P76" s="112">
        <v>0.52</v>
      </c>
      <c r="Q76" s="112">
        <v>4.62</v>
      </c>
    </row>
    <row r="77" spans="1:17" customFormat="1">
      <c r="A77" s="80">
        <v>45543.71875</v>
      </c>
      <c r="B77" s="112">
        <v>9.24</v>
      </c>
      <c r="C77" s="112">
        <v>4.0999999999999996</v>
      </c>
      <c r="D77" s="112">
        <v>14</v>
      </c>
      <c r="E77" s="112">
        <v>9.8800000000000008</v>
      </c>
      <c r="F77" s="112">
        <v>3.73</v>
      </c>
      <c r="G77" s="112">
        <v>62.67</v>
      </c>
      <c r="H77" s="112">
        <v>29.76</v>
      </c>
      <c r="I77" s="112">
        <v>4.95</v>
      </c>
      <c r="J77" s="112">
        <v>0.67</v>
      </c>
      <c r="K77" s="112">
        <v>277.83999999999997</v>
      </c>
      <c r="L77" s="112">
        <v>24.54</v>
      </c>
      <c r="M77" s="112">
        <v>100.82</v>
      </c>
      <c r="N77" s="112">
        <v>5.2</v>
      </c>
      <c r="O77" s="112">
        <v>0</v>
      </c>
      <c r="P77" s="112">
        <v>0.51</v>
      </c>
      <c r="Q77" s="112">
        <v>4.63</v>
      </c>
    </row>
    <row r="78" spans="1:17" customFormat="1">
      <c r="A78" s="80">
        <v>45543.729166666664</v>
      </c>
      <c r="B78" s="112">
        <v>9.23</v>
      </c>
      <c r="C78" s="112">
        <v>4.1100000000000003</v>
      </c>
      <c r="D78" s="112">
        <v>14</v>
      </c>
      <c r="E78" s="112">
        <v>9.1300000000000008</v>
      </c>
      <c r="F78" s="112">
        <v>2.86</v>
      </c>
      <c r="G78" s="112">
        <v>62.67</v>
      </c>
      <c r="H78" s="112">
        <v>29.76</v>
      </c>
      <c r="I78" s="112">
        <v>5.0599999999999996</v>
      </c>
      <c r="J78" s="112">
        <v>0.33</v>
      </c>
      <c r="K78" s="112">
        <v>261.29000000000002</v>
      </c>
      <c r="L78" s="112">
        <v>24.8</v>
      </c>
      <c r="M78" s="112">
        <v>100.69</v>
      </c>
      <c r="N78" s="112">
        <v>3.6</v>
      </c>
      <c r="O78" s="112">
        <v>0</v>
      </c>
      <c r="P78" s="112">
        <v>0.5</v>
      </c>
      <c r="Q78" s="112">
        <v>4.63</v>
      </c>
    </row>
    <row r="79" spans="1:17" customFormat="1">
      <c r="A79" s="80">
        <v>45543.739583333336</v>
      </c>
      <c r="B79" s="112">
        <v>9.24</v>
      </c>
      <c r="C79" s="112">
        <v>4.09</v>
      </c>
      <c r="D79" s="112">
        <v>14</v>
      </c>
      <c r="E79" s="112">
        <v>8.61</v>
      </c>
      <c r="F79" s="112">
        <v>3.09</v>
      </c>
      <c r="G79" s="112">
        <v>62.67</v>
      </c>
      <c r="H79" s="112">
        <v>29.76</v>
      </c>
      <c r="I79" s="112">
        <v>5</v>
      </c>
      <c r="J79" s="112">
        <v>0.28000000000000003</v>
      </c>
      <c r="K79" s="112">
        <v>40.33</v>
      </c>
      <c r="L79" s="112">
        <v>25</v>
      </c>
      <c r="M79" s="112">
        <v>100.57</v>
      </c>
      <c r="N79" s="112">
        <v>2.7</v>
      </c>
      <c r="O79" s="112">
        <v>0</v>
      </c>
      <c r="P79" s="112">
        <v>0.52</v>
      </c>
      <c r="Q79" s="112">
        <v>4.62</v>
      </c>
    </row>
    <row r="80" spans="1:17" customFormat="1">
      <c r="A80" s="80">
        <v>45543.75</v>
      </c>
      <c r="B80" s="112">
        <v>9.27</v>
      </c>
      <c r="C80" s="112">
        <v>4.05</v>
      </c>
      <c r="D80" s="112">
        <v>14</v>
      </c>
      <c r="E80" s="112">
        <v>8.73</v>
      </c>
      <c r="F80" s="112">
        <v>4.8099999999999996</v>
      </c>
      <c r="G80" s="112">
        <v>60.03</v>
      </c>
      <c r="H80" s="112">
        <v>27.41</v>
      </c>
      <c r="I80" s="112">
        <v>5.05</v>
      </c>
      <c r="J80" s="112">
        <v>0.11</v>
      </c>
      <c r="K80" s="112">
        <v>19.829999999999998</v>
      </c>
      <c r="L80" s="112">
        <v>25.18</v>
      </c>
      <c r="M80" s="112">
        <v>100.56</v>
      </c>
      <c r="N80" s="112">
        <v>2.5</v>
      </c>
      <c r="O80" s="112">
        <v>0</v>
      </c>
      <c r="P80" s="112">
        <v>0.53</v>
      </c>
      <c r="Q80" s="112">
        <v>4.62</v>
      </c>
    </row>
    <row r="81" spans="1:17" customFormat="1">
      <c r="A81" s="80">
        <v>45543.760416666664</v>
      </c>
      <c r="B81" s="112">
        <v>9.27</v>
      </c>
      <c r="C81" s="112">
        <v>4.05</v>
      </c>
      <c r="D81" s="112">
        <v>14</v>
      </c>
      <c r="E81" s="112">
        <v>7.35</v>
      </c>
      <c r="F81" s="112">
        <v>4.32</v>
      </c>
      <c r="G81" s="112">
        <v>52.76</v>
      </c>
      <c r="H81" s="112">
        <v>23.03</v>
      </c>
      <c r="I81" s="112">
        <v>5.08</v>
      </c>
      <c r="J81" s="112">
        <v>0.16</v>
      </c>
      <c r="K81" s="112">
        <v>175.59</v>
      </c>
      <c r="L81" s="112">
        <v>25.42</v>
      </c>
      <c r="M81" s="112">
        <v>100.56</v>
      </c>
      <c r="N81" s="112">
        <v>2</v>
      </c>
      <c r="O81" s="112">
        <v>0.2</v>
      </c>
      <c r="P81" s="112">
        <v>0.51</v>
      </c>
      <c r="Q81" s="112">
        <v>4.63</v>
      </c>
    </row>
    <row r="82" spans="1:17" customFormat="1">
      <c r="A82" s="80">
        <v>45543.770833333336</v>
      </c>
      <c r="B82" s="112">
        <v>9.2899999999999991</v>
      </c>
      <c r="C82" s="112">
        <v>4.07</v>
      </c>
      <c r="D82" s="112">
        <v>14.02</v>
      </c>
      <c r="E82" s="112">
        <v>8.51</v>
      </c>
      <c r="F82" s="112">
        <v>4.38</v>
      </c>
      <c r="G82" s="112">
        <v>52.76</v>
      </c>
      <c r="H82" s="112">
        <v>23.03</v>
      </c>
      <c r="I82" s="112">
        <v>5</v>
      </c>
      <c r="J82" s="112">
        <v>0.27</v>
      </c>
      <c r="K82" s="112">
        <v>256.74</v>
      </c>
      <c r="L82" s="112">
        <v>25.49</v>
      </c>
      <c r="M82" s="112">
        <v>100.35</v>
      </c>
      <c r="N82" s="112">
        <v>2.4</v>
      </c>
      <c r="O82" s="112">
        <v>0</v>
      </c>
      <c r="P82" s="112">
        <v>0.48</v>
      </c>
      <c r="Q82" s="112">
        <v>4.6399999999999997</v>
      </c>
    </row>
    <row r="83" spans="1:17" customFormat="1">
      <c r="A83" s="80">
        <v>45543.78125</v>
      </c>
      <c r="B83" s="112">
        <v>9.32</v>
      </c>
      <c r="C83" s="112">
        <v>4.0999999999999996</v>
      </c>
      <c r="D83" s="112">
        <v>14.07</v>
      </c>
      <c r="E83" s="112">
        <v>8.17</v>
      </c>
      <c r="F83" s="112">
        <v>5.2</v>
      </c>
      <c r="G83" s="112">
        <v>52.76</v>
      </c>
      <c r="H83" s="112">
        <v>23.03</v>
      </c>
      <c r="I83" s="112">
        <v>5</v>
      </c>
      <c r="J83" s="112">
        <v>0.12</v>
      </c>
      <c r="K83" s="112">
        <v>169.09</v>
      </c>
      <c r="L83" s="112">
        <v>25.58</v>
      </c>
      <c r="M83" s="112">
        <v>100.38</v>
      </c>
      <c r="N83" s="112">
        <v>2.2000000000000002</v>
      </c>
      <c r="O83" s="112">
        <v>0</v>
      </c>
      <c r="P83" s="112">
        <v>0.47</v>
      </c>
      <c r="Q83" s="112">
        <v>4.6399999999999997</v>
      </c>
    </row>
    <row r="84" spans="1:17" customFormat="1">
      <c r="A84" s="80">
        <v>45543.791666666664</v>
      </c>
      <c r="B84" s="112">
        <v>9.36</v>
      </c>
      <c r="C84" s="112">
        <v>4.08</v>
      </c>
      <c r="D84" s="112">
        <v>14.09</v>
      </c>
      <c r="E84" s="112">
        <v>8.25</v>
      </c>
      <c r="F84" s="112">
        <v>4.49</v>
      </c>
      <c r="G84" s="112">
        <v>54.56</v>
      </c>
      <c r="H84" s="112">
        <v>22.84</v>
      </c>
      <c r="I84" s="112">
        <v>4.97</v>
      </c>
      <c r="J84" s="112">
        <v>0.18</v>
      </c>
      <c r="K84" s="112">
        <v>190.91</v>
      </c>
      <c r="L84" s="112">
        <v>25.76</v>
      </c>
      <c r="M84" s="112">
        <v>100.73</v>
      </c>
      <c r="N84" s="112">
        <v>2.2999999999999998</v>
      </c>
      <c r="O84" s="112">
        <v>0.2</v>
      </c>
      <c r="P84" s="112">
        <v>0.48</v>
      </c>
      <c r="Q84" s="112">
        <v>4.6399999999999997</v>
      </c>
    </row>
    <row r="85" spans="1:17" customFormat="1">
      <c r="A85" s="80">
        <v>45543.802083333336</v>
      </c>
      <c r="B85" s="112">
        <v>9.3800000000000008</v>
      </c>
      <c r="C85" s="112">
        <v>4.0599999999999996</v>
      </c>
      <c r="D85" s="112">
        <v>14.09</v>
      </c>
      <c r="E85" s="112">
        <v>8.42</v>
      </c>
      <c r="F85" s="112">
        <v>4.4000000000000004</v>
      </c>
      <c r="G85" s="112">
        <v>59.51</v>
      </c>
      <c r="H85" s="112">
        <v>22.47</v>
      </c>
      <c r="I85" s="112">
        <v>5.38</v>
      </c>
      <c r="J85" s="112">
        <v>0.12</v>
      </c>
      <c r="K85" s="112">
        <v>147.24</v>
      </c>
      <c r="L85" s="112">
        <v>25.74</v>
      </c>
      <c r="M85" s="112">
        <v>100.62</v>
      </c>
      <c r="N85" s="112">
        <v>2.2000000000000002</v>
      </c>
      <c r="O85" s="112">
        <v>0</v>
      </c>
      <c r="P85" s="112">
        <v>0.47</v>
      </c>
      <c r="Q85" s="112">
        <v>4.6399999999999997</v>
      </c>
    </row>
    <row r="86" spans="1:17" customFormat="1">
      <c r="A86" s="80">
        <v>45543.8125</v>
      </c>
      <c r="B86" s="112">
        <v>9.35</v>
      </c>
      <c r="C86" s="112">
        <v>4.08</v>
      </c>
      <c r="D86" s="112">
        <v>14.08</v>
      </c>
      <c r="E86" s="112">
        <v>9.26</v>
      </c>
      <c r="F86" s="112">
        <v>3.87</v>
      </c>
      <c r="G86" s="112">
        <v>59.51</v>
      </c>
      <c r="H86" s="112">
        <v>22.47</v>
      </c>
      <c r="I86" s="112">
        <v>6.01</v>
      </c>
      <c r="J86" s="112">
        <v>0.12</v>
      </c>
      <c r="K86" s="112">
        <v>48.01</v>
      </c>
      <c r="L86" s="112">
        <v>25.73</v>
      </c>
      <c r="M86" s="112">
        <v>100.47</v>
      </c>
      <c r="N86" s="112">
        <v>2.5</v>
      </c>
      <c r="O86" s="112">
        <v>0.2</v>
      </c>
      <c r="P86" s="112">
        <v>0.53</v>
      </c>
      <c r="Q86" s="112">
        <v>4.63</v>
      </c>
    </row>
    <row r="87" spans="1:17" customFormat="1">
      <c r="A87" s="80">
        <v>45543.822916666664</v>
      </c>
      <c r="B87" s="112">
        <v>9.35</v>
      </c>
      <c r="C87" s="112">
        <v>4.08</v>
      </c>
      <c r="D87" s="112">
        <v>14.08</v>
      </c>
      <c r="E87" s="112">
        <v>9.3800000000000008</v>
      </c>
      <c r="F87" s="112">
        <v>4.84</v>
      </c>
      <c r="G87" s="112">
        <v>59.51</v>
      </c>
      <c r="H87" s="112">
        <v>22.47</v>
      </c>
      <c r="I87" s="112">
        <v>5.59</v>
      </c>
      <c r="J87" s="112">
        <v>0.22</v>
      </c>
      <c r="K87" s="112">
        <v>56.22</v>
      </c>
      <c r="L87" s="112">
        <v>25.61</v>
      </c>
      <c r="M87" s="112">
        <v>100.5</v>
      </c>
      <c r="N87" s="112">
        <v>2.7</v>
      </c>
      <c r="O87" s="112">
        <v>0</v>
      </c>
      <c r="P87" s="112">
        <v>0.52</v>
      </c>
      <c r="Q87" s="112">
        <v>4.6399999999999997</v>
      </c>
    </row>
    <row r="88" spans="1:17" customFormat="1">
      <c r="A88" s="80">
        <v>45543.833333333336</v>
      </c>
      <c r="B88" s="112">
        <v>9.3800000000000008</v>
      </c>
      <c r="C88" s="112">
        <v>4.05</v>
      </c>
      <c r="D88" s="112">
        <v>14.08</v>
      </c>
      <c r="E88" s="112">
        <v>9.3800000000000008</v>
      </c>
      <c r="F88" s="112">
        <v>7.19</v>
      </c>
      <c r="G88" s="112">
        <v>59.98</v>
      </c>
      <c r="H88" s="112">
        <v>21.83</v>
      </c>
      <c r="I88" s="112">
        <v>6.03</v>
      </c>
      <c r="J88" s="112">
        <v>0.09</v>
      </c>
      <c r="K88" s="112">
        <v>69.849999999999994</v>
      </c>
      <c r="L88" s="112">
        <v>25.62</v>
      </c>
      <c r="M88" s="112">
        <v>100.54</v>
      </c>
      <c r="N88" s="112">
        <v>2.4</v>
      </c>
      <c r="O88" s="112">
        <v>0.2</v>
      </c>
      <c r="P88" s="112">
        <v>0.5</v>
      </c>
      <c r="Q88" s="112">
        <v>4.6500000000000004</v>
      </c>
    </row>
    <row r="89" spans="1:17" customFormat="1">
      <c r="A89" s="80">
        <v>45543.84375</v>
      </c>
      <c r="B89" s="112">
        <v>9.3800000000000008</v>
      </c>
      <c r="C89" s="112">
        <v>4.0599999999999996</v>
      </c>
      <c r="D89" s="112">
        <v>14.09</v>
      </c>
      <c r="E89" s="112">
        <v>9.27</v>
      </c>
      <c r="F89" s="112">
        <v>5.32</v>
      </c>
      <c r="G89" s="112">
        <v>61.27</v>
      </c>
      <c r="H89" s="112">
        <v>19.07</v>
      </c>
      <c r="I89" s="112">
        <v>5.67</v>
      </c>
      <c r="J89" s="112">
        <v>0.33</v>
      </c>
      <c r="K89" s="112">
        <v>274.95999999999998</v>
      </c>
      <c r="L89" s="112">
        <v>25.74</v>
      </c>
      <c r="M89" s="112">
        <v>100.5</v>
      </c>
      <c r="N89" s="112">
        <v>2.4</v>
      </c>
      <c r="O89" s="112">
        <v>0</v>
      </c>
      <c r="P89" s="112">
        <v>0.5</v>
      </c>
      <c r="Q89" s="112">
        <v>4.6399999999999997</v>
      </c>
    </row>
    <row r="90" spans="1:17" customFormat="1">
      <c r="A90" s="80">
        <v>45543.854166666664</v>
      </c>
      <c r="B90" s="112">
        <v>9.3800000000000008</v>
      </c>
      <c r="C90" s="112">
        <v>4.07</v>
      </c>
      <c r="D90" s="112">
        <v>14.1</v>
      </c>
      <c r="E90" s="112">
        <v>9.32</v>
      </c>
      <c r="F90" s="112">
        <v>4.18</v>
      </c>
      <c r="G90" s="112">
        <v>61.27</v>
      </c>
      <c r="H90" s="112">
        <v>19.07</v>
      </c>
      <c r="I90" s="112">
        <v>5.36</v>
      </c>
      <c r="J90" s="112">
        <v>0.33</v>
      </c>
      <c r="K90" s="112">
        <v>268.89999999999998</v>
      </c>
      <c r="L90" s="112">
        <v>25.85</v>
      </c>
      <c r="M90" s="112">
        <v>100.45</v>
      </c>
      <c r="N90" s="112">
        <v>2.2999999999999998</v>
      </c>
      <c r="O90" s="112">
        <v>0.2</v>
      </c>
      <c r="P90" s="112">
        <v>0.51</v>
      </c>
      <c r="Q90" s="112">
        <v>4.6399999999999997</v>
      </c>
    </row>
    <row r="91" spans="1:17" customFormat="1">
      <c r="A91" s="80">
        <v>45543.864583333336</v>
      </c>
      <c r="B91" s="112">
        <v>9.3699999999999992</v>
      </c>
      <c r="C91" s="112">
        <v>4.05</v>
      </c>
      <c r="D91" s="112">
        <v>14.08</v>
      </c>
      <c r="E91" s="112">
        <v>9.66</v>
      </c>
      <c r="F91" s="112">
        <v>3.4</v>
      </c>
      <c r="G91" s="112">
        <v>61.27</v>
      </c>
      <c r="H91" s="112">
        <v>19.07</v>
      </c>
      <c r="I91" s="112">
        <v>5.46</v>
      </c>
      <c r="J91" s="112">
        <v>0.21</v>
      </c>
      <c r="K91" s="112">
        <v>283.57</v>
      </c>
      <c r="L91" s="112">
        <v>25.93</v>
      </c>
      <c r="M91" s="112">
        <v>100.42</v>
      </c>
      <c r="N91" s="112">
        <v>2.4</v>
      </c>
      <c r="O91" s="112">
        <v>0</v>
      </c>
      <c r="P91" s="112">
        <v>0.52</v>
      </c>
      <c r="Q91" s="112">
        <v>4.63</v>
      </c>
    </row>
    <row r="92" spans="1:17" customFormat="1">
      <c r="A92" s="80">
        <v>45543.875</v>
      </c>
      <c r="B92" s="112">
        <v>9.36</v>
      </c>
      <c r="C92" s="112">
        <v>4.07</v>
      </c>
      <c r="D92" s="112">
        <v>14.09</v>
      </c>
      <c r="E92" s="112">
        <v>10.34</v>
      </c>
      <c r="F92" s="112">
        <v>2.2799999999999998</v>
      </c>
      <c r="G92" s="112">
        <v>62.07</v>
      </c>
      <c r="H92" s="112">
        <v>19.489999999999998</v>
      </c>
      <c r="I92" s="112">
        <v>5.66</v>
      </c>
      <c r="J92" s="112">
        <v>0.24</v>
      </c>
      <c r="K92" s="112">
        <v>253.91</v>
      </c>
      <c r="L92" s="112">
        <v>25.99</v>
      </c>
      <c r="M92" s="112">
        <v>100.44</v>
      </c>
      <c r="N92" s="112">
        <v>2.4</v>
      </c>
      <c r="O92" s="112">
        <v>0</v>
      </c>
      <c r="P92" s="112">
        <v>0.54</v>
      </c>
      <c r="Q92" s="112">
        <v>4.62</v>
      </c>
    </row>
    <row r="93" spans="1:17" customFormat="1">
      <c r="A93" s="80">
        <v>45543.885416666664</v>
      </c>
      <c r="B93" s="112">
        <v>9.36</v>
      </c>
      <c r="C93" s="112">
        <v>4.07</v>
      </c>
      <c r="D93" s="112">
        <v>14.08</v>
      </c>
      <c r="E93" s="112">
        <v>10.93</v>
      </c>
      <c r="F93" s="112">
        <v>2.4700000000000002</v>
      </c>
      <c r="G93" s="112">
        <v>64.25</v>
      </c>
      <c r="H93" s="112">
        <v>20.28</v>
      </c>
      <c r="I93" s="112">
        <v>5.71</v>
      </c>
      <c r="J93" s="112">
        <v>0.08</v>
      </c>
      <c r="K93" s="112">
        <v>265.87</v>
      </c>
      <c r="L93" s="112">
        <v>26.04</v>
      </c>
      <c r="M93" s="112">
        <v>100.6</v>
      </c>
      <c r="N93" s="112">
        <v>2.2999999999999998</v>
      </c>
      <c r="O93" s="112">
        <v>0</v>
      </c>
      <c r="P93" s="112">
        <v>0.56000000000000005</v>
      </c>
      <c r="Q93" s="112">
        <v>4.63</v>
      </c>
    </row>
    <row r="94" spans="1:17" customFormat="1">
      <c r="A94" s="80">
        <v>45543.895833333336</v>
      </c>
      <c r="B94" s="112">
        <v>9.34</v>
      </c>
      <c r="C94" s="112">
        <v>4.09</v>
      </c>
      <c r="D94" s="112">
        <v>14.08</v>
      </c>
      <c r="E94" s="112">
        <v>10.83</v>
      </c>
      <c r="F94" s="112">
        <v>2.67</v>
      </c>
      <c r="G94" s="112">
        <v>64.25</v>
      </c>
      <c r="H94" s="112">
        <v>20.28</v>
      </c>
      <c r="I94" s="112">
        <v>5.89</v>
      </c>
      <c r="J94" s="112">
        <v>0.19</v>
      </c>
      <c r="K94" s="112">
        <v>281.26</v>
      </c>
      <c r="L94" s="112">
        <v>26.14</v>
      </c>
      <c r="M94" s="112">
        <v>100.65</v>
      </c>
      <c r="N94" s="112">
        <v>2.5</v>
      </c>
      <c r="O94" s="112">
        <v>0</v>
      </c>
      <c r="P94" s="112">
        <v>0.57999999999999996</v>
      </c>
      <c r="Q94" s="112">
        <v>4.6399999999999997</v>
      </c>
    </row>
    <row r="95" spans="1:17" customFormat="1">
      <c r="A95" s="80">
        <v>45543.90625</v>
      </c>
      <c r="B95" s="112">
        <v>9.34</v>
      </c>
      <c r="C95" s="112">
        <v>4.07</v>
      </c>
      <c r="D95" s="112">
        <v>14.07</v>
      </c>
      <c r="E95" s="112">
        <v>10.72</v>
      </c>
      <c r="F95" s="112">
        <v>1.58</v>
      </c>
      <c r="G95" s="112">
        <v>64.25</v>
      </c>
      <c r="H95" s="112">
        <v>20.28</v>
      </c>
      <c r="I95" s="112">
        <v>6.06</v>
      </c>
      <c r="J95" s="112">
        <v>0.1</v>
      </c>
      <c r="K95" s="112">
        <v>267.39999999999998</v>
      </c>
      <c r="L95" s="112">
        <v>26.24</v>
      </c>
      <c r="M95" s="112">
        <v>100.73</v>
      </c>
      <c r="N95" s="112">
        <v>2.6</v>
      </c>
      <c r="O95" s="112">
        <v>0</v>
      </c>
      <c r="P95" s="112">
        <v>0.57999999999999996</v>
      </c>
      <c r="Q95" s="112">
        <v>4.6399999999999997</v>
      </c>
    </row>
    <row r="96" spans="1:17" customFormat="1">
      <c r="A96" s="80">
        <v>45543.916666666664</v>
      </c>
      <c r="B96" s="112">
        <v>9.34</v>
      </c>
      <c r="C96" s="112">
        <v>4.07</v>
      </c>
      <c r="D96" s="112">
        <v>14.06</v>
      </c>
      <c r="E96" s="112">
        <v>10.25</v>
      </c>
      <c r="F96" s="112">
        <v>2.4300000000000002</v>
      </c>
      <c r="G96" s="112">
        <v>66.59</v>
      </c>
      <c r="H96" s="112">
        <v>21.11</v>
      </c>
      <c r="I96" s="112">
        <v>6.18</v>
      </c>
      <c r="J96" s="112">
        <v>0.12</v>
      </c>
      <c r="K96" s="112">
        <v>274.73</v>
      </c>
      <c r="L96" s="112">
        <v>26.23</v>
      </c>
      <c r="M96" s="112">
        <v>100.92</v>
      </c>
      <c r="N96" s="112">
        <v>2.5</v>
      </c>
      <c r="O96" s="112">
        <v>0</v>
      </c>
      <c r="P96" s="112">
        <v>0.6</v>
      </c>
      <c r="Q96" s="112">
        <v>4.6399999999999997</v>
      </c>
    </row>
    <row r="97" spans="1:22" customFormat="1">
      <c r="A97" s="80">
        <v>45543.927083333336</v>
      </c>
      <c r="B97" s="112">
        <v>9.33</v>
      </c>
      <c r="C97" s="112">
        <v>4.08</v>
      </c>
      <c r="D97" s="112">
        <v>14.06</v>
      </c>
      <c r="E97" s="112">
        <v>10.8</v>
      </c>
      <c r="F97" s="112">
        <v>1.92</v>
      </c>
      <c r="G97" s="112">
        <v>73.02</v>
      </c>
      <c r="H97" s="112">
        <v>22.66</v>
      </c>
      <c r="I97" s="112">
        <v>6.14</v>
      </c>
      <c r="J97" s="112">
        <v>0.22</v>
      </c>
      <c r="K97" s="112">
        <v>294.13</v>
      </c>
      <c r="L97" s="112">
        <v>26.29</v>
      </c>
      <c r="M97" s="112">
        <v>100.98</v>
      </c>
      <c r="N97" s="112">
        <v>2.8</v>
      </c>
      <c r="O97" s="112">
        <v>0</v>
      </c>
      <c r="P97" s="112">
        <v>0.59</v>
      </c>
      <c r="Q97" s="112">
        <v>4.63</v>
      </c>
    </row>
    <row r="98" spans="1:22" customFormat="1">
      <c r="A98" s="80">
        <v>45543.9375</v>
      </c>
      <c r="B98" s="112">
        <v>9.32</v>
      </c>
      <c r="C98" s="112">
        <v>4.0599999999999996</v>
      </c>
      <c r="D98" s="112">
        <v>14.04</v>
      </c>
      <c r="E98" s="112">
        <v>11.22</v>
      </c>
      <c r="F98" s="112">
        <v>2.3199999999999998</v>
      </c>
      <c r="G98" s="112">
        <v>73.02</v>
      </c>
      <c r="H98" s="112">
        <v>22.66</v>
      </c>
      <c r="I98" s="112">
        <v>6.13</v>
      </c>
      <c r="J98" s="112">
        <v>0.2</v>
      </c>
      <c r="K98" s="112">
        <v>282.41000000000003</v>
      </c>
      <c r="L98" s="112">
        <v>26.26</v>
      </c>
      <c r="M98" s="112">
        <v>100.81</v>
      </c>
      <c r="N98" s="112">
        <v>2.9</v>
      </c>
      <c r="O98" s="112">
        <v>0</v>
      </c>
      <c r="P98" s="112">
        <v>0.59</v>
      </c>
      <c r="Q98" s="112">
        <v>4.6399999999999997</v>
      </c>
    </row>
    <row r="99" spans="1:22" customFormat="1">
      <c r="A99" s="80">
        <v>45543.947916666664</v>
      </c>
      <c r="B99" s="112">
        <v>9.3000000000000007</v>
      </c>
      <c r="C99" s="112">
        <v>4.1100000000000003</v>
      </c>
      <c r="D99" s="112">
        <v>14.06</v>
      </c>
      <c r="E99" s="112">
        <v>11.33</v>
      </c>
      <c r="F99" s="112">
        <v>2.98</v>
      </c>
      <c r="G99" s="112">
        <v>73.02</v>
      </c>
      <c r="H99" s="112">
        <v>22.66</v>
      </c>
      <c r="I99" s="112">
        <v>6.11</v>
      </c>
      <c r="J99" s="112">
        <v>0.16</v>
      </c>
      <c r="K99" s="112">
        <v>287.05</v>
      </c>
      <c r="L99" s="112">
        <v>26.31</v>
      </c>
      <c r="M99" s="112">
        <v>100.66</v>
      </c>
      <c r="N99" s="112">
        <v>2.8</v>
      </c>
      <c r="O99" s="112">
        <v>0</v>
      </c>
      <c r="P99" s="112">
        <v>0.57999999999999996</v>
      </c>
      <c r="Q99" s="112">
        <v>4.6399999999999997</v>
      </c>
    </row>
    <row r="100" spans="1:22" customFormat="1">
      <c r="A100" s="80">
        <v>45543.958333333336</v>
      </c>
      <c r="B100" s="112">
        <v>9.31</v>
      </c>
      <c r="C100" s="112">
        <v>4.09</v>
      </c>
      <c r="D100" s="112">
        <v>14.05</v>
      </c>
      <c r="E100" s="112">
        <v>10.6</v>
      </c>
      <c r="F100" s="112">
        <v>3.64</v>
      </c>
      <c r="G100" s="112">
        <v>78.599999999999994</v>
      </c>
      <c r="H100" s="112">
        <v>25.08</v>
      </c>
      <c r="I100" s="112">
        <v>6.03</v>
      </c>
      <c r="J100" s="112">
        <v>0.12</v>
      </c>
      <c r="K100" s="112">
        <v>267.39</v>
      </c>
      <c r="L100" s="112">
        <v>26.32</v>
      </c>
      <c r="M100" s="112">
        <v>100.11</v>
      </c>
      <c r="N100" s="112">
        <v>2.7</v>
      </c>
      <c r="O100" s="112">
        <v>0</v>
      </c>
      <c r="P100" s="112">
        <v>0.56999999999999995</v>
      </c>
      <c r="Q100" s="112">
        <v>4.63</v>
      </c>
    </row>
    <row r="101" spans="1:22" customFormat="1">
      <c r="A101" s="80">
        <v>45543.96875</v>
      </c>
      <c r="B101" s="112">
        <v>9.2899999999999991</v>
      </c>
      <c r="C101" s="112">
        <v>4.12</v>
      </c>
      <c r="D101" s="112">
        <v>14.05</v>
      </c>
      <c r="E101" s="112">
        <v>10.82</v>
      </c>
      <c r="F101" s="112">
        <v>2.66</v>
      </c>
      <c r="G101" s="112">
        <v>93.95</v>
      </c>
      <c r="H101" s="112">
        <v>29.62</v>
      </c>
      <c r="I101" s="112">
        <v>5.88</v>
      </c>
      <c r="J101" s="112">
        <v>0.32</v>
      </c>
      <c r="K101" s="112">
        <v>292.88</v>
      </c>
      <c r="L101" s="112">
        <v>26.36</v>
      </c>
      <c r="M101" s="112">
        <v>99.65</v>
      </c>
      <c r="N101" s="112">
        <v>2.8</v>
      </c>
      <c r="O101" s="112">
        <v>0</v>
      </c>
      <c r="P101" s="112">
        <v>0.56000000000000005</v>
      </c>
      <c r="Q101" s="112">
        <v>4.63</v>
      </c>
    </row>
    <row r="102" spans="1:22" customFormat="1">
      <c r="A102" s="80">
        <v>45543.979166666664</v>
      </c>
      <c r="B102" s="112">
        <v>9.3000000000000007</v>
      </c>
      <c r="C102" s="112">
        <v>4.1100000000000003</v>
      </c>
      <c r="D102" s="112">
        <v>14.06</v>
      </c>
      <c r="E102" s="112">
        <v>11.47</v>
      </c>
      <c r="F102" s="112">
        <v>2.96</v>
      </c>
      <c r="G102" s="112">
        <v>93.95</v>
      </c>
      <c r="H102" s="112">
        <v>29.62</v>
      </c>
      <c r="I102" s="112">
        <v>5.76</v>
      </c>
      <c r="J102" s="112">
        <v>0.25</v>
      </c>
      <c r="K102" s="112">
        <v>297.2</v>
      </c>
      <c r="L102" s="112">
        <v>26.49</v>
      </c>
      <c r="M102" s="112">
        <v>98.34</v>
      </c>
      <c r="N102" s="112">
        <v>2.7</v>
      </c>
      <c r="O102" s="112">
        <v>0</v>
      </c>
      <c r="P102" s="112">
        <v>0.56000000000000005</v>
      </c>
      <c r="Q102" s="112">
        <v>4.63</v>
      </c>
    </row>
    <row r="103" spans="1:22" customFormat="1">
      <c r="A103" s="80">
        <v>45543.989583333336</v>
      </c>
      <c r="B103" s="112">
        <v>9.3000000000000007</v>
      </c>
      <c r="C103" s="112">
        <v>4.09</v>
      </c>
      <c r="D103" s="112">
        <v>14.05</v>
      </c>
      <c r="E103" s="112">
        <v>11.29</v>
      </c>
      <c r="F103" s="112">
        <v>2.11</v>
      </c>
      <c r="G103" s="112">
        <v>93.95</v>
      </c>
      <c r="H103" s="112">
        <v>29.62</v>
      </c>
      <c r="I103" s="112">
        <v>5.76</v>
      </c>
      <c r="J103" s="112">
        <v>0.13</v>
      </c>
      <c r="K103" s="112">
        <v>329.83</v>
      </c>
      <c r="L103" s="112">
        <v>26.54</v>
      </c>
      <c r="M103" s="112">
        <v>98.23</v>
      </c>
      <c r="N103" s="112">
        <v>2.7</v>
      </c>
      <c r="O103" s="112">
        <v>0</v>
      </c>
      <c r="P103" s="112">
        <v>0.56000000000000005</v>
      </c>
      <c r="Q103" s="112">
        <v>4.63</v>
      </c>
    </row>
    <row r="104" spans="1:22" customFormat="1">
      <c r="A104" s="80">
        <v>45544</v>
      </c>
      <c r="B104" s="112">
        <v>9.3000000000000007</v>
      </c>
      <c r="C104" s="112">
        <v>4.09</v>
      </c>
      <c r="D104" s="112">
        <v>14.05</v>
      </c>
      <c r="E104" s="112">
        <v>11.28</v>
      </c>
      <c r="F104" s="112">
        <v>1.94</v>
      </c>
      <c r="G104" s="112">
        <v>93.37</v>
      </c>
      <c r="H104" s="112">
        <v>28.31</v>
      </c>
      <c r="I104" s="112">
        <v>5.72</v>
      </c>
      <c r="J104" s="112">
        <v>0.11</v>
      </c>
      <c r="K104" s="112">
        <v>73.69</v>
      </c>
      <c r="L104" s="112">
        <v>26.61</v>
      </c>
      <c r="M104" s="112">
        <v>98.15</v>
      </c>
      <c r="N104" s="112">
        <v>2.7</v>
      </c>
      <c r="O104" s="112">
        <v>0</v>
      </c>
      <c r="P104" s="112">
        <v>0.56000000000000005</v>
      </c>
      <c r="Q104" s="112">
        <v>4.63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9.23</v>
      </c>
      <c r="C106" s="183">
        <f>MIN(C9:C104)</f>
        <v>4.01</v>
      </c>
      <c r="D106" s="183">
        <f t="shared" ref="D106:Q106" si="0">MIN(D9:D104)</f>
        <v>14</v>
      </c>
      <c r="E106" s="183">
        <f t="shared" si="0"/>
        <v>5.59</v>
      </c>
      <c r="F106" s="183">
        <f t="shared" si="0"/>
        <v>1.58</v>
      </c>
      <c r="G106" s="183">
        <f t="shared" si="0"/>
        <v>43.09</v>
      </c>
      <c r="H106" s="183">
        <f t="shared" si="0"/>
        <v>19.07</v>
      </c>
      <c r="I106" s="183">
        <f t="shared" si="0"/>
        <v>4.54</v>
      </c>
      <c r="J106" s="183">
        <f t="shared" si="0"/>
        <v>0.02</v>
      </c>
      <c r="K106" s="183">
        <f t="shared" si="0"/>
        <v>0.25</v>
      </c>
      <c r="L106" s="183">
        <f t="shared" si="0"/>
        <v>24.54</v>
      </c>
      <c r="M106" s="183">
        <f t="shared" si="0"/>
        <v>65.08</v>
      </c>
      <c r="N106" s="183">
        <f t="shared" si="0"/>
        <v>2</v>
      </c>
      <c r="O106" s="183">
        <f t="shared" si="0"/>
        <v>0</v>
      </c>
      <c r="P106" s="183">
        <f t="shared" si="0"/>
        <v>0.44</v>
      </c>
      <c r="Q106" s="183">
        <f t="shared" si="0"/>
        <v>4.6100000000000003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9.3800000000000008</v>
      </c>
      <c r="C107" s="184">
        <f t="shared" ref="C107:Q107" si="1">MAX(C9:C104)</f>
        <v>4.13</v>
      </c>
      <c r="D107" s="184">
        <f t="shared" si="1"/>
        <v>14.1</v>
      </c>
      <c r="E107" s="184">
        <f t="shared" si="1"/>
        <v>25.66</v>
      </c>
      <c r="F107" s="184">
        <f t="shared" si="1"/>
        <v>19.53</v>
      </c>
      <c r="G107" s="184">
        <f t="shared" si="1"/>
        <v>131.06</v>
      </c>
      <c r="H107" s="184">
        <f t="shared" si="1"/>
        <v>51.97</v>
      </c>
      <c r="I107" s="184">
        <f t="shared" si="1"/>
        <v>7.78</v>
      </c>
      <c r="J107" s="184">
        <f t="shared" si="1"/>
        <v>1.63</v>
      </c>
      <c r="K107" s="184">
        <f t="shared" si="1"/>
        <v>357.85</v>
      </c>
      <c r="L107" s="184">
        <f t="shared" si="1"/>
        <v>33.21</v>
      </c>
      <c r="M107" s="184">
        <f t="shared" si="1"/>
        <v>100.98</v>
      </c>
      <c r="N107" s="184">
        <f t="shared" si="1"/>
        <v>632</v>
      </c>
      <c r="O107" s="184">
        <f t="shared" si="1"/>
        <v>18.8</v>
      </c>
      <c r="P107" s="184">
        <f t="shared" si="1"/>
        <v>0.75</v>
      </c>
      <c r="Q107" s="184">
        <f t="shared" si="1"/>
        <v>4.6500000000000004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9.2949999999999964</v>
      </c>
      <c r="C108" s="183">
        <f t="shared" ref="C108:Q108" si="2">AVERAGE(C9:C104)</f>
        <v>4.0742708333333324</v>
      </c>
      <c r="D108" s="183">
        <f t="shared" si="2"/>
        <v>14.032708333333312</v>
      </c>
      <c r="E108" s="183">
        <f t="shared" si="2"/>
        <v>12.582916666666664</v>
      </c>
      <c r="F108" s="183">
        <f t="shared" si="2"/>
        <v>6.3121875000000029</v>
      </c>
      <c r="G108" s="183">
        <f t="shared" si="2"/>
        <v>82.810104166666676</v>
      </c>
      <c r="H108" s="183">
        <f t="shared" si="2"/>
        <v>32.028333333333329</v>
      </c>
      <c r="I108" s="183">
        <f t="shared" si="2"/>
        <v>5.9064583333333323</v>
      </c>
      <c r="J108" s="183">
        <f t="shared" si="2"/>
        <v>0.32583333333333336</v>
      </c>
      <c r="K108" s="183">
        <f t="shared" si="2"/>
        <v>166.39822916666665</v>
      </c>
      <c r="L108" s="183">
        <f t="shared" si="2"/>
        <v>28.262708333333325</v>
      </c>
      <c r="M108" s="183">
        <f t="shared" si="2"/>
        <v>90.061145833333285</v>
      </c>
      <c r="N108" s="183">
        <f t="shared" si="2"/>
        <v>98.838541666666686</v>
      </c>
      <c r="O108" s="183">
        <f t="shared" si="2"/>
        <v>0.32708333333333328</v>
      </c>
      <c r="P108" s="183">
        <f t="shared" si="2"/>
        <v>0.5541666666666667</v>
      </c>
      <c r="Q108" s="183">
        <f t="shared" si="2"/>
        <v>4.6308333333333307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3.6935220675065633E-2</v>
      </c>
      <c r="C109" s="183">
        <f t="shared" ref="C109:Q109" si="3">STDEV(C9:C104)</f>
        <v>2.1751940828913741E-2</v>
      </c>
      <c r="D109" s="183">
        <f t="shared" si="3"/>
        <v>2.8002976032319729E-2</v>
      </c>
      <c r="E109" s="183">
        <f t="shared" si="3"/>
        <v>4.6943840841823565</v>
      </c>
      <c r="F109" s="183">
        <f t="shared" si="3"/>
        <v>4.0293834458819315</v>
      </c>
      <c r="G109" s="183">
        <f t="shared" si="3"/>
        <v>25.772273534690846</v>
      </c>
      <c r="H109" s="183">
        <f t="shared" si="3"/>
        <v>10.25754938073638</v>
      </c>
      <c r="I109" s="183">
        <f t="shared" si="3"/>
        <v>0.78808759754454905</v>
      </c>
      <c r="J109" s="183">
        <f t="shared" si="3"/>
        <v>0.26732856451099396</v>
      </c>
      <c r="K109" s="183">
        <f t="shared" si="3"/>
        <v>117.83118793645149</v>
      </c>
      <c r="L109" s="183">
        <f t="shared" si="3"/>
        <v>2.6279511647977269</v>
      </c>
      <c r="M109" s="183">
        <f t="shared" si="3"/>
        <v>13.396408935138775</v>
      </c>
      <c r="N109" s="183">
        <f t="shared" si="3"/>
        <v>153.56762156665815</v>
      </c>
      <c r="O109" s="183">
        <f t="shared" si="3"/>
        <v>2.2429529017119925</v>
      </c>
      <c r="P109" s="183">
        <f t="shared" si="3"/>
        <v>8.7016836443077547E-2</v>
      </c>
      <c r="Q109" s="183">
        <f t="shared" si="3"/>
        <v>9.6971690569617654E-3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11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45544.010416666664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45544.010416666664</v>
      </c>
      <c r="B9" s="112">
        <v>9.26</v>
      </c>
      <c r="C9" s="112">
        <v>4.08</v>
      </c>
      <c r="D9" s="112">
        <v>14.01</v>
      </c>
      <c r="E9" s="112">
        <v>11.23</v>
      </c>
      <c r="F9" s="112">
        <v>1.66</v>
      </c>
      <c r="G9" s="112">
        <v>91.77</v>
      </c>
      <c r="H9" s="112">
        <v>25.84</v>
      </c>
      <c r="I9" s="112">
        <v>5.69</v>
      </c>
      <c r="J9" s="112">
        <v>0.17</v>
      </c>
      <c r="K9" s="112">
        <v>61.09</v>
      </c>
      <c r="L9" s="112">
        <v>26.64</v>
      </c>
      <c r="M9" s="112">
        <v>98.05</v>
      </c>
      <c r="N9" s="112">
        <v>2.7</v>
      </c>
      <c r="O9" s="112">
        <v>0</v>
      </c>
      <c r="P9" s="112">
        <v>0.56000000000000005</v>
      </c>
      <c r="Q9" s="112">
        <v>4.6500000000000004</v>
      </c>
    </row>
    <row r="10" spans="1:21" customFormat="1">
      <c r="A10" s="80">
        <v>45544.020833333336</v>
      </c>
      <c r="B10" s="112">
        <v>9.24</v>
      </c>
      <c r="C10" s="112">
        <v>4.0999999999999996</v>
      </c>
      <c r="D10" s="112">
        <v>14</v>
      </c>
      <c r="E10" s="112">
        <v>11.5</v>
      </c>
      <c r="F10" s="112">
        <v>2.1800000000000002</v>
      </c>
      <c r="G10" s="112">
        <v>91.77</v>
      </c>
      <c r="H10" s="112">
        <v>25.84</v>
      </c>
      <c r="I10" s="112">
        <v>5.66</v>
      </c>
      <c r="J10" s="112">
        <v>0.28999999999999998</v>
      </c>
      <c r="K10" s="112">
        <v>60.21</v>
      </c>
      <c r="L10" s="112">
        <v>26.68</v>
      </c>
      <c r="M10" s="112">
        <v>97.43</v>
      </c>
      <c r="N10" s="112">
        <v>2.8</v>
      </c>
      <c r="O10" s="112">
        <v>0</v>
      </c>
      <c r="P10" s="112">
        <v>0.56000000000000005</v>
      </c>
      <c r="Q10" s="112">
        <v>4.6500000000000004</v>
      </c>
    </row>
    <row r="11" spans="1:21" customFormat="1">
      <c r="A11" s="80">
        <v>45544.03125</v>
      </c>
      <c r="B11" s="112">
        <v>9.23</v>
      </c>
      <c r="C11" s="112">
        <v>4.1100000000000003</v>
      </c>
      <c r="D11" s="112">
        <v>14</v>
      </c>
      <c r="E11" s="112">
        <v>11.02</v>
      </c>
      <c r="F11" s="112">
        <v>2.35</v>
      </c>
      <c r="G11" s="112">
        <v>91.77</v>
      </c>
      <c r="H11" s="112">
        <v>25.84</v>
      </c>
      <c r="I11" s="112">
        <v>5.59</v>
      </c>
      <c r="J11" s="112">
        <v>0.25</v>
      </c>
      <c r="K11" s="112">
        <v>64.92</v>
      </c>
      <c r="L11" s="112">
        <v>26.65</v>
      </c>
      <c r="M11" s="112">
        <v>98.71</v>
      </c>
      <c r="N11" s="112">
        <v>2.8</v>
      </c>
      <c r="O11" s="112">
        <v>0</v>
      </c>
      <c r="P11" s="112">
        <v>0.54</v>
      </c>
      <c r="Q11" s="112">
        <v>4.6500000000000004</v>
      </c>
    </row>
    <row r="12" spans="1:21" customFormat="1">
      <c r="A12" s="80">
        <v>45544.041666666664</v>
      </c>
      <c r="B12" s="112">
        <v>9.23</v>
      </c>
      <c r="C12" s="112">
        <v>4.1100000000000003</v>
      </c>
      <c r="D12" s="112">
        <v>14</v>
      </c>
      <c r="E12" s="112">
        <v>11.47</v>
      </c>
      <c r="F12" s="112">
        <v>2.78</v>
      </c>
      <c r="G12" s="112">
        <v>90.39</v>
      </c>
      <c r="H12" s="112">
        <v>28.27</v>
      </c>
      <c r="I12" s="112">
        <v>5.6</v>
      </c>
      <c r="J12" s="112">
        <v>0.39</v>
      </c>
      <c r="K12" s="112">
        <v>56.21</v>
      </c>
      <c r="L12" s="112">
        <v>26.6</v>
      </c>
      <c r="M12" s="112">
        <v>98.7</v>
      </c>
      <c r="N12" s="112">
        <v>2.7</v>
      </c>
      <c r="O12" s="112">
        <v>0</v>
      </c>
      <c r="P12" s="112">
        <v>0.55000000000000004</v>
      </c>
      <c r="Q12" s="112">
        <v>4.6500000000000004</v>
      </c>
    </row>
    <row r="13" spans="1:21" customFormat="1">
      <c r="A13" s="80">
        <v>45544.052083333336</v>
      </c>
      <c r="B13" s="112">
        <v>9.2100000000000009</v>
      </c>
      <c r="C13" s="112">
        <v>4.1399999999999997</v>
      </c>
      <c r="D13" s="112">
        <v>14</v>
      </c>
      <c r="E13" s="112">
        <v>12.16</v>
      </c>
      <c r="F13" s="112">
        <v>4.26</v>
      </c>
      <c r="G13" s="112">
        <v>86.6</v>
      </c>
      <c r="H13" s="112">
        <v>32.82</v>
      </c>
      <c r="I13" s="112">
        <v>5.56</v>
      </c>
      <c r="J13" s="112">
        <v>0.54</v>
      </c>
      <c r="K13" s="112">
        <v>41</v>
      </c>
      <c r="L13" s="112">
        <v>26.61</v>
      </c>
      <c r="M13" s="112">
        <v>98.19</v>
      </c>
      <c r="N13" s="112">
        <v>2.8</v>
      </c>
      <c r="O13" s="112">
        <v>0</v>
      </c>
      <c r="P13" s="112">
        <v>0.55000000000000004</v>
      </c>
      <c r="Q13" s="112">
        <v>4.6399999999999997</v>
      </c>
    </row>
    <row r="14" spans="1:21" customFormat="1">
      <c r="A14" s="80">
        <v>45544.0625</v>
      </c>
      <c r="B14" s="112">
        <v>9.2100000000000009</v>
      </c>
      <c r="C14" s="112">
        <v>4.1399999999999997</v>
      </c>
      <c r="D14" s="112">
        <v>14</v>
      </c>
      <c r="E14" s="112">
        <v>14.37</v>
      </c>
      <c r="F14" s="112">
        <v>3.92</v>
      </c>
      <c r="G14" s="112">
        <v>86.6</v>
      </c>
      <c r="H14" s="112">
        <v>32.82</v>
      </c>
      <c r="I14" s="112">
        <v>5.54</v>
      </c>
      <c r="J14" s="112">
        <v>0.59</v>
      </c>
      <c r="K14" s="112">
        <v>61.49</v>
      </c>
      <c r="L14" s="112">
        <v>26.59</v>
      </c>
      <c r="M14" s="112">
        <v>96.48</v>
      </c>
      <c r="N14" s="112">
        <v>2.9</v>
      </c>
      <c r="O14" s="112">
        <v>0</v>
      </c>
      <c r="P14" s="112">
        <v>0.54</v>
      </c>
      <c r="Q14" s="112">
        <v>4.6399999999999997</v>
      </c>
    </row>
    <row r="15" spans="1:21" customFormat="1">
      <c r="A15" s="80">
        <v>45544.072916666664</v>
      </c>
      <c r="B15" s="112">
        <v>9.23</v>
      </c>
      <c r="C15" s="112">
        <v>4.1100000000000003</v>
      </c>
      <c r="D15" s="112">
        <v>14</v>
      </c>
      <c r="E15" s="112">
        <v>14.45</v>
      </c>
      <c r="F15" s="112">
        <v>3.67</v>
      </c>
      <c r="G15" s="112">
        <v>86.6</v>
      </c>
      <c r="H15" s="112">
        <v>32.82</v>
      </c>
      <c r="I15" s="112">
        <v>5.59</v>
      </c>
      <c r="J15" s="112">
        <v>0.35</v>
      </c>
      <c r="K15" s="112">
        <v>51.23</v>
      </c>
      <c r="L15" s="112">
        <v>26.48</v>
      </c>
      <c r="M15" s="112">
        <v>97.57</v>
      </c>
      <c r="N15" s="112">
        <v>2.8</v>
      </c>
      <c r="O15" s="112">
        <v>0</v>
      </c>
      <c r="P15" s="112">
        <v>0.52</v>
      </c>
      <c r="Q15" s="112">
        <v>4.63</v>
      </c>
    </row>
    <row r="16" spans="1:21" customFormat="1">
      <c r="A16" s="80">
        <v>45544.083333333336</v>
      </c>
      <c r="B16" s="112">
        <v>9.24</v>
      </c>
      <c r="C16" s="112">
        <v>4.09</v>
      </c>
      <c r="D16" s="112">
        <v>14</v>
      </c>
      <c r="E16" s="112">
        <v>14.39</v>
      </c>
      <c r="F16" s="112">
        <v>5.01</v>
      </c>
      <c r="G16" s="112">
        <v>87.68</v>
      </c>
      <c r="H16" s="112">
        <v>32.39</v>
      </c>
      <c r="I16" s="112">
        <v>5.59</v>
      </c>
      <c r="J16" s="112">
        <v>0.32</v>
      </c>
      <c r="K16" s="112">
        <v>49.99</v>
      </c>
      <c r="L16" s="112">
        <v>26.38</v>
      </c>
      <c r="M16" s="112">
        <v>97.73</v>
      </c>
      <c r="N16" s="112">
        <v>2.6</v>
      </c>
      <c r="O16" s="112">
        <v>0</v>
      </c>
      <c r="P16" s="112">
        <v>0.56000000000000005</v>
      </c>
      <c r="Q16" s="112">
        <v>4.63</v>
      </c>
    </row>
    <row r="17" spans="1:17" customFormat="1">
      <c r="A17" s="80">
        <v>45544.09375</v>
      </c>
      <c r="B17" s="112">
        <v>9.25</v>
      </c>
      <c r="C17" s="112">
        <v>4.09</v>
      </c>
      <c r="D17" s="112">
        <v>14</v>
      </c>
      <c r="E17" s="112">
        <v>12.22</v>
      </c>
      <c r="F17" s="112">
        <v>4.37</v>
      </c>
      <c r="G17" s="112">
        <v>90.64</v>
      </c>
      <c r="H17" s="112">
        <v>30.49</v>
      </c>
      <c r="I17" s="112">
        <v>5.37</v>
      </c>
      <c r="J17" s="112">
        <v>0.4</v>
      </c>
      <c r="K17" s="112">
        <v>51.38</v>
      </c>
      <c r="L17" s="112">
        <v>26.37</v>
      </c>
      <c r="M17" s="112">
        <v>96.78</v>
      </c>
      <c r="N17" s="112">
        <v>2.4</v>
      </c>
      <c r="O17" s="112">
        <v>0</v>
      </c>
      <c r="P17" s="112">
        <v>0.62</v>
      </c>
      <c r="Q17" s="112">
        <v>4.63</v>
      </c>
    </row>
    <row r="18" spans="1:17" customFormat="1">
      <c r="A18" s="80">
        <v>45544.104166666664</v>
      </c>
      <c r="B18" s="112">
        <v>9.26</v>
      </c>
      <c r="C18" s="112">
        <v>4.08</v>
      </c>
      <c r="D18" s="112">
        <v>14</v>
      </c>
      <c r="E18" s="112">
        <v>15.74</v>
      </c>
      <c r="F18" s="112">
        <v>3.77</v>
      </c>
      <c r="G18" s="112">
        <v>90.64</v>
      </c>
      <c r="H18" s="112">
        <v>30.49</v>
      </c>
      <c r="I18" s="112">
        <v>5.31</v>
      </c>
      <c r="J18" s="112">
        <v>0.26</v>
      </c>
      <c r="K18" s="112">
        <v>37.090000000000003</v>
      </c>
      <c r="L18" s="112">
        <v>26.39</v>
      </c>
      <c r="M18" s="112">
        <v>97.28</v>
      </c>
      <c r="N18" s="112">
        <v>2.4</v>
      </c>
      <c r="O18" s="112">
        <v>0</v>
      </c>
      <c r="P18" s="112">
        <v>0.66</v>
      </c>
      <c r="Q18" s="112">
        <v>4.66</v>
      </c>
    </row>
    <row r="19" spans="1:17" customFormat="1">
      <c r="A19" s="80">
        <v>45544.114583333336</v>
      </c>
      <c r="B19" s="112">
        <v>9.26</v>
      </c>
      <c r="C19" s="112">
        <v>4.08</v>
      </c>
      <c r="D19" s="112">
        <v>14.01</v>
      </c>
      <c r="E19" s="112">
        <v>15.4</v>
      </c>
      <c r="F19" s="112">
        <v>2.72</v>
      </c>
      <c r="G19" s="112">
        <v>90.64</v>
      </c>
      <c r="H19" s="112">
        <v>30.49</v>
      </c>
      <c r="I19" s="112">
        <v>5.49</v>
      </c>
      <c r="J19" s="112">
        <v>0.18</v>
      </c>
      <c r="K19" s="112">
        <v>60.35</v>
      </c>
      <c r="L19" s="112">
        <v>26.44</v>
      </c>
      <c r="M19" s="112">
        <v>97.44</v>
      </c>
      <c r="N19" s="112">
        <v>2.2999999999999998</v>
      </c>
      <c r="O19" s="112">
        <v>0</v>
      </c>
      <c r="P19" s="112">
        <v>0.64</v>
      </c>
      <c r="Q19" s="112">
        <v>4.66</v>
      </c>
    </row>
    <row r="20" spans="1:17" customFormat="1">
      <c r="A20" s="80">
        <v>45544.125</v>
      </c>
      <c r="B20" s="112">
        <v>9.26</v>
      </c>
      <c r="C20" s="112">
        <v>4.0599999999999996</v>
      </c>
      <c r="D20" s="112">
        <v>14</v>
      </c>
      <c r="E20" s="112">
        <v>15.36</v>
      </c>
      <c r="F20" s="112">
        <v>4.3899999999999997</v>
      </c>
      <c r="G20" s="112">
        <v>94.66</v>
      </c>
      <c r="H20" s="112">
        <v>30.74</v>
      </c>
      <c r="I20" s="112">
        <v>5.76</v>
      </c>
      <c r="J20" s="112">
        <v>0.51</v>
      </c>
      <c r="K20" s="112">
        <v>56.59</v>
      </c>
      <c r="L20" s="112">
        <v>26.49</v>
      </c>
      <c r="M20" s="112">
        <v>96.92</v>
      </c>
      <c r="N20" s="112">
        <v>2.2000000000000002</v>
      </c>
      <c r="O20" s="112">
        <v>0</v>
      </c>
      <c r="P20" s="112">
        <v>0.6</v>
      </c>
      <c r="Q20" s="112">
        <v>4.6399999999999997</v>
      </c>
    </row>
    <row r="21" spans="1:17" customFormat="1">
      <c r="A21" s="80">
        <v>45544.135416666664</v>
      </c>
      <c r="B21" s="112">
        <v>9.26</v>
      </c>
      <c r="C21" s="112">
        <v>4.08</v>
      </c>
      <c r="D21" s="112">
        <v>14.01</v>
      </c>
      <c r="E21" s="112">
        <v>14.59</v>
      </c>
      <c r="F21" s="112">
        <v>5.85</v>
      </c>
      <c r="G21" s="112">
        <v>106.35</v>
      </c>
      <c r="H21" s="112">
        <v>31.23</v>
      </c>
      <c r="I21" s="112">
        <v>5.57</v>
      </c>
      <c r="J21" s="112">
        <v>0.4</v>
      </c>
      <c r="K21" s="112">
        <v>58.52</v>
      </c>
      <c r="L21" s="112">
        <v>26.57</v>
      </c>
      <c r="M21" s="112">
        <v>96.65</v>
      </c>
      <c r="N21" s="112">
        <v>2.4</v>
      </c>
      <c r="O21" s="112">
        <v>0</v>
      </c>
      <c r="P21" s="112">
        <v>0.51</v>
      </c>
      <c r="Q21" s="112">
        <v>4.6399999999999997</v>
      </c>
    </row>
    <row r="22" spans="1:17" customFormat="1">
      <c r="A22" s="80">
        <v>45544.145833333336</v>
      </c>
      <c r="B22" s="112">
        <v>9.26</v>
      </c>
      <c r="C22" s="112">
        <v>4.07</v>
      </c>
      <c r="D22" s="112">
        <v>14</v>
      </c>
      <c r="E22" s="112">
        <v>10.92</v>
      </c>
      <c r="F22" s="112">
        <v>6.84</v>
      </c>
      <c r="G22" s="112">
        <v>106.35</v>
      </c>
      <c r="H22" s="112">
        <v>31.23</v>
      </c>
      <c r="I22" s="112">
        <v>5.22</v>
      </c>
      <c r="J22" s="112">
        <v>0.36</v>
      </c>
      <c r="K22" s="112">
        <v>59.16</v>
      </c>
      <c r="L22" s="112">
        <v>26.48</v>
      </c>
      <c r="M22" s="112">
        <v>98.01</v>
      </c>
      <c r="N22" s="112">
        <v>2.4</v>
      </c>
      <c r="O22" s="112">
        <v>0.2</v>
      </c>
      <c r="P22" s="112">
        <v>0.46</v>
      </c>
      <c r="Q22" s="112">
        <v>4.6399999999999997</v>
      </c>
    </row>
    <row r="23" spans="1:17" customFormat="1">
      <c r="A23" s="80">
        <v>45544.15625</v>
      </c>
      <c r="B23" s="112">
        <v>9.25</v>
      </c>
      <c r="C23" s="112">
        <v>4.09</v>
      </c>
      <c r="D23" s="112">
        <v>14</v>
      </c>
      <c r="E23" s="112">
        <v>9.43</v>
      </c>
      <c r="F23" s="112">
        <v>5.91</v>
      </c>
      <c r="G23" s="112">
        <v>106.35</v>
      </c>
      <c r="H23" s="112">
        <v>31.23</v>
      </c>
      <c r="I23" s="112">
        <v>4.87</v>
      </c>
      <c r="J23" s="112">
        <v>0.18</v>
      </c>
      <c r="K23" s="112">
        <v>50.85</v>
      </c>
      <c r="L23" s="112">
        <v>26.48</v>
      </c>
      <c r="M23" s="112">
        <v>98.75</v>
      </c>
      <c r="N23" s="112">
        <v>2.2999999999999998</v>
      </c>
      <c r="O23" s="112">
        <v>0</v>
      </c>
      <c r="P23" s="112">
        <v>0.44</v>
      </c>
      <c r="Q23" s="112">
        <v>4.6500000000000004</v>
      </c>
    </row>
    <row r="24" spans="1:17" customFormat="1">
      <c r="A24" s="80">
        <v>45544.166666666664</v>
      </c>
      <c r="B24" s="112">
        <v>9.27</v>
      </c>
      <c r="C24" s="112">
        <v>4.07</v>
      </c>
      <c r="D24" s="112">
        <v>14</v>
      </c>
      <c r="E24" s="112">
        <v>9.18</v>
      </c>
      <c r="F24" s="112">
        <v>6.23</v>
      </c>
      <c r="G24" s="112">
        <v>97.12</v>
      </c>
      <c r="H24" s="112">
        <v>30.11</v>
      </c>
      <c r="I24" s="112">
        <v>4.5599999999999996</v>
      </c>
      <c r="J24" s="112">
        <v>0.19</v>
      </c>
      <c r="K24" s="112">
        <v>60.04</v>
      </c>
      <c r="L24" s="112">
        <v>26.45</v>
      </c>
      <c r="M24" s="112">
        <v>99.12</v>
      </c>
      <c r="N24" s="112">
        <v>2.4</v>
      </c>
      <c r="O24" s="112">
        <v>0</v>
      </c>
      <c r="P24" s="112">
        <v>0.43</v>
      </c>
      <c r="Q24" s="112">
        <v>4.6399999999999997</v>
      </c>
    </row>
    <row r="25" spans="1:17" customFormat="1">
      <c r="A25" s="80">
        <v>45544.177083333336</v>
      </c>
      <c r="B25" s="112">
        <v>9.27</v>
      </c>
      <c r="C25" s="112">
        <v>4.08</v>
      </c>
      <c r="D25" s="112">
        <v>14.01</v>
      </c>
      <c r="E25" s="112">
        <v>9.3000000000000007</v>
      </c>
      <c r="F25" s="112">
        <v>6.5</v>
      </c>
      <c r="G25" s="112">
        <v>71.73</v>
      </c>
      <c r="H25" s="112">
        <v>27.96</v>
      </c>
      <c r="I25" s="112">
        <v>4.4000000000000004</v>
      </c>
      <c r="J25" s="112">
        <v>0.24</v>
      </c>
      <c r="K25" s="112">
        <v>45.36</v>
      </c>
      <c r="L25" s="112">
        <v>26.43</v>
      </c>
      <c r="M25" s="112">
        <v>99.26</v>
      </c>
      <c r="N25" s="112">
        <v>2.2999999999999998</v>
      </c>
      <c r="O25" s="112">
        <v>0</v>
      </c>
      <c r="P25" s="112">
        <v>0.41</v>
      </c>
      <c r="Q25" s="112">
        <v>4.6399999999999997</v>
      </c>
    </row>
    <row r="26" spans="1:17" customFormat="1">
      <c r="A26" s="80">
        <v>45544.1875</v>
      </c>
      <c r="B26" s="112">
        <v>9.26</v>
      </c>
      <c r="C26" s="112">
        <v>4.09</v>
      </c>
      <c r="D26" s="112">
        <v>14.01</v>
      </c>
      <c r="E26" s="112">
        <v>9.14</v>
      </c>
      <c r="F26" s="112">
        <v>5.86</v>
      </c>
      <c r="G26" s="112">
        <v>71.73</v>
      </c>
      <c r="H26" s="112">
        <v>27.96</v>
      </c>
      <c r="I26" s="112">
        <v>4.45</v>
      </c>
      <c r="J26" s="112">
        <v>0.28000000000000003</v>
      </c>
      <c r="K26" s="112">
        <v>42.58</v>
      </c>
      <c r="L26" s="112">
        <v>26.43</v>
      </c>
      <c r="M26" s="112">
        <v>99.13</v>
      </c>
      <c r="N26" s="112">
        <v>2.2000000000000002</v>
      </c>
      <c r="O26" s="112">
        <v>0</v>
      </c>
      <c r="P26" s="112">
        <v>0.41</v>
      </c>
      <c r="Q26" s="112">
        <v>4.6399999999999997</v>
      </c>
    </row>
    <row r="27" spans="1:17" customFormat="1">
      <c r="A27" s="80">
        <v>45544.197916666664</v>
      </c>
      <c r="B27" s="112">
        <v>9.24</v>
      </c>
      <c r="C27" s="112">
        <v>4.1100000000000003</v>
      </c>
      <c r="D27" s="112">
        <v>14.01</v>
      </c>
      <c r="E27" s="112">
        <v>9.5299999999999994</v>
      </c>
      <c r="F27" s="112">
        <v>6.69</v>
      </c>
      <c r="G27" s="112">
        <v>71.73</v>
      </c>
      <c r="H27" s="112">
        <v>27.96</v>
      </c>
      <c r="I27" s="112">
        <v>4.33</v>
      </c>
      <c r="J27" s="112">
        <v>0.62</v>
      </c>
      <c r="K27" s="112">
        <v>56.35</v>
      </c>
      <c r="L27" s="112">
        <v>26.5</v>
      </c>
      <c r="M27" s="112">
        <v>98.46</v>
      </c>
      <c r="N27" s="112">
        <v>2.1</v>
      </c>
      <c r="O27" s="112">
        <v>0</v>
      </c>
      <c r="P27" s="112">
        <v>0.42</v>
      </c>
      <c r="Q27" s="112">
        <v>4.63</v>
      </c>
    </row>
    <row r="28" spans="1:17" customFormat="1">
      <c r="A28" s="80">
        <v>45544.208333333336</v>
      </c>
      <c r="B28" s="112">
        <v>9.23</v>
      </c>
      <c r="C28" s="112">
        <v>4.1100000000000003</v>
      </c>
      <c r="D28" s="112">
        <v>14</v>
      </c>
      <c r="E28" s="112">
        <v>9.7100000000000009</v>
      </c>
      <c r="F28" s="112">
        <v>8.26</v>
      </c>
      <c r="G28" s="112">
        <v>73.67</v>
      </c>
      <c r="H28" s="112">
        <v>27.08</v>
      </c>
      <c r="I28" s="112">
        <v>4.51</v>
      </c>
      <c r="J28" s="112">
        <v>0.56999999999999995</v>
      </c>
      <c r="K28" s="112">
        <v>51.81</v>
      </c>
      <c r="L28" s="112">
        <v>26.55</v>
      </c>
      <c r="M28" s="112">
        <v>97.3</v>
      </c>
      <c r="N28" s="112">
        <v>2.4</v>
      </c>
      <c r="O28" s="112">
        <v>0</v>
      </c>
      <c r="P28" s="112">
        <v>0.4</v>
      </c>
      <c r="Q28" s="112">
        <v>4.63</v>
      </c>
    </row>
    <row r="29" spans="1:17" customFormat="1">
      <c r="A29" s="80">
        <v>45544.21875</v>
      </c>
      <c r="B29" s="112">
        <v>9.25</v>
      </c>
      <c r="C29" s="112">
        <v>4.07</v>
      </c>
      <c r="D29" s="112">
        <v>14</v>
      </c>
      <c r="E29" s="112">
        <v>9.83</v>
      </c>
      <c r="F29" s="112">
        <v>7.37</v>
      </c>
      <c r="G29" s="112">
        <v>79.010000000000005</v>
      </c>
      <c r="H29" s="112">
        <v>25.4</v>
      </c>
      <c r="I29" s="112">
        <v>4.5</v>
      </c>
      <c r="J29" s="112">
        <v>0.54</v>
      </c>
      <c r="K29" s="112">
        <v>50.38</v>
      </c>
      <c r="L29" s="112">
        <v>26.54</v>
      </c>
      <c r="M29" s="112">
        <v>97.16</v>
      </c>
      <c r="N29" s="112">
        <v>2.4</v>
      </c>
      <c r="O29" s="112">
        <v>0</v>
      </c>
      <c r="P29" s="112">
        <v>0.4</v>
      </c>
      <c r="Q29" s="112">
        <v>4.63</v>
      </c>
    </row>
    <row r="30" spans="1:17" customFormat="1">
      <c r="A30" s="80">
        <v>45544.229166666664</v>
      </c>
      <c r="B30" s="112">
        <v>9.25</v>
      </c>
      <c r="C30" s="112">
        <v>4.08</v>
      </c>
      <c r="D30" s="112">
        <v>14</v>
      </c>
      <c r="E30" s="112">
        <v>9.93</v>
      </c>
      <c r="F30" s="112">
        <v>7.38</v>
      </c>
      <c r="G30" s="112">
        <v>79.010000000000005</v>
      </c>
      <c r="H30" s="112">
        <v>25.4</v>
      </c>
      <c r="I30" s="112">
        <v>4.2300000000000004</v>
      </c>
      <c r="J30" s="112">
        <v>0.68</v>
      </c>
      <c r="K30" s="112">
        <v>55.62</v>
      </c>
      <c r="L30" s="112">
        <v>26.52</v>
      </c>
      <c r="M30" s="112">
        <v>97.11</v>
      </c>
      <c r="N30" s="112">
        <v>2.5</v>
      </c>
      <c r="O30" s="112">
        <v>0</v>
      </c>
      <c r="P30" s="112">
        <v>0.4</v>
      </c>
      <c r="Q30" s="112">
        <v>4.6500000000000004</v>
      </c>
    </row>
    <row r="31" spans="1:17" customFormat="1">
      <c r="A31" s="80">
        <v>45544.239583333336</v>
      </c>
      <c r="B31" s="112">
        <v>9.26</v>
      </c>
      <c r="C31" s="112">
        <v>4.08</v>
      </c>
      <c r="D31" s="112">
        <v>14.01</v>
      </c>
      <c r="E31" s="112">
        <v>9.25</v>
      </c>
      <c r="F31" s="112">
        <v>4</v>
      </c>
      <c r="G31" s="112">
        <v>79.010000000000005</v>
      </c>
      <c r="H31" s="112">
        <v>25.4</v>
      </c>
      <c r="I31" s="112">
        <v>4.3</v>
      </c>
      <c r="J31" s="112">
        <v>0.42</v>
      </c>
      <c r="K31" s="112">
        <v>49.64</v>
      </c>
      <c r="L31" s="112">
        <v>26.5</v>
      </c>
      <c r="M31" s="112">
        <v>97.54</v>
      </c>
      <c r="N31" s="112">
        <v>3.8</v>
      </c>
      <c r="O31" s="112">
        <v>0</v>
      </c>
      <c r="P31" s="112">
        <v>0.44</v>
      </c>
      <c r="Q31" s="112">
        <v>4.6399999999999997</v>
      </c>
    </row>
    <row r="32" spans="1:17" customFormat="1">
      <c r="A32" s="80">
        <v>45544.25</v>
      </c>
      <c r="B32" s="112">
        <v>9.26</v>
      </c>
      <c r="C32" s="112">
        <v>4.08</v>
      </c>
      <c r="D32" s="112">
        <v>14.01</v>
      </c>
      <c r="E32" s="112">
        <v>9.16</v>
      </c>
      <c r="F32" s="112">
        <v>4.75</v>
      </c>
      <c r="G32" s="112">
        <v>78.12</v>
      </c>
      <c r="H32" s="112">
        <v>25.06</v>
      </c>
      <c r="I32" s="112">
        <v>4.41</v>
      </c>
      <c r="J32" s="112">
        <v>0.43</v>
      </c>
      <c r="K32" s="112">
        <v>50.38</v>
      </c>
      <c r="L32" s="112">
        <v>26.49</v>
      </c>
      <c r="M32" s="112">
        <v>97.77</v>
      </c>
      <c r="N32" s="112">
        <v>9.1999999999999993</v>
      </c>
      <c r="O32" s="112">
        <v>0</v>
      </c>
      <c r="P32" s="112">
        <v>0.44</v>
      </c>
      <c r="Q32" s="112">
        <v>4.6399999999999997</v>
      </c>
    </row>
    <row r="33" spans="1:17" customFormat="1">
      <c r="A33" s="80">
        <v>45544.260416666664</v>
      </c>
      <c r="B33" s="112">
        <v>9.26</v>
      </c>
      <c r="C33" s="112">
        <v>4.0599999999999996</v>
      </c>
      <c r="D33" s="112">
        <v>14</v>
      </c>
      <c r="E33" s="112">
        <v>8.89</v>
      </c>
      <c r="F33" s="112">
        <v>5.96</v>
      </c>
      <c r="G33" s="112">
        <v>75.55</v>
      </c>
      <c r="H33" s="112">
        <v>24.42</v>
      </c>
      <c r="I33" s="112">
        <v>4.58</v>
      </c>
      <c r="J33" s="112">
        <v>0.35</v>
      </c>
      <c r="K33" s="112">
        <v>50.43</v>
      </c>
      <c r="L33" s="112">
        <v>26.57</v>
      </c>
      <c r="M33" s="112">
        <v>97.2</v>
      </c>
      <c r="N33" s="112">
        <v>17.2</v>
      </c>
      <c r="O33" s="112">
        <v>0</v>
      </c>
      <c r="P33" s="112">
        <v>0.46</v>
      </c>
      <c r="Q33" s="112">
        <v>4.6500000000000004</v>
      </c>
    </row>
    <row r="34" spans="1:17" customFormat="1">
      <c r="A34" s="80">
        <v>45544.270833333336</v>
      </c>
      <c r="B34" s="112">
        <v>9.27</v>
      </c>
      <c r="C34" s="112">
        <v>4.07</v>
      </c>
      <c r="D34" s="112">
        <v>14.01</v>
      </c>
      <c r="E34" s="112">
        <v>9.5299999999999994</v>
      </c>
      <c r="F34" s="112">
        <v>4.12</v>
      </c>
      <c r="G34" s="112">
        <v>75.55</v>
      </c>
      <c r="H34" s="112">
        <v>24.42</v>
      </c>
      <c r="I34" s="112">
        <v>4.57</v>
      </c>
      <c r="J34" s="112">
        <v>0.61</v>
      </c>
      <c r="K34" s="112">
        <v>49.79</v>
      </c>
      <c r="L34" s="112">
        <v>26.65</v>
      </c>
      <c r="M34" s="112">
        <v>96.22</v>
      </c>
      <c r="N34" s="112">
        <v>26</v>
      </c>
      <c r="O34" s="112">
        <v>0</v>
      </c>
      <c r="P34" s="112">
        <v>0.46</v>
      </c>
      <c r="Q34" s="112">
        <v>4.63</v>
      </c>
    </row>
    <row r="35" spans="1:17" customFormat="1">
      <c r="A35" s="80">
        <v>45544.28125</v>
      </c>
      <c r="B35" s="112">
        <v>9.27</v>
      </c>
      <c r="C35" s="112">
        <v>4.07</v>
      </c>
      <c r="D35" s="112">
        <v>14.01</v>
      </c>
      <c r="E35" s="112">
        <v>10.59</v>
      </c>
      <c r="F35" s="112">
        <v>3.7</v>
      </c>
      <c r="G35" s="112">
        <v>75.55</v>
      </c>
      <c r="H35" s="112">
        <v>24.42</v>
      </c>
      <c r="I35" s="112">
        <v>4.55</v>
      </c>
      <c r="J35" s="112">
        <v>0.66</v>
      </c>
      <c r="K35" s="112">
        <v>58.27</v>
      </c>
      <c r="L35" s="112">
        <v>26.75</v>
      </c>
      <c r="M35" s="112">
        <v>94.51</v>
      </c>
      <c r="N35" s="112">
        <v>26.4</v>
      </c>
      <c r="O35" s="112">
        <v>0</v>
      </c>
      <c r="P35" s="112">
        <v>0.46</v>
      </c>
      <c r="Q35" s="112">
        <v>4.6500000000000004</v>
      </c>
    </row>
    <row r="36" spans="1:17" customFormat="1">
      <c r="A36" s="80">
        <v>45544.291666666664</v>
      </c>
      <c r="B36" s="112">
        <v>9.27</v>
      </c>
      <c r="C36" s="112">
        <v>4.05</v>
      </c>
      <c r="D36" s="112">
        <v>14</v>
      </c>
      <c r="E36" s="112">
        <v>10.98</v>
      </c>
      <c r="F36" s="112">
        <v>2.79</v>
      </c>
      <c r="G36" s="112">
        <v>76.2</v>
      </c>
      <c r="H36" s="112">
        <v>24.91</v>
      </c>
      <c r="I36" s="112">
        <v>4.6100000000000003</v>
      </c>
      <c r="J36" s="112">
        <v>0.76</v>
      </c>
      <c r="K36" s="112">
        <v>53.72</v>
      </c>
      <c r="L36" s="112">
        <v>26.81</v>
      </c>
      <c r="M36" s="112">
        <v>93.03</v>
      </c>
      <c r="N36" s="112">
        <v>28</v>
      </c>
      <c r="O36" s="112">
        <v>0</v>
      </c>
      <c r="P36" s="112">
        <v>0.47</v>
      </c>
      <c r="Q36" s="112">
        <v>4.6399999999999997</v>
      </c>
    </row>
    <row r="37" spans="1:17" customFormat="1">
      <c r="A37" s="80">
        <v>45544.302083333336</v>
      </c>
      <c r="B37" s="112">
        <v>9.27</v>
      </c>
      <c r="C37" s="112">
        <v>4.09</v>
      </c>
      <c r="D37" s="112">
        <v>14.02</v>
      </c>
      <c r="E37" s="112">
        <v>11.03</v>
      </c>
      <c r="F37" s="112">
        <v>4.3600000000000003</v>
      </c>
      <c r="G37" s="112">
        <v>77.97</v>
      </c>
      <c r="H37" s="112">
        <v>25.84</v>
      </c>
      <c r="I37" s="112">
        <v>4.5999999999999996</v>
      </c>
      <c r="J37" s="112">
        <v>0.75</v>
      </c>
      <c r="K37" s="112">
        <v>53.55</v>
      </c>
      <c r="L37" s="112">
        <v>26.87</v>
      </c>
      <c r="M37" s="112">
        <v>93.06</v>
      </c>
      <c r="N37" s="112">
        <v>29.3</v>
      </c>
      <c r="O37" s="112">
        <v>0</v>
      </c>
      <c r="P37" s="112">
        <v>0.49</v>
      </c>
      <c r="Q37" s="112">
        <v>4.6399999999999997</v>
      </c>
    </row>
    <row r="38" spans="1:17" customFormat="1">
      <c r="A38" s="80">
        <v>45544.3125</v>
      </c>
      <c r="B38" s="112">
        <v>9.25</v>
      </c>
      <c r="C38" s="112">
        <v>4.12</v>
      </c>
      <c r="D38" s="112">
        <v>14.02</v>
      </c>
      <c r="E38" s="112">
        <v>10.31</v>
      </c>
      <c r="F38" s="112">
        <v>4.07</v>
      </c>
      <c r="G38" s="112">
        <v>77.97</v>
      </c>
      <c r="H38" s="112">
        <v>25.84</v>
      </c>
      <c r="I38" s="112">
        <v>4.54</v>
      </c>
      <c r="J38" s="112">
        <v>0.8</v>
      </c>
      <c r="K38" s="112">
        <v>54.59</v>
      </c>
      <c r="L38" s="112">
        <v>26.89</v>
      </c>
      <c r="M38" s="112">
        <v>93.43</v>
      </c>
      <c r="N38" s="112">
        <v>42.7</v>
      </c>
      <c r="O38" s="112">
        <v>0</v>
      </c>
      <c r="P38" s="112">
        <v>0.47</v>
      </c>
      <c r="Q38" s="112">
        <v>4.63</v>
      </c>
    </row>
    <row r="39" spans="1:17" customFormat="1">
      <c r="A39" s="80">
        <v>45544.322916666664</v>
      </c>
      <c r="B39" s="112">
        <v>9.25</v>
      </c>
      <c r="C39" s="112">
        <v>4.08</v>
      </c>
      <c r="D39" s="112">
        <v>14</v>
      </c>
      <c r="E39" s="112">
        <v>10.14</v>
      </c>
      <c r="F39" s="112">
        <v>5.19</v>
      </c>
      <c r="G39" s="112">
        <v>77.97</v>
      </c>
      <c r="H39" s="112">
        <v>25.84</v>
      </c>
      <c r="I39" s="112">
        <v>4.5999999999999996</v>
      </c>
      <c r="J39" s="112">
        <v>0.69</v>
      </c>
      <c r="K39" s="112">
        <v>51.76</v>
      </c>
      <c r="L39" s="112">
        <v>27.18</v>
      </c>
      <c r="M39" s="112">
        <v>92.57</v>
      </c>
      <c r="N39" s="112">
        <v>126.8</v>
      </c>
      <c r="O39" s="112">
        <v>0</v>
      </c>
      <c r="P39" s="112">
        <v>0.48</v>
      </c>
      <c r="Q39" s="112">
        <v>4.6399999999999997</v>
      </c>
    </row>
    <row r="40" spans="1:17" customFormat="1">
      <c r="A40" s="80">
        <v>45544.333333333336</v>
      </c>
      <c r="B40" s="112">
        <v>9.26</v>
      </c>
      <c r="C40" s="112">
        <v>4.07</v>
      </c>
      <c r="D40" s="112">
        <v>14.01</v>
      </c>
      <c r="E40" s="112">
        <v>10.29</v>
      </c>
      <c r="F40" s="112">
        <v>5.44</v>
      </c>
      <c r="G40" s="112">
        <v>79.42</v>
      </c>
      <c r="H40" s="112">
        <v>25.77</v>
      </c>
      <c r="I40" s="112">
        <v>4.59</v>
      </c>
      <c r="J40" s="112">
        <v>0.48</v>
      </c>
      <c r="K40" s="112">
        <v>38.979999999999997</v>
      </c>
      <c r="L40" s="112">
        <v>27.96</v>
      </c>
      <c r="M40" s="112">
        <v>88.94</v>
      </c>
      <c r="N40" s="112">
        <v>156.4</v>
      </c>
      <c r="O40" s="112">
        <v>0</v>
      </c>
      <c r="P40" s="112">
        <v>0.49</v>
      </c>
      <c r="Q40" s="112">
        <v>4.63</v>
      </c>
    </row>
    <row r="41" spans="1:17" customFormat="1">
      <c r="A41" s="80">
        <v>45544.34375</v>
      </c>
      <c r="B41" s="112">
        <v>9.27</v>
      </c>
      <c r="C41" s="112">
        <v>4.0599999999999996</v>
      </c>
      <c r="D41" s="112">
        <v>14.01</v>
      </c>
      <c r="E41" s="112">
        <v>10.77</v>
      </c>
      <c r="F41" s="112">
        <v>4.63</v>
      </c>
      <c r="G41" s="112">
        <v>83.41</v>
      </c>
      <c r="H41" s="112">
        <v>25.46</v>
      </c>
      <c r="I41" s="112">
        <v>4.5999999999999996</v>
      </c>
      <c r="J41" s="112">
        <v>0.87</v>
      </c>
      <c r="K41" s="112">
        <v>53.76</v>
      </c>
      <c r="L41" s="112">
        <v>28.19</v>
      </c>
      <c r="M41" s="112">
        <v>85.86</v>
      </c>
      <c r="N41" s="112">
        <v>135.69999999999999</v>
      </c>
      <c r="O41" s="112">
        <v>0</v>
      </c>
      <c r="P41" s="112">
        <v>0.48</v>
      </c>
      <c r="Q41" s="112">
        <v>4.63</v>
      </c>
    </row>
    <row r="42" spans="1:17" customFormat="1">
      <c r="A42" s="80">
        <v>45544.354166666664</v>
      </c>
      <c r="B42" s="112">
        <v>9.2799999999999994</v>
      </c>
      <c r="C42" s="112">
        <v>4.0599999999999996</v>
      </c>
      <c r="D42" s="112">
        <v>14.01</v>
      </c>
      <c r="E42" s="112">
        <v>11.05</v>
      </c>
      <c r="F42" s="112">
        <v>4.09</v>
      </c>
      <c r="G42" s="112">
        <v>83.41</v>
      </c>
      <c r="H42" s="112">
        <v>25.46</v>
      </c>
      <c r="I42" s="112">
        <v>4.5999999999999996</v>
      </c>
      <c r="J42" s="112">
        <v>0.72</v>
      </c>
      <c r="K42" s="112">
        <v>52.38</v>
      </c>
      <c r="L42" s="112">
        <v>28.15</v>
      </c>
      <c r="M42" s="112">
        <v>85.92</v>
      </c>
      <c r="N42" s="112">
        <v>100.9</v>
      </c>
      <c r="O42" s="112">
        <v>0</v>
      </c>
      <c r="P42" s="112">
        <v>0.49</v>
      </c>
      <c r="Q42" s="112">
        <v>4.6500000000000004</v>
      </c>
    </row>
    <row r="43" spans="1:17" customFormat="1">
      <c r="A43" s="80">
        <v>45544.364583333336</v>
      </c>
      <c r="B43" s="112">
        <v>9.2799999999999994</v>
      </c>
      <c r="C43" s="112">
        <v>4.07</v>
      </c>
      <c r="D43" s="112">
        <v>14.01</v>
      </c>
      <c r="E43" s="112">
        <v>11.12</v>
      </c>
      <c r="F43" s="112">
        <v>5</v>
      </c>
      <c r="G43" s="112">
        <v>83.41</v>
      </c>
      <c r="H43" s="112">
        <v>25.46</v>
      </c>
      <c r="I43" s="112">
        <v>4.58</v>
      </c>
      <c r="J43" s="112">
        <v>0.62</v>
      </c>
      <c r="K43" s="112">
        <v>47.97</v>
      </c>
      <c r="L43" s="112">
        <v>28.21</v>
      </c>
      <c r="M43" s="112">
        <v>85.81</v>
      </c>
      <c r="N43" s="112">
        <v>111.2</v>
      </c>
      <c r="O43" s="112">
        <v>0</v>
      </c>
      <c r="P43" s="112">
        <v>0.5</v>
      </c>
      <c r="Q43" s="112">
        <v>4.6500000000000004</v>
      </c>
    </row>
    <row r="44" spans="1:17" customFormat="1">
      <c r="A44" s="80">
        <v>45544.375</v>
      </c>
      <c r="B44" s="112">
        <v>9.2799999999999994</v>
      </c>
      <c r="C44" s="112">
        <v>4.08</v>
      </c>
      <c r="D44" s="112">
        <v>14.02</v>
      </c>
      <c r="E44" s="112">
        <v>11.24</v>
      </c>
      <c r="F44" s="112">
        <v>6.75</v>
      </c>
      <c r="G44" s="112">
        <v>84.28</v>
      </c>
      <c r="H44" s="112">
        <v>23.43</v>
      </c>
      <c r="I44" s="112">
        <v>4.67</v>
      </c>
      <c r="J44" s="112">
        <v>0.75</v>
      </c>
      <c r="K44" s="112">
        <v>54.92</v>
      </c>
      <c r="L44" s="112">
        <v>28.83</v>
      </c>
      <c r="M44" s="112">
        <v>83.94</v>
      </c>
      <c r="N44" s="112">
        <v>240.6</v>
      </c>
      <c r="O44" s="112">
        <v>0</v>
      </c>
      <c r="P44" s="112">
        <v>0.51</v>
      </c>
      <c r="Q44" s="112">
        <v>4.6399999999999997</v>
      </c>
    </row>
    <row r="45" spans="1:17" customFormat="1">
      <c r="A45" s="80">
        <v>45544.385416666664</v>
      </c>
      <c r="B45" s="112">
        <v>9.2799999999999994</v>
      </c>
      <c r="C45" s="112">
        <v>4.05</v>
      </c>
      <c r="D45" s="112">
        <v>14.01</v>
      </c>
      <c r="E45" s="112">
        <v>11.29</v>
      </c>
      <c r="F45" s="112">
        <v>8.48</v>
      </c>
      <c r="G45" s="112">
        <v>86.69</v>
      </c>
      <c r="H45" s="112">
        <v>19.54</v>
      </c>
      <c r="I45" s="112">
        <v>4.7300000000000004</v>
      </c>
      <c r="J45" s="112">
        <v>0.69</v>
      </c>
      <c r="K45" s="112">
        <v>39.619999999999997</v>
      </c>
      <c r="L45" s="112">
        <v>29.42</v>
      </c>
      <c r="M45" s="112">
        <v>81.17</v>
      </c>
      <c r="N45" s="112">
        <v>341.2</v>
      </c>
      <c r="O45" s="112">
        <v>0</v>
      </c>
      <c r="P45" s="112">
        <v>0.51</v>
      </c>
      <c r="Q45" s="112">
        <v>4.6399999999999997</v>
      </c>
    </row>
    <row r="46" spans="1:17" customFormat="1">
      <c r="A46" s="80">
        <v>45544.395833333336</v>
      </c>
      <c r="B46" s="112">
        <v>9.27</v>
      </c>
      <c r="C46" s="112">
        <v>4.0599999999999996</v>
      </c>
      <c r="D46" s="112">
        <v>14</v>
      </c>
      <c r="E46" s="112">
        <v>11.62</v>
      </c>
      <c r="F46" s="112">
        <v>7.1</v>
      </c>
      <c r="G46" s="112">
        <v>86.69</v>
      </c>
      <c r="H46" s="112">
        <v>19.54</v>
      </c>
      <c r="I46" s="112">
        <v>4.8600000000000003</v>
      </c>
      <c r="J46" s="112">
        <v>0.89</v>
      </c>
      <c r="K46" s="112">
        <v>49.47</v>
      </c>
      <c r="L46" s="112">
        <v>29.84</v>
      </c>
      <c r="M46" s="112">
        <v>80.12</v>
      </c>
      <c r="N46" s="112">
        <v>412.8</v>
      </c>
      <c r="O46" s="112">
        <v>0</v>
      </c>
      <c r="P46" s="112">
        <v>0.51</v>
      </c>
      <c r="Q46" s="112">
        <v>4.63</v>
      </c>
    </row>
    <row r="47" spans="1:17" customFormat="1">
      <c r="A47" s="80">
        <v>45544.40625</v>
      </c>
      <c r="B47" s="112">
        <v>9.27</v>
      </c>
      <c r="C47" s="112">
        <v>4.0599999999999996</v>
      </c>
      <c r="D47" s="112">
        <v>14.01</v>
      </c>
      <c r="E47" s="112">
        <v>11.77</v>
      </c>
      <c r="F47" s="112">
        <v>6.38</v>
      </c>
      <c r="G47" s="112">
        <v>86.69</v>
      </c>
      <c r="H47" s="112">
        <v>19.54</v>
      </c>
      <c r="I47" s="112">
        <v>5.04</v>
      </c>
      <c r="J47" s="112">
        <v>0.71</v>
      </c>
      <c r="K47" s="112">
        <v>44.28</v>
      </c>
      <c r="L47" s="112">
        <v>30</v>
      </c>
      <c r="M47" s="112">
        <v>79.959999999999994</v>
      </c>
      <c r="N47" s="112">
        <v>284.5</v>
      </c>
      <c r="O47" s="112">
        <v>0</v>
      </c>
      <c r="P47" s="112">
        <v>0.53</v>
      </c>
      <c r="Q47" s="112">
        <v>4.6399999999999997</v>
      </c>
    </row>
    <row r="48" spans="1:17" customFormat="1">
      <c r="A48" s="80">
        <v>45544.416666666664</v>
      </c>
      <c r="B48" s="112">
        <v>9.2899999999999991</v>
      </c>
      <c r="C48" s="112">
        <v>4.05</v>
      </c>
      <c r="D48" s="112">
        <v>14.02</v>
      </c>
      <c r="E48" s="112">
        <v>12.01</v>
      </c>
      <c r="F48" s="112">
        <v>8.02</v>
      </c>
      <c r="G48" s="112">
        <v>86.04</v>
      </c>
      <c r="H48" s="112">
        <v>21.98</v>
      </c>
      <c r="I48" s="112">
        <v>5.1100000000000003</v>
      </c>
      <c r="J48" s="112">
        <v>0.6</v>
      </c>
      <c r="K48" s="112">
        <v>38.4</v>
      </c>
      <c r="L48" s="112">
        <v>30.03</v>
      </c>
      <c r="M48" s="112">
        <v>79.75</v>
      </c>
      <c r="N48" s="112">
        <v>313</v>
      </c>
      <c r="O48" s="112">
        <v>0</v>
      </c>
      <c r="P48" s="112">
        <v>0.53</v>
      </c>
      <c r="Q48" s="112">
        <v>4.63</v>
      </c>
    </row>
    <row r="49" spans="1:17" customFormat="1">
      <c r="A49" s="80">
        <v>45544.427083333336</v>
      </c>
      <c r="B49" s="112">
        <v>9.2899999999999991</v>
      </c>
      <c r="C49" s="112">
        <v>4.0599999999999996</v>
      </c>
      <c r="D49" s="112">
        <v>14.02</v>
      </c>
      <c r="E49" s="112">
        <v>9.5299999999999994</v>
      </c>
      <c r="F49" s="112">
        <v>8.3000000000000007</v>
      </c>
      <c r="G49" s="112">
        <v>84.27</v>
      </c>
      <c r="H49" s="112">
        <v>26.63</v>
      </c>
      <c r="I49" s="112">
        <v>5.12</v>
      </c>
      <c r="J49" s="112">
        <v>0.75</v>
      </c>
      <c r="K49" s="112">
        <v>43.53</v>
      </c>
      <c r="L49" s="112">
        <v>30.36</v>
      </c>
      <c r="M49" s="112">
        <v>78.36</v>
      </c>
      <c r="N49" s="112">
        <v>246.7</v>
      </c>
      <c r="O49" s="112">
        <v>0</v>
      </c>
      <c r="P49" s="112">
        <v>0.52</v>
      </c>
      <c r="Q49" s="112">
        <v>4.6500000000000004</v>
      </c>
    </row>
    <row r="50" spans="1:17" customFormat="1">
      <c r="A50" s="80">
        <v>45544.4375</v>
      </c>
      <c r="B50" s="112">
        <v>9.2899999999999991</v>
      </c>
      <c r="C50" s="112">
        <v>4.07</v>
      </c>
      <c r="D50" s="112">
        <v>14.02</v>
      </c>
      <c r="E50" s="112">
        <v>11.61</v>
      </c>
      <c r="F50" s="112">
        <v>6.26</v>
      </c>
      <c r="G50" s="112">
        <v>84.27</v>
      </c>
      <c r="H50" s="112">
        <v>26.63</v>
      </c>
      <c r="I50" s="112">
        <v>5.0599999999999996</v>
      </c>
      <c r="J50" s="112">
        <v>0.66</v>
      </c>
      <c r="K50" s="112">
        <v>46.01</v>
      </c>
      <c r="L50" s="112">
        <v>30.46</v>
      </c>
      <c r="M50" s="112">
        <v>78.19</v>
      </c>
      <c r="N50" s="112">
        <v>251</v>
      </c>
      <c r="O50" s="112">
        <v>0</v>
      </c>
      <c r="P50" s="112">
        <v>0.53</v>
      </c>
      <c r="Q50" s="112">
        <v>4.6399999999999997</v>
      </c>
    </row>
    <row r="51" spans="1:17" customFormat="1">
      <c r="A51" s="80">
        <v>45544.447916666664</v>
      </c>
      <c r="B51" s="112">
        <v>9.2799999999999994</v>
      </c>
      <c r="C51" s="112">
        <v>4.05</v>
      </c>
      <c r="D51" s="112">
        <v>14.01</v>
      </c>
      <c r="E51" s="112">
        <v>13.46</v>
      </c>
      <c r="F51" s="112">
        <v>10.15</v>
      </c>
      <c r="G51" s="112">
        <v>84.27</v>
      </c>
      <c r="H51" s="112">
        <v>26.63</v>
      </c>
      <c r="I51" s="112">
        <v>5.05</v>
      </c>
      <c r="J51" s="112">
        <v>0.76</v>
      </c>
      <c r="K51" s="112">
        <v>48.94</v>
      </c>
      <c r="L51" s="112">
        <v>30.68</v>
      </c>
      <c r="M51" s="112">
        <v>76.44</v>
      </c>
      <c r="N51" s="112">
        <v>273.3</v>
      </c>
      <c r="O51" s="112">
        <v>0</v>
      </c>
      <c r="P51" s="112">
        <v>0.53</v>
      </c>
      <c r="Q51" s="112">
        <v>4.6100000000000003</v>
      </c>
    </row>
    <row r="52" spans="1:17" customFormat="1">
      <c r="A52" s="80">
        <v>45544.458333333336</v>
      </c>
      <c r="B52" s="112">
        <v>9.27</v>
      </c>
      <c r="C52" s="112">
        <v>4.09</v>
      </c>
      <c r="D52" s="112">
        <v>14.02</v>
      </c>
      <c r="E52" s="112">
        <v>15.29</v>
      </c>
      <c r="F52" s="112">
        <v>9.1999999999999993</v>
      </c>
      <c r="G52" s="112">
        <v>83.28</v>
      </c>
      <c r="H52" s="112">
        <v>26.19</v>
      </c>
      <c r="I52" s="112">
        <v>5.21</v>
      </c>
      <c r="J52" s="112">
        <v>0.79</v>
      </c>
      <c r="K52" s="112">
        <v>46.47</v>
      </c>
      <c r="L52" s="112">
        <v>30.57</v>
      </c>
      <c r="M52" s="112">
        <v>76.27</v>
      </c>
      <c r="N52" s="112">
        <v>173.7</v>
      </c>
      <c r="O52" s="112">
        <v>0</v>
      </c>
      <c r="P52" s="112">
        <v>0.53</v>
      </c>
      <c r="Q52" s="112">
        <v>4.5999999999999996</v>
      </c>
    </row>
    <row r="53" spans="1:17" customFormat="1">
      <c r="A53" s="80">
        <v>45544.46875</v>
      </c>
      <c r="B53" s="112">
        <v>9.2899999999999991</v>
      </c>
      <c r="C53" s="112">
        <v>4.0599999999999996</v>
      </c>
      <c r="D53" s="112">
        <v>14.02</v>
      </c>
      <c r="E53" s="112">
        <v>15.92</v>
      </c>
      <c r="F53" s="112">
        <v>9.9700000000000006</v>
      </c>
      <c r="G53" s="112">
        <v>80.400000000000006</v>
      </c>
      <c r="H53" s="112">
        <v>25.37</v>
      </c>
      <c r="I53" s="112">
        <v>5.17</v>
      </c>
      <c r="J53" s="112">
        <v>0.74</v>
      </c>
      <c r="K53" s="112">
        <v>43.2</v>
      </c>
      <c r="L53" s="112">
        <v>30.43</v>
      </c>
      <c r="M53" s="112">
        <v>75.64</v>
      </c>
      <c r="N53" s="112">
        <v>167</v>
      </c>
      <c r="O53" s="112">
        <v>0</v>
      </c>
      <c r="P53" s="112">
        <v>0.53</v>
      </c>
      <c r="Q53" s="112">
        <v>4.62</v>
      </c>
    </row>
    <row r="54" spans="1:17" customFormat="1">
      <c r="A54" s="80">
        <v>45544.479166666664</v>
      </c>
      <c r="B54" s="112">
        <v>9.2899999999999991</v>
      </c>
      <c r="C54" s="112">
        <v>4.05</v>
      </c>
      <c r="D54" s="112">
        <v>14.02</v>
      </c>
      <c r="E54" s="112">
        <v>15.1</v>
      </c>
      <c r="F54" s="112">
        <v>12.34</v>
      </c>
      <c r="G54" s="112">
        <v>80.400000000000006</v>
      </c>
      <c r="H54" s="112">
        <v>25.37</v>
      </c>
      <c r="I54" s="112">
        <v>5.24</v>
      </c>
      <c r="J54" s="112">
        <v>0.79</v>
      </c>
      <c r="K54" s="112">
        <v>39.17</v>
      </c>
      <c r="L54" s="112">
        <v>30.29</v>
      </c>
      <c r="M54" s="112">
        <v>76.209999999999994</v>
      </c>
      <c r="N54" s="112">
        <v>153</v>
      </c>
      <c r="O54" s="112">
        <v>0</v>
      </c>
      <c r="P54" s="112">
        <v>0.52</v>
      </c>
      <c r="Q54" s="112">
        <v>4.62</v>
      </c>
    </row>
    <row r="55" spans="1:17" customFormat="1">
      <c r="A55" s="80">
        <v>45544.489583333336</v>
      </c>
      <c r="B55" s="112">
        <v>9.2799999999999994</v>
      </c>
      <c r="C55" s="112">
        <v>4.07</v>
      </c>
      <c r="D55" s="112">
        <v>14.02</v>
      </c>
      <c r="E55" s="112">
        <v>13.6</v>
      </c>
      <c r="F55" s="112">
        <v>10.16</v>
      </c>
      <c r="G55" s="112">
        <v>80.400000000000006</v>
      </c>
      <c r="H55" s="112">
        <v>25.37</v>
      </c>
      <c r="I55" s="112">
        <v>5.16</v>
      </c>
      <c r="J55" s="112">
        <v>0.77</v>
      </c>
      <c r="K55" s="112">
        <v>51.35</v>
      </c>
      <c r="L55" s="112">
        <v>30.15</v>
      </c>
      <c r="M55" s="112">
        <v>76.87</v>
      </c>
      <c r="N55" s="112">
        <v>144.6</v>
      </c>
      <c r="O55" s="112">
        <v>0</v>
      </c>
      <c r="P55" s="112">
        <v>0.55000000000000004</v>
      </c>
      <c r="Q55" s="112">
        <v>4.6100000000000003</v>
      </c>
    </row>
    <row r="56" spans="1:17" customFormat="1">
      <c r="A56" s="80">
        <v>45544.5</v>
      </c>
      <c r="B56" s="112">
        <v>9.2899999999999991</v>
      </c>
      <c r="C56" s="112">
        <v>4.0599999999999996</v>
      </c>
      <c r="D56" s="112">
        <v>14.03</v>
      </c>
      <c r="E56" s="112">
        <v>12.89</v>
      </c>
      <c r="F56" s="112">
        <v>12.12</v>
      </c>
      <c r="G56" s="112">
        <v>78.319999999999993</v>
      </c>
      <c r="H56" s="112">
        <v>24.34</v>
      </c>
      <c r="I56" s="112">
        <v>5.2</v>
      </c>
      <c r="J56" s="112">
        <v>1.0900000000000001</v>
      </c>
      <c r="K56" s="112">
        <v>51.76</v>
      </c>
      <c r="L56" s="112">
        <v>30.66</v>
      </c>
      <c r="M56" s="112">
        <v>72.7</v>
      </c>
      <c r="N56" s="112">
        <v>354.2</v>
      </c>
      <c r="O56" s="112">
        <v>0</v>
      </c>
      <c r="P56" s="112">
        <v>0.53</v>
      </c>
      <c r="Q56" s="112">
        <v>4.6100000000000003</v>
      </c>
    </row>
    <row r="57" spans="1:17" customFormat="1">
      <c r="A57" s="80">
        <v>45544.510416666664</v>
      </c>
      <c r="B57" s="112">
        <v>9.33</v>
      </c>
      <c r="C57" s="112">
        <v>4.04</v>
      </c>
      <c r="D57" s="112">
        <v>14.04</v>
      </c>
      <c r="E57" s="112">
        <v>15.87</v>
      </c>
      <c r="F57" s="112">
        <v>10.14</v>
      </c>
      <c r="G57" s="112">
        <v>72.61</v>
      </c>
      <c r="H57" s="112">
        <v>22.36</v>
      </c>
      <c r="I57" s="112">
        <v>5.29</v>
      </c>
      <c r="J57" s="112">
        <v>0.89</v>
      </c>
      <c r="K57" s="112">
        <v>46.84</v>
      </c>
      <c r="L57" s="112">
        <v>30.93</v>
      </c>
      <c r="M57" s="112">
        <v>71.290000000000006</v>
      </c>
      <c r="N57" s="112">
        <v>184.3</v>
      </c>
      <c r="O57" s="112">
        <v>0</v>
      </c>
      <c r="P57" s="112">
        <v>0.53</v>
      </c>
      <c r="Q57" s="112">
        <v>4.6100000000000003</v>
      </c>
    </row>
    <row r="58" spans="1:17" customFormat="1">
      <c r="A58" s="80">
        <v>45544.520833333336</v>
      </c>
      <c r="B58" s="112">
        <v>9.35</v>
      </c>
      <c r="C58" s="112">
        <v>4.04</v>
      </c>
      <c r="D58" s="112">
        <v>14.06</v>
      </c>
      <c r="E58" s="112">
        <v>16.04</v>
      </c>
      <c r="F58" s="112">
        <v>11.1</v>
      </c>
      <c r="G58" s="112">
        <v>72.61</v>
      </c>
      <c r="H58" s="112">
        <v>22.36</v>
      </c>
      <c r="I58" s="112">
        <v>5.18</v>
      </c>
      <c r="J58" s="112">
        <v>0.8</v>
      </c>
      <c r="K58" s="112">
        <v>45.61</v>
      </c>
      <c r="L58" s="112">
        <v>30.95</v>
      </c>
      <c r="M58" s="112">
        <v>72.95</v>
      </c>
      <c r="N58" s="112">
        <v>275.60000000000002</v>
      </c>
      <c r="O58" s="112">
        <v>0</v>
      </c>
      <c r="P58" s="112">
        <v>0.52</v>
      </c>
      <c r="Q58" s="112">
        <v>4.6100000000000003</v>
      </c>
    </row>
    <row r="59" spans="1:17" customFormat="1">
      <c r="A59" s="80">
        <v>45544.53125</v>
      </c>
      <c r="B59" s="112">
        <v>9.32</v>
      </c>
      <c r="C59" s="112">
        <v>4.0599999999999996</v>
      </c>
      <c r="D59" s="112">
        <v>14.04</v>
      </c>
      <c r="E59" s="112">
        <v>12.99</v>
      </c>
      <c r="F59" s="112">
        <v>9.7200000000000006</v>
      </c>
      <c r="G59" s="112">
        <v>72.61</v>
      </c>
      <c r="H59" s="112">
        <v>22.36</v>
      </c>
      <c r="I59" s="112">
        <v>5.23</v>
      </c>
      <c r="J59" s="112">
        <v>0.6</v>
      </c>
      <c r="K59" s="112">
        <v>42.21</v>
      </c>
      <c r="L59" s="112">
        <v>30.87</v>
      </c>
      <c r="M59" s="112">
        <v>73.81</v>
      </c>
      <c r="N59" s="112">
        <v>173.1</v>
      </c>
      <c r="O59" s="112">
        <v>0</v>
      </c>
      <c r="P59" s="112">
        <v>0.52</v>
      </c>
      <c r="Q59" s="112">
        <v>4.63</v>
      </c>
    </row>
    <row r="60" spans="1:17" customFormat="1">
      <c r="A60" s="80">
        <v>45544.541666666664</v>
      </c>
      <c r="B60" s="112">
        <v>9.2899999999999991</v>
      </c>
      <c r="C60" s="112">
        <v>4.04</v>
      </c>
      <c r="D60" s="112">
        <v>14.01</v>
      </c>
      <c r="E60" s="112">
        <v>12.96</v>
      </c>
      <c r="F60" s="112">
        <v>12.18</v>
      </c>
      <c r="G60" s="112">
        <v>75.39</v>
      </c>
      <c r="H60" s="112">
        <v>23.5</v>
      </c>
      <c r="I60" s="112">
        <v>5.21</v>
      </c>
      <c r="J60" s="112">
        <v>0.74</v>
      </c>
      <c r="K60" s="112">
        <v>53.79</v>
      </c>
      <c r="L60" s="112">
        <v>31.55</v>
      </c>
      <c r="M60" s="112">
        <v>71.42</v>
      </c>
      <c r="N60" s="112">
        <v>455.4</v>
      </c>
      <c r="O60" s="112">
        <v>0</v>
      </c>
      <c r="P60" s="112">
        <v>0.53</v>
      </c>
      <c r="Q60" s="112">
        <v>4.63</v>
      </c>
    </row>
    <row r="61" spans="1:17" customFormat="1">
      <c r="A61" s="80">
        <v>45544.552083333336</v>
      </c>
      <c r="B61" s="112">
        <v>9.32</v>
      </c>
      <c r="C61" s="112">
        <v>4.03</v>
      </c>
      <c r="D61" s="112">
        <v>14.03</v>
      </c>
      <c r="E61" s="112">
        <v>13.65</v>
      </c>
      <c r="F61" s="112">
        <v>9.36</v>
      </c>
      <c r="G61" s="112">
        <v>83.03</v>
      </c>
      <c r="H61" s="112">
        <v>25.68</v>
      </c>
      <c r="I61" s="112">
        <v>5.24</v>
      </c>
      <c r="J61" s="112">
        <v>0.87</v>
      </c>
      <c r="K61" s="112">
        <v>52.67</v>
      </c>
      <c r="L61" s="112">
        <v>31.55</v>
      </c>
      <c r="M61" s="112">
        <v>70.459999999999994</v>
      </c>
      <c r="N61" s="112">
        <v>200.3</v>
      </c>
      <c r="O61" s="112">
        <v>0</v>
      </c>
      <c r="P61" s="112">
        <v>0.52</v>
      </c>
      <c r="Q61" s="112">
        <v>4.63</v>
      </c>
    </row>
    <row r="62" spans="1:17" customFormat="1">
      <c r="A62" s="80">
        <v>45544.5625</v>
      </c>
      <c r="B62" s="112">
        <v>9.3000000000000007</v>
      </c>
      <c r="C62" s="112">
        <v>4.09</v>
      </c>
      <c r="D62" s="112">
        <v>14.05</v>
      </c>
      <c r="E62" s="112">
        <v>13.23</v>
      </c>
      <c r="F62" s="112">
        <v>11.58</v>
      </c>
      <c r="G62" s="112">
        <v>83.03</v>
      </c>
      <c r="H62" s="112">
        <v>25.68</v>
      </c>
      <c r="I62" s="112">
        <v>5.2</v>
      </c>
      <c r="J62" s="112">
        <v>0.62</v>
      </c>
      <c r="K62" s="112">
        <v>48.31</v>
      </c>
      <c r="L62" s="112">
        <v>30.96</v>
      </c>
      <c r="M62" s="112">
        <v>72.94</v>
      </c>
      <c r="N62" s="112">
        <v>89.8</v>
      </c>
      <c r="O62" s="112">
        <v>0</v>
      </c>
      <c r="P62" s="112">
        <v>0.52</v>
      </c>
      <c r="Q62" s="112">
        <v>4.6100000000000003</v>
      </c>
    </row>
    <row r="63" spans="1:17" customFormat="1">
      <c r="A63" s="80">
        <v>45544.572916666664</v>
      </c>
      <c r="B63" s="112">
        <v>9.2799999999999994</v>
      </c>
      <c r="C63" s="112">
        <v>4.09</v>
      </c>
      <c r="D63" s="112">
        <v>14.03</v>
      </c>
      <c r="E63" s="112">
        <v>12.51</v>
      </c>
      <c r="F63" s="112">
        <v>11.68</v>
      </c>
      <c r="G63" s="112">
        <v>83.03</v>
      </c>
      <c r="H63" s="112">
        <v>25.68</v>
      </c>
      <c r="I63" s="112">
        <v>5.32</v>
      </c>
      <c r="J63" s="112">
        <v>0.62</v>
      </c>
      <c r="K63" s="112">
        <v>53.35</v>
      </c>
      <c r="L63" s="112">
        <v>30.81</v>
      </c>
      <c r="M63" s="112">
        <v>73.08</v>
      </c>
      <c r="N63" s="112">
        <v>93.5</v>
      </c>
      <c r="O63" s="112">
        <v>0</v>
      </c>
      <c r="P63" s="112">
        <v>0.52</v>
      </c>
      <c r="Q63" s="112">
        <v>4.62</v>
      </c>
    </row>
    <row r="64" spans="1:17" customFormat="1">
      <c r="A64" s="80">
        <v>45544.583333333336</v>
      </c>
      <c r="B64" s="112">
        <v>9.27</v>
      </c>
      <c r="C64" s="112">
        <v>4.0599999999999996</v>
      </c>
      <c r="D64" s="112">
        <v>14.01</v>
      </c>
      <c r="E64" s="112">
        <v>11.26</v>
      </c>
      <c r="F64" s="112">
        <v>14.31</v>
      </c>
      <c r="G64" s="112">
        <v>80.709999999999994</v>
      </c>
      <c r="H64" s="112">
        <v>25.31</v>
      </c>
      <c r="I64" s="112">
        <v>5.19</v>
      </c>
      <c r="J64" s="112">
        <v>0.64</v>
      </c>
      <c r="K64" s="112">
        <v>47.39</v>
      </c>
      <c r="L64" s="112">
        <v>31.24</v>
      </c>
      <c r="M64" s="112">
        <v>71.739999999999995</v>
      </c>
      <c r="N64" s="112">
        <v>185.1</v>
      </c>
      <c r="O64" s="112">
        <v>0</v>
      </c>
      <c r="P64" s="112">
        <v>0.52</v>
      </c>
      <c r="Q64" s="112">
        <v>4.6100000000000003</v>
      </c>
    </row>
    <row r="65" spans="1:17" customFormat="1">
      <c r="A65" s="80">
        <v>45544.59375</v>
      </c>
      <c r="B65" s="112">
        <v>9.27</v>
      </c>
      <c r="C65" s="112">
        <v>4.07</v>
      </c>
      <c r="D65" s="112">
        <v>14.01</v>
      </c>
      <c r="E65" s="112">
        <v>11.38</v>
      </c>
      <c r="F65" s="112">
        <v>13.19</v>
      </c>
      <c r="G65" s="112">
        <v>74.34</v>
      </c>
      <c r="H65" s="112">
        <v>23.66</v>
      </c>
      <c r="I65" s="112">
        <v>5.15</v>
      </c>
      <c r="J65" s="112">
        <v>0.68</v>
      </c>
      <c r="K65" s="112">
        <v>53.61</v>
      </c>
      <c r="L65" s="112">
        <v>31.91</v>
      </c>
      <c r="M65" s="112">
        <v>67.790000000000006</v>
      </c>
      <c r="N65" s="112">
        <v>207.4</v>
      </c>
      <c r="O65" s="112">
        <v>0</v>
      </c>
      <c r="P65" s="112">
        <v>0.49</v>
      </c>
      <c r="Q65" s="112">
        <v>4.63</v>
      </c>
    </row>
    <row r="66" spans="1:17" customFormat="1">
      <c r="A66" s="80">
        <v>45544.604166666664</v>
      </c>
      <c r="B66" s="112">
        <v>9.2799999999999994</v>
      </c>
      <c r="C66" s="112">
        <v>4.09</v>
      </c>
      <c r="D66" s="112">
        <v>14.03</v>
      </c>
      <c r="E66" s="112">
        <v>10.81</v>
      </c>
      <c r="F66" s="112">
        <v>9.98</v>
      </c>
      <c r="G66" s="112">
        <v>74.34</v>
      </c>
      <c r="H66" s="112">
        <v>23.66</v>
      </c>
      <c r="I66" s="112">
        <v>5.1100000000000003</v>
      </c>
      <c r="J66" s="112">
        <v>0.78</v>
      </c>
      <c r="K66" s="112">
        <v>55.12</v>
      </c>
      <c r="L66" s="112">
        <v>31.98</v>
      </c>
      <c r="M66" s="112">
        <v>67.239999999999995</v>
      </c>
      <c r="N66" s="112">
        <v>159.19999999999999</v>
      </c>
      <c r="O66" s="112">
        <v>0</v>
      </c>
      <c r="P66" s="112">
        <v>0.51</v>
      </c>
      <c r="Q66" s="112">
        <v>4.63</v>
      </c>
    </row>
    <row r="67" spans="1:17" customFormat="1">
      <c r="A67" s="80">
        <v>45544.614583333336</v>
      </c>
      <c r="B67" s="112">
        <v>9.2799999999999994</v>
      </c>
      <c r="C67" s="112">
        <v>4.09</v>
      </c>
      <c r="D67" s="112">
        <v>14.03</v>
      </c>
      <c r="E67" s="112">
        <v>10.45</v>
      </c>
      <c r="F67" s="112">
        <v>8.57</v>
      </c>
      <c r="G67" s="112">
        <v>74.34</v>
      </c>
      <c r="H67" s="112">
        <v>23.66</v>
      </c>
      <c r="I67" s="112">
        <v>5.21</v>
      </c>
      <c r="J67" s="112">
        <v>1.1200000000000001</v>
      </c>
      <c r="K67" s="112">
        <v>60.83</v>
      </c>
      <c r="L67" s="112">
        <v>30.53</v>
      </c>
      <c r="M67" s="112">
        <v>75.53</v>
      </c>
      <c r="N67" s="112">
        <v>31</v>
      </c>
      <c r="O67" s="112">
        <v>1.6</v>
      </c>
      <c r="P67" s="112">
        <v>0.52</v>
      </c>
      <c r="Q67" s="112">
        <v>4.62</v>
      </c>
    </row>
    <row r="68" spans="1:17" customFormat="1">
      <c r="A68" s="80">
        <v>45544.625</v>
      </c>
      <c r="B68" s="112">
        <v>9.26</v>
      </c>
      <c r="C68" s="112">
        <v>4.1100000000000003</v>
      </c>
      <c r="D68" s="112">
        <v>14.02</v>
      </c>
      <c r="E68" s="112">
        <v>9.68</v>
      </c>
      <c r="F68" s="112">
        <v>4.8899999999999997</v>
      </c>
      <c r="G68" s="112">
        <v>72.23</v>
      </c>
      <c r="H68" s="112">
        <v>21.29</v>
      </c>
      <c r="I68" s="112">
        <v>5.28</v>
      </c>
      <c r="J68" s="112">
        <v>0.33</v>
      </c>
      <c r="K68" s="112">
        <v>165.1</v>
      </c>
      <c r="L68" s="112">
        <v>27.71</v>
      </c>
      <c r="M68" s="112">
        <v>93.51</v>
      </c>
      <c r="N68" s="112">
        <v>38.5</v>
      </c>
      <c r="O68" s="112">
        <v>0.2</v>
      </c>
      <c r="P68" s="112">
        <v>0.51</v>
      </c>
      <c r="Q68" s="112">
        <v>4.63</v>
      </c>
    </row>
    <row r="69" spans="1:17" customFormat="1">
      <c r="A69" s="80">
        <v>45544.635416666664</v>
      </c>
      <c r="B69" s="112">
        <v>9.27</v>
      </c>
      <c r="C69" s="112">
        <v>4.1100000000000003</v>
      </c>
      <c r="D69" s="112">
        <v>14.03</v>
      </c>
      <c r="E69" s="112">
        <v>8.8699999999999992</v>
      </c>
      <c r="F69" s="112">
        <v>9.56</v>
      </c>
      <c r="G69" s="112">
        <v>66.45</v>
      </c>
      <c r="H69" s="112">
        <v>16.75</v>
      </c>
      <c r="I69" s="112">
        <v>5.52</v>
      </c>
      <c r="J69" s="112">
        <v>0.16</v>
      </c>
      <c r="K69" s="112">
        <v>169.71</v>
      </c>
      <c r="L69" s="112">
        <v>27.65</v>
      </c>
      <c r="M69" s="112">
        <v>95.57</v>
      </c>
      <c r="N69" s="112">
        <v>57.1</v>
      </c>
      <c r="O69" s="112">
        <v>0</v>
      </c>
      <c r="P69" s="112">
        <v>0.48</v>
      </c>
      <c r="Q69" s="112">
        <v>4.6500000000000004</v>
      </c>
    </row>
    <row r="70" spans="1:17" customFormat="1">
      <c r="A70" s="80">
        <v>45544.645833333336</v>
      </c>
      <c r="B70" s="112">
        <v>9.33</v>
      </c>
      <c r="C70" s="112">
        <v>4.07</v>
      </c>
      <c r="D70" s="112">
        <v>14.06</v>
      </c>
      <c r="E70" s="112">
        <v>9.9700000000000006</v>
      </c>
      <c r="F70" s="112">
        <v>7.51</v>
      </c>
      <c r="G70" s="112">
        <v>66.45</v>
      </c>
      <c r="H70" s="112">
        <v>16.75</v>
      </c>
      <c r="I70" s="112">
        <v>5.43</v>
      </c>
      <c r="J70" s="112">
        <v>0.19</v>
      </c>
      <c r="K70" s="112">
        <v>162.15</v>
      </c>
      <c r="L70" s="112">
        <v>27.87</v>
      </c>
      <c r="M70" s="112">
        <v>94.54</v>
      </c>
      <c r="N70" s="112">
        <v>92.5</v>
      </c>
      <c r="O70" s="112">
        <v>0</v>
      </c>
      <c r="P70" s="112">
        <v>0.45</v>
      </c>
      <c r="Q70" s="112">
        <v>4.6500000000000004</v>
      </c>
    </row>
    <row r="71" spans="1:17" customFormat="1">
      <c r="A71" s="80">
        <v>45544.65625</v>
      </c>
      <c r="B71" s="112">
        <v>9.36</v>
      </c>
      <c r="C71" s="112">
        <v>4.07</v>
      </c>
      <c r="D71" s="112">
        <v>14.08</v>
      </c>
      <c r="E71" s="112">
        <v>9.91</v>
      </c>
      <c r="F71" s="112">
        <v>8.0299999999999994</v>
      </c>
      <c r="G71" s="112">
        <v>66.45</v>
      </c>
      <c r="H71" s="112">
        <v>16.75</v>
      </c>
      <c r="I71" s="112">
        <v>5.0199999999999996</v>
      </c>
      <c r="J71" s="112">
        <v>0.11</v>
      </c>
      <c r="K71" s="112">
        <v>227.88</v>
      </c>
      <c r="L71" s="112">
        <v>28.65</v>
      </c>
      <c r="M71" s="112">
        <v>91.5</v>
      </c>
      <c r="N71" s="112">
        <v>234.9</v>
      </c>
      <c r="O71" s="112">
        <v>0</v>
      </c>
      <c r="P71" s="112">
        <v>0.43</v>
      </c>
      <c r="Q71" s="112">
        <v>4.6500000000000004</v>
      </c>
    </row>
    <row r="72" spans="1:17" customFormat="1">
      <c r="A72" s="80">
        <v>45544.666666666664</v>
      </c>
      <c r="B72" s="112">
        <v>9.3000000000000007</v>
      </c>
      <c r="C72" s="112">
        <v>4.04</v>
      </c>
      <c r="D72" s="112">
        <v>14.02</v>
      </c>
      <c r="E72" s="112">
        <v>10.25</v>
      </c>
      <c r="F72" s="112">
        <v>8.94</v>
      </c>
      <c r="G72" s="112">
        <v>63.69</v>
      </c>
      <c r="H72" s="112">
        <v>17.38</v>
      </c>
      <c r="I72" s="112">
        <v>4.9800000000000004</v>
      </c>
      <c r="J72" s="112">
        <v>0.28000000000000003</v>
      </c>
      <c r="K72" s="112">
        <v>163.85</v>
      </c>
      <c r="L72" s="112">
        <v>29.58</v>
      </c>
      <c r="M72" s="112">
        <v>85.81</v>
      </c>
      <c r="N72" s="112">
        <v>165.3</v>
      </c>
      <c r="O72" s="112">
        <v>0</v>
      </c>
      <c r="P72" s="112">
        <v>0.42</v>
      </c>
      <c r="Q72" s="112">
        <v>4.6399999999999997</v>
      </c>
    </row>
    <row r="73" spans="1:17" customFormat="1">
      <c r="A73" s="80">
        <v>45544.677083333336</v>
      </c>
      <c r="B73" s="112">
        <v>9.27</v>
      </c>
      <c r="C73" s="112">
        <v>4.0599999999999996</v>
      </c>
      <c r="D73" s="112">
        <v>14.01</v>
      </c>
      <c r="E73" s="112">
        <v>10.38</v>
      </c>
      <c r="F73" s="112">
        <v>9.06</v>
      </c>
      <c r="G73" s="112">
        <v>56.11</v>
      </c>
      <c r="H73" s="112">
        <v>18.57</v>
      </c>
      <c r="I73" s="112">
        <v>4.7699999999999996</v>
      </c>
      <c r="J73" s="112">
        <v>0.23</v>
      </c>
      <c r="K73" s="112">
        <v>182.53</v>
      </c>
      <c r="L73" s="112">
        <v>29.55</v>
      </c>
      <c r="M73" s="112">
        <v>85.43</v>
      </c>
      <c r="N73" s="112">
        <v>80.3</v>
      </c>
      <c r="O73" s="112">
        <v>0</v>
      </c>
      <c r="P73" s="112">
        <v>0.41</v>
      </c>
      <c r="Q73" s="112">
        <v>4.6399999999999997</v>
      </c>
    </row>
    <row r="74" spans="1:17" customFormat="1">
      <c r="A74" s="80">
        <v>45544.6875</v>
      </c>
      <c r="B74" s="112">
        <v>9.25</v>
      </c>
      <c r="C74" s="112">
        <v>4.08</v>
      </c>
      <c r="D74" s="112">
        <v>14</v>
      </c>
      <c r="E74" s="112">
        <v>10.62</v>
      </c>
      <c r="F74" s="112">
        <v>10.63</v>
      </c>
      <c r="G74" s="112">
        <v>56.11</v>
      </c>
      <c r="H74" s="112">
        <v>18.57</v>
      </c>
      <c r="I74" s="112">
        <v>4.59</v>
      </c>
      <c r="J74" s="112">
        <v>0.28000000000000003</v>
      </c>
      <c r="K74" s="112">
        <v>171.59</v>
      </c>
      <c r="L74" s="112">
        <v>29.53</v>
      </c>
      <c r="M74" s="112">
        <v>87.42</v>
      </c>
      <c r="N74" s="112">
        <v>74.8</v>
      </c>
      <c r="O74" s="112">
        <v>0</v>
      </c>
      <c r="P74" s="112">
        <v>0.4</v>
      </c>
      <c r="Q74" s="112">
        <v>4.6399999999999997</v>
      </c>
    </row>
    <row r="75" spans="1:17" customFormat="1">
      <c r="A75" s="80">
        <v>45544.697916666664</v>
      </c>
      <c r="B75" s="112">
        <v>9.24</v>
      </c>
      <c r="C75" s="112">
        <v>4.0999999999999996</v>
      </c>
      <c r="D75" s="112">
        <v>14</v>
      </c>
      <c r="E75" s="112">
        <v>10.91</v>
      </c>
      <c r="F75" s="112">
        <v>8.7100000000000009</v>
      </c>
      <c r="G75" s="112">
        <v>56.11</v>
      </c>
      <c r="H75" s="112">
        <v>18.57</v>
      </c>
      <c r="I75" s="112">
        <v>4.54</v>
      </c>
      <c r="J75" s="112">
        <v>0.16</v>
      </c>
      <c r="K75" s="112">
        <v>184.19</v>
      </c>
      <c r="L75" s="112">
        <v>29.55</v>
      </c>
      <c r="M75" s="112">
        <v>87.53</v>
      </c>
      <c r="N75" s="112">
        <v>29.9</v>
      </c>
      <c r="O75" s="112">
        <v>0</v>
      </c>
      <c r="P75" s="112">
        <v>0.41</v>
      </c>
      <c r="Q75" s="112">
        <v>4.6399999999999997</v>
      </c>
    </row>
    <row r="76" spans="1:17" customFormat="1">
      <c r="A76" s="80">
        <v>45544.708333333336</v>
      </c>
      <c r="B76" s="112">
        <v>9.23</v>
      </c>
      <c r="C76" s="112">
        <v>4.12</v>
      </c>
      <c r="D76" s="112">
        <v>14</v>
      </c>
      <c r="E76" s="112">
        <v>10.119999999999999</v>
      </c>
      <c r="F76" s="112">
        <v>9.66</v>
      </c>
      <c r="G76" s="112">
        <v>53.67</v>
      </c>
      <c r="H76" s="112">
        <v>17.41</v>
      </c>
      <c r="I76" s="112">
        <v>4.38</v>
      </c>
      <c r="J76" s="112">
        <v>0.19</v>
      </c>
      <c r="K76" s="112">
        <v>188.54</v>
      </c>
      <c r="L76" s="112">
        <v>28.95</v>
      </c>
      <c r="M76" s="112">
        <v>89.64</v>
      </c>
      <c r="N76" s="112">
        <v>11.8</v>
      </c>
      <c r="O76" s="112">
        <v>0</v>
      </c>
      <c r="P76" s="112">
        <v>0.41</v>
      </c>
      <c r="Q76" s="112">
        <v>4.6500000000000004</v>
      </c>
    </row>
    <row r="77" spans="1:17" customFormat="1">
      <c r="A77" s="80">
        <v>45544.71875</v>
      </c>
      <c r="B77" s="112">
        <v>9.2200000000000006</v>
      </c>
      <c r="C77" s="112">
        <v>4.13</v>
      </c>
      <c r="D77" s="112">
        <v>14</v>
      </c>
      <c r="E77" s="112">
        <v>10.36</v>
      </c>
      <c r="F77" s="112">
        <v>8.4600000000000009</v>
      </c>
      <c r="G77" s="112">
        <v>46.96</v>
      </c>
      <c r="H77" s="112">
        <v>15.18</v>
      </c>
      <c r="I77" s="112">
        <v>4.3499999999999996</v>
      </c>
      <c r="J77" s="112">
        <v>0.18</v>
      </c>
      <c r="K77" s="112">
        <v>166.14</v>
      </c>
      <c r="L77" s="112">
        <v>28.81</v>
      </c>
      <c r="M77" s="112">
        <v>90.87</v>
      </c>
      <c r="N77" s="112">
        <v>11.3</v>
      </c>
      <c r="O77" s="112">
        <v>0</v>
      </c>
      <c r="P77" s="112">
        <v>0.41</v>
      </c>
      <c r="Q77" s="112">
        <v>4.66</v>
      </c>
    </row>
    <row r="78" spans="1:17" customFormat="1">
      <c r="A78" s="80">
        <v>45544.729166666664</v>
      </c>
      <c r="B78" s="112">
        <v>9.23</v>
      </c>
      <c r="C78" s="112">
        <v>4.12</v>
      </c>
      <c r="D78" s="112">
        <v>14</v>
      </c>
      <c r="E78" s="112">
        <v>10.08</v>
      </c>
      <c r="F78" s="112">
        <v>6.99</v>
      </c>
      <c r="G78" s="112">
        <v>46.96</v>
      </c>
      <c r="H78" s="112">
        <v>15.18</v>
      </c>
      <c r="I78" s="112">
        <v>4.33</v>
      </c>
      <c r="J78" s="112">
        <v>7.0000000000000007E-2</v>
      </c>
      <c r="K78" s="112">
        <v>211.46</v>
      </c>
      <c r="L78" s="112">
        <v>28.52</v>
      </c>
      <c r="M78" s="112">
        <v>93.16</v>
      </c>
      <c r="N78" s="112">
        <v>7</v>
      </c>
      <c r="O78" s="112">
        <v>0</v>
      </c>
      <c r="P78" s="112">
        <v>0.41</v>
      </c>
      <c r="Q78" s="112">
        <v>4.66</v>
      </c>
    </row>
    <row r="79" spans="1:17" customFormat="1">
      <c r="A79" s="80">
        <v>45544.739583333336</v>
      </c>
      <c r="B79" s="112">
        <v>9.23</v>
      </c>
      <c r="C79" s="112">
        <v>4.12</v>
      </c>
      <c r="D79" s="112">
        <v>14</v>
      </c>
      <c r="E79" s="112">
        <v>10.68</v>
      </c>
      <c r="F79" s="112">
        <v>4.58</v>
      </c>
      <c r="G79" s="112">
        <v>46.96</v>
      </c>
      <c r="H79" s="112">
        <v>15.18</v>
      </c>
      <c r="I79" s="112">
        <v>4.3600000000000003</v>
      </c>
      <c r="J79" s="112">
        <v>0.76</v>
      </c>
      <c r="K79" s="112">
        <v>52.29</v>
      </c>
      <c r="L79" s="112">
        <v>27.79</v>
      </c>
      <c r="M79" s="112">
        <v>88.69</v>
      </c>
      <c r="N79" s="112">
        <v>5.5</v>
      </c>
      <c r="O79" s="112">
        <v>0.6</v>
      </c>
      <c r="P79" s="112">
        <v>0.47</v>
      </c>
      <c r="Q79" s="112">
        <v>4.6500000000000004</v>
      </c>
    </row>
    <row r="80" spans="1:17" customFormat="1">
      <c r="A80" s="80">
        <v>45544.75</v>
      </c>
      <c r="B80" s="112">
        <v>9.2100000000000009</v>
      </c>
      <c r="C80" s="112">
        <v>4.1399999999999997</v>
      </c>
      <c r="D80" s="112">
        <v>14</v>
      </c>
      <c r="E80" s="112">
        <v>11.37</v>
      </c>
      <c r="F80" s="112">
        <v>4.0199999999999996</v>
      </c>
      <c r="G80" s="112">
        <v>45.28</v>
      </c>
      <c r="H80" s="112">
        <v>15.15</v>
      </c>
      <c r="I80" s="112">
        <v>4.37</v>
      </c>
      <c r="J80" s="112">
        <v>0.33</v>
      </c>
      <c r="K80" s="112">
        <v>38.28</v>
      </c>
      <c r="L80" s="112">
        <v>26.51</v>
      </c>
      <c r="M80" s="112">
        <v>92.21</v>
      </c>
      <c r="N80" s="112">
        <v>3.8</v>
      </c>
      <c r="O80" s="112">
        <v>2.2000000000000002</v>
      </c>
      <c r="P80" s="112">
        <v>0.45</v>
      </c>
      <c r="Q80" s="112">
        <v>4.63</v>
      </c>
    </row>
    <row r="81" spans="1:17" customFormat="1">
      <c r="A81" s="80">
        <v>45544.760416666664</v>
      </c>
      <c r="B81" s="112">
        <v>9.2100000000000009</v>
      </c>
      <c r="C81" s="112">
        <v>4.1500000000000004</v>
      </c>
      <c r="D81" s="112">
        <v>14</v>
      </c>
      <c r="E81" s="112">
        <v>9.56</v>
      </c>
      <c r="F81" s="112">
        <v>2.04</v>
      </c>
      <c r="G81" s="112">
        <v>40.65</v>
      </c>
      <c r="H81" s="112">
        <v>15.09</v>
      </c>
      <c r="I81" s="112">
        <v>4.75</v>
      </c>
      <c r="J81" s="112">
        <v>0.52</v>
      </c>
      <c r="K81" s="112">
        <v>272.47000000000003</v>
      </c>
      <c r="L81" s="112">
        <v>26.01</v>
      </c>
      <c r="M81" s="112">
        <v>96.58</v>
      </c>
      <c r="N81" s="112">
        <v>2.4</v>
      </c>
      <c r="O81" s="112">
        <v>0</v>
      </c>
      <c r="P81" s="112">
        <v>0.46</v>
      </c>
      <c r="Q81" s="112">
        <v>4.6399999999999997</v>
      </c>
    </row>
    <row r="82" spans="1:17" customFormat="1">
      <c r="A82" s="80">
        <v>45544.770833333336</v>
      </c>
      <c r="B82" s="112">
        <v>9.2100000000000009</v>
      </c>
      <c r="C82" s="112">
        <v>4.1500000000000004</v>
      </c>
      <c r="D82" s="112">
        <v>14</v>
      </c>
      <c r="E82" s="112">
        <v>10.07</v>
      </c>
      <c r="F82" s="112">
        <v>2.62</v>
      </c>
      <c r="G82" s="112">
        <v>40.65</v>
      </c>
      <c r="H82" s="112">
        <v>15.09</v>
      </c>
      <c r="I82" s="112">
        <v>4.7</v>
      </c>
      <c r="J82" s="112">
        <v>0.54</v>
      </c>
      <c r="K82" s="112">
        <v>270.26</v>
      </c>
      <c r="L82" s="112">
        <v>25.94</v>
      </c>
      <c r="M82" s="112">
        <v>97.04</v>
      </c>
      <c r="N82" s="112">
        <v>2.6</v>
      </c>
      <c r="O82" s="112">
        <v>0</v>
      </c>
      <c r="P82" s="112">
        <v>0.46</v>
      </c>
      <c r="Q82" s="112">
        <v>4.63</v>
      </c>
    </row>
    <row r="83" spans="1:17" customFormat="1">
      <c r="A83" s="80">
        <v>45544.78125</v>
      </c>
      <c r="B83" s="112">
        <v>9.2200000000000006</v>
      </c>
      <c r="C83" s="112">
        <v>4.13</v>
      </c>
      <c r="D83" s="112">
        <v>14</v>
      </c>
      <c r="E83" s="112">
        <v>9.8800000000000008</v>
      </c>
      <c r="F83" s="112">
        <v>2.8</v>
      </c>
      <c r="G83" s="112">
        <v>40.65</v>
      </c>
      <c r="H83" s="112">
        <v>15.09</v>
      </c>
      <c r="I83" s="112">
        <v>4.8</v>
      </c>
      <c r="J83" s="112">
        <v>0.09</v>
      </c>
      <c r="K83" s="112">
        <v>209.69</v>
      </c>
      <c r="L83" s="112">
        <v>26.04</v>
      </c>
      <c r="M83" s="112">
        <v>98.05</v>
      </c>
      <c r="N83" s="112">
        <v>2.1</v>
      </c>
      <c r="O83" s="112">
        <v>0</v>
      </c>
      <c r="P83" s="112">
        <v>0.47</v>
      </c>
      <c r="Q83" s="112">
        <v>4.6399999999999997</v>
      </c>
    </row>
    <row r="84" spans="1:17" customFormat="1">
      <c r="A84" s="80">
        <v>45544.791666666664</v>
      </c>
      <c r="B84" s="112">
        <v>9.25</v>
      </c>
      <c r="C84" s="112">
        <v>4.09</v>
      </c>
      <c r="D84" s="112">
        <v>14</v>
      </c>
      <c r="E84" s="112">
        <v>10.34</v>
      </c>
      <c r="F84" s="112">
        <v>2.83</v>
      </c>
      <c r="G84" s="112">
        <v>40.549999999999997</v>
      </c>
      <c r="H84" s="112">
        <v>14.45</v>
      </c>
      <c r="I84" s="112">
        <v>4.78</v>
      </c>
      <c r="J84" s="112">
        <v>0.32</v>
      </c>
      <c r="K84" s="112">
        <v>267.07</v>
      </c>
      <c r="L84" s="112">
        <v>26.05</v>
      </c>
      <c r="M84" s="112">
        <v>98.5</v>
      </c>
      <c r="N84" s="112">
        <v>2.4</v>
      </c>
      <c r="O84" s="112">
        <v>0</v>
      </c>
      <c r="P84" s="112">
        <v>0.47</v>
      </c>
      <c r="Q84" s="112">
        <v>4.63</v>
      </c>
    </row>
    <row r="85" spans="1:17" customFormat="1">
      <c r="A85" s="80">
        <v>45544.802083333336</v>
      </c>
      <c r="B85" s="112">
        <v>9.24</v>
      </c>
      <c r="C85" s="112">
        <v>4.09</v>
      </c>
      <c r="D85" s="112">
        <v>14</v>
      </c>
      <c r="E85" s="112">
        <v>10.36</v>
      </c>
      <c r="F85" s="112">
        <v>2.39</v>
      </c>
      <c r="G85" s="112">
        <v>40.299999999999997</v>
      </c>
      <c r="H85" s="112">
        <v>13.26</v>
      </c>
      <c r="I85" s="112">
        <v>4.5999999999999996</v>
      </c>
      <c r="J85" s="112">
        <v>0.42</v>
      </c>
      <c r="K85" s="112">
        <v>266.8</v>
      </c>
      <c r="L85" s="112">
        <v>26.16</v>
      </c>
      <c r="M85" s="112">
        <v>98.89</v>
      </c>
      <c r="N85" s="112">
        <v>2.2999999999999998</v>
      </c>
      <c r="O85" s="112">
        <v>0</v>
      </c>
      <c r="P85" s="112">
        <v>0.48</v>
      </c>
      <c r="Q85" s="112">
        <v>4.6399999999999997</v>
      </c>
    </row>
    <row r="86" spans="1:17" customFormat="1">
      <c r="A86" s="80">
        <v>45544.8125</v>
      </c>
      <c r="B86" s="112">
        <v>9.2200000000000006</v>
      </c>
      <c r="C86" s="112">
        <v>4.12</v>
      </c>
      <c r="D86" s="112">
        <v>14</v>
      </c>
      <c r="E86" s="112">
        <v>10.4</v>
      </c>
      <c r="F86" s="112">
        <v>2.5</v>
      </c>
      <c r="G86" s="112">
        <v>40.299999999999997</v>
      </c>
      <c r="H86" s="112">
        <v>13.26</v>
      </c>
      <c r="I86" s="112">
        <v>4.83</v>
      </c>
      <c r="J86" s="112">
        <v>0.54</v>
      </c>
      <c r="K86" s="112">
        <v>273.87</v>
      </c>
      <c r="L86" s="112">
        <v>26.16</v>
      </c>
      <c r="M86" s="112">
        <v>98.85</v>
      </c>
      <c r="N86" s="112">
        <v>2.7</v>
      </c>
      <c r="O86" s="112">
        <v>0</v>
      </c>
      <c r="P86" s="112">
        <v>0.47</v>
      </c>
      <c r="Q86" s="112">
        <v>4.66</v>
      </c>
    </row>
    <row r="87" spans="1:17" customFormat="1">
      <c r="A87" s="80">
        <v>45544.822916666664</v>
      </c>
      <c r="B87" s="112">
        <v>9.23</v>
      </c>
      <c r="C87" s="112">
        <v>4.12</v>
      </c>
      <c r="D87" s="112">
        <v>14</v>
      </c>
      <c r="E87" s="112">
        <v>9.9700000000000006</v>
      </c>
      <c r="F87" s="112">
        <v>2.74</v>
      </c>
      <c r="G87" s="112">
        <v>40.299999999999997</v>
      </c>
      <c r="H87" s="112">
        <v>13.26</v>
      </c>
      <c r="I87" s="112">
        <v>4.87</v>
      </c>
      <c r="J87" s="112">
        <v>0.77</v>
      </c>
      <c r="K87" s="112">
        <v>272.82</v>
      </c>
      <c r="L87" s="112">
        <v>26</v>
      </c>
      <c r="M87" s="112">
        <v>99.08</v>
      </c>
      <c r="N87" s="112">
        <v>2.7</v>
      </c>
      <c r="O87" s="112">
        <v>0.2</v>
      </c>
      <c r="P87" s="112">
        <v>0.48</v>
      </c>
      <c r="Q87" s="112">
        <v>4.6399999999999997</v>
      </c>
    </row>
    <row r="88" spans="1:17" customFormat="1">
      <c r="A88" s="80">
        <v>45544.833333333336</v>
      </c>
      <c r="B88" s="112">
        <v>9.2200000000000006</v>
      </c>
      <c r="C88" s="112">
        <v>4.12</v>
      </c>
      <c r="D88" s="112">
        <v>14</v>
      </c>
      <c r="E88" s="112">
        <v>9.84</v>
      </c>
      <c r="F88" s="112">
        <v>2.5</v>
      </c>
      <c r="G88" s="112">
        <v>39.81</v>
      </c>
      <c r="H88" s="112">
        <v>13.65</v>
      </c>
      <c r="I88" s="112">
        <v>4.93</v>
      </c>
      <c r="J88" s="112">
        <v>0.16</v>
      </c>
      <c r="K88" s="112">
        <v>299.49</v>
      </c>
      <c r="L88" s="112">
        <v>25.92</v>
      </c>
      <c r="M88" s="112">
        <v>99.68</v>
      </c>
      <c r="N88" s="112">
        <v>2.2999999999999998</v>
      </c>
      <c r="O88" s="112">
        <v>3.6</v>
      </c>
      <c r="P88" s="112">
        <v>0.5</v>
      </c>
      <c r="Q88" s="112">
        <v>4.6399999999999997</v>
      </c>
    </row>
    <row r="89" spans="1:17" customFormat="1">
      <c r="A89" s="80">
        <v>45544.84375</v>
      </c>
      <c r="B89" s="112">
        <v>9.2100000000000009</v>
      </c>
      <c r="C89" s="112">
        <v>4.1500000000000004</v>
      </c>
      <c r="D89" s="112">
        <v>14</v>
      </c>
      <c r="E89" s="112">
        <v>10.18</v>
      </c>
      <c r="F89" s="112">
        <v>2.0699999999999998</v>
      </c>
      <c r="G89" s="112">
        <v>38.47</v>
      </c>
      <c r="H89" s="112">
        <v>15.3</v>
      </c>
      <c r="I89" s="112">
        <v>4.95</v>
      </c>
      <c r="J89" s="112">
        <v>0.21</v>
      </c>
      <c r="K89" s="112">
        <v>355</v>
      </c>
      <c r="L89" s="112">
        <v>25.69</v>
      </c>
      <c r="M89" s="112">
        <v>100.5</v>
      </c>
      <c r="N89" s="112">
        <v>2.8</v>
      </c>
      <c r="O89" s="112">
        <v>2.4</v>
      </c>
      <c r="P89" s="112">
        <v>0.5</v>
      </c>
      <c r="Q89" s="112">
        <v>4.63</v>
      </c>
    </row>
    <row r="90" spans="1:17" customFormat="1">
      <c r="A90" s="80">
        <v>45544.854166666664</v>
      </c>
      <c r="B90" s="112">
        <v>9.23</v>
      </c>
      <c r="C90" s="112">
        <v>4.12</v>
      </c>
      <c r="D90" s="112">
        <v>14</v>
      </c>
      <c r="E90" s="112">
        <v>10.029999999999999</v>
      </c>
      <c r="F90" s="112">
        <v>2.5</v>
      </c>
      <c r="G90" s="112">
        <v>38.47</v>
      </c>
      <c r="H90" s="112">
        <v>15.3</v>
      </c>
      <c r="I90" s="112">
        <v>5.05</v>
      </c>
      <c r="J90" s="112">
        <v>0.53</v>
      </c>
      <c r="K90" s="112">
        <v>285.67</v>
      </c>
      <c r="L90" s="112">
        <v>25.66</v>
      </c>
      <c r="M90" s="112">
        <v>100.61</v>
      </c>
      <c r="N90" s="112">
        <v>2.4</v>
      </c>
      <c r="O90" s="112">
        <v>0.8</v>
      </c>
      <c r="P90" s="112">
        <v>0.49</v>
      </c>
      <c r="Q90" s="112">
        <v>4.62</v>
      </c>
    </row>
    <row r="91" spans="1:17" customFormat="1">
      <c r="A91" s="80">
        <v>45544.864583333336</v>
      </c>
      <c r="B91" s="112">
        <v>9.2200000000000006</v>
      </c>
      <c r="C91" s="112">
        <v>4.13</v>
      </c>
      <c r="D91" s="112">
        <v>14</v>
      </c>
      <c r="E91" s="112">
        <v>9.3000000000000007</v>
      </c>
      <c r="F91" s="112">
        <v>3.61</v>
      </c>
      <c r="G91" s="112">
        <v>38.47</v>
      </c>
      <c r="H91" s="112">
        <v>15.3</v>
      </c>
      <c r="I91" s="112">
        <v>5.21</v>
      </c>
      <c r="J91" s="112">
        <v>0.74</v>
      </c>
      <c r="K91" s="112">
        <v>270.64999999999998</v>
      </c>
      <c r="L91" s="112">
        <v>25.69</v>
      </c>
      <c r="M91" s="112">
        <v>100.61</v>
      </c>
      <c r="N91" s="112">
        <v>2.5</v>
      </c>
      <c r="O91" s="112">
        <v>0.2</v>
      </c>
      <c r="P91" s="112">
        <v>0.48</v>
      </c>
      <c r="Q91" s="112">
        <v>4.62</v>
      </c>
    </row>
    <row r="92" spans="1:17" customFormat="1">
      <c r="A92" s="80">
        <v>45544.875</v>
      </c>
      <c r="B92" s="112">
        <v>9.2200000000000006</v>
      </c>
      <c r="C92" s="112">
        <v>4.12</v>
      </c>
      <c r="D92" s="112">
        <v>14</v>
      </c>
      <c r="E92" s="112">
        <v>9.15</v>
      </c>
      <c r="F92" s="112">
        <v>3.24</v>
      </c>
      <c r="G92" s="112">
        <v>38.18</v>
      </c>
      <c r="H92" s="112">
        <v>14.05</v>
      </c>
      <c r="I92" s="112">
        <v>5.22</v>
      </c>
      <c r="J92" s="112">
        <v>0.77</v>
      </c>
      <c r="K92" s="112">
        <v>273.54000000000002</v>
      </c>
      <c r="L92" s="112">
        <v>25.67</v>
      </c>
      <c r="M92" s="112">
        <v>100.61</v>
      </c>
      <c r="N92" s="112">
        <v>2.5</v>
      </c>
      <c r="O92" s="112">
        <v>0</v>
      </c>
      <c r="P92" s="112">
        <v>0.48</v>
      </c>
      <c r="Q92" s="112">
        <v>4.62</v>
      </c>
    </row>
    <row r="93" spans="1:17" customFormat="1">
      <c r="A93" s="80">
        <v>45544.885416666664</v>
      </c>
      <c r="B93" s="112">
        <v>9.2100000000000009</v>
      </c>
      <c r="C93" s="112">
        <v>4.1399999999999997</v>
      </c>
      <c r="D93" s="112">
        <v>14</v>
      </c>
      <c r="E93" s="112">
        <v>8.91</v>
      </c>
      <c r="F93" s="112">
        <v>2.72</v>
      </c>
      <c r="G93" s="112">
        <v>37.380000000000003</v>
      </c>
      <c r="H93" s="112">
        <v>11.73</v>
      </c>
      <c r="I93" s="112">
        <v>5.24</v>
      </c>
      <c r="J93" s="112">
        <v>0.92</v>
      </c>
      <c r="K93" s="112">
        <v>273.26</v>
      </c>
      <c r="L93" s="112">
        <v>25.55</v>
      </c>
      <c r="M93" s="112">
        <v>100.41</v>
      </c>
      <c r="N93" s="112">
        <v>2.7</v>
      </c>
      <c r="O93" s="112">
        <v>0.4</v>
      </c>
      <c r="P93" s="112">
        <v>0.47</v>
      </c>
      <c r="Q93" s="112">
        <v>4.6399999999999997</v>
      </c>
    </row>
    <row r="94" spans="1:17" customFormat="1">
      <c r="A94" s="80">
        <v>45544.895833333336</v>
      </c>
      <c r="B94" s="112">
        <v>9.1999999999999993</v>
      </c>
      <c r="C94" s="112">
        <v>4.16</v>
      </c>
      <c r="D94" s="112">
        <v>14</v>
      </c>
      <c r="E94" s="112">
        <v>8.7899999999999991</v>
      </c>
      <c r="F94" s="112">
        <v>2.72</v>
      </c>
      <c r="G94" s="112">
        <v>37.380000000000003</v>
      </c>
      <c r="H94" s="112">
        <v>11.73</v>
      </c>
      <c r="I94" s="112">
        <v>5.28</v>
      </c>
      <c r="J94" s="112">
        <v>1.06</v>
      </c>
      <c r="K94" s="112">
        <v>273.31</v>
      </c>
      <c r="L94" s="112">
        <v>25.42</v>
      </c>
      <c r="M94" s="112">
        <v>100.26</v>
      </c>
      <c r="N94" s="112">
        <v>2.7</v>
      </c>
      <c r="O94" s="112">
        <v>0</v>
      </c>
      <c r="P94" s="112">
        <v>0.46</v>
      </c>
      <c r="Q94" s="112">
        <v>4.63</v>
      </c>
    </row>
    <row r="95" spans="1:17" customFormat="1">
      <c r="A95" s="80">
        <v>45544.90625</v>
      </c>
      <c r="B95" s="112">
        <v>9.1999999999999993</v>
      </c>
      <c r="C95" s="112">
        <v>4.16</v>
      </c>
      <c r="D95" s="112">
        <v>14</v>
      </c>
      <c r="E95" s="112">
        <v>7.78</v>
      </c>
      <c r="F95" s="112">
        <v>2.83</v>
      </c>
      <c r="G95" s="112">
        <v>37.380000000000003</v>
      </c>
      <c r="H95" s="112">
        <v>11.73</v>
      </c>
      <c r="I95" s="112">
        <v>5.19</v>
      </c>
      <c r="J95" s="112">
        <v>0.79</v>
      </c>
      <c r="K95" s="112">
        <v>274.86</v>
      </c>
      <c r="L95" s="112">
        <v>25.36</v>
      </c>
      <c r="M95" s="112">
        <v>100.18</v>
      </c>
      <c r="N95" s="112">
        <v>2.4</v>
      </c>
      <c r="O95" s="112">
        <v>0.8</v>
      </c>
      <c r="P95" s="112">
        <v>0.48</v>
      </c>
      <c r="Q95" s="112">
        <v>4.63</v>
      </c>
    </row>
    <row r="96" spans="1:17" customFormat="1">
      <c r="A96" s="80">
        <v>45544.916666666664</v>
      </c>
      <c r="B96" s="112">
        <v>9.1999999999999993</v>
      </c>
      <c r="C96" s="112">
        <v>4.1500000000000004</v>
      </c>
      <c r="D96" s="112">
        <v>14</v>
      </c>
      <c r="E96" s="112">
        <v>7.5</v>
      </c>
      <c r="F96" s="112">
        <v>2.84</v>
      </c>
      <c r="G96" s="112">
        <v>34.619999999999997</v>
      </c>
      <c r="H96" s="112">
        <v>12.4</v>
      </c>
      <c r="I96" s="112">
        <v>5.5</v>
      </c>
      <c r="J96" s="112">
        <v>0.79</v>
      </c>
      <c r="K96" s="112">
        <v>273.20999999999998</v>
      </c>
      <c r="L96" s="112">
        <v>25.32</v>
      </c>
      <c r="M96" s="112">
        <v>100.04</v>
      </c>
      <c r="N96" s="112">
        <v>2.4</v>
      </c>
      <c r="O96" s="112">
        <v>0.2</v>
      </c>
      <c r="P96" s="112">
        <v>0.53</v>
      </c>
      <c r="Q96" s="112">
        <v>4.63</v>
      </c>
    </row>
    <row r="97" spans="1:22" customFormat="1">
      <c r="A97" s="80">
        <v>45544.927083333336</v>
      </c>
      <c r="B97" s="112">
        <v>9.19</v>
      </c>
      <c r="C97" s="112">
        <v>4.17</v>
      </c>
      <c r="D97" s="112">
        <v>14</v>
      </c>
      <c r="E97" s="112">
        <v>7.22</v>
      </c>
      <c r="F97" s="112">
        <v>3.69</v>
      </c>
      <c r="G97" s="112">
        <v>27.02</v>
      </c>
      <c r="H97" s="112">
        <v>13.64</v>
      </c>
      <c r="I97" s="112">
        <v>5.9</v>
      </c>
      <c r="J97" s="112">
        <v>0.49</v>
      </c>
      <c r="K97" s="112">
        <v>269.33999999999997</v>
      </c>
      <c r="L97" s="112">
        <v>25.41</v>
      </c>
      <c r="M97" s="112">
        <v>100.12</v>
      </c>
      <c r="N97" s="112">
        <v>2.2999999999999998</v>
      </c>
      <c r="O97" s="112">
        <v>0.2</v>
      </c>
      <c r="P97" s="112">
        <v>0.49</v>
      </c>
      <c r="Q97" s="112">
        <v>4.63</v>
      </c>
    </row>
    <row r="98" spans="1:22" customFormat="1">
      <c r="A98" s="80">
        <v>45544.9375</v>
      </c>
      <c r="B98" s="112">
        <v>9.1999999999999993</v>
      </c>
      <c r="C98" s="112">
        <v>4.16</v>
      </c>
      <c r="D98" s="112">
        <v>14</v>
      </c>
      <c r="E98" s="112">
        <v>7.33</v>
      </c>
      <c r="F98" s="112">
        <v>3.96</v>
      </c>
      <c r="G98" s="112">
        <v>27.02</v>
      </c>
      <c r="H98" s="112">
        <v>13.64</v>
      </c>
      <c r="I98" s="112">
        <v>6.69</v>
      </c>
      <c r="J98" s="112">
        <v>0.11</v>
      </c>
      <c r="K98" s="112">
        <v>127.72</v>
      </c>
      <c r="L98" s="112">
        <v>25.46</v>
      </c>
      <c r="M98" s="112">
        <v>100.19</v>
      </c>
      <c r="N98" s="112">
        <v>2.4</v>
      </c>
      <c r="O98" s="112">
        <v>2</v>
      </c>
      <c r="P98" s="112">
        <v>0.47</v>
      </c>
      <c r="Q98" s="112">
        <v>4.62</v>
      </c>
    </row>
    <row r="99" spans="1:22" customFormat="1">
      <c r="A99" s="80">
        <v>45544.947916666664</v>
      </c>
      <c r="B99" s="112">
        <v>9.1999999999999993</v>
      </c>
      <c r="C99" s="112">
        <v>4.16</v>
      </c>
      <c r="D99" s="112">
        <v>14</v>
      </c>
      <c r="E99" s="112">
        <v>7.2</v>
      </c>
      <c r="F99" s="112">
        <v>4.24</v>
      </c>
      <c r="G99" s="112">
        <v>27.02</v>
      </c>
      <c r="H99" s="112">
        <v>13.64</v>
      </c>
      <c r="I99" s="112">
        <v>6.12</v>
      </c>
      <c r="J99" s="112">
        <v>0.35</v>
      </c>
      <c r="K99" s="112">
        <v>281.77999999999997</v>
      </c>
      <c r="L99" s="112">
        <v>25.25</v>
      </c>
      <c r="M99" s="112">
        <v>100.16</v>
      </c>
      <c r="N99" s="112">
        <v>2.8</v>
      </c>
      <c r="O99" s="112">
        <v>10.4</v>
      </c>
      <c r="P99" s="112">
        <v>0.46</v>
      </c>
      <c r="Q99" s="112">
        <v>4.62</v>
      </c>
    </row>
    <row r="100" spans="1:22" customFormat="1">
      <c r="A100" s="80">
        <v>45544.958333333336</v>
      </c>
      <c r="B100" s="112">
        <v>9.2100000000000009</v>
      </c>
      <c r="C100" s="112">
        <v>4.1399999999999997</v>
      </c>
      <c r="D100" s="112">
        <v>14</v>
      </c>
      <c r="E100" s="112">
        <v>7.27</v>
      </c>
      <c r="F100" s="112">
        <v>4.96</v>
      </c>
      <c r="G100" s="112">
        <v>26.14</v>
      </c>
      <c r="H100" s="112">
        <v>12.38</v>
      </c>
      <c r="I100" s="112">
        <v>6.06</v>
      </c>
      <c r="J100" s="112">
        <v>0.18</v>
      </c>
      <c r="K100" s="112">
        <v>252.95</v>
      </c>
      <c r="L100" s="112">
        <v>25.12</v>
      </c>
      <c r="M100" s="112">
        <v>100.17</v>
      </c>
      <c r="N100" s="112">
        <v>2.4</v>
      </c>
      <c r="O100" s="112">
        <v>1.6</v>
      </c>
      <c r="P100" s="112">
        <v>0.46</v>
      </c>
      <c r="Q100" s="112">
        <v>4.62</v>
      </c>
    </row>
    <row r="101" spans="1:22" customFormat="1">
      <c r="A101" s="80">
        <v>45544.96875</v>
      </c>
      <c r="B101" s="112">
        <v>9.2200000000000006</v>
      </c>
      <c r="C101" s="112">
        <v>4.13</v>
      </c>
      <c r="D101" s="112">
        <v>14</v>
      </c>
      <c r="E101" s="112">
        <v>7.36</v>
      </c>
      <c r="F101" s="112">
        <v>4.82</v>
      </c>
      <c r="G101" s="112">
        <v>23.74</v>
      </c>
      <c r="H101" s="112">
        <v>10.039999999999999</v>
      </c>
      <c r="I101" s="112">
        <v>5.67</v>
      </c>
      <c r="J101" s="112">
        <v>0.09</v>
      </c>
      <c r="K101" s="112">
        <v>199.55</v>
      </c>
      <c r="L101" s="112">
        <v>25.14</v>
      </c>
      <c r="M101" s="112">
        <v>100.23</v>
      </c>
      <c r="N101" s="112">
        <v>2.4</v>
      </c>
      <c r="O101" s="112">
        <v>1.2</v>
      </c>
      <c r="P101" s="112">
        <v>0.48</v>
      </c>
      <c r="Q101" s="112">
        <v>4.63</v>
      </c>
    </row>
    <row r="102" spans="1:22" customFormat="1">
      <c r="A102" s="80">
        <v>45544.979166666664</v>
      </c>
      <c r="B102" s="112">
        <v>9.2200000000000006</v>
      </c>
      <c r="C102" s="112">
        <v>4.12</v>
      </c>
      <c r="D102" s="112">
        <v>14</v>
      </c>
      <c r="E102" s="112">
        <v>7.07</v>
      </c>
      <c r="F102" s="112">
        <v>5.03</v>
      </c>
      <c r="G102" s="112">
        <v>23.74</v>
      </c>
      <c r="H102" s="112">
        <v>10.039999999999999</v>
      </c>
      <c r="I102" s="112">
        <v>5.47</v>
      </c>
      <c r="J102" s="112">
        <v>0.11</v>
      </c>
      <c r="K102" s="112">
        <v>83.45</v>
      </c>
      <c r="L102" s="112">
        <v>25.22</v>
      </c>
      <c r="M102" s="112">
        <v>100.18</v>
      </c>
      <c r="N102" s="112">
        <v>2.4</v>
      </c>
      <c r="O102" s="112">
        <v>2</v>
      </c>
      <c r="P102" s="112">
        <v>0.48</v>
      </c>
      <c r="Q102" s="112">
        <v>4.63</v>
      </c>
    </row>
    <row r="103" spans="1:22" customFormat="1">
      <c r="A103" s="80">
        <v>45544.989583333336</v>
      </c>
      <c r="B103" s="112">
        <v>9.23</v>
      </c>
      <c r="C103" s="112">
        <v>4.1100000000000003</v>
      </c>
      <c r="D103" s="112">
        <v>14</v>
      </c>
      <c r="E103" s="112">
        <v>6.97</v>
      </c>
      <c r="F103" s="112">
        <v>4.09</v>
      </c>
      <c r="G103" s="112">
        <v>23.74</v>
      </c>
      <c r="H103" s="112">
        <v>10.039999999999999</v>
      </c>
      <c r="I103" s="112">
        <v>5.53</v>
      </c>
      <c r="J103" s="112">
        <v>0.38</v>
      </c>
      <c r="K103" s="112">
        <v>269.26</v>
      </c>
      <c r="L103" s="112">
        <v>25.19</v>
      </c>
      <c r="M103" s="112">
        <v>100.14</v>
      </c>
      <c r="N103" s="112">
        <v>2.5</v>
      </c>
      <c r="O103" s="112">
        <v>2.2000000000000002</v>
      </c>
      <c r="P103" s="112">
        <v>0.48</v>
      </c>
      <c r="Q103" s="112">
        <v>4.6399999999999997</v>
      </c>
    </row>
    <row r="104" spans="1:22" customFormat="1">
      <c r="A104" s="80">
        <v>45545</v>
      </c>
      <c r="B104" s="112">
        <v>9.25</v>
      </c>
      <c r="C104" s="112">
        <v>4.07</v>
      </c>
      <c r="D104" s="112">
        <v>14</v>
      </c>
      <c r="E104" s="112">
        <v>7.23</v>
      </c>
      <c r="F104" s="112">
        <v>6.47</v>
      </c>
      <c r="G104" s="112">
        <v>22.16</v>
      </c>
      <c r="H104" s="112">
        <v>9.0500000000000007</v>
      </c>
      <c r="I104" s="112">
        <v>5.45</v>
      </c>
      <c r="J104" s="112">
        <v>0.05</v>
      </c>
      <c r="K104" s="112">
        <v>32.46</v>
      </c>
      <c r="L104" s="112">
        <v>25.14</v>
      </c>
      <c r="M104" s="112">
        <v>100.1</v>
      </c>
      <c r="N104" s="112">
        <v>2.6</v>
      </c>
      <c r="O104" s="112">
        <v>0.6</v>
      </c>
      <c r="P104" s="112">
        <v>0.47</v>
      </c>
      <c r="Q104" s="112">
        <v>4.6399999999999997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9.19</v>
      </c>
      <c r="C106" s="183">
        <f>MIN(C9:C104)</f>
        <v>4.03</v>
      </c>
      <c r="D106" s="183">
        <f t="shared" ref="D106:Q106" si="0">MIN(D9:D104)</f>
        <v>14</v>
      </c>
      <c r="E106" s="183">
        <f t="shared" si="0"/>
        <v>6.97</v>
      </c>
      <c r="F106" s="183">
        <f t="shared" si="0"/>
        <v>1.66</v>
      </c>
      <c r="G106" s="183">
        <f t="shared" si="0"/>
        <v>22.16</v>
      </c>
      <c r="H106" s="183">
        <f t="shared" si="0"/>
        <v>9.0500000000000007</v>
      </c>
      <c r="I106" s="183">
        <f t="shared" si="0"/>
        <v>4.2300000000000004</v>
      </c>
      <c r="J106" s="183">
        <f t="shared" si="0"/>
        <v>0.05</v>
      </c>
      <c r="K106" s="183">
        <f t="shared" si="0"/>
        <v>32.46</v>
      </c>
      <c r="L106" s="183">
        <f t="shared" si="0"/>
        <v>25.12</v>
      </c>
      <c r="M106" s="183">
        <f t="shared" si="0"/>
        <v>67.239999999999995</v>
      </c>
      <c r="N106" s="183">
        <f t="shared" si="0"/>
        <v>2.1</v>
      </c>
      <c r="O106" s="183">
        <f t="shared" si="0"/>
        <v>0</v>
      </c>
      <c r="P106" s="183">
        <f t="shared" si="0"/>
        <v>0.4</v>
      </c>
      <c r="Q106" s="183">
        <f t="shared" si="0"/>
        <v>4.5999999999999996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9.36</v>
      </c>
      <c r="C107" s="184">
        <f t="shared" ref="C107:Q107" si="1">MAX(C9:C104)</f>
        <v>4.17</v>
      </c>
      <c r="D107" s="184">
        <f t="shared" si="1"/>
        <v>14.08</v>
      </c>
      <c r="E107" s="184">
        <f t="shared" si="1"/>
        <v>16.04</v>
      </c>
      <c r="F107" s="184">
        <f t="shared" si="1"/>
        <v>14.31</v>
      </c>
      <c r="G107" s="184">
        <f t="shared" si="1"/>
        <v>106.35</v>
      </c>
      <c r="H107" s="184">
        <f t="shared" si="1"/>
        <v>32.82</v>
      </c>
      <c r="I107" s="184">
        <f t="shared" si="1"/>
        <v>6.69</v>
      </c>
      <c r="J107" s="184">
        <f t="shared" si="1"/>
        <v>1.1200000000000001</v>
      </c>
      <c r="K107" s="184">
        <f t="shared" si="1"/>
        <v>355</v>
      </c>
      <c r="L107" s="184">
        <f t="shared" si="1"/>
        <v>31.98</v>
      </c>
      <c r="M107" s="184">
        <f t="shared" si="1"/>
        <v>100.61</v>
      </c>
      <c r="N107" s="184">
        <f t="shared" si="1"/>
        <v>455.4</v>
      </c>
      <c r="O107" s="184">
        <f t="shared" si="1"/>
        <v>10.4</v>
      </c>
      <c r="P107" s="184">
        <f t="shared" si="1"/>
        <v>0.66</v>
      </c>
      <c r="Q107" s="184">
        <f t="shared" si="1"/>
        <v>4.66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9.2545833333333398</v>
      </c>
      <c r="C108" s="183">
        <f t="shared" ref="C108:Q108" si="2">AVERAGE(C9:C104)</f>
        <v>4.0931250000000006</v>
      </c>
      <c r="D108" s="183">
        <f t="shared" si="2"/>
        <v>14.009999999999991</v>
      </c>
      <c r="E108" s="183">
        <f t="shared" si="2"/>
        <v>10.868437499999999</v>
      </c>
      <c r="F108" s="183">
        <f t="shared" si="2"/>
        <v>6.0870833333333385</v>
      </c>
      <c r="G108" s="183">
        <f t="shared" si="2"/>
        <v>67.353749999999991</v>
      </c>
      <c r="H108" s="183">
        <f t="shared" si="2"/>
        <v>21.698645833333341</v>
      </c>
      <c r="I108" s="183">
        <f t="shared" si="2"/>
        <v>5.0435416666666653</v>
      </c>
      <c r="J108" s="183">
        <f t="shared" si="2"/>
        <v>0.51062500000000011</v>
      </c>
      <c r="K108" s="183">
        <f t="shared" si="2"/>
        <v>114.755</v>
      </c>
      <c r="L108" s="183">
        <f t="shared" si="2"/>
        <v>27.674270833333335</v>
      </c>
      <c r="M108" s="183">
        <f t="shared" si="2"/>
        <v>90.88562499999999</v>
      </c>
      <c r="N108" s="183">
        <f t="shared" si="2"/>
        <v>74.490624999999994</v>
      </c>
      <c r="O108" s="183">
        <f t="shared" si="2"/>
        <v>0.35000000000000003</v>
      </c>
      <c r="P108" s="183">
        <f t="shared" si="2"/>
        <v>0.4892708333333331</v>
      </c>
      <c r="Q108" s="183">
        <f t="shared" si="2"/>
        <v>4.6351041666666637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3.4699208747740649E-2</v>
      </c>
      <c r="C109" s="183">
        <f t="shared" ref="C109:Q109" si="3">STDEV(C9:C104)</f>
        <v>3.3944614331367313E-2</v>
      </c>
      <c r="D109" s="183">
        <f t="shared" si="3"/>
        <v>1.5217718205053583E-2</v>
      </c>
      <c r="E109" s="183">
        <f t="shared" si="3"/>
        <v>2.2257939225198533</v>
      </c>
      <c r="F109" s="183">
        <f t="shared" si="3"/>
        <v>3.0785830358741104</v>
      </c>
      <c r="G109" s="183">
        <f t="shared" si="3"/>
        <v>22.50931317196698</v>
      </c>
      <c r="H109" s="183">
        <f t="shared" si="3"/>
        <v>6.489571005169716</v>
      </c>
      <c r="I109" s="183">
        <f t="shared" si="3"/>
        <v>0.47546316292459012</v>
      </c>
      <c r="J109" s="183">
        <f t="shared" si="3"/>
        <v>0.26594345461513308</v>
      </c>
      <c r="K109" s="183">
        <f t="shared" si="3"/>
        <v>94.137282932400041</v>
      </c>
      <c r="L109" s="183">
        <f t="shared" si="3"/>
        <v>2.0155635204142062</v>
      </c>
      <c r="M109" s="183">
        <f t="shared" si="3"/>
        <v>10.100158811935588</v>
      </c>
      <c r="N109" s="183">
        <f t="shared" si="3"/>
        <v>108.63860424470138</v>
      </c>
      <c r="O109" s="183">
        <f t="shared" si="3"/>
        <v>1.2215606928498435</v>
      </c>
      <c r="P109" s="183">
        <f t="shared" si="3"/>
        <v>5.1936090112181678E-2</v>
      </c>
      <c r="Q109" s="183">
        <f t="shared" si="3"/>
        <v>1.2977291231967418E-2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2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45545.010416666664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45545.010416666664</v>
      </c>
      <c r="B9" s="112">
        <v>9.3000000000000007</v>
      </c>
      <c r="C9" s="112">
        <v>4.05</v>
      </c>
      <c r="D9" s="112">
        <v>14.03</v>
      </c>
      <c r="E9" s="112">
        <v>6.78</v>
      </c>
      <c r="F9" s="112">
        <v>7.63</v>
      </c>
      <c r="G9" s="112">
        <v>17.829999999999998</v>
      </c>
      <c r="H9" s="112">
        <v>7.19</v>
      </c>
      <c r="I9" s="112">
        <v>5.61</v>
      </c>
      <c r="J9" s="112">
        <v>0.15</v>
      </c>
      <c r="K9" s="112">
        <v>74.709999999999994</v>
      </c>
      <c r="L9" s="112">
        <v>25.12</v>
      </c>
      <c r="M9" s="112">
        <v>100.14</v>
      </c>
      <c r="N9" s="112">
        <v>2.5</v>
      </c>
      <c r="O9" s="112">
        <v>0.6</v>
      </c>
      <c r="P9" s="112">
        <v>0.45</v>
      </c>
      <c r="Q9" s="112">
        <v>4.6399999999999997</v>
      </c>
    </row>
    <row r="10" spans="1:21" customFormat="1">
      <c r="A10" s="80">
        <v>45545.020833333336</v>
      </c>
      <c r="B10" s="112">
        <v>9.31</v>
      </c>
      <c r="C10" s="112">
        <v>4.0599999999999996</v>
      </c>
      <c r="D10" s="112">
        <v>14.04</v>
      </c>
      <c r="E10" s="112">
        <v>6.68</v>
      </c>
      <c r="F10" s="112">
        <v>4.08</v>
      </c>
      <c r="G10" s="112">
        <v>17.829999999999998</v>
      </c>
      <c r="H10" s="112">
        <v>7.19</v>
      </c>
      <c r="I10" s="112">
        <v>5.4</v>
      </c>
      <c r="J10" s="112">
        <v>0.37</v>
      </c>
      <c r="K10" s="112">
        <v>293.11</v>
      </c>
      <c r="L10" s="112">
        <v>25.11</v>
      </c>
      <c r="M10" s="112">
        <v>100.18</v>
      </c>
      <c r="N10" s="112">
        <v>2.5</v>
      </c>
      <c r="O10" s="112">
        <v>0.4</v>
      </c>
      <c r="P10" s="112">
        <v>0.45</v>
      </c>
      <c r="Q10" s="112">
        <v>4.6500000000000004</v>
      </c>
    </row>
    <row r="11" spans="1:21" customFormat="1">
      <c r="A11" s="80">
        <v>45545.03125</v>
      </c>
      <c r="B11" s="112">
        <v>9.31</v>
      </c>
      <c r="C11" s="112">
        <v>4.05</v>
      </c>
      <c r="D11" s="112">
        <v>14.03</v>
      </c>
      <c r="E11" s="112">
        <v>6.98</v>
      </c>
      <c r="F11" s="112">
        <v>3.4</v>
      </c>
      <c r="G11" s="112">
        <v>17.829999999999998</v>
      </c>
      <c r="H11" s="112">
        <v>7.19</v>
      </c>
      <c r="I11" s="112">
        <v>5.29</v>
      </c>
      <c r="J11" s="112">
        <v>0.22</v>
      </c>
      <c r="K11" s="112">
        <v>332.15</v>
      </c>
      <c r="L11" s="112">
        <v>25.04</v>
      </c>
      <c r="M11" s="112">
        <v>100.15</v>
      </c>
      <c r="N11" s="112">
        <v>2.6</v>
      </c>
      <c r="O11" s="112">
        <v>1</v>
      </c>
      <c r="P11" s="112">
        <v>0.48</v>
      </c>
      <c r="Q11" s="112">
        <v>4.6500000000000004</v>
      </c>
    </row>
    <row r="12" spans="1:21" customFormat="1">
      <c r="A12" s="80">
        <v>45545.041666666664</v>
      </c>
      <c r="B12" s="112">
        <v>9.31</v>
      </c>
      <c r="C12" s="112">
        <v>4.0599999999999996</v>
      </c>
      <c r="D12" s="112">
        <v>14.04</v>
      </c>
      <c r="E12" s="112">
        <v>7.18</v>
      </c>
      <c r="F12" s="112">
        <v>3.12</v>
      </c>
      <c r="G12" s="112">
        <v>16.55</v>
      </c>
      <c r="H12" s="112">
        <v>6.48</v>
      </c>
      <c r="I12" s="112">
        <v>5.56</v>
      </c>
      <c r="J12" s="112">
        <v>0.16</v>
      </c>
      <c r="K12" s="112">
        <v>290.82</v>
      </c>
      <c r="L12" s="112">
        <v>25.11</v>
      </c>
      <c r="M12" s="112">
        <v>100.15</v>
      </c>
      <c r="N12" s="112">
        <v>2.2999999999999998</v>
      </c>
      <c r="O12" s="112">
        <v>0.4</v>
      </c>
      <c r="P12" s="112">
        <v>0.48</v>
      </c>
      <c r="Q12" s="112">
        <v>4.63</v>
      </c>
    </row>
    <row r="13" spans="1:21" customFormat="1">
      <c r="A13" s="80">
        <v>45545.052083333336</v>
      </c>
      <c r="B13" s="112">
        <v>9.32</v>
      </c>
      <c r="C13" s="112">
        <v>4.05</v>
      </c>
      <c r="D13" s="112">
        <v>14.04</v>
      </c>
      <c r="E13" s="112">
        <v>6.81</v>
      </c>
      <c r="F13" s="112">
        <v>3.21</v>
      </c>
      <c r="G13" s="112">
        <v>13.02</v>
      </c>
      <c r="H13" s="112">
        <v>5.15</v>
      </c>
      <c r="I13" s="112">
        <v>5.75</v>
      </c>
      <c r="J13" s="112">
        <v>0.22</v>
      </c>
      <c r="K13" s="112">
        <v>293.95999999999998</v>
      </c>
      <c r="L13" s="112">
        <v>25.13</v>
      </c>
      <c r="M13" s="112">
        <v>100.15</v>
      </c>
      <c r="N13" s="112">
        <v>2.4</v>
      </c>
      <c r="O13" s="112">
        <v>0.4</v>
      </c>
      <c r="P13" s="112">
        <v>0.49</v>
      </c>
      <c r="Q13" s="112">
        <v>4.62</v>
      </c>
    </row>
    <row r="14" spans="1:21" customFormat="1">
      <c r="A14" s="80">
        <v>45545.0625</v>
      </c>
      <c r="B14" s="112">
        <v>9.31</v>
      </c>
      <c r="C14" s="112">
        <v>4.0599999999999996</v>
      </c>
      <c r="D14" s="112">
        <v>14.03</v>
      </c>
      <c r="E14" s="112">
        <v>7.08</v>
      </c>
      <c r="F14" s="112">
        <v>2.84</v>
      </c>
      <c r="G14" s="112">
        <v>13.02</v>
      </c>
      <c r="H14" s="112">
        <v>5.15</v>
      </c>
      <c r="I14" s="112">
        <v>5.74</v>
      </c>
      <c r="J14" s="112">
        <v>0.17</v>
      </c>
      <c r="K14" s="112">
        <v>316.05</v>
      </c>
      <c r="L14" s="112">
        <v>25.17</v>
      </c>
      <c r="M14" s="112">
        <v>100.15</v>
      </c>
      <c r="N14" s="112">
        <v>2.5</v>
      </c>
      <c r="O14" s="112">
        <v>0.4</v>
      </c>
      <c r="P14" s="112">
        <v>0.5</v>
      </c>
      <c r="Q14" s="112">
        <v>4.62</v>
      </c>
    </row>
    <row r="15" spans="1:21" customFormat="1">
      <c r="A15" s="80">
        <v>45545.072916666664</v>
      </c>
      <c r="B15" s="112">
        <v>9.3000000000000007</v>
      </c>
      <c r="C15" s="112">
        <v>4.07</v>
      </c>
      <c r="D15" s="112">
        <v>14.03</v>
      </c>
      <c r="E15" s="112">
        <v>7.58</v>
      </c>
      <c r="F15" s="112">
        <v>2.2000000000000002</v>
      </c>
      <c r="G15" s="112">
        <v>13.02</v>
      </c>
      <c r="H15" s="112">
        <v>5.15</v>
      </c>
      <c r="I15" s="112">
        <v>5.76</v>
      </c>
      <c r="J15" s="112">
        <v>0.16</v>
      </c>
      <c r="K15" s="112">
        <v>49.25</v>
      </c>
      <c r="L15" s="112">
        <v>25.04</v>
      </c>
      <c r="M15" s="112">
        <v>100.15</v>
      </c>
      <c r="N15" s="112">
        <v>2.7</v>
      </c>
      <c r="O15" s="112">
        <v>0.4</v>
      </c>
      <c r="P15" s="112">
        <v>0.5</v>
      </c>
      <c r="Q15" s="112">
        <v>4.6100000000000003</v>
      </c>
    </row>
    <row r="16" spans="1:21" customFormat="1">
      <c r="A16" s="80">
        <v>45545.083333333336</v>
      </c>
      <c r="B16" s="112">
        <v>9.3000000000000007</v>
      </c>
      <c r="C16" s="112">
        <v>4.0599999999999996</v>
      </c>
      <c r="D16" s="112">
        <v>14.03</v>
      </c>
      <c r="E16" s="112">
        <v>8.23</v>
      </c>
      <c r="F16" s="112">
        <v>4.08</v>
      </c>
      <c r="G16" s="112">
        <v>13.52</v>
      </c>
      <c r="H16" s="112">
        <v>5.34</v>
      </c>
      <c r="I16" s="112">
        <v>5.8</v>
      </c>
      <c r="J16" s="112">
        <v>0.08</v>
      </c>
      <c r="K16" s="112">
        <v>8.08</v>
      </c>
      <c r="L16" s="112">
        <v>25.03</v>
      </c>
      <c r="M16" s="112">
        <v>100.15</v>
      </c>
      <c r="N16" s="112">
        <v>2.4</v>
      </c>
      <c r="O16" s="112">
        <v>2</v>
      </c>
      <c r="P16" s="112">
        <v>0.5</v>
      </c>
      <c r="Q16" s="112">
        <v>4.6399999999999997</v>
      </c>
    </row>
    <row r="17" spans="1:17" customFormat="1">
      <c r="A17" s="80">
        <v>45545.09375</v>
      </c>
      <c r="B17" s="112">
        <v>9.3000000000000007</v>
      </c>
      <c r="C17" s="112">
        <v>4.07</v>
      </c>
      <c r="D17" s="112">
        <v>14.03</v>
      </c>
      <c r="E17" s="112">
        <v>9.89</v>
      </c>
      <c r="F17" s="112">
        <v>3.46</v>
      </c>
      <c r="G17" s="112">
        <v>14.87</v>
      </c>
      <c r="H17" s="112">
        <v>6.25</v>
      </c>
      <c r="I17" s="112">
        <v>5.77</v>
      </c>
      <c r="J17" s="112">
        <v>0.11</v>
      </c>
      <c r="K17" s="112">
        <v>39.799999999999997</v>
      </c>
      <c r="L17" s="112">
        <v>25.17</v>
      </c>
      <c r="M17" s="112">
        <v>100.15</v>
      </c>
      <c r="N17" s="112">
        <v>2.5</v>
      </c>
      <c r="O17" s="112">
        <v>1.4</v>
      </c>
      <c r="P17" s="112">
        <v>0.49</v>
      </c>
      <c r="Q17" s="112">
        <v>4.6399999999999997</v>
      </c>
    </row>
    <row r="18" spans="1:17" customFormat="1">
      <c r="A18" s="80">
        <v>45545.104166666664</v>
      </c>
      <c r="B18" s="112">
        <v>9.31</v>
      </c>
      <c r="C18" s="112">
        <v>4.0999999999999996</v>
      </c>
      <c r="D18" s="112">
        <v>14.06</v>
      </c>
      <c r="E18" s="112">
        <v>11.89</v>
      </c>
      <c r="F18" s="112">
        <v>3.04</v>
      </c>
      <c r="G18" s="112">
        <v>14.87</v>
      </c>
      <c r="H18" s="112">
        <v>6.25</v>
      </c>
      <c r="I18" s="112">
        <v>5.6</v>
      </c>
      <c r="J18" s="112">
        <v>0.26</v>
      </c>
      <c r="K18" s="112">
        <v>289.02999999999997</v>
      </c>
      <c r="L18" s="112">
        <v>25.12</v>
      </c>
      <c r="M18" s="112">
        <v>100.15</v>
      </c>
      <c r="N18" s="112">
        <v>2.5</v>
      </c>
      <c r="O18" s="112">
        <v>0.6</v>
      </c>
      <c r="P18" s="112">
        <v>0.5</v>
      </c>
      <c r="Q18" s="112">
        <v>4.6399999999999997</v>
      </c>
    </row>
    <row r="19" spans="1:17" customFormat="1">
      <c r="A19" s="80">
        <v>45545.114583333336</v>
      </c>
      <c r="B19" s="112">
        <v>9.32</v>
      </c>
      <c r="C19" s="112">
        <v>4.08</v>
      </c>
      <c r="D19" s="112">
        <v>14.05</v>
      </c>
      <c r="E19" s="112">
        <v>11.88</v>
      </c>
      <c r="F19" s="112">
        <v>3.55</v>
      </c>
      <c r="G19" s="112">
        <v>14.87</v>
      </c>
      <c r="H19" s="112">
        <v>6.25</v>
      </c>
      <c r="I19" s="112">
        <v>5.58</v>
      </c>
      <c r="J19" s="112">
        <v>0.28999999999999998</v>
      </c>
      <c r="K19" s="112">
        <v>272.36</v>
      </c>
      <c r="L19" s="112">
        <v>25.06</v>
      </c>
      <c r="M19" s="112">
        <v>100.15</v>
      </c>
      <c r="N19" s="112">
        <v>2.5</v>
      </c>
      <c r="O19" s="112">
        <v>1.2</v>
      </c>
      <c r="P19" s="112">
        <v>0.49</v>
      </c>
      <c r="Q19" s="112">
        <v>4.6500000000000004</v>
      </c>
    </row>
    <row r="20" spans="1:17" customFormat="1">
      <c r="A20" s="80">
        <v>45545.125</v>
      </c>
      <c r="B20" s="112">
        <v>9.33</v>
      </c>
      <c r="C20" s="112">
        <v>4.0599999999999996</v>
      </c>
      <c r="D20" s="112">
        <v>14.05</v>
      </c>
      <c r="E20" s="112">
        <v>11.2</v>
      </c>
      <c r="F20" s="112">
        <v>3.48</v>
      </c>
      <c r="G20" s="112">
        <v>13.7</v>
      </c>
      <c r="H20" s="112">
        <v>5.64</v>
      </c>
      <c r="I20" s="112">
        <v>5.61</v>
      </c>
      <c r="J20" s="112">
        <v>0.26</v>
      </c>
      <c r="K20" s="112">
        <v>295.69</v>
      </c>
      <c r="L20" s="112">
        <v>25.05</v>
      </c>
      <c r="M20" s="112">
        <v>100.15</v>
      </c>
      <c r="N20" s="112">
        <v>2.6</v>
      </c>
      <c r="O20" s="112">
        <v>1</v>
      </c>
      <c r="P20" s="112">
        <v>0.49</v>
      </c>
      <c r="Q20" s="112">
        <v>4.67</v>
      </c>
    </row>
    <row r="21" spans="1:17" customFormat="1">
      <c r="A21" s="80">
        <v>45545.135416666664</v>
      </c>
      <c r="B21" s="112">
        <v>9.34</v>
      </c>
      <c r="C21" s="112">
        <v>4.07</v>
      </c>
      <c r="D21" s="112">
        <v>14.07</v>
      </c>
      <c r="E21" s="112">
        <v>11.44</v>
      </c>
      <c r="F21" s="112">
        <v>3.31</v>
      </c>
      <c r="G21" s="112">
        <v>10.46</v>
      </c>
      <c r="H21" s="112">
        <v>4.45</v>
      </c>
      <c r="I21" s="112">
        <v>5.52</v>
      </c>
      <c r="J21" s="112">
        <v>0.33</v>
      </c>
      <c r="K21" s="112">
        <v>268.41000000000003</v>
      </c>
      <c r="L21" s="112">
        <v>25.04</v>
      </c>
      <c r="M21" s="112">
        <v>100.15</v>
      </c>
      <c r="N21" s="112">
        <v>2.4</v>
      </c>
      <c r="O21" s="112">
        <v>1</v>
      </c>
      <c r="P21" s="112">
        <v>0.48</v>
      </c>
      <c r="Q21" s="112">
        <v>4.66</v>
      </c>
    </row>
    <row r="22" spans="1:17" customFormat="1">
      <c r="A22" s="80">
        <v>45545.145833333336</v>
      </c>
      <c r="B22" s="112">
        <v>9.34</v>
      </c>
      <c r="C22" s="112">
        <v>4.07</v>
      </c>
      <c r="D22" s="112">
        <v>14.07</v>
      </c>
      <c r="E22" s="112">
        <v>11.92</v>
      </c>
      <c r="F22" s="112">
        <v>3.14</v>
      </c>
      <c r="G22" s="112">
        <v>10.46</v>
      </c>
      <c r="H22" s="112">
        <v>4.45</v>
      </c>
      <c r="I22" s="112">
        <v>5.49</v>
      </c>
      <c r="J22" s="112">
        <v>0.34</v>
      </c>
      <c r="K22" s="112">
        <v>271.13</v>
      </c>
      <c r="L22" s="112">
        <v>25.09</v>
      </c>
      <c r="M22" s="112">
        <v>100.21</v>
      </c>
      <c r="N22" s="112">
        <v>2.4</v>
      </c>
      <c r="O22" s="112">
        <v>0.8</v>
      </c>
      <c r="P22" s="112">
        <v>0.48</v>
      </c>
      <c r="Q22" s="112">
        <v>4.6399999999999997</v>
      </c>
    </row>
    <row r="23" spans="1:17" customFormat="1">
      <c r="A23" s="80">
        <v>45545.15625</v>
      </c>
      <c r="B23" s="112">
        <v>9.36</v>
      </c>
      <c r="C23" s="112">
        <v>4.0599999999999996</v>
      </c>
      <c r="D23" s="112">
        <v>14.07</v>
      </c>
      <c r="E23" s="112">
        <v>12.03</v>
      </c>
      <c r="F23" s="112">
        <v>2.36</v>
      </c>
      <c r="G23" s="112">
        <v>10.46</v>
      </c>
      <c r="H23" s="112">
        <v>4.45</v>
      </c>
      <c r="I23" s="112">
        <v>5.39</v>
      </c>
      <c r="J23" s="112">
        <v>0.33</v>
      </c>
      <c r="K23" s="112">
        <v>269.98</v>
      </c>
      <c r="L23" s="112">
        <v>25.07</v>
      </c>
      <c r="M23" s="112">
        <v>100.17</v>
      </c>
      <c r="N23" s="112">
        <v>2.4</v>
      </c>
      <c r="O23" s="112">
        <v>0.6</v>
      </c>
      <c r="P23" s="112">
        <v>0.49</v>
      </c>
      <c r="Q23" s="112">
        <v>4.6399999999999997</v>
      </c>
    </row>
    <row r="24" spans="1:17" customFormat="1">
      <c r="A24" s="80">
        <v>45545.166666666664</v>
      </c>
      <c r="B24" s="112">
        <v>9.35</v>
      </c>
      <c r="C24" s="112">
        <v>4.07</v>
      </c>
      <c r="D24" s="112">
        <v>14.08</v>
      </c>
      <c r="E24" s="112">
        <v>12.24</v>
      </c>
      <c r="F24" s="112">
        <v>2.39</v>
      </c>
      <c r="G24" s="112">
        <v>11.58</v>
      </c>
      <c r="H24" s="112">
        <v>4.24</v>
      </c>
      <c r="I24" s="112">
        <v>5.41</v>
      </c>
      <c r="J24" s="112">
        <v>0.32</v>
      </c>
      <c r="K24" s="112">
        <v>269.86</v>
      </c>
      <c r="L24" s="112">
        <v>25.04</v>
      </c>
      <c r="M24" s="112">
        <v>100.18</v>
      </c>
      <c r="N24" s="112">
        <v>2.4</v>
      </c>
      <c r="O24" s="112">
        <v>0.6</v>
      </c>
      <c r="P24" s="112">
        <v>0.49</v>
      </c>
      <c r="Q24" s="112">
        <v>4.6500000000000004</v>
      </c>
    </row>
    <row r="25" spans="1:17" customFormat="1">
      <c r="A25" s="80">
        <v>45545.177083333336</v>
      </c>
      <c r="B25" s="112">
        <v>9.3699999999999992</v>
      </c>
      <c r="C25" s="112">
        <v>4.05</v>
      </c>
      <c r="D25" s="112">
        <v>14.07</v>
      </c>
      <c r="E25" s="112">
        <v>12.24</v>
      </c>
      <c r="F25" s="112">
        <v>1.89</v>
      </c>
      <c r="G25" s="112">
        <v>14.84</v>
      </c>
      <c r="H25" s="112">
        <v>3.82</v>
      </c>
      <c r="I25" s="112">
        <v>5.43</v>
      </c>
      <c r="J25" s="112">
        <v>0.23</v>
      </c>
      <c r="K25" s="112">
        <v>261.88</v>
      </c>
      <c r="L25" s="112">
        <v>25.09</v>
      </c>
      <c r="M25" s="112">
        <v>100.21</v>
      </c>
      <c r="N25" s="112">
        <v>2.2999999999999998</v>
      </c>
      <c r="O25" s="112">
        <v>0.4</v>
      </c>
      <c r="P25" s="112">
        <v>0.49</v>
      </c>
      <c r="Q25" s="112">
        <v>4.6500000000000004</v>
      </c>
    </row>
    <row r="26" spans="1:17" customFormat="1">
      <c r="A26" s="80">
        <v>45545.1875</v>
      </c>
      <c r="B26" s="112">
        <v>9.36</v>
      </c>
      <c r="C26" s="112">
        <v>4.07</v>
      </c>
      <c r="D26" s="112">
        <v>14.08</v>
      </c>
      <c r="E26" s="112">
        <v>12.17</v>
      </c>
      <c r="F26" s="112">
        <v>2.71</v>
      </c>
      <c r="G26" s="112">
        <v>14.84</v>
      </c>
      <c r="H26" s="112">
        <v>3.82</v>
      </c>
      <c r="I26" s="112">
        <v>5.35</v>
      </c>
      <c r="J26" s="112">
        <v>0.14000000000000001</v>
      </c>
      <c r="K26" s="112">
        <v>274.56</v>
      </c>
      <c r="L26" s="112">
        <v>25.15</v>
      </c>
      <c r="M26" s="112">
        <v>100.26</v>
      </c>
      <c r="N26" s="112">
        <v>2.2999999999999998</v>
      </c>
      <c r="O26" s="112">
        <v>1.2</v>
      </c>
      <c r="P26" s="112">
        <v>0.48</v>
      </c>
      <c r="Q26" s="112">
        <v>4.6399999999999997</v>
      </c>
    </row>
    <row r="27" spans="1:17" customFormat="1">
      <c r="A27" s="80">
        <v>45545.197916666664</v>
      </c>
      <c r="B27" s="112">
        <v>9.3699999999999992</v>
      </c>
      <c r="C27" s="112">
        <v>4.05</v>
      </c>
      <c r="D27" s="112">
        <v>14.08</v>
      </c>
      <c r="E27" s="112">
        <v>12.1</v>
      </c>
      <c r="F27" s="112">
        <v>2.34</v>
      </c>
      <c r="G27" s="112">
        <v>14.84</v>
      </c>
      <c r="H27" s="112">
        <v>3.82</v>
      </c>
      <c r="I27" s="112">
        <v>5.36</v>
      </c>
      <c r="J27" s="112">
        <v>0.35</v>
      </c>
      <c r="K27" s="112">
        <v>272.58</v>
      </c>
      <c r="L27" s="112">
        <v>25.17</v>
      </c>
      <c r="M27" s="112">
        <v>100.33</v>
      </c>
      <c r="N27" s="112">
        <v>2.5</v>
      </c>
      <c r="O27" s="112">
        <v>0.6</v>
      </c>
      <c r="P27" s="112">
        <v>0.47</v>
      </c>
      <c r="Q27" s="112">
        <v>4.6399999999999997</v>
      </c>
    </row>
    <row r="28" spans="1:17" customFormat="1">
      <c r="A28" s="80">
        <v>45545.208333333336</v>
      </c>
      <c r="B28" s="112">
        <v>9.36</v>
      </c>
      <c r="C28" s="112">
        <v>4.0599999999999996</v>
      </c>
      <c r="D28" s="112">
        <v>14.08</v>
      </c>
      <c r="E28" s="112">
        <v>12.91</v>
      </c>
      <c r="F28" s="112">
        <v>2.31</v>
      </c>
      <c r="G28" s="112">
        <v>15.38</v>
      </c>
      <c r="H28" s="112">
        <v>4.67</v>
      </c>
      <c r="I28" s="112">
        <v>5.34</v>
      </c>
      <c r="J28" s="112">
        <v>0.37</v>
      </c>
      <c r="K28" s="112">
        <v>303.3</v>
      </c>
      <c r="L28" s="112">
        <v>25.14</v>
      </c>
      <c r="M28" s="112">
        <v>100.59</v>
      </c>
      <c r="N28" s="112">
        <v>2.5</v>
      </c>
      <c r="O28" s="112">
        <v>0</v>
      </c>
      <c r="P28" s="112">
        <v>0.47</v>
      </c>
      <c r="Q28" s="112">
        <v>4.6399999999999997</v>
      </c>
    </row>
    <row r="29" spans="1:17" customFormat="1">
      <c r="A29" s="80">
        <v>45545.21875</v>
      </c>
      <c r="B29" s="112">
        <v>9.3699999999999992</v>
      </c>
      <c r="C29" s="112">
        <v>4.07</v>
      </c>
      <c r="D29" s="112">
        <v>14.09</v>
      </c>
      <c r="E29" s="112">
        <v>12.03</v>
      </c>
      <c r="F29" s="112">
        <v>3.05</v>
      </c>
      <c r="G29" s="112">
        <v>16.89</v>
      </c>
      <c r="H29" s="112">
        <v>6.3</v>
      </c>
      <c r="I29" s="112">
        <v>5.34</v>
      </c>
      <c r="J29" s="112">
        <v>0.37</v>
      </c>
      <c r="K29" s="112">
        <v>300.2</v>
      </c>
      <c r="L29" s="112">
        <v>25.14</v>
      </c>
      <c r="M29" s="112">
        <v>100.36</v>
      </c>
      <c r="N29" s="112">
        <v>2.4</v>
      </c>
      <c r="O29" s="112">
        <v>0.2</v>
      </c>
      <c r="P29" s="112">
        <v>0.46</v>
      </c>
      <c r="Q29" s="112">
        <v>4.66</v>
      </c>
    </row>
    <row r="30" spans="1:17" customFormat="1">
      <c r="A30" s="80">
        <v>45545.229166666664</v>
      </c>
      <c r="B30" s="112">
        <v>9.36</v>
      </c>
      <c r="C30" s="112">
        <v>4.09</v>
      </c>
      <c r="D30" s="112">
        <v>14.09</v>
      </c>
      <c r="E30" s="112">
        <v>12.63</v>
      </c>
      <c r="F30" s="112">
        <v>2.3199999999999998</v>
      </c>
      <c r="G30" s="112">
        <v>16.89</v>
      </c>
      <c r="H30" s="112">
        <v>6.3</v>
      </c>
      <c r="I30" s="112">
        <v>5.23</v>
      </c>
      <c r="J30" s="112">
        <v>0.37</v>
      </c>
      <c r="K30" s="112">
        <v>302.44</v>
      </c>
      <c r="L30" s="112">
        <v>25.18</v>
      </c>
      <c r="M30" s="112">
        <v>100.35</v>
      </c>
      <c r="N30" s="112">
        <v>2.5</v>
      </c>
      <c r="O30" s="112">
        <v>0.2</v>
      </c>
      <c r="P30" s="112">
        <v>0.47</v>
      </c>
      <c r="Q30" s="112">
        <v>4.6399999999999997</v>
      </c>
    </row>
    <row r="31" spans="1:17" customFormat="1">
      <c r="A31" s="80">
        <v>45545.239583333336</v>
      </c>
      <c r="B31" s="112">
        <v>9.34</v>
      </c>
      <c r="C31" s="112">
        <v>4.09</v>
      </c>
      <c r="D31" s="112">
        <v>14.08</v>
      </c>
      <c r="E31" s="112">
        <v>12.55</v>
      </c>
      <c r="F31" s="112">
        <v>2.4900000000000002</v>
      </c>
      <c r="G31" s="112">
        <v>16.89</v>
      </c>
      <c r="H31" s="112">
        <v>6.3</v>
      </c>
      <c r="I31" s="112">
        <v>5.0999999999999996</v>
      </c>
      <c r="J31" s="112">
        <v>0.23</v>
      </c>
      <c r="K31" s="112">
        <v>325.67</v>
      </c>
      <c r="L31" s="112">
        <v>25.23</v>
      </c>
      <c r="M31" s="112">
        <v>100.36</v>
      </c>
      <c r="N31" s="112">
        <v>2.5</v>
      </c>
      <c r="O31" s="112">
        <v>0</v>
      </c>
      <c r="P31" s="112">
        <v>0.46</v>
      </c>
      <c r="Q31" s="112">
        <v>4.63</v>
      </c>
    </row>
    <row r="32" spans="1:17" customFormat="1">
      <c r="A32" s="80">
        <v>45545.25</v>
      </c>
      <c r="B32" s="112">
        <v>9.36</v>
      </c>
      <c r="C32" s="112">
        <v>4.09</v>
      </c>
      <c r="D32" s="112">
        <v>14.09</v>
      </c>
      <c r="E32" s="112">
        <v>12.46</v>
      </c>
      <c r="F32" s="112">
        <v>3.21</v>
      </c>
      <c r="G32" s="112">
        <v>18.14</v>
      </c>
      <c r="H32" s="112">
        <v>5.67</v>
      </c>
      <c r="I32" s="112">
        <v>5.14</v>
      </c>
      <c r="J32" s="112">
        <v>0.33</v>
      </c>
      <c r="K32" s="112">
        <v>303.3</v>
      </c>
      <c r="L32" s="112">
        <v>25.26</v>
      </c>
      <c r="M32" s="112">
        <v>100.27</v>
      </c>
      <c r="N32" s="112">
        <v>2.8</v>
      </c>
      <c r="O32" s="112">
        <v>0.2</v>
      </c>
      <c r="P32" s="112">
        <v>0.45</v>
      </c>
      <c r="Q32" s="112">
        <v>4.63</v>
      </c>
    </row>
    <row r="33" spans="1:17" customFormat="1">
      <c r="A33" s="80">
        <v>45545.260416666664</v>
      </c>
      <c r="B33" s="112">
        <v>9.3699999999999992</v>
      </c>
      <c r="C33" s="112">
        <v>4.0599999999999996</v>
      </c>
      <c r="D33" s="112">
        <v>14.09</v>
      </c>
      <c r="E33" s="112">
        <v>12.41</v>
      </c>
      <c r="F33" s="112">
        <v>3.06</v>
      </c>
      <c r="G33" s="112">
        <v>21.78</v>
      </c>
      <c r="H33" s="112">
        <v>4.46</v>
      </c>
      <c r="I33" s="112">
        <v>5.3</v>
      </c>
      <c r="J33" s="112">
        <v>0.55000000000000004</v>
      </c>
      <c r="K33" s="112">
        <v>289.06</v>
      </c>
      <c r="L33" s="112">
        <v>25.08</v>
      </c>
      <c r="M33" s="112">
        <v>100.22</v>
      </c>
      <c r="N33" s="112">
        <v>3.7</v>
      </c>
      <c r="O33" s="112">
        <v>6.8</v>
      </c>
      <c r="P33" s="112">
        <v>0.44</v>
      </c>
      <c r="Q33" s="112">
        <v>4.6399999999999997</v>
      </c>
    </row>
    <row r="34" spans="1:17" customFormat="1">
      <c r="A34" s="80">
        <v>45545.270833333336</v>
      </c>
      <c r="B34" s="112">
        <v>9.36</v>
      </c>
      <c r="C34" s="112">
        <v>4.08</v>
      </c>
      <c r="D34" s="112">
        <v>14.09</v>
      </c>
      <c r="E34" s="112">
        <v>11.46</v>
      </c>
      <c r="F34" s="112">
        <v>2.8</v>
      </c>
      <c r="G34" s="112">
        <v>21.78</v>
      </c>
      <c r="H34" s="112">
        <v>4.46</v>
      </c>
      <c r="I34" s="112">
        <v>5.24</v>
      </c>
      <c r="J34" s="112">
        <v>0.59</v>
      </c>
      <c r="K34" s="112">
        <v>273.94</v>
      </c>
      <c r="L34" s="112">
        <v>25.05</v>
      </c>
      <c r="M34" s="112">
        <v>100.31</v>
      </c>
      <c r="N34" s="112">
        <v>3.5</v>
      </c>
      <c r="O34" s="112">
        <v>3.4</v>
      </c>
      <c r="P34" s="112">
        <v>0.44</v>
      </c>
      <c r="Q34" s="112">
        <v>4.63</v>
      </c>
    </row>
    <row r="35" spans="1:17" customFormat="1">
      <c r="A35" s="80">
        <v>45545.28125</v>
      </c>
      <c r="B35" s="112">
        <v>9.35</v>
      </c>
      <c r="C35" s="112">
        <v>4.08</v>
      </c>
      <c r="D35" s="112">
        <v>14.08</v>
      </c>
      <c r="E35" s="112">
        <v>11.22</v>
      </c>
      <c r="F35" s="112">
        <v>2.98</v>
      </c>
      <c r="G35" s="112">
        <v>21.78</v>
      </c>
      <c r="H35" s="112">
        <v>4.46</v>
      </c>
      <c r="I35" s="112">
        <v>5.28</v>
      </c>
      <c r="J35" s="112">
        <v>1.1499999999999999</v>
      </c>
      <c r="K35" s="112">
        <v>274.72000000000003</v>
      </c>
      <c r="L35" s="112">
        <v>24.94</v>
      </c>
      <c r="M35" s="112">
        <v>100.3</v>
      </c>
      <c r="N35" s="112">
        <v>4.4000000000000004</v>
      </c>
      <c r="O35" s="112">
        <v>4.4000000000000004</v>
      </c>
      <c r="P35" s="112">
        <v>0.42</v>
      </c>
      <c r="Q35" s="112">
        <v>4.6500000000000004</v>
      </c>
    </row>
    <row r="36" spans="1:17" customFormat="1">
      <c r="A36" s="80">
        <v>45545.291666666664</v>
      </c>
      <c r="B36" s="112">
        <v>9.36</v>
      </c>
      <c r="C36" s="112">
        <v>4.0599999999999996</v>
      </c>
      <c r="D36" s="112">
        <v>14.08</v>
      </c>
      <c r="E36" s="112">
        <v>10.86</v>
      </c>
      <c r="F36" s="112">
        <v>3.3</v>
      </c>
      <c r="G36" s="112">
        <v>20.38</v>
      </c>
      <c r="H36" s="112">
        <v>6.23</v>
      </c>
      <c r="I36" s="112">
        <v>5.04</v>
      </c>
      <c r="J36" s="112">
        <v>0.91</v>
      </c>
      <c r="K36" s="112">
        <v>279.55</v>
      </c>
      <c r="L36" s="112">
        <v>24.9</v>
      </c>
      <c r="M36" s="112">
        <v>100.26</v>
      </c>
      <c r="N36" s="112">
        <v>4.3</v>
      </c>
      <c r="O36" s="112">
        <v>4</v>
      </c>
      <c r="P36" s="112">
        <v>0.41</v>
      </c>
      <c r="Q36" s="112">
        <v>4.6399999999999997</v>
      </c>
    </row>
    <row r="37" spans="1:17" customFormat="1">
      <c r="A37" s="80">
        <v>45545.302083333336</v>
      </c>
      <c r="B37" s="112">
        <v>9.35</v>
      </c>
      <c r="C37" s="112">
        <v>4.07</v>
      </c>
      <c r="D37" s="112">
        <v>14.08</v>
      </c>
      <c r="E37" s="112">
        <v>10.32</v>
      </c>
      <c r="F37" s="112">
        <v>2.95</v>
      </c>
      <c r="G37" s="112">
        <v>16.53</v>
      </c>
      <c r="H37" s="112">
        <v>9.61</v>
      </c>
      <c r="I37" s="112">
        <v>5.04</v>
      </c>
      <c r="J37" s="112">
        <v>1.19</v>
      </c>
      <c r="K37" s="112">
        <v>281.92</v>
      </c>
      <c r="L37" s="112">
        <v>24.9</v>
      </c>
      <c r="M37" s="112">
        <v>100.41</v>
      </c>
      <c r="N37" s="112">
        <v>5.4</v>
      </c>
      <c r="O37" s="112">
        <v>13</v>
      </c>
      <c r="P37" s="112">
        <v>0.4</v>
      </c>
      <c r="Q37" s="112">
        <v>4.6399999999999997</v>
      </c>
    </row>
    <row r="38" spans="1:17" customFormat="1">
      <c r="A38" s="80">
        <v>45545.3125</v>
      </c>
      <c r="B38" s="112">
        <v>9.35</v>
      </c>
      <c r="C38" s="112">
        <v>4.07</v>
      </c>
      <c r="D38" s="112">
        <v>14.07</v>
      </c>
      <c r="E38" s="112">
        <v>10.14</v>
      </c>
      <c r="F38" s="112">
        <v>2.33</v>
      </c>
      <c r="G38" s="112">
        <v>16.53</v>
      </c>
      <c r="H38" s="112">
        <v>9.61</v>
      </c>
      <c r="I38" s="112">
        <v>4.93</v>
      </c>
      <c r="J38" s="112">
        <v>1.25</v>
      </c>
      <c r="K38" s="112">
        <v>276.58999999999997</v>
      </c>
      <c r="L38" s="112">
        <v>24.9</v>
      </c>
      <c r="M38" s="112">
        <v>100.42</v>
      </c>
      <c r="N38" s="112">
        <v>6</v>
      </c>
      <c r="O38" s="112">
        <v>8.8000000000000007</v>
      </c>
      <c r="P38" s="112">
        <v>0.39</v>
      </c>
      <c r="Q38" s="112">
        <v>4.63</v>
      </c>
    </row>
    <row r="39" spans="1:17" customFormat="1">
      <c r="A39" s="80">
        <v>45545.322916666664</v>
      </c>
      <c r="B39" s="112">
        <v>9.36</v>
      </c>
      <c r="C39" s="112">
        <v>4.07</v>
      </c>
      <c r="D39" s="112">
        <v>14.08</v>
      </c>
      <c r="E39" s="112">
        <v>9.69</v>
      </c>
      <c r="F39" s="112">
        <v>2.57</v>
      </c>
      <c r="G39" s="112">
        <v>16.53</v>
      </c>
      <c r="H39" s="112">
        <v>9.61</v>
      </c>
      <c r="I39" s="112">
        <v>4.99</v>
      </c>
      <c r="J39" s="112">
        <v>1.1599999999999999</v>
      </c>
      <c r="K39" s="112">
        <v>274.35000000000002</v>
      </c>
      <c r="L39" s="112">
        <v>24.9</v>
      </c>
      <c r="M39" s="112">
        <v>100.44</v>
      </c>
      <c r="N39" s="112">
        <v>5.2</v>
      </c>
      <c r="O39" s="112">
        <v>7</v>
      </c>
      <c r="P39" s="112">
        <v>0.39</v>
      </c>
      <c r="Q39" s="112">
        <v>4.6100000000000003</v>
      </c>
    </row>
    <row r="40" spans="1:17" customFormat="1">
      <c r="A40" s="80">
        <v>45545.333333333336</v>
      </c>
      <c r="B40" s="112">
        <v>9.35</v>
      </c>
      <c r="C40" s="112">
        <v>4.07</v>
      </c>
      <c r="D40" s="112">
        <v>14.08</v>
      </c>
      <c r="E40" s="112">
        <v>9.74</v>
      </c>
      <c r="F40" s="112">
        <v>2.85</v>
      </c>
      <c r="G40" s="112">
        <v>16.100000000000001</v>
      </c>
      <c r="H40" s="112">
        <v>9.4700000000000006</v>
      </c>
      <c r="I40" s="112">
        <v>5.15</v>
      </c>
      <c r="J40" s="112">
        <v>0.94</v>
      </c>
      <c r="K40" s="112">
        <v>285.54000000000002</v>
      </c>
      <c r="L40" s="112">
        <v>24.85</v>
      </c>
      <c r="M40" s="112">
        <v>100.45</v>
      </c>
      <c r="N40" s="112">
        <v>6.3</v>
      </c>
      <c r="O40" s="112">
        <v>5</v>
      </c>
      <c r="P40" s="112">
        <v>0.39</v>
      </c>
      <c r="Q40" s="112">
        <v>4.63</v>
      </c>
    </row>
    <row r="41" spans="1:17" customFormat="1">
      <c r="A41" s="80">
        <v>45545.34375</v>
      </c>
      <c r="B41" s="112">
        <v>9.32</v>
      </c>
      <c r="C41" s="112">
        <v>4.09</v>
      </c>
      <c r="D41" s="112">
        <v>14.06</v>
      </c>
      <c r="E41" s="112">
        <v>9.75</v>
      </c>
      <c r="F41" s="112">
        <v>3.24</v>
      </c>
      <c r="G41" s="112">
        <v>14.9</v>
      </c>
      <c r="H41" s="112">
        <v>8.85</v>
      </c>
      <c r="I41" s="112">
        <v>5.09</v>
      </c>
      <c r="J41" s="112">
        <v>0.88</v>
      </c>
      <c r="K41" s="112">
        <v>280.39999999999998</v>
      </c>
      <c r="L41" s="112">
        <v>24.8</v>
      </c>
      <c r="M41" s="112">
        <v>100.34</v>
      </c>
      <c r="N41" s="112">
        <v>8.9</v>
      </c>
      <c r="O41" s="112">
        <v>4</v>
      </c>
      <c r="P41" s="112">
        <v>0.37</v>
      </c>
      <c r="Q41" s="112">
        <v>4.6399999999999997</v>
      </c>
    </row>
    <row r="42" spans="1:17" customFormat="1">
      <c r="A42" s="80">
        <v>45545.354166666664</v>
      </c>
      <c r="B42" s="112">
        <v>9.32</v>
      </c>
      <c r="C42" s="112">
        <v>4.08</v>
      </c>
      <c r="D42" s="112">
        <v>14.06</v>
      </c>
      <c r="E42" s="112">
        <v>9.82</v>
      </c>
      <c r="F42" s="112">
        <v>2.83</v>
      </c>
      <c r="G42" s="112">
        <v>14.9</v>
      </c>
      <c r="H42" s="112">
        <v>8.85</v>
      </c>
      <c r="I42" s="112">
        <v>5</v>
      </c>
      <c r="J42" s="112">
        <v>0.9</v>
      </c>
      <c r="K42" s="112">
        <v>283.02</v>
      </c>
      <c r="L42" s="112">
        <v>24.88</v>
      </c>
      <c r="M42" s="112">
        <v>100.2</v>
      </c>
      <c r="N42" s="112">
        <v>13</v>
      </c>
      <c r="O42" s="112">
        <v>2</v>
      </c>
      <c r="P42" s="112">
        <v>0.36</v>
      </c>
      <c r="Q42" s="112">
        <v>4.6500000000000004</v>
      </c>
    </row>
    <row r="43" spans="1:17" customFormat="1">
      <c r="A43" s="80">
        <v>45545.364583333336</v>
      </c>
      <c r="B43" s="112">
        <v>9.31</v>
      </c>
      <c r="C43" s="112">
        <v>4.07</v>
      </c>
      <c r="D43" s="112">
        <v>14.04</v>
      </c>
      <c r="E43" s="112">
        <v>8.9700000000000006</v>
      </c>
      <c r="F43" s="112">
        <v>2.85</v>
      </c>
      <c r="G43" s="112">
        <v>14.9</v>
      </c>
      <c r="H43" s="112">
        <v>8.85</v>
      </c>
      <c r="I43" s="112">
        <v>4.8</v>
      </c>
      <c r="J43" s="112">
        <v>0.92</v>
      </c>
      <c r="K43" s="112">
        <v>286.83</v>
      </c>
      <c r="L43" s="112">
        <v>24.93</v>
      </c>
      <c r="M43" s="112">
        <v>100.18</v>
      </c>
      <c r="N43" s="112">
        <v>28</v>
      </c>
      <c r="O43" s="112">
        <v>0.2</v>
      </c>
      <c r="P43" s="112">
        <v>0.37</v>
      </c>
      <c r="Q43" s="112">
        <v>4.6500000000000004</v>
      </c>
    </row>
    <row r="44" spans="1:17" customFormat="1">
      <c r="A44" s="80">
        <v>45545.375</v>
      </c>
      <c r="B44" s="112">
        <v>9.32</v>
      </c>
      <c r="C44" s="112">
        <v>4.05</v>
      </c>
      <c r="D44" s="112">
        <v>14.04</v>
      </c>
      <c r="E44" s="112">
        <v>9.24</v>
      </c>
      <c r="F44" s="112">
        <v>3.74</v>
      </c>
      <c r="G44" s="112">
        <v>13.83</v>
      </c>
      <c r="H44" s="112">
        <v>8.5500000000000007</v>
      </c>
      <c r="I44" s="112">
        <v>4.95</v>
      </c>
      <c r="J44" s="112">
        <v>1.22</v>
      </c>
      <c r="K44" s="112">
        <v>274.98</v>
      </c>
      <c r="L44" s="112">
        <v>24.95</v>
      </c>
      <c r="M44" s="112">
        <v>100.19</v>
      </c>
      <c r="N44" s="112">
        <v>23.3</v>
      </c>
      <c r="O44" s="112">
        <v>0.2</v>
      </c>
      <c r="P44" s="112">
        <v>0.36</v>
      </c>
      <c r="Q44" s="112">
        <v>4.6500000000000004</v>
      </c>
    </row>
    <row r="45" spans="1:17" customFormat="1">
      <c r="A45" s="80">
        <v>45545.385416666664</v>
      </c>
      <c r="B45" s="112">
        <v>9.31</v>
      </c>
      <c r="C45" s="112">
        <v>4.07</v>
      </c>
      <c r="D45" s="112">
        <v>14.05</v>
      </c>
      <c r="E45" s="112">
        <v>9.2100000000000009</v>
      </c>
      <c r="F45" s="112">
        <v>3.88</v>
      </c>
      <c r="G45" s="112">
        <v>10.91</v>
      </c>
      <c r="H45" s="112">
        <v>7.96</v>
      </c>
      <c r="I45" s="112">
        <v>4.72</v>
      </c>
      <c r="J45" s="112">
        <v>1.2</v>
      </c>
      <c r="K45" s="112">
        <v>276.24</v>
      </c>
      <c r="L45" s="112">
        <v>24.93</v>
      </c>
      <c r="M45" s="112">
        <v>100.27</v>
      </c>
      <c r="N45" s="112">
        <v>17.399999999999999</v>
      </c>
      <c r="O45" s="112">
        <v>0</v>
      </c>
      <c r="P45" s="112">
        <v>0.35</v>
      </c>
      <c r="Q45" s="112">
        <v>4.6500000000000004</v>
      </c>
    </row>
    <row r="46" spans="1:17" customFormat="1">
      <c r="A46" s="80">
        <v>45545.395833333336</v>
      </c>
      <c r="B46" s="112">
        <v>9.34</v>
      </c>
      <c r="C46" s="112">
        <v>4.0599999999999996</v>
      </c>
      <c r="D46" s="112">
        <v>14.06</v>
      </c>
      <c r="E46" s="112">
        <v>9.42</v>
      </c>
      <c r="F46" s="112">
        <v>3.58</v>
      </c>
      <c r="G46" s="112">
        <v>10.91</v>
      </c>
      <c r="H46" s="112">
        <v>7.96</v>
      </c>
      <c r="I46" s="112">
        <v>4.7300000000000004</v>
      </c>
      <c r="J46" s="112">
        <v>1.1499999999999999</v>
      </c>
      <c r="K46" s="112">
        <v>275.64999999999998</v>
      </c>
      <c r="L46" s="112">
        <v>24.95</v>
      </c>
      <c r="M46" s="112">
        <v>100.29</v>
      </c>
      <c r="N46" s="112">
        <v>22.9</v>
      </c>
      <c r="O46" s="112">
        <v>0</v>
      </c>
      <c r="P46" s="112">
        <v>0.35</v>
      </c>
      <c r="Q46" s="112">
        <v>4.63</v>
      </c>
    </row>
    <row r="47" spans="1:17" customFormat="1">
      <c r="A47" s="80">
        <v>45545.40625</v>
      </c>
      <c r="B47" s="112">
        <v>9.34</v>
      </c>
      <c r="C47" s="112">
        <v>4.08</v>
      </c>
      <c r="D47" s="112">
        <v>14.07</v>
      </c>
      <c r="E47" s="112">
        <v>9.23</v>
      </c>
      <c r="F47" s="112">
        <v>3.54</v>
      </c>
      <c r="G47" s="112">
        <v>10.91</v>
      </c>
      <c r="H47" s="112">
        <v>7.96</v>
      </c>
      <c r="I47" s="112">
        <v>4.7699999999999996</v>
      </c>
      <c r="J47" s="112">
        <v>1.04</v>
      </c>
      <c r="K47" s="112">
        <v>274.62</v>
      </c>
      <c r="L47" s="112">
        <v>25</v>
      </c>
      <c r="M47" s="112">
        <v>100.24</v>
      </c>
      <c r="N47" s="112">
        <v>20.7</v>
      </c>
      <c r="O47" s="112">
        <v>0.4</v>
      </c>
      <c r="P47" s="112">
        <v>0.35</v>
      </c>
      <c r="Q47" s="112">
        <v>4.6399999999999997</v>
      </c>
    </row>
    <row r="48" spans="1:17" customFormat="1">
      <c r="A48" s="80">
        <v>45545.416666666664</v>
      </c>
      <c r="B48" s="112">
        <v>9.32</v>
      </c>
      <c r="C48" s="112">
        <v>4.08</v>
      </c>
      <c r="D48" s="112">
        <v>14.06</v>
      </c>
      <c r="E48" s="112">
        <v>8.99</v>
      </c>
      <c r="F48" s="112">
        <v>3.47</v>
      </c>
      <c r="G48" s="112">
        <v>10.16</v>
      </c>
      <c r="H48" s="112">
        <v>7.45</v>
      </c>
      <c r="I48" s="112">
        <v>4.8099999999999996</v>
      </c>
      <c r="J48" s="112">
        <v>0.95</v>
      </c>
      <c r="K48" s="112">
        <v>277.45999999999998</v>
      </c>
      <c r="L48" s="112">
        <v>24.99</v>
      </c>
      <c r="M48" s="112">
        <v>100.24</v>
      </c>
      <c r="N48" s="112">
        <v>24.6</v>
      </c>
      <c r="O48" s="112">
        <v>0.2</v>
      </c>
      <c r="P48" s="112">
        <v>0.36</v>
      </c>
      <c r="Q48" s="112">
        <v>4.6500000000000004</v>
      </c>
    </row>
    <row r="49" spans="1:17" customFormat="1">
      <c r="A49" s="80">
        <v>45545.427083333336</v>
      </c>
      <c r="B49" s="112">
        <v>9.32</v>
      </c>
      <c r="C49" s="112">
        <v>4.0599999999999996</v>
      </c>
      <c r="D49" s="112">
        <v>14.05</v>
      </c>
      <c r="E49" s="112">
        <v>7.99</v>
      </c>
      <c r="F49" s="112">
        <v>3.69</v>
      </c>
      <c r="G49" s="112">
        <v>8.1199999999999992</v>
      </c>
      <c r="H49" s="112">
        <v>6.46</v>
      </c>
      <c r="I49" s="112">
        <v>4.84</v>
      </c>
      <c r="J49" s="112">
        <v>1.1299999999999999</v>
      </c>
      <c r="K49" s="112">
        <v>278.33999999999997</v>
      </c>
      <c r="L49" s="112">
        <v>24.98</v>
      </c>
      <c r="M49" s="112">
        <v>100.26</v>
      </c>
      <c r="N49" s="112">
        <v>41.1</v>
      </c>
      <c r="O49" s="112">
        <v>0</v>
      </c>
      <c r="P49" s="112">
        <v>0.38</v>
      </c>
      <c r="Q49" s="112">
        <v>4.6399999999999997</v>
      </c>
    </row>
    <row r="50" spans="1:17" customFormat="1">
      <c r="A50" s="80">
        <v>45545.4375</v>
      </c>
      <c r="B50" s="112">
        <v>9.32</v>
      </c>
      <c r="C50" s="112">
        <v>4.07</v>
      </c>
      <c r="D50" s="112">
        <v>14.05</v>
      </c>
      <c r="E50" s="112">
        <v>9.4600000000000009</v>
      </c>
      <c r="F50" s="112">
        <v>4.17</v>
      </c>
      <c r="G50" s="112">
        <v>8.1199999999999992</v>
      </c>
      <c r="H50" s="112">
        <v>6.46</v>
      </c>
      <c r="I50" s="112">
        <v>4.8899999999999997</v>
      </c>
      <c r="J50" s="112">
        <v>1.4</v>
      </c>
      <c r="K50" s="112">
        <v>275.49</v>
      </c>
      <c r="L50" s="112">
        <v>24.94</v>
      </c>
      <c r="M50" s="112">
        <v>100.32</v>
      </c>
      <c r="N50" s="112">
        <v>73.5</v>
      </c>
      <c r="O50" s="112">
        <v>0</v>
      </c>
      <c r="P50" s="112">
        <v>0.39</v>
      </c>
      <c r="Q50" s="112">
        <v>4.63</v>
      </c>
    </row>
    <row r="51" spans="1:17" customFormat="1">
      <c r="A51" s="80">
        <v>45545.447916666664</v>
      </c>
      <c r="B51" s="112">
        <v>9.32</v>
      </c>
      <c r="C51" s="112">
        <v>4.07</v>
      </c>
      <c r="D51" s="112">
        <v>14.05</v>
      </c>
      <c r="E51" s="112">
        <v>9.4499999999999993</v>
      </c>
      <c r="F51" s="112">
        <v>4.01</v>
      </c>
      <c r="G51" s="112">
        <v>8.1199999999999992</v>
      </c>
      <c r="H51" s="112">
        <v>6.46</v>
      </c>
      <c r="I51" s="112">
        <v>4.88</v>
      </c>
      <c r="J51" s="112">
        <v>1.34</v>
      </c>
      <c r="K51" s="112">
        <v>277.73</v>
      </c>
      <c r="L51" s="112">
        <v>25.01</v>
      </c>
      <c r="M51" s="112">
        <v>100.36</v>
      </c>
      <c r="N51" s="112">
        <v>59.5</v>
      </c>
      <c r="O51" s="112">
        <v>0</v>
      </c>
      <c r="P51" s="112">
        <v>0.4</v>
      </c>
      <c r="Q51" s="112">
        <v>4.6500000000000004</v>
      </c>
    </row>
    <row r="52" spans="1:17" customFormat="1">
      <c r="A52" s="80">
        <v>45545.458333333336</v>
      </c>
      <c r="B52" s="112">
        <v>9.32</v>
      </c>
      <c r="C52" s="112">
        <v>4.08</v>
      </c>
      <c r="D52" s="112">
        <v>14.05</v>
      </c>
      <c r="E52" s="112">
        <v>10.02</v>
      </c>
      <c r="F52" s="112">
        <v>3.99</v>
      </c>
      <c r="G52" s="112">
        <v>8.19</v>
      </c>
      <c r="H52" s="112">
        <v>5.94</v>
      </c>
      <c r="I52" s="112">
        <v>4.8499999999999996</v>
      </c>
      <c r="J52" s="112">
        <v>1.25</v>
      </c>
      <c r="K52" s="112">
        <v>277.69</v>
      </c>
      <c r="L52" s="112">
        <v>25.18</v>
      </c>
      <c r="M52" s="112">
        <v>100.37</v>
      </c>
      <c r="N52" s="112">
        <v>78.8</v>
      </c>
      <c r="O52" s="112">
        <v>0</v>
      </c>
      <c r="P52" s="112">
        <v>0.39</v>
      </c>
      <c r="Q52" s="112">
        <v>4.6500000000000004</v>
      </c>
    </row>
    <row r="53" spans="1:17" customFormat="1">
      <c r="A53" s="80">
        <v>45545.46875</v>
      </c>
      <c r="B53" s="112">
        <v>9.32</v>
      </c>
      <c r="C53" s="112">
        <v>4.0599999999999996</v>
      </c>
      <c r="D53" s="112">
        <v>14.04</v>
      </c>
      <c r="E53" s="112">
        <v>9.7799999999999994</v>
      </c>
      <c r="F53" s="112">
        <v>3.52</v>
      </c>
      <c r="G53" s="112">
        <v>8.4</v>
      </c>
      <c r="H53" s="112">
        <v>4.95</v>
      </c>
      <c r="I53" s="112">
        <v>4.9000000000000004</v>
      </c>
      <c r="J53" s="112">
        <v>1.18</v>
      </c>
      <c r="K53" s="112">
        <v>279</v>
      </c>
      <c r="L53" s="112">
        <v>25.43</v>
      </c>
      <c r="M53" s="112">
        <v>100.42</v>
      </c>
      <c r="N53" s="112">
        <v>96.9</v>
      </c>
      <c r="O53" s="112">
        <v>0</v>
      </c>
      <c r="P53" s="112">
        <v>0.39</v>
      </c>
      <c r="Q53" s="112">
        <v>4.66</v>
      </c>
    </row>
    <row r="54" spans="1:17" customFormat="1">
      <c r="A54" s="80">
        <v>45545.479166666664</v>
      </c>
      <c r="B54" s="112">
        <v>9.33</v>
      </c>
      <c r="C54" s="112">
        <v>4.07</v>
      </c>
      <c r="D54" s="112">
        <v>14.05</v>
      </c>
      <c r="E54" s="112">
        <v>10.130000000000001</v>
      </c>
      <c r="F54" s="112">
        <v>3.22</v>
      </c>
      <c r="G54" s="112">
        <v>8.4</v>
      </c>
      <c r="H54" s="112">
        <v>4.95</v>
      </c>
      <c r="I54" s="112">
        <v>4.83</v>
      </c>
      <c r="J54" s="112">
        <v>1.1499999999999999</v>
      </c>
      <c r="K54" s="112">
        <v>278.69</v>
      </c>
      <c r="L54" s="112">
        <v>25.59</v>
      </c>
      <c r="M54" s="112">
        <v>100.38</v>
      </c>
      <c r="N54" s="112">
        <v>90.5</v>
      </c>
      <c r="O54" s="112">
        <v>0</v>
      </c>
      <c r="P54" s="112">
        <v>0.4</v>
      </c>
      <c r="Q54" s="112">
        <v>4.6500000000000004</v>
      </c>
    </row>
    <row r="55" spans="1:17" customFormat="1">
      <c r="A55" s="80">
        <v>45545.489583333336</v>
      </c>
      <c r="B55" s="112">
        <v>9.34</v>
      </c>
      <c r="C55" s="112">
        <v>4.0599999999999996</v>
      </c>
      <c r="D55" s="112">
        <v>14.06</v>
      </c>
      <c r="E55" s="112">
        <v>9.83</v>
      </c>
      <c r="F55" s="112">
        <v>3.81</v>
      </c>
      <c r="G55" s="112">
        <v>8.4</v>
      </c>
      <c r="H55" s="112">
        <v>4.95</v>
      </c>
      <c r="I55" s="112">
        <v>4.83</v>
      </c>
      <c r="J55" s="112">
        <v>0.98</v>
      </c>
      <c r="K55" s="112">
        <v>278.11</v>
      </c>
      <c r="L55" s="112">
        <v>25.58</v>
      </c>
      <c r="M55" s="112">
        <v>100.28</v>
      </c>
      <c r="N55" s="112">
        <v>28.2</v>
      </c>
      <c r="O55" s="112">
        <v>0</v>
      </c>
      <c r="P55" s="112">
        <v>0.43</v>
      </c>
      <c r="Q55" s="112">
        <v>4.6500000000000004</v>
      </c>
    </row>
    <row r="56" spans="1:17" customFormat="1">
      <c r="A56" s="80">
        <v>45545.5</v>
      </c>
      <c r="B56" s="112">
        <v>9.35</v>
      </c>
      <c r="C56" s="112">
        <v>4.04</v>
      </c>
      <c r="D56" s="112">
        <v>14.06</v>
      </c>
      <c r="E56" s="112">
        <v>10.73</v>
      </c>
      <c r="F56" s="112">
        <v>3.22</v>
      </c>
      <c r="G56" s="112">
        <v>8.7899999999999991</v>
      </c>
      <c r="H56" s="112">
        <v>4.6500000000000004</v>
      </c>
      <c r="I56" s="112">
        <v>4.9000000000000004</v>
      </c>
      <c r="J56" s="112">
        <v>0.87</v>
      </c>
      <c r="K56" s="112">
        <v>276.81</v>
      </c>
      <c r="L56" s="112">
        <v>25.57</v>
      </c>
      <c r="M56" s="112">
        <v>100.3</v>
      </c>
      <c r="N56" s="112">
        <v>58.9</v>
      </c>
      <c r="O56" s="112">
        <v>0</v>
      </c>
      <c r="P56" s="112">
        <v>0.46</v>
      </c>
      <c r="Q56" s="112">
        <v>4.6500000000000004</v>
      </c>
    </row>
    <row r="57" spans="1:17" customFormat="1">
      <c r="A57" s="80">
        <v>45545.510416666664</v>
      </c>
      <c r="B57" s="112">
        <v>9.34</v>
      </c>
      <c r="C57" s="112">
        <v>4.08</v>
      </c>
      <c r="D57" s="112">
        <v>14.07</v>
      </c>
      <c r="E57" s="112">
        <v>11.29</v>
      </c>
      <c r="F57" s="112">
        <v>3.4</v>
      </c>
      <c r="G57" s="112">
        <v>9.84</v>
      </c>
      <c r="H57" s="112">
        <v>4.05</v>
      </c>
      <c r="I57" s="112">
        <v>5.22</v>
      </c>
      <c r="J57" s="112">
        <v>0.91</v>
      </c>
      <c r="K57" s="112">
        <v>276.14</v>
      </c>
      <c r="L57" s="112">
        <v>25.88</v>
      </c>
      <c r="M57" s="112">
        <v>100.27</v>
      </c>
      <c r="N57" s="112">
        <v>61.2</v>
      </c>
      <c r="O57" s="112">
        <v>0</v>
      </c>
      <c r="P57" s="112">
        <v>0.45</v>
      </c>
      <c r="Q57" s="112">
        <v>4.63</v>
      </c>
    </row>
    <row r="58" spans="1:17" customFormat="1">
      <c r="A58" s="80">
        <v>45545.520833333336</v>
      </c>
      <c r="B58" s="112">
        <v>9.35</v>
      </c>
      <c r="C58" s="112">
        <v>4.07</v>
      </c>
      <c r="D58" s="112">
        <v>14.08</v>
      </c>
      <c r="E58" s="112">
        <v>11.12</v>
      </c>
      <c r="F58" s="112">
        <v>3.38</v>
      </c>
      <c r="G58" s="112">
        <v>9.84</v>
      </c>
      <c r="H58" s="112">
        <v>4.05</v>
      </c>
      <c r="I58" s="112">
        <v>5.68</v>
      </c>
      <c r="J58" s="112">
        <v>0.86</v>
      </c>
      <c r="K58" s="112">
        <v>274.81</v>
      </c>
      <c r="L58" s="112">
        <v>26.14</v>
      </c>
      <c r="M58" s="112">
        <v>99.33</v>
      </c>
      <c r="N58" s="112">
        <v>115.2</v>
      </c>
      <c r="O58" s="112">
        <v>0</v>
      </c>
      <c r="P58" s="112">
        <v>0.45</v>
      </c>
      <c r="Q58" s="112">
        <v>4.6399999999999997</v>
      </c>
    </row>
    <row r="59" spans="1:17" customFormat="1">
      <c r="A59" s="80">
        <v>45545.53125</v>
      </c>
      <c r="B59" s="112">
        <v>9.35</v>
      </c>
      <c r="C59" s="112">
        <v>4.0599999999999996</v>
      </c>
      <c r="D59" s="112">
        <v>14.07</v>
      </c>
      <c r="E59" s="112">
        <v>11.15</v>
      </c>
      <c r="F59" s="112">
        <v>3.15</v>
      </c>
      <c r="G59" s="112">
        <v>9.84</v>
      </c>
      <c r="H59" s="112">
        <v>4.05</v>
      </c>
      <c r="I59" s="112">
        <v>5.54</v>
      </c>
      <c r="J59" s="112">
        <v>1.04</v>
      </c>
      <c r="K59" s="112">
        <v>277.25</v>
      </c>
      <c r="L59" s="112">
        <v>26.26</v>
      </c>
      <c r="M59" s="112">
        <v>96.28</v>
      </c>
      <c r="N59" s="112">
        <v>47.5</v>
      </c>
      <c r="O59" s="112">
        <v>0</v>
      </c>
      <c r="P59" s="112">
        <v>0.44</v>
      </c>
      <c r="Q59" s="112">
        <v>4.6399999999999997</v>
      </c>
    </row>
    <row r="60" spans="1:17" customFormat="1">
      <c r="A60" s="80">
        <v>45545.541666666664</v>
      </c>
      <c r="B60" s="112">
        <v>9.34</v>
      </c>
      <c r="C60" s="112">
        <v>4.08</v>
      </c>
      <c r="D60" s="112">
        <v>14.07</v>
      </c>
      <c r="E60" s="112">
        <v>11.03</v>
      </c>
      <c r="F60" s="112">
        <v>3.53</v>
      </c>
      <c r="G60" s="112">
        <v>10.65</v>
      </c>
      <c r="H60" s="112">
        <v>4.7</v>
      </c>
      <c r="I60" s="112">
        <v>5.53</v>
      </c>
      <c r="J60" s="112">
        <v>1.0900000000000001</v>
      </c>
      <c r="K60" s="112">
        <v>277.73</v>
      </c>
      <c r="L60" s="112">
        <v>26.3</v>
      </c>
      <c r="M60" s="112">
        <v>96.02</v>
      </c>
      <c r="N60" s="112">
        <v>109.4</v>
      </c>
      <c r="O60" s="112">
        <v>0</v>
      </c>
      <c r="P60" s="112">
        <v>0.44</v>
      </c>
      <c r="Q60" s="112">
        <v>4.63</v>
      </c>
    </row>
    <row r="61" spans="1:17" customFormat="1">
      <c r="A61" s="80">
        <v>45545.552083333336</v>
      </c>
      <c r="B61" s="112">
        <v>9.33</v>
      </c>
      <c r="C61" s="112">
        <v>4.0599999999999996</v>
      </c>
      <c r="D61" s="112">
        <v>14.06</v>
      </c>
      <c r="E61" s="112">
        <v>11.44</v>
      </c>
      <c r="F61" s="112">
        <v>3.74</v>
      </c>
      <c r="G61" s="112">
        <v>13.01</v>
      </c>
      <c r="H61" s="112">
        <v>5.93</v>
      </c>
      <c r="I61" s="112">
        <v>5.55</v>
      </c>
      <c r="J61" s="112">
        <v>1.33</v>
      </c>
      <c r="K61" s="112">
        <v>278.58999999999997</v>
      </c>
      <c r="L61" s="112">
        <v>26.47</v>
      </c>
      <c r="M61" s="112">
        <v>94.88</v>
      </c>
      <c r="N61" s="112">
        <v>131.69999999999999</v>
      </c>
      <c r="O61" s="112">
        <v>0</v>
      </c>
      <c r="P61" s="112">
        <v>0.43</v>
      </c>
      <c r="Q61" s="112">
        <v>4.6500000000000004</v>
      </c>
    </row>
    <row r="62" spans="1:17" customFormat="1">
      <c r="A62" s="80">
        <v>45545.5625</v>
      </c>
      <c r="B62" s="112">
        <v>9.35</v>
      </c>
      <c r="C62" s="112">
        <v>4.05</v>
      </c>
      <c r="D62" s="112">
        <v>14.06</v>
      </c>
      <c r="E62" s="112">
        <v>11.35</v>
      </c>
      <c r="F62" s="112">
        <v>3.31</v>
      </c>
      <c r="G62" s="112">
        <v>13.01</v>
      </c>
      <c r="H62" s="112">
        <v>5.93</v>
      </c>
      <c r="I62" s="112">
        <v>5.5</v>
      </c>
      <c r="J62" s="112">
        <v>1.17</v>
      </c>
      <c r="K62" s="112">
        <v>278.33999999999997</v>
      </c>
      <c r="L62" s="112">
        <v>26.89</v>
      </c>
      <c r="M62" s="112">
        <v>92.53</v>
      </c>
      <c r="N62" s="112">
        <v>178.6</v>
      </c>
      <c r="O62" s="112">
        <v>0</v>
      </c>
      <c r="P62" s="112">
        <v>0.42</v>
      </c>
      <c r="Q62" s="112">
        <v>4.63</v>
      </c>
    </row>
    <row r="63" spans="1:17" customFormat="1">
      <c r="A63" s="80">
        <v>45545.572916666664</v>
      </c>
      <c r="B63" s="112">
        <v>9.34</v>
      </c>
      <c r="C63" s="112">
        <v>4.07</v>
      </c>
      <c r="D63" s="112">
        <v>14.06</v>
      </c>
      <c r="E63" s="112">
        <v>11.22</v>
      </c>
      <c r="F63" s="112">
        <v>3.65</v>
      </c>
      <c r="G63" s="112">
        <v>13.01</v>
      </c>
      <c r="H63" s="112">
        <v>5.93</v>
      </c>
      <c r="I63" s="112">
        <v>5.41</v>
      </c>
      <c r="J63" s="112">
        <v>1.1599999999999999</v>
      </c>
      <c r="K63" s="112">
        <v>277.82</v>
      </c>
      <c r="L63" s="112">
        <v>26.96</v>
      </c>
      <c r="M63" s="112">
        <v>91.83</v>
      </c>
      <c r="N63" s="112">
        <v>156.69999999999999</v>
      </c>
      <c r="O63" s="112">
        <v>0</v>
      </c>
      <c r="P63" s="112">
        <v>0.42</v>
      </c>
      <c r="Q63" s="112">
        <v>4.63</v>
      </c>
    </row>
    <row r="64" spans="1:17" customFormat="1">
      <c r="A64" s="80">
        <v>45545.583333333336</v>
      </c>
      <c r="B64" s="112">
        <v>9.33</v>
      </c>
      <c r="C64" s="112">
        <v>4.09</v>
      </c>
      <c r="D64" s="112">
        <v>14.07</v>
      </c>
      <c r="E64" s="112">
        <v>11.83</v>
      </c>
      <c r="F64" s="112">
        <v>3.32</v>
      </c>
      <c r="G64" s="112">
        <v>12.07</v>
      </c>
      <c r="H64" s="112">
        <v>5.8</v>
      </c>
      <c r="I64" s="112">
        <v>5.32</v>
      </c>
      <c r="J64" s="112">
        <v>1.18</v>
      </c>
      <c r="K64" s="112">
        <v>279.04000000000002</v>
      </c>
      <c r="L64" s="112">
        <v>26.94</v>
      </c>
      <c r="M64" s="112">
        <v>90.98</v>
      </c>
      <c r="N64" s="112">
        <v>127</v>
      </c>
      <c r="O64" s="112">
        <v>0</v>
      </c>
      <c r="P64" s="112">
        <v>0.41</v>
      </c>
      <c r="Q64" s="112">
        <v>4.63</v>
      </c>
    </row>
    <row r="65" spans="1:17" customFormat="1">
      <c r="A65" s="80">
        <v>45545.59375</v>
      </c>
      <c r="B65" s="112">
        <v>9.33</v>
      </c>
      <c r="C65" s="112">
        <v>4.08</v>
      </c>
      <c r="D65" s="112">
        <v>14.07</v>
      </c>
      <c r="E65" s="112">
        <v>11.85</v>
      </c>
      <c r="F65" s="112">
        <v>3.82</v>
      </c>
      <c r="G65" s="112">
        <v>9.5</v>
      </c>
      <c r="H65" s="112">
        <v>5.24</v>
      </c>
      <c r="I65" s="112">
        <v>5.25</v>
      </c>
      <c r="J65" s="112">
        <v>1.1399999999999999</v>
      </c>
      <c r="K65" s="112">
        <v>275.91000000000003</v>
      </c>
      <c r="L65" s="112">
        <v>26.74</v>
      </c>
      <c r="M65" s="112">
        <v>91.38</v>
      </c>
      <c r="N65" s="112">
        <v>97.7</v>
      </c>
      <c r="O65" s="112">
        <v>0</v>
      </c>
      <c r="P65" s="112">
        <v>0.42</v>
      </c>
      <c r="Q65" s="112">
        <v>4.6399999999999997</v>
      </c>
    </row>
    <row r="66" spans="1:17" customFormat="1">
      <c r="A66" s="80">
        <v>45545.604166666664</v>
      </c>
      <c r="B66" s="112">
        <v>9.35</v>
      </c>
      <c r="C66" s="112">
        <v>4.07</v>
      </c>
      <c r="D66" s="112">
        <v>14.07</v>
      </c>
      <c r="E66" s="112">
        <v>11.63</v>
      </c>
      <c r="F66" s="112">
        <v>3.48</v>
      </c>
      <c r="G66" s="112">
        <v>9.5</v>
      </c>
      <c r="H66" s="112">
        <v>5.24</v>
      </c>
      <c r="I66" s="112">
        <v>5.14</v>
      </c>
      <c r="J66" s="112">
        <v>1.23</v>
      </c>
      <c r="K66" s="112">
        <v>278.41000000000003</v>
      </c>
      <c r="L66" s="112">
        <v>26.65</v>
      </c>
      <c r="M66" s="112">
        <v>91.18</v>
      </c>
      <c r="N66" s="112">
        <v>87.4</v>
      </c>
      <c r="O66" s="112">
        <v>0</v>
      </c>
      <c r="P66" s="112">
        <v>0.43</v>
      </c>
      <c r="Q66" s="112">
        <v>4.6399999999999997</v>
      </c>
    </row>
    <row r="67" spans="1:17" customFormat="1">
      <c r="A67" s="80">
        <v>45545.614583333336</v>
      </c>
      <c r="B67" s="112">
        <v>9.34</v>
      </c>
      <c r="C67" s="112">
        <v>4.09</v>
      </c>
      <c r="D67" s="112">
        <v>14.08</v>
      </c>
      <c r="E67" s="112">
        <v>11.73</v>
      </c>
      <c r="F67" s="112">
        <v>3.19</v>
      </c>
      <c r="G67" s="112">
        <v>9.5</v>
      </c>
      <c r="H67" s="112">
        <v>5.24</v>
      </c>
      <c r="I67" s="112">
        <v>5.07</v>
      </c>
      <c r="J67" s="112">
        <v>1.03</v>
      </c>
      <c r="K67" s="112">
        <v>273.83</v>
      </c>
      <c r="L67" s="112">
        <v>26.6</v>
      </c>
      <c r="M67" s="112">
        <v>92.13</v>
      </c>
      <c r="N67" s="112">
        <v>52.2</v>
      </c>
      <c r="O67" s="112">
        <v>0</v>
      </c>
      <c r="P67" s="112">
        <v>0.43</v>
      </c>
      <c r="Q67" s="112">
        <v>4.6500000000000004</v>
      </c>
    </row>
    <row r="68" spans="1:17" customFormat="1">
      <c r="A68" s="80">
        <v>45545.625</v>
      </c>
      <c r="B68" s="112">
        <v>9.34</v>
      </c>
      <c r="C68" s="112">
        <v>4.08</v>
      </c>
      <c r="D68" s="112">
        <v>14.07</v>
      </c>
      <c r="E68" s="112">
        <v>12.02</v>
      </c>
      <c r="F68" s="112">
        <v>3.8</v>
      </c>
      <c r="G68" s="112">
        <v>8.94</v>
      </c>
      <c r="H68" s="112">
        <v>4.82</v>
      </c>
      <c r="I68" s="112">
        <v>4.92</v>
      </c>
      <c r="J68" s="112">
        <v>1.01</v>
      </c>
      <c r="K68" s="112">
        <v>276.39</v>
      </c>
      <c r="L68" s="112">
        <v>26.69</v>
      </c>
      <c r="M68" s="112">
        <v>91.76</v>
      </c>
      <c r="N68" s="112">
        <v>84.9</v>
      </c>
      <c r="O68" s="112">
        <v>0</v>
      </c>
      <c r="P68" s="112">
        <v>0.42</v>
      </c>
      <c r="Q68" s="112">
        <v>4.6399999999999997</v>
      </c>
    </row>
    <row r="69" spans="1:17" customFormat="1">
      <c r="A69" s="80">
        <v>45545.635416666664</v>
      </c>
      <c r="B69" s="112">
        <v>9.34</v>
      </c>
      <c r="C69" s="112">
        <v>4.0599999999999996</v>
      </c>
      <c r="D69" s="112">
        <v>14.06</v>
      </c>
      <c r="E69" s="112">
        <v>12.39</v>
      </c>
      <c r="F69" s="112">
        <v>5.34</v>
      </c>
      <c r="G69" s="112">
        <v>7.39</v>
      </c>
      <c r="H69" s="112">
        <v>4.01</v>
      </c>
      <c r="I69" s="112">
        <v>4.83</v>
      </c>
      <c r="J69" s="112">
        <v>1.19</v>
      </c>
      <c r="K69" s="112">
        <v>277.23</v>
      </c>
      <c r="L69" s="112">
        <v>26.91</v>
      </c>
      <c r="M69" s="112">
        <v>89.28</v>
      </c>
      <c r="N69" s="112">
        <v>102.2</v>
      </c>
      <c r="O69" s="112">
        <v>0</v>
      </c>
      <c r="P69" s="112">
        <v>0.41</v>
      </c>
      <c r="Q69" s="112">
        <v>4.6399999999999997</v>
      </c>
    </row>
    <row r="70" spans="1:17" customFormat="1">
      <c r="A70" s="80">
        <v>45545.645833333336</v>
      </c>
      <c r="B70" s="112">
        <v>9.33</v>
      </c>
      <c r="C70" s="112">
        <v>4.07</v>
      </c>
      <c r="D70" s="112">
        <v>14.06</v>
      </c>
      <c r="E70" s="112">
        <v>12.05</v>
      </c>
      <c r="F70" s="112">
        <v>4.7699999999999996</v>
      </c>
      <c r="G70" s="112">
        <v>7.39</v>
      </c>
      <c r="H70" s="112">
        <v>4.01</v>
      </c>
      <c r="I70" s="112">
        <v>4.7</v>
      </c>
      <c r="J70" s="112">
        <v>1.18</v>
      </c>
      <c r="K70" s="112">
        <v>276.56</v>
      </c>
      <c r="L70" s="112">
        <v>26.97</v>
      </c>
      <c r="M70" s="112">
        <v>88.05</v>
      </c>
      <c r="N70" s="112">
        <v>77.3</v>
      </c>
      <c r="O70" s="112">
        <v>0</v>
      </c>
      <c r="P70" s="112">
        <v>0.4</v>
      </c>
      <c r="Q70" s="112">
        <v>4.6500000000000004</v>
      </c>
    </row>
    <row r="71" spans="1:17" customFormat="1">
      <c r="A71" s="80">
        <v>45545.65625</v>
      </c>
      <c r="B71" s="112">
        <v>9.32</v>
      </c>
      <c r="C71" s="112">
        <v>4.08</v>
      </c>
      <c r="D71" s="112">
        <v>14.05</v>
      </c>
      <c r="E71" s="112">
        <v>11.68</v>
      </c>
      <c r="F71" s="112">
        <v>4.62</v>
      </c>
      <c r="G71" s="112">
        <v>7.39</v>
      </c>
      <c r="H71" s="112">
        <v>4.01</v>
      </c>
      <c r="I71" s="112">
        <v>4.68</v>
      </c>
      <c r="J71" s="112">
        <v>1.1200000000000001</v>
      </c>
      <c r="K71" s="112">
        <v>277.95999999999998</v>
      </c>
      <c r="L71" s="112">
        <v>26.96</v>
      </c>
      <c r="M71" s="112">
        <v>88.32</v>
      </c>
      <c r="N71" s="112">
        <v>89.9</v>
      </c>
      <c r="O71" s="112">
        <v>0</v>
      </c>
      <c r="P71" s="112">
        <v>0.4</v>
      </c>
      <c r="Q71" s="112">
        <v>4.63</v>
      </c>
    </row>
    <row r="72" spans="1:17" customFormat="1">
      <c r="A72" s="80">
        <v>45545.666666666664</v>
      </c>
      <c r="B72" s="112">
        <v>9.31</v>
      </c>
      <c r="C72" s="112">
        <v>4.05</v>
      </c>
      <c r="D72" s="112">
        <v>14.03</v>
      </c>
      <c r="E72" s="112">
        <v>11.64</v>
      </c>
      <c r="F72" s="112">
        <v>5.15</v>
      </c>
      <c r="G72" s="112">
        <v>6.97</v>
      </c>
      <c r="H72" s="112">
        <v>3.64</v>
      </c>
      <c r="I72" s="112">
        <v>4.62</v>
      </c>
      <c r="J72" s="112">
        <v>1.1200000000000001</v>
      </c>
      <c r="K72" s="112">
        <v>276.93</v>
      </c>
      <c r="L72" s="112">
        <v>26.91</v>
      </c>
      <c r="M72" s="112">
        <v>88.5</v>
      </c>
      <c r="N72" s="112">
        <v>65.8</v>
      </c>
      <c r="O72" s="112">
        <v>0</v>
      </c>
      <c r="P72" s="112">
        <v>0.39</v>
      </c>
      <c r="Q72" s="112">
        <v>4.6500000000000004</v>
      </c>
    </row>
    <row r="73" spans="1:17" customFormat="1">
      <c r="A73" s="80">
        <v>45545.677083333336</v>
      </c>
      <c r="B73" s="112">
        <v>9.34</v>
      </c>
      <c r="C73" s="112">
        <v>4.05</v>
      </c>
      <c r="D73" s="112">
        <v>14.05</v>
      </c>
      <c r="E73" s="112">
        <v>11.16</v>
      </c>
      <c r="F73" s="112">
        <v>4.87</v>
      </c>
      <c r="G73" s="112">
        <v>5.83</v>
      </c>
      <c r="H73" s="112">
        <v>2.95</v>
      </c>
      <c r="I73" s="112">
        <v>4.55</v>
      </c>
      <c r="J73" s="112">
        <v>1.06</v>
      </c>
      <c r="K73" s="112">
        <v>276.60000000000002</v>
      </c>
      <c r="L73" s="112">
        <v>26.89</v>
      </c>
      <c r="M73" s="112">
        <v>88.31</v>
      </c>
      <c r="N73" s="112">
        <v>65.3</v>
      </c>
      <c r="O73" s="112">
        <v>0</v>
      </c>
      <c r="P73" s="112">
        <v>0.38</v>
      </c>
      <c r="Q73" s="112">
        <v>4.6399999999999997</v>
      </c>
    </row>
    <row r="74" spans="1:17" customFormat="1">
      <c r="A74" s="80">
        <v>45545.6875</v>
      </c>
      <c r="B74" s="112">
        <v>9.32</v>
      </c>
      <c r="C74" s="112">
        <v>4.04</v>
      </c>
      <c r="D74" s="112">
        <v>14.04</v>
      </c>
      <c r="E74" s="112">
        <v>10.57</v>
      </c>
      <c r="F74" s="112">
        <v>4.59</v>
      </c>
      <c r="G74" s="112">
        <v>5.83</v>
      </c>
      <c r="H74" s="112">
        <v>2.95</v>
      </c>
      <c r="I74" s="112">
        <v>4.4000000000000004</v>
      </c>
      <c r="J74" s="112">
        <v>0.99</v>
      </c>
      <c r="K74" s="112">
        <v>276.10000000000002</v>
      </c>
      <c r="L74" s="112">
        <v>26.86</v>
      </c>
      <c r="M74" s="112">
        <v>88.5</v>
      </c>
      <c r="N74" s="112">
        <v>33.700000000000003</v>
      </c>
      <c r="O74" s="112">
        <v>0</v>
      </c>
      <c r="P74" s="112">
        <v>0.37</v>
      </c>
      <c r="Q74" s="112">
        <v>4.63</v>
      </c>
    </row>
    <row r="75" spans="1:17" customFormat="1">
      <c r="A75" s="80">
        <v>45545.697916666664</v>
      </c>
      <c r="B75" s="112">
        <v>9.32</v>
      </c>
      <c r="C75" s="112">
        <v>4.0599999999999996</v>
      </c>
      <c r="D75" s="112">
        <v>14.04</v>
      </c>
      <c r="E75" s="112">
        <v>11.05</v>
      </c>
      <c r="F75" s="112">
        <v>5.4</v>
      </c>
      <c r="G75" s="112">
        <v>5.83</v>
      </c>
      <c r="H75" s="112">
        <v>2.95</v>
      </c>
      <c r="I75" s="112">
        <v>4.3899999999999997</v>
      </c>
      <c r="J75" s="112">
        <v>0.94</v>
      </c>
      <c r="K75" s="112">
        <v>275.97000000000003</v>
      </c>
      <c r="L75" s="112">
        <v>26.81</v>
      </c>
      <c r="M75" s="112">
        <v>88.69</v>
      </c>
      <c r="N75" s="112">
        <v>29</v>
      </c>
      <c r="O75" s="112">
        <v>0</v>
      </c>
      <c r="P75" s="112">
        <v>0.36</v>
      </c>
      <c r="Q75" s="112">
        <v>4.63</v>
      </c>
    </row>
    <row r="76" spans="1:17" customFormat="1">
      <c r="A76" s="80">
        <v>45545.708333333336</v>
      </c>
      <c r="B76" s="112">
        <v>9.31</v>
      </c>
      <c r="C76" s="112">
        <v>4.09</v>
      </c>
      <c r="D76" s="112">
        <v>14.05</v>
      </c>
      <c r="E76" s="112">
        <v>10.66</v>
      </c>
      <c r="F76" s="112">
        <v>6.17</v>
      </c>
      <c r="G76" s="112">
        <v>5.51</v>
      </c>
      <c r="H76" s="112">
        <v>2.8</v>
      </c>
      <c r="I76" s="112">
        <v>4.32</v>
      </c>
      <c r="J76" s="112">
        <v>0.97</v>
      </c>
      <c r="K76" s="112">
        <v>277.97000000000003</v>
      </c>
      <c r="L76" s="112">
        <v>26.84</v>
      </c>
      <c r="M76" s="112">
        <v>88.25</v>
      </c>
      <c r="N76" s="112">
        <v>35</v>
      </c>
      <c r="O76" s="112">
        <v>0</v>
      </c>
      <c r="P76" s="112">
        <v>0.35</v>
      </c>
      <c r="Q76" s="112">
        <v>4.63</v>
      </c>
    </row>
    <row r="77" spans="1:17" customFormat="1">
      <c r="A77" s="80">
        <v>45545.71875</v>
      </c>
      <c r="B77" s="112">
        <v>9.32</v>
      </c>
      <c r="C77" s="112">
        <v>4.08</v>
      </c>
      <c r="D77" s="112">
        <v>14.05</v>
      </c>
      <c r="E77" s="112">
        <v>10.69</v>
      </c>
      <c r="F77" s="112">
        <v>5.97</v>
      </c>
      <c r="G77" s="112">
        <v>4.6399999999999997</v>
      </c>
      <c r="H77" s="112">
        <v>2.5299999999999998</v>
      </c>
      <c r="I77" s="112">
        <v>4.2</v>
      </c>
      <c r="J77" s="112">
        <v>1</v>
      </c>
      <c r="K77" s="112">
        <v>275.98</v>
      </c>
      <c r="L77" s="112">
        <v>26.81</v>
      </c>
      <c r="M77" s="112">
        <v>88.52</v>
      </c>
      <c r="N77" s="112">
        <v>19.600000000000001</v>
      </c>
      <c r="O77" s="112">
        <v>0</v>
      </c>
      <c r="P77" s="112">
        <v>0.35</v>
      </c>
      <c r="Q77" s="112">
        <v>4.63</v>
      </c>
    </row>
    <row r="78" spans="1:17" customFormat="1">
      <c r="A78" s="80">
        <v>45545.729166666664</v>
      </c>
      <c r="B78" s="112">
        <v>9.31</v>
      </c>
      <c r="C78" s="112">
        <v>4.07</v>
      </c>
      <c r="D78" s="112">
        <v>14.04</v>
      </c>
      <c r="E78" s="112">
        <v>10.6</v>
      </c>
      <c r="F78" s="112">
        <v>5.95</v>
      </c>
      <c r="G78" s="112">
        <v>4.6399999999999997</v>
      </c>
      <c r="H78" s="112">
        <v>2.5299999999999998</v>
      </c>
      <c r="I78" s="112">
        <v>4.09</v>
      </c>
      <c r="J78" s="112">
        <v>0.76</v>
      </c>
      <c r="K78" s="112">
        <v>276.48</v>
      </c>
      <c r="L78" s="112">
        <v>26.77</v>
      </c>
      <c r="M78" s="112">
        <v>88.96</v>
      </c>
      <c r="N78" s="112">
        <v>13.4</v>
      </c>
      <c r="O78" s="112">
        <v>0</v>
      </c>
      <c r="P78" s="112">
        <v>0.35</v>
      </c>
      <c r="Q78" s="112">
        <v>4.6399999999999997</v>
      </c>
    </row>
    <row r="79" spans="1:17" customFormat="1">
      <c r="A79" s="80">
        <v>45545.739583333336</v>
      </c>
      <c r="B79" s="112">
        <v>9.3000000000000007</v>
      </c>
      <c r="C79" s="112">
        <v>4.0599999999999996</v>
      </c>
      <c r="D79" s="112">
        <v>14.03</v>
      </c>
      <c r="E79" s="112">
        <v>10.34</v>
      </c>
      <c r="F79" s="112">
        <v>5.89</v>
      </c>
      <c r="G79" s="112">
        <v>4.6399999999999997</v>
      </c>
      <c r="H79" s="112">
        <v>2.5299999999999998</v>
      </c>
      <c r="I79" s="112">
        <v>4.1100000000000003</v>
      </c>
      <c r="J79" s="112">
        <v>0.84</v>
      </c>
      <c r="K79" s="112">
        <v>275.04000000000002</v>
      </c>
      <c r="L79" s="112">
        <v>26.71</v>
      </c>
      <c r="M79" s="112">
        <v>89</v>
      </c>
      <c r="N79" s="112">
        <v>9.5</v>
      </c>
      <c r="O79" s="112">
        <v>0</v>
      </c>
      <c r="P79" s="112">
        <v>0.34</v>
      </c>
      <c r="Q79" s="112">
        <v>4.6399999999999997</v>
      </c>
    </row>
    <row r="80" spans="1:17" customFormat="1">
      <c r="A80" s="80">
        <v>45545.75</v>
      </c>
      <c r="B80" s="112">
        <v>9.31</v>
      </c>
      <c r="C80" s="112">
        <v>4.05</v>
      </c>
      <c r="D80" s="112">
        <v>14.03</v>
      </c>
      <c r="E80" s="112">
        <v>10.7</v>
      </c>
      <c r="F80" s="112">
        <v>5.79</v>
      </c>
      <c r="G80" s="112">
        <v>4.88</v>
      </c>
      <c r="H80" s="112">
        <v>2.39</v>
      </c>
      <c r="I80" s="112">
        <v>4.0599999999999996</v>
      </c>
      <c r="J80" s="112">
        <v>0.76</v>
      </c>
      <c r="K80" s="112">
        <v>273.14999999999998</v>
      </c>
      <c r="L80" s="112">
        <v>26.6</v>
      </c>
      <c r="M80" s="112">
        <v>89.17</v>
      </c>
      <c r="N80" s="112">
        <v>3.4</v>
      </c>
      <c r="O80" s="112">
        <v>0</v>
      </c>
      <c r="P80" s="112">
        <v>0.34</v>
      </c>
      <c r="Q80" s="112">
        <v>4.6399999999999997</v>
      </c>
    </row>
    <row r="81" spans="1:17" customFormat="1">
      <c r="A81" s="80">
        <v>45545.760416666664</v>
      </c>
      <c r="B81" s="112">
        <v>9.31</v>
      </c>
      <c r="C81" s="112">
        <v>4.05</v>
      </c>
      <c r="D81" s="112">
        <v>14.03</v>
      </c>
      <c r="E81" s="112">
        <v>7.48</v>
      </c>
      <c r="F81" s="112">
        <v>6.35</v>
      </c>
      <c r="G81" s="112">
        <v>5.54</v>
      </c>
      <c r="H81" s="112">
        <v>2.12</v>
      </c>
      <c r="I81" s="112">
        <v>4.04</v>
      </c>
      <c r="J81" s="112">
        <v>0.94</v>
      </c>
      <c r="K81" s="112">
        <v>274.20999999999998</v>
      </c>
      <c r="L81" s="112">
        <v>26.45</v>
      </c>
      <c r="M81" s="112">
        <v>89.76</v>
      </c>
      <c r="N81" s="112">
        <v>2.7</v>
      </c>
      <c r="O81" s="112">
        <v>0</v>
      </c>
      <c r="P81" s="112">
        <v>0.33</v>
      </c>
      <c r="Q81" s="112">
        <v>4.6500000000000004</v>
      </c>
    </row>
    <row r="82" spans="1:17" customFormat="1">
      <c r="A82" s="80">
        <v>45545.770833333336</v>
      </c>
      <c r="B82" s="112">
        <v>9.31</v>
      </c>
      <c r="C82" s="112">
        <v>4.05</v>
      </c>
      <c r="D82" s="112">
        <v>14.03</v>
      </c>
      <c r="E82" s="112">
        <v>9.02</v>
      </c>
      <c r="F82" s="112">
        <v>6.35</v>
      </c>
      <c r="G82" s="112">
        <v>5.54</v>
      </c>
      <c r="H82" s="112">
        <v>2.12</v>
      </c>
      <c r="I82" s="112">
        <v>3.96</v>
      </c>
      <c r="J82" s="112">
        <v>1.07</v>
      </c>
      <c r="K82" s="112">
        <v>275.77</v>
      </c>
      <c r="L82" s="112">
        <v>26.47</v>
      </c>
      <c r="M82" s="112">
        <v>88.71</v>
      </c>
      <c r="N82" s="112">
        <v>2.4</v>
      </c>
      <c r="O82" s="112">
        <v>0</v>
      </c>
      <c r="P82" s="112">
        <v>0.33</v>
      </c>
      <c r="Q82" s="112">
        <v>4.66</v>
      </c>
    </row>
    <row r="83" spans="1:17" customFormat="1">
      <c r="A83" s="80">
        <v>45545.78125</v>
      </c>
      <c r="B83" s="112">
        <v>9.33</v>
      </c>
      <c r="C83" s="112">
        <v>4.01</v>
      </c>
      <c r="D83" s="112">
        <v>14.03</v>
      </c>
      <c r="E83" s="112">
        <v>8.75</v>
      </c>
      <c r="F83" s="112">
        <v>7.31</v>
      </c>
      <c r="G83" s="112">
        <v>5.54</v>
      </c>
      <c r="H83" s="112">
        <v>2.12</v>
      </c>
      <c r="I83" s="112">
        <v>3.96</v>
      </c>
      <c r="J83" s="112">
        <v>1.05</v>
      </c>
      <c r="K83" s="112">
        <v>274.85000000000002</v>
      </c>
      <c r="L83" s="112">
        <v>26.41</v>
      </c>
      <c r="M83" s="112">
        <v>88.84</v>
      </c>
      <c r="N83" s="112">
        <v>2.5</v>
      </c>
      <c r="O83" s="112">
        <v>0</v>
      </c>
      <c r="P83" s="112">
        <v>0.32</v>
      </c>
      <c r="Q83" s="112">
        <v>4.6500000000000004</v>
      </c>
    </row>
    <row r="84" spans="1:17" customFormat="1">
      <c r="A84" s="80">
        <v>45545.791666666664</v>
      </c>
      <c r="B84" s="112">
        <v>9.31</v>
      </c>
      <c r="C84" s="112">
        <v>4.04</v>
      </c>
      <c r="D84" s="112">
        <v>14.03</v>
      </c>
      <c r="E84" s="112">
        <v>8.69</v>
      </c>
      <c r="F84" s="112">
        <v>8</v>
      </c>
      <c r="G84" s="112">
        <v>5.63</v>
      </c>
      <c r="H84" s="112">
        <v>2.06</v>
      </c>
      <c r="I84" s="112">
        <v>3.98</v>
      </c>
      <c r="J84" s="112">
        <v>1.0900000000000001</v>
      </c>
      <c r="K84" s="112">
        <v>277.38</v>
      </c>
      <c r="L84" s="112">
        <v>26.23</v>
      </c>
      <c r="M84" s="112">
        <v>89.99</v>
      </c>
      <c r="N84" s="112">
        <v>2.6</v>
      </c>
      <c r="O84" s="112">
        <v>0</v>
      </c>
      <c r="P84" s="112">
        <v>0.32</v>
      </c>
      <c r="Q84" s="112">
        <v>4.66</v>
      </c>
    </row>
    <row r="85" spans="1:17" customFormat="1">
      <c r="A85" s="80">
        <v>45545.802083333336</v>
      </c>
      <c r="B85" s="112">
        <v>9.32</v>
      </c>
      <c r="C85" s="112">
        <v>4.03</v>
      </c>
      <c r="D85" s="112">
        <v>14.03</v>
      </c>
      <c r="E85" s="112">
        <v>8.6199999999999992</v>
      </c>
      <c r="F85" s="112">
        <v>6.77</v>
      </c>
      <c r="G85" s="112">
        <v>5.88</v>
      </c>
      <c r="H85" s="112">
        <v>1.93</v>
      </c>
      <c r="I85" s="112">
        <v>3.88</v>
      </c>
      <c r="J85" s="112">
        <v>0.94</v>
      </c>
      <c r="K85" s="112">
        <v>274.02999999999997</v>
      </c>
      <c r="L85" s="112">
        <v>26</v>
      </c>
      <c r="M85" s="112">
        <v>91.56</v>
      </c>
      <c r="N85" s="112">
        <v>2.2000000000000002</v>
      </c>
      <c r="O85" s="112">
        <v>0</v>
      </c>
      <c r="P85" s="112">
        <v>0.31</v>
      </c>
      <c r="Q85" s="112">
        <v>4.6500000000000004</v>
      </c>
    </row>
    <row r="86" spans="1:17" customFormat="1">
      <c r="A86" s="80">
        <v>45545.8125</v>
      </c>
      <c r="B86" s="112">
        <v>9.3000000000000007</v>
      </c>
      <c r="C86" s="112">
        <v>4.04</v>
      </c>
      <c r="D86" s="112">
        <v>14.02</v>
      </c>
      <c r="E86" s="112">
        <v>9.1300000000000008</v>
      </c>
      <c r="F86" s="112">
        <v>6.56</v>
      </c>
      <c r="G86" s="112">
        <v>5.88</v>
      </c>
      <c r="H86" s="112">
        <v>1.93</v>
      </c>
      <c r="I86" s="112">
        <v>3.82</v>
      </c>
      <c r="J86" s="112">
        <v>0.64</v>
      </c>
      <c r="K86" s="112">
        <v>271.41000000000003</v>
      </c>
      <c r="L86" s="112">
        <v>25.88</v>
      </c>
      <c r="M86" s="112">
        <v>92.43</v>
      </c>
      <c r="N86" s="112">
        <v>2.4</v>
      </c>
      <c r="O86" s="112">
        <v>0</v>
      </c>
      <c r="P86" s="112">
        <v>0.31</v>
      </c>
      <c r="Q86" s="112">
        <v>4.6399999999999997</v>
      </c>
    </row>
    <row r="87" spans="1:17" customFormat="1">
      <c r="A87" s="80">
        <v>45545.822916666664</v>
      </c>
      <c r="B87" s="112">
        <v>9.2799999999999994</v>
      </c>
      <c r="C87" s="112">
        <v>4.07</v>
      </c>
      <c r="D87" s="112">
        <v>14.02</v>
      </c>
      <c r="E87" s="112">
        <v>8.51</v>
      </c>
      <c r="F87" s="112">
        <v>6.04</v>
      </c>
      <c r="G87" s="112">
        <v>5.88</v>
      </c>
      <c r="H87" s="112">
        <v>1.93</v>
      </c>
      <c r="I87" s="112">
        <v>3.92</v>
      </c>
      <c r="J87" s="112">
        <v>0.61</v>
      </c>
      <c r="K87" s="112">
        <v>272.14999999999998</v>
      </c>
      <c r="L87" s="112">
        <v>25.88</v>
      </c>
      <c r="M87" s="112">
        <v>92.29</v>
      </c>
      <c r="N87" s="112">
        <v>2.2999999999999998</v>
      </c>
      <c r="O87" s="112">
        <v>0</v>
      </c>
      <c r="P87" s="112">
        <v>0.33</v>
      </c>
      <c r="Q87" s="112">
        <v>4.6500000000000004</v>
      </c>
    </row>
    <row r="88" spans="1:17" customFormat="1">
      <c r="A88" s="80">
        <v>45545.833333333336</v>
      </c>
      <c r="B88" s="112">
        <v>9.2899999999999991</v>
      </c>
      <c r="C88" s="112">
        <v>4.08</v>
      </c>
      <c r="D88" s="112">
        <v>14.03</v>
      </c>
      <c r="E88" s="112">
        <v>8.49</v>
      </c>
      <c r="F88" s="112">
        <v>5.68</v>
      </c>
      <c r="G88" s="112">
        <v>6.92</v>
      </c>
      <c r="H88" s="112">
        <v>1.89</v>
      </c>
      <c r="I88" s="112">
        <v>3.99</v>
      </c>
      <c r="J88" s="112">
        <v>0.83</v>
      </c>
      <c r="K88" s="112">
        <v>275.98</v>
      </c>
      <c r="L88" s="112">
        <v>26.02</v>
      </c>
      <c r="M88" s="112">
        <v>90.99</v>
      </c>
      <c r="N88" s="112">
        <v>2.2000000000000002</v>
      </c>
      <c r="O88" s="112">
        <v>0</v>
      </c>
      <c r="P88" s="112">
        <v>0.35</v>
      </c>
      <c r="Q88" s="112">
        <v>4.66</v>
      </c>
    </row>
    <row r="89" spans="1:17" customFormat="1">
      <c r="A89" s="80">
        <v>45545.84375</v>
      </c>
      <c r="B89" s="112">
        <v>9.2799999999999994</v>
      </c>
      <c r="C89" s="112">
        <v>4.08</v>
      </c>
      <c r="D89" s="112">
        <v>14.03</v>
      </c>
      <c r="E89" s="112">
        <v>8.99</v>
      </c>
      <c r="F89" s="112">
        <v>6.27</v>
      </c>
      <c r="G89" s="112">
        <v>9.8000000000000007</v>
      </c>
      <c r="H89" s="112">
        <v>1.71</v>
      </c>
      <c r="I89" s="112">
        <v>3.75</v>
      </c>
      <c r="J89" s="112">
        <v>0.93</v>
      </c>
      <c r="K89" s="112">
        <v>273.38</v>
      </c>
      <c r="L89" s="112">
        <v>26.01</v>
      </c>
      <c r="M89" s="112">
        <v>90.87</v>
      </c>
      <c r="N89" s="112">
        <v>2.4</v>
      </c>
      <c r="O89" s="112">
        <v>0</v>
      </c>
      <c r="P89" s="112">
        <v>0.34</v>
      </c>
      <c r="Q89" s="112">
        <v>4.6399999999999997</v>
      </c>
    </row>
    <row r="90" spans="1:17" customFormat="1">
      <c r="A90" s="80">
        <v>45545.854166666664</v>
      </c>
      <c r="B90" s="112">
        <v>9.2899999999999991</v>
      </c>
      <c r="C90" s="112">
        <v>4.08</v>
      </c>
      <c r="D90" s="112">
        <v>14.03</v>
      </c>
      <c r="E90" s="112">
        <v>9.19</v>
      </c>
      <c r="F90" s="112">
        <v>5.48</v>
      </c>
      <c r="G90" s="112">
        <v>9.8000000000000007</v>
      </c>
      <c r="H90" s="112">
        <v>1.71</v>
      </c>
      <c r="I90" s="112">
        <v>3.7</v>
      </c>
      <c r="J90" s="112">
        <v>0.91</v>
      </c>
      <c r="K90" s="112">
        <v>274.79000000000002</v>
      </c>
      <c r="L90" s="112">
        <v>26.05</v>
      </c>
      <c r="M90" s="112">
        <v>90.66</v>
      </c>
      <c r="N90" s="112">
        <v>2.2999999999999998</v>
      </c>
      <c r="O90" s="112">
        <v>0</v>
      </c>
      <c r="P90" s="112">
        <v>0.34</v>
      </c>
      <c r="Q90" s="112">
        <v>4.6399999999999997</v>
      </c>
    </row>
    <row r="91" spans="1:17" customFormat="1">
      <c r="A91" s="80">
        <v>45545.864583333336</v>
      </c>
      <c r="B91" s="112">
        <v>9.31</v>
      </c>
      <c r="C91" s="112">
        <v>4.07</v>
      </c>
      <c r="D91" s="112">
        <v>14.04</v>
      </c>
      <c r="E91" s="112">
        <v>9.31</v>
      </c>
      <c r="F91" s="112">
        <v>5.22</v>
      </c>
      <c r="G91" s="112">
        <v>9.8000000000000007</v>
      </c>
      <c r="H91" s="112">
        <v>1.71</v>
      </c>
      <c r="I91" s="112">
        <v>3.73</v>
      </c>
      <c r="J91" s="112">
        <v>0.92</v>
      </c>
      <c r="K91" s="112">
        <v>276.38</v>
      </c>
      <c r="L91" s="112">
        <v>26.19</v>
      </c>
      <c r="M91" s="112">
        <v>89.81</v>
      </c>
      <c r="N91" s="112">
        <v>2.2000000000000002</v>
      </c>
      <c r="O91" s="112">
        <v>0</v>
      </c>
      <c r="P91" s="112">
        <v>0.34</v>
      </c>
      <c r="Q91" s="112">
        <v>4.6399999999999997</v>
      </c>
    </row>
    <row r="92" spans="1:17" customFormat="1">
      <c r="A92" s="80">
        <v>45545.875</v>
      </c>
      <c r="B92" s="112">
        <v>9.33</v>
      </c>
      <c r="C92" s="112">
        <v>4.03</v>
      </c>
      <c r="D92" s="112">
        <v>14.04</v>
      </c>
      <c r="E92" s="112">
        <v>9.14</v>
      </c>
      <c r="F92" s="112">
        <v>6.86</v>
      </c>
      <c r="G92" s="112">
        <v>10.199999999999999</v>
      </c>
      <c r="H92" s="112">
        <v>1.67</v>
      </c>
      <c r="I92" s="112">
        <v>3.82</v>
      </c>
      <c r="J92" s="112">
        <v>1.02</v>
      </c>
      <c r="K92" s="112">
        <v>275.33</v>
      </c>
      <c r="L92" s="112">
        <v>26.25</v>
      </c>
      <c r="M92" s="112">
        <v>89.48</v>
      </c>
      <c r="N92" s="112">
        <v>2.1</v>
      </c>
      <c r="O92" s="112">
        <v>0</v>
      </c>
      <c r="P92" s="112">
        <v>0.35</v>
      </c>
      <c r="Q92" s="112">
        <v>4.63</v>
      </c>
    </row>
    <row r="93" spans="1:17" customFormat="1">
      <c r="A93" s="80">
        <v>45545.885416666664</v>
      </c>
      <c r="B93" s="112">
        <v>9.32</v>
      </c>
      <c r="C93" s="112">
        <v>4.0599999999999996</v>
      </c>
      <c r="D93" s="112">
        <v>14.04</v>
      </c>
      <c r="E93" s="112">
        <v>9.67</v>
      </c>
      <c r="F93" s="112">
        <v>5.23</v>
      </c>
      <c r="G93" s="112">
        <v>11.32</v>
      </c>
      <c r="H93" s="112">
        <v>1.59</v>
      </c>
      <c r="I93" s="112">
        <v>3.6</v>
      </c>
      <c r="J93" s="112">
        <v>1.07</v>
      </c>
      <c r="K93" s="112">
        <v>274.36</v>
      </c>
      <c r="L93" s="112">
        <v>26.29</v>
      </c>
      <c r="M93" s="112">
        <v>89.08</v>
      </c>
      <c r="N93" s="112">
        <v>2.2999999999999998</v>
      </c>
      <c r="O93" s="112">
        <v>0</v>
      </c>
      <c r="P93" s="112">
        <v>0.34</v>
      </c>
      <c r="Q93" s="112">
        <v>4.6399999999999997</v>
      </c>
    </row>
    <row r="94" spans="1:17" customFormat="1">
      <c r="A94" s="80">
        <v>45545.895833333336</v>
      </c>
      <c r="B94" s="112">
        <v>9.32</v>
      </c>
      <c r="C94" s="112">
        <v>4.04</v>
      </c>
      <c r="D94" s="112">
        <v>14.03</v>
      </c>
      <c r="E94" s="112">
        <v>10.050000000000001</v>
      </c>
      <c r="F94" s="112">
        <v>4.53</v>
      </c>
      <c r="G94" s="112">
        <v>11.32</v>
      </c>
      <c r="H94" s="112">
        <v>1.59</v>
      </c>
      <c r="I94" s="112">
        <v>3.53</v>
      </c>
      <c r="J94" s="112">
        <v>1.17</v>
      </c>
      <c r="K94" s="112">
        <v>276.45</v>
      </c>
      <c r="L94" s="112">
        <v>26.37</v>
      </c>
      <c r="M94" s="112">
        <v>88.68</v>
      </c>
      <c r="N94" s="112">
        <v>2.4</v>
      </c>
      <c r="O94" s="112">
        <v>0</v>
      </c>
      <c r="P94" s="112">
        <v>0.34</v>
      </c>
      <c r="Q94" s="112">
        <v>4.6399999999999997</v>
      </c>
    </row>
    <row r="95" spans="1:17" customFormat="1">
      <c r="A95" s="80">
        <v>45545.90625</v>
      </c>
      <c r="B95" s="112">
        <v>9.31</v>
      </c>
      <c r="C95" s="112">
        <v>4.07</v>
      </c>
      <c r="D95" s="112">
        <v>14.05</v>
      </c>
      <c r="E95" s="112">
        <v>9.7799999999999994</v>
      </c>
      <c r="F95" s="112">
        <v>4.13</v>
      </c>
      <c r="G95" s="112">
        <v>11.32</v>
      </c>
      <c r="H95" s="112">
        <v>1.59</v>
      </c>
      <c r="I95" s="112">
        <v>3.54</v>
      </c>
      <c r="J95" s="112">
        <v>0.96</v>
      </c>
      <c r="K95" s="112">
        <v>273.54000000000002</v>
      </c>
      <c r="L95" s="112">
        <v>26.35</v>
      </c>
      <c r="M95" s="112">
        <v>88.92</v>
      </c>
      <c r="N95" s="112">
        <v>2.4</v>
      </c>
      <c r="O95" s="112">
        <v>0</v>
      </c>
      <c r="P95" s="112">
        <v>0.34</v>
      </c>
      <c r="Q95" s="112">
        <v>4.6399999999999997</v>
      </c>
    </row>
    <row r="96" spans="1:17" customFormat="1">
      <c r="A96" s="80">
        <v>45545.916666666664</v>
      </c>
      <c r="B96" s="112">
        <v>9.31</v>
      </c>
      <c r="C96" s="112">
        <v>4.07</v>
      </c>
      <c r="D96" s="112">
        <v>14.04</v>
      </c>
      <c r="E96" s="112">
        <v>10.23</v>
      </c>
      <c r="F96" s="112">
        <v>4.96</v>
      </c>
      <c r="G96" s="112">
        <v>10.48</v>
      </c>
      <c r="H96" s="112">
        <v>1.55</v>
      </c>
      <c r="I96" s="112">
        <v>3.51</v>
      </c>
      <c r="J96" s="112">
        <v>0.96</v>
      </c>
      <c r="K96" s="112">
        <v>275.16000000000003</v>
      </c>
      <c r="L96" s="112">
        <v>26.36</v>
      </c>
      <c r="M96" s="112">
        <v>89.1</v>
      </c>
      <c r="N96" s="112">
        <v>2.4</v>
      </c>
      <c r="O96" s="112">
        <v>0</v>
      </c>
      <c r="P96" s="112">
        <v>0.35</v>
      </c>
      <c r="Q96" s="112">
        <v>4.6399999999999997</v>
      </c>
    </row>
    <row r="97" spans="1:22" customFormat="1">
      <c r="A97" s="80">
        <v>45545.927083333336</v>
      </c>
      <c r="B97" s="112">
        <v>9.2899999999999991</v>
      </c>
      <c r="C97" s="112">
        <v>4.09</v>
      </c>
      <c r="D97" s="112">
        <v>14.04</v>
      </c>
      <c r="E97" s="112">
        <v>10.54</v>
      </c>
      <c r="F97" s="112">
        <v>5.39</v>
      </c>
      <c r="G97" s="112">
        <v>8.15</v>
      </c>
      <c r="H97" s="112">
        <v>1.49</v>
      </c>
      <c r="I97" s="112">
        <v>3.47</v>
      </c>
      <c r="J97" s="112">
        <v>1.19</v>
      </c>
      <c r="K97" s="112">
        <v>277.24</v>
      </c>
      <c r="L97" s="112">
        <v>26.33</v>
      </c>
      <c r="M97" s="112">
        <v>89.34</v>
      </c>
      <c r="N97" s="112">
        <v>2.4</v>
      </c>
      <c r="O97" s="112">
        <v>0</v>
      </c>
      <c r="P97" s="112">
        <v>0.34</v>
      </c>
      <c r="Q97" s="112">
        <v>4.6500000000000004</v>
      </c>
    </row>
    <row r="98" spans="1:22" customFormat="1">
      <c r="A98" s="80">
        <v>45545.9375</v>
      </c>
      <c r="B98" s="112">
        <v>9.3000000000000007</v>
      </c>
      <c r="C98" s="112">
        <v>4.07</v>
      </c>
      <c r="D98" s="112">
        <v>14.03</v>
      </c>
      <c r="E98" s="112">
        <v>10.1</v>
      </c>
      <c r="F98" s="112">
        <v>4.34</v>
      </c>
      <c r="G98" s="112">
        <v>8.15</v>
      </c>
      <c r="H98" s="112">
        <v>1.49</v>
      </c>
      <c r="I98" s="112">
        <v>3.54</v>
      </c>
      <c r="J98" s="112">
        <v>1.01</v>
      </c>
      <c r="K98" s="112">
        <v>276.33999999999997</v>
      </c>
      <c r="L98" s="112">
        <v>26.29</v>
      </c>
      <c r="M98" s="112">
        <v>89.75</v>
      </c>
      <c r="N98" s="112">
        <v>2.5</v>
      </c>
      <c r="O98" s="112">
        <v>0</v>
      </c>
      <c r="P98" s="112">
        <v>0.34</v>
      </c>
      <c r="Q98" s="112">
        <v>4.6500000000000004</v>
      </c>
    </row>
    <row r="99" spans="1:22" customFormat="1">
      <c r="A99" s="80">
        <v>45545.947916666664</v>
      </c>
      <c r="B99" s="112">
        <v>9.32</v>
      </c>
      <c r="C99" s="112">
        <v>4.07</v>
      </c>
      <c r="D99" s="112">
        <v>14.05</v>
      </c>
      <c r="E99" s="112">
        <v>10.07</v>
      </c>
      <c r="F99" s="112">
        <v>4.3499999999999996</v>
      </c>
      <c r="G99" s="112">
        <v>8.15</v>
      </c>
      <c r="H99" s="112">
        <v>1.49</v>
      </c>
      <c r="I99" s="112">
        <v>3.39</v>
      </c>
      <c r="J99" s="112">
        <v>0.71</v>
      </c>
      <c r="K99" s="112">
        <v>274.35000000000002</v>
      </c>
      <c r="L99" s="112">
        <v>26.21</v>
      </c>
      <c r="M99" s="112">
        <v>90.48</v>
      </c>
      <c r="N99" s="112">
        <v>2.4</v>
      </c>
      <c r="O99" s="112">
        <v>0</v>
      </c>
      <c r="P99" s="112">
        <v>0.34</v>
      </c>
      <c r="Q99" s="112">
        <v>4.6399999999999997</v>
      </c>
    </row>
    <row r="100" spans="1:22" customFormat="1">
      <c r="A100" s="80">
        <v>45545.958333333336</v>
      </c>
      <c r="B100" s="112">
        <v>9.31</v>
      </c>
      <c r="C100" s="112">
        <v>4.0599999999999996</v>
      </c>
      <c r="D100" s="112">
        <v>14.04</v>
      </c>
      <c r="E100" s="112">
        <v>10.95</v>
      </c>
      <c r="F100" s="112">
        <v>4.7699999999999996</v>
      </c>
      <c r="G100" s="112">
        <v>8.5399999999999991</v>
      </c>
      <c r="H100" s="112">
        <v>1.48</v>
      </c>
      <c r="I100" s="112">
        <v>3.39</v>
      </c>
      <c r="J100" s="112">
        <v>1.02</v>
      </c>
      <c r="K100" s="112">
        <v>276.31</v>
      </c>
      <c r="L100" s="112">
        <v>26.16</v>
      </c>
      <c r="M100" s="112">
        <v>90.66</v>
      </c>
      <c r="N100" s="112">
        <v>2.4</v>
      </c>
      <c r="O100" s="112">
        <v>0</v>
      </c>
      <c r="P100" s="112">
        <v>0.34</v>
      </c>
      <c r="Q100" s="112">
        <v>4.6500000000000004</v>
      </c>
    </row>
    <row r="101" spans="1:22" customFormat="1">
      <c r="A101" s="80">
        <v>45545.96875</v>
      </c>
      <c r="B101" s="112">
        <v>9.32</v>
      </c>
      <c r="C101" s="112">
        <v>4.0599999999999996</v>
      </c>
      <c r="D101" s="112">
        <v>14.05</v>
      </c>
      <c r="E101" s="112">
        <v>10.85</v>
      </c>
      <c r="F101" s="112">
        <v>4.3099999999999996</v>
      </c>
      <c r="G101" s="112">
        <v>9.6199999999999992</v>
      </c>
      <c r="H101" s="112">
        <v>1.47</v>
      </c>
      <c r="I101" s="112">
        <v>3.53</v>
      </c>
      <c r="J101" s="112">
        <v>1.05</v>
      </c>
      <c r="K101" s="112">
        <v>277.02999999999997</v>
      </c>
      <c r="L101" s="112">
        <v>26.22</v>
      </c>
      <c r="M101" s="112">
        <v>90.59</v>
      </c>
      <c r="N101" s="112">
        <v>2.2999999999999998</v>
      </c>
      <c r="O101" s="112">
        <v>0</v>
      </c>
      <c r="P101" s="112">
        <v>0.35</v>
      </c>
      <c r="Q101" s="112">
        <v>4.6500000000000004</v>
      </c>
    </row>
    <row r="102" spans="1:22" customFormat="1">
      <c r="A102" s="80">
        <v>45545.979166666664</v>
      </c>
      <c r="B102" s="112">
        <v>9.31</v>
      </c>
      <c r="C102" s="112">
        <v>4.09</v>
      </c>
      <c r="D102" s="112">
        <v>14.05</v>
      </c>
      <c r="E102" s="112">
        <v>11.03</v>
      </c>
      <c r="F102" s="112">
        <v>4.4400000000000004</v>
      </c>
      <c r="G102" s="112">
        <v>9.6199999999999992</v>
      </c>
      <c r="H102" s="112">
        <v>1.47</v>
      </c>
      <c r="I102" s="112">
        <v>3.34</v>
      </c>
      <c r="J102" s="112">
        <v>1</v>
      </c>
      <c r="K102" s="112">
        <v>276.16000000000003</v>
      </c>
      <c r="L102" s="112">
        <v>26.28</v>
      </c>
      <c r="M102" s="112">
        <v>90.38</v>
      </c>
      <c r="N102" s="112">
        <v>2.2999999999999998</v>
      </c>
      <c r="O102" s="112">
        <v>0</v>
      </c>
      <c r="P102" s="112">
        <v>0.34</v>
      </c>
      <c r="Q102" s="112">
        <v>4.6399999999999997</v>
      </c>
    </row>
    <row r="103" spans="1:22" customFormat="1">
      <c r="A103" s="80">
        <v>45545.989583333336</v>
      </c>
      <c r="B103" s="112">
        <v>9.2899999999999991</v>
      </c>
      <c r="C103" s="112">
        <v>4.1100000000000003</v>
      </c>
      <c r="D103" s="112">
        <v>14.05</v>
      </c>
      <c r="E103" s="112">
        <v>11.09</v>
      </c>
      <c r="F103" s="112">
        <v>3.73</v>
      </c>
      <c r="G103" s="112">
        <v>9.6199999999999992</v>
      </c>
      <c r="H103" s="112">
        <v>1.47</v>
      </c>
      <c r="I103" s="112">
        <v>3.32</v>
      </c>
      <c r="J103" s="112">
        <v>0.92</v>
      </c>
      <c r="K103" s="112">
        <v>273.52</v>
      </c>
      <c r="L103" s="112">
        <v>26.2</v>
      </c>
      <c r="M103" s="112">
        <v>91.02</v>
      </c>
      <c r="N103" s="112">
        <v>2.4</v>
      </c>
      <c r="O103" s="112">
        <v>0</v>
      </c>
      <c r="P103" s="112">
        <v>0.34</v>
      </c>
      <c r="Q103" s="112">
        <v>4.63</v>
      </c>
    </row>
    <row r="104" spans="1:22" customFormat="1">
      <c r="A104" s="80">
        <v>45546</v>
      </c>
      <c r="B104" s="112">
        <v>9.3000000000000007</v>
      </c>
      <c r="C104" s="112">
        <v>4.07</v>
      </c>
      <c r="D104" s="112">
        <v>14.04</v>
      </c>
      <c r="E104" s="112">
        <v>11.11</v>
      </c>
      <c r="F104" s="112">
        <v>4.46</v>
      </c>
      <c r="G104" s="112">
        <v>10.66</v>
      </c>
      <c r="H104" s="112">
        <v>1.86</v>
      </c>
      <c r="I104" s="112">
        <v>3.3</v>
      </c>
      <c r="J104" s="112">
        <v>0.87</v>
      </c>
      <c r="K104" s="112">
        <v>274.33999999999997</v>
      </c>
      <c r="L104" s="112">
        <v>26.18</v>
      </c>
      <c r="M104" s="112">
        <v>91.37</v>
      </c>
      <c r="N104" s="112">
        <v>2.2999999999999998</v>
      </c>
      <c r="O104" s="112">
        <v>0</v>
      </c>
      <c r="P104" s="112">
        <v>0.34</v>
      </c>
      <c r="Q104" s="112">
        <v>4.6399999999999997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9.2799999999999994</v>
      </c>
      <c r="C106" s="183">
        <f>MIN(C9:C104)</f>
        <v>4.01</v>
      </c>
      <c r="D106" s="183">
        <f t="shared" ref="D106:Q106" si="0">MIN(D9:D104)</f>
        <v>14.02</v>
      </c>
      <c r="E106" s="183">
        <f t="shared" si="0"/>
        <v>6.68</v>
      </c>
      <c r="F106" s="183">
        <f t="shared" si="0"/>
        <v>1.89</v>
      </c>
      <c r="G106" s="183">
        <f t="shared" si="0"/>
        <v>4.6399999999999997</v>
      </c>
      <c r="H106" s="183">
        <f t="shared" si="0"/>
        <v>1.47</v>
      </c>
      <c r="I106" s="183">
        <f t="shared" si="0"/>
        <v>3.3</v>
      </c>
      <c r="J106" s="183">
        <f t="shared" si="0"/>
        <v>0.08</v>
      </c>
      <c r="K106" s="183">
        <f t="shared" si="0"/>
        <v>8.08</v>
      </c>
      <c r="L106" s="183">
        <f t="shared" si="0"/>
        <v>24.8</v>
      </c>
      <c r="M106" s="183">
        <f t="shared" si="0"/>
        <v>88.05</v>
      </c>
      <c r="N106" s="183">
        <f t="shared" si="0"/>
        <v>2.1</v>
      </c>
      <c r="O106" s="183">
        <f t="shared" si="0"/>
        <v>0</v>
      </c>
      <c r="P106" s="183">
        <f t="shared" si="0"/>
        <v>0.31</v>
      </c>
      <c r="Q106" s="183">
        <f t="shared" si="0"/>
        <v>4.6100000000000003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9.3699999999999992</v>
      </c>
      <c r="C107" s="184">
        <f t="shared" ref="C107:Q107" si="1">MAX(C9:C104)</f>
        <v>4.1100000000000003</v>
      </c>
      <c r="D107" s="184">
        <f t="shared" si="1"/>
        <v>14.09</v>
      </c>
      <c r="E107" s="184">
        <f t="shared" si="1"/>
        <v>12.91</v>
      </c>
      <c r="F107" s="184">
        <f t="shared" si="1"/>
        <v>8</v>
      </c>
      <c r="G107" s="184">
        <f t="shared" si="1"/>
        <v>21.78</v>
      </c>
      <c r="H107" s="184">
        <f t="shared" si="1"/>
        <v>9.61</v>
      </c>
      <c r="I107" s="184">
        <f t="shared" si="1"/>
        <v>5.8</v>
      </c>
      <c r="J107" s="184">
        <f t="shared" si="1"/>
        <v>1.4</v>
      </c>
      <c r="K107" s="184">
        <f t="shared" si="1"/>
        <v>332.15</v>
      </c>
      <c r="L107" s="184">
        <f t="shared" si="1"/>
        <v>26.97</v>
      </c>
      <c r="M107" s="184">
        <f t="shared" si="1"/>
        <v>100.59</v>
      </c>
      <c r="N107" s="184">
        <f t="shared" si="1"/>
        <v>178.6</v>
      </c>
      <c r="O107" s="184">
        <f t="shared" si="1"/>
        <v>13</v>
      </c>
      <c r="P107" s="184">
        <f t="shared" si="1"/>
        <v>0.5</v>
      </c>
      <c r="Q107" s="184">
        <f t="shared" si="1"/>
        <v>4.67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9.3263541666666629</v>
      </c>
      <c r="C108" s="183">
        <f t="shared" ref="C108:Q108" si="2">AVERAGE(C9:C104)</f>
        <v>4.0665624999999999</v>
      </c>
      <c r="D108" s="183">
        <f t="shared" si="2"/>
        <v>14.053541666666652</v>
      </c>
      <c r="E108" s="183">
        <f t="shared" si="2"/>
        <v>10.299375000000003</v>
      </c>
      <c r="F108" s="183">
        <f t="shared" si="2"/>
        <v>4.0939583333333331</v>
      </c>
      <c r="G108" s="183">
        <f t="shared" si="2"/>
        <v>11.197708333333329</v>
      </c>
      <c r="H108" s="183">
        <f t="shared" si="2"/>
        <v>4.5874999999999995</v>
      </c>
      <c r="I108" s="183">
        <f t="shared" si="2"/>
        <v>4.7439583333333326</v>
      </c>
      <c r="J108" s="183">
        <f t="shared" si="2"/>
        <v>0.82729166666666609</v>
      </c>
      <c r="K108" s="183">
        <f t="shared" si="2"/>
        <v>269.85145833333337</v>
      </c>
      <c r="L108" s="183">
        <f t="shared" si="2"/>
        <v>25.766875000000002</v>
      </c>
      <c r="M108" s="183">
        <f t="shared" si="2"/>
        <v>95.516562500000006</v>
      </c>
      <c r="N108" s="183">
        <f t="shared" si="2"/>
        <v>27.445833333333354</v>
      </c>
      <c r="O108" s="183">
        <f t="shared" si="2"/>
        <v>0.78125000000000011</v>
      </c>
      <c r="P108" s="183">
        <f t="shared" si="2"/>
        <v>0.40177083333333402</v>
      </c>
      <c r="Q108" s="183">
        <f t="shared" si="2"/>
        <v>4.6413541666666616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2.1962637731846753E-2</v>
      </c>
      <c r="C109" s="183">
        <f t="shared" ref="C109:Q109" si="3">STDEV(C9:C104)</f>
        <v>1.6145921759803193E-2</v>
      </c>
      <c r="D109" s="183">
        <f t="shared" si="3"/>
        <v>1.9193154847040324E-2</v>
      </c>
      <c r="E109" s="183">
        <f t="shared" si="3"/>
        <v>1.5243979398265182</v>
      </c>
      <c r="F109" s="183">
        <f t="shared" si="3"/>
        <v>1.354931327967867</v>
      </c>
      <c r="G109" s="183">
        <f t="shared" si="3"/>
        <v>4.2703431340416094</v>
      </c>
      <c r="H109" s="183">
        <f t="shared" si="3"/>
        <v>2.3208637230679172</v>
      </c>
      <c r="I109" s="183">
        <f t="shared" si="3"/>
        <v>0.73833023443964985</v>
      </c>
      <c r="J109" s="183">
        <f t="shared" si="3"/>
        <v>0.36685714749295489</v>
      </c>
      <c r="K109" s="183">
        <f t="shared" si="3"/>
        <v>49.025440527377917</v>
      </c>
      <c r="L109" s="183">
        <f t="shared" si="3"/>
        <v>0.73738130177708949</v>
      </c>
      <c r="M109" s="183">
        <f t="shared" si="3"/>
        <v>5.1327023411035295</v>
      </c>
      <c r="N109" s="183">
        <f t="shared" si="3"/>
        <v>40.46216664767919</v>
      </c>
      <c r="O109" s="183">
        <f t="shared" si="3"/>
        <v>2.0278229186676251</v>
      </c>
      <c r="P109" s="183">
        <f t="shared" si="3"/>
        <v>5.730793628637431E-2</v>
      </c>
      <c r="Q109" s="183">
        <f t="shared" si="3"/>
        <v>1.0525136995399734E-2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81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45546.010416666664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45546.010416666664</v>
      </c>
      <c r="B9" s="112">
        <v>9.24</v>
      </c>
      <c r="C9" s="112">
        <v>4.1100000000000003</v>
      </c>
      <c r="D9" s="112">
        <v>14</v>
      </c>
      <c r="E9" s="112">
        <v>10.8</v>
      </c>
      <c r="F9" s="112">
        <v>3.28</v>
      </c>
      <c r="G9" s="112">
        <v>13.54</v>
      </c>
      <c r="H9" s="112">
        <v>2.61</v>
      </c>
      <c r="I9" s="112">
        <v>3.33</v>
      </c>
      <c r="J9" s="112">
        <v>0.71</v>
      </c>
      <c r="K9" s="112">
        <v>272.01</v>
      </c>
      <c r="L9" s="112">
        <v>26.2</v>
      </c>
      <c r="M9" s="112">
        <v>91.77</v>
      </c>
      <c r="N9" s="112">
        <v>2.4</v>
      </c>
      <c r="O9" s="112">
        <v>0</v>
      </c>
      <c r="P9" s="112">
        <v>0.34</v>
      </c>
      <c r="Q9" s="112">
        <v>4.6399999999999997</v>
      </c>
    </row>
    <row r="10" spans="1:21" customFormat="1">
      <c r="A10" s="80">
        <v>45546.020833333336</v>
      </c>
      <c r="B10" s="112">
        <v>9.18</v>
      </c>
      <c r="C10" s="112">
        <v>4.1900000000000004</v>
      </c>
      <c r="D10" s="112">
        <v>14</v>
      </c>
      <c r="E10" s="112">
        <v>11.91</v>
      </c>
      <c r="F10" s="112">
        <v>2.4900000000000002</v>
      </c>
      <c r="G10" s="112">
        <v>13.54</v>
      </c>
      <c r="H10" s="112">
        <v>2.61</v>
      </c>
      <c r="I10" s="112">
        <v>3.17</v>
      </c>
      <c r="J10" s="112">
        <v>0.85</v>
      </c>
      <c r="K10" s="112">
        <v>275.74</v>
      </c>
      <c r="L10" s="112">
        <v>26.02</v>
      </c>
      <c r="M10" s="112">
        <v>92.98</v>
      </c>
      <c r="N10" s="112">
        <v>2.5</v>
      </c>
      <c r="O10" s="112">
        <v>0</v>
      </c>
      <c r="P10" s="112">
        <v>0.34</v>
      </c>
      <c r="Q10" s="112">
        <v>4.6399999999999997</v>
      </c>
    </row>
    <row r="11" spans="1:21" customFormat="1">
      <c r="A11" s="80">
        <v>45546.03125</v>
      </c>
      <c r="B11" s="112">
        <v>9.18</v>
      </c>
      <c r="C11" s="112">
        <v>4.2</v>
      </c>
      <c r="D11" s="112">
        <v>14</v>
      </c>
      <c r="E11" s="112">
        <v>12.24</v>
      </c>
      <c r="F11" s="112">
        <v>3.22</v>
      </c>
      <c r="G11" s="112">
        <v>13.54</v>
      </c>
      <c r="H11" s="112">
        <v>2.61</v>
      </c>
      <c r="I11" s="112">
        <v>3.18</v>
      </c>
      <c r="J11" s="112">
        <v>0.81</v>
      </c>
      <c r="K11" s="112">
        <v>273.51</v>
      </c>
      <c r="L11" s="112">
        <v>25.94</v>
      </c>
      <c r="M11" s="112">
        <v>93.24</v>
      </c>
      <c r="N11" s="112">
        <v>2.4</v>
      </c>
      <c r="O11" s="112">
        <v>0</v>
      </c>
      <c r="P11" s="112">
        <v>0.33</v>
      </c>
      <c r="Q11" s="112">
        <v>4.6399999999999997</v>
      </c>
    </row>
    <row r="12" spans="1:21" customFormat="1">
      <c r="A12" s="80">
        <v>45546.041666666664</v>
      </c>
      <c r="B12" s="112">
        <v>9.1999999999999993</v>
      </c>
      <c r="C12" s="112">
        <v>4.16</v>
      </c>
      <c r="D12" s="112">
        <v>14</v>
      </c>
      <c r="E12" s="112">
        <v>11.72</v>
      </c>
      <c r="F12" s="112">
        <v>4.0999999999999996</v>
      </c>
      <c r="G12" s="112">
        <v>14.97</v>
      </c>
      <c r="H12" s="112">
        <v>2.79</v>
      </c>
      <c r="I12" s="112">
        <v>3.23</v>
      </c>
      <c r="J12" s="112">
        <v>1.03</v>
      </c>
      <c r="K12" s="112">
        <v>278.29000000000002</v>
      </c>
      <c r="L12" s="112">
        <v>25.88</v>
      </c>
      <c r="M12" s="112">
        <v>93.4</v>
      </c>
      <c r="N12" s="112">
        <v>2.2999999999999998</v>
      </c>
      <c r="O12" s="112">
        <v>0</v>
      </c>
      <c r="P12" s="112">
        <v>0.33</v>
      </c>
      <c r="Q12" s="112">
        <v>4.6399999999999997</v>
      </c>
    </row>
    <row r="13" spans="1:21" customFormat="1">
      <c r="A13" s="80">
        <v>45546.052083333336</v>
      </c>
      <c r="B13" s="112">
        <v>9.2100000000000009</v>
      </c>
      <c r="C13" s="112">
        <v>4.1399999999999997</v>
      </c>
      <c r="D13" s="112">
        <v>14</v>
      </c>
      <c r="E13" s="112">
        <v>10.91</v>
      </c>
      <c r="F13" s="112">
        <v>5.39</v>
      </c>
      <c r="G13" s="112">
        <v>18.920000000000002</v>
      </c>
      <c r="H13" s="112">
        <v>3.13</v>
      </c>
      <c r="I13" s="112">
        <v>3.41</v>
      </c>
      <c r="J13" s="112">
        <v>1.02</v>
      </c>
      <c r="K13" s="112">
        <v>276.77999999999997</v>
      </c>
      <c r="L13" s="112">
        <v>25.95</v>
      </c>
      <c r="M13" s="112">
        <v>92.8</v>
      </c>
      <c r="N13" s="112">
        <v>2.4</v>
      </c>
      <c r="O13" s="112">
        <v>0</v>
      </c>
      <c r="P13" s="112">
        <v>0.31</v>
      </c>
      <c r="Q13" s="112">
        <v>4.66</v>
      </c>
    </row>
    <row r="14" spans="1:21" customFormat="1">
      <c r="A14" s="80">
        <v>45546.0625</v>
      </c>
      <c r="B14" s="112">
        <v>9.2100000000000009</v>
      </c>
      <c r="C14" s="112">
        <v>4.1399999999999997</v>
      </c>
      <c r="D14" s="112">
        <v>14</v>
      </c>
      <c r="E14" s="112">
        <v>10.6</v>
      </c>
      <c r="F14" s="112">
        <v>5.35</v>
      </c>
      <c r="G14" s="112">
        <v>18.920000000000002</v>
      </c>
      <c r="H14" s="112">
        <v>3.13</v>
      </c>
      <c r="I14" s="112">
        <v>3.35</v>
      </c>
      <c r="J14" s="112">
        <v>1.04</v>
      </c>
      <c r="K14" s="112">
        <v>275.42</v>
      </c>
      <c r="L14" s="112">
        <v>25.97</v>
      </c>
      <c r="M14" s="112">
        <v>92.4</v>
      </c>
      <c r="N14" s="112">
        <v>2.2999999999999998</v>
      </c>
      <c r="O14" s="112">
        <v>0</v>
      </c>
      <c r="P14" s="112">
        <v>0.31</v>
      </c>
      <c r="Q14" s="112">
        <v>4.63</v>
      </c>
    </row>
    <row r="15" spans="1:21" customFormat="1">
      <c r="A15" s="80">
        <v>45546.072916666664</v>
      </c>
      <c r="B15" s="112">
        <v>9.2100000000000009</v>
      </c>
      <c r="C15" s="112">
        <v>4.1399999999999997</v>
      </c>
      <c r="D15" s="112">
        <v>14</v>
      </c>
      <c r="E15" s="112">
        <v>10.02</v>
      </c>
      <c r="F15" s="112">
        <v>5.03</v>
      </c>
      <c r="G15" s="112">
        <v>18.920000000000002</v>
      </c>
      <c r="H15" s="112">
        <v>3.13</v>
      </c>
      <c r="I15" s="112">
        <v>3.4</v>
      </c>
      <c r="J15" s="112">
        <v>1.05</v>
      </c>
      <c r="K15" s="112">
        <v>275.26</v>
      </c>
      <c r="L15" s="112">
        <v>26.02</v>
      </c>
      <c r="M15" s="112">
        <v>91.6</v>
      </c>
      <c r="N15" s="112">
        <v>2.2999999999999998</v>
      </c>
      <c r="O15" s="112">
        <v>0</v>
      </c>
      <c r="P15" s="112">
        <v>0.31</v>
      </c>
      <c r="Q15" s="112">
        <v>4.6399999999999997</v>
      </c>
    </row>
    <row r="16" spans="1:21" customFormat="1">
      <c r="A16" s="80">
        <v>45546.083333333336</v>
      </c>
      <c r="B16" s="112">
        <v>9.2100000000000009</v>
      </c>
      <c r="C16" s="112">
        <v>4.1500000000000004</v>
      </c>
      <c r="D16" s="112">
        <v>14</v>
      </c>
      <c r="E16" s="112">
        <v>9.93</v>
      </c>
      <c r="F16" s="112">
        <v>5.69</v>
      </c>
      <c r="G16" s="112">
        <v>18.559999999999999</v>
      </c>
      <c r="H16" s="112">
        <v>3.13</v>
      </c>
      <c r="I16" s="112">
        <v>3.34</v>
      </c>
      <c r="J16" s="112">
        <v>1.08</v>
      </c>
      <c r="K16" s="112">
        <v>276.25</v>
      </c>
      <c r="L16" s="112">
        <v>25.99</v>
      </c>
      <c r="M16" s="112">
        <v>91.24</v>
      </c>
      <c r="N16" s="112">
        <v>2.4</v>
      </c>
      <c r="O16" s="112">
        <v>0</v>
      </c>
      <c r="P16" s="112">
        <v>0.3</v>
      </c>
      <c r="Q16" s="112">
        <v>4.6500000000000004</v>
      </c>
    </row>
    <row r="17" spans="1:17" customFormat="1">
      <c r="A17" s="80">
        <v>45546.09375</v>
      </c>
      <c r="B17" s="112">
        <v>9.23</v>
      </c>
      <c r="C17" s="112">
        <v>4.1100000000000003</v>
      </c>
      <c r="D17" s="112">
        <v>14</v>
      </c>
      <c r="E17" s="112">
        <v>8.66</v>
      </c>
      <c r="F17" s="112">
        <v>5.98</v>
      </c>
      <c r="G17" s="112">
        <v>17.57</v>
      </c>
      <c r="H17" s="112">
        <v>3.13</v>
      </c>
      <c r="I17" s="112">
        <v>3.38</v>
      </c>
      <c r="J17" s="112">
        <v>1.08</v>
      </c>
      <c r="K17" s="112">
        <v>275.43</v>
      </c>
      <c r="L17" s="112">
        <v>25.92</v>
      </c>
      <c r="M17" s="112">
        <v>91.64</v>
      </c>
      <c r="N17" s="112">
        <v>2.2999999999999998</v>
      </c>
      <c r="O17" s="112">
        <v>0</v>
      </c>
      <c r="P17" s="112">
        <v>0.28999999999999998</v>
      </c>
      <c r="Q17" s="112">
        <v>4.6500000000000004</v>
      </c>
    </row>
    <row r="18" spans="1:17" customFormat="1">
      <c r="A18" s="80">
        <v>45546.104166666664</v>
      </c>
      <c r="B18" s="112">
        <v>9.23</v>
      </c>
      <c r="C18" s="112">
        <v>4.1100000000000003</v>
      </c>
      <c r="D18" s="112">
        <v>14</v>
      </c>
      <c r="E18" s="112">
        <v>10.8</v>
      </c>
      <c r="F18" s="112">
        <v>5.18</v>
      </c>
      <c r="G18" s="112">
        <v>17.57</v>
      </c>
      <c r="H18" s="112">
        <v>3.13</v>
      </c>
      <c r="I18" s="112">
        <v>3.29</v>
      </c>
      <c r="J18" s="112">
        <v>0.85</v>
      </c>
      <c r="K18" s="112">
        <v>272.3</v>
      </c>
      <c r="L18" s="112">
        <v>25.77</v>
      </c>
      <c r="M18" s="112">
        <v>92.6</v>
      </c>
      <c r="N18" s="112">
        <v>2.4</v>
      </c>
      <c r="O18" s="112">
        <v>0</v>
      </c>
      <c r="P18" s="112">
        <v>0.28000000000000003</v>
      </c>
      <c r="Q18" s="112">
        <v>4.6500000000000004</v>
      </c>
    </row>
    <row r="19" spans="1:17" customFormat="1">
      <c r="A19" s="80">
        <v>45546.114583333336</v>
      </c>
      <c r="B19" s="112">
        <v>9.2200000000000006</v>
      </c>
      <c r="C19" s="112">
        <v>4.13</v>
      </c>
      <c r="D19" s="112">
        <v>14</v>
      </c>
      <c r="E19" s="112">
        <v>9.92</v>
      </c>
      <c r="F19" s="112">
        <v>4.7</v>
      </c>
      <c r="G19" s="112">
        <v>17.57</v>
      </c>
      <c r="H19" s="112">
        <v>3.13</v>
      </c>
      <c r="I19" s="112">
        <v>3.31</v>
      </c>
      <c r="J19" s="112">
        <v>1.01</v>
      </c>
      <c r="K19" s="112">
        <v>275.83</v>
      </c>
      <c r="L19" s="112">
        <v>25.73</v>
      </c>
      <c r="M19" s="112">
        <v>92.7</v>
      </c>
      <c r="N19" s="112">
        <v>2.4</v>
      </c>
      <c r="O19" s="112">
        <v>0</v>
      </c>
      <c r="P19" s="112">
        <v>0.28000000000000003</v>
      </c>
      <c r="Q19" s="112">
        <v>4.66</v>
      </c>
    </row>
    <row r="20" spans="1:17" customFormat="1">
      <c r="A20" s="80">
        <v>45546.125</v>
      </c>
      <c r="B20" s="112">
        <v>9.2100000000000009</v>
      </c>
      <c r="C20" s="112">
        <v>4.1500000000000004</v>
      </c>
      <c r="D20" s="112">
        <v>14</v>
      </c>
      <c r="E20" s="112">
        <v>9.8800000000000008</v>
      </c>
      <c r="F20" s="112">
        <v>5.59</v>
      </c>
      <c r="G20" s="112">
        <v>18.23</v>
      </c>
      <c r="H20" s="112">
        <v>3.05</v>
      </c>
      <c r="I20" s="112">
        <v>3.36</v>
      </c>
      <c r="J20" s="112">
        <v>0.85</v>
      </c>
      <c r="K20" s="112">
        <v>277.07</v>
      </c>
      <c r="L20" s="112">
        <v>25.62</v>
      </c>
      <c r="M20" s="112">
        <v>93.42</v>
      </c>
      <c r="N20" s="112">
        <v>2.2999999999999998</v>
      </c>
      <c r="O20" s="112">
        <v>0</v>
      </c>
      <c r="P20" s="112">
        <v>0.28999999999999998</v>
      </c>
      <c r="Q20" s="112">
        <v>4.66</v>
      </c>
    </row>
    <row r="21" spans="1:17" customFormat="1">
      <c r="A21" s="80">
        <v>45546.135416666664</v>
      </c>
      <c r="B21" s="112">
        <v>9.2100000000000009</v>
      </c>
      <c r="C21" s="112">
        <v>4.1399999999999997</v>
      </c>
      <c r="D21" s="112">
        <v>14</v>
      </c>
      <c r="E21" s="112">
        <v>9.67</v>
      </c>
      <c r="F21" s="112">
        <v>5.62</v>
      </c>
      <c r="G21" s="112">
        <v>20.149999999999999</v>
      </c>
      <c r="H21" s="112">
        <v>2.91</v>
      </c>
      <c r="I21" s="112">
        <v>3.29</v>
      </c>
      <c r="J21" s="112">
        <v>0.9</v>
      </c>
      <c r="K21" s="112">
        <v>274.04000000000002</v>
      </c>
      <c r="L21" s="112">
        <v>25.63</v>
      </c>
      <c r="M21" s="112">
        <v>93.25</v>
      </c>
      <c r="N21" s="112">
        <v>2.1</v>
      </c>
      <c r="O21" s="112">
        <v>0</v>
      </c>
      <c r="P21" s="112">
        <v>0.27</v>
      </c>
      <c r="Q21" s="112">
        <v>4.68</v>
      </c>
    </row>
    <row r="22" spans="1:17" customFormat="1">
      <c r="A22" s="80">
        <v>45546.145833333336</v>
      </c>
      <c r="B22" s="112">
        <v>9.2100000000000009</v>
      </c>
      <c r="C22" s="112">
        <v>4.1500000000000004</v>
      </c>
      <c r="D22" s="112">
        <v>14</v>
      </c>
      <c r="E22" s="112">
        <v>9.6</v>
      </c>
      <c r="F22" s="112">
        <v>5.43</v>
      </c>
      <c r="G22" s="112">
        <v>20.149999999999999</v>
      </c>
      <c r="H22" s="112">
        <v>2.91</v>
      </c>
      <c r="I22" s="112">
        <v>3.22</v>
      </c>
      <c r="J22" s="112">
        <v>0.86</v>
      </c>
      <c r="K22" s="112">
        <v>274.87</v>
      </c>
      <c r="L22" s="112">
        <v>25.75</v>
      </c>
      <c r="M22" s="112">
        <v>92.32</v>
      </c>
      <c r="N22" s="112">
        <v>2.2000000000000002</v>
      </c>
      <c r="O22" s="112">
        <v>0</v>
      </c>
      <c r="P22" s="112">
        <v>0.27</v>
      </c>
      <c r="Q22" s="112">
        <v>4.66</v>
      </c>
    </row>
    <row r="23" spans="1:17" customFormat="1">
      <c r="A23" s="80">
        <v>45546.15625</v>
      </c>
      <c r="B23" s="112">
        <v>9.1999999999999993</v>
      </c>
      <c r="C23" s="112">
        <v>4.16</v>
      </c>
      <c r="D23" s="112">
        <v>14</v>
      </c>
      <c r="E23" s="112">
        <v>9.3800000000000008</v>
      </c>
      <c r="F23" s="112">
        <v>6.13</v>
      </c>
      <c r="G23" s="112">
        <v>20.149999999999999</v>
      </c>
      <c r="H23" s="112">
        <v>2.91</v>
      </c>
      <c r="I23" s="112">
        <v>3.09</v>
      </c>
      <c r="J23" s="112">
        <v>0.93</v>
      </c>
      <c r="K23" s="112">
        <v>276.83999999999997</v>
      </c>
      <c r="L23" s="112">
        <v>25.75</v>
      </c>
      <c r="M23" s="112">
        <v>92.02</v>
      </c>
      <c r="N23" s="112">
        <v>2.2999999999999998</v>
      </c>
      <c r="O23" s="112">
        <v>0</v>
      </c>
      <c r="P23" s="112">
        <v>0.27</v>
      </c>
      <c r="Q23" s="112">
        <v>4.6500000000000004</v>
      </c>
    </row>
    <row r="24" spans="1:17" customFormat="1">
      <c r="A24" s="80">
        <v>45546.166666666664</v>
      </c>
      <c r="B24" s="112">
        <v>9.2100000000000009</v>
      </c>
      <c r="C24" s="112">
        <v>4.1399999999999997</v>
      </c>
      <c r="D24" s="112">
        <v>14</v>
      </c>
      <c r="E24" s="112">
        <v>9.5500000000000007</v>
      </c>
      <c r="F24" s="112">
        <v>6.87</v>
      </c>
      <c r="G24" s="112">
        <v>18.829999999999998</v>
      </c>
      <c r="H24" s="112">
        <v>2.86</v>
      </c>
      <c r="I24" s="112">
        <v>3.23</v>
      </c>
      <c r="J24" s="112">
        <v>0.8</v>
      </c>
      <c r="K24" s="112">
        <v>274.95</v>
      </c>
      <c r="L24" s="112">
        <v>25.62</v>
      </c>
      <c r="M24" s="112">
        <v>92.56</v>
      </c>
      <c r="N24" s="112">
        <v>2.4</v>
      </c>
      <c r="O24" s="112">
        <v>0</v>
      </c>
      <c r="P24" s="112">
        <v>0.26</v>
      </c>
      <c r="Q24" s="112">
        <v>4.6500000000000004</v>
      </c>
    </row>
    <row r="25" spans="1:17" customFormat="1">
      <c r="A25" s="80">
        <v>45546.177083333336</v>
      </c>
      <c r="B25" s="112">
        <v>9.2200000000000006</v>
      </c>
      <c r="C25" s="112">
        <v>4.13</v>
      </c>
      <c r="D25" s="112">
        <v>14</v>
      </c>
      <c r="E25" s="112">
        <v>9.39</v>
      </c>
      <c r="F25" s="112">
        <v>5.84</v>
      </c>
      <c r="G25" s="112">
        <v>14.99</v>
      </c>
      <c r="H25" s="112">
        <v>2.78</v>
      </c>
      <c r="I25" s="112">
        <v>3.13</v>
      </c>
      <c r="J25" s="112">
        <v>0.73</v>
      </c>
      <c r="K25" s="112">
        <v>275.22000000000003</v>
      </c>
      <c r="L25" s="112">
        <v>25.59</v>
      </c>
      <c r="M25" s="112">
        <v>93.04</v>
      </c>
      <c r="N25" s="112">
        <v>2.2999999999999998</v>
      </c>
      <c r="O25" s="112">
        <v>0</v>
      </c>
      <c r="P25" s="112">
        <v>0.26</v>
      </c>
      <c r="Q25" s="112">
        <v>4.6500000000000004</v>
      </c>
    </row>
    <row r="26" spans="1:17" customFormat="1">
      <c r="A26" s="80">
        <v>45546.1875</v>
      </c>
      <c r="B26" s="112">
        <v>9.2200000000000006</v>
      </c>
      <c r="C26" s="112">
        <v>4.13</v>
      </c>
      <c r="D26" s="112">
        <v>14</v>
      </c>
      <c r="E26" s="112">
        <v>9.2899999999999991</v>
      </c>
      <c r="F26" s="112">
        <v>6.49</v>
      </c>
      <c r="G26" s="112">
        <v>14.99</v>
      </c>
      <c r="H26" s="112">
        <v>2.78</v>
      </c>
      <c r="I26" s="112">
        <v>3.09</v>
      </c>
      <c r="J26" s="112">
        <v>0.63</v>
      </c>
      <c r="K26" s="112">
        <v>271.39</v>
      </c>
      <c r="L26" s="112">
        <v>25.61</v>
      </c>
      <c r="M26" s="112">
        <v>93.19</v>
      </c>
      <c r="N26" s="112">
        <v>2.2999999999999998</v>
      </c>
      <c r="O26" s="112">
        <v>0</v>
      </c>
      <c r="P26" s="112">
        <v>0.25</v>
      </c>
      <c r="Q26" s="112">
        <v>4.6500000000000004</v>
      </c>
    </row>
    <row r="27" spans="1:17" customFormat="1">
      <c r="A27" s="80">
        <v>45546.197916666664</v>
      </c>
      <c r="B27" s="112">
        <v>9.17</v>
      </c>
      <c r="C27" s="112">
        <v>4.21</v>
      </c>
      <c r="D27" s="112">
        <v>14</v>
      </c>
      <c r="E27" s="112">
        <v>8.74</v>
      </c>
      <c r="F27" s="112">
        <v>7.06</v>
      </c>
      <c r="G27" s="112">
        <v>14.99</v>
      </c>
      <c r="H27" s="112">
        <v>2.78</v>
      </c>
      <c r="I27" s="112">
        <v>3.14</v>
      </c>
      <c r="J27" s="112">
        <v>0.79</v>
      </c>
      <c r="K27" s="112">
        <v>275.82</v>
      </c>
      <c r="L27" s="112">
        <v>25.59</v>
      </c>
      <c r="M27" s="112">
        <v>93.1</v>
      </c>
      <c r="N27" s="112">
        <v>2.4</v>
      </c>
      <c r="O27" s="112">
        <v>0</v>
      </c>
      <c r="P27" s="112">
        <v>0.25</v>
      </c>
      <c r="Q27" s="112">
        <v>4.6500000000000004</v>
      </c>
    </row>
    <row r="28" spans="1:17" customFormat="1">
      <c r="A28" s="80">
        <v>45546.208333333336</v>
      </c>
      <c r="B28" s="112">
        <v>9.11</v>
      </c>
      <c r="C28" s="112">
        <v>4.29</v>
      </c>
      <c r="D28" s="112">
        <v>14</v>
      </c>
      <c r="E28" s="112">
        <v>9.49</v>
      </c>
      <c r="F28" s="112">
        <v>5.36</v>
      </c>
      <c r="G28" s="112">
        <v>15.72</v>
      </c>
      <c r="H28" s="112">
        <v>4.47</v>
      </c>
      <c r="I28" s="112">
        <v>3.15</v>
      </c>
      <c r="J28" s="112">
        <v>0.67</v>
      </c>
      <c r="K28" s="112">
        <v>273.70999999999998</v>
      </c>
      <c r="L28" s="112">
        <v>25.65</v>
      </c>
      <c r="M28" s="112">
        <v>92.7</v>
      </c>
      <c r="N28" s="112">
        <v>2.2999999999999998</v>
      </c>
      <c r="O28" s="112">
        <v>0</v>
      </c>
      <c r="P28" s="112">
        <v>0.27</v>
      </c>
      <c r="Q28" s="112">
        <v>4.6500000000000004</v>
      </c>
    </row>
    <row r="29" spans="1:17" customFormat="1">
      <c r="A29" s="80">
        <v>45546.21875</v>
      </c>
      <c r="B29" s="112">
        <v>9.09</v>
      </c>
      <c r="C29" s="112">
        <v>4.33</v>
      </c>
      <c r="D29" s="112">
        <v>14</v>
      </c>
      <c r="E29" s="112">
        <v>9.4700000000000006</v>
      </c>
      <c r="F29" s="112">
        <v>5.84</v>
      </c>
      <c r="G29" s="112">
        <v>17.72</v>
      </c>
      <c r="H29" s="112">
        <v>7.71</v>
      </c>
      <c r="I29" s="112">
        <v>3.08</v>
      </c>
      <c r="J29" s="112">
        <v>0.9</v>
      </c>
      <c r="K29" s="112">
        <v>276.87</v>
      </c>
      <c r="L29" s="112">
        <v>25.61</v>
      </c>
      <c r="M29" s="112">
        <v>92.65</v>
      </c>
      <c r="N29" s="112">
        <v>2.2000000000000002</v>
      </c>
      <c r="O29" s="112">
        <v>0</v>
      </c>
      <c r="P29" s="112">
        <v>0.28999999999999998</v>
      </c>
      <c r="Q29" s="112">
        <v>4.6500000000000004</v>
      </c>
    </row>
    <row r="30" spans="1:17" customFormat="1">
      <c r="A30" s="80">
        <v>45546.229166666664</v>
      </c>
      <c r="B30" s="112">
        <v>9.09</v>
      </c>
      <c r="C30" s="112">
        <v>4.33</v>
      </c>
      <c r="D30" s="112">
        <v>14</v>
      </c>
      <c r="E30" s="112">
        <v>10.01</v>
      </c>
      <c r="F30" s="112">
        <v>5.22</v>
      </c>
      <c r="G30" s="112">
        <v>17.72</v>
      </c>
      <c r="H30" s="112">
        <v>7.71</v>
      </c>
      <c r="I30" s="112">
        <v>3.29</v>
      </c>
      <c r="J30" s="112">
        <v>0.85</v>
      </c>
      <c r="K30" s="112">
        <v>275.76</v>
      </c>
      <c r="L30" s="112">
        <v>25.68</v>
      </c>
      <c r="M30" s="112">
        <v>91.92</v>
      </c>
      <c r="N30" s="112">
        <v>2.2000000000000002</v>
      </c>
      <c r="O30" s="112">
        <v>0</v>
      </c>
      <c r="P30" s="112">
        <v>0.3</v>
      </c>
      <c r="Q30" s="112">
        <v>4.6399999999999997</v>
      </c>
    </row>
    <row r="31" spans="1:17" customFormat="1">
      <c r="A31" s="80">
        <v>45546.239583333336</v>
      </c>
      <c r="B31" s="112">
        <v>9.07</v>
      </c>
      <c r="C31" s="112">
        <v>4.3499999999999996</v>
      </c>
      <c r="D31" s="112">
        <v>14</v>
      </c>
      <c r="E31" s="112">
        <v>10.01</v>
      </c>
      <c r="F31" s="112">
        <v>5.03</v>
      </c>
      <c r="G31" s="112">
        <v>17.72</v>
      </c>
      <c r="H31" s="112">
        <v>7.71</v>
      </c>
      <c r="I31" s="112">
        <v>3.24</v>
      </c>
      <c r="J31" s="112">
        <v>0.98</v>
      </c>
      <c r="K31" s="112">
        <v>275.39999999999998</v>
      </c>
      <c r="L31" s="112">
        <v>25.85</v>
      </c>
      <c r="M31" s="112">
        <v>90.84</v>
      </c>
      <c r="N31" s="112">
        <v>3.1</v>
      </c>
      <c r="O31" s="112">
        <v>0</v>
      </c>
      <c r="P31" s="112">
        <v>0.31</v>
      </c>
      <c r="Q31" s="112">
        <v>4.6500000000000004</v>
      </c>
    </row>
    <row r="32" spans="1:17" customFormat="1">
      <c r="A32" s="80">
        <v>45546.25</v>
      </c>
      <c r="B32" s="112">
        <v>9.08</v>
      </c>
      <c r="C32" s="112">
        <v>4.34</v>
      </c>
      <c r="D32" s="112">
        <v>14</v>
      </c>
      <c r="E32" s="112">
        <v>10.039999999999999</v>
      </c>
      <c r="F32" s="112">
        <v>6.1</v>
      </c>
      <c r="G32" s="112">
        <v>17.86</v>
      </c>
      <c r="H32" s="112">
        <v>7.89</v>
      </c>
      <c r="I32" s="112">
        <v>3.27</v>
      </c>
      <c r="J32" s="112">
        <v>0.83</v>
      </c>
      <c r="K32" s="112">
        <v>275.06</v>
      </c>
      <c r="L32" s="112">
        <v>25.92</v>
      </c>
      <c r="M32" s="112">
        <v>90.6</v>
      </c>
      <c r="N32" s="112">
        <v>6.7</v>
      </c>
      <c r="O32" s="112">
        <v>0</v>
      </c>
      <c r="P32" s="112">
        <v>0.31</v>
      </c>
      <c r="Q32" s="112">
        <v>4.6399999999999997</v>
      </c>
    </row>
    <row r="33" spans="1:17" customFormat="1">
      <c r="A33" s="80">
        <v>45546.260416666664</v>
      </c>
      <c r="B33" s="112">
        <v>9.1</v>
      </c>
      <c r="C33" s="112">
        <v>4.3099999999999996</v>
      </c>
      <c r="D33" s="112">
        <v>14</v>
      </c>
      <c r="E33" s="112">
        <v>9.94</v>
      </c>
      <c r="F33" s="112">
        <v>4.4000000000000004</v>
      </c>
      <c r="G33" s="112">
        <v>18.22</v>
      </c>
      <c r="H33" s="112">
        <v>8.23</v>
      </c>
      <c r="I33" s="112">
        <v>3.18</v>
      </c>
      <c r="J33" s="112">
        <v>0.72</v>
      </c>
      <c r="K33" s="112">
        <v>273.23</v>
      </c>
      <c r="L33" s="112">
        <v>25.95</v>
      </c>
      <c r="M33" s="112">
        <v>90.66</v>
      </c>
      <c r="N33" s="112">
        <v>22.8</v>
      </c>
      <c r="O33" s="112">
        <v>0</v>
      </c>
      <c r="P33" s="112">
        <v>0.31</v>
      </c>
      <c r="Q33" s="112">
        <v>4.6399999999999997</v>
      </c>
    </row>
    <row r="34" spans="1:17" customFormat="1">
      <c r="A34" s="80">
        <v>45546.270833333336</v>
      </c>
      <c r="B34" s="112">
        <v>9.1</v>
      </c>
      <c r="C34" s="112">
        <v>4.3099999999999996</v>
      </c>
      <c r="D34" s="112">
        <v>14</v>
      </c>
      <c r="E34" s="112">
        <v>10.11</v>
      </c>
      <c r="F34" s="112">
        <v>4.1900000000000004</v>
      </c>
      <c r="G34" s="112">
        <v>18.22</v>
      </c>
      <c r="H34" s="112">
        <v>8.23</v>
      </c>
      <c r="I34" s="112">
        <v>3.09</v>
      </c>
      <c r="J34" s="112">
        <v>0.6</v>
      </c>
      <c r="K34" s="112">
        <v>271.51</v>
      </c>
      <c r="L34" s="112">
        <v>26.02</v>
      </c>
      <c r="M34" s="112">
        <v>90.94</v>
      </c>
      <c r="N34" s="112">
        <v>36.6</v>
      </c>
      <c r="O34" s="112">
        <v>0</v>
      </c>
      <c r="P34" s="112">
        <v>0.3</v>
      </c>
      <c r="Q34" s="112">
        <v>4.6500000000000004</v>
      </c>
    </row>
    <row r="35" spans="1:17" customFormat="1">
      <c r="A35" s="80">
        <v>45546.28125</v>
      </c>
      <c r="B35" s="112">
        <v>9.08</v>
      </c>
      <c r="C35" s="112">
        <v>4.34</v>
      </c>
      <c r="D35" s="112">
        <v>14</v>
      </c>
      <c r="E35" s="112">
        <v>10.07</v>
      </c>
      <c r="F35" s="112">
        <v>4.55</v>
      </c>
      <c r="G35" s="112">
        <v>18.22</v>
      </c>
      <c r="H35" s="112">
        <v>8.23</v>
      </c>
      <c r="I35" s="112">
        <v>3.14</v>
      </c>
      <c r="J35" s="112">
        <v>0.61</v>
      </c>
      <c r="K35" s="112">
        <v>275.29000000000002</v>
      </c>
      <c r="L35" s="112">
        <v>26.06</v>
      </c>
      <c r="M35" s="112">
        <v>91.38</v>
      </c>
      <c r="N35" s="112">
        <v>48.2</v>
      </c>
      <c r="O35" s="112">
        <v>0</v>
      </c>
      <c r="P35" s="112">
        <v>0.31</v>
      </c>
      <c r="Q35" s="112">
        <v>4.6500000000000004</v>
      </c>
    </row>
    <row r="36" spans="1:17" customFormat="1">
      <c r="A36" s="80">
        <v>45546.291666666664</v>
      </c>
      <c r="B36" s="112">
        <v>9.08</v>
      </c>
      <c r="C36" s="112">
        <v>4.34</v>
      </c>
      <c r="D36" s="112">
        <v>14</v>
      </c>
      <c r="E36" s="112">
        <v>10.52</v>
      </c>
      <c r="F36" s="112">
        <v>4.5</v>
      </c>
      <c r="G36" s="112">
        <v>18.82</v>
      </c>
      <c r="H36" s="112">
        <v>8.18</v>
      </c>
      <c r="I36" s="112">
        <v>3.19</v>
      </c>
      <c r="J36" s="112">
        <v>0.69</v>
      </c>
      <c r="K36" s="112">
        <v>271.17</v>
      </c>
      <c r="L36" s="112">
        <v>26.28</v>
      </c>
      <c r="M36" s="112">
        <v>90.44</v>
      </c>
      <c r="N36" s="112">
        <v>66.5</v>
      </c>
      <c r="O36" s="112">
        <v>0</v>
      </c>
      <c r="P36" s="112">
        <v>0.31</v>
      </c>
      <c r="Q36" s="112">
        <v>4.6500000000000004</v>
      </c>
    </row>
    <row r="37" spans="1:17" customFormat="1">
      <c r="A37" s="80">
        <v>45546.302083333336</v>
      </c>
      <c r="B37" s="112">
        <v>9.07</v>
      </c>
      <c r="C37" s="112">
        <v>4.3600000000000003</v>
      </c>
      <c r="D37" s="112">
        <v>14</v>
      </c>
      <c r="E37" s="112">
        <v>10.38</v>
      </c>
      <c r="F37" s="112">
        <v>3.61</v>
      </c>
      <c r="G37" s="112">
        <v>20.47</v>
      </c>
      <c r="H37" s="112">
        <v>8.07</v>
      </c>
      <c r="I37" s="112">
        <v>3.11</v>
      </c>
      <c r="J37" s="112">
        <v>0.84</v>
      </c>
      <c r="K37" s="112">
        <v>274.27999999999997</v>
      </c>
      <c r="L37" s="112">
        <v>26.54</v>
      </c>
      <c r="M37" s="112">
        <v>89.66</v>
      </c>
      <c r="N37" s="112">
        <v>70.599999999999994</v>
      </c>
      <c r="O37" s="112">
        <v>0</v>
      </c>
      <c r="P37" s="112">
        <v>0.31</v>
      </c>
      <c r="Q37" s="112">
        <v>4.6500000000000004</v>
      </c>
    </row>
    <row r="38" spans="1:17" customFormat="1">
      <c r="A38" s="80">
        <v>45546.3125</v>
      </c>
      <c r="B38" s="112">
        <v>9.06</v>
      </c>
      <c r="C38" s="112">
        <v>4.37</v>
      </c>
      <c r="D38" s="112">
        <v>14</v>
      </c>
      <c r="E38" s="112">
        <v>10.67</v>
      </c>
      <c r="F38" s="112">
        <v>3.55</v>
      </c>
      <c r="G38" s="112">
        <v>20.47</v>
      </c>
      <c r="H38" s="112">
        <v>8.07</v>
      </c>
      <c r="I38" s="112">
        <v>3.11</v>
      </c>
      <c r="J38" s="112">
        <v>0.99</v>
      </c>
      <c r="K38" s="112">
        <v>274.3</v>
      </c>
      <c r="L38" s="112">
        <v>26.61</v>
      </c>
      <c r="M38" s="112">
        <v>88.75</v>
      </c>
      <c r="N38" s="112">
        <v>88.7</v>
      </c>
      <c r="O38" s="112">
        <v>0</v>
      </c>
      <c r="P38" s="112">
        <v>0.32</v>
      </c>
      <c r="Q38" s="112">
        <v>4.6500000000000004</v>
      </c>
    </row>
    <row r="39" spans="1:17" customFormat="1">
      <c r="A39" s="80">
        <v>45546.322916666664</v>
      </c>
      <c r="B39" s="112">
        <v>9.09</v>
      </c>
      <c r="C39" s="112">
        <v>4.33</v>
      </c>
      <c r="D39" s="112">
        <v>14</v>
      </c>
      <c r="E39" s="112">
        <v>10.94</v>
      </c>
      <c r="F39" s="112">
        <v>2.96</v>
      </c>
      <c r="G39" s="112">
        <v>20.47</v>
      </c>
      <c r="H39" s="112">
        <v>8.07</v>
      </c>
      <c r="I39" s="112">
        <v>3.17</v>
      </c>
      <c r="J39" s="112">
        <v>0.88</v>
      </c>
      <c r="K39" s="112">
        <v>273.2</v>
      </c>
      <c r="L39" s="112">
        <v>26.74</v>
      </c>
      <c r="M39" s="112">
        <v>88.5</v>
      </c>
      <c r="N39" s="112">
        <v>63.4</v>
      </c>
      <c r="O39" s="112">
        <v>0</v>
      </c>
      <c r="P39" s="112">
        <v>0.32</v>
      </c>
      <c r="Q39" s="112">
        <v>4.63</v>
      </c>
    </row>
    <row r="40" spans="1:17" customFormat="1">
      <c r="A40" s="80">
        <v>45546.333333333336</v>
      </c>
      <c r="B40" s="112">
        <v>9.09</v>
      </c>
      <c r="C40" s="112">
        <v>4.33</v>
      </c>
      <c r="D40" s="112">
        <v>14</v>
      </c>
      <c r="E40" s="112">
        <v>11.08</v>
      </c>
      <c r="F40" s="112">
        <v>4.6100000000000003</v>
      </c>
      <c r="G40" s="112">
        <v>20.82</v>
      </c>
      <c r="H40" s="112">
        <v>9.59</v>
      </c>
      <c r="I40" s="112">
        <v>3.15</v>
      </c>
      <c r="J40" s="112">
        <v>0.86</v>
      </c>
      <c r="K40" s="112">
        <v>274.82</v>
      </c>
      <c r="L40" s="112">
        <v>26.71</v>
      </c>
      <c r="M40" s="112">
        <v>88.88</v>
      </c>
      <c r="N40" s="112">
        <v>64.8</v>
      </c>
      <c r="O40" s="112">
        <v>0</v>
      </c>
      <c r="P40" s="112">
        <v>0.31</v>
      </c>
      <c r="Q40" s="112">
        <v>4.63</v>
      </c>
    </row>
    <row r="41" spans="1:17" customFormat="1">
      <c r="A41" s="80">
        <v>45546.34375</v>
      </c>
      <c r="B41" s="112">
        <v>9.09</v>
      </c>
      <c r="C41" s="112">
        <v>4.33</v>
      </c>
      <c r="D41" s="112">
        <v>14</v>
      </c>
      <c r="E41" s="112">
        <v>11.61</v>
      </c>
      <c r="F41" s="112">
        <v>4.07</v>
      </c>
      <c r="G41" s="112">
        <v>21.78</v>
      </c>
      <c r="H41" s="112">
        <v>14.15</v>
      </c>
      <c r="I41" s="112">
        <v>3.17</v>
      </c>
      <c r="J41" s="112">
        <v>1.1399999999999999</v>
      </c>
      <c r="K41" s="112">
        <v>276.87</v>
      </c>
      <c r="L41" s="112">
        <v>26.85</v>
      </c>
      <c r="M41" s="112">
        <v>87.61</v>
      </c>
      <c r="N41" s="112">
        <v>91.5</v>
      </c>
      <c r="O41" s="112">
        <v>0</v>
      </c>
      <c r="P41" s="112">
        <v>0.32</v>
      </c>
      <c r="Q41" s="112">
        <v>4.63</v>
      </c>
    </row>
    <row r="42" spans="1:17" customFormat="1">
      <c r="A42" s="80">
        <v>45546.354166666664</v>
      </c>
      <c r="B42" s="112">
        <v>9.09</v>
      </c>
      <c r="C42" s="112">
        <v>4.33</v>
      </c>
      <c r="D42" s="112">
        <v>14</v>
      </c>
      <c r="E42" s="112">
        <v>10.97</v>
      </c>
      <c r="F42" s="112">
        <v>3.68</v>
      </c>
      <c r="G42" s="112">
        <v>21.78</v>
      </c>
      <c r="H42" s="112">
        <v>14.15</v>
      </c>
      <c r="I42" s="112">
        <v>3</v>
      </c>
      <c r="J42" s="112">
        <v>0.89</v>
      </c>
      <c r="K42" s="112">
        <v>272.93</v>
      </c>
      <c r="L42" s="112">
        <v>27.28</v>
      </c>
      <c r="M42" s="112">
        <v>86.83</v>
      </c>
      <c r="N42" s="112">
        <v>129</v>
      </c>
      <c r="O42" s="112">
        <v>0</v>
      </c>
      <c r="P42" s="112">
        <v>0.32</v>
      </c>
      <c r="Q42" s="112">
        <v>4.63</v>
      </c>
    </row>
    <row r="43" spans="1:17" customFormat="1">
      <c r="A43" s="80">
        <v>45546.364583333336</v>
      </c>
      <c r="B43" s="112">
        <v>9.07</v>
      </c>
      <c r="C43" s="112">
        <v>4.3499999999999996</v>
      </c>
      <c r="D43" s="112">
        <v>14</v>
      </c>
      <c r="E43" s="112">
        <v>11.62</v>
      </c>
      <c r="F43" s="112">
        <v>3.91</v>
      </c>
      <c r="G43" s="112">
        <v>21.78</v>
      </c>
      <c r="H43" s="112">
        <v>14.15</v>
      </c>
      <c r="I43" s="112">
        <v>3.19</v>
      </c>
      <c r="J43" s="112">
        <v>0.9</v>
      </c>
      <c r="K43" s="112">
        <v>274.36</v>
      </c>
      <c r="L43" s="112">
        <v>27.45</v>
      </c>
      <c r="M43" s="112">
        <v>86</v>
      </c>
      <c r="N43" s="112">
        <v>161</v>
      </c>
      <c r="O43" s="112">
        <v>0</v>
      </c>
      <c r="P43" s="112">
        <v>0.32</v>
      </c>
      <c r="Q43" s="112">
        <v>4.6399999999999997</v>
      </c>
    </row>
    <row r="44" spans="1:17" customFormat="1">
      <c r="A44" s="80">
        <v>45546.375</v>
      </c>
      <c r="B44" s="112">
        <v>9.0500000000000007</v>
      </c>
      <c r="C44" s="112">
        <v>4.38</v>
      </c>
      <c r="D44" s="112">
        <v>14</v>
      </c>
      <c r="E44" s="112">
        <v>11.73</v>
      </c>
      <c r="F44" s="112">
        <v>4.6399999999999997</v>
      </c>
      <c r="G44" s="112">
        <v>22.42</v>
      </c>
      <c r="H44" s="112">
        <v>13.27</v>
      </c>
      <c r="I44" s="112">
        <v>3.14</v>
      </c>
      <c r="J44" s="112">
        <v>1.1299999999999999</v>
      </c>
      <c r="K44" s="112">
        <v>276.39999999999998</v>
      </c>
      <c r="L44" s="112">
        <v>27.82</v>
      </c>
      <c r="M44" s="112">
        <v>84.62</v>
      </c>
      <c r="N44" s="112">
        <v>205.9</v>
      </c>
      <c r="O44" s="112">
        <v>0</v>
      </c>
      <c r="P44" s="112">
        <v>0.32</v>
      </c>
      <c r="Q44" s="112">
        <v>4.6500000000000004</v>
      </c>
    </row>
    <row r="45" spans="1:17" customFormat="1">
      <c r="A45" s="80">
        <v>45546.385416666664</v>
      </c>
      <c r="B45" s="112">
        <v>9.0399999999999991</v>
      </c>
      <c r="C45" s="112">
        <v>4.4000000000000004</v>
      </c>
      <c r="D45" s="112">
        <v>14</v>
      </c>
      <c r="E45" s="112">
        <v>11.89</v>
      </c>
      <c r="F45" s="112">
        <v>4.75</v>
      </c>
      <c r="G45" s="112">
        <v>24.18</v>
      </c>
      <c r="H45" s="112">
        <v>11.62</v>
      </c>
      <c r="I45" s="112">
        <v>2.96</v>
      </c>
      <c r="J45" s="112">
        <v>1.2</v>
      </c>
      <c r="K45" s="112">
        <v>276.95999999999998</v>
      </c>
      <c r="L45" s="112">
        <v>27.93</v>
      </c>
      <c r="M45" s="112">
        <v>83.86</v>
      </c>
      <c r="N45" s="112">
        <v>187.1</v>
      </c>
      <c r="O45" s="112">
        <v>0</v>
      </c>
      <c r="P45" s="112">
        <v>0.32</v>
      </c>
      <c r="Q45" s="112">
        <v>4.6500000000000004</v>
      </c>
    </row>
    <row r="46" spans="1:17" customFormat="1">
      <c r="A46" s="80">
        <v>45546.395833333336</v>
      </c>
      <c r="B46" s="112">
        <v>9.0500000000000007</v>
      </c>
      <c r="C46" s="112">
        <v>4.3899999999999997</v>
      </c>
      <c r="D46" s="112">
        <v>14</v>
      </c>
      <c r="E46" s="112">
        <v>11.88</v>
      </c>
      <c r="F46" s="112">
        <v>4.3099999999999996</v>
      </c>
      <c r="G46" s="112">
        <v>24.18</v>
      </c>
      <c r="H46" s="112">
        <v>11.62</v>
      </c>
      <c r="I46" s="112">
        <v>2.94</v>
      </c>
      <c r="J46" s="112">
        <v>1.24</v>
      </c>
      <c r="K46" s="112">
        <v>277.56</v>
      </c>
      <c r="L46" s="112">
        <v>27.86</v>
      </c>
      <c r="M46" s="112">
        <v>83.55</v>
      </c>
      <c r="N46" s="112">
        <v>171.9</v>
      </c>
      <c r="O46" s="112">
        <v>0</v>
      </c>
      <c r="P46" s="112">
        <v>0.32</v>
      </c>
      <c r="Q46" s="112">
        <v>4.6500000000000004</v>
      </c>
    </row>
    <row r="47" spans="1:17" customFormat="1">
      <c r="A47" s="80">
        <v>45546.40625</v>
      </c>
      <c r="B47" s="112">
        <v>9.0500000000000007</v>
      </c>
      <c r="C47" s="112">
        <v>4.38</v>
      </c>
      <c r="D47" s="112">
        <v>14</v>
      </c>
      <c r="E47" s="112">
        <v>12.1</v>
      </c>
      <c r="F47" s="112">
        <v>3.28</v>
      </c>
      <c r="G47" s="112">
        <v>24.18</v>
      </c>
      <c r="H47" s="112">
        <v>11.62</v>
      </c>
      <c r="I47" s="112">
        <v>2.94</v>
      </c>
      <c r="J47" s="112">
        <v>0.99</v>
      </c>
      <c r="K47" s="112">
        <v>276.54000000000002</v>
      </c>
      <c r="L47" s="112">
        <v>27.85</v>
      </c>
      <c r="M47" s="112">
        <v>83.95</v>
      </c>
      <c r="N47" s="112">
        <v>113.2</v>
      </c>
      <c r="O47" s="112">
        <v>0</v>
      </c>
      <c r="P47" s="112">
        <v>0.33</v>
      </c>
      <c r="Q47" s="112">
        <v>4.6500000000000004</v>
      </c>
    </row>
    <row r="48" spans="1:17" customFormat="1">
      <c r="A48" s="80">
        <v>45546.416666666664</v>
      </c>
      <c r="B48" s="112">
        <v>9.0399999999999991</v>
      </c>
      <c r="C48" s="112">
        <v>4.4000000000000004</v>
      </c>
      <c r="D48" s="112">
        <v>14</v>
      </c>
      <c r="E48" s="112">
        <v>12.42</v>
      </c>
      <c r="F48" s="112">
        <v>4.03</v>
      </c>
      <c r="G48" s="112">
        <v>25.07</v>
      </c>
      <c r="H48" s="112">
        <v>11.06</v>
      </c>
      <c r="I48" s="112">
        <v>2.95</v>
      </c>
      <c r="J48" s="112">
        <v>1.24</v>
      </c>
      <c r="K48" s="112">
        <v>276.77999999999997</v>
      </c>
      <c r="L48" s="112">
        <v>28.01</v>
      </c>
      <c r="M48" s="112">
        <v>82.73</v>
      </c>
      <c r="N48" s="112">
        <v>280.60000000000002</v>
      </c>
      <c r="O48" s="112">
        <v>0</v>
      </c>
      <c r="P48" s="112">
        <v>0.33</v>
      </c>
      <c r="Q48" s="112">
        <v>4.6399999999999997</v>
      </c>
    </row>
    <row r="49" spans="1:17" customFormat="1">
      <c r="A49" s="80">
        <v>45546.427083333336</v>
      </c>
      <c r="B49" s="112">
        <v>9.11</v>
      </c>
      <c r="C49" s="112">
        <v>4.3</v>
      </c>
      <c r="D49" s="112">
        <v>14</v>
      </c>
      <c r="E49" s="112">
        <v>9.43</v>
      </c>
      <c r="F49" s="112">
        <v>4.66</v>
      </c>
      <c r="G49" s="112">
        <v>27.5</v>
      </c>
      <c r="H49" s="112">
        <v>9.8000000000000007</v>
      </c>
      <c r="I49" s="112">
        <v>2.95</v>
      </c>
      <c r="J49" s="112">
        <v>1.1599999999999999</v>
      </c>
      <c r="K49" s="112">
        <v>277.17</v>
      </c>
      <c r="L49" s="112">
        <v>28.11</v>
      </c>
      <c r="M49" s="112">
        <v>82.06</v>
      </c>
      <c r="N49" s="112">
        <v>178.6</v>
      </c>
      <c r="O49" s="112">
        <v>0</v>
      </c>
      <c r="P49" s="112">
        <v>0.33</v>
      </c>
      <c r="Q49" s="112">
        <v>4.63</v>
      </c>
    </row>
    <row r="50" spans="1:17" customFormat="1">
      <c r="A50" s="80">
        <v>45546.4375</v>
      </c>
      <c r="B50" s="112">
        <v>9.1999999999999993</v>
      </c>
      <c r="C50" s="112">
        <v>4.16</v>
      </c>
      <c r="D50" s="112">
        <v>14</v>
      </c>
      <c r="E50" s="112">
        <v>10.86</v>
      </c>
      <c r="F50" s="112">
        <v>4.38</v>
      </c>
      <c r="G50" s="112">
        <v>27.5</v>
      </c>
      <c r="H50" s="112">
        <v>9.8000000000000007</v>
      </c>
      <c r="I50" s="112">
        <v>2.97</v>
      </c>
      <c r="J50" s="112">
        <v>1.27</v>
      </c>
      <c r="K50" s="112">
        <v>277.48</v>
      </c>
      <c r="L50" s="112">
        <v>27.88</v>
      </c>
      <c r="M50" s="112">
        <v>81.680000000000007</v>
      </c>
      <c r="N50" s="112">
        <v>179.2</v>
      </c>
      <c r="O50" s="112">
        <v>0</v>
      </c>
      <c r="P50" s="112">
        <v>0.33</v>
      </c>
      <c r="Q50" s="112">
        <v>4.63</v>
      </c>
    </row>
    <row r="51" spans="1:17" customFormat="1">
      <c r="A51" s="80">
        <v>45546.447916666664</v>
      </c>
      <c r="B51" s="112">
        <v>9.2100000000000009</v>
      </c>
      <c r="C51" s="112">
        <v>4.1399999999999997</v>
      </c>
      <c r="D51" s="112">
        <v>14</v>
      </c>
      <c r="E51" s="112">
        <v>10.65</v>
      </c>
      <c r="F51" s="112">
        <v>4.2</v>
      </c>
      <c r="G51" s="112">
        <v>27.5</v>
      </c>
      <c r="H51" s="112">
        <v>9.8000000000000007</v>
      </c>
      <c r="I51" s="112">
        <v>3.02</v>
      </c>
      <c r="J51" s="112">
        <v>1.0900000000000001</v>
      </c>
      <c r="K51" s="112">
        <v>274.49</v>
      </c>
      <c r="L51" s="112">
        <v>27.81</v>
      </c>
      <c r="M51" s="112">
        <v>82.14</v>
      </c>
      <c r="N51" s="112">
        <v>141.1</v>
      </c>
      <c r="O51" s="112">
        <v>0</v>
      </c>
      <c r="P51" s="112">
        <v>0.32</v>
      </c>
      <c r="Q51" s="112">
        <v>4.6399999999999997</v>
      </c>
    </row>
    <row r="52" spans="1:17" customFormat="1">
      <c r="A52" s="80">
        <v>45546.458333333336</v>
      </c>
      <c r="B52" s="112">
        <v>9.2200000000000006</v>
      </c>
      <c r="C52" s="112">
        <v>4.12</v>
      </c>
      <c r="D52" s="112">
        <v>14</v>
      </c>
      <c r="E52" s="112">
        <v>10.71</v>
      </c>
      <c r="F52" s="112">
        <v>5.24</v>
      </c>
      <c r="G52" s="112">
        <v>25.69</v>
      </c>
      <c r="H52" s="112">
        <v>9.61</v>
      </c>
      <c r="I52" s="112">
        <v>3.05</v>
      </c>
      <c r="J52" s="112">
        <v>1.1399999999999999</v>
      </c>
      <c r="K52" s="112">
        <v>277.99</v>
      </c>
      <c r="L52" s="112">
        <v>27.84</v>
      </c>
      <c r="M52" s="112">
        <v>82.18</v>
      </c>
      <c r="N52" s="112">
        <v>160.5</v>
      </c>
      <c r="O52" s="112">
        <v>0</v>
      </c>
      <c r="P52" s="112">
        <v>0.33</v>
      </c>
      <c r="Q52" s="112">
        <v>4.63</v>
      </c>
    </row>
    <row r="53" spans="1:17" customFormat="1">
      <c r="A53" s="80">
        <v>45546.46875</v>
      </c>
      <c r="B53" s="112">
        <v>9.23</v>
      </c>
      <c r="C53" s="112">
        <v>4.1100000000000003</v>
      </c>
      <c r="D53" s="112">
        <v>14</v>
      </c>
      <c r="E53" s="112">
        <v>10.24</v>
      </c>
      <c r="F53" s="112">
        <v>5.15</v>
      </c>
      <c r="G53" s="112">
        <v>20.72</v>
      </c>
      <c r="H53" s="112">
        <v>9.23</v>
      </c>
      <c r="I53" s="112">
        <v>3.06</v>
      </c>
      <c r="J53" s="112">
        <v>1.1499999999999999</v>
      </c>
      <c r="K53" s="112">
        <v>276.86</v>
      </c>
      <c r="L53" s="112">
        <v>27.74</v>
      </c>
      <c r="M53" s="112">
        <v>82.81</v>
      </c>
      <c r="N53" s="112">
        <v>127</v>
      </c>
      <c r="O53" s="112">
        <v>0</v>
      </c>
      <c r="P53" s="112">
        <v>0.32</v>
      </c>
      <c r="Q53" s="112">
        <v>4.6399999999999997</v>
      </c>
    </row>
    <row r="54" spans="1:17" customFormat="1">
      <c r="A54" s="80">
        <v>45546.479166666664</v>
      </c>
      <c r="B54" s="112">
        <v>9.2200000000000006</v>
      </c>
      <c r="C54" s="112">
        <v>4.13</v>
      </c>
      <c r="D54" s="112">
        <v>14</v>
      </c>
      <c r="E54" s="112">
        <v>10.07</v>
      </c>
      <c r="F54" s="112">
        <v>4.49</v>
      </c>
      <c r="G54" s="112">
        <v>20.72</v>
      </c>
      <c r="H54" s="112">
        <v>9.23</v>
      </c>
      <c r="I54" s="112">
        <v>3.07</v>
      </c>
      <c r="J54" s="112">
        <v>1.1100000000000001</v>
      </c>
      <c r="K54" s="112">
        <v>275.14999999999998</v>
      </c>
      <c r="L54" s="112">
        <v>27.63</v>
      </c>
      <c r="M54" s="112">
        <v>83.01</v>
      </c>
      <c r="N54" s="112">
        <v>123</v>
      </c>
      <c r="O54" s="112">
        <v>0</v>
      </c>
      <c r="P54" s="112">
        <v>0.33</v>
      </c>
      <c r="Q54" s="112">
        <v>4.63</v>
      </c>
    </row>
    <row r="55" spans="1:17" customFormat="1">
      <c r="A55" s="80">
        <v>45546.489583333336</v>
      </c>
      <c r="B55" s="112">
        <v>9.23</v>
      </c>
      <c r="C55" s="112">
        <v>4.12</v>
      </c>
      <c r="D55" s="112">
        <v>14</v>
      </c>
      <c r="E55" s="112">
        <v>9.69</v>
      </c>
      <c r="F55" s="112">
        <v>5.55</v>
      </c>
      <c r="G55" s="112">
        <v>20.72</v>
      </c>
      <c r="H55" s="112">
        <v>9.23</v>
      </c>
      <c r="I55" s="112">
        <v>3.11</v>
      </c>
      <c r="J55" s="112">
        <v>1.28</v>
      </c>
      <c r="K55" s="112">
        <v>274.81</v>
      </c>
      <c r="L55" s="112">
        <v>28</v>
      </c>
      <c r="M55" s="112">
        <v>81.93</v>
      </c>
      <c r="N55" s="112">
        <v>233.7</v>
      </c>
      <c r="O55" s="112">
        <v>0</v>
      </c>
      <c r="P55" s="112">
        <v>0.32</v>
      </c>
      <c r="Q55" s="112">
        <v>4.6399999999999997</v>
      </c>
    </row>
    <row r="56" spans="1:17" customFormat="1">
      <c r="A56" s="80">
        <v>45546.5</v>
      </c>
      <c r="B56" s="112">
        <v>9.25</v>
      </c>
      <c r="C56" s="112">
        <v>4.08</v>
      </c>
      <c r="D56" s="112">
        <v>14</v>
      </c>
      <c r="E56" s="112">
        <v>9.42</v>
      </c>
      <c r="F56" s="112">
        <v>5.15</v>
      </c>
      <c r="G56" s="112">
        <v>22.03</v>
      </c>
      <c r="H56" s="112">
        <v>9.5399999999999991</v>
      </c>
      <c r="I56" s="112">
        <v>3.11</v>
      </c>
      <c r="J56" s="112">
        <v>1.03</v>
      </c>
      <c r="K56" s="112">
        <v>273.63</v>
      </c>
      <c r="L56" s="112">
        <v>28.18</v>
      </c>
      <c r="M56" s="112">
        <v>80.94</v>
      </c>
      <c r="N56" s="112">
        <v>195.1</v>
      </c>
      <c r="O56" s="112">
        <v>0</v>
      </c>
      <c r="P56" s="112">
        <v>0.33</v>
      </c>
      <c r="Q56" s="112">
        <v>4.6399999999999997</v>
      </c>
    </row>
    <row r="57" spans="1:17" customFormat="1">
      <c r="A57" s="80">
        <v>45546.510416666664</v>
      </c>
      <c r="B57" s="112">
        <v>9.26</v>
      </c>
      <c r="C57" s="112">
        <v>4.07</v>
      </c>
      <c r="D57" s="112">
        <v>14</v>
      </c>
      <c r="E57" s="112">
        <v>9.4600000000000009</v>
      </c>
      <c r="F57" s="112">
        <v>4.6900000000000004</v>
      </c>
      <c r="G57" s="112">
        <v>25.36</v>
      </c>
      <c r="H57" s="112">
        <v>10.11</v>
      </c>
      <c r="I57" s="112">
        <v>3.09</v>
      </c>
      <c r="J57" s="112">
        <v>1.27</v>
      </c>
      <c r="K57" s="112">
        <v>274.5</v>
      </c>
      <c r="L57" s="112">
        <v>28.53</v>
      </c>
      <c r="M57" s="112">
        <v>79.56</v>
      </c>
      <c r="N57" s="112">
        <v>365.2</v>
      </c>
      <c r="O57" s="112">
        <v>0</v>
      </c>
      <c r="P57" s="112">
        <v>0.32</v>
      </c>
      <c r="Q57" s="112">
        <v>4.63</v>
      </c>
    </row>
    <row r="58" spans="1:17" customFormat="1">
      <c r="A58" s="80">
        <v>45546.520833333336</v>
      </c>
      <c r="B58" s="112">
        <v>9.25</v>
      </c>
      <c r="C58" s="112">
        <v>4.08</v>
      </c>
      <c r="D58" s="112">
        <v>14</v>
      </c>
      <c r="E58" s="112">
        <v>9.25</v>
      </c>
      <c r="F58" s="112">
        <v>4.59</v>
      </c>
      <c r="G58" s="112">
        <v>25.36</v>
      </c>
      <c r="H58" s="112">
        <v>10.11</v>
      </c>
      <c r="I58" s="112">
        <v>3.06</v>
      </c>
      <c r="J58" s="112">
        <v>0.92</v>
      </c>
      <c r="K58" s="112">
        <v>275.94</v>
      </c>
      <c r="L58" s="112">
        <v>29.21</v>
      </c>
      <c r="M58" s="112">
        <v>78.569999999999993</v>
      </c>
      <c r="N58" s="112">
        <v>545.4</v>
      </c>
      <c r="O58" s="112">
        <v>0</v>
      </c>
      <c r="P58" s="112">
        <v>0.33</v>
      </c>
      <c r="Q58" s="112">
        <v>4.62</v>
      </c>
    </row>
    <row r="59" spans="1:17" customFormat="1">
      <c r="A59" s="80">
        <v>45546.53125</v>
      </c>
      <c r="B59" s="112">
        <v>9.27</v>
      </c>
      <c r="C59" s="112">
        <v>4.0599999999999996</v>
      </c>
      <c r="D59" s="112">
        <v>14.01</v>
      </c>
      <c r="E59" s="112">
        <v>9.41</v>
      </c>
      <c r="F59" s="112">
        <v>5.58</v>
      </c>
      <c r="G59" s="112">
        <v>25.36</v>
      </c>
      <c r="H59" s="112">
        <v>10.11</v>
      </c>
      <c r="I59" s="112">
        <v>3.1</v>
      </c>
      <c r="J59" s="112">
        <v>1.3</v>
      </c>
      <c r="K59" s="112">
        <v>275.58</v>
      </c>
      <c r="L59" s="112">
        <v>29.28</v>
      </c>
      <c r="M59" s="112">
        <v>77.42</v>
      </c>
      <c r="N59" s="112">
        <v>547.1</v>
      </c>
      <c r="O59" s="112">
        <v>0</v>
      </c>
      <c r="P59" s="112">
        <v>0.32</v>
      </c>
      <c r="Q59" s="112">
        <v>4.63</v>
      </c>
    </row>
    <row r="60" spans="1:17" customFormat="1">
      <c r="A60" s="80">
        <v>45546.541666666664</v>
      </c>
      <c r="B60" s="112">
        <v>9.26</v>
      </c>
      <c r="C60" s="112">
        <v>4.07</v>
      </c>
      <c r="D60" s="112">
        <v>14</v>
      </c>
      <c r="E60" s="112">
        <v>9.33</v>
      </c>
      <c r="F60" s="112">
        <v>5.46</v>
      </c>
      <c r="G60" s="112">
        <v>24.82</v>
      </c>
      <c r="H60" s="112">
        <v>12.02</v>
      </c>
      <c r="I60" s="112">
        <v>3.12</v>
      </c>
      <c r="J60" s="112">
        <v>1.1100000000000001</v>
      </c>
      <c r="K60" s="112">
        <v>274.98</v>
      </c>
      <c r="L60" s="112">
        <v>29.05</v>
      </c>
      <c r="M60" s="112">
        <v>77.319999999999993</v>
      </c>
      <c r="N60" s="112">
        <v>269.2</v>
      </c>
      <c r="O60" s="112">
        <v>0</v>
      </c>
      <c r="P60" s="112">
        <v>0.33</v>
      </c>
      <c r="Q60" s="112">
        <v>4.62</v>
      </c>
    </row>
    <row r="61" spans="1:17" customFormat="1">
      <c r="A61" s="80">
        <v>45546.552083333336</v>
      </c>
      <c r="B61" s="112">
        <v>9.2100000000000009</v>
      </c>
      <c r="C61" s="112">
        <v>4.1500000000000004</v>
      </c>
      <c r="D61" s="112">
        <v>14</v>
      </c>
      <c r="E61" s="112">
        <v>9.61</v>
      </c>
      <c r="F61" s="112">
        <v>4.72</v>
      </c>
      <c r="G61" s="112">
        <v>23.34</v>
      </c>
      <c r="H61" s="112">
        <v>15.61</v>
      </c>
      <c r="I61" s="112">
        <v>3.09</v>
      </c>
      <c r="J61" s="112">
        <v>1.1200000000000001</v>
      </c>
      <c r="K61" s="112">
        <v>275.39</v>
      </c>
      <c r="L61" s="112">
        <v>28.6</v>
      </c>
      <c r="M61" s="112">
        <v>78.739999999999995</v>
      </c>
      <c r="N61" s="112">
        <v>132</v>
      </c>
      <c r="O61" s="112">
        <v>0</v>
      </c>
      <c r="P61" s="112">
        <v>0.32</v>
      </c>
      <c r="Q61" s="112">
        <v>4.63</v>
      </c>
    </row>
    <row r="62" spans="1:17" customFormat="1">
      <c r="A62" s="80">
        <v>45546.5625</v>
      </c>
      <c r="B62" s="112">
        <v>9.1999999999999993</v>
      </c>
      <c r="C62" s="112">
        <v>4.16</v>
      </c>
      <c r="D62" s="112">
        <v>14</v>
      </c>
      <c r="E62" s="112">
        <v>9.3699999999999992</v>
      </c>
      <c r="F62" s="112">
        <v>4.29</v>
      </c>
      <c r="G62" s="112">
        <v>23.34</v>
      </c>
      <c r="H62" s="112">
        <v>15.61</v>
      </c>
      <c r="I62" s="112">
        <v>3.08</v>
      </c>
      <c r="J62" s="112">
        <v>1.03</v>
      </c>
      <c r="K62" s="112">
        <v>273.62</v>
      </c>
      <c r="L62" s="112">
        <v>28.35</v>
      </c>
      <c r="M62" s="112">
        <v>80.14</v>
      </c>
      <c r="N62" s="112">
        <v>167.8</v>
      </c>
      <c r="O62" s="112">
        <v>0</v>
      </c>
      <c r="P62" s="112">
        <v>0.33</v>
      </c>
      <c r="Q62" s="112">
        <v>4.6100000000000003</v>
      </c>
    </row>
    <row r="63" spans="1:17" customFormat="1">
      <c r="A63" s="80">
        <v>45546.572916666664</v>
      </c>
      <c r="B63" s="112">
        <v>9.23</v>
      </c>
      <c r="C63" s="112">
        <v>4.12</v>
      </c>
      <c r="D63" s="112">
        <v>14</v>
      </c>
      <c r="E63" s="112">
        <v>8.82</v>
      </c>
      <c r="F63" s="112">
        <v>4.33</v>
      </c>
      <c r="G63" s="112">
        <v>23.34</v>
      </c>
      <c r="H63" s="112">
        <v>15.61</v>
      </c>
      <c r="I63" s="112">
        <v>3.12</v>
      </c>
      <c r="J63" s="112">
        <v>0.99</v>
      </c>
      <c r="K63" s="112">
        <v>272.25</v>
      </c>
      <c r="L63" s="112">
        <v>28.7</v>
      </c>
      <c r="M63" s="112">
        <v>79.44</v>
      </c>
      <c r="N63" s="112">
        <v>204.6</v>
      </c>
      <c r="O63" s="112">
        <v>0</v>
      </c>
      <c r="P63" s="112">
        <v>0.32</v>
      </c>
      <c r="Q63" s="112">
        <v>4.6100000000000003</v>
      </c>
    </row>
    <row r="64" spans="1:17" customFormat="1">
      <c r="A64" s="80">
        <v>45546.583333333336</v>
      </c>
      <c r="B64" s="112">
        <v>9.2100000000000009</v>
      </c>
      <c r="C64" s="112">
        <v>4.1500000000000004</v>
      </c>
      <c r="D64" s="112">
        <v>14</v>
      </c>
      <c r="E64" s="112">
        <v>8.94</v>
      </c>
      <c r="F64" s="112">
        <v>4.63</v>
      </c>
      <c r="G64" s="112">
        <v>24.37</v>
      </c>
      <c r="H64" s="112">
        <v>14.85</v>
      </c>
      <c r="I64" s="112">
        <v>3.12</v>
      </c>
      <c r="J64" s="112">
        <v>1.07</v>
      </c>
      <c r="K64" s="112">
        <v>274.44</v>
      </c>
      <c r="L64" s="112">
        <v>29.23</v>
      </c>
      <c r="M64" s="112">
        <v>78.319999999999993</v>
      </c>
      <c r="N64" s="112">
        <v>191.3</v>
      </c>
      <c r="O64" s="112">
        <v>0</v>
      </c>
      <c r="P64" s="112">
        <v>0.33</v>
      </c>
      <c r="Q64" s="112">
        <v>4.62</v>
      </c>
    </row>
    <row r="65" spans="1:17" customFormat="1">
      <c r="A65" s="80">
        <v>45546.59375</v>
      </c>
      <c r="B65" s="112">
        <v>9.19</v>
      </c>
      <c r="C65" s="112">
        <v>4.18</v>
      </c>
      <c r="D65" s="112">
        <v>14</v>
      </c>
      <c r="E65" s="112">
        <v>9.17</v>
      </c>
      <c r="F65" s="112">
        <v>4.6100000000000003</v>
      </c>
      <c r="G65" s="112">
        <v>27.17</v>
      </c>
      <c r="H65" s="112">
        <v>11.57</v>
      </c>
      <c r="I65" s="112">
        <v>3.1</v>
      </c>
      <c r="J65" s="112">
        <v>1.24</v>
      </c>
      <c r="K65" s="112">
        <v>276.20999999999998</v>
      </c>
      <c r="L65" s="112">
        <v>29.14</v>
      </c>
      <c r="M65" s="112">
        <v>77.540000000000006</v>
      </c>
      <c r="N65" s="112">
        <v>192.3</v>
      </c>
      <c r="O65" s="112">
        <v>0</v>
      </c>
      <c r="P65" s="112">
        <v>0.26</v>
      </c>
      <c r="Q65" s="112">
        <v>4.63</v>
      </c>
    </row>
    <row r="66" spans="1:17" customFormat="1">
      <c r="A66" s="80">
        <v>45546.604166666664</v>
      </c>
      <c r="B66" s="112">
        <v>9.2100000000000009</v>
      </c>
      <c r="C66" s="112">
        <v>4.1399999999999997</v>
      </c>
      <c r="D66" s="112">
        <v>14</v>
      </c>
      <c r="E66" s="112">
        <v>9.1199999999999992</v>
      </c>
      <c r="F66" s="112">
        <v>5.44</v>
      </c>
      <c r="G66" s="112">
        <v>27.17</v>
      </c>
      <c r="H66" s="112">
        <v>11.57</v>
      </c>
      <c r="I66" s="112">
        <v>3.06</v>
      </c>
      <c r="J66" s="112">
        <v>1.1100000000000001</v>
      </c>
      <c r="K66" s="112">
        <v>272.51</v>
      </c>
      <c r="L66" s="112">
        <v>29.15</v>
      </c>
      <c r="M66" s="112">
        <v>77.2</v>
      </c>
      <c r="N66" s="112">
        <v>269.7</v>
      </c>
      <c r="O66" s="112">
        <v>0</v>
      </c>
      <c r="P66" s="112">
        <v>0.27</v>
      </c>
      <c r="Q66" s="112">
        <v>4.6500000000000004</v>
      </c>
    </row>
    <row r="67" spans="1:17" customFormat="1">
      <c r="A67" s="80">
        <v>45546.614583333336</v>
      </c>
      <c r="B67" s="112">
        <v>9.24</v>
      </c>
      <c r="C67" s="112">
        <v>4.0999999999999996</v>
      </c>
      <c r="D67" s="112">
        <v>14</v>
      </c>
      <c r="E67" s="112">
        <v>8.49</v>
      </c>
      <c r="F67" s="112">
        <v>6.16</v>
      </c>
      <c r="G67" s="112">
        <v>27.17</v>
      </c>
      <c r="H67" s="112">
        <v>11.57</v>
      </c>
      <c r="I67" s="112">
        <v>3.09</v>
      </c>
      <c r="J67" s="112">
        <v>1.26</v>
      </c>
      <c r="K67" s="112">
        <v>276.83999999999997</v>
      </c>
      <c r="L67" s="112">
        <v>29.18</v>
      </c>
      <c r="M67" s="112">
        <v>77.239999999999995</v>
      </c>
      <c r="N67" s="112">
        <v>230.5</v>
      </c>
      <c r="O67" s="112">
        <v>0</v>
      </c>
      <c r="P67" s="112">
        <v>0.27</v>
      </c>
      <c r="Q67" s="112">
        <v>4.6399999999999997</v>
      </c>
    </row>
    <row r="68" spans="1:17" customFormat="1">
      <c r="A68" s="80">
        <v>45546.625</v>
      </c>
      <c r="B68" s="112">
        <v>9.3000000000000007</v>
      </c>
      <c r="C68" s="112">
        <v>4.0599999999999996</v>
      </c>
      <c r="D68" s="112">
        <v>14.03</v>
      </c>
      <c r="E68" s="112">
        <v>8.5399999999999991</v>
      </c>
      <c r="F68" s="112">
        <v>5.53</v>
      </c>
      <c r="G68" s="112">
        <v>26.18</v>
      </c>
      <c r="H68" s="112">
        <v>10.82</v>
      </c>
      <c r="I68" s="112">
        <v>3.03</v>
      </c>
      <c r="J68" s="112">
        <v>1.23</v>
      </c>
      <c r="K68" s="112">
        <v>274.64</v>
      </c>
      <c r="L68" s="112">
        <v>29.29</v>
      </c>
      <c r="M68" s="112">
        <v>76.27</v>
      </c>
      <c r="N68" s="112">
        <v>297</v>
      </c>
      <c r="O68" s="112">
        <v>0</v>
      </c>
      <c r="P68" s="112">
        <v>0.25</v>
      </c>
      <c r="Q68" s="112">
        <v>4.66</v>
      </c>
    </row>
    <row r="69" spans="1:17" customFormat="1">
      <c r="A69" s="80">
        <v>45546.635416666664</v>
      </c>
      <c r="B69" s="112">
        <v>9.23</v>
      </c>
      <c r="C69" s="112">
        <v>4.1100000000000003</v>
      </c>
      <c r="D69" s="112">
        <v>14</v>
      </c>
      <c r="E69" s="112">
        <v>8.48</v>
      </c>
      <c r="F69" s="112">
        <v>6.68</v>
      </c>
      <c r="G69" s="112">
        <v>23.46</v>
      </c>
      <c r="H69" s="112">
        <v>9.3800000000000008</v>
      </c>
      <c r="I69" s="112">
        <v>2.9</v>
      </c>
      <c r="J69" s="112">
        <v>1.33</v>
      </c>
      <c r="K69" s="112">
        <v>275.64</v>
      </c>
      <c r="L69" s="112">
        <v>29.46</v>
      </c>
      <c r="M69" s="112">
        <v>75.94</v>
      </c>
      <c r="N69" s="112">
        <v>194.5</v>
      </c>
      <c r="O69" s="112">
        <v>0</v>
      </c>
      <c r="P69" s="112">
        <v>0.25</v>
      </c>
      <c r="Q69" s="112">
        <v>4.67</v>
      </c>
    </row>
    <row r="70" spans="1:17" customFormat="1">
      <c r="A70" s="80">
        <v>45546.645833333336</v>
      </c>
      <c r="B70" s="112">
        <v>9.23</v>
      </c>
      <c r="C70" s="112">
        <v>4.1100000000000003</v>
      </c>
      <c r="D70" s="112">
        <v>14</v>
      </c>
      <c r="E70" s="112">
        <v>9.1300000000000008</v>
      </c>
      <c r="F70" s="112">
        <v>6.81</v>
      </c>
      <c r="G70" s="112">
        <v>23.46</v>
      </c>
      <c r="H70" s="112">
        <v>9.3800000000000008</v>
      </c>
      <c r="I70" s="112">
        <v>2.89</v>
      </c>
      <c r="J70" s="112">
        <v>1.24</v>
      </c>
      <c r="K70" s="112">
        <v>275.06</v>
      </c>
      <c r="L70" s="112">
        <v>29.12</v>
      </c>
      <c r="M70" s="112">
        <v>76.17</v>
      </c>
      <c r="N70" s="112">
        <v>215.5</v>
      </c>
      <c r="O70" s="112">
        <v>0</v>
      </c>
      <c r="P70" s="112">
        <v>0.25</v>
      </c>
      <c r="Q70" s="112">
        <v>4.6500000000000004</v>
      </c>
    </row>
    <row r="71" spans="1:17" customFormat="1">
      <c r="A71" s="80">
        <v>45546.65625</v>
      </c>
      <c r="B71" s="112">
        <v>9.2200000000000006</v>
      </c>
      <c r="C71" s="112">
        <v>4.12</v>
      </c>
      <c r="D71" s="112">
        <v>14</v>
      </c>
      <c r="E71" s="112">
        <v>9.31</v>
      </c>
      <c r="F71" s="112">
        <v>6.16</v>
      </c>
      <c r="G71" s="112">
        <v>23.46</v>
      </c>
      <c r="H71" s="112">
        <v>9.3800000000000008</v>
      </c>
      <c r="I71" s="112">
        <v>2.84</v>
      </c>
      <c r="J71" s="112">
        <v>1.1000000000000001</v>
      </c>
      <c r="K71" s="112">
        <v>275.74</v>
      </c>
      <c r="L71" s="112">
        <v>29.25</v>
      </c>
      <c r="M71" s="112">
        <v>76.099999999999994</v>
      </c>
      <c r="N71" s="112">
        <v>298.2</v>
      </c>
      <c r="O71" s="112">
        <v>0</v>
      </c>
      <c r="P71" s="112">
        <v>0.25</v>
      </c>
      <c r="Q71" s="112">
        <v>4.6500000000000004</v>
      </c>
    </row>
    <row r="72" spans="1:17" customFormat="1">
      <c r="A72" s="80">
        <v>45546.666666666664</v>
      </c>
      <c r="B72" s="112">
        <v>9.1999999999999993</v>
      </c>
      <c r="C72" s="112">
        <v>4.1500000000000004</v>
      </c>
      <c r="D72" s="112">
        <v>14</v>
      </c>
      <c r="E72" s="112">
        <v>9.7100000000000009</v>
      </c>
      <c r="F72" s="112">
        <v>6.06</v>
      </c>
      <c r="G72" s="112">
        <v>21.99</v>
      </c>
      <c r="H72" s="112">
        <v>8.8000000000000007</v>
      </c>
      <c r="I72" s="112">
        <v>2.84</v>
      </c>
      <c r="J72" s="112">
        <v>1.1399999999999999</v>
      </c>
      <c r="K72" s="112">
        <v>274.61</v>
      </c>
      <c r="L72" s="112">
        <v>29.44</v>
      </c>
      <c r="M72" s="112">
        <v>75.27</v>
      </c>
      <c r="N72" s="112">
        <v>206.1</v>
      </c>
      <c r="O72" s="112">
        <v>0</v>
      </c>
      <c r="P72" s="112">
        <v>0.25</v>
      </c>
      <c r="Q72" s="112">
        <v>4.66</v>
      </c>
    </row>
    <row r="73" spans="1:17" customFormat="1">
      <c r="A73" s="80">
        <v>45546.677083333336</v>
      </c>
      <c r="B73" s="112">
        <v>9.2100000000000009</v>
      </c>
      <c r="C73" s="112">
        <v>4.1399999999999997</v>
      </c>
      <c r="D73" s="112">
        <v>14</v>
      </c>
      <c r="E73" s="112">
        <v>10</v>
      </c>
      <c r="F73" s="112">
        <v>6.26</v>
      </c>
      <c r="G73" s="112">
        <v>17.97</v>
      </c>
      <c r="H73" s="112">
        <v>7.72</v>
      </c>
      <c r="I73" s="112">
        <v>2.84</v>
      </c>
      <c r="J73" s="112">
        <v>0.76</v>
      </c>
      <c r="K73" s="112">
        <v>272.39</v>
      </c>
      <c r="L73" s="112">
        <v>29.26</v>
      </c>
      <c r="M73" s="112">
        <v>76.7</v>
      </c>
      <c r="N73" s="112">
        <v>76.7</v>
      </c>
      <c r="O73" s="112">
        <v>0</v>
      </c>
      <c r="P73" s="112">
        <v>0.25</v>
      </c>
      <c r="Q73" s="112">
        <v>4.67</v>
      </c>
    </row>
    <row r="74" spans="1:17" customFormat="1">
      <c r="A74" s="80">
        <v>45546.6875</v>
      </c>
      <c r="B74" s="112">
        <v>9.2100000000000009</v>
      </c>
      <c r="C74" s="112">
        <v>4.1500000000000004</v>
      </c>
      <c r="D74" s="112">
        <v>14</v>
      </c>
      <c r="E74" s="112">
        <v>10.01</v>
      </c>
      <c r="F74" s="112">
        <v>6.83</v>
      </c>
      <c r="G74" s="112">
        <v>17.97</v>
      </c>
      <c r="H74" s="112">
        <v>7.72</v>
      </c>
      <c r="I74" s="112">
        <v>2.83</v>
      </c>
      <c r="J74" s="112">
        <v>1.21</v>
      </c>
      <c r="K74" s="112">
        <v>276.3</v>
      </c>
      <c r="L74" s="112">
        <v>28.98</v>
      </c>
      <c r="M74" s="112">
        <v>76.48</v>
      </c>
      <c r="N74" s="112">
        <v>55.3</v>
      </c>
      <c r="O74" s="112">
        <v>0</v>
      </c>
      <c r="P74" s="112">
        <v>0.25</v>
      </c>
      <c r="Q74" s="112">
        <v>4.66</v>
      </c>
    </row>
    <row r="75" spans="1:17" customFormat="1">
      <c r="A75" s="80">
        <v>45546.697916666664</v>
      </c>
      <c r="B75" s="112">
        <v>9.1999999999999993</v>
      </c>
      <c r="C75" s="112">
        <v>4.16</v>
      </c>
      <c r="D75" s="112">
        <v>14</v>
      </c>
      <c r="E75" s="112">
        <v>10.33</v>
      </c>
      <c r="F75" s="112">
        <v>6.53</v>
      </c>
      <c r="G75" s="112">
        <v>17.97</v>
      </c>
      <c r="H75" s="112">
        <v>7.72</v>
      </c>
      <c r="I75" s="112">
        <v>2.81</v>
      </c>
      <c r="J75" s="112">
        <v>0.99</v>
      </c>
      <c r="K75" s="112">
        <v>275.86</v>
      </c>
      <c r="L75" s="112">
        <v>28.43</v>
      </c>
      <c r="M75" s="112">
        <v>78.739999999999995</v>
      </c>
      <c r="N75" s="112">
        <v>37.700000000000003</v>
      </c>
      <c r="O75" s="112">
        <v>0</v>
      </c>
      <c r="P75" s="112">
        <v>0.25</v>
      </c>
      <c r="Q75" s="112">
        <v>4.6500000000000004</v>
      </c>
    </row>
    <row r="76" spans="1:17" customFormat="1">
      <c r="A76" s="80">
        <v>45546.708333333336</v>
      </c>
      <c r="B76" s="112">
        <v>9.19</v>
      </c>
      <c r="C76" s="112">
        <v>4.17</v>
      </c>
      <c r="D76" s="112">
        <v>14</v>
      </c>
      <c r="E76" s="112">
        <v>10.220000000000001</v>
      </c>
      <c r="F76" s="112">
        <v>7.94</v>
      </c>
      <c r="G76" s="112">
        <v>19.13</v>
      </c>
      <c r="H76" s="112">
        <v>8.6199999999999992</v>
      </c>
      <c r="I76" s="112">
        <v>2.75</v>
      </c>
      <c r="J76" s="112">
        <v>0.93</v>
      </c>
      <c r="K76" s="112">
        <v>274.8</v>
      </c>
      <c r="L76" s="112">
        <v>28.3</v>
      </c>
      <c r="M76" s="112">
        <v>79.66</v>
      </c>
      <c r="N76" s="112">
        <v>28.9</v>
      </c>
      <c r="O76" s="112">
        <v>0</v>
      </c>
      <c r="P76" s="112">
        <v>0.25</v>
      </c>
      <c r="Q76" s="112">
        <v>4.6399999999999997</v>
      </c>
    </row>
    <row r="77" spans="1:17" customFormat="1">
      <c r="A77" s="80">
        <v>45546.71875</v>
      </c>
      <c r="B77" s="112">
        <v>9.19</v>
      </c>
      <c r="C77" s="112">
        <v>4.17</v>
      </c>
      <c r="D77" s="112">
        <v>14</v>
      </c>
      <c r="E77" s="112">
        <v>10.29</v>
      </c>
      <c r="F77" s="112">
        <v>6.36</v>
      </c>
      <c r="G77" s="112">
        <v>22.31</v>
      </c>
      <c r="H77" s="112">
        <v>10.31</v>
      </c>
      <c r="I77" s="112">
        <v>2.74</v>
      </c>
      <c r="J77" s="112">
        <v>0.94</v>
      </c>
      <c r="K77" s="112">
        <v>274.52</v>
      </c>
      <c r="L77" s="112">
        <v>28.45</v>
      </c>
      <c r="M77" s="112">
        <v>80.44</v>
      </c>
      <c r="N77" s="112">
        <v>26.8</v>
      </c>
      <c r="O77" s="112">
        <v>0</v>
      </c>
      <c r="P77" s="112">
        <v>0.26</v>
      </c>
      <c r="Q77" s="112">
        <v>4.6399999999999997</v>
      </c>
    </row>
    <row r="78" spans="1:17" customFormat="1">
      <c r="A78" s="80">
        <v>45546.729166666664</v>
      </c>
      <c r="B78" s="112">
        <v>9.18</v>
      </c>
      <c r="C78" s="112">
        <v>4.2</v>
      </c>
      <c r="D78" s="112">
        <v>14</v>
      </c>
      <c r="E78" s="112">
        <v>10.53</v>
      </c>
      <c r="F78" s="112">
        <v>6.26</v>
      </c>
      <c r="G78" s="112">
        <v>22.31</v>
      </c>
      <c r="H78" s="112">
        <v>10.31</v>
      </c>
      <c r="I78" s="112">
        <v>2.73</v>
      </c>
      <c r="J78" s="112">
        <v>-0.66</v>
      </c>
      <c r="K78" s="112">
        <v>0.02</v>
      </c>
      <c r="L78" s="112">
        <v>28.16</v>
      </c>
      <c r="M78" s="112">
        <v>81.91</v>
      </c>
      <c r="N78" s="112">
        <v>17.100000000000001</v>
      </c>
      <c r="O78" s="112">
        <v>0</v>
      </c>
      <c r="P78" s="112">
        <v>0.26</v>
      </c>
      <c r="Q78" s="112">
        <v>4.6500000000000004</v>
      </c>
    </row>
    <row r="79" spans="1:17" customFormat="1">
      <c r="A79" s="80">
        <v>45546.739583333336</v>
      </c>
      <c r="B79" s="112">
        <v>9.17</v>
      </c>
      <c r="C79" s="112">
        <v>4.2</v>
      </c>
      <c r="D79" s="112">
        <v>14</v>
      </c>
      <c r="E79" s="112">
        <v>10.65</v>
      </c>
      <c r="F79" s="112">
        <v>5.73</v>
      </c>
      <c r="G79" s="112">
        <v>22.31</v>
      </c>
      <c r="H79" s="112">
        <v>10.31</v>
      </c>
      <c r="I79" s="112">
        <v>2.74</v>
      </c>
      <c r="J79" s="112">
        <v>0.76</v>
      </c>
      <c r="K79" s="112">
        <v>275.3</v>
      </c>
      <c r="L79" s="112">
        <v>27.92</v>
      </c>
      <c r="M79" s="112">
        <v>83.26</v>
      </c>
      <c r="N79" s="112">
        <v>8.6</v>
      </c>
      <c r="O79" s="112">
        <v>0</v>
      </c>
      <c r="P79" s="112">
        <v>0.26</v>
      </c>
      <c r="Q79" s="112">
        <v>4.66</v>
      </c>
    </row>
    <row r="80" spans="1:17" customFormat="1">
      <c r="A80" s="80">
        <v>45546.75</v>
      </c>
      <c r="B80" s="112">
        <v>9.18</v>
      </c>
      <c r="C80" s="112">
        <v>4.1900000000000004</v>
      </c>
      <c r="D80" s="112">
        <v>14</v>
      </c>
      <c r="E80" s="112">
        <v>10.79</v>
      </c>
      <c r="F80" s="112">
        <v>6.65</v>
      </c>
      <c r="G80" s="112">
        <v>21.81</v>
      </c>
      <c r="H80" s="112">
        <v>9.27</v>
      </c>
      <c r="I80" s="112">
        <v>2.77</v>
      </c>
      <c r="J80" s="112">
        <v>0.67</v>
      </c>
      <c r="K80" s="112">
        <v>272.58</v>
      </c>
      <c r="L80" s="112">
        <v>27.83</v>
      </c>
      <c r="M80" s="112">
        <v>83.14</v>
      </c>
      <c r="N80" s="112">
        <v>4.2</v>
      </c>
      <c r="O80" s="112">
        <v>0</v>
      </c>
      <c r="P80" s="112">
        <v>0.26</v>
      </c>
      <c r="Q80" s="112">
        <v>4.6399999999999997</v>
      </c>
    </row>
    <row r="81" spans="1:17" customFormat="1">
      <c r="A81" s="80">
        <v>45546.760416666664</v>
      </c>
      <c r="B81" s="112">
        <v>9.18</v>
      </c>
      <c r="C81" s="112">
        <v>4.1900000000000004</v>
      </c>
      <c r="D81" s="112">
        <v>14</v>
      </c>
      <c r="E81" s="112">
        <v>8.58</v>
      </c>
      <c r="F81" s="112">
        <v>5.74</v>
      </c>
      <c r="G81" s="112">
        <v>20.45</v>
      </c>
      <c r="H81" s="112">
        <v>7.26</v>
      </c>
      <c r="I81" s="112">
        <v>2.81</v>
      </c>
      <c r="J81" s="112">
        <v>0.64</v>
      </c>
      <c r="K81" s="112">
        <v>273.22000000000003</v>
      </c>
      <c r="L81" s="112">
        <v>27.63</v>
      </c>
      <c r="M81" s="112">
        <v>83.74</v>
      </c>
      <c r="N81" s="112">
        <v>2.6</v>
      </c>
      <c r="O81" s="112">
        <v>0</v>
      </c>
      <c r="P81" s="112">
        <v>0.26</v>
      </c>
      <c r="Q81" s="112">
        <v>4.63</v>
      </c>
    </row>
    <row r="82" spans="1:17" customFormat="1">
      <c r="A82" s="80">
        <v>45546.770833333336</v>
      </c>
      <c r="B82" s="112">
        <v>9.18</v>
      </c>
      <c r="C82" s="112">
        <v>4.1900000000000004</v>
      </c>
      <c r="D82" s="112">
        <v>14</v>
      </c>
      <c r="E82" s="112">
        <v>9.9499999999999993</v>
      </c>
      <c r="F82" s="112">
        <v>5.29</v>
      </c>
      <c r="G82" s="112">
        <v>20.45</v>
      </c>
      <c r="H82" s="112">
        <v>7.26</v>
      </c>
      <c r="I82" s="112">
        <v>2.77</v>
      </c>
      <c r="J82" s="112">
        <v>0.57999999999999996</v>
      </c>
      <c r="K82" s="112">
        <v>274.95999999999998</v>
      </c>
      <c r="L82" s="112">
        <v>27.55</v>
      </c>
      <c r="M82" s="112">
        <v>84.01</v>
      </c>
      <c r="N82" s="112">
        <v>2.2999999999999998</v>
      </c>
      <c r="O82" s="112">
        <v>0</v>
      </c>
      <c r="P82" s="112">
        <v>0.26</v>
      </c>
      <c r="Q82" s="112">
        <v>4.63</v>
      </c>
    </row>
    <row r="83" spans="1:17" customFormat="1">
      <c r="A83" s="80">
        <v>45546.78125</v>
      </c>
      <c r="B83" s="112">
        <v>9.19</v>
      </c>
      <c r="C83" s="112">
        <v>4.18</v>
      </c>
      <c r="D83" s="112">
        <v>14</v>
      </c>
      <c r="E83" s="112">
        <v>10.18</v>
      </c>
      <c r="F83" s="112">
        <v>5.87</v>
      </c>
      <c r="G83" s="112">
        <v>20.45</v>
      </c>
      <c r="H83" s="112">
        <v>7.26</v>
      </c>
      <c r="I83" s="112">
        <v>2.84</v>
      </c>
      <c r="J83" s="112">
        <v>0.44</v>
      </c>
      <c r="K83" s="112">
        <v>272.27999999999997</v>
      </c>
      <c r="L83" s="112">
        <v>27.34</v>
      </c>
      <c r="M83" s="112">
        <v>85.67</v>
      </c>
      <c r="N83" s="112">
        <v>2.4</v>
      </c>
      <c r="O83" s="112">
        <v>0</v>
      </c>
      <c r="P83" s="112">
        <v>0.27</v>
      </c>
      <c r="Q83" s="112">
        <v>4.6500000000000004</v>
      </c>
    </row>
    <row r="84" spans="1:17" customFormat="1">
      <c r="A84" s="80">
        <v>45546.791666666664</v>
      </c>
      <c r="B84" s="112">
        <v>9.18</v>
      </c>
      <c r="C84" s="112">
        <v>4.1900000000000004</v>
      </c>
      <c r="D84" s="112">
        <v>14</v>
      </c>
      <c r="E84" s="112">
        <v>9.99</v>
      </c>
      <c r="F84" s="112">
        <v>5.62</v>
      </c>
      <c r="G84" s="112">
        <v>21.73</v>
      </c>
      <c r="H84" s="112">
        <v>7.25</v>
      </c>
      <c r="I84" s="112">
        <v>2.85</v>
      </c>
      <c r="J84" s="112">
        <v>0.42</v>
      </c>
      <c r="K84" s="112">
        <v>269.91000000000003</v>
      </c>
      <c r="L84" s="112">
        <v>27.23</v>
      </c>
      <c r="M84" s="112">
        <v>87.06</v>
      </c>
      <c r="N84" s="112">
        <v>2.2000000000000002</v>
      </c>
      <c r="O84" s="112">
        <v>0</v>
      </c>
      <c r="P84" s="112">
        <v>0.28000000000000003</v>
      </c>
      <c r="Q84" s="112">
        <v>4.6399999999999997</v>
      </c>
    </row>
    <row r="85" spans="1:17" customFormat="1">
      <c r="A85" s="80">
        <v>45546.802083333336</v>
      </c>
      <c r="B85" s="112">
        <v>9.17</v>
      </c>
      <c r="C85" s="112">
        <v>4.2</v>
      </c>
      <c r="D85" s="112">
        <v>14</v>
      </c>
      <c r="E85" s="112">
        <v>10.66</v>
      </c>
      <c r="F85" s="112">
        <v>4.9800000000000004</v>
      </c>
      <c r="G85" s="112">
        <v>25.47</v>
      </c>
      <c r="H85" s="112">
        <v>7.21</v>
      </c>
      <c r="I85" s="112">
        <v>2.92</v>
      </c>
      <c r="J85" s="112">
        <v>0.67</v>
      </c>
      <c r="K85" s="112">
        <v>274.25</v>
      </c>
      <c r="L85" s="112">
        <v>27.2</v>
      </c>
      <c r="M85" s="112">
        <v>86.85</v>
      </c>
      <c r="N85" s="112">
        <v>2.2000000000000002</v>
      </c>
      <c r="O85" s="112">
        <v>0</v>
      </c>
      <c r="P85" s="112">
        <v>0.28000000000000003</v>
      </c>
      <c r="Q85" s="112">
        <v>4.6399999999999997</v>
      </c>
    </row>
    <row r="86" spans="1:17" customFormat="1">
      <c r="A86" s="80">
        <v>45546.8125</v>
      </c>
      <c r="B86" s="112">
        <v>9.16</v>
      </c>
      <c r="C86" s="112">
        <v>4.21</v>
      </c>
      <c r="D86" s="112">
        <v>14</v>
      </c>
      <c r="E86" s="112">
        <v>10.4</v>
      </c>
      <c r="F86" s="112">
        <v>5.42</v>
      </c>
      <c r="G86" s="112">
        <v>25.47</v>
      </c>
      <c r="H86" s="112">
        <v>7.21</v>
      </c>
      <c r="I86" s="112">
        <v>2.98</v>
      </c>
      <c r="J86" s="112">
        <v>0.56999999999999995</v>
      </c>
      <c r="K86" s="112">
        <v>273.16000000000003</v>
      </c>
      <c r="L86" s="112">
        <v>27.04</v>
      </c>
      <c r="M86" s="112">
        <v>87.86</v>
      </c>
      <c r="N86" s="112">
        <v>2.4</v>
      </c>
      <c r="O86" s="112">
        <v>0</v>
      </c>
      <c r="P86" s="112">
        <v>0.27</v>
      </c>
      <c r="Q86" s="112">
        <v>4.6399999999999997</v>
      </c>
    </row>
    <row r="87" spans="1:17" customFormat="1">
      <c r="A87" s="80">
        <v>45546.822916666664</v>
      </c>
      <c r="B87" s="112">
        <v>9.18</v>
      </c>
      <c r="C87" s="112">
        <v>4.1900000000000004</v>
      </c>
      <c r="D87" s="112">
        <v>14</v>
      </c>
      <c r="E87" s="112">
        <v>10.02</v>
      </c>
      <c r="F87" s="112">
        <v>6.34</v>
      </c>
      <c r="G87" s="112">
        <v>25.47</v>
      </c>
      <c r="H87" s="112">
        <v>7.21</v>
      </c>
      <c r="I87" s="112">
        <v>3.03</v>
      </c>
      <c r="J87" s="112">
        <v>0.61</v>
      </c>
      <c r="K87" s="112">
        <v>273.31</v>
      </c>
      <c r="L87" s="112">
        <v>26.96</v>
      </c>
      <c r="M87" s="112">
        <v>88.16</v>
      </c>
      <c r="N87" s="112">
        <v>2.2000000000000002</v>
      </c>
      <c r="O87" s="112">
        <v>0</v>
      </c>
      <c r="P87" s="112">
        <v>0.27</v>
      </c>
      <c r="Q87" s="112">
        <v>4.6500000000000004</v>
      </c>
    </row>
    <row r="88" spans="1:17" customFormat="1">
      <c r="A88" s="80">
        <v>45546.833333333336</v>
      </c>
      <c r="B88" s="112">
        <v>9.1999999999999993</v>
      </c>
      <c r="C88" s="112">
        <v>4.16</v>
      </c>
      <c r="D88" s="112">
        <v>14</v>
      </c>
      <c r="E88" s="112">
        <v>10.48</v>
      </c>
      <c r="F88" s="112">
        <v>7.98</v>
      </c>
      <c r="G88" s="112">
        <v>26.28</v>
      </c>
      <c r="H88" s="112">
        <v>7.7</v>
      </c>
      <c r="I88" s="112">
        <v>3.03</v>
      </c>
      <c r="J88" s="112">
        <v>0.75</v>
      </c>
      <c r="K88" s="112">
        <v>275.12</v>
      </c>
      <c r="L88" s="112">
        <v>26.99</v>
      </c>
      <c r="M88" s="112">
        <v>86.78</v>
      </c>
      <c r="N88" s="112">
        <v>2.1</v>
      </c>
      <c r="O88" s="112">
        <v>0</v>
      </c>
      <c r="P88" s="112">
        <v>0.27</v>
      </c>
      <c r="Q88" s="112">
        <v>4.6500000000000004</v>
      </c>
    </row>
    <row r="89" spans="1:17" customFormat="1">
      <c r="A89" s="80">
        <v>45546.84375</v>
      </c>
      <c r="B89" s="112">
        <v>9.1999999999999993</v>
      </c>
      <c r="C89" s="112">
        <v>4.1500000000000004</v>
      </c>
      <c r="D89" s="112">
        <v>14</v>
      </c>
      <c r="E89" s="112">
        <v>10.19</v>
      </c>
      <c r="F89" s="112">
        <v>8.67</v>
      </c>
      <c r="G89" s="112">
        <v>28.66</v>
      </c>
      <c r="H89" s="112">
        <v>9.8699999999999992</v>
      </c>
      <c r="I89" s="112">
        <v>3.03</v>
      </c>
      <c r="J89" s="112">
        <v>0.59</v>
      </c>
      <c r="K89" s="112">
        <v>271.08</v>
      </c>
      <c r="L89" s="112">
        <v>26.87</v>
      </c>
      <c r="M89" s="112">
        <v>87.36</v>
      </c>
      <c r="N89" s="112">
        <v>2.2999999999999998</v>
      </c>
      <c r="O89" s="112">
        <v>0</v>
      </c>
      <c r="P89" s="112">
        <v>0.26</v>
      </c>
      <c r="Q89" s="112">
        <v>4.6500000000000004</v>
      </c>
    </row>
    <row r="90" spans="1:17" customFormat="1">
      <c r="A90" s="80">
        <v>45546.854166666664</v>
      </c>
      <c r="B90" s="112">
        <v>9.2100000000000009</v>
      </c>
      <c r="C90" s="112">
        <v>4.1399999999999997</v>
      </c>
      <c r="D90" s="112">
        <v>14</v>
      </c>
      <c r="E90" s="112">
        <v>9.84</v>
      </c>
      <c r="F90" s="112">
        <v>8</v>
      </c>
      <c r="G90" s="112">
        <v>28.66</v>
      </c>
      <c r="H90" s="112">
        <v>9.8699999999999992</v>
      </c>
      <c r="I90" s="112">
        <v>3</v>
      </c>
      <c r="J90" s="112">
        <v>0.51</v>
      </c>
      <c r="K90" s="112">
        <v>271.98</v>
      </c>
      <c r="L90" s="112">
        <v>26.76</v>
      </c>
      <c r="M90" s="112">
        <v>87.96</v>
      </c>
      <c r="N90" s="112">
        <v>2.2999999999999998</v>
      </c>
      <c r="O90" s="112">
        <v>0</v>
      </c>
      <c r="P90" s="112">
        <v>0.25</v>
      </c>
      <c r="Q90" s="112">
        <v>4.6399999999999997</v>
      </c>
    </row>
    <row r="91" spans="1:17" customFormat="1">
      <c r="A91" s="80">
        <v>45546.864583333336</v>
      </c>
      <c r="B91" s="112">
        <v>9.2200000000000006</v>
      </c>
      <c r="C91" s="112">
        <v>4.13</v>
      </c>
      <c r="D91" s="112">
        <v>14</v>
      </c>
      <c r="E91" s="112">
        <v>9.67</v>
      </c>
      <c r="F91" s="112">
        <v>8.9</v>
      </c>
      <c r="G91" s="112">
        <v>28.66</v>
      </c>
      <c r="H91" s="112">
        <v>9.8699999999999992</v>
      </c>
      <c r="I91" s="112">
        <v>3</v>
      </c>
      <c r="J91" s="112">
        <v>0.36</v>
      </c>
      <c r="K91" s="112">
        <v>269.42</v>
      </c>
      <c r="L91" s="112">
        <v>26.59</v>
      </c>
      <c r="M91" s="112">
        <v>89.06</v>
      </c>
      <c r="N91" s="112">
        <v>2.2999999999999998</v>
      </c>
      <c r="O91" s="112">
        <v>0</v>
      </c>
      <c r="P91" s="112">
        <v>0.26</v>
      </c>
      <c r="Q91" s="112">
        <v>4.6399999999999997</v>
      </c>
    </row>
    <row r="92" spans="1:17" customFormat="1">
      <c r="A92" s="80">
        <v>45546.875</v>
      </c>
      <c r="B92" s="112">
        <v>9.24</v>
      </c>
      <c r="C92" s="112">
        <v>4.0999999999999996</v>
      </c>
      <c r="D92" s="112">
        <v>14</v>
      </c>
      <c r="E92" s="112">
        <v>9.2799999999999994</v>
      </c>
      <c r="F92" s="112">
        <v>11.13</v>
      </c>
      <c r="G92" s="112">
        <v>26.53</v>
      </c>
      <c r="H92" s="112">
        <v>9.01</v>
      </c>
      <c r="I92" s="112">
        <v>3</v>
      </c>
      <c r="J92" s="112">
        <v>0.33</v>
      </c>
      <c r="K92" s="112">
        <v>269.05</v>
      </c>
      <c r="L92" s="112">
        <v>26.52</v>
      </c>
      <c r="M92" s="112">
        <v>89.79</v>
      </c>
      <c r="N92" s="112">
        <v>2.2999999999999998</v>
      </c>
      <c r="O92" s="112">
        <v>0</v>
      </c>
      <c r="P92" s="112">
        <v>0.26</v>
      </c>
      <c r="Q92" s="112">
        <v>4.66</v>
      </c>
    </row>
    <row r="93" spans="1:17" customFormat="1">
      <c r="A93" s="80">
        <v>45546.885416666664</v>
      </c>
      <c r="B93" s="112">
        <v>9.23</v>
      </c>
      <c r="C93" s="112">
        <v>4.1100000000000003</v>
      </c>
      <c r="D93" s="112">
        <v>14</v>
      </c>
      <c r="E93" s="112">
        <v>9.32</v>
      </c>
      <c r="F93" s="112">
        <v>10.01</v>
      </c>
      <c r="G93" s="112">
        <v>20.67</v>
      </c>
      <c r="H93" s="112">
        <v>7.3</v>
      </c>
      <c r="I93" s="112">
        <v>2.98</v>
      </c>
      <c r="J93" s="112">
        <v>0.26</v>
      </c>
      <c r="K93" s="112">
        <v>260.64</v>
      </c>
      <c r="L93" s="112">
        <v>26.31</v>
      </c>
      <c r="M93" s="112">
        <v>91.61</v>
      </c>
      <c r="N93" s="112">
        <v>2.2000000000000002</v>
      </c>
      <c r="O93" s="112">
        <v>0</v>
      </c>
      <c r="P93" s="112">
        <v>0.25</v>
      </c>
      <c r="Q93" s="112">
        <v>4.63</v>
      </c>
    </row>
    <row r="94" spans="1:17" customFormat="1">
      <c r="A94" s="80">
        <v>45546.895833333336</v>
      </c>
      <c r="B94" s="112">
        <v>9.23</v>
      </c>
      <c r="C94" s="112">
        <v>4.1100000000000003</v>
      </c>
      <c r="D94" s="112">
        <v>14</v>
      </c>
      <c r="E94" s="112">
        <v>9.3800000000000008</v>
      </c>
      <c r="F94" s="112">
        <v>8.82</v>
      </c>
      <c r="G94" s="112">
        <v>20.67</v>
      </c>
      <c r="H94" s="112">
        <v>7.3</v>
      </c>
      <c r="I94" s="112">
        <v>2.95</v>
      </c>
      <c r="J94" s="112">
        <v>0.44</v>
      </c>
      <c r="K94" s="112">
        <v>270.20999999999998</v>
      </c>
      <c r="L94" s="112">
        <v>26.21</v>
      </c>
      <c r="M94" s="112">
        <v>92.4</v>
      </c>
      <c r="N94" s="112">
        <v>2.1</v>
      </c>
      <c r="O94" s="112">
        <v>0</v>
      </c>
      <c r="P94" s="112">
        <v>0.25</v>
      </c>
      <c r="Q94" s="112">
        <v>4.6399999999999997</v>
      </c>
    </row>
    <row r="95" spans="1:17" customFormat="1">
      <c r="A95" s="80">
        <v>45546.90625</v>
      </c>
      <c r="B95" s="112">
        <v>9.23</v>
      </c>
      <c r="C95" s="112">
        <v>4.1100000000000003</v>
      </c>
      <c r="D95" s="112">
        <v>14</v>
      </c>
      <c r="E95" s="112">
        <v>9.39</v>
      </c>
      <c r="F95" s="112">
        <v>7.62</v>
      </c>
      <c r="G95" s="112">
        <v>20.67</v>
      </c>
      <c r="H95" s="112">
        <v>7.3</v>
      </c>
      <c r="I95" s="112">
        <v>2.99</v>
      </c>
      <c r="J95" s="112">
        <v>0.51</v>
      </c>
      <c r="K95" s="112">
        <v>269.49</v>
      </c>
      <c r="L95" s="112">
        <v>26.25</v>
      </c>
      <c r="M95" s="112">
        <v>91.59</v>
      </c>
      <c r="N95" s="112">
        <v>2.1</v>
      </c>
      <c r="O95" s="112">
        <v>0</v>
      </c>
      <c r="P95" s="112">
        <v>0.24</v>
      </c>
      <c r="Q95" s="112">
        <v>4.6500000000000004</v>
      </c>
    </row>
    <row r="96" spans="1:17" customFormat="1">
      <c r="A96" s="80">
        <v>45546.916666666664</v>
      </c>
      <c r="B96" s="112">
        <v>9.23</v>
      </c>
      <c r="C96" s="112">
        <v>4.1100000000000003</v>
      </c>
      <c r="D96" s="112">
        <v>14</v>
      </c>
      <c r="E96" s="112">
        <v>8.93</v>
      </c>
      <c r="F96" s="112">
        <v>9.01</v>
      </c>
      <c r="G96" s="112">
        <v>23.77</v>
      </c>
      <c r="H96" s="112">
        <v>9.7100000000000009</v>
      </c>
      <c r="I96" s="112">
        <v>3.02</v>
      </c>
      <c r="J96" s="112">
        <v>0.43</v>
      </c>
      <c r="K96" s="112">
        <v>264.75</v>
      </c>
      <c r="L96" s="112">
        <v>26.2</v>
      </c>
      <c r="M96" s="112">
        <v>91.89</v>
      </c>
      <c r="N96" s="112">
        <v>2.1</v>
      </c>
      <c r="O96" s="112">
        <v>0</v>
      </c>
      <c r="P96" s="112">
        <v>0.25</v>
      </c>
      <c r="Q96" s="112">
        <v>4.66</v>
      </c>
    </row>
    <row r="97" spans="1:22" customFormat="1">
      <c r="A97" s="80">
        <v>45546.927083333336</v>
      </c>
      <c r="B97" s="112">
        <v>9.23</v>
      </c>
      <c r="C97" s="112">
        <v>4.1100000000000003</v>
      </c>
      <c r="D97" s="112">
        <v>14</v>
      </c>
      <c r="E97" s="112">
        <v>8.6199999999999992</v>
      </c>
      <c r="F97" s="112">
        <v>7.22</v>
      </c>
      <c r="G97" s="112">
        <v>32.799999999999997</v>
      </c>
      <c r="H97" s="112">
        <v>14.32</v>
      </c>
      <c r="I97" s="112">
        <v>3.04</v>
      </c>
      <c r="J97" s="112">
        <v>0.47</v>
      </c>
      <c r="K97" s="112">
        <v>270.76</v>
      </c>
      <c r="L97" s="112">
        <v>26.19</v>
      </c>
      <c r="M97" s="112">
        <v>91.63</v>
      </c>
      <c r="N97" s="112">
        <v>2.1</v>
      </c>
      <c r="O97" s="112">
        <v>0</v>
      </c>
      <c r="P97" s="112">
        <v>0.24</v>
      </c>
      <c r="Q97" s="112">
        <v>4.66</v>
      </c>
    </row>
    <row r="98" spans="1:22" customFormat="1">
      <c r="A98" s="80">
        <v>45546.9375</v>
      </c>
      <c r="B98" s="112">
        <v>9.2100000000000009</v>
      </c>
      <c r="C98" s="112">
        <v>4.1399999999999997</v>
      </c>
      <c r="D98" s="112">
        <v>14</v>
      </c>
      <c r="E98" s="112">
        <v>8.7799999999999994</v>
      </c>
      <c r="F98" s="112">
        <v>6.99</v>
      </c>
      <c r="G98" s="112">
        <v>32.799999999999997</v>
      </c>
      <c r="H98" s="112">
        <v>14.32</v>
      </c>
      <c r="I98" s="112">
        <v>2.97</v>
      </c>
      <c r="J98" s="112">
        <v>0.37</v>
      </c>
      <c r="K98" s="112">
        <v>268.44</v>
      </c>
      <c r="L98" s="112">
        <v>26.15</v>
      </c>
      <c r="M98" s="112">
        <v>91.88</v>
      </c>
      <c r="N98" s="112">
        <v>2.1</v>
      </c>
      <c r="O98" s="112">
        <v>0</v>
      </c>
      <c r="P98" s="112">
        <v>0.24</v>
      </c>
      <c r="Q98" s="112">
        <v>4.6500000000000004</v>
      </c>
    </row>
    <row r="99" spans="1:22" customFormat="1">
      <c r="A99" s="80">
        <v>45546.947916666664</v>
      </c>
      <c r="B99" s="112">
        <v>9.19</v>
      </c>
      <c r="C99" s="112">
        <v>4.17</v>
      </c>
      <c r="D99" s="112">
        <v>14</v>
      </c>
      <c r="E99" s="112">
        <v>8.66</v>
      </c>
      <c r="F99" s="112">
        <v>7.44</v>
      </c>
      <c r="G99" s="112">
        <v>32.799999999999997</v>
      </c>
      <c r="H99" s="112">
        <v>14.32</v>
      </c>
      <c r="I99" s="112">
        <v>3.04</v>
      </c>
      <c r="J99" s="112">
        <v>0.41</v>
      </c>
      <c r="K99" s="112">
        <v>270.94</v>
      </c>
      <c r="L99" s="112">
        <v>26.06</v>
      </c>
      <c r="M99" s="112">
        <v>92.13</v>
      </c>
      <c r="N99" s="112">
        <v>2.1</v>
      </c>
      <c r="O99" s="112">
        <v>0</v>
      </c>
      <c r="P99" s="112">
        <v>0.23</v>
      </c>
      <c r="Q99" s="112">
        <v>4.6500000000000004</v>
      </c>
    </row>
    <row r="100" spans="1:22" customFormat="1">
      <c r="A100" s="80">
        <v>45546.958333333336</v>
      </c>
      <c r="B100" s="112">
        <v>9.18</v>
      </c>
      <c r="C100" s="112">
        <v>4.1900000000000004</v>
      </c>
      <c r="D100" s="112">
        <v>14</v>
      </c>
      <c r="E100" s="112">
        <v>8.51</v>
      </c>
      <c r="F100" s="112">
        <v>7.9</v>
      </c>
      <c r="G100" s="112">
        <v>30.33</v>
      </c>
      <c r="H100" s="112">
        <v>13.1</v>
      </c>
      <c r="I100" s="112">
        <v>2.98</v>
      </c>
      <c r="J100" s="112">
        <v>0.35</v>
      </c>
      <c r="K100" s="112">
        <v>263.55</v>
      </c>
      <c r="L100" s="112">
        <v>26.08</v>
      </c>
      <c r="M100" s="112">
        <v>91.78</v>
      </c>
      <c r="N100" s="112">
        <v>2.1</v>
      </c>
      <c r="O100" s="112">
        <v>0</v>
      </c>
      <c r="P100" s="112">
        <v>0.23</v>
      </c>
      <c r="Q100" s="112">
        <v>4.6500000000000004</v>
      </c>
    </row>
    <row r="101" spans="1:22" customFormat="1">
      <c r="A101" s="80">
        <v>45546.96875</v>
      </c>
      <c r="B101" s="112">
        <v>9.17</v>
      </c>
      <c r="C101" s="112">
        <v>4.2</v>
      </c>
      <c r="D101" s="112">
        <v>14</v>
      </c>
      <c r="E101" s="112">
        <v>8.26</v>
      </c>
      <c r="F101" s="112">
        <v>7.7</v>
      </c>
      <c r="G101" s="112">
        <v>23.16</v>
      </c>
      <c r="H101" s="112">
        <v>10.75</v>
      </c>
      <c r="I101" s="112">
        <v>2.93</v>
      </c>
      <c r="J101" s="112">
        <v>0.43</v>
      </c>
      <c r="K101" s="112">
        <v>274.11</v>
      </c>
      <c r="L101" s="112">
        <v>25.97</v>
      </c>
      <c r="M101" s="112">
        <v>92.25</v>
      </c>
      <c r="N101" s="112">
        <v>2.1</v>
      </c>
      <c r="O101" s="112">
        <v>0</v>
      </c>
      <c r="P101" s="112">
        <v>0.22</v>
      </c>
      <c r="Q101" s="112">
        <v>4.66</v>
      </c>
    </row>
    <row r="102" spans="1:22" customFormat="1">
      <c r="A102" s="80">
        <v>45546.979166666664</v>
      </c>
      <c r="B102" s="112">
        <v>9.15</v>
      </c>
      <c r="C102" s="112">
        <v>4.2300000000000004</v>
      </c>
      <c r="D102" s="112">
        <v>14</v>
      </c>
      <c r="E102" s="112">
        <v>8.33</v>
      </c>
      <c r="F102" s="112">
        <v>7.68</v>
      </c>
      <c r="G102" s="112">
        <v>23.16</v>
      </c>
      <c r="H102" s="112">
        <v>10.75</v>
      </c>
      <c r="I102" s="112">
        <v>2.9</v>
      </c>
      <c r="J102" s="112">
        <v>0.41</v>
      </c>
      <c r="K102" s="112">
        <v>270.94</v>
      </c>
      <c r="L102" s="112">
        <v>25.95</v>
      </c>
      <c r="M102" s="112">
        <v>92.01</v>
      </c>
      <c r="N102" s="112">
        <v>2.1</v>
      </c>
      <c r="O102" s="112">
        <v>0</v>
      </c>
      <c r="P102" s="112">
        <v>0.22</v>
      </c>
      <c r="Q102" s="112">
        <v>4.66</v>
      </c>
    </row>
    <row r="103" spans="1:22" customFormat="1">
      <c r="A103" s="80">
        <v>45546.989583333336</v>
      </c>
      <c r="B103" s="112">
        <v>9.1300000000000008</v>
      </c>
      <c r="C103" s="112">
        <v>4.2699999999999996</v>
      </c>
      <c r="D103" s="112">
        <v>14</v>
      </c>
      <c r="E103" s="112">
        <v>8.3699999999999992</v>
      </c>
      <c r="F103" s="112">
        <v>7.12</v>
      </c>
      <c r="G103" s="112">
        <v>23.16</v>
      </c>
      <c r="H103" s="112">
        <v>10.75</v>
      </c>
      <c r="I103" s="112">
        <v>2.91</v>
      </c>
      <c r="J103" s="112">
        <v>0.52</v>
      </c>
      <c r="K103" s="112">
        <v>270.86</v>
      </c>
      <c r="L103" s="112">
        <v>25.9</v>
      </c>
      <c r="M103" s="112">
        <v>92.12</v>
      </c>
      <c r="N103" s="112">
        <v>2.1</v>
      </c>
      <c r="O103" s="112">
        <v>0</v>
      </c>
      <c r="P103" s="112">
        <v>0.22</v>
      </c>
      <c r="Q103" s="112">
        <v>4.66</v>
      </c>
    </row>
    <row r="104" spans="1:22" customFormat="1">
      <c r="A104" s="80">
        <v>45547</v>
      </c>
      <c r="B104" s="112">
        <v>9.11</v>
      </c>
      <c r="C104" s="112">
        <v>4.29</v>
      </c>
      <c r="D104" s="112">
        <v>14</v>
      </c>
      <c r="E104" s="112">
        <v>8.34</v>
      </c>
      <c r="F104" s="112">
        <v>5.97</v>
      </c>
      <c r="G104" s="112">
        <v>22.53</v>
      </c>
      <c r="H104" s="112">
        <v>9.7200000000000006</v>
      </c>
      <c r="I104" s="112">
        <v>2.9</v>
      </c>
      <c r="J104" s="112">
        <v>0.49</v>
      </c>
      <c r="K104" s="112">
        <v>270.42</v>
      </c>
      <c r="L104" s="112">
        <v>25.84</v>
      </c>
      <c r="M104" s="112">
        <v>92.16</v>
      </c>
      <c r="N104" s="112">
        <v>2.2000000000000002</v>
      </c>
      <c r="O104" s="112">
        <v>0</v>
      </c>
      <c r="P104" s="112">
        <v>0.23</v>
      </c>
      <c r="Q104" s="112">
        <v>4.6500000000000004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9.0399999999999991</v>
      </c>
      <c r="C106" s="183">
        <f>MIN(C9:C104)</f>
        <v>4.0599999999999996</v>
      </c>
      <c r="D106" s="183">
        <f t="shared" ref="D106:Q106" si="0">MIN(D9:D104)</f>
        <v>14</v>
      </c>
      <c r="E106" s="183">
        <f t="shared" si="0"/>
        <v>8.26</v>
      </c>
      <c r="F106" s="183">
        <f t="shared" si="0"/>
        <v>2.4900000000000002</v>
      </c>
      <c r="G106" s="183">
        <f t="shared" si="0"/>
        <v>13.54</v>
      </c>
      <c r="H106" s="183">
        <f t="shared" si="0"/>
        <v>2.61</v>
      </c>
      <c r="I106" s="183">
        <f t="shared" si="0"/>
        <v>2.73</v>
      </c>
      <c r="J106" s="183">
        <f t="shared" si="0"/>
        <v>-0.66</v>
      </c>
      <c r="K106" s="183">
        <f t="shared" si="0"/>
        <v>0.02</v>
      </c>
      <c r="L106" s="183">
        <f t="shared" si="0"/>
        <v>25.59</v>
      </c>
      <c r="M106" s="183">
        <f t="shared" si="0"/>
        <v>75.27</v>
      </c>
      <c r="N106" s="183">
        <f t="shared" si="0"/>
        <v>2.1</v>
      </c>
      <c r="O106" s="183">
        <f t="shared" si="0"/>
        <v>0</v>
      </c>
      <c r="P106" s="183">
        <f t="shared" si="0"/>
        <v>0.22</v>
      </c>
      <c r="Q106" s="183">
        <f t="shared" si="0"/>
        <v>4.6100000000000003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9.3000000000000007</v>
      </c>
      <c r="C107" s="184">
        <f t="shared" ref="C107:Q107" si="1">MAX(C9:C104)</f>
        <v>4.4000000000000004</v>
      </c>
      <c r="D107" s="184">
        <f t="shared" si="1"/>
        <v>14.03</v>
      </c>
      <c r="E107" s="184">
        <f t="shared" si="1"/>
        <v>12.42</v>
      </c>
      <c r="F107" s="184">
        <f t="shared" si="1"/>
        <v>11.13</v>
      </c>
      <c r="G107" s="184">
        <f t="shared" si="1"/>
        <v>32.799999999999997</v>
      </c>
      <c r="H107" s="184">
        <f t="shared" si="1"/>
        <v>15.61</v>
      </c>
      <c r="I107" s="184">
        <f t="shared" si="1"/>
        <v>3.41</v>
      </c>
      <c r="J107" s="184">
        <f t="shared" si="1"/>
        <v>1.33</v>
      </c>
      <c r="K107" s="184">
        <f t="shared" si="1"/>
        <v>278.29000000000002</v>
      </c>
      <c r="L107" s="184">
        <f t="shared" si="1"/>
        <v>29.46</v>
      </c>
      <c r="M107" s="184">
        <f t="shared" si="1"/>
        <v>93.42</v>
      </c>
      <c r="N107" s="184">
        <f t="shared" si="1"/>
        <v>547.1</v>
      </c>
      <c r="O107" s="184">
        <f t="shared" si="1"/>
        <v>0</v>
      </c>
      <c r="P107" s="184">
        <f t="shared" si="1"/>
        <v>0.34</v>
      </c>
      <c r="Q107" s="184">
        <f t="shared" si="1"/>
        <v>4.68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9.1778125000000035</v>
      </c>
      <c r="C108" s="183">
        <f t="shared" ref="C108:Q108" si="2">AVERAGE(C9:C104)</f>
        <v>4.192916666666668</v>
      </c>
      <c r="D108" s="183">
        <f t="shared" si="2"/>
        <v>14.000416666666666</v>
      </c>
      <c r="E108" s="183">
        <f t="shared" si="2"/>
        <v>9.9387500000000006</v>
      </c>
      <c r="F108" s="183">
        <f t="shared" si="2"/>
        <v>5.6934375000000017</v>
      </c>
      <c r="G108" s="183">
        <f t="shared" si="2"/>
        <v>21.96072916666667</v>
      </c>
      <c r="H108" s="183">
        <f t="shared" si="2"/>
        <v>8.5484375000000039</v>
      </c>
      <c r="I108" s="183">
        <f t="shared" si="2"/>
        <v>3.0557291666666688</v>
      </c>
      <c r="J108" s="183">
        <f t="shared" si="2"/>
        <v>0.84395833333333348</v>
      </c>
      <c r="K108" s="183">
        <f t="shared" si="2"/>
        <v>271.04343749999992</v>
      </c>
      <c r="L108" s="183">
        <f t="shared" si="2"/>
        <v>27.130312499999999</v>
      </c>
      <c r="M108" s="183">
        <f t="shared" si="2"/>
        <v>86.48343749999998</v>
      </c>
      <c r="N108" s="183">
        <f t="shared" si="2"/>
        <v>81.62083333333338</v>
      </c>
      <c r="O108" s="183">
        <f t="shared" si="2"/>
        <v>0</v>
      </c>
      <c r="P108" s="183">
        <f t="shared" si="2"/>
        <v>0.28541666666666671</v>
      </c>
      <c r="Q108" s="183">
        <f t="shared" si="2"/>
        <v>4.6445833333333306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6.2039089969232637E-2</v>
      </c>
      <c r="C109" s="183">
        <f t="shared" ref="C109:Q109" si="3">STDEV(C9:C104)</f>
        <v>9.3075144137073379E-2</v>
      </c>
      <c r="D109" s="183">
        <f t="shared" si="3"/>
        <v>3.2172779166528324E-3</v>
      </c>
      <c r="E109" s="183">
        <f t="shared" si="3"/>
        <v>0.98256083245450043</v>
      </c>
      <c r="F109" s="183">
        <f t="shared" si="3"/>
        <v>1.5649501946841911</v>
      </c>
      <c r="G109" s="183">
        <f t="shared" si="3"/>
        <v>4.2461807594197536</v>
      </c>
      <c r="H109" s="183">
        <f t="shared" si="3"/>
        <v>3.5525321816016922</v>
      </c>
      <c r="I109" s="183">
        <f t="shared" si="3"/>
        <v>0.1625633142512124</v>
      </c>
      <c r="J109" s="183">
        <f t="shared" si="3"/>
        <v>0.32048476165980155</v>
      </c>
      <c r="K109" s="183">
        <f t="shared" si="3"/>
        <v>28.109381158464711</v>
      </c>
      <c r="L109" s="183">
        <f t="shared" si="3"/>
        <v>1.2455828930348465</v>
      </c>
      <c r="M109" s="183">
        <f t="shared" si="3"/>
        <v>5.8408919340738219</v>
      </c>
      <c r="N109" s="183">
        <f t="shared" si="3"/>
        <v>116.03791750219236</v>
      </c>
      <c r="O109" s="183">
        <f t="shared" si="3"/>
        <v>0</v>
      </c>
      <c r="P109" s="183">
        <f t="shared" si="3"/>
        <v>3.460808140081658E-2</v>
      </c>
      <c r="Q109" s="183">
        <f t="shared" si="3"/>
        <v>1.2558634410062915E-2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E110" sqref="E110:Q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45547.010416666664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45547.010416666664</v>
      </c>
      <c r="B9" s="112">
        <v>9.32</v>
      </c>
      <c r="C9" s="112">
        <v>3.99</v>
      </c>
      <c r="D9" s="112">
        <v>14.01</v>
      </c>
      <c r="E9" s="112">
        <v>8.68</v>
      </c>
      <c r="F9" s="112">
        <v>5.24</v>
      </c>
      <c r="G9" s="112">
        <v>20.79</v>
      </c>
      <c r="H9" s="112">
        <v>7.75</v>
      </c>
      <c r="I9" s="112">
        <v>2.95</v>
      </c>
      <c r="J9" s="112">
        <v>0.42</v>
      </c>
      <c r="K9" s="112">
        <v>265.38</v>
      </c>
      <c r="L9" s="112">
        <v>25.83</v>
      </c>
      <c r="M9" s="112">
        <v>92.3</v>
      </c>
      <c r="N9" s="112">
        <v>2.1</v>
      </c>
      <c r="O9" s="112">
        <v>0</v>
      </c>
      <c r="P9" s="112">
        <v>0.25</v>
      </c>
      <c r="Q9" s="112">
        <v>4.6399999999999997</v>
      </c>
    </row>
    <row r="10" spans="1:21" customFormat="1">
      <c r="A10" s="80">
        <v>45547.020833333336</v>
      </c>
      <c r="B10" s="112">
        <v>9.31</v>
      </c>
      <c r="C10" s="112">
        <v>4.03</v>
      </c>
      <c r="D10" s="112">
        <v>14.02</v>
      </c>
      <c r="E10" s="112">
        <v>8.59</v>
      </c>
      <c r="F10" s="112">
        <v>4.57</v>
      </c>
      <c r="G10" s="112">
        <v>20.79</v>
      </c>
      <c r="H10" s="112">
        <v>7.75</v>
      </c>
      <c r="I10" s="112">
        <v>2.87</v>
      </c>
      <c r="J10" s="112">
        <v>0.44</v>
      </c>
      <c r="K10" s="112">
        <v>265.68</v>
      </c>
      <c r="L10" s="112">
        <v>25.84</v>
      </c>
      <c r="M10" s="112">
        <v>91.85</v>
      </c>
      <c r="N10" s="112">
        <v>2.1</v>
      </c>
      <c r="O10" s="112">
        <v>0</v>
      </c>
      <c r="P10" s="112">
        <v>0.26</v>
      </c>
      <c r="Q10" s="112">
        <v>4.6500000000000004</v>
      </c>
    </row>
    <row r="11" spans="1:21" customFormat="1">
      <c r="A11" s="80">
        <v>45547.03125</v>
      </c>
      <c r="B11" s="112">
        <v>9.27</v>
      </c>
      <c r="C11" s="112">
        <v>4.1100000000000003</v>
      </c>
      <c r="D11" s="112">
        <v>14.03</v>
      </c>
      <c r="E11" s="112">
        <v>9.23</v>
      </c>
      <c r="F11" s="112">
        <v>4.7699999999999996</v>
      </c>
      <c r="G11" s="112">
        <v>20.79</v>
      </c>
      <c r="H11" s="112">
        <v>7.75</v>
      </c>
      <c r="I11" s="112">
        <v>2.95</v>
      </c>
      <c r="J11" s="112">
        <v>0.49</v>
      </c>
      <c r="K11" s="112">
        <v>270.38</v>
      </c>
      <c r="L11" s="112">
        <v>25.78</v>
      </c>
      <c r="M11" s="112">
        <v>91.89</v>
      </c>
      <c r="N11" s="112">
        <v>2.1</v>
      </c>
      <c r="O11" s="112">
        <v>0</v>
      </c>
      <c r="P11" s="112">
        <v>0.26</v>
      </c>
      <c r="Q11" s="112">
        <v>4.6500000000000004</v>
      </c>
    </row>
    <row r="12" spans="1:21" customFormat="1">
      <c r="A12" s="80">
        <v>45547.041666666664</v>
      </c>
      <c r="B12" s="112">
        <v>9.27</v>
      </c>
      <c r="C12" s="112">
        <v>4.08</v>
      </c>
      <c r="D12" s="112">
        <v>14.02</v>
      </c>
      <c r="E12" s="112">
        <v>8.93</v>
      </c>
      <c r="F12" s="112">
        <v>3.93</v>
      </c>
      <c r="G12" s="112">
        <v>19.36</v>
      </c>
      <c r="H12" s="112">
        <v>6.97</v>
      </c>
      <c r="I12" s="112">
        <v>2.95</v>
      </c>
      <c r="J12" s="112">
        <v>0.56999999999999995</v>
      </c>
      <c r="K12" s="112">
        <v>272.88</v>
      </c>
      <c r="L12" s="112">
        <v>25.75</v>
      </c>
      <c r="M12" s="112">
        <v>91.78</v>
      </c>
      <c r="N12" s="112">
        <v>2.1</v>
      </c>
      <c r="O12" s="112">
        <v>0</v>
      </c>
      <c r="P12" s="112">
        <v>0.25</v>
      </c>
      <c r="Q12" s="112">
        <v>4.6399999999999997</v>
      </c>
    </row>
    <row r="13" spans="1:21" customFormat="1">
      <c r="A13" s="80">
        <v>45547.052083333336</v>
      </c>
      <c r="B13" s="112">
        <v>9.2899999999999991</v>
      </c>
      <c r="C13" s="112">
        <v>4.04</v>
      </c>
      <c r="D13" s="112">
        <v>14.01</v>
      </c>
      <c r="E13" s="112">
        <v>8.81</v>
      </c>
      <c r="F13" s="112">
        <v>3.49</v>
      </c>
      <c r="G13" s="112">
        <v>15.2</v>
      </c>
      <c r="H13" s="112">
        <v>5.48</v>
      </c>
      <c r="I13" s="112">
        <v>2.92</v>
      </c>
      <c r="J13" s="112">
        <v>0.61</v>
      </c>
      <c r="K13" s="112">
        <v>271.74</v>
      </c>
      <c r="L13" s="112">
        <v>25.72</v>
      </c>
      <c r="M13" s="112">
        <v>91.74</v>
      </c>
      <c r="N13" s="112">
        <v>2.1</v>
      </c>
      <c r="O13" s="112">
        <v>0</v>
      </c>
      <c r="P13" s="112">
        <v>0.26</v>
      </c>
      <c r="Q13" s="112">
        <v>4.6500000000000004</v>
      </c>
    </row>
    <row r="14" spans="1:21" customFormat="1">
      <c r="A14" s="80">
        <v>45547.0625</v>
      </c>
      <c r="B14" s="112">
        <v>9.27</v>
      </c>
      <c r="C14" s="112">
        <v>4.08</v>
      </c>
      <c r="D14" s="112">
        <v>14.02</v>
      </c>
      <c r="E14" s="112">
        <v>9.1199999999999992</v>
      </c>
      <c r="F14" s="112">
        <v>3.07</v>
      </c>
      <c r="G14" s="112">
        <v>15.2</v>
      </c>
      <c r="H14" s="112">
        <v>5.48</v>
      </c>
      <c r="I14" s="112">
        <v>2.96</v>
      </c>
      <c r="J14" s="112">
        <v>0.41</v>
      </c>
      <c r="K14" s="112">
        <v>267.10000000000002</v>
      </c>
      <c r="L14" s="112">
        <v>25.74</v>
      </c>
      <c r="M14" s="112">
        <v>91.67</v>
      </c>
      <c r="N14" s="112">
        <v>2.1</v>
      </c>
      <c r="O14" s="112">
        <v>0</v>
      </c>
      <c r="P14" s="112">
        <v>0.26</v>
      </c>
      <c r="Q14" s="112">
        <v>4.66</v>
      </c>
    </row>
    <row r="15" spans="1:21" customFormat="1">
      <c r="A15" s="80">
        <v>45547.072916666664</v>
      </c>
      <c r="B15" s="112">
        <v>9.27</v>
      </c>
      <c r="C15" s="112">
        <v>4.0999999999999996</v>
      </c>
      <c r="D15" s="112">
        <v>14.03</v>
      </c>
      <c r="E15" s="112">
        <v>9.2100000000000009</v>
      </c>
      <c r="F15" s="112">
        <v>3.71</v>
      </c>
      <c r="G15" s="112">
        <v>15.2</v>
      </c>
      <c r="H15" s="112">
        <v>5.48</v>
      </c>
      <c r="I15" s="112">
        <v>2.91</v>
      </c>
      <c r="J15" s="112">
        <v>0.43</v>
      </c>
      <c r="K15" s="112">
        <v>269.89</v>
      </c>
      <c r="L15" s="112">
        <v>25.7</v>
      </c>
      <c r="M15" s="112">
        <v>92.02</v>
      </c>
      <c r="N15" s="112">
        <v>2.2000000000000002</v>
      </c>
      <c r="O15" s="112">
        <v>0</v>
      </c>
      <c r="P15" s="112">
        <v>0.26</v>
      </c>
      <c r="Q15" s="112">
        <v>4.6500000000000004</v>
      </c>
    </row>
    <row r="16" spans="1:21" customFormat="1">
      <c r="A16" s="80">
        <v>45547.083333333336</v>
      </c>
      <c r="B16" s="112">
        <v>9.2799999999999994</v>
      </c>
      <c r="C16" s="112">
        <v>4.05</v>
      </c>
      <c r="D16" s="112">
        <v>14.01</v>
      </c>
      <c r="E16" s="112">
        <v>9.2899999999999991</v>
      </c>
      <c r="F16" s="112">
        <v>3.93</v>
      </c>
      <c r="G16" s="112">
        <v>16.77</v>
      </c>
      <c r="H16" s="112">
        <v>5.29</v>
      </c>
      <c r="I16" s="112">
        <v>2.88</v>
      </c>
      <c r="J16" s="112">
        <v>0.27</v>
      </c>
      <c r="K16" s="112">
        <v>263.99</v>
      </c>
      <c r="L16" s="112">
        <v>25.67</v>
      </c>
      <c r="M16" s="112">
        <v>92.35</v>
      </c>
      <c r="N16" s="112">
        <v>2.2999999999999998</v>
      </c>
      <c r="O16" s="112">
        <v>0</v>
      </c>
      <c r="P16" s="112">
        <v>0.25</v>
      </c>
      <c r="Q16" s="112">
        <v>4.6500000000000004</v>
      </c>
    </row>
    <row r="17" spans="1:17" customFormat="1">
      <c r="A17" s="80">
        <v>45547.09375</v>
      </c>
      <c r="B17" s="112">
        <v>9.3000000000000007</v>
      </c>
      <c r="C17" s="112">
        <v>4.0599999999999996</v>
      </c>
      <c r="D17" s="112">
        <v>14.02</v>
      </c>
      <c r="E17" s="112">
        <v>7.05</v>
      </c>
      <c r="F17" s="112">
        <v>2.87</v>
      </c>
      <c r="G17" s="112">
        <v>21.09</v>
      </c>
      <c r="H17" s="112">
        <v>4.46</v>
      </c>
      <c r="I17" s="112">
        <v>2.89</v>
      </c>
      <c r="J17" s="112">
        <v>0.26</v>
      </c>
      <c r="K17" s="112">
        <v>261.22000000000003</v>
      </c>
      <c r="L17" s="112">
        <v>25.64</v>
      </c>
      <c r="M17" s="112">
        <v>92.51</v>
      </c>
      <c r="N17" s="112">
        <v>2.2999999999999998</v>
      </c>
      <c r="O17" s="112">
        <v>0</v>
      </c>
      <c r="P17" s="112">
        <v>0.25</v>
      </c>
      <c r="Q17" s="112">
        <v>4.6399999999999997</v>
      </c>
    </row>
    <row r="18" spans="1:17" customFormat="1">
      <c r="A18" s="80">
        <v>45547.104166666664</v>
      </c>
      <c r="B18" s="112">
        <v>9.31</v>
      </c>
      <c r="C18" s="112">
        <v>4.05</v>
      </c>
      <c r="D18" s="112">
        <v>14.03</v>
      </c>
      <c r="E18" s="112">
        <v>8.35</v>
      </c>
      <c r="F18" s="112">
        <v>2.54</v>
      </c>
      <c r="G18" s="112">
        <v>21.09</v>
      </c>
      <c r="H18" s="112">
        <v>4.46</v>
      </c>
      <c r="I18" s="112">
        <v>2.95</v>
      </c>
      <c r="J18" s="112">
        <v>0.32</v>
      </c>
      <c r="K18" s="112">
        <v>262.19</v>
      </c>
      <c r="L18" s="112">
        <v>25.63</v>
      </c>
      <c r="M18" s="112">
        <v>92.7</v>
      </c>
      <c r="N18" s="112">
        <v>2.2999999999999998</v>
      </c>
      <c r="O18" s="112">
        <v>0</v>
      </c>
      <c r="P18" s="112">
        <v>0.26</v>
      </c>
      <c r="Q18" s="112">
        <v>4.66</v>
      </c>
    </row>
    <row r="19" spans="1:17" customFormat="1">
      <c r="A19" s="80">
        <v>45547.114583333336</v>
      </c>
      <c r="B19" s="112">
        <v>9.3000000000000007</v>
      </c>
      <c r="C19" s="112">
        <v>4.05</v>
      </c>
      <c r="D19" s="112">
        <v>14.03</v>
      </c>
      <c r="E19" s="112">
        <v>8.2899999999999991</v>
      </c>
      <c r="F19" s="112">
        <v>2.95</v>
      </c>
      <c r="G19" s="112">
        <v>21.09</v>
      </c>
      <c r="H19" s="112">
        <v>4.46</v>
      </c>
      <c r="I19" s="112">
        <v>2.89</v>
      </c>
      <c r="J19" s="112">
        <v>0.44</v>
      </c>
      <c r="K19" s="112">
        <v>270.63</v>
      </c>
      <c r="L19" s="112">
        <v>25.58</v>
      </c>
      <c r="M19" s="112">
        <v>92.56</v>
      </c>
      <c r="N19" s="112">
        <v>2.2999999999999998</v>
      </c>
      <c r="O19" s="112">
        <v>0</v>
      </c>
      <c r="P19" s="112">
        <v>0.25</v>
      </c>
      <c r="Q19" s="112">
        <v>4.6500000000000004</v>
      </c>
    </row>
    <row r="20" spans="1:17" customFormat="1">
      <c r="A20" s="80">
        <v>45547.125</v>
      </c>
      <c r="B20" s="112">
        <v>9.3000000000000007</v>
      </c>
      <c r="C20" s="112">
        <v>4.0599999999999996</v>
      </c>
      <c r="D20" s="112">
        <v>14.03</v>
      </c>
      <c r="E20" s="112">
        <v>8.6199999999999992</v>
      </c>
      <c r="F20" s="112">
        <v>2.63</v>
      </c>
      <c r="G20" s="112">
        <v>20.69</v>
      </c>
      <c r="H20" s="112">
        <v>4.2</v>
      </c>
      <c r="I20" s="112">
        <v>2.99</v>
      </c>
      <c r="J20" s="112">
        <v>0.41</v>
      </c>
      <c r="K20" s="112">
        <v>268.10000000000002</v>
      </c>
      <c r="L20" s="112">
        <v>25.59</v>
      </c>
      <c r="M20" s="112">
        <v>92.35</v>
      </c>
      <c r="N20" s="112">
        <v>2.2999999999999998</v>
      </c>
      <c r="O20" s="112">
        <v>0</v>
      </c>
      <c r="P20" s="112">
        <v>0.26</v>
      </c>
      <c r="Q20" s="112">
        <v>4.6399999999999997</v>
      </c>
    </row>
    <row r="21" spans="1:17" customFormat="1">
      <c r="A21" s="80">
        <v>45547.135416666664</v>
      </c>
      <c r="B21" s="112">
        <v>9.31</v>
      </c>
      <c r="C21" s="112">
        <v>4.05</v>
      </c>
      <c r="D21" s="112">
        <v>14.03</v>
      </c>
      <c r="E21" s="112">
        <v>8.52</v>
      </c>
      <c r="F21" s="112">
        <v>2.4300000000000002</v>
      </c>
      <c r="G21" s="112">
        <v>19.600000000000001</v>
      </c>
      <c r="H21" s="112">
        <v>3.7</v>
      </c>
      <c r="I21" s="112">
        <v>2.85</v>
      </c>
      <c r="J21" s="112">
        <v>0.39</v>
      </c>
      <c r="K21" s="112">
        <v>268.82</v>
      </c>
      <c r="L21" s="112">
        <v>25.47</v>
      </c>
      <c r="M21" s="112">
        <v>92.99</v>
      </c>
      <c r="N21" s="112">
        <v>2.4</v>
      </c>
      <c r="O21" s="112">
        <v>0</v>
      </c>
      <c r="P21" s="112">
        <v>0.25</v>
      </c>
      <c r="Q21" s="112">
        <v>4.6500000000000004</v>
      </c>
    </row>
    <row r="22" spans="1:17" customFormat="1">
      <c r="A22" s="80">
        <v>45547.145833333336</v>
      </c>
      <c r="B22" s="112">
        <v>9.31</v>
      </c>
      <c r="C22" s="112">
        <v>4.08</v>
      </c>
      <c r="D22" s="112">
        <v>14.05</v>
      </c>
      <c r="E22" s="112">
        <v>8.7799999999999994</v>
      </c>
      <c r="F22" s="112">
        <v>2.17</v>
      </c>
      <c r="G22" s="112">
        <v>19.600000000000001</v>
      </c>
      <c r="H22" s="112">
        <v>3.7</v>
      </c>
      <c r="I22" s="112">
        <v>2.88</v>
      </c>
      <c r="J22" s="112">
        <v>0.24</v>
      </c>
      <c r="K22" s="112">
        <v>260.62</v>
      </c>
      <c r="L22" s="112">
        <v>25.42</v>
      </c>
      <c r="M22" s="112">
        <v>93.59</v>
      </c>
      <c r="N22" s="112">
        <v>2.2999999999999998</v>
      </c>
      <c r="O22" s="112">
        <v>0</v>
      </c>
      <c r="P22" s="112">
        <v>0.25</v>
      </c>
      <c r="Q22" s="112">
        <v>4.6399999999999997</v>
      </c>
    </row>
    <row r="23" spans="1:17" customFormat="1">
      <c r="A23" s="80">
        <v>45547.15625</v>
      </c>
      <c r="B23" s="112">
        <v>9.3000000000000007</v>
      </c>
      <c r="C23" s="112">
        <v>4.1100000000000003</v>
      </c>
      <c r="D23" s="112">
        <v>14.06</v>
      </c>
      <c r="E23" s="112">
        <v>9.2200000000000006</v>
      </c>
      <c r="F23" s="112">
        <v>1.97</v>
      </c>
      <c r="G23" s="112">
        <v>19.600000000000001</v>
      </c>
      <c r="H23" s="112">
        <v>3.7</v>
      </c>
      <c r="I23" s="112">
        <v>2.81</v>
      </c>
      <c r="J23" s="112">
        <v>0.28000000000000003</v>
      </c>
      <c r="K23" s="112">
        <v>258.76</v>
      </c>
      <c r="L23" s="112">
        <v>25.29</v>
      </c>
      <c r="M23" s="112">
        <v>94.52</v>
      </c>
      <c r="N23" s="112">
        <v>2.2000000000000002</v>
      </c>
      <c r="O23" s="112">
        <v>0</v>
      </c>
      <c r="P23" s="112">
        <v>0.25</v>
      </c>
      <c r="Q23" s="112">
        <v>4.66</v>
      </c>
    </row>
    <row r="24" spans="1:17" customFormat="1">
      <c r="A24" s="80">
        <v>45547.166666666664</v>
      </c>
      <c r="B24" s="112">
        <v>9.31</v>
      </c>
      <c r="C24" s="112">
        <v>4.08</v>
      </c>
      <c r="D24" s="112">
        <v>14.05</v>
      </c>
      <c r="E24" s="112">
        <v>9.06</v>
      </c>
      <c r="F24" s="112">
        <v>2.4300000000000002</v>
      </c>
      <c r="G24" s="112">
        <v>18.79</v>
      </c>
      <c r="H24" s="112">
        <v>3.53</v>
      </c>
      <c r="I24" s="112">
        <v>2.88</v>
      </c>
      <c r="J24" s="112">
        <v>0.28000000000000003</v>
      </c>
      <c r="K24" s="112">
        <v>264.06</v>
      </c>
      <c r="L24" s="112">
        <v>25.28</v>
      </c>
      <c r="M24" s="112">
        <v>95.08</v>
      </c>
      <c r="N24" s="112">
        <v>2.1</v>
      </c>
      <c r="O24" s="112">
        <v>0</v>
      </c>
      <c r="P24" s="112">
        <v>0.25</v>
      </c>
      <c r="Q24" s="112">
        <v>4.66</v>
      </c>
    </row>
    <row r="25" spans="1:17" customFormat="1">
      <c r="A25" s="80">
        <v>45547.177083333336</v>
      </c>
      <c r="B25" s="112">
        <v>9.31</v>
      </c>
      <c r="C25" s="112">
        <v>4.08</v>
      </c>
      <c r="D25" s="112">
        <v>14.04</v>
      </c>
      <c r="E25" s="112">
        <v>9.17</v>
      </c>
      <c r="F25" s="112">
        <v>2.2799999999999998</v>
      </c>
      <c r="G25" s="112">
        <v>16.45</v>
      </c>
      <c r="H25" s="112">
        <v>3.21</v>
      </c>
      <c r="I25" s="112">
        <v>2.99</v>
      </c>
      <c r="J25" s="112">
        <v>0.18</v>
      </c>
      <c r="K25" s="112">
        <v>251.52</v>
      </c>
      <c r="L25" s="112">
        <v>25.41</v>
      </c>
      <c r="M25" s="112">
        <v>94.11</v>
      </c>
      <c r="N25" s="112">
        <v>2.2000000000000002</v>
      </c>
      <c r="O25" s="112">
        <v>0</v>
      </c>
      <c r="P25" s="112">
        <v>0.26</v>
      </c>
      <c r="Q25" s="112">
        <v>4.6500000000000004</v>
      </c>
    </row>
    <row r="26" spans="1:17" customFormat="1">
      <c r="A26" s="80">
        <v>45547.1875</v>
      </c>
      <c r="B26" s="112">
        <v>9.31</v>
      </c>
      <c r="C26" s="112">
        <v>4.0599999999999996</v>
      </c>
      <c r="D26" s="112">
        <v>14.04</v>
      </c>
      <c r="E26" s="112">
        <v>9.6199999999999992</v>
      </c>
      <c r="F26" s="112">
        <v>2.14</v>
      </c>
      <c r="G26" s="112">
        <v>16.45</v>
      </c>
      <c r="H26" s="112">
        <v>3.21</v>
      </c>
      <c r="I26" s="112">
        <v>2.81</v>
      </c>
      <c r="J26" s="112">
        <v>0.23</v>
      </c>
      <c r="K26" s="112">
        <v>262.51</v>
      </c>
      <c r="L26" s="112">
        <v>25.35</v>
      </c>
      <c r="M26" s="112">
        <v>93.79</v>
      </c>
      <c r="N26" s="112">
        <v>2.1</v>
      </c>
      <c r="O26" s="112">
        <v>0</v>
      </c>
      <c r="P26" s="112">
        <v>0.25</v>
      </c>
      <c r="Q26" s="112">
        <v>4.66</v>
      </c>
    </row>
    <row r="27" spans="1:17" customFormat="1">
      <c r="A27" s="80">
        <v>45547.197916666664</v>
      </c>
      <c r="B27" s="112">
        <v>9.2899999999999991</v>
      </c>
      <c r="C27" s="112">
        <v>4.08</v>
      </c>
      <c r="D27" s="112">
        <v>14.04</v>
      </c>
      <c r="E27" s="112">
        <v>9.59</v>
      </c>
      <c r="F27" s="112">
        <v>2.17</v>
      </c>
      <c r="G27" s="112">
        <v>16.45</v>
      </c>
      <c r="H27" s="112">
        <v>3.21</v>
      </c>
      <c r="I27" s="112">
        <v>2.86</v>
      </c>
      <c r="J27" s="112">
        <v>0.26</v>
      </c>
      <c r="K27" s="112">
        <v>265.42</v>
      </c>
      <c r="L27" s="112">
        <v>25.35</v>
      </c>
      <c r="M27" s="112">
        <v>93.36</v>
      </c>
      <c r="N27" s="112">
        <v>2.2999999999999998</v>
      </c>
      <c r="O27" s="112">
        <v>0</v>
      </c>
      <c r="P27" s="112">
        <v>0.26</v>
      </c>
      <c r="Q27" s="112">
        <v>4.6500000000000004</v>
      </c>
    </row>
    <row r="28" spans="1:17" customFormat="1">
      <c r="A28" s="80">
        <v>45547.208333333336</v>
      </c>
      <c r="B28" s="112">
        <v>9.3000000000000007</v>
      </c>
      <c r="C28" s="112">
        <v>4.08</v>
      </c>
      <c r="D28" s="112">
        <v>14.04</v>
      </c>
      <c r="E28" s="112">
        <v>10.130000000000001</v>
      </c>
      <c r="F28" s="112">
        <v>1.63</v>
      </c>
      <c r="G28" s="112">
        <v>15.21</v>
      </c>
      <c r="H28" s="112">
        <v>2.94</v>
      </c>
      <c r="I28" s="112">
        <v>2.82</v>
      </c>
      <c r="J28" s="112">
        <v>0.38</v>
      </c>
      <c r="K28" s="112">
        <v>272.58999999999997</v>
      </c>
      <c r="L28" s="112">
        <v>25.25</v>
      </c>
      <c r="M28" s="112">
        <v>93.36</v>
      </c>
      <c r="N28" s="112">
        <v>2.2000000000000002</v>
      </c>
      <c r="O28" s="112">
        <v>0</v>
      </c>
      <c r="P28" s="112">
        <v>0.26</v>
      </c>
      <c r="Q28" s="112">
        <v>4.6500000000000004</v>
      </c>
    </row>
    <row r="29" spans="1:17" customFormat="1">
      <c r="A29" s="80">
        <v>45547.21875</v>
      </c>
      <c r="B29" s="112">
        <v>9.31</v>
      </c>
      <c r="C29" s="112">
        <v>4.0599999999999996</v>
      </c>
      <c r="D29" s="112">
        <v>14.04</v>
      </c>
      <c r="E29" s="112">
        <v>9.91</v>
      </c>
      <c r="F29" s="112">
        <v>2.0699999999999998</v>
      </c>
      <c r="G29" s="112">
        <v>11.58</v>
      </c>
      <c r="H29" s="112">
        <v>2.44</v>
      </c>
      <c r="I29" s="112">
        <v>2.85</v>
      </c>
      <c r="J29" s="112">
        <v>0.43</v>
      </c>
      <c r="K29" s="112">
        <v>269.56</v>
      </c>
      <c r="L29" s="112">
        <v>25.2</v>
      </c>
      <c r="M29" s="112">
        <v>93.36</v>
      </c>
      <c r="N29" s="112">
        <v>2.2999999999999998</v>
      </c>
      <c r="O29" s="112">
        <v>0</v>
      </c>
      <c r="P29" s="112">
        <v>0.25</v>
      </c>
      <c r="Q29" s="112">
        <v>4.6500000000000004</v>
      </c>
    </row>
    <row r="30" spans="1:17" customFormat="1">
      <c r="A30" s="80">
        <v>45547.229166666664</v>
      </c>
      <c r="B30" s="112">
        <v>9.33</v>
      </c>
      <c r="C30" s="112">
        <v>4.09</v>
      </c>
      <c r="D30" s="112">
        <v>14.06</v>
      </c>
      <c r="E30" s="112">
        <v>9.4700000000000006</v>
      </c>
      <c r="F30" s="112">
        <v>2.15</v>
      </c>
      <c r="G30" s="112">
        <v>11.58</v>
      </c>
      <c r="H30" s="112">
        <v>2.44</v>
      </c>
      <c r="I30" s="112">
        <v>3.08</v>
      </c>
      <c r="J30" s="112">
        <v>0.3</v>
      </c>
      <c r="K30" s="112">
        <v>267.36</v>
      </c>
      <c r="L30" s="112">
        <v>25.13</v>
      </c>
      <c r="M30" s="112">
        <v>93.67</v>
      </c>
      <c r="N30" s="112">
        <v>2.2999999999999998</v>
      </c>
      <c r="O30" s="112">
        <v>0</v>
      </c>
      <c r="P30" s="112">
        <v>0.25</v>
      </c>
      <c r="Q30" s="112">
        <v>4.66</v>
      </c>
    </row>
    <row r="31" spans="1:17" customFormat="1">
      <c r="A31" s="80">
        <v>45547.239583333336</v>
      </c>
      <c r="B31" s="112">
        <v>9.33</v>
      </c>
      <c r="C31" s="112">
        <v>4.0999999999999996</v>
      </c>
      <c r="D31" s="112">
        <v>14.08</v>
      </c>
      <c r="E31" s="112">
        <v>9.07</v>
      </c>
      <c r="F31" s="112">
        <v>2.58</v>
      </c>
      <c r="G31" s="112">
        <v>11.58</v>
      </c>
      <c r="H31" s="112">
        <v>2.44</v>
      </c>
      <c r="I31" s="112">
        <v>3.13</v>
      </c>
      <c r="J31" s="112">
        <v>0.36</v>
      </c>
      <c r="K31" s="112">
        <v>270.36</v>
      </c>
      <c r="L31" s="112">
        <v>25.11</v>
      </c>
      <c r="M31" s="112">
        <v>93.99</v>
      </c>
      <c r="N31" s="112">
        <v>4</v>
      </c>
      <c r="O31" s="112">
        <v>0</v>
      </c>
      <c r="P31" s="112">
        <v>0.25</v>
      </c>
      <c r="Q31" s="112">
        <v>4.6500000000000004</v>
      </c>
    </row>
    <row r="32" spans="1:17" customFormat="1">
      <c r="A32" s="80">
        <v>45547.25</v>
      </c>
      <c r="B32" s="112">
        <v>9.35</v>
      </c>
      <c r="C32" s="112">
        <v>4.09</v>
      </c>
      <c r="D32" s="112">
        <v>14.09</v>
      </c>
      <c r="E32" s="112">
        <v>8.06</v>
      </c>
      <c r="F32" s="112">
        <v>2.83</v>
      </c>
      <c r="G32" s="112">
        <v>12.78</v>
      </c>
      <c r="H32" s="112">
        <v>2.25</v>
      </c>
      <c r="I32" s="112">
        <v>3.15</v>
      </c>
      <c r="J32" s="112">
        <v>0.19</v>
      </c>
      <c r="K32" s="112">
        <v>265.67</v>
      </c>
      <c r="L32" s="112">
        <v>25.1</v>
      </c>
      <c r="M32" s="112">
        <v>94.39</v>
      </c>
      <c r="N32" s="112">
        <v>10.4</v>
      </c>
      <c r="O32" s="112">
        <v>0</v>
      </c>
      <c r="P32" s="112">
        <v>0.24</v>
      </c>
      <c r="Q32" s="112">
        <v>4.6399999999999997</v>
      </c>
    </row>
    <row r="33" spans="1:17" customFormat="1">
      <c r="A33" s="80">
        <v>45547.260416666664</v>
      </c>
      <c r="B33" s="112">
        <v>9.3800000000000008</v>
      </c>
      <c r="C33" s="112">
        <v>4.07</v>
      </c>
      <c r="D33" s="112">
        <v>14.1</v>
      </c>
      <c r="E33" s="112">
        <v>8.14</v>
      </c>
      <c r="F33" s="112">
        <v>2.94</v>
      </c>
      <c r="G33" s="112">
        <v>16.29</v>
      </c>
      <c r="H33" s="112">
        <v>1.86</v>
      </c>
      <c r="I33" s="112">
        <v>3.13</v>
      </c>
      <c r="J33" s="112">
        <v>0.24</v>
      </c>
      <c r="K33" s="112">
        <v>267.86</v>
      </c>
      <c r="L33" s="112">
        <v>25.11</v>
      </c>
      <c r="M33" s="112">
        <v>95.05</v>
      </c>
      <c r="N33" s="112">
        <v>19.3</v>
      </c>
      <c r="O33" s="112">
        <v>0</v>
      </c>
      <c r="P33" s="112">
        <v>0.23</v>
      </c>
      <c r="Q33" s="112">
        <v>4.6500000000000004</v>
      </c>
    </row>
    <row r="34" spans="1:17" customFormat="1">
      <c r="A34" s="80">
        <v>45547.270833333336</v>
      </c>
      <c r="B34" s="112">
        <v>9.4</v>
      </c>
      <c r="C34" s="112">
        <v>4.05</v>
      </c>
      <c r="D34" s="112">
        <v>14.1</v>
      </c>
      <c r="E34" s="112">
        <v>7.8</v>
      </c>
      <c r="F34" s="112">
        <v>3.13</v>
      </c>
      <c r="G34" s="112">
        <v>16.29</v>
      </c>
      <c r="H34" s="112">
        <v>1.86</v>
      </c>
      <c r="I34" s="112">
        <v>2.9</v>
      </c>
      <c r="J34" s="112">
        <v>0.3</v>
      </c>
      <c r="K34" s="112">
        <v>265.58</v>
      </c>
      <c r="L34" s="112">
        <v>25.3</v>
      </c>
      <c r="M34" s="112">
        <v>94.41</v>
      </c>
      <c r="N34" s="112">
        <v>24.2</v>
      </c>
      <c r="O34" s="112">
        <v>0</v>
      </c>
      <c r="P34" s="112">
        <v>0.23</v>
      </c>
      <c r="Q34" s="112">
        <v>4.6500000000000004</v>
      </c>
    </row>
    <row r="35" spans="1:17" customFormat="1">
      <c r="A35" s="80">
        <v>45547.28125</v>
      </c>
      <c r="B35" s="112">
        <v>9.4</v>
      </c>
      <c r="C35" s="112">
        <v>4.05</v>
      </c>
      <c r="D35" s="112">
        <v>14.1</v>
      </c>
      <c r="E35" s="112">
        <v>7.62</v>
      </c>
      <c r="F35" s="112">
        <v>3.32</v>
      </c>
      <c r="G35" s="112">
        <v>16.29</v>
      </c>
      <c r="H35" s="112">
        <v>1.86</v>
      </c>
      <c r="I35" s="112">
        <v>3.14</v>
      </c>
      <c r="J35" s="112">
        <v>0.28999999999999998</v>
      </c>
      <c r="K35" s="112">
        <v>270.63</v>
      </c>
      <c r="L35" s="112">
        <v>25.51</v>
      </c>
      <c r="M35" s="112">
        <v>92.95</v>
      </c>
      <c r="N35" s="112">
        <v>29</v>
      </c>
      <c r="O35" s="112">
        <v>0</v>
      </c>
      <c r="P35" s="112">
        <v>0.23</v>
      </c>
      <c r="Q35" s="112">
        <v>4.66</v>
      </c>
    </row>
    <row r="36" spans="1:17" customFormat="1">
      <c r="A36" s="80">
        <v>45547.291666666664</v>
      </c>
      <c r="B36" s="112">
        <v>9.41</v>
      </c>
      <c r="C36" s="112">
        <v>4.03</v>
      </c>
      <c r="D36" s="112">
        <v>14.1</v>
      </c>
      <c r="E36" s="112">
        <v>7.41</v>
      </c>
      <c r="F36" s="112">
        <v>3.9</v>
      </c>
      <c r="G36" s="112">
        <v>15.42</v>
      </c>
      <c r="H36" s="112">
        <v>1.78</v>
      </c>
      <c r="I36" s="112">
        <v>3.13</v>
      </c>
      <c r="J36" s="112">
        <v>0.59</v>
      </c>
      <c r="K36" s="112">
        <v>271.83</v>
      </c>
      <c r="L36" s="112">
        <v>25.72</v>
      </c>
      <c r="M36" s="112">
        <v>91.49</v>
      </c>
      <c r="N36" s="112">
        <v>42.8</v>
      </c>
      <c r="O36" s="112">
        <v>0</v>
      </c>
      <c r="P36" s="112">
        <v>0.22</v>
      </c>
      <c r="Q36" s="112">
        <v>4.6500000000000004</v>
      </c>
    </row>
    <row r="37" spans="1:17" customFormat="1">
      <c r="A37" s="80">
        <v>45547.302083333336</v>
      </c>
      <c r="B37" s="112">
        <v>9.3800000000000008</v>
      </c>
      <c r="C37" s="112">
        <v>4.07</v>
      </c>
      <c r="D37" s="112">
        <v>14.1</v>
      </c>
      <c r="E37" s="112">
        <v>7.69</v>
      </c>
      <c r="F37" s="112">
        <v>3.66</v>
      </c>
      <c r="G37" s="112">
        <v>13.05</v>
      </c>
      <c r="H37" s="112">
        <v>1.61</v>
      </c>
      <c r="I37" s="112">
        <v>3.08</v>
      </c>
      <c r="J37" s="112">
        <v>0.56999999999999995</v>
      </c>
      <c r="K37" s="112">
        <v>271.32</v>
      </c>
      <c r="L37" s="112">
        <v>25.99</v>
      </c>
      <c r="M37" s="112">
        <v>90.02</v>
      </c>
      <c r="N37" s="112">
        <v>57.4</v>
      </c>
      <c r="O37" s="112">
        <v>0</v>
      </c>
      <c r="P37" s="112">
        <v>0.22</v>
      </c>
      <c r="Q37" s="112">
        <v>4.6500000000000004</v>
      </c>
    </row>
    <row r="38" spans="1:17" customFormat="1">
      <c r="A38" s="80">
        <v>45547.3125</v>
      </c>
      <c r="B38" s="112">
        <v>9.36</v>
      </c>
      <c r="C38" s="112">
        <v>4.1100000000000003</v>
      </c>
      <c r="D38" s="112">
        <v>14.1</v>
      </c>
      <c r="E38" s="112">
        <v>7.26</v>
      </c>
      <c r="F38" s="112">
        <v>3.81</v>
      </c>
      <c r="G38" s="112">
        <v>13.05</v>
      </c>
      <c r="H38" s="112">
        <v>1.61</v>
      </c>
      <c r="I38" s="112">
        <v>3.05</v>
      </c>
      <c r="J38" s="112">
        <v>0.7</v>
      </c>
      <c r="K38" s="112">
        <v>274.60000000000002</v>
      </c>
      <c r="L38" s="112">
        <v>26.29</v>
      </c>
      <c r="M38" s="112">
        <v>88.61</v>
      </c>
      <c r="N38" s="112">
        <v>79.3</v>
      </c>
      <c r="O38" s="112">
        <v>0</v>
      </c>
      <c r="P38" s="112">
        <v>0.21</v>
      </c>
      <c r="Q38" s="112">
        <v>4.66</v>
      </c>
    </row>
    <row r="39" spans="1:17" customFormat="1">
      <c r="A39" s="80">
        <v>45547.322916666664</v>
      </c>
      <c r="B39" s="112">
        <v>9.34</v>
      </c>
      <c r="C39" s="112">
        <v>4.1100000000000003</v>
      </c>
      <c r="D39" s="112">
        <v>14.09</v>
      </c>
      <c r="E39" s="112">
        <v>7.45</v>
      </c>
      <c r="F39" s="112">
        <v>4.17</v>
      </c>
      <c r="G39" s="112">
        <v>13.05</v>
      </c>
      <c r="H39" s="112">
        <v>1.61</v>
      </c>
      <c r="I39" s="112">
        <v>3.11</v>
      </c>
      <c r="J39" s="112">
        <v>0.79</v>
      </c>
      <c r="K39" s="112">
        <v>273.3</v>
      </c>
      <c r="L39" s="112">
        <v>26.78</v>
      </c>
      <c r="M39" s="112">
        <v>86.93</v>
      </c>
      <c r="N39" s="112">
        <v>107.9</v>
      </c>
      <c r="O39" s="112">
        <v>0</v>
      </c>
      <c r="P39" s="112">
        <v>0.22</v>
      </c>
      <c r="Q39" s="112">
        <v>4.6399999999999997</v>
      </c>
    </row>
    <row r="40" spans="1:17" customFormat="1">
      <c r="A40" s="80">
        <v>45547.333333333336</v>
      </c>
      <c r="B40" s="112">
        <v>9.34</v>
      </c>
      <c r="C40" s="112">
        <v>4.08</v>
      </c>
      <c r="D40" s="112">
        <v>14.07</v>
      </c>
      <c r="E40" s="112">
        <v>7.39</v>
      </c>
      <c r="F40" s="112">
        <v>4.22</v>
      </c>
      <c r="G40" s="112">
        <v>12.71</v>
      </c>
      <c r="H40" s="112">
        <v>1.56</v>
      </c>
      <c r="I40" s="112">
        <v>3.11</v>
      </c>
      <c r="J40" s="112">
        <v>0.76</v>
      </c>
      <c r="K40" s="112">
        <v>274.95999999999998</v>
      </c>
      <c r="L40" s="112">
        <v>27.41</v>
      </c>
      <c r="M40" s="112">
        <v>85.14</v>
      </c>
      <c r="N40" s="112">
        <v>187.7</v>
      </c>
      <c r="O40" s="112">
        <v>0</v>
      </c>
      <c r="P40" s="112">
        <v>0.22</v>
      </c>
      <c r="Q40" s="112">
        <v>4.66</v>
      </c>
    </row>
    <row r="41" spans="1:17" customFormat="1">
      <c r="A41" s="80">
        <v>45547.34375</v>
      </c>
      <c r="B41" s="112">
        <v>9.34</v>
      </c>
      <c r="C41" s="112">
        <v>4.09</v>
      </c>
      <c r="D41" s="112">
        <v>14.08</v>
      </c>
      <c r="E41" s="112">
        <v>6.95</v>
      </c>
      <c r="F41" s="112">
        <v>4.67</v>
      </c>
      <c r="G41" s="112">
        <v>11.72</v>
      </c>
      <c r="H41" s="112">
        <v>1.35</v>
      </c>
      <c r="I41" s="112">
        <v>3.14</v>
      </c>
      <c r="J41" s="112">
        <v>0.98</v>
      </c>
      <c r="K41" s="112">
        <v>273.72000000000003</v>
      </c>
      <c r="L41" s="112">
        <v>27.83</v>
      </c>
      <c r="M41" s="112">
        <v>83.75</v>
      </c>
      <c r="N41" s="112">
        <v>182.7</v>
      </c>
      <c r="O41" s="112">
        <v>0</v>
      </c>
      <c r="P41" s="112">
        <v>0.21</v>
      </c>
      <c r="Q41" s="112">
        <v>4.6500000000000004</v>
      </c>
    </row>
    <row r="42" spans="1:17" customFormat="1">
      <c r="A42" s="80">
        <v>45547.354166666664</v>
      </c>
      <c r="B42" s="112">
        <v>9.33</v>
      </c>
      <c r="C42" s="112">
        <v>4.08</v>
      </c>
      <c r="D42" s="112">
        <v>14.06</v>
      </c>
      <c r="E42" s="112">
        <v>7.67</v>
      </c>
      <c r="F42" s="112">
        <v>4.12</v>
      </c>
      <c r="G42" s="112">
        <v>11.72</v>
      </c>
      <c r="H42" s="112">
        <v>1.35</v>
      </c>
      <c r="I42" s="112">
        <v>2.96</v>
      </c>
      <c r="J42" s="112">
        <v>1.4</v>
      </c>
      <c r="K42" s="112">
        <v>278.23</v>
      </c>
      <c r="L42" s="112">
        <v>27.85</v>
      </c>
      <c r="M42" s="112">
        <v>81.59</v>
      </c>
      <c r="N42" s="112">
        <v>165.2</v>
      </c>
      <c r="O42" s="112">
        <v>0</v>
      </c>
      <c r="P42" s="112">
        <v>0.21</v>
      </c>
      <c r="Q42" s="112">
        <v>4.6500000000000004</v>
      </c>
    </row>
    <row r="43" spans="1:17" customFormat="1">
      <c r="A43" s="80">
        <v>45547.364583333336</v>
      </c>
      <c r="B43" s="112">
        <v>9.32</v>
      </c>
      <c r="C43" s="112">
        <v>4.03</v>
      </c>
      <c r="D43" s="112">
        <v>14.03</v>
      </c>
      <c r="E43" s="112">
        <v>7.77</v>
      </c>
      <c r="F43" s="112">
        <v>4.57</v>
      </c>
      <c r="G43" s="112">
        <v>11.72</v>
      </c>
      <c r="H43" s="112">
        <v>1.35</v>
      </c>
      <c r="I43" s="112">
        <v>3.13</v>
      </c>
      <c r="J43" s="112">
        <v>1.22</v>
      </c>
      <c r="K43" s="112">
        <v>276.64999999999998</v>
      </c>
      <c r="L43" s="112">
        <v>27.98</v>
      </c>
      <c r="M43" s="112">
        <v>81.209999999999994</v>
      </c>
      <c r="N43" s="112">
        <v>245.4</v>
      </c>
      <c r="O43" s="112">
        <v>0</v>
      </c>
      <c r="P43" s="112">
        <v>0.22</v>
      </c>
      <c r="Q43" s="112">
        <v>4.66</v>
      </c>
    </row>
    <row r="44" spans="1:17" customFormat="1">
      <c r="A44" s="80">
        <v>45547.375</v>
      </c>
      <c r="B44" s="112">
        <v>9.31</v>
      </c>
      <c r="C44" s="112">
        <v>4.05</v>
      </c>
      <c r="D44" s="112">
        <v>14.03</v>
      </c>
      <c r="E44" s="112">
        <v>7.27</v>
      </c>
      <c r="F44" s="112">
        <v>5.18</v>
      </c>
      <c r="G44" s="112">
        <v>10.89</v>
      </c>
      <c r="H44" s="112">
        <v>1.38</v>
      </c>
      <c r="I44" s="112">
        <v>3.02</v>
      </c>
      <c r="J44" s="112">
        <v>1.1000000000000001</v>
      </c>
      <c r="K44" s="112">
        <v>278.04000000000002</v>
      </c>
      <c r="L44" s="112">
        <v>28.43</v>
      </c>
      <c r="M44" s="112">
        <v>79.69</v>
      </c>
      <c r="N44" s="112">
        <v>351.5</v>
      </c>
      <c r="O44" s="112">
        <v>0</v>
      </c>
      <c r="P44" s="112">
        <v>0.22</v>
      </c>
      <c r="Q44" s="112">
        <v>4.6500000000000004</v>
      </c>
    </row>
    <row r="45" spans="1:17" customFormat="1">
      <c r="A45" s="80">
        <v>45547.385416666664</v>
      </c>
      <c r="B45" s="112">
        <v>9.3000000000000007</v>
      </c>
      <c r="C45" s="112">
        <v>4.0599999999999996</v>
      </c>
      <c r="D45" s="112">
        <v>14.03</v>
      </c>
      <c r="E45" s="112">
        <v>7.49</v>
      </c>
      <c r="F45" s="112">
        <v>5.5</v>
      </c>
      <c r="G45" s="112">
        <v>8.59</v>
      </c>
      <c r="H45" s="112">
        <v>1.45</v>
      </c>
      <c r="I45" s="112">
        <v>2.95</v>
      </c>
      <c r="J45" s="112">
        <v>1.04</v>
      </c>
      <c r="K45" s="112">
        <v>276.38</v>
      </c>
      <c r="L45" s="112">
        <v>29.02</v>
      </c>
      <c r="M45" s="112">
        <v>78</v>
      </c>
      <c r="N45" s="112">
        <v>478.2</v>
      </c>
      <c r="O45" s="112">
        <v>0</v>
      </c>
      <c r="P45" s="112">
        <v>0.22</v>
      </c>
      <c r="Q45" s="112">
        <v>4.6399999999999997</v>
      </c>
    </row>
    <row r="46" spans="1:17" customFormat="1">
      <c r="A46" s="80">
        <v>45547.395833333336</v>
      </c>
      <c r="B46" s="112">
        <v>9.31</v>
      </c>
      <c r="C46" s="112">
        <v>4.05</v>
      </c>
      <c r="D46" s="112">
        <v>14.03</v>
      </c>
      <c r="E46" s="112">
        <v>7.27</v>
      </c>
      <c r="F46" s="112">
        <v>4.97</v>
      </c>
      <c r="G46" s="112">
        <v>8.59</v>
      </c>
      <c r="H46" s="112">
        <v>1.45</v>
      </c>
      <c r="I46" s="112">
        <v>2.91</v>
      </c>
      <c r="J46" s="112">
        <v>1.1100000000000001</v>
      </c>
      <c r="K46" s="112">
        <v>278.16000000000003</v>
      </c>
      <c r="L46" s="112">
        <v>29.47</v>
      </c>
      <c r="M46" s="112">
        <v>75.87</v>
      </c>
      <c r="N46" s="112">
        <v>576.20000000000005</v>
      </c>
      <c r="O46" s="112">
        <v>0</v>
      </c>
      <c r="P46" s="112">
        <v>0.23</v>
      </c>
      <c r="Q46" s="112">
        <v>4.66</v>
      </c>
    </row>
    <row r="47" spans="1:17" customFormat="1">
      <c r="A47" s="80">
        <v>45547.40625</v>
      </c>
      <c r="B47" s="112">
        <v>9.33</v>
      </c>
      <c r="C47" s="112">
        <v>4.07</v>
      </c>
      <c r="D47" s="112">
        <v>14.06</v>
      </c>
      <c r="E47" s="112">
        <v>6.8</v>
      </c>
      <c r="F47" s="112">
        <v>6.16</v>
      </c>
      <c r="G47" s="112">
        <v>8.59</v>
      </c>
      <c r="H47" s="112">
        <v>1.45</v>
      </c>
      <c r="I47" s="112">
        <v>3.01</v>
      </c>
      <c r="J47" s="112">
        <v>1.05</v>
      </c>
      <c r="K47" s="112">
        <v>275.81</v>
      </c>
      <c r="L47" s="112">
        <v>29.9</v>
      </c>
      <c r="M47" s="112">
        <v>74.5</v>
      </c>
      <c r="N47" s="112">
        <v>591.79999999999995</v>
      </c>
      <c r="O47" s="112">
        <v>0</v>
      </c>
      <c r="P47" s="112">
        <v>0.25</v>
      </c>
      <c r="Q47" s="112">
        <v>4.66</v>
      </c>
    </row>
    <row r="48" spans="1:17" customFormat="1">
      <c r="A48" s="80">
        <v>45547.416666666664</v>
      </c>
      <c r="B48" s="112">
        <v>9.34</v>
      </c>
      <c r="C48" s="112">
        <v>4.08</v>
      </c>
      <c r="D48" s="112">
        <v>14.07</v>
      </c>
      <c r="E48" s="112">
        <v>7.47</v>
      </c>
      <c r="F48" s="112">
        <v>5.73</v>
      </c>
      <c r="G48" s="112">
        <v>10.84</v>
      </c>
      <c r="H48" s="112">
        <v>1.49</v>
      </c>
      <c r="I48" s="112">
        <v>3.05</v>
      </c>
      <c r="J48" s="112">
        <v>1.1100000000000001</v>
      </c>
      <c r="K48" s="112">
        <v>274.91000000000003</v>
      </c>
      <c r="L48" s="112">
        <v>30.23</v>
      </c>
      <c r="M48" s="112">
        <v>73.34</v>
      </c>
      <c r="N48" s="112">
        <v>447.5</v>
      </c>
      <c r="O48" s="112">
        <v>0</v>
      </c>
      <c r="P48" s="112">
        <v>0.25</v>
      </c>
      <c r="Q48" s="112">
        <v>4.6500000000000004</v>
      </c>
    </row>
    <row r="49" spans="1:17" customFormat="1">
      <c r="A49" s="80">
        <v>45547.427083333336</v>
      </c>
      <c r="B49" s="112">
        <v>9.34</v>
      </c>
      <c r="C49" s="112">
        <v>4.04</v>
      </c>
      <c r="D49" s="112">
        <v>14.05</v>
      </c>
      <c r="E49" s="112">
        <v>7.38</v>
      </c>
      <c r="F49" s="112">
        <v>6.63</v>
      </c>
      <c r="G49" s="112">
        <v>17.05</v>
      </c>
      <c r="H49" s="112">
        <v>1.56</v>
      </c>
      <c r="I49" s="112">
        <v>2.96</v>
      </c>
      <c r="J49" s="112">
        <v>1.1399999999999999</v>
      </c>
      <c r="K49" s="112">
        <v>274.93</v>
      </c>
      <c r="L49" s="112">
        <v>30.28</v>
      </c>
      <c r="M49" s="112">
        <v>72.63</v>
      </c>
      <c r="N49" s="112">
        <v>274.7</v>
      </c>
      <c r="O49" s="112">
        <v>0</v>
      </c>
      <c r="P49" s="112">
        <v>0.24</v>
      </c>
      <c r="Q49" s="112">
        <v>4.6500000000000004</v>
      </c>
    </row>
    <row r="50" spans="1:17" customFormat="1">
      <c r="A50" s="80">
        <v>45547.4375</v>
      </c>
      <c r="B50" s="112">
        <v>9.32</v>
      </c>
      <c r="C50" s="112">
        <v>4.07</v>
      </c>
      <c r="D50" s="112">
        <v>14.05</v>
      </c>
      <c r="E50" s="112">
        <v>9.25</v>
      </c>
      <c r="F50" s="112">
        <v>6.17</v>
      </c>
      <c r="G50" s="112">
        <v>17.05</v>
      </c>
      <c r="H50" s="112">
        <v>1.56</v>
      </c>
      <c r="I50" s="112">
        <v>2.92</v>
      </c>
      <c r="J50" s="112">
        <v>1.33</v>
      </c>
      <c r="K50" s="112">
        <v>287.54000000000002</v>
      </c>
      <c r="L50" s="112">
        <v>30.22</v>
      </c>
      <c r="M50" s="112">
        <v>69.28</v>
      </c>
      <c r="N50" s="112">
        <v>167.5</v>
      </c>
      <c r="O50" s="112">
        <v>0</v>
      </c>
      <c r="P50" s="112">
        <v>0.25</v>
      </c>
      <c r="Q50" s="112">
        <v>4.6500000000000004</v>
      </c>
    </row>
    <row r="51" spans="1:17" customFormat="1">
      <c r="A51" s="80">
        <v>45547.447916666664</v>
      </c>
      <c r="B51" s="112">
        <v>9.31</v>
      </c>
      <c r="C51" s="112">
        <v>4.04</v>
      </c>
      <c r="D51" s="112">
        <v>14.03</v>
      </c>
      <c r="E51" s="112">
        <v>9.08</v>
      </c>
      <c r="F51" s="112">
        <v>6.23</v>
      </c>
      <c r="G51" s="112">
        <v>17.05</v>
      </c>
      <c r="H51" s="112">
        <v>1.56</v>
      </c>
      <c r="I51" s="112">
        <v>2.95</v>
      </c>
      <c r="J51" s="112">
        <v>0.98</v>
      </c>
      <c r="K51" s="112">
        <v>288.37</v>
      </c>
      <c r="L51" s="112">
        <v>30.03</v>
      </c>
      <c r="M51" s="112">
        <v>70.95</v>
      </c>
      <c r="N51" s="112">
        <v>214.8</v>
      </c>
      <c r="O51" s="112">
        <v>0</v>
      </c>
      <c r="P51" s="112">
        <v>0.26</v>
      </c>
      <c r="Q51" s="112">
        <v>4.66</v>
      </c>
    </row>
    <row r="52" spans="1:17" customFormat="1">
      <c r="A52" s="80">
        <v>45547.458333333336</v>
      </c>
      <c r="B52" s="112">
        <v>9.31</v>
      </c>
      <c r="C52" s="112">
        <v>4.04</v>
      </c>
      <c r="D52" s="112">
        <v>14.02</v>
      </c>
      <c r="E52" s="112">
        <v>9.0299999999999994</v>
      </c>
      <c r="F52" s="112">
        <v>6.36</v>
      </c>
      <c r="G52" s="112">
        <v>17.11</v>
      </c>
      <c r="H52" s="112">
        <v>1.58</v>
      </c>
      <c r="I52" s="112">
        <v>3</v>
      </c>
      <c r="J52" s="112">
        <v>1.21</v>
      </c>
      <c r="K52" s="112">
        <v>274.33999999999997</v>
      </c>
      <c r="L52" s="112">
        <v>30.71</v>
      </c>
      <c r="M52" s="112">
        <v>70.28</v>
      </c>
      <c r="N52" s="112">
        <v>430.7</v>
      </c>
      <c r="O52" s="112">
        <v>0</v>
      </c>
      <c r="P52" s="112">
        <v>0.26</v>
      </c>
      <c r="Q52" s="112">
        <v>4.66</v>
      </c>
    </row>
    <row r="53" spans="1:17" customFormat="1">
      <c r="A53" s="80">
        <v>45547.46875</v>
      </c>
      <c r="B53" s="112">
        <v>9.2899999999999991</v>
      </c>
      <c r="C53" s="112">
        <v>4.07</v>
      </c>
      <c r="D53" s="112">
        <v>14.03</v>
      </c>
      <c r="E53" s="112">
        <v>9.32</v>
      </c>
      <c r="F53" s="112">
        <v>5.61</v>
      </c>
      <c r="G53" s="112">
        <v>17.25</v>
      </c>
      <c r="H53" s="112">
        <v>1.61</v>
      </c>
      <c r="I53" s="112">
        <v>3.04</v>
      </c>
      <c r="J53" s="112">
        <v>1.18</v>
      </c>
      <c r="K53" s="112">
        <v>277.38</v>
      </c>
      <c r="L53" s="112">
        <v>29.83</v>
      </c>
      <c r="M53" s="112">
        <v>71.11</v>
      </c>
      <c r="N53" s="112">
        <v>183.8</v>
      </c>
      <c r="O53" s="112">
        <v>0</v>
      </c>
      <c r="P53" s="112">
        <v>0.26</v>
      </c>
      <c r="Q53" s="112">
        <v>4.6500000000000004</v>
      </c>
    </row>
    <row r="54" spans="1:17" customFormat="1">
      <c r="A54" s="80">
        <v>45547.479166666664</v>
      </c>
      <c r="B54" s="112">
        <v>9.3000000000000007</v>
      </c>
      <c r="C54" s="112">
        <v>4.08</v>
      </c>
      <c r="D54" s="112">
        <v>14.03</v>
      </c>
      <c r="E54" s="112">
        <v>9.85</v>
      </c>
      <c r="F54" s="112">
        <v>6.67</v>
      </c>
      <c r="G54" s="112">
        <v>17.25</v>
      </c>
      <c r="H54" s="112">
        <v>1.61</v>
      </c>
      <c r="I54" s="112">
        <v>3.05</v>
      </c>
      <c r="J54" s="112">
        <v>1.21</v>
      </c>
      <c r="K54" s="112">
        <v>285.76</v>
      </c>
      <c r="L54" s="112">
        <v>30.23</v>
      </c>
      <c r="M54" s="112">
        <v>69.88</v>
      </c>
      <c r="N54" s="112">
        <v>675.1</v>
      </c>
      <c r="O54" s="112">
        <v>0</v>
      </c>
      <c r="P54" s="112">
        <v>0.26</v>
      </c>
      <c r="Q54" s="112">
        <v>4.6500000000000004</v>
      </c>
    </row>
    <row r="55" spans="1:17" customFormat="1">
      <c r="A55" s="80">
        <v>45547.489583333336</v>
      </c>
      <c r="B55" s="112">
        <v>9.33</v>
      </c>
      <c r="C55" s="112">
        <v>4.04</v>
      </c>
      <c r="D55" s="112">
        <v>14.04</v>
      </c>
      <c r="E55" s="112">
        <v>10.57</v>
      </c>
      <c r="F55" s="112">
        <v>7.19</v>
      </c>
      <c r="G55" s="112">
        <v>17.25</v>
      </c>
      <c r="H55" s="112">
        <v>1.61</v>
      </c>
      <c r="I55" s="112">
        <v>3.29</v>
      </c>
      <c r="J55" s="112">
        <v>1.03</v>
      </c>
      <c r="K55" s="112">
        <v>282.25</v>
      </c>
      <c r="L55" s="112">
        <v>31.01</v>
      </c>
      <c r="M55" s="112">
        <v>67.599999999999994</v>
      </c>
      <c r="N55" s="112">
        <v>674.4</v>
      </c>
      <c r="O55" s="112">
        <v>0</v>
      </c>
      <c r="P55" s="112">
        <v>0.27</v>
      </c>
      <c r="Q55" s="112">
        <v>4.6500000000000004</v>
      </c>
    </row>
    <row r="56" spans="1:17" customFormat="1">
      <c r="A56" s="80">
        <v>45547.5</v>
      </c>
      <c r="B56" s="112">
        <v>9.33</v>
      </c>
      <c r="C56" s="112">
        <v>4.0599999999999996</v>
      </c>
      <c r="D56" s="112">
        <v>14.05</v>
      </c>
      <c r="E56" s="112">
        <v>10.38</v>
      </c>
      <c r="F56" s="112">
        <v>6.8</v>
      </c>
      <c r="G56" s="112">
        <v>20.03</v>
      </c>
      <c r="H56" s="112">
        <v>2.2599999999999998</v>
      </c>
      <c r="I56" s="112">
        <v>3.33</v>
      </c>
      <c r="J56" s="112">
        <v>1.1299999999999999</v>
      </c>
      <c r="K56" s="112">
        <v>277.27999999999997</v>
      </c>
      <c r="L56" s="112">
        <v>30.94</v>
      </c>
      <c r="M56" s="112">
        <v>69.11</v>
      </c>
      <c r="N56" s="112">
        <v>649.79999999999995</v>
      </c>
      <c r="O56" s="112">
        <v>0</v>
      </c>
      <c r="P56" s="112">
        <v>0.27</v>
      </c>
      <c r="Q56" s="112">
        <v>4.6399999999999997</v>
      </c>
    </row>
    <row r="57" spans="1:17" customFormat="1">
      <c r="A57" s="80">
        <v>45547.510416666664</v>
      </c>
      <c r="B57" s="112">
        <v>9.33</v>
      </c>
      <c r="C57" s="112">
        <v>4.0599999999999996</v>
      </c>
      <c r="D57" s="112">
        <v>14.05</v>
      </c>
      <c r="E57" s="112">
        <v>10.41</v>
      </c>
      <c r="F57" s="112">
        <v>5.58</v>
      </c>
      <c r="G57" s="112">
        <v>27.66</v>
      </c>
      <c r="H57" s="112">
        <v>3.51</v>
      </c>
      <c r="I57" s="112">
        <v>3.38</v>
      </c>
      <c r="J57" s="112">
        <v>1.2</v>
      </c>
      <c r="K57" s="112">
        <v>276.99</v>
      </c>
      <c r="L57" s="112">
        <v>31.3</v>
      </c>
      <c r="M57" s="112">
        <v>67.72</v>
      </c>
      <c r="N57" s="112">
        <v>738.9</v>
      </c>
      <c r="O57" s="112">
        <v>0</v>
      </c>
      <c r="P57" s="112">
        <v>0.26</v>
      </c>
      <c r="Q57" s="112">
        <v>4.67</v>
      </c>
    </row>
    <row r="58" spans="1:17" customFormat="1">
      <c r="A58" s="80">
        <v>45547.520833333336</v>
      </c>
      <c r="B58" s="112">
        <v>9.36</v>
      </c>
      <c r="C58" s="112">
        <v>4.0599999999999996</v>
      </c>
      <c r="D58" s="112">
        <v>14.07</v>
      </c>
      <c r="E58" s="112">
        <v>10.62</v>
      </c>
      <c r="F58" s="112">
        <v>5.26</v>
      </c>
      <c r="G58" s="112">
        <v>27.66</v>
      </c>
      <c r="H58" s="112">
        <v>3.51</v>
      </c>
      <c r="I58" s="112">
        <v>3.28</v>
      </c>
      <c r="J58" s="112">
        <v>0.98</v>
      </c>
      <c r="K58" s="112">
        <v>272.83999999999997</v>
      </c>
      <c r="L58" s="112">
        <v>31.41</v>
      </c>
      <c r="M58" s="112">
        <v>66.66</v>
      </c>
      <c r="N58" s="112">
        <v>758.9</v>
      </c>
      <c r="O58" s="112">
        <v>0</v>
      </c>
      <c r="P58" s="112">
        <v>0.26</v>
      </c>
      <c r="Q58" s="112">
        <v>4.66</v>
      </c>
    </row>
    <row r="59" spans="1:17" customFormat="1">
      <c r="A59" s="80">
        <v>45547.53125</v>
      </c>
      <c r="B59" s="112">
        <v>9.3800000000000008</v>
      </c>
      <c r="C59" s="112">
        <v>4.04</v>
      </c>
      <c r="D59" s="112">
        <v>14.08</v>
      </c>
      <c r="E59" s="112">
        <v>10.65</v>
      </c>
      <c r="F59" s="112">
        <v>5.79</v>
      </c>
      <c r="G59" s="112">
        <v>27.66</v>
      </c>
      <c r="H59" s="112">
        <v>3.51</v>
      </c>
      <c r="I59" s="112">
        <v>3.33</v>
      </c>
      <c r="J59" s="112">
        <v>0.93</v>
      </c>
      <c r="K59" s="112">
        <v>276.51</v>
      </c>
      <c r="L59" s="112">
        <v>31.62</v>
      </c>
      <c r="M59" s="112">
        <v>66.5</v>
      </c>
      <c r="N59" s="112">
        <v>694.5</v>
      </c>
      <c r="O59" s="112">
        <v>0</v>
      </c>
      <c r="P59" s="112">
        <v>0.27</v>
      </c>
      <c r="Q59" s="112">
        <v>4.66</v>
      </c>
    </row>
    <row r="60" spans="1:17" customFormat="1">
      <c r="A60" s="80">
        <v>45547.541666666664</v>
      </c>
      <c r="B60" s="112">
        <v>9.3800000000000008</v>
      </c>
      <c r="C60" s="112">
        <v>4.07</v>
      </c>
      <c r="D60" s="112">
        <v>14.09</v>
      </c>
      <c r="E60" s="151" t="s">
        <v>12</v>
      </c>
      <c r="F60" s="151" t="s">
        <v>12</v>
      </c>
      <c r="G60" s="151" t="s">
        <v>12</v>
      </c>
      <c r="H60" s="151" t="s">
        <v>12</v>
      </c>
      <c r="I60" s="112">
        <v>3.35</v>
      </c>
      <c r="J60" s="112">
        <v>0.99</v>
      </c>
      <c r="K60" s="112">
        <v>274.2</v>
      </c>
      <c r="L60" s="112">
        <v>31.39</v>
      </c>
      <c r="M60" s="112">
        <v>66.989999999999995</v>
      </c>
      <c r="N60" s="112">
        <v>436.7</v>
      </c>
      <c r="O60" s="112">
        <v>0</v>
      </c>
      <c r="P60" s="112">
        <v>0.81</v>
      </c>
      <c r="Q60" s="112">
        <v>4.6500000000000004</v>
      </c>
    </row>
    <row r="61" spans="1:17" customFormat="1">
      <c r="A61" s="80">
        <v>45547.552083333336</v>
      </c>
      <c r="B61" s="112">
        <v>9.3699999999999992</v>
      </c>
      <c r="C61" s="112">
        <v>4.09</v>
      </c>
      <c r="D61" s="112">
        <v>14.1</v>
      </c>
      <c r="E61" s="151" t="s">
        <v>12</v>
      </c>
      <c r="F61" s="151" t="s">
        <v>12</v>
      </c>
      <c r="G61" s="151" t="s">
        <v>12</v>
      </c>
      <c r="H61" s="151" t="s">
        <v>12</v>
      </c>
      <c r="I61" s="112">
        <v>3.31</v>
      </c>
      <c r="J61" s="112">
        <v>0.98</v>
      </c>
      <c r="K61" s="112">
        <v>276.31</v>
      </c>
      <c r="L61" s="112">
        <v>31.06</v>
      </c>
      <c r="M61" s="112">
        <v>67.94</v>
      </c>
      <c r="N61" s="112">
        <v>405.7</v>
      </c>
      <c r="O61" s="112">
        <v>0</v>
      </c>
      <c r="P61" s="151" t="s">
        <v>12</v>
      </c>
      <c r="Q61" s="112">
        <v>4.66</v>
      </c>
    </row>
    <row r="62" spans="1:17" customFormat="1">
      <c r="A62" s="80">
        <v>45547.5625</v>
      </c>
      <c r="B62" s="112">
        <v>9.3699999999999992</v>
      </c>
      <c r="C62" s="112">
        <v>4.0999999999999996</v>
      </c>
      <c r="D62" s="112">
        <v>14.1</v>
      </c>
      <c r="E62" s="151" t="s">
        <v>12</v>
      </c>
      <c r="F62" s="151" t="s">
        <v>12</v>
      </c>
      <c r="G62" s="151" t="s">
        <v>12</v>
      </c>
      <c r="H62" s="151" t="s">
        <v>12</v>
      </c>
      <c r="I62" s="112">
        <v>3.19</v>
      </c>
      <c r="J62" s="112">
        <v>0.96</v>
      </c>
      <c r="K62" s="112">
        <v>278.54000000000002</v>
      </c>
      <c r="L62" s="112">
        <v>31.55</v>
      </c>
      <c r="M62" s="112">
        <v>66.599999999999994</v>
      </c>
      <c r="N62" s="112">
        <v>467.5</v>
      </c>
      <c r="O62" s="112">
        <v>0</v>
      </c>
      <c r="P62" s="151" t="s">
        <v>12</v>
      </c>
      <c r="Q62" s="112">
        <v>4.6500000000000004</v>
      </c>
    </row>
    <row r="63" spans="1:17" customFormat="1">
      <c r="A63" s="80">
        <v>45547.572916666664</v>
      </c>
      <c r="B63" s="112">
        <v>9.3800000000000008</v>
      </c>
      <c r="C63" s="112">
        <v>4.07</v>
      </c>
      <c r="D63" s="112">
        <v>14.1</v>
      </c>
      <c r="E63" s="151" t="s">
        <v>12</v>
      </c>
      <c r="F63" s="151" t="s">
        <v>12</v>
      </c>
      <c r="G63" s="151" t="s">
        <v>12</v>
      </c>
      <c r="H63" s="151" t="s">
        <v>12</v>
      </c>
      <c r="I63" s="112">
        <v>3.31</v>
      </c>
      <c r="J63" s="112">
        <v>0.89</v>
      </c>
      <c r="K63" s="112">
        <v>275.38</v>
      </c>
      <c r="L63" s="112">
        <v>31.39</v>
      </c>
      <c r="M63" s="112">
        <v>67.72</v>
      </c>
      <c r="N63" s="112">
        <v>169.6</v>
      </c>
      <c r="O63" s="112">
        <v>0</v>
      </c>
      <c r="P63" s="112">
        <v>0.11</v>
      </c>
      <c r="Q63" s="112">
        <v>4.63</v>
      </c>
    </row>
    <row r="64" spans="1:17" customFormat="1">
      <c r="A64" s="80">
        <v>45547.583333333336</v>
      </c>
      <c r="B64" s="112">
        <v>9.36</v>
      </c>
      <c r="C64" s="112">
        <v>4.08</v>
      </c>
      <c r="D64" s="112">
        <v>14.09</v>
      </c>
      <c r="E64" s="112">
        <v>8.2799999999999994</v>
      </c>
      <c r="F64" s="112">
        <v>9.5299999999999994</v>
      </c>
      <c r="G64" s="151" t="s">
        <v>12</v>
      </c>
      <c r="H64" s="151" t="s">
        <v>12</v>
      </c>
      <c r="I64" s="112">
        <v>3.28</v>
      </c>
      <c r="J64" s="112">
        <v>0.75</v>
      </c>
      <c r="K64" s="112">
        <v>271.16000000000003</v>
      </c>
      <c r="L64" s="112">
        <v>31.37</v>
      </c>
      <c r="M64" s="112">
        <v>67.489999999999995</v>
      </c>
      <c r="N64" s="112">
        <v>156.9</v>
      </c>
      <c r="O64" s="112">
        <v>0</v>
      </c>
      <c r="P64" s="112">
        <v>0.28000000000000003</v>
      </c>
      <c r="Q64" s="112">
        <v>4.6399999999999997</v>
      </c>
    </row>
    <row r="65" spans="1:17" customFormat="1">
      <c r="A65" s="80">
        <v>45547.59375</v>
      </c>
      <c r="B65" s="112">
        <v>9.39</v>
      </c>
      <c r="C65" s="112">
        <v>4.0199999999999996</v>
      </c>
      <c r="D65" s="112">
        <v>14.08</v>
      </c>
      <c r="E65" s="112">
        <v>9.8000000000000007</v>
      </c>
      <c r="F65" s="112">
        <v>7.81</v>
      </c>
      <c r="G65" s="151" t="s">
        <v>12</v>
      </c>
      <c r="H65" s="151" t="s">
        <v>12</v>
      </c>
      <c r="I65" s="112">
        <v>3.3</v>
      </c>
      <c r="J65" s="112">
        <v>1.1000000000000001</v>
      </c>
      <c r="K65" s="112">
        <v>274.64999999999998</v>
      </c>
      <c r="L65" s="112">
        <v>31.42</v>
      </c>
      <c r="M65" s="112">
        <v>66.25</v>
      </c>
      <c r="N65" s="112">
        <v>285.39999999999998</v>
      </c>
      <c r="O65" s="112">
        <v>0</v>
      </c>
      <c r="P65" s="112">
        <v>0.28000000000000003</v>
      </c>
      <c r="Q65" s="112">
        <v>4.6399999999999997</v>
      </c>
    </row>
    <row r="66" spans="1:17" customFormat="1">
      <c r="A66" s="80">
        <v>45547.604166666664</v>
      </c>
      <c r="B66" s="112">
        <v>9.4</v>
      </c>
      <c r="C66" s="112">
        <v>4.03</v>
      </c>
      <c r="D66" s="112">
        <v>14.1</v>
      </c>
      <c r="E66" s="112">
        <v>10.54</v>
      </c>
      <c r="F66" s="112">
        <v>10.83</v>
      </c>
      <c r="G66" s="112">
        <v>2.41</v>
      </c>
      <c r="H66" s="151" t="s">
        <v>12</v>
      </c>
      <c r="I66" s="112">
        <v>3.27</v>
      </c>
      <c r="J66" s="112">
        <v>1.35</v>
      </c>
      <c r="K66" s="112">
        <v>276.45</v>
      </c>
      <c r="L66" s="112">
        <v>31.14</v>
      </c>
      <c r="M66" s="112">
        <v>65.739999999999995</v>
      </c>
      <c r="N66" s="112">
        <v>349.7</v>
      </c>
      <c r="O66" s="112">
        <v>0</v>
      </c>
      <c r="P66" s="112">
        <v>0.3</v>
      </c>
      <c r="Q66" s="112">
        <v>4.63</v>
      </c>
    </row>
    <row r="67" spans="1:17" customFormat="1">
      <c r="A67" s="80">
        <v>45547.614583333336</v>
      </c>
      <c r="B67" s="112">
        <v>9.5</v>
      </c>
      <c r="C67" s="112">
        <v>4.01</v>
      </c>
      <c r="D67" s="112">
        <v>14.16</v>
      </c>
      <c r="E67" s="112">
        <v>10.039999999999999</v>
      </c>
      <c r="F67" s="112">
        <v>9.5299999999999994</v>
      </c>
      <c r="G67" s="112">
        <v>27.06</v>
      </c>
      <c r="H67" s="151" t="s">
        <v>12</v>
      </c>
      <c r="I67" s="112">
        <v>3.26</v>
      </c>
      <c r="J67" s="112">
        <v>1.05</v>
      </c>
      <c r="K67" s="112">
        <v>276.52999999999997</v>
      </c>
      <c r="L67" s="112">
        <v>31.07</v>
      </c>
      <c r="M67" s="112">
        <v>66.069999999999993</v>
      </c>
      <c r="N67" s="112">
        <v>409.8</v>
      </c>
      <c r="O67" s="112">
        <v>0</v>
      </c>
      <c r="P67" s="112">
        <v>0.28999999999999998</v>
      </c>
      <c r="Q67" s="112">
        <v>4.6500000000000004</v>
      </c>
    </row>
    <row r="68" spans="1:17" customFormat="1">
      <c r="A68" s="80">
        <v>45547.625</v>
      </c>
      <c r="B68" s="112">
        <v>9.4</v>
      </c>
      <c r="C68" s="112">
        <v>4.03</v>
      </c>
      <c r="D68" s="112">
        <v>14.09</v>
      </c>
      <c r="E68" s="112">
        <v>9.5</v>
      </c>
      <c r="F68" s="112">
        <v>7.13</v>
      </c>
      <c r="G68" s="112">
        <v>27.06</v>
      </c>
      <c r="H68" s="151" t="s">
        <v>12</v>
      </c>
      <c r="I68" s="112">
        <v>3.18</v>
      </c>
      <c r="J68" s="112">
        <v>1.29</v>
      </c>
      <c r="K68" s="112">
        <v>273.36</v>
      </c>
      <c r="L68" s="112">
        <v>30.88</v>
      </c>
      <c r="M68" s="112">
        <v>65.92</v>
      </c>
      <c r="N68" s="112">
        <v>346.2</v>
      </c>
      <c r="O68" s="112">
        <v>0</v>
      </c>
      <c r="P68" s="112">
        <v>0.3</v>
      </c>
      <c r="Q68" s="112">
        <v>4.6500000000000004</v>
      </c>
    </row>
    <row r="69" spans="1:17" customFormat="1">
      <c r="A69" s="80">
        <v>45547.635416666664</v>
      </c>
      <c r="B69" s="112">
        <v>9.32</v>
      </c>
      <c r="C69" s="112">
        <v>4.07</v>
      </c>
      <c r="D69" s="112">
        <v>14.05</v>
      </c>
      <c r="E69" s="112">
        <v>9.7899999999999991</v>
      </c>
      <c r="F69" s="112">
        <v>7</v>
      </c>
      <c r="G69" s="112">
        <v>27.06</v>
      </c>
      <c r="H69" s="151" t="s">
        <v>12</v>
      </c>
      <c r="I69" s="112">
        <v>3.24</v>
      </c>
      <c r="J69" s="112">
        <v>1.18</v>
      </c>
      <c r="K69" s="112">
        <v>274.27</v>
      </c>
      <c r="L69" s="112">
        <v>30.96</v>
      </c>
      <c r="M69" s="112">
        <v>65.180000000000007</v>
      </c>
      <c r="N69" s="112">
        <v>214.6</v>
      </c>
      <c r="O69" s="112">
        <v>0</v>
      </c>
      <c r="P69" s="112">
        <v>0.3</v>
      </c>
      <c r="Q69" s="112">
        <v>4.63</v>
      </c>
    </row>
    <row r="70" spans="1:17" customFormat="1">
      <c r="A70" s="80">
        <v>45547.645833333336</v>
      </c>
      <c r="B70" s="112">
        <v>9.2899999999999991</v>
      </c>
      <c r="C70" s="112">
        <v>4.08</v>
      </c>
      <c r="D70" s="112">
        <v>14.04</v>
      </c>
      <c r="E70" s="112">
        <v>9.2799999999999994</v>
      </c>
      <c r="F70" s="112">
        <v>7.67</v>
      </c>
      <c r="G70" s="112">
        <v>26.64</v>
      </c>
      <c r="H70" s="151" t="s">
        <v>12</v>
      </c>
      <c r="I70" s="112">
        <v>3.29</v>
      </c>
      <c r="J70" s="112">
        <v>1.1100000000000001</v>
      </c>
      <c r="K70" s="112">
        <v>277.64</v>
      </c>
      <c r="L70" s="112">
        <v>31.07</v>
      </c>
      <c r="M70" s="112">
        <v>64.7</v>
      </c>
      <c r="N70" s="112">
        <v>425.1</v>
      </c>
      <c r="O70" s="112">
        <v>0</v>
      </c>
      <c r="P70" s="112">
        <v>0.3</v>
      </c>
      <c r="Q70" s="112">
        <v>4.63</v>
      </c>
    </row>
    <row r="71" spans="1:17" customFormat="1">
      <c r="A71" s="80">
        <v>45547.65625</v>
      </c>
      <c r="B71" s="112">
        <v>9.31</v>
      </c>
      <c r="C71" s="112">
        <v>4.09</v>
      </c>
      <c r="D71" s="112">
        <v>14.05</v>
      </c>
      <c r="E71" s="112">
        <v>9.68</v>
      </c>
      <c r="F71" s="112">
        <v>8.17</v>
      </c>
      <c r="G71" s="112">
        <v>22.33</v>
      </c>
      <c r="H71" s="151" t="s">
        <v>12</v>
      </c>
      <c r="I71" s="112">
        <v>3.24</v>
      </c>
      <c r="J71" s="112">
        <v>1.19</v>
      </c>
      <c r="K71" s="112">
        <v>276.77</v>
      </c>
      <c r="L71" s="112">
        <v>31.08</v>
      </c>
      <c r="M71" s="112">
        <v>65.42</v>
      </c>
      <c r="N71" s="112">
        <v>349.9</v>
      </c>
      <c r="O71" s="112">
        <v>0</v>
      </c>
      <c r="P71" s="112">
        <v>0.28999999999999998</v>
      </c>
      <c r="Q71" s="112">
        <v>4.62</v>
      </c>
    </row>
    <row r="72" spans="1:17" customFormat="1">
      <c r="A72" s="80">
        <v>45547.666666666664</v>
      </c>
      <c r="B72" s="112">
        <v>9.34</v>
      </c>
      <c r="C72" s="112">
        <v>4.09</v>
      </c>
      <c r="D72" s="112">
        <v>14.08</v>
      </c>
      <c r="E72" s="112">
        <v>9.3000000000000007</v>
      </c>
      <c r="F72" s="112">
        <v>7.57</v>
      </c>
      <c r="G72" s="112">
        <v>22.33</v>
      </c>
      <c r="H72" s="151" t="s">
        <v>12</v>
      </c>
      <c r="I72" s="112">
        <v>3.19</v>
      </c>
      <c r="J72" s="112">
        <v>1.17</v>
      </c>
      <c r="K72" s="112">
        <v>275.82</v>
      </c>
      <c r="L72" s="112">
        <v>30.94</v>
      </c>
      <c r="M72" s="112">
        <v>65.66</v>
      </c>
      <c r="N72" s="112">
        <v>224.7</v>
      </c>
      <c r="O72" s="112">
        <v>0</v>
      </c>
      <c r="P72" s="112">
        <v>0.28999999999999998</v>
      </c>
      <c r="Q72" s="112">
        <v>4.62</v>
      </c>
    </row>
    <row r="73" spans="1:17" customFormat="1">
      <c r="A73" s="80">
        <v>45547.677083333336</v>
      </c>
      <c r="B73" s="112">
        <v>9.35</v>
      </c>
      <c r="C73" s="112">
        <v>4.09</v>
      </c>
      <c r="D73" s="112">
        <v>14.08</v>
      </c>
      <c r="E73" s="112">
        <v>9.1199999999999992</v>
      </c>
      <c r="F73" s="112">
        <v>6.61</v>
      </c>
      <c r="G73" s="112">
        <v>22.33</v>
      </c>
      <c r="H73" s="151" t="s">
        <v>12</v>
      </c>
      <c r="I73" s="112">
        <v>3.21</v>
      </c>
      <c r="J73" s="112">
        <v>1.08</v>
      </c>
      <c r="K73" s="112">
        <v>274.18</v>
      </c>
      <c r="L73" s="112">
        <v>30.63</v>
      </c>
      <c r="M73" s="112">
        <v>67.27</v>
      </c>
      <c r="N73" s="112">
        <v>82.5</v>
      </c>
      <c r="O73" s="112">
        <v>0</v>
      </c>
      <c r="P73" s="112">
        <v>0.28999999999999998</v>
      </c>
      <c r="Q73" s="112">
        <v>4.63</v>
      </c>
    </row>
    <row r="74" spans="1:17" customFormat="1">
      <c r="A74" s="80">
        <v>45547.6875</v>
      </c>
      <c r="B74" s="112">
        <v>9.34</v>
      </c>
      <c r="C74" s="112">
        <v>4.08</v>
      </c>
      <c r="D74" s="112">
        <v>14.07</v>
      </c>
      <c r="E74" s="112">
        <v>9.4499999999999993</v>
      </c>
      <c r="F74" s="112">
        <v>6.88</v>
      </c>
      <c r="G74" s="112">
        <v>21.75</v>
      </c>
      <c r="H74" s="112">
        <v>0.33</v>
      </c>
      <c r="I74" s="112">
        <v>3.25</v>
      </c>
      <c r="J74" s="112">
        <v>1.04</v>
      </c>
      <c r="K74" s="112">
        <v>275.62</v>
      </c>
      <c r="L74" s="112">
        <v>30.41</v>
      </c>
      <c r="M74" s="112">
        <v>67.84</v>
      </c>
      <c r="N74" s="112">
        <v>64.400000000000006</v>
      </c>
      <c r="O74" s="112">
        <v>0</v>
      </c>
      <c r="P74" s="112">
        <v>0.3</v>
      </c>
      <c r="Q74" s="112">
        <v>4.6399999999999997</v>
      </c>
    </row>
    <row r="75" spans="1:17" customFormat="1">
      <c r="A75" s="80">
        <v>45547.697916666664</v>
      </c>
      <c r="B75" s="112">
        <v>9.32</v>
      </c>
      <c r="C75" s="112">
        <v>4.08</v>
      </c>
      <c r="D75" s="112">
        <v>14.06</v>
      </c>
      <c r="E75" s="112">
        <v>9.56</v>
      </c>
      <c r="F75" s="112">
        <v>7.18</v>
      </c>
      <c r="G75" s="112">
        <v>16.510000000000002</v>
      </c>
      <c r="H75" s="112">
        <v>3.11</v>
      </c>
      <c r="I75" s="112">
        <v>3.28</v>
      </c>
      <c r="J75" s="112">
        <v>0.65</v>
      </c>
      <c r="K75" s="112">
        <v>268.26</v>
      </c>
      <c r="L75" s="112">
        <v>30.1</v>
      </c>
      <c r="M75" s="112">
        <v>70.52</v>
      </c>
      <c r="N75" s="112">
        <v>49.7</v>
      </c>
      <c r="O75" s="112">
        <v>0</v>
      </c>
      <c r="P75" s="112">
        <v>0.28999999999999998</v>
      </c>
      <c r="Q75" s="112">
        <v>4.6399999999999997</v>
      </c>
    </row>
    <row r="76" spans="1:17" customFormat="1">
      <c r="A76" s="80">
        <v>45547.708333333336</v>
      </c>
      <c r="B76" s="112">
        <v>9.31</v>
      </c>
      <c r="C76" s="112">
        <v>4.1100000000000003</v>
      </c>
      <c r="D76" s="112">
        <v>14.06</v>
      </c>
      <c r="E76" s="112">
        <v>9.58</v>
      </c>
      <c r="F76" s="112">
        <v>6.88</v>
      </c>
      <c r="G76" s="112">
        <v>16.510000000000002</v>
      </c>
      <c r="H76" s="112">
        <v>3.11</v>
      </c>
      <c r="I76" s="112">
        <v>3.23</v>
      </c>
      <c r="J76" s="112">
        <v>0.79</v>
      </c>
      <c r="K76" s="112">
        <v>273.61</v>
      </c>
      <c r="L76" s="112">
        <v>29.93</v>
      </c>
      <c r="M76" s="112">
        <v>70.62</v>
      </c>
      <c r="N76" s="112">
        <v>43.3</v>
      </c>
      <c r="O76" s="112">
        <v>0</v>
      </c>
      <c r="P76" s="112">
        <v>0.3</v>
      </c>
      <c r="Q76" s="112">
        <v>4.6500000000000004</v>
      </c>
    </row>
    <row r="77" spans="1:17" customFormat="1">
      <c r="A77" s="80">
        <v>45547.71875</v>
      </c>
      <c r="B77" s="112">
        <v>9.34</v>
      </c>
      <c r="C77" s="112">
        <v>4.08</v>
      </c>
      <c r="D77" s="112">
        <v>14.07</v>
      </c>
      <c r="E77" s="112">
        <v>9.1300000000000008</v>
      </c>
      <c r="F77" s="112">
        <v>6.46</v>
      </c>
      <c r="G77" s="112">
        <v>16.510000000000002</v>
      </c>
      <c r="H77" s="112">
        <v>3.11</v>
      </c>
      <c r="I77" s="112">
        <v>3.25</v>
      </c>
      <c r="J77" s="112">
        <v>0.78</v>
      </c>
      <c r="K77" s="112">
        <v>273.39999999999998</v>
      </c>
      <c r="L77" s="112">
        <v>29.75</v>
      </c>
      <c r="M77" s="112">
        <v>70.25</v>
      </c>
      <c r="N77" s="112">
        <v>22.9</v>
      </c>
      <c r="O77" s="112">
        <v>0</v>
      </c>
      <c r="P77" s="112">
        <v>0.28999999999999998</v>
      </c>
      <c r="Q77" s="112">
        <v>4.6500000000000004</v>
      </c>
    </row>
    <row r="78" spans="1:17" customFormat="1">
      <c r="A78" s="80">
        <v>45547.729166666664</v>
      </c>
      <c r="B78" s="112">
        <v>9.32</v>
      </c>
      <c r="C78" s="112">
        <v>4.0999999999999996</v>
      </c>
      <c r="D78" s="112">
        <v>14.06</v>
      </c>
      <c r="E78" s="112">
        <v>8.57</v>
      </c>
      <c r="F78" s="112">
        <v>7.53</v>
      </c>
      <c r="G78" s="112">
        <v>16.32</v>
      </c>
      <c r="H78" s="112">
        <v>3.09</v>
      </c>
      <c r="I78" s="112">
        <v>3.27</v>
      </c>
      <c r="J78" s="112">
        <v>0.85</v>
      </c>
      <c r="K78" s="112">
        <v>274.63</v>
      </c>
      <c r="L78" s="112">
        <v>29.55</v>
      </c>
      <c r="M78" s="112">
        <v>71.02</v>
      </c>
      <c r="N78" s="112">
        <v>18.7</v>
      </c>
      <c r="O78" s="112">
        <v>0</v>
      </c>
      <c r="P78" s="112">
        <v>0.28999999999999998</v>
      </c>
      <c r="Q78" s="112">
        <v>4.6399999999999997</v>
      </c>
    </row>
    <row r="79" spans="1:17" customFormat="1">
      <c r="A79" s="80">
        <v>45547.739583333336</v>
      </c>
      <c r="B79" s="112">
        <v>9.33</v>
      </c>
      <c r="C79" s="112">
        <v>4.0599999999999996</v>
      </c>
      <c r="D79" s="112">
        <v>14.05</v>
      </c>
      <c r="E79" s="112">
        <v>9.24</v>
      </c>
      <c r="F79" s="112">
        <v>7.2</v>
      </c>
      <c r="G79" s="112">
        <v>14.34</v>
      </c>
      <c r="H79" s="112">
        <v>2.94</v>
      </c>
      <c r="I79" s="112">
        <v>3.31</v>
      </c>
      <c r="J79" s="112">
        <v>0.85</v>
      </c>
      <c r="K79" s="112">
        <v>273.25</v>
      </c>
      <c r="L79" s="112">
        <v>29.35</v>
      </c>
      <c r="M79" s="112">
        <v>72.22</v>
      </c>
      <c r="N79" s="112">
        <v>10</v>
      </c>
      <c r="O79" s="112">
        <v>0</v>
      </c>
      <c r="P79" s="112">
        <v>0.28999999999999998</v>
      </c>
      <c r="Q79" s="112">
        <v>4.6500000000000004</v>
      </c>
    </row>
    <row r="80" spans="1:17" customFormat="1">
      <c r="A80" s="80">
        <v>45547.75</v>
      </c>
      <c r="B80" s="112">
        <v>9.33</v>
      </c>
      <c r="C80" s="112">
        <v>4.03</v>
      </c>
      <c r="D80" s="112">
        <v>14.04</v>
      </c>
      <c r="E80" s="112">
        <v>9.41</v>
      </c>
      <c r="F80" s="112">
        <v>6.78</v>
      </c>
      <c r="G80" s="112">
        <v>14.34</v>
      </c>
      <c r="H80" s="112">
        <v>2.94</v>
      </c>
      <c r="I80" s="112">
        <v>3.25</v>
      </c>
      <c r="J80" s="112">
        <v>0.73</v>
      </c>
      <c r="K80" s="112">
        <v>273.04000000000002</v>
      </c>
      <c r="L80" s="112">
        <v>29.17</v>
      </c>
      <c r="M80" s="112">
        <v>73.28</v>
      </c>
      <c r="N80" s="112">
        <v>3.9</v>
      </c>
      <c r="O80" s="112">
        <v>0</v>
      </c>
      <c r="P80" s="112">
        <v>0.3</v>
      </c>
      <c r="Q80" s="112">
        <v>4.6399999999999997</v>
      </c>
    </row>
    <row r="81" spans="1:17" customFormat="1">
      <c r="A81" s="80">
        <v>45547.760416666664</v>
      </c>
      <c r="B81" s="112">
        <v>9.33</v>
      </c>
      <c r="C81" s="112">
        <v>4.0599999999999996</v>
      </c>
      <c r="D81" s="112">
        <v>14.06</v>
      </c>
      <c r="E81" s="112">
        <v>7.76</v>
      </c>
      <c r="F81" s="112">
        <v>7.15</v>
      </c>
      <c r="G81" s="112">
        <v>14.34</v>
      </c>
      <c r="H81" s="112">
        <v>2.94</v>
      </c>
      <c r="I81" s="112">
        <v>3.32</v>
      </c>
      <c r="J81" s="112">
        <v>0.64</v>
      </c>
      <c r="K81" s="112">
        <v>270.94</v>
      </c>
      <c r="L81" s="112">
        <v>29.13</v>
      </c>
      <c r="M81" s="112">
        <v>74.19</v>
      </c>
      <c r="N81" s="112">
        <v>2.5</v>
      </c>
      <c r="O81" s="112">
        <v>0</v>
      </c>
      <c r="P81" s="112">
        <v>0.3</v>
      </c>
      <c r="Q81" s="112">
        <v>4.63</v>
      </c>
    </row>
    <row r="82" spans="1:17" customFormat="1">
      <c r="A82" s="80">
        <v>45547.770833333336</v>
      </c>
      <c r="B82" s="112">
        <v>9.34</v>
      </c>
      <c r="C82" s="112">
        <v>4.08</v>
      </c>
      <c r="D82" s="112">
        <v>14.07</v>
      </c>
      <c r="E82" s="112">
        <v>9.1199999999999992</v>
      </c>
      <c r="F82" s="112">
        <v>7.77</v>
      </c>
      <c r="G82" s="112">
        <v>14.31</v>
      </c>
      <c r="H82" s="112">
        <v>2.94</v>
      </c>
      <c r="I82" s="112">
        <v>3.35</v>
      </c>
      <c r="J82" s="112">
        <v>0.44</v>
      </c>
      <c r="K82" s="112">
        <v>268.35000000000002</v>
      </c>
      <c r="L82" s="112">
        <v>28.88</v>
      </c>
      <c r="M82" s="112">
        <v>76.86</v>
      </c>
      <c r="N82" s="112">
        <v>2.5</v>
      </c>
      <c r="O82" s="112">
        <v>0</v>
      </c>
      <c r="P82" s="112">
        <v>0.3</v>
      </c>
      <c r="Q82" s="112">
        <v>4.62</v>
      </c>
    </row>
    <row r="83" spans="1:17" customFormat="1">
      <c r="A83" s="80">
        <v>45547.78125</v>
      </c>
      <c r="B83" s="112">
        <v>9.34</v>
      </c>
      <c r="C83" s="112">
        <v>4.07</v>
      </c>
      <c r="D83" s="112">
        <v>14.07</v>
      </c>
      <c r="E83" s="112">
        <v>9.1</v>
      </c>
      <c r="F83" s="112">
        <v>8.2200000000000006</v>
      </c>
      <c r="G83" s="112">
        <v>14.09</v>
      </c>
      <c r="H83" s="112">
        <v>2.99</v>
      </c>
      <c r="I83" s="112">
        <v>3.36</v>
      </c>
      <c r="J83" s="112">
        <v>0.51</v>
      </c>
      <c r="K83" s="112">
        <v>272</v>
      </c>
      <c r="L83" s="112">
        <v>28.61</v>
      </c>
      <c r="M83" s="112">
        <v>78.37</v>
      </c>
      <c r="N83" s="112">
        <v>2.4</v>
      </c>
      <c r="O83" s="112">
        <v>0</v>
      </c>
      <c r="P83" s="112">
        <v>0.3</v>
      </c>
      <c r="Q83" s="112">
        <v>4.62</v>
      </c>
    </row>
    <row r="84" spans="1:17" customFormat="1">
      <c r="A84" s="80">
        <v>45547.791666666664</v>
      </c>
      <c r="B84" s="112">
        <v>9.35</v>
      </c>
      <c r="C84" s="112">
        <v>4.03</v>
      </c>
      <c r="D84" s="112">
        <v>14.06</v>
      </c>
      <c r="E84" s="112">
        <v>9.67</v>
      </c>
      <c r="F84" s="112">
        <v>7.56</v>
      </c>
      <c r="G84" s="112">
        <v>14.09</v>
      </c>
      <c r="H84" s="112">
        <v>2.99</v>
      </c>
      <c r="I84" s="112">
        <v>3.33</v>
      </c>
      <c r="J84" s="112">
        <v>0.47</v>
      </c>
      <c r="K84" s="112">
        <v>266.27999999999997</v>
      </c>
      <c r="L84" s="112">
        <v>28.6</v>
      </c>
      <c r="M84" s="112">
        <v>78.89</v>
      </c>
      <c r="N84" s="112">
        <v>2.2000000000000002</v>
      </c>
      <c r="O84" s="112">
        <v>0</v>
      </c>
      <c r="P84" s="112">
        <v>0.31</v>
      </c>
      <c r="Q84" s="112">
        <v>4.6399999999999997</v>
      </c>
    </row>
    <row r="85" spans="1:17" customFormat="1">
      <c r="A85" s="80">
        <v>45547.802083333336</v>
      </c>
      <c r="B85" s="112">
        <v>9.4600000000000009</v>
      </c>
      <c r="C85" s="112">
        <v>4.08</v>
      </c>
      <c r="D85" s="112">
        <v>14.17</v>
      </c>
      <c r="E85" s="112">
        <v>9.06</v>
      </c>
      <c r="F85" s="112">
        <v>8.2899999999999991</v>
      </c>
      <c r="G85" s="112">
        <v>14.09</v>
      </c>
      <c r="H85" s="112">
        <v>2.99</v>
      </c>
      <c r="I85" s="112">
        <v>3.42</v>
      </c>
      <c r="J85" s="112">
        <v>0.49</v>
      </c>
      <c r="K85" s="112">
        <v>269.85000000000002</v>
      </c>
      <c r="L85" s="112">
        <v>28.51</v>
      </c>
      <c r="M85" s="112">
        <v>79.41</v>
      </c>
      <c r="N85" s="112">
        <v>2.2999999999999998</v>
      </c>
      <c r="O85" s="112">
        <v>0</v>
      </c>
      <c r="P85" s="112">
        <v>0.28999999999999998</v>
      </c>
      <c r="Q85" s="112">
        <v>4.66</v>
      </c>
    </row>
    <row r="86" spans="1:17" customFormat="1">
      <c r="A86" s="80">
        <v>45547.8125</v>
      </c>
      <c r="B86" s="112">
        <v>9.43</v>
      </c>
      <c r="C86" s="112">
        <v>4.12</v>
      </c>
      <c r="D86" s="112">
        <v>14.17</v>
      </c>
      <c r="E86" s="112">
        <v>8.83</v>
      </c>
      <c r="F86" s="112">
        <v>8.01</v>
      </c>
      <c r="G86" s="112">
        <v>14.53</v>
      </c>
      <c r="H86" s="112">
        <v>3.06</v>
      </c>
      <c r="I86" s="112">
        <v>3.42</v>
      </c>
      <c r="J86" s="112">
        <v>0.65</v>
      </c>
      <c r="K86" s="112">
        <v>269.01</v>
      </c>
      <c r="L86" s="112">
        <v>28.49</v>
      </c>
      <c r="M86" s="112">
        <v>78.540000000000006</v>
      </c>
      <c r="N86" s="112">
        <v>2.1</v>
      </c>
      <c r="O86" s="112">
        <v>0</v>
      </c>
      <c r="P86" s="112">
        <v>0.28999999999999998</v>
      </c>
      <c r="Q86" s="112">
        <v>4.66</v>
      </c>
    </row>
    <row r="87" spans="1:17" customFormat="1">
      <c r="A87" s="80">
        <v>45547.822916666664</v>
      </c>
      <c r="B87" s="112">
        <v>9.41</v>
      </c>
      <c r="C87" s="112">
        <v>4.07</v>
      </c>
      <c r="D87" s="112">
        <v>14.13</v>
      </c>
      <c r="E87" s="112">
        <v>9.74</v>
      </c>
      <c r="F87" s="112">
        <v>7.41</v>
      </c>
      <c r="G87" s="112">
        <v>18.46</v>
      </c>
      <c r="H87" s="112">
        <v>3.62</v>
      </c>
      <c r="I87" s="112">
        <v>3.4</v>
      </c>
      <c r="J87" s="112">
        <v>0.64</v>
      </c>
      <c r="K87" s="112">
        <v>269.57</v>
      </c>
      <c r="L87" s="112">
        <v>28.45</v>
      </c>
      <c r="M87" s="112">
        <v>79.150000000000006</v>
      </c>
      <c r="N87" s="112">
        <v>2.1</v>
      </c>
      <c r="O87" s="112">
        <v>0</v>
      </c>
      <c r="P87" s="112">
        <v>0.3</v>
      </c>
      <c r="Q87" s="112">
        <v>4.66</v>
      </c>
    </row>
    <row r="88" spans="1:17" customFormat="1">
      <c r="A88" s="80">
        <v>45547.833333333336</v>
      </c>
      <c r="B88" s="112">
        <v>9.41</v>
      </c>
      <c r="C88" s="112">
        <v>4.08</v>
      </c>
      <c r="D88" s="112">
        <v>14.13</v>
      </c>
      <c r="E88" s="112">
        <v>10.54</v>
      </c>
      <c r="F88" s="112">
        <v>5.98</v>
      </c>
      <c r="G88" s="112">
        <v>18.46</v>
      </c>
      <c r="H88" s="112">
        <v>3.62</v>
      </c>
      <c r="I88" s="112">
        <v>3.52</v>
      </c>
      <c r="J88" s="112">
        <v>0.69</v>
      </c>
      <c r="K88" s="112">
        <v>271.52999999999997</v>
      </c>
      <c r="L88" s="112">
        <v>28.29</v>
      </c>
      <c r="M88" s="112">
        <v>79.510000000000005</v>
      </c>
      <c r="N88" s="112">
        <v>2.2999999999999998</v>
      </c>
      <c r="O88" s="112">
        <v>0</v>
      </c>
      <c r="P88" s="112">
        <v>0.31</v>
      </c>
      <c r="Q88" s="112">
        <v>4.66</v>
      </c>
    </row>
    <row r="89" spans="1:17" customFormat="1">
      <c r="A89" s="80">
        <v>45547.84375</v>
      </c>
      <c r="B89" s="112">
        <v>9.39</v>
      </c>
      <c r="C89" s="112">
        <v>4.09</v>
      </c>
      <c r="D89" s="112">
        <v>14.11</v>
      </c>
      <c r="E89" s="112">
        <v>10.63</v>
      </c>
      <c r="F89" s="112">
        <v>5.18</v>
      </c>
      <c r="G89" s="112">
        <v>18.46</v>
      </c>
      <c r="H89" s="112">
        <v>3.62</v>
      </c>
      <c r="I89" s="112">
        <v>3.68</v>
      </c>
      <c r="J89" s="112">
        <v>0.74</v>
      </c>
      <c r="K89" s="112">
        <v>270.16000000000003</v>
      </c>
      <c r="L89" s="112">
        <v>28.22</v>
      </c>
      <c r="M89" s="112">
        <v>78.92</v>
      </c>
      <c r="N89" s="112">
        <v>2.1</v>
      </c>
      <c r="O89" s="112">
        <v>0</v>
      </c>
      <c r="P89" s="112">
        <v>0.33</v>
      </c>
      <c r="Q89" s="112">
        <v>4.6500000000000004</v>
      </c>
    </row>
    <row r="90" spans="1:17" customFormat="1">
      <c r="A90" s="80">
        <v>45547.854166666664</v>
      </c>
      <c r="B90" s="112">
        <v>9.36</v>
      </c>
      <c r="C90" s="112">
        <v>4.08</v>
      </c>
      <c r="D90" s="112">
        <v>14.08</v>
      </c>
      <c r="E90" s="112">
        <v>10.85</v>
      </c>
      <c r="F90" s="112">
        <v>5.52</v>
      </c>
      <c r="G90" s="112">
        <v>17.98</v>
      </c>
      <c r="H90" s="112">
        <v>3.59</v>
      </c>
      <c r="I90" s="112">
        <v>3.73</v>
      </c>
      <c r="J90" s="112">
        <v>0.56999999999999995</v>
      </c>
      <c r="K90" s="112">
        <v>277.27999999999997</v>
      </c>
      <c r="L90" s="112">
        <v>28.16</v>
      </c>
      <c r="M90" s="112">
        <v>78.28</v>
      </c>
      <c r="N90" s="112">
        <v>2.2000000000000002</v>
      </c>
      <c r="O90" s="112">
        <v>0</v>
      </c>
      <c r="P90" s="112">
        <v>0.38</v>
      </c>
      <c r="Q90" s="112">
        <v>4.6399999999999997</v>
      </c>
    </row>
    <row r="91" spans="1:17" customFormat="1">
      <c r="A91" s="80">
        <v>45547.864583333336</v>
      </c>
      <c r="B91" s="112">
        <v>9.34</v>
      </c>
      <c r="C91" s="112">
        <v>4.07</v>
      </c>
      <c r="D91" s="112">
        <v>14.07</v>
      </c>
      <c r="E91" s="112">
        <v>10.8</v>
      </c>
      <c r="F91" s="112">
        <v>4.84</v>
      </c>
      <c r="G91" s="112">
        <v>13.6</v>
      </c>
      <c r="H91" s="112">
        <v>3.39</v>
      </c>
      <c r="I91" s="112">
        <v>3.8</v>
      </c>
      <c r="J91" s="112">
        <v>0.52</v>
      </c>
      <c r="K91" s="112">
        <v>269.16000000000003</v>
      </c>
      <c r="L91" s="112">
        <v>28.06</v>
      </c>
      <c r="M91" s="112">
        <v>78.44</v>
      </c>
      <c r="N91" s="112">
        <v>2.2999999999999998</v>
      </c>
      <c r="O91" s="112">
        <v>0</v>
      </c>
      <c r="P91" s="112">
        <v>0.4</v>
      </c>
      <c r="Q91" s="112">
        <v>4.66</v>
      </c>
    </row>
    <row r="92" spans="1:17" customFormat="1">
      <c r="A92" s="80">
        <v>45547.875</v>
      </c>
      <c r="B92" s="112">
        <v>9.31</v>
      </c>
      <c r="C92" s="112">
        <v>4.08</v>
      </c>
      <c r="D92" s="112">
        <v>14.05</v>
      </c>
      <c r="E92" s="112">
        <v>11.71</v>
      </c>
      <c r="F92" s="112">
        <v>5.01</v>
      </c>
      <c r="G92" s="112">
        <v>13.6</v>
      </c>
      <c r="H92" s="112">
        <v>3.39</v>
      </c>
      <c r="I92" s="112">
        <v>3.97</v>
      </c>
      <c r="J92" s="112">
        <v>0.59</v>
      </c>
      <c r="K92" s="112">
        <v>270.06</v>
      </c>
      <c r="L92" s="112">
        <v>27.94</v>
      </c>
      <c r="M92" s="112">
        <v>78.67</v>
      </c>
      <c r="N92" s="112">
        <v>2.2000000000000002</v>
      </c>
      <c r="O92" s="112">
        <v>0</v>
      </c>
      <c r="P92" s="112">
        <v>0.41</v>
      </c>
      <c r="Q92" s="112">
        <v>4.67</v>
      </c>
    </row>
    <row r="93" spans="1:17" customFormat="1">
      <c r="A93" s="80">
        <v>45547.885416666664</v>
      </c>
      <c r="B93" s="112">
        <v>9.31</v>
      </c>
      <c r="C93" s="112">
        <v>4.09</v>
      </c>
      <c r="D93" s="112">
        <v>14.05</v>
      </c>
      <c r="E93" s="112">
        <v>11.94</v>
      </c>
      <c r="F93" s="112">
        <v>4.4800000000000004</v>
      </c>
      <c r="G93" s="112">
        <v>13.6</v>
      </c>
      <c r="H93" s="112">
        <v>3.39</v>
      </c>
      <c r="I93" s="112">
        <v>4.24</v>
      </c>
      <c r="J93" s="112">
        <v>0.64</v>
      </c>
      <c r="K93" s="112">
        <v>269.36</v>
      </c>
      <c r="L93" s="112">
        <v>27.82</v>
      </c>
      <c r="M93" s="112">
        <v>79.47</v>
      </c>
      <c r="N93" s="112">
        <v>2.2999999999999998</v>
      </c>
      <c r="O93" s="112">
        <v>0</v>
      </c>
      <c r="P93" s="112">
        <v>0.45</v>
      </c>
      <c r="Q93" s="112">
        <v>4.66</v>
      </c>
    </row>
    <row r="94" spans="1:17" customFormat="1">
      <c r="A94" s="80">
        <v>45547.895833333336</v>
      </c>
      <c r="B94" s="112">
        <v>9.32</v>
      </c>
      <c r="C94" s="112">
        <v>4.05</v>
      </c>
      <c r="D94" s="112">
        <v>14.04</v>
      </c>
      <c r="E94" s="112">
        <v>12.77</v>
      </c>
      <c r="F94" s="112">
        <v>3.89</v>
      </c>
      <c r="G94" s="112">
        <v>15.27</v>
      </c>
      <c r="H94" s="112">
        <v>3.4</v>
      </c>
      <c r="I94" s="112">
        <v>4.46</v>
      </c>
      <c r="J94" s="112">
        <v>0.62</v>
      </c>
      <c r="K94" s="112">
        <v>270.05</v>
      </c>
      <c r="L94" s="112">
        <v>27.75</v>
      </c>
      <c r="M94" s="112">
        <v>80.19</v>
      </c>
      <c r="N94" s="112">
        <v>2.2000000000000002</v>
      </c>
      <c r="O94" s="112">
        <v>0</v>
      </c>
      <c r="P94" s="112">
        <v>0.51</v>
      </c>
      <c r="Q94" s="112">
        <v>4.6500000000000004</v>
      </c>
    </row>
    <row r="95" spans="1:17" customFormat="1">
      <c r="A95" s="80">
        <v>45547.90625</v>
      </c>
      <c r="B95" s="112">
        <v>9.31</v>
      </c>
      <c r="C95" s="112">
        <v>4.08</v>
      </c>
      <c r="D95" s="112">
        <v>14.05</v>
      </c>
      <c r="E95" s="112">
        <v>13.53</v>
      </c>
      <c r="F95" s="112">
        <v>3.14</v>
      </c>
      <c r="G95" s="112">
        <v>30.25</v>
      </c>
      <c r="H95" s="112">
        <v>3.47</v>
      </c>
      <c r="I95" s="112">
        <v>4.8899999999999997</v>
      </c>
      <c r="J95" s="112">
        <v>0.54</v>
      </c>
      <c r="K95" s="112">
        <v>270.04000000000002</v>
      </c>
      <c r="L95" s="112">
        <v>27.66</v>
      </c>
      <c r="M95" s="112">
        <v>80.989999999999995</v>
      </c>
      <c r="N95" s="112">
        <v>2.2000000000000002</v>
      </c>
      <c r="O95" s="112">
        <v>0</v>
      </c>
      <c r="P95" s="112">
        <v>0.56999999999999995</v>
      </c>
      <c r="Q95" s="112">
        <v>4.6500000000000004</v>
      </c>
    </row>
    <row r="96" spans="1:17" customFormat="1">
      <c r="A96" s="80">
        <v>45547.916666666664</v>
      </c>
      <c r="B96" s="112">
        <v>9.3000000000000007</v>
      </c>
      <c r="C96" s="112">
        <v>4.07</v>
      </c>
      <c r="D96" s="112">
        <v>14.03</v>
      </c>
      <c r="E96" s="112">
        <v>12.9</v>
      </c>
      <c r="F96" s="112">
        <v>4.8899999999999997</v>
      </c>
      <c r="G96" s="112">
        <v>30.25</v>
      </c>
      <c r="H96" s="112">
        <v>3.47</v>
      </c>
      <c r="I96" s="112">
        <v>5.88</v>
      </c>
      <c r="J96" s="112">
        <v>0.64</v>
      </c>
      <c r="K96" s="112">
        <v>272.83999999999997</v>
      </c>
      <c r="L96" s="112">
        <v>27.62</v>
      </c>
      <c r="M96" s="112">
        <v>80.3</v>
      </c>
      <c r="N96" s="112">
        <v>2.1</v>
      </c>
      <c r="O96" s="112">
        <v>0</v>
      </c>
      <c r="P96" s="112">
        <v>0.5</v>
      </c>
      <c r="Q96" s="112">
        <v>4.6399999999999997</v>
      </c>
    </row>
    <row r="97" spans="1:22" customFormat="1">
      <c r="A97" s="80">
        <v>45547.927083333336</v>
      </c>
      <c r="B97" s="112">
        <v>9.3000000000000007</v>
      </c>
      <c r="C97" s="112">
        <v>4.09</v>
      </c>
      <c r="D97" s="112">
        <v>14.05</v>
      </c>
      <c r="E97" s="112">
        <v>12.51</v>
      </c>
      <c r="F97" s="112">
        <v>4.82</v>
      </c>
      <c r="G97" s="112">
        <v>30.25</v>
      </c>
      <c r="H97" s="112">
        <v>3.47</v>
      </c>
      <c r="I97" s="112">
        <v>7.91</v>
      </c>
      <c r="J97" s="112">
        <v>0.64</v>
      </c>
      <c r="K97" s="112">
        <v>270.05</v>
      </c>
      <c r="L97" s="112">
        <v>27.54</v>
      </c>
      <c r="M97" s="112">
        <v>80.510000000000005</v>
      </c>
      <c r="N97" s="112">
        <v>2.2000000000000002</v>
      </c>
      <c r="O97" s="112">
        <v>0</v>
      </c>
      <c r="P97" s="112">
        <v>0.48</v>
      </c>
      <c r="Q97" s="112">
        <v>4.6500000000000004</v>
      </c>
    </row>
    <row r="98" spans="1:22" customFormat="1">
      <c r="A98" s="80">
        <v>45547.9375</v>
      </c>
      <c r="B98" s="112">
        <v>9.31</v>
      </c>
      <c r="C98" s="112">
        <v>4.0599999999999996</v>
      </c>
      <c r="D98" s="112">
        <v>14.03</v>
      </c>
      <c r="E98" s="112">
        <v>12.02</v>
      </c>
      <c r="F98" s="112">
        <v>5.84</v>
      </c>
      <c r="G98" s="112">
        <v>30.28</v>
      </c>
      <c r="H98" s="112">
        <v>3.55</v>
      </c>
      <c r="I98" s="112">
        <v>6.63</v>
      </c>
      <c r="J98" s="112">
        <v>0.52</v>
      </c>
      <c r="K98" s="112">
        <v>269.31</v>
      </c>
      <c r="L98" s="112">
        <v>27.35</v>
      </c>
      <c r="M98" s="112">
        <v>81.99</v>
      </c>
      <c r="N98" s="112">
        <v>2.2999999999999998</v>
      </c>
      <c r="O98" s="112">
        <v>0</v>
      </c>
      <c r="P98" s="112">
        <v>0.48</v>
      </c>
      <c r="Q98" s="112">
        <v>4.6500000000000004</v>
      </c>
    </row>
    <row r="99" spans="1:22" customFormat="1">
      <c r="A99" s="80">
        <v>45547.947916666664</v>
      </c>
      <c r="B99" s="112">
        <v>9.31</v>
      </c>
      <c r="C99" s="112">
        <v>4.08</v>
      </c>
      <c r="D99" s="112">
        <v>14.05</v>
      </c>
      <c r="E99" s="112">
        <v>11.79</v>
      </c>
      <c r="F99" s="112">
        <v>5.81</v>
      </c>
      <c r="G99" s="112">
        <v>30.52</v>
      </c>
      <c r="H99" s="112">
        <v>4.1500000000000004</v>
      </c>
      <c r="I99" s="112">
        <v>6.23</v>
      </c>
      <c r="J99" s="112">
        <v>0.32</v>
      </c>
      <c r="K99" s="112">
        <v>263.20999999999998</v>
      </c>
      <c r="L99" s="112">
        <v>27.16</v>
      </c>
      <c r="M99" s="112">
        <v>84.08</v>
      </c>
      <c r="N99" s="112">
        <v>2.4</v>
      </c>
      <c r="O99" s="112">
        <v>0</v>
      </c>
      <c r="P99" s="112">
        <v>0.48</v>
      </c>
      <c r="Q99" s="112">
        <v>4.66</v>
      </c>
    </row>
    <row r="100" spans="1:22" customFormat="1">
      <c r="A100" s="80">
        <v>45547.958333333336</v>
      </c>
      <c r="B100" s="112">
        <v>9.32</v>
      </c>
      <c r="C100" s="112">
        <v>4.09</v>
      </c>
      <c r="D100" s="112">
        <v>14.06</v>
      </c>
      <c r="E100" s="112">
        <v>11.74</v>
      </c>
      <c r="F100" s="112">
        <v>5.73</v>
      </c>
      <c r="G100" s="112">
        <v>30.52</v>
      </c>
      <c r="H100" s="112">
        <v>4.1500000000000004</v>
      </c>
      <c r="I100" s="112">
        <v>6.06</v>
      </c>
      <c r="J100" s="112">
        <v>0.57999999999999996</v>
      </c>
      <c r="K100" s="112">
        <v>268.64</v>
      </c>
      <c r="L100" s="112">
        <v>27.02</v>
      </c>
      <c r="M100" s="112">
        <v>84.67</v>
      </c>
      <c r="N100" s="112">
        <v>2.1</v>
      </c>
      <c r="O100" s="112">
        <v>0</v>
      </c>
      <c r="P100" s="112">
        <v>0.46</v>
      </c>
      <c r="Q100" s="112">
        <v>4.67</v>
      </c>
    </row>
    <row r="101" spans="1:22" customFormat="1">
      <c r="A101" s="80">
        <v>45547.96875</v>
      </c>
      <c r="B101" s="112">
        <v>9.32</v>
      </c>
      <c r="C101" s="112">
        <v>4.0999999999999996</v>
      </c>
      <c r="D101" s="112">
        <v>14.06</v>
      </c>
      <c r="E101" s="112">
        <v>11.65</v>
      </c>
      <c r="F101" s="112">
        <v>5.3</v>
      </c>
      <c r="G101" s="112">
        <v>30.52</v>
      </c>
      <c r="H101" s="112">
        <v>4.1500000000000004</v>
      </c>
      <c r="I101" s="112">
        <v>5.88</v>
      </c>
      <c r="J101" s="112">
        <v>0.8</v>
      </c>
      <c r="K101" s="112">
        <v>273.07</v>
      </c>
      <c r="L101" s="112">
        <v>27.13</v>
      </c>
      <c r="M101" s="112">
        <v>83.86</v>
      </c>
      <c r="N101" s="112">
        <v>2</v>
      </c>
      <c r="O101" s="112">
        <v>0</v>
      </c>
      <c r="P101" s="112">
        <v>0.45</v>
      </c>
      <c r="Q101" s="112">
        <v>4.66</v>
      </c>
    </row>
    <row r="102" spans="1:22" customFormat="1">
      <c r="A102" s="80">
        <v>45547.979166666664</v>
      </c>
      <c r="B102" s="112">
        <v>9.31</v>
      </c>
      <c r="C102" s="112">
        <v>4.1100000000000003</v>
      </c>
      <c r="D102" s="112">
        <v>14.06</v>
      </c>
      <c r="E102" s="112">
        <v>11.43</v>
      </c>
      <c r="F102" s="112">
        <v>5.51</v>
      </c>
      <c r="G102" s="112">
        <v>30.22</v>
      </c>
      <c r="H102" s="112">
        <v>4.1100000000000003</v>
      </c>
      <c r="I102" s="112">
        <v>5.66</v>
      </c>
      <c r="J102" s="112">
        <v>0.7</v>
      </c>
      <c r="K102" s="112">
        <v>272.60000000000002</v>
      </c>
      <c r="L102" s="112">
        <v>27.04</v>
      </c>
      <c r="M102" s="112">
        <v>85.05</v>
      </c>
      <c r="N102" s="112">
        <v>2.1</v>
      </c>
      <c r="O102" s="112">
        <v>0</v>
      </c>
      <c r="P102" s="112">
        <v>0.45</v>
      </c>
      <c r="Q102" s="112">
        <v>4.6500000000000004</v>
      </c>
    </row>
    <row r="103" spans="1:22" customFormat="1">
      <c r="A103" s="80">
        <v>45547.989583333336</v>
      </c>
      <c r="B103" s="112">
        <v>9.3000000000000007</v>
      </c>
      <c r="C103" s="112">
        <v>4.09</v>
      </c>
      <c r="D103" s="112">
        <v>14.04</v>
      </c>
      <c r="E103" s="112">
        <v>12.04</v>
      </c>
      <c r="F103" s="112">
        <v>5.21</v>
      </c>
      <c r="G103" s="112">
        <v>27.56</v>
      </c>
      <c r="H103" s="112">
        <v>3.8</v>
      </c>
      <c r="I103" s="112">
        <v>5.57</v>
      </c>
      <c r="J103" s="112">
        <v>0.62</v>
      </c>
      <c r="K103" s="112">
        <v>274.91000000000003</v>
      </c>
      <c r="L103" s="112">
        <v>26.94</v>
      </c>
      <c r="M103" s="112">
        <v>86.06</v>
      </c>
      <c r="N103" s="112">
        <v>2.2999999999999998</v>
      </c>
      <c r="O103" s="112">
        <v>0</v>
      </c>
      <c r="P103" s="112">
        <v>0.46</v>
      </c>
      <c r="Q103" s="112">
        <v>4.6399999999999997</v>
      </c>
    </row>
    <row r="104" spans="1:22" customFormat="1">
      <c r="A104" s="80">
        <v>45548</v>
      </c>
      <c r="B104" s="112">
        <v>9.2799999999999994</v>
      </c>
      <c r="C104" s="112">
        <v>4.09</v>
      </c>
      <c r="D104" s="112">
        <v>14.03</v>
      </c>
      <c r="E104" s="112">
        <v>12.84</v>
      </c>
      <c r="F104" s="112">
        <v>4.1900000000000004</v>
      </c>
      <c r="G104" s="112">
        <v>27.56</v>
      </c>
      <c r="H104" s="112">
        <v>3.8</v>
      </c>
      <c r="I104" s="112">
        <v>5.54</v>
      </c>
      <c r="J104" s="112">
        <v>0.52</v>
      </c>
      <c r="K104" s="112">
        <v>272.08999999999997</v>
      </c>
      <c r="L104" s="112">
        <v>26.76</v>
      </c>
      <c r="M104" s="112">
        <v>87.48</v>
      </c>
      <c r="N104" s="112">
        <v>2.2000000000000002</v>
      </c>
      <c r="O104" s="112">
        <v>0</v>
      </c>
      <c r="P104" s="112">
        <v>0.45</v>
      </c>
      <c r="Q104" s="112">
        <v>4.6399999999999997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9.27</v>
      </c>
      <c r="C106" s="183">
        <f>MIN(C9:C104)</f>
        <v>3.99</v>
      </c>
      <c r="D106" s="183">
        <f t="shared" ref="D106:Q106" si="0">MIN(D9:D104)</f>
        <v>14.01</v>
      </c>
      <c r="E106" s="183">
        <f t="shared" si="0"/>
        <v>6.8</v>
      </c>
      <c r="F106" s="183">
        <f t="shared" si="0"/>
        <v>1.63</v>
      </c>
      <c r="G106" s="183">
        <f t="shared" si="0"/>
        <v>2.41</v>
      </c>
      <c r="H106" s="183">
        <f t="shared" si="0"/>
        <v>0.33</v>
      </c>
      <c r="I106" s="183">
        <f t="shared" si="0"/>
        <v>2.81</v>
      </c>
      <c r="J106" s="183">
        <f t="shared" si="0"/>
        <v>0.18</v>
      </c>
      <c r="K106" s="183">
        <f t="shared" si="0"/>
        <v>251.52</v>
      </c>
      <c r="L106" s="183">
        <f t="shared" si="0"/>
        <v>25.1</v>
      </c>
      <c r="M106" s="183">
        <f t="shared" si="0"/>
        <v>64.7</v>
      </c>
      <c r="N106" s="183">
        <f t="shared" si="0"/>
        <v>2</v>
      </c>
      <c r="O106" s="183">
        <f t="shared" si="0"/>
        <v>0</v>
      </c>
      <c r="P106" s="183">
        <f t="shared" si="0"/>
        <v>0.11</v>
      </c>
      <c r="Q106" s="183">
        <f t="shared" si="0"/>
        <v>4.62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9.5</v>
      </c>
      <c r="C107" s="184">
        <f t="shared" ref="C107:Q107" si="1">MAX(C9:C104)</f>
        <v>4.12</v>
      </c>
      <c r="D107" s="184">
        <f t="shared" si="1"/>
        <v>14.17</v>
      </c>
      <c r="E107" s="184">
        <f t="shared" si="1"/>
        <v>13.53</v>
      </c>
      <c r="F107" s="184">
        <f t="shared" si="1"/>
        <v>10.83</v>
      </c>
      <c r="G107" s="184">
        <f t="shared" si="1"/>
        <v>30.52</v>
      </c>
      <c r="H107" s="184">
        <f t="shared" si="1"/>
        <v>7.75</v>
      </c>
      <c r="I107" s="184">
        <f t="shared" si="1"/>
        <v>7.91</v>
      </c>
      <c r="J107" s="184">
        <f t="shared" si="1"/>
        <v>1.4</v>
      </c>
      <c r="K107" s="184">
        <f t="shared" si="1"/>
        <v>288.37</v>
      </c>
      <c r="L107" s="184">
        <f t="shared" si="1"/>
        <v>31.62</v>
      </c>
      <c r="M107" s="184">
        <f t="shared" si="1"/>
        <v>95.08</v>
      </c>
      <c r="N107" s="184">
        <f t="shared" si="1"/>
        <v>758.9</v>
      </c>
      <c r="O107" s="184">
        <f t="shared" si="1"/>
        <v>0</v>
      </c>
      <c r="P107" s="184">
        <f t="shared" si="1"/>
        <v>0.81</v>
      </c>
      <c r="Q107" s="184">
        <f t="shared" si="1"/>
        <v>4.67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9.333854166666665</v>
      </c>
      <c r="C108" s="183">
        <f t="shared" ref="C108:Q108" si="2">AVERAGE(C9:C104)</f>
        <v>4.0698958333333293</v>
      </c>
      <c r="D108" s="183">
        <f t="shared" si="2"/>
        <v>14.061145833333326</v>
      </c>
      <c r="E108" s="183">
        <f t="shared" si="2"/>
        <v>9.4130434782608674</v>
      </c>
      <c r="F108" s="183">
        <f t="shared" si="2"/>
        <v>5.2108695652173909</v>
      </c>
      <c r="G108" s="183">
        <f t="shared" si="2"/>
        <v>18.287444444444432</v>
      </c>
      <c r="H108" s="183">
        <f t="shared" si="2"/>
        <v>3.1448780487804893</v>
      </c>
      <c r="I108" s="183">
        <f t="shared" si="2"/>
        <v>3.471666666666668</v>
      </c>
      <c r="J108" s="183">
        <f t="shared" si="2"/>
        <v>0.71906249999999983</v>
      </c>
      <c r="K108" s="183">
        <f t="shared" si="2"/>
        <v>271.87531249999989</v>
      </c>
      <c r="L108" s="183">
        <f t="shared" si="2"/>
        <v>28.141354166666662</v>
      </c>
      <c r="M108" s="183">
        <f t="shared" si="2"/>
        <v>80.258124999999978</v>
      </c>
      <c r="N108" s="183">
        <f t="shared" si="2"/>
        <v>142.74062500000005</v>
      </c>
      <c r="O108" s="183">
        <f t="shared" si="2"/>
        <v>0</v>
      </c>
      <c r="P108" s="183">
        <f t="shared" si="2"/>
        <v>0.29893617021276592</v>
      </c>
      <c r="Q108" s="183">
        <f t="shared" si="2"/>
        <v>4.6486458333333314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4.1760464598813725E-2</v>
      </c>
      <c r="C109" s="183">
        <f t="shared" ref="C109:Q109" si="3">STDEV(C9:C104)</f>
        <v>2.4687298744460601E-2</v>
      </c>
      <c r="D109" s="183">
        <f t="shared" si="3"/>
        <v>3.3367800163021058E-2</v>
      </c>
      <c r="E109" s="183">
        <f t="shared" si="3"/>
        <v>1.5182680554496297</v>
      </c>
      <c r="F109" s="183">
        <f t="shared" si="3"/>
        <v>2.012771121413317</v>
      </c>
      <c r="G109" s="183">
        <f t="shared" si="3"/>
        <v>6.1532798527547508</v>
      </c>
      <c r="H109" s="183">
        <f t="shared" si="3"/>
        <v>1.5002034791225636</v>
      </c>
      <c r="I109" s="183">
        <f t="shared" si="3"/>
        <v>0.95135323747603451</v>
      </c>
      <c r="J109" s="183">
        <f t="shared" si="3"/>
        <v>0.33049907436768228</v>
      </c>
      <c r="K109" s="183">
        <f t="shared" si="3"/>
        <v>5.6851324019482616</v>
      </c>
      <c r="L109" s="183">
        <f t="shared" si="3"/>
        <v>2.1847339328751887</v>
      </c>
      <c r="M109" s="183">
        <f t="shared" si="3"/>
        <v>10.229703737285705</v>
      </c>
      <c r="N109" s="183">
        <f t="shared" si="3"/>
        <v>212.77095991903693</v>
      </c>
      <c r="O109" s="183">
        <f t="shared" si="3"/>
        <v>0</v>
      </c>
      <c r="P109" s="183">
        <f t="shared" si="3"/>
        <v>9.7665966657990086E-2</v>
      </c>
      <c r="Q109" s="183">
        <f t="shared" si="3"/>
        <v>1.1013846946521718E-2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v>96</v>
      </c>
      <c r="F110" s="184">
        <v>96</v>
      </c>
      <c r="G110" s="184">
        <v>96</v>
      </c>
      <c r="H110" s="184">
        <v>96</v>
      </c>
      <c r="I110" s="184">
        <v>96</v>
      </c>
      <c r="J110" s="184">
        <v>96</v>
      </c>
      <c r="K110" s="184">
        <v>96</v>
      </c>
      <c r="L110" s="184">
        <v>96</v>
      </c>
      <c r="M110" s="184">
        <v>96</v>
      </c>
      <c r="N110" s="184">
        <v>96</v>
      </c>
      <c r="O110" s="184">
        <v>96</v>
      </c>
      <c r="P110" s="184">
        <v>96</v>
      </c>
      <c r="Q110" s="184"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3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45548.010416666664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45548.010416666664</v>
      </c>
      <c r="B9" s="112">
        <v>9.3000000000000007</v>
      </c>
      <c r="C9" s="112">
        <v>4.16</v>
      </c>
      <c r="D9" s="112">
        <v>14.08</v>
      </c>
      <c r="E9" s="112">
        <v>12.57</v>
      </c>
      <c r="F9" s="112">
        <v>4.95</v>
      </c>
      <c r="G9" s="112">
        <v>27.56</v>
      </c>
      <c r="H9" s="112">
        <v>3.8</v>
      </c>
      <c r="I9" s="112">
        <v>5.59</v>
      </c>
      <c r="J9" s="112">
        <v>0.66</v>
      </c>
      <c r="K9" s="112">
        <v>272.60000000000002</v>
      </c>
      <c r="L9" s="112">
        <v>26.72</v>
      </c>
      <c r="M9" s="112">
        <v>87.66</v>
      </c>
      <c r="N9" s="112">
        <v>2.1</v>
      </c>
      <c r="O9" s="112">
        <v>0</v>
      </c>
      <c r="P9" s="112">
        <v>0.43</v>
      </c>
      <c r="Q9" s="112">
        <v>4.63</v>
      </c>
    </row>
    <row r="10" spans="1:21" customFormat="1">
      <c r="A10" s="80">
        <v>45548.020833333336</v>
      </c>
      <c r="B10" s="112">
        <v>9.2899999999999991</v>
      </c>
      <c r="C10" s="112">
        <v>4.0999999999999996</v>
      </c>
      <c r="D10" s="112">
        <v>14.04</v>
      </c>
      <c r="E10" s="112">
        <v>11.62</v>
      </c>
      <c r="F10" s="112">
        <v>5.54</v>
      </c>
      <c r="G10" s="112">
        <v>27.65</v>
      </c>
      <c r="H10" s="112">
        <v>4.17</v>
      </c>
      <c r="I10" s="112">
        <v>5.46</v>
      </c>
      <c r="J10" s="112">
        <v>0.53</v>
      </c>
      <c r="K10" s="112">
        <v>271.58</v>
      </c>
      <c r="L10" s="112">
        <v>26.68</v>
      </c>
      <c r="M10" s="112">
        <v>88.11</v>
      </c>
      <c r="N10" s="112">
        <v>2.1</v>
      </c>
      <c r="O10" s="112">
        <v>0</v>
      </c>
      <c r="P10" s="112">
        <v>0.42</v>
      </c>
      <c r="Q10" s="112">
        <v>4.62</v>
      </c>
    </row>
    <row r="11" spans="1:21" customFormat="1">
      <c r="A11" s="80">
        <v>45548.03125</v>
      </c>
      <c r="B11" s="112">
        <v>9.2899999999999991</v>
      </c>
      <c r="C11" s="112">
        <v>4.09</v>
      </c>
      <c r="D11" s="112">
        <v>14.04</v>
      </c>
      <c r="E11" s="112">
        <v>11.04</v>
      </c>
      <c r="F11" s="112">
        <v>6.24</v>
      </c>
      <c r="G11" s="112">
        <v>28.64</v>
      </c>
      <c r="H11" s="112">
        <v>6.91</v>
      </c>
      <c r="I11" s="112">
        <v>5.41</v>
      </c>
      <c r="J11" s="112">
        <v>0.49</v>
      </c>
      <c r="K11" s="112">
        <v>271.25</v>
      </c>
      <c r="L11" s="112">
        <v>26.58</v>
      </c>
      <c r="M11" s="112">
        <v>88.8</v>
      </c>
      <c r="N11" s="112">
        <v>2.1</v>
      </c>
      <c r="O11" s="112">
        <v>0</v>
      </c>
      <c r="P11" s="112">
        <v>0.42</v>
      </c>
      <c r="Q11" s="112">
        <v>4.6399999999999997</v>
      </c>
    </row>
    <row r="12" spans="1:21" customFormat="1">
      <c r="A12" s="80">
        <v>45548.041666666664</v>
      </c>
      <c r="B12" s="112">
        <v>9.26</v>
      </c>
      <c r="C12" s="112">
        <v>4.09</v>
      </c>
      <c r="D12" s="112">
        <v>14.01</v>
      </c>
      <c r="E12" s="112">
        <v>11.13</v>
      </c>
      <c r="F12" s="112">
        <v>5.98</v>
      </c>
      <c r="G12" s="112">
        <v>28.64</v>
      </c>
      <c r="H12" s="112">
        <v>6.91</v>
      </c>
      <c r="I12" s="112">
        <v>5.41</v>
      </c>
      <c r="J12" s="112">
        <v>0.67</v>
      </c>
      <c r="K12" s="112">
        <v>270.08999999999997</v>
      </c>
      <c r="L12" s="112">
        <v>26.45</v>
      </c>
      <c r="M12" s="112">
        <v>89.71</v>
      </c>
      <c r="N12" s="112">
        <v>2.1</v>
      </c>
      <c r="O12" s="112">
        <v>0</v>
      </c>
      <c r="P12" s="112">
        <v>0.41</v>
      </c>
      <c r="Q12" s="112">
        <v>4.6500000000000004</v>
      </c>
    </row>
    <row r="13" spans="1:21" customFormat="1">
      <c r="A13" s="80">
        <v>45548.052083333336</v>
      </c>
      <c r="B13" s="112">
        <v>9.24</v>
      </c>
      <c r="C13" s="112">
        <v>4.0999999999999996</v>
      </c>
      <c r="D13" s="112">
        <v>14</v>
      </c>
      <c r="E13" s="112">
        <v>10.57</v>
      </c>
      <c r="F13" s="112">
        <v>5.53</v>
      </c>
      <c r="G13" s="112">
        <v>28.64</v>
      </c>
      <c r="H13" s="112">
        <v>6.91</v>
      </c>
      <c r="I13" s="112">
        <v>5.46</v>
      </c>
      <c r="J13" s="112">
        <v>0.74</v>
      </c>
      <c r="K13" s="112">
        <v>271.13</v>
      </c>
      <c r="L13" s="112">
        <v>26.42</v>
      </c>
      <c r="M13" s="112">
        <v>89.8</v>
      </c>
      <c r="N13" s="112">
        <v>2.1</v>
      </c>
      <c r="O13" s="112">
        <v>0</v>
      </c>
      <c r="P13" s="112">
        <v>0.41</v>
      </c>
      <c r="Q13" s="112">
        <v>4.6500000000000004</v>
      </c>
    </row>
    <row r="14" spans="1:21" customFormat="1">
      <c r="A14" s="80">
        <v>45548.0625</v>
      </c>
      <c r="B14" s="112">
        <v>9.23</v>
      </c>
      <c r="C14" s="112">
        <v>4.1100000000000003</v>
      </c>
      <c r="D14" s="112">
        <v>14</v>
      </c>
      <c r="E14" s="112">
        <v>10.65</v>
      </c>
      <c r="F14" s="112">
        <v>5.98</v>
      </c>
      <c r="G14" s="112">
        <v>28.69</v>
      </c>
      <c r="H14" s="112">
        <v>7.15</v>
      </c>
      <c r="I14" s="112">
        <v>5.41</v>
      </c>
      <c r="J14" s="112">
        <v>0.81</v>
      </c>
      <c r="K14" s="112">
        <v>272.44</v>
      </c>
      <c r="L14" s="112">
        <v>26.48</v>
      </c>
      <c r="M14" s="112">
        <v>88.61</v>
      </c>
      <c r="N14" s="112">
        <v>2.1</v>
      </c>
      <c r="O14" s="112">
        <v>0</v>
      </c>
      <c r="P14" s="112">
        <v>0.42</v>
      </c>
      <c r="Q14" s="112">
        <v>4.6500000000000004</v>
      </c>
    </row>
    <row r="15" spans="1:21" customFormat="1">
      <c r="A15" s="80">
        <v>45548.072916666664</v>
      </c>
      <c r="B15" s="112">
        <v>9.23</v>
      </c>
      <c r="C15" s="112">
        <v>4.1100000000000003</v>
      </c>
      <c r="D15" s="112">
        <v>14</v>
      </c>
      <c r="E15" s="112">
        <v>10.82</v>
      </c>
      <c r="F15" s="112">
        <v>6.21</v>
      </c>
      <c r="G15" s="112">
        <v>29.22</v>
      </c>
      <c r="H15" s="112">
        <v>8.89</v>
      </c>
      <c r="I15" s="112">
        <v>5.29</v>
      </c>
      <c r="J15" s="112">
        <v>0.87</v>
      </c>
      <c r="K15" s="112">
        <v>275.05</v>
      </c>
      <c r="L15" s="112">
        <v>26.42</v>
      </c>
      <c r="M15" s="112">
        <v>88.31</v>
      </c>
      <c r="N15" s="112">
        <v>2.1</v>
      </c>
      <c r="O15" s="112">
        <v>0</v>
      </c>
      <c r="P15" s="112">
        <v>0.42</v>
      </c>
      <c r="Q15" s="112">
        <v>4.6500000000000004</v>
      </c>
    </row>
    <row r="16" spans="1:21" customFormat="1">
      <c r="A16" s="80">
        <v>45548.083333333336</v>
      </c>
      <c r="B16" s="112">
        <v>9.24</v>
      </c>
      <c r="C16" s="112">
        <v>4.09</v>
      </c>
      <c r="D16" s="112">
        <v>14</v>
      </c>
      <c r="E16" s="112">
        <v>10.94</v>
      </c>
      <c r="F16" s="112">
        <v>6.11</v>
      </c>
      <c r="G16" s="112">
        <v>29.22</v>
      </c>
      <c r="H16" s="112">
        <v>8.89</v>
      </c>
      <c r="I16" s="112">
        <v>5.51</v>
      </c>
      <c r="J16" s="112">
        <v>0.56000000000000005</v>
      </c>
      <c r="K16" s="112">
        <v>271.82</v>
      </c>
      <c r="L16" s="112">
        <v>26.4</v>
      </c>
      <c r="M16" s="112">
        <v>88.43</v>
      </c>
      <c r="N16" s="112">
        <v>2.2000000000000002</v>
      </c>
      <c r="O16" s="112">
        <v>0</v>
      </c>
      <c r="P16" s="112">
        <v>0.41</v>
      </c>
      <c r="Q16" s="112">
        <v>4.6500000000000004</v>
      </c>
    </row>
    <row r="17" spans="1:17" customFormat="1">
      <c r="A17" s="80">
        <v>45548.09375</v>
      </c>
      <c r="B17" s="112">
        <v>9.26</v>
      </c>
      <c r="C17" s="112">
        <v>4.07</v>
      </c>
      <c r="D17" s="112">
        <v>14</v>
      </c>
      <c r="E17" s="112">
        <v>10.66</v>
      </c>
      <c r="F17" s="112">
        <v>5.94</v>
      </c>
      <c r="G17" s="112">
        <v>29.22</v>
      </c>
      <c r="H17" s="112">
        <v>8.89</v>
      </c>
      <c r="I17" s="112">
        <v>5.3</v>
      </c>
      <c r="J17" s="112">
        <v>0.35</v>
      </c>
      <c r="K17" s="112">
        <v>267.3</v>
      </c>
      <c r="L17" s="112">
        <v>26.17</v>
      </c>
      <c r="M17" s="112">
        <v>91.67</v>
      </c>
      <c r="N17" s="112">
        <v>2.4</v>
      </c>
      <c r="O17" s="112">
        <v>0</v>
      </c>
      <c r="P17" s="112">
        <v>0.43</v>
      </c>
      <c r="Q17" s="112">
        <v>4.66</v>
      </c>
    </row>
    <row r="18" spans="1:17" customFormat="1">
      <c r="A18" s="80">
        <v>45548.104166666664</v>
      </c>
      <c r="B18" s="112">
        <v>9.26</v>
      </c>
      <c r="C18" s="112">
        <v>4.07</v>
      </c>
      <c r="D18" s="112">
        <v>14</v>
      </c>
      <c r="E18" s="112">
        <v>11.65</v>
      </c>
      <c r="F18" s="112">
        <v>5.74</v>
      </c>
      <c r="G18" s="112">
        <v>28.46</v>
      </c>
      <c r="H18" s="112">
        <v>8.68</v>
      </c>
      <c r="I18" s="112">
        <v>5.33</v>
      </c>
      <c r="J18" s="112">
        <v>0.3</v>
      </c>
      <c r="K18" s="112">
        <v>259.43</v>
      </c>
      <c r="L18" s="112">
        <v>26.09</v>
      </c>
      <c r="M18" s="112">
        <v>92.35</v>
      </c>
      <c r="N18" s="112">
        <v>2.2000000000000002</v>
      </c>
      <c r="O18" s="112">
        <v>0</v>
      </c>
      <c r="P18" s="112">
        <v>0.41</v>
      </c>
      <c r="Q18" s="112">
        <v>4.67</v>
      </c>
    </row>
    <row r="19" spans="1:17" customFormat="1">
      <c r="A19" s="80">
        <v>45548.114583333336</v>
      </c>
      <c r="B19" s="112">
        <v>9.26</v>
      </c>
      <c r="C19" s="112">
        <v>4.07</v>
      </c>
      <c r="D19" s="112">
        <v>14</v>
      </c>
      <c r="E19" s="112">
        <v>11.05</v>
      </c>
      <c r="F19" s="112">
        <v>6.42</v>
      </c>
      <c r="G19" s="112">
        <v>20.69</v>
      </c>
      <c r="H19" s="112">
        <v>6.92</v>
      </c>
      <c r="I19" s="112">
        <v>5.83</v>
      </c>
      <c r="J19" s="112">
        <v>0.25</v>
      </c>
      <c r="K19" s="112">
        <v>268.89</v>
      </c>
      <c r="L19" s="112">
        <v>25.93</v>
      </c>
      <c r="M19" s="112">
        <v>93.95</v>
      </c>
      <c r="N19" s="112">
        <v>2.2000000000000002</v>
      </c>
      <c r="O19" s="112">
        <v>0</v>
      </c>
      <c r="P19" s="112">
        <v>0.38</v>
      </c>
      <c r="Q19" s="112">
        <v>4.66</v>
      </c>
    </row>
    <row r="20" spans="1:17" customFormat="1">
      <c r="A20" s="80">
        <v>45548.125</v>
      </c>
      <c r="B20" s="112">
        <v>9.27</v>
      </c>
      <c r="C20" s="112">
        <v>4.07</v>
      </c>
      <c r="D20" s="112">
        <v>14.01</v>
      </c>
      <c r="E20" s="112">
        <v>10.96</v>
      </c>
      <c r="F20" s="112">
        <v>6.59</v>
      </c>
      <c r="G20" s="112">
        <v>20.69</v>
      </c>
      <c r="H20" s="112">
        <v>6.92</v>
      </c>
      <c r="I20" s="112">
        <v>5.71</v>
      </c>
      <c r="J20" s="112">
        <v>0.31</v>
      </c>
      <c r="K20" s="112">
        <v>265.93</v>
      </c>
      <c r="L20" s="112">
        <v>25.87</v>
      </c>
      <c r="M20" s="112">
        <v>94.49</v>
      </c>
      <c r="N20" s="112">
        <v>2.1</v>
      </c>
      <c r="O20" s="112">
        <v>0</v>
      </c>
      <c r="P20" s="112">
        <v>0.37</v>
      </c>
      <c r="Q20" s="112">
        <v>4.66</v>
      </c>
    </row>
    <row r="21" spans="1:17" customFormat="1">
      <c r="A21" s="80">
        <v>45548.135416666664</v>
      </c>
      <c r="B21" s="112">
        <v>9.2799999999999994</v>
      </c>
      <c r="C21" s="112">
        <v>4.0599999999999996</v>
      </c>
      <c r="D21" s="112">
        <v>14.01</v>
      </c>
      <c r="E21" s="112">
        <v>10.77</v>
      </c>
      <c r="F21" s="112">
        <v>6.31</v>
      </c>
      <c r="G21" s="112">
        <v>20.69</v>
      </c>
      <c r="H21" s="112">
        <v>6.92</v>
      </c>
      <c r="I21" s="112">
        <v>5.03</v>
      </c>
      <c r="J21" s="112">
        <v>0.28999999999999998</v>
      </c>
      <c r="K21" s="112">
        <v>264.75</v>
      </c>
      <c r="L21" s="112">
        <v>25.82</v>
      </c>
      <c r="M21" s="112">
        <v>95.35</v>
      </c>
      <c r="N21" s="112">
        <v>2.1</v>
      </c>
      <c r="O21" s="112">
        <v>0</v>
      </c>
      <c r="P21" s="112">
        <v>0.37</v>
      </c>
      <c r="Q21" s="112">
        <v>4.6500000000000004</v>
      </c>
    </row>
    <row r="22" spans="1:17" customFormat="1">
      <c r="A22" s="80">
        <v>45548.145833333336</v>
      </c>
      <c r="B22" s="112">
        <v>9.27</v>
      </c>
      <c r="C22" s="112">
        <v>4.0599999999999996</v>
      </c>
      <c r="D22" s="112">
        <v>14</v>
      </c>
      <c r="E22" s="112">
        <v>10.56</v>
      </c>
      <c r="F22" s="112">
        <v>6.99</v>
      </c>
      <c r="G22" s="112">
        <v>20.92</v>
      </c>
      <c r="H22" s="112">
        <v>6.72</v>
      </c>
      <c r="I22" s="112">
        <v>4.92</v>
      </c>
      <c r="J22" s="112">
        <v>0.24</v>
      </c>
      <c r="K22" s="112">
        <v>259.72000000000003</v>
      </c>
      <c r="L22" s="112">
        <v>25.75</v>
      </c>
      <c r="M22" s="112">
        <v>96.03</v>
      </c>
      <c r="N22" s="112">
        <v>2.1</v>
      </c>
      <c r="O22" s="112">
        <v>0</v>
      </c>
      <c r="P22" s="112">
        <v>0.34</v>
      </c>
      <c r="Q22" s="112">
        <v>4.6500000000000004</v>
      </c>
    </row>
    <row r="23" spans="1:17" customFormat="1">
      <c r="A23" s="80">
        <v>45548.15625</v>
      </c>
      <c r="B23" s="112">
        <v>9.27</v>
      </c>
      <c r="C23" s="112">
        <v>4.05</v>
      </c>
      <c r="D23" s="112">
        <v>14</v>
      </c>
      <c r="E23" s="112">
        <v>10.41</v>
      </c>
      <c r="F23" s="112">
        <v>6.95</v>
      </c>
      <c r="G23" s="112">
        <v>23.24</v>
      </c>
      <c r="H23" s="112">
        <v>5.03</v>
      </c>
      <c r="I23" s="112">
        <v>4.88</v>
      </c>
      <c r="J23" s="112">
        <v>0.3</v>
      </c>
      <c r="K23" s="112">
        <v>272.43</v>
      </c>
      <c r="L23" s="112">
        <v>25.69</v>
      </c>
      <c r="M23" s="112">
        <v>96.28</v>
      </c>
      <c r="N23" s="112">
        <v>2.1</v>
      </c>
      <c r="O23" s="112">
        <v>0</v>
      </c>
      <c r="P23" s="112">
        <v>0.34</v>
      </c>
      <c r="Q23" s="112">
        <v>4.6500000000000004</v>
      </c>
    </row>
    <row r="24" spans="1:17" customFormat="1">
      <c r="A24" s="80">
        <v>45548.166666666664</v>
      </c>
      <c r="B24" s="112">
        <v>9.26</v>
      </c>
      <c r="C24" s="112">
        <v>4.0599999999999996</v>
      </c>
      <c r="D24" s="112">
        <v>14</v>
      </c>
      <c r="E24" s="112">
        <v>10.27</v>
      </c>
      <c r="F24" s="112">
        <v>6.83</v>
      </c>
      <c r="G24" s="112">
        <v>23.24</v>
      </c>
      <c r="H24" s="112">
        <v>5.03</v>
      </c>
      <c r="I24" s="112">
        <v>4.67</v>
      </c>
      <c r="J24" s="112">
        <v>0.32</v>
      </c>
      <c r="K24" s="112">
        <v>268.14</v>
      </c>
      <c r="L24" s="112">
        <v>25.67</v>
      </c>
      <c r="M24" s="112">
        <v>96.82</v>
      </c>
      <c r="N24" s="112">
        <v>2.1</v>
      </c>
      <c r="O24" s="112">
        <v>0</v>
      </c>
      <c r="P24" s="112">
        <v>0.33</v>
      </c>
      <c r="Q24" s="112">
        <v>4.6500000000000004</v>
      </c>
    </row>
    <row r="25" spans="1:17" customFormat="1">
      <c r="A25" s="80">
        <v>45548.177083333336</v>
      </c>
      <c r="B25" s="112">
        <v>9.26</v>
      </c>
      <c r="C25" s="112">
        <v>4.07</v>
      </c>
      <c r="D25" s="112">
        <v>14.01</v>
      </c>
      <c r="E25" s="112">
        <v>10.130000000000001</v>
      </c>
      <c r="F25" s="112">
        <v>6.45</v>
      </c>
      <c r="G25" s="112">
        <v>23.24</v>
      </c>
      <c r="H25" s="112">
        <v>5.03</v>
      </c>
      <c r="I25" s="112">
        <v>4.6500000000000004</v>
      </c>
      <c r="J25" s="112">
        <v>0.45</v>
      </c>
      <c r="K25" s="112">
        <v>271.79000000000002</v>
      </c>
      <c r="L25" s="112">
        <v>25.64</v>
      </c>
      <c r="M25" s="112">
        <v>96.95</v>
      </c>
      <c r="N25" s="112">
        <v>2.1</v>
      </c>
      <c r="O25" s="112">
        <v>0</v>
      </c>
      <c r="P25" s="112">
        <v>0.33</v>
      </c>
      <c r="Q25" s="112">
        <v>4.66</v>
      </c>
    </row>
    <row r="26" spans="1:17" customFormat="1">
      <c r="A26" s="80">
        <v>45548.1875</v>
      </c>
      <c r="B26" s="112">
        <v>9.27</v>
      </c>
      <c r="C26" s="112">
        <v>4.07</v>
      </c>
      <c r="D26" s="112">
        <v>14.01</v>
      </c>
      <c r="E26" s="112">
        <v>10.02</v>
      </c>
      <c r="F26" s="112">
        <v>6.54</v>
      </c>
      <c r="G26" s="112">
        <v>22.8</v>
      </c>
      <c r="H26" s="112">
        <v>5.17</v>
      </c>
      <c r="I26" s="112">
        <v>4.62</v>
      </c>
      <c r="J26" s="112">
        <v>0.48</v>
      </c>
      <c r="K26" s="112">
        <v>272.07</v>
      </c>
      <c r="L26" s="112">
        <v>25.75</v>
      </c>
      <c r="M26" s="112">
        <v>96.43</v>
      </c>
      <c r="N26" s="112">
        <v>2.1</v>
      </c>
      <c r="O26" s="112">
        <v>0</v>
      </c>
      <c r="P26" s="112">
        <v>0.34</v>
      </c>
      <c r="Q26" s="112">
        <v>4.66</v>
      </c>
    </row>
    <row r="27" spans="1:17" customFormat="1">
      <c r="A27" s="80">
        <v>45548.197916666664</v>
      </c>
      <c r="B27" s="112">
        <v>9.2799999999999994</v>
      </c>
      <c r="C27" s="112">
        <v>4.0599999999999996</v>
      </c>
      <c r="D27" s="112">
        <v>14.01</v>
      </c>
      <c r="E27" s="112">
        <v>10.199999999999999</v>
      </c>
      <c r="F27" s="112">
        <v>6.58</v>
      </c>
      <c r="G27" s="112">
        <v>18.350000000000001</v>
      </c>
      <c r="H27" s="112">
        <v>6.2</v>
      </c>
      <c r="I27" s="112">
        <v>4.57</v>
      </c>
      <c r="J27" s="112">
        <v>0.68</v>
      </c>
      <c r="K27" s="112">
        <v>272.91000000000003</v>
      </c>
      <c r="L27" s="112">
        <v>25.82</v>
      </c>
      <c r="M27" s="112">
        <v>95.26</v>
      </c>
      <c r="N27" s="112">
        <v>2.1</v>
      </c>
      <c r="O27" s="112">
        <v>0</v>
      </c>
      <c r="P27" s="112">
        <v>0.36</v>
      </c>
      <c r="Q27" s="112">
        <v>4.66</v>
      </c>
    </row>
    <row r="28" spans="1:17" customFormat="1">
      <c r="A28" s="80">
        <v>45548.208333333336</v>
      </c>
      <c r="B28" s="112">
        <v>9.27</v>
      </c>
      <c r="C28" s="112">
        <v>4.07</v>
      </c>
      <c r="D28" s="112">
        <v>14.01</v>
      </c>
      <c r="E28" s="112">
        <v>11.01</v>
      </c>
      <c r="F28" s="112">
        <v>7.1</v>
      </c>
      <c r="G28" s="112">
        <v>18.350000000000001</v>
      </c>
      <c r="H28" s="112">
        <v>6.2</v>
      </c>
      <c r="I28" s="112">
        <v>4.6100000000000003</v>
      </c>
      <c r="J28" s="112">
        <v>0.59</v>
      </c>
      <c r="K28" s="112">
        <v>272.47000000000003</v>
      </c>
      <c r="L28" s="112">
        <v>25.86</v>
      </c>
      <c r="M28" s="112">
        <v>93.86</v>
      </c>
      <c r="N28" s="112">
        <v>2.2000000000000002</v>
      </c>
      <c r="O28" s="112">
        <v>0</v>
      </c>
      <c r="P28" s="112">
        <v>0.36</v>
      </c>
      <c r="Q28" s="112">
        <v>4.66</v>
      </c>
    </row>
    <row r="29" spans="1:17" customFormat="1">
      <c r="A29" s="80">
        <v>45548.21875</v>
      </c>
      <c r="B29" s="112">
        <v>9.27</v>
      </c>
      <c r="C29" s="112">
        <v>4.0599999999999996</v>
      </c>
      <c r="D29" s="112">
        <v>14</v>
      </c>
      <c r="E29" s="112">
        <v>10.48</v>
      </c>
      <c r="F29" s="112">
        <v>5.99</v>
      </c>
      <c r="G29" s="112">
        <v>18.350000000000001</v>
      </c>
      <c r="H29" s="112">
        <v>6.2</v>
      </c>
      <c r="I29" s="112">
        <v>4.59</v>
      </c>
      <c r="J29" s="112">
        <v>0.52</v>
      </c>
      <c r="K29" s="112">
        <v>270.93</v>
      </c>
      <c r="L29" s="112">
        <v>25.89</v>
      </c>
      <c r="M29" s="112">
        <v>93.44</v>
      </c>
      <c r="N29" s="112">
        <v>2.2999999999999998</v>
      </c>
      <c r="O29" s="112">
        <v>0</v>
      </c>
      <c r="P29" s="112">
        <v>0.36</v>
      </c>
      <c r="Q29" s="112">
        <v>4.66</v>
      </c>
    </row>
    <row r="30" spans="1:17" customFormat="1">
      <c r="A30" s="80">
        <v>45548.229166666664</v>
      </c>
      <c r="B30" s="112">
        <v>9.2799999999999994</v>
      </c>
      <c r="C30" s="112">
        <v>4.05</v>
      </c>
      <c r="D30" s="112">
        <v>14.01</v>
      </c>
      <c r="E30" s="112">
        <v>10.9</v>
      </c>
      <c r="F30" s="112">
        <v>6.47</v>
      </c>
      <c r="G30" s="112">
        <v>18.43</v>
      </c>
      <c r="H30" s="112">
        <v>5.98</v>
      </c>
      <c r="I30" s="112">
        <v>4.57</v>
      </c>
      <c r="J30" s="112">
        <v>0.73</v>
      </c>
      <c r="K30" s="112">
        <v>274.16000000000003</v>
      </c>
      <c r="L30" s="112">
        <v>25.86</v>
      </c>
      <c r="M30" s="112">
        <v>92.96</v>
      </c>
      <c r="N30" s="112">
        <v>2.4</v>
      </c>
      <c r="O30" s="112">
        <v>0</v>
      </c>
      <c r="P30" s="112">
        <v>0.35</v>
      </c>
      <c r="Q30" s="112">
        <v>4.6500000000000004</v>
      </c>
    </row>
    <row r="31" spans="1:17" customFormat="1">
      <c r="A31" s="80">
        <v>45548.239583333336</v>
      </c>
      <c r="B31" s="112">
        <v>9.2799999999999994</v>
      </c>
      <c r="C31" s="112">
        <v>4.0599999999999996</v>
      </c>
      <c r="D31" s="112">
        <v>14.01</v>
      </c>
      <c r="E31" s="112">
        <v>11</v>
      </c>
      <c r="F31" s="112">
        <v>6.53</v>
      </c>
      <c r="G31" s="112">
        <v>19.260000000000002</v>
      </c>
      <c r="H31" s="112">
        <v>4.38</v>
      </c>
      <c r="I31" s="112">
        <v>4.47</v>
      </c>
      <c r="J31" s="112">
        <v>0.59</v>
      </c>
      <c r="K31" s="112">
        <v>270.92</v>
      </c>
      <c r="L31" s="112">
        <v>25.84</v>
      </c>
      <c r="M31" s="112">
        <v>93</v>
      </c>
      <c r="N31" s="112">
        <v>3.2</v>
      </c>
      <c r="O31" s="112">
        <v>0</v>
      </c>
      <c r="P31" s="112">
        <v>0.34</v>
      </c>
      <c r="Q31" s="112">
        <v>4.66</v>
      </c>
    </row>
    <row r="32" spans="1:17" customFormat="1">
      <c r="A32" s="80">
        <v>45548.25</v>
      </c>
      <c r="B32" s="112">
        <v>9.2799999999999994</v>
      </c>
      <c r="C32" s="112">
        <v>4.0599999999999996</v>
      </c>
      <c r="D32" s="112">
        <v>14.01</v>
      </c>
      <c r="E32" s="112">
        <v>10.9</v>
      </c>
      <c r="F32" s="112">
        <v>5.78</v>
      </c>
      <c r="G32" s="112">
        <v>19.260000000000002</v>
      </c>
      <c r="H32" s="112">
        <v>4.38</v>
      </c>
      <c r="I32" s="112">
        <v>4.33</v>
      </c>
      <c r="J32" s="112">
        <v>0.63</v>
      </c>
      <c r="K32" s="112">
        <v>268.5</v>
      </c>
      <c r="L32" s="112">
        <v>25.86</v>
      </c>
      <c r="M32" s="112">
        <v>92.87</v>
      </c>
      <c r="N32" s="112">
        <v>7.3</v>
      </c>
      <c r="O32" s="112">
        <v>0</v>
      </c>
      <c r="P32" s="112">
        <v>0.35</v>
      </c>
      <c r="Q32" s="112">
        <v>4.66</v>
      </c>
    </row>
    <row r="33" spans="1:17" customFormat="1">
      <c r="A33" s="80">
        <v>45548.260416666664</v>
      </c>
      <c r="B33" s="112">
        <v>9.2799999999999994</v>
      </c>
      <c r="C33" s="112">
        <v>4.07</v>
      </c>
      <c r="D33" s="112">
        <v>14.02</v>
      </c>
      <c r="E33" s="112">
        <v>10.89</v>
      </c>
      <c r="F33" s="112">
        <v>5.73</v>
      </c>
      <c r="G33" s="112">
        <v>19.260000000000002</v>
      </c>
      <c r="H33" s="112">
        <v>4.38</v>
      </c>
      <c r="I33" s="112">
        <v>4.33</v>
      </c>
      <c r="J33" s="112">
        <v>0.66</v>
      </c>
      <c r="K33" s="112">
        <v>273.61</v>
      </c>
      <c r="L33" s="112">
        <v>25.73</v>
      </c>
      <c r="M33" s="112">
        <v>92.95</v>
      </c>
      <c r="N33" s="112">
        <v>13.7</v>
      </c>
      <c r="O33" s="112">
        <v>0</v>
      </c>
      <c r="P33" s="112">
        <v>0.34</v>
      </c>
      <c r="Q33" s="112">
        <v>4.6500000000000004</v>
      </c>
    </row>
    <row r="34" spans="1:17" customFormat="1">
      <c r="A34" s="80">
        <v>45548.270833333336</v>
      </c>
      <c r="B34" s="112">
        <v>9.2799999999999994</v>
      </c>
      <c r="C34" s="112">
        <v>4.09</v>
      </c>
      <c r="D34" s="112">
        <v>14.03</v>
      </c>
      <c r="E34" s="112">
        <v>11.24</v>
      </c>
      <c r="F34" s="112">
        <v>5.24</v>
      </c>
      <c r="G34" s="112">
        <v>18.829999999999998</v>
      </c>
      <c r="H34" s="112">
        <v>4.42</v>
      </c>
      <c r="I34" s="112">
        <v>4.3</v>
      </c>
      <c r="J34" s="112">
        <v>0.67</v>
      </c>
      <c r="K34" s="112">
        <v>272.70999999999998</v>
      </c>
      <c r="L34" s="112">
        <v>25.83</v>
      </c>
      <c r="M34" s="112">
        <v>92.4</v>
      </c>
      <c r="N34" s="112">
        <v>19.100000000000001</v>
      </c>
      <c r="O34" s="112">
        <v>0</v>
      </c>
      <c r="P34" s="112">
        <v>0.34</v>
      </c>
      <c r="Q34" s="112">
        <v>4.66</v>
      </c>
    </row>
    <row r="35" spans="1:17" customFormat="1">
      <c r="A35" s="80">
        <v>45548.28125</v>
      </c>
      <c r="B35" s="112">
        <v>9.2799999999999994</v>
      </c>
      <c r="C35" s="112">
        <v>4.08</v>
      </c>
      <c r="D35" s="112">
        <v>14.03</v>
      </c>
      <c r="E35" s="112">
        <v>11.53</v>
      </c>
      <c r="F35" s="112">
        <v>5.56</v>
      </c>
      <c r="G35" s="112">
        <v>14.38</v>
      </c>
      <c r="H35" s="112">
        <v>4.79</v>
      </c>
      <c r="I35" s="112">
        <v>4.2300000000000004</v>
      </c>
      <c r="J35" s="112">
        <v>0.69</v>
      </c>
      <c r="K35" s="112">
        <v>275.02</v>
      </c>
      <c r="L35" s="112">
        <v>25.89</v>
      </c>
      <c r="M35" s="112">
        <v>92.18</v>
      </c>
      <c r="N35" s="112">
        <v>24.7</v>
      </c>
      <c r="O35" s="112">
        <v>0</v>
      </c>
      <c r="P35" s="112">
        <v>0.34</v>
      </c>
      <c r="Q35" s="112">
        <v>4.67</v>
      </c>
    </row>
    <row r="36" spans="1:17" customFormat="1">
      <c r="A36" s="80">
        <v>45548.291666666664</v>
      </c>
      <c r="B36" s="112">
        <v>9.2799999999999994</v>
      </c>
      <c r="C36" s="112">
        <v>4.07</v>
      </c>
      <c r="D36" s="112">
        <v>14.02</v>
      </c>
      <c r="E36" s="112">
        <v>11.79</v>
      </c>
      <c r="F36" s="112">
        <v>4.6900000000000004</v>
      </c>
      <c r="G36" s="112">
        <v>14.38</v>
      </c>
      <c r="H36" s="112">
        <v>4.79</v>
      </c>
      <c r="I36" s="112">
        <v>4.1500000000000004</v>
      </c>
      <c r="J36" s="112">
        <v>0.83</v>
      </c>
      <c r="K36" s="112">
        <v>272.98</v>
      </c>
      <c r="L36" s="112">
        <v>26</v>
      </c>
      <c r="M36" s="112">
        <v>91.32</v>
      </c>
      <c r="N36" s="112">
        <v>31.9</v>
      </c>
      <c r="O36" s="112">
        <v>0</v>
      </c>
      <c r="P36" s="112">
        <v>0.34</v>
      </c>
      <c r="Q36" s="112">
        <v>4.6500000000000004</v>
      </c>
    </row>
    <row r="37" spans="1:17" customFormat="1">
      <c r="A37" s="80">
        <v>45548.302083333336</v>
      </c>
      <c r="B37" s="112">
        <v>9.2799999999999994</v>
      </c>
      <c r="C37" s="112">
        <v>4.08</v>
      </c>
      <c r="D37" s="112">
        <v>14.02</v>
      </c>
      <c r="E37" s="112">
        <v>11.95</v>
      </c>
      <c r="F37" s="112">
        <v>4.7300000000000004</v>
      </c>
      <c r="G37" s="112">
        <v>14.38</v>
      </c>
      <c r="H37" s="112">
        <v>4.79</v>
      </c>
      <c r="I37" s="112">
        <v>4.18</v>
      </c>
      <c r="J37" s="112">
        <v>0.63</v>
      </c>
      <c r="K37" s="112">
        <v>271.23</v>
      </c>
      <c r="L37" s="112">
        <v>26.13</v>
      </c>
      <c r="M37" s="112">
        <v>90.9</v>
      </c>
      <c r="N37" s="112">
        <v>44.8</v>
      </c>
      <c r="O37" s="112">
        <v>0</v>
      </c>
      <c r="P37" s="112">
        <v>0.34</v>
      </c>
      <c r="Q37" s="112">
        <v>4.66</v>
      </c>
    </row>
    <row r="38" spans="1:17" customFormat="1">
      <c r="A38" s="80">
        <v>45548.3125</v>
      </c>
      <c r="B38" s="112">
        <v>9.3000000000000007</v>
      </c>
      <c r="C38" s="112">
        <v>4.0599999999999996</v>
      </c>
      <c r="D38" s="112">
        <v>14.03</v>
      </c>
      <c r="E38" s="112">
        <v>11.61</v>
      </c>
      <c r="F38" s="112">
        <v>4.93</v>
      </c>
      <c r="G38" s="112">
        <v>14.96</v>
      </c>
      <c r="H38" s="112">
        <v>4.92</v>
      </c>
      <c r="I38" s="112">
        <v>4.22</v>
      </c>
      <c r="J38" s="112">
        <v>0.82</v>
      </c>
      <c r="K38" s="112">
        <v>272.13</v>
      </c>
      <c r="L38" s="112">
        <v>26.23</v>
      </c>
      <c r="M38" s="112">
        <v>90.42</v>
      </c>
      <c r="N38" s="112">
        <v>58.5</v>
      </c>
      <c r="O38" s="112">
        <v>0</v>
      </c>
      <c r="P38" s="112">
        <v>0.35</v>
      </c>
      <c r="Q38" s="112">
        <v>4.66</v>
      </c>
    </row>
    <row r="39" spans="1:17" customFormat="1">
      <c r="A39" s="80">
        <v>45548.322916666664</v>
      </c>
      <c r="B39" s="112">
        <v>9.27</v>
      </c>
      <c r="C39" s="112">
        <v>4.08</v>
      </c>
      <c r="D39" s="112">
        <v>14.02</v>
      </c>
      <c r="E39" s="112">
        <v>12.24</v>
      </c>
      <c r="F39" s="112">
        <v>4.5999999999999996</v>
      </c>
      <c r="G39" s="112">
        <v>20.89</v>
      </c>
      <c r="H39" s="112">
        <v>6.02</v>
      </c>
      <c r="I39" s="112">
        <v>4.2300000000000004</v>
      </c>
      <c r="J39" s="112">
        <v>0.69</v>
      </c>
      <c r="K39" s="112">
        <v>275.85000000000002</v>
      </c>
      <c r="L39" s="112">
        <v>26.48</v>
      </c>
      <c r="M39" s="112">
        <v>89.69</v>
      </c>
      <c r="N39" s="112">
        <v>82.5</v>
      </c>
      <c r="O39" s="112">
        <v>0</v>
      </c>
      <c r="P39" s="112">
        <v>0.35</v>
      </c>
      <c r="Q39" s="112">
        <v>4.6500000000000004</v>
      </c>
    </row>
    <row r="40" spans="1:17" customFormat="1">
      <c r="A40" s="80">
        <v>45548.333333333336</v>
      </c>
      <c r="B40" s="112">
        <v>9.27</v>
      </c>
      <c r="C40" s="112">
        <v>4.07</v>
      </c>
      <c r="D40" s="112">
        <v>14.01</v>
      </c>
      <c r="E40" s="112">
        <v>11.91</v>
      </c>
      <c r="F40" s="112">
        <v>4.4400000000000004</v>
      </c>
      <c r="G40" s="112">
        <v>20.89</v>
      </c>
      <c r="H40" s="112">
        <v>6.02</v>
      </c>
      <c r="I40" s="112">
        <v>4.28</v>
      </c>
      <c r="J40" s="112">
        <v>0.89</v>
      </c>
      <c r="K40" s="112">
        <v>273.27</v>
      </c>
      <c r="L40" s="112">
        <v>26.6</v>
      </c>
      <c r="M40" s="112">
        <v>88.51</v>
      </c>
      <c r="N40" s="112">
        <v>72.599999999999994</v>
      </c>
      <c r="O40" s="112">
        <v>0</v>
      </c>
      <c r="P40" s="112">
        <v>0.36</v>
      </c>
      <c r="Q40" s="112">
        <v>4.66</v>
      </c>
    </row>
    <row r="41" spans="1:17" customFormat="1">
      <c r="A41" s="80">
        <v>45548.34375</v>
      </c>
      <c r="B41" s="112">
        <v>9.27</v>
      </c>
      <c r="C41" s="112">
        <v>4.07</v>
      </c>
      <c r="D41" s="112">
        <v>14.01</v>
      </c>
      <c r="E41" s="112">
        <v>12.14</v>
      </c>
      <c r="F41" s="112">
        <v>4.72</v>
      </c>
      <c r="G41" s="112">
        <v>20.89</v>
      </c>
      <c r="H41" s="112">
        <v>6.02</v>
      </c>
      <c r="I41" s="112">
        <v>4.3899999999999997</v>
      </c>
      <c r="J41" s="112">
        <v>0.86</v>
      </c>
      <c r="K41" s="112">
        <v>276.57</v>
      </c>
      <c r="L41" s="112">
        <v>26.66</v>
      </c>
      <c r="M41" s="112">
        <v>87.55</v>
      </c>
      <c r="N41" s="112">
        <v>94</v>
      </c>
      <c r="O41" s="112">
        <v>0</v>
      </c>
      <c r="P41" s="112">
        <v>0.37</v>
      </c>
      <c r="Q41" s="112">
        <v>4.6500000000000004</v>
      </c>
    </row>
    <row r="42" spans="1:17" customFormat="1">
      <c r="A42" s="80">
        <v>45548.354166666664</v>
      </c>
      <c r="B42" s="112">
        <v>9.26</v>
      </c>
      <c r="C42" s="112">
        <v>4.1100000000000003</v>
      </c>
      <c r="D42" s="112">
        <v>14.02</v>
      </c>
      <c r="E42" s="112">
        <v>12.39</v>
      </c>
      <c r="F42" s="112">
        <v>4.54</v>
      </c>
      <c r="G42" s="112">
        <v>21.64</v>
      </c>
      <c r="H42" s="112">
        <v>5.86</v>
      </c>
      <c r="I42" s="112">
        <v>4.57</v>
      </c>
      <c r="J42" s="112">
        <v>0.71</v>
      </c>
      <c r="K42" s="112">
        <v>282.45</v>
      </c>
      <c r="L42" s="112">
        <v>27.05</v>
      </c>
      <c r="M42" s="112">
        <v>86.4</v>
      </c>
      <c r="N42" s="112">
        <v>124.4</v>
      </c>
      <c r="O42" s="112">
        <v>0</v>
      </c>
      <c r="P42" s="112">
        <v>0.38</v>
      </c>
      <c r="Q42" s="112">
        <v>4.6500000000000004</v>
      </c>
    </row>
    <row r="43" spans="1:17" customFormat="1">
      <c r="A43" s="80">
        <v>45548.364583333336</v>
      </c>
      <c r="B43" s="112">
        <v>9.26</v>
      </c>
      <c r="C43" s="112">
        <v>4.08</v>
      </c>
      <c r="D43" s="112">
        <v>14.01</v>
      </c>
      <c r="E43" s="112">
        <v>12.77</v>
      </c>
      <c r="F43" s="112">
        <v>4.54</v>
      </c>
      <c r="G43" s="112">
        <v>29.27</v>
      </c>
      <c r="H43" s="112">
        <v>4.4800000000000004</v>
      </c>
      <c r="I43" s="112">
        <v>4.8499999999999996</v>
      </c>
      <c r="J43" s="112">
        <v>0.7</v>
      </c>
      <c r="K43" s="112">
        <v>272.05</v>
      </c>
      <c r="L43" s="112">
        <v>27.46</v>
      </c>
      <c r="M43" s="112">
        <v>84.76</v>
      </c>
      <c r="N43" s="112">
        <v>126.4</v>
      </c>
      <c r="O43" s="112">
        <v>0</v>
      </c>
      <c r="P43" s="112">
        <v>0.4</v>
      </c>
      <c r="Q43" s="112">
        <v>4.6500000000000004</v>
      </c>
    </row>
    <row r="44" spans="1:17" customFormat="1">
      <c r="A44" s="80">
        <v>45548.375</v>
      </c>
      <c r="B44" s="112">
        <v>9.2799999999999994</v>
      </c>
      <c r="C44" s="112">
        <v>4.05</v>
      </c>
      <c r="D44" s="112">
        <v>14.01</v>
      </c>
      <c r="E44" s="112">
        <v>12.68</v>
      </c>
      <c r="F44" s="112">
        <v>4.4000000000000004</v>
      </c>
      <c r="G44" s="112">
        <v>29.27</v>
      </c>
      <c r="H44" s="112">
        <v>4.4800000000000004</v>
      </c>
      <c r="I44" s="112">
        <v>5.0999999999999996</v>
      </c>
      <c r="J44" s="112">
        <v>0.66</v>
      </c>
      <c r="K44" s="112">
        <v>281.41000000000003</v>
      </c>
      <c r="L44" s="112">
        <v>27.73</v>
      </c>
      <c r="M44" s="112">
        <v>83.59</v>
      </c>
      <c r="N44" s="112">
        <v>270.10000000000002</v>
      </c>
      <c r="O44" s="112">
        <v>0</v>
      </c>
      <c r="P44" s="112">
        <v>0.42</v>
      </c>
      <c r="Q44" s="112">
        <v>4.6399999999999997</v>
      </c>
    </row>
    <row r="45" spans="1:17" customFormat="1">
      <c r="A45" s="80">
        <v>45548.385416666664</v>
      </c>
      <c r="B45" s="112">
        <v>9.27</v>
      </c>
      <c r="C45" s="112">
        <v>4.0599999999999996</v>
      </c>
      <c r="D45" s="112">
        <v>14</v>
      </c>
      <c r="E45" s="112">
        <v>12.95</v>
      </c>
      <c r="F45" s="112">
        <v>4.41</v>
      </c>
      <c r="G45" s="112">
        <v>29.27</v>
      </c>
      <c r="H45" s="112">
        <v>4.4800000000000004</v>
      </c>
      <c r="I45" s="112">
        <v>5.41</v>
      </c>
      <c r="J45" s="112">
        <v>0.66</v>
      </c>
      <c r="K45" s="112">
        <v>295.14999999999998</v>
      </c>
      <c r="L45" s="112">
        <v>28.52</v>
      </c>
      <c r="M45" s="112">
        <v>79.680000000000007</v>
      </c>
      <c r="N45" s="112">
        <v>399.6</v>
      </c>
      <c r="O45" s="112">
        <v>0</v>
      </c>
      <c r="P45" s="112">
        <v>0.43</v>
      </c>
      <c r="Q45" s="112">
        <v>4.66</v>
      </c>
    </row>
    <row r="46" spans="1:17" customFormat="1">
      <c r="A46" s="80">
        <v>45548.395833333336</v>
      </c>
      <c r="B46" s="112">
        <v>9.25</v>
      </c>
      <c r="C46" s="112">
        <v>4.0999999999999996</v>
      </c>
      <c r="D46" s="112">
        <v>14.01</v>
      </c>
      <c r="E46" s="112">
        <v>13.1</v>
      </c>
      <c r="F46" s="112">
        <v>4.75</v>
      </c>
      <c r="G46" s="112">
        <v>29.52</v>
      </c>
      <c r="H46" s="112">
        <v>4.76</v>
      </c>
      <c r="I46" s="112">
        <v>5.55</v>
      </c>
      <c r="J46" s="112">
        <v>0.64</v>
      </c>
      <c r="K46" s="112">
        <v>287.01</v>
      </c>
      <c r="L46" s="112">
        <v>28.97</v>
      </c>
      <c r="M46" s="112">
        <v>77.11</v>
      </c>
      <c r="N46" s="112">
        <v>371.1</v>
      </c>
      <c r="O46" s="112">
        <v>0</v>
      </c>
      <c r="P46" s="112">
        <v>0.44</v>
      </c>
      <c r="Q46" s="112">
        <v>4.6500000000000004</v>
      </c>
    </row>
    <row r="47" spans="1:17" customFormat="1">
      <c r="A47" s="80">
        <v>45548.40625</v>
      </c>
      <c r="B47" s="112">
        <v>9.3000000000000007</v>
      </c>
      <c r="C47" s="112">
        <v>4.0999999999999996</v>
      </c>
      <c r="D47" s="112">
        <v>14.05</v>
      </c>
      <c r="E47" s="112">
        <v>13.32</v>
      </c>
      <c r="F47" s="112">
        <v>5.28</v>
      </c>
      <c r="G47" s="112">
        <v>32.03</v>
      </c>
      <c r="H47" s="112">
        <v>6.8</v>
      </c>
      <c r="I47" s="112">
        <v>5.63</v>
      </c>
      <c r="J47" s="112">
        <v>0.66</v>
      </c>
      <c r="K47" s="112">
        <v>288.22000000000003</v>
      </c>
      <c r="L47" s="112">
        <v>29.47</v>
      </c>
      <c r="M47" s="112">
        <v>74.739999999999995</v>
      </c>
      <c r="N47" s="112">
        <v>392</v>
      </c>
      <c r="O47" s="112">
        <v>0</v>
      </c>
      <c r="P47" s="112">
        <v>0.43</v>
      </c>
      <c r="Q47" s="112">
        <v>4.6399999999999997</v>
      </c>
    </row>
    <row r="48" spans="1:17" customFormat="1">
      <c r="A48" s="80">
        <v>45548.416666666664</v>
      </c>
      <c r="B48" s="112">
        <v>9.39</v>
      </c>
      <c r="C48" s="112">
        <v>4.07</v>
      </c>
      <c r="D48" s="112">
        <v>14.11</v>
      </c>
      <c r="E48" s="112">
        <v>13.04</v>
      </c>
      <c r="F48" s="112">
        <v>6.36</v>
      </c>
      <c r="G48" s="112">
        <v>32.03</v>
      </c>
      <c r="H48" s="112">
        <v>6.8</v>
      </c>
      <c r="I48" s="112">
        <v>5.71</v>
      </c>
      <c r="J48" s="112">
        <v>0.56999999999999995</v>
      </c>
      <c r="K48" s="112">
        <v>300.72000000000003</v>
      </c>
      <c r="L48" s="112">
        <v>29.76</v>
      </c>
      <c r="M48" s="112">
        <v>72.790000000000006</v>
      </c>
      <c r="N48" s="112">
        <v>296.39999999999998</v>
      </c>
      <c r="O48" s="112">
        <v>0</v>
      </c>
      <c r="P48" s="112">
        <v>0.44</v>
      </c>
      <c r="Q48" s="112">
        <v>4.6399999999999997</v>
      </c>
    </row>
    <row r="49" spans="1:17" customFormat="1">
      <c r="A49" s="80">
        <v>45548.427083333336</v>
      </c>
      <c r="B49" s="112">
        <v>9.4700000000000006</v>
      </c>
      <c r="C49" s="112">
        <v>4.07</v>
      </c>
      <c r="D49" s="112">
        <v>14.17</v>
      </c>
      <c r="E49" s="112">
        <v>8.61</v>
      </c>
      <c r="F49" s="112">
        <v>5.91</v>
      </c>
      <c r="G49" s="112">
        <v>32.03</v>
      </c>
      <c r="H49" s="112">
        <v>6.8</v>
      </c>
      <c r="I49" s="112">
        <v>5.76</v>
      </c>
      <c r="J49" s="112">
        <v>0.69</v>
      </c>
      <c r="K49" s="112">
        <v>294.08999999999997</v>
      </c>
      <c r="L49" s="112">
        <v>29.69</v>
      </c>
      <c r="M49" s="112">
        <v>71.98</v>
      </c>
      <c r="N49" s="112">
        <v>245.7</v>
      </c>
      <c r="O49" s="112">
        <v>0</v>
      </c>
      <c r="P49" s="112">
        <v>0.44</v>
      </c>
      <c r="Q49" s="112">
        <v>4.6399999999999997</v>
      </c>
    </row>
    <row r="50" spans="1:17" customFormat="1">
      <c r="A50" s="80">
        <v>45548.4375</v>
      </c>
      <c r="B50" s="112">
        <v>9.4700000000000006</v>
      </c>
      <c r="C50" s="112">
        <v>4.0599999999999996</v>
      </c>
      <c r="D50" s="112">
        <v>14.17</v>
      </c>
      <c r="E50" s="112">
        <v>9.82</v>
      </c>
      <c r="F50" s="112">
        <v>6.62</v>
      </c>
      <c r="G50" s="112">
        <v>33.630000000000003</v>
      </c>
      <c r="H50" s="112">
        <v>7.56</v>
      </c>
      <c r="I50" s="112">
        <v>5.95</v>
      </c>
      <c r="J50" s="112">
        <v>0.41</v>
      </c>
      <c r="K50" s="112">
        <v>304.14</v>
      </c>
      <c r="L50" s="112">
        <v>29.76</v>
      </c>
      <c r="M50" s="112">
        <v>71.09</v>
      </c>
      <c r="N50" s="112">
        <v>207.2</v>
      </c>
      <c r="O50" s="112">
        <v>0</v>
      </c>
      <c r="P50" s="112">
        <v>0.45</v>
      </c>
      <c r="Q50" s="112">
        <v>4.63</v>
      </c>
    </row>
    <row r="51" spans="1:17" customFormat="1">
      <c r="A51" s="80">
        <v>45548.447916666664</v>
      </c>
      <c r="B51" s="112">
        <v>9.4499999999999993</v>
      </c>
      <c r="C51" s="112">
        <v>4.0599999999999996</v>
      </c>
      <c r="D51" s="112">
        <v>14.15</v>
      </c>
      <c r="E51" s="112">
        <v>9.5399999999999991</v>
      </c>
      <c r="F51" s="112">
        <v>7.06</v>
      </c>
      <c r="G51" s="112">
        <v>50</v>
      </c>
      <c r="H51" s="112">
        <v>13.95</v>
      </c>
      <c r="I51" s="112">
        <v>5.94</v>
      </c>
      <c r="J51" s="112">
        <v>0.43</v>
      </c>
      <c r="K51" s="112">
        <v>319.14</v>
      </c>
      <c r="L51" s="112">
        <v>29.88</v>
      </c>
      <c r="M51" s="112">
        <v>70.73</v>
      </c>
      <c r="N51" s="112">
        <v>230.9</v>
      </c>
      <c r="O51" s="112">
        <v>0</v>
      </c>
      <c r="P51" s="112">
        <v>0.45</v>
      </c>
      <c r="Q51" s="112">
        <v>4.63</v>
      </c>
    </row>
    <row r="52" spans="1:17" customFormat="1">
      <c r="A52" s="80">
        <v>45548.458333333336</v>
      </c>
      <c r="B52" s="112">
        <v>9.4600000000000009</v>
      </c>
      <c r="C52" s="112">
        <v>4.0599999999999996</v>
      </c>
      <c r="D52" s="112">
        <v>14.16</v>
      </c>
      <c r="E52" s="112">
        <v>9.58</v>
      </c>
      <c r="F52" s="112">
        <v>6.1</v>
      </c>
      <c r="G52" s="112">
        <v>50</v>
      </c>
      <c r="H52" s="112">
        <v>13.95</v>
      </c>
      <c r="I52" s="112">
        <v>5.82</v>
      </c>
      <c r="J52" s="112">
        <v>0.6</v>
      </c>
      <c r="K52" s="112">
        <v>311.41000000000003</v>
      </c>
      <c r="L52" s="112">
        <v>29.96</v>
      </c>
      <c r="M52" s="112">
        <v>69.989999999999995</v>
      </c>
      <c r="N52" s="112">
        <v>317.8</v>
      </c>
      <c r="O52" s="112">
        <v>0</v>
      </c>
      <c r="P52" s="112">
        <v>0.45</v>
      </c>
      <c r="Q52" s="112">
        <v>4.6399999999999997</v>
      </c>
    </row>
    <row r="53" spans="1:17" customFormat="1">
      <c r="A53" s="80">
        <v>45548.46875</v>
      </c>
      <c r="B53" s="112">
        <v>9.48</v>
      </c>
      <c r="C53" s="112">
        <v>4.03</v>
      </c>
      <c r="D53" s="112">
        <v>14.16</v>
      </c>
      <c r="E53" s="112">
        <v>9.1300000000000008</v>
      </c>
      <c r="F53" s="112">
        <v>6.47</v>
      </c>
      <c r="G53" s="112">
        <v>50</v>
      </c>
      <c r="H53" s="112">
        <v>13.95</v>
      </c>
      <c r="I53" s="112">
        <v>5.85</v>
      </c>
      <c r="J53" s="112">
        <v>0.54</v>
      </c>
      <c r="K53" s="112">
        <v>309.95999999999998</v>
      </c>
      <c r="L53" s="112">
        <v>30.22</v>
      </c>
      <c r="M53" s="112">
        <v>70.37</v>
      </c>
      <c r="N53" s="112">
        <v>255.8</v>
      </c>
      <c r="O53" s="112">
        <v>0</v>
      </c>
      <c r="P53" s="112">
        <v>0.45</v>
      </c>
      <c r="Q53" s="112">
        <v>4.63</v>
      </c>
    </row>
    <row r="54" spans="1:17" customFormat="1">
      <c r="A54" s="80">
        <v>45548.479166666664</v>
      </c>
      <c r="B54" s="112">
        <v>9.4600000000000009</v>
      </c>
      <c r="C54" s="112">
        <v>4.0599999999999996</v>
      </c>
      <c r="D54" s="112">
        <v>14.16</v>
      </c>
      <c r="E54" s="112">
        <v>8.9</v>
      </c>
      <c r="F54" s="112">
        <v>7.3</v>
      </c>
      <c r="G54" s="112">
        <v>50.1</v>
      </c>
      <c r="H54" s="112">
        <v>13.9</v>
      </c>
      <c r="I54" s="112">
        <v>5.85</v>
      </c>
      <c r="J54" s="112">
        <v>0.42</v>
      </c>
      <c r="K54" s="112">
        <v>317.36</v>
      </c>
      <c r="L54" s="112">
        <v>30.14</v>
      </c>
      <c r="M54" s="112">
        <v>70.760000000000005</v>
      </c>
      <c r="N54" s="112">
        <v>257.3</v>
      </c>
      <c r="O54" s="112">
        <v>0</v>
      </c>
      <c r="P54" s="112">
        <v>0.46</v>
      </c>
      <c r="Q54" s="112">
        <v>4.63</v>
      </c>
    </row>
    <row r="55" spans="1:17" customFormat="1">
      <c r="A55" s="80">
        <v>45548.489583333336</v>
      </c>
      <c r="B55" s="112">
        <v>9.4499999999999993</v>
      </c>
      <c r="C55" s="112">
        <v>4.09</v>
      </c>
      <c r="D55" s="112">
        <v>14.16</v>
      </c>
      <c r="E55" s="112">
        <v>8.7799999999999994</v>
      </c>
      <c r="F55" s="112">
        <v>7.78</v>
      </c>
      <c r="G55" s="112">
        <v>51.12</v>
      </c>
      <c r="H55" s="112">
        <v>13.54</v>
      </c>
      <c r="I55" s="112">
        <v>5.76</v>
      </c>
      <c r="J55" s="112">
        <v>0.56000000000000005</v>
      </c>
      <c r="K55" s="112">
        <v>297.43</v>
      </c>
      <c r="L55" s="112">
        <v>30.17</v>
      </c>
      <c r="M55" s="112">
        <v>69.650000000000006</v>
      </c>
      <c r="N55" s="112">
        <v>245.4</v>
      </c>
      <c r="O55" s="112">
        <v>0</v>
      </c>
      <c r="P55" s="112">
        <v>0.45</v>
      </c>
      <c r="Q55" s="112">
        <v>4.6500000000000004</v>
      </c>
    </row>
    <row r="56" spans="1:17" customFormat="1">
      <c r="A56" s="80">
        <v>45548.5</v>
      </c>
      <c r="B56" s="112">
        <v>9.4600000000000009</v>
      </c>
      <c r="C56" s="112">
        <v>4.09</v>
      </c>
      <c r="D56" s="112">
        <v>14.17</v>
      </c>
      <c r="E56" s="112">
        <v>8.6199999999999992</v>
      </c>
      <c r="F56" s="112">
        <v>6.3</v>
      </c>
      <c r="G56" s="112">
        <v>51.12</v>
      </c>
      <c r="H56" s="112">
        <v>13.54</v>
      </c>
      <c r="I56" s="112">
        <v>5.65</v>
      </c>
      <c r="J56" s="112">
        <v>0.56999999999999995</v>
      </c>
      <c r="K56" s="112">
        <v>291.69</v>
      </c>
      <c r="L56" s="112">
        <v>30.14</v>
      </c>
      <c r="M56" s="112">
        <v>70.42</v>
      </c>
      <c r="N56" s="112">
        <v>228.3</v>
      </c>
      <c r="O56" s="112">
        <v>0</v>
      </c>
      <c r="P56" s="112">
        <v>0.46</v>
      </c>
      <c r="Q56" s="112">
        <v>4.6500000000000004</v>
      </c>
    </row>
    <row r="57" spans="1:17" customFormat="1">
      <c r="A57" s="80">
        <v>45548.510416666664</v>
      </c>
      <c r="B57" s="112">
        <v>9.4600000000000009</v>
      </c>
      <c r="C57" s="112">
        <v>4.07</v>
      </c>
      <c r="D57" s="112">
        <v>14.16</v>
      </c>
      <c r="E57" s="112">
        <v>8.68</v>
      </c>
      <c r="F57" s="112">
        <v>6.48</v>
      </c>
      <c r="G57" s="112">
        <v>51.12</v>
      </c>
      <c r="H57" s="112">
        <v>13.54</v>
      </c>
      <c r="I57" s="112">
        <v>5.66</v>
      </c>
      <c r="J57" s="112">
        <v>0.43</v>
      </c>
      <c r="K57" s="112">
        <v>289.87</v>
      </c>
      <c r="L57" s="112">
        <v>30.22</v>
      </c>
      <c r="M57" s="112">
        <v>69.87</v>
      </c>
      <c r="N57" s="112">
        <v>180.1</v>
      </c>
      <c r="O57" s="112">
        <v>0</v>
      </c>
      <c r="P57" s="112">
        <v>0.45</v>
      </c>
      <c r="Q57" s="112">
        <v>4.6500000000000004</v>
      </c>
    </row>
    <row r="58" spans="1:17" customFormat="1">
      <c r="A58" s="80">
        <v>45548.520833333336</v>
      </c>
      <c r="B58" s="112">
        <v>9.4499999999999993</v>
      </c>
      <c r="C58" s="112">
        <v>4.0999999999999996</v>
      </c>
      <c r="D58" s="112">
        <v>14.17</v>
      </c>
      <c r="E58" s="112">
        <v>8.75</v>
      </c>
      <c r="F58" s="112">
        <v>6.78</v>
      </c>
      <c r="G58" s="112">
        <v>51.27</v>
      </c>
      <c r="H58" s="112">
        <v>13.2</v>
      </c>
      <c r="I58" s="112">
        <v>5.67</v>
      </c>
      <c r="J58" s="112">
        <v>0.42</v>
      </c>
      <c r="K58" s="112">
        <v>307.58</v>
      </c>
      <c r="L58" s="112">
        <v>30.21</v>
      </c>
      <c r="M58" s="112">
        <v>69.66</v>
      </c>
      <c r="N58" s="112">
        <v>183.3</v>
      </c>
      <c r="O58" s="112">
        <v>0</v>
      </c>
      <c r="P58" s="112">
        <v>0.46</v>
      </c>
      <c r="Q58" s="112">
        <v>4.6399999999999997</v>
      </c>
    </row>
    <row r="59" spans="1:17" customFormat="1">
      <c r="A59" s="80">
        <v>45548.53125</v>
      </c>
      <c r="B59" s="112">
        <v>9.44</v>
      </c>
      <c r="C59" s="112">
        <v>4.1100000000000003</v>
      </c>
      <c r="D59" s="112">
        <v>14.17</v>
      </c>
      <c r="E59" s="112">
        <v>8.73</v>
      </c>
      <c r="F59" s="112">
        <v>7.04</v>
      </c>
      <c r="G59" s="112">
        <v>52.81</v>
      </c>
      <c r="H59" s="112">
        <v>10.73</v>
      </c>
      <c r="I59" s="112">
        <v>5.59</v>
      </c>
      <c r="J59" s="112">
        <v>0.5</v>
      </c>
      <c r="K59" s="112">
        <v>296.25</v>
      </c>
      <c r="L59" s="112">
        <v>30.29</v>
      </c>
      <c r="M59" s="112">
        <v>69.44</v>
      </c>
      <c r="N59" s="112">
        <v>205.4</v>
      </c>
      <c r="O59" s="112">
        <v>0</v>
      </c>
      <c r="P59" s="112">
        <v>0.45</v>
      </c>
      <c r="Q59" s="112">
        <v>4.63</v>
      </c>
    </row>
    <row r="60" spans="1:17" customFormat="1">
      <c r="A60" s="80">
        <v>45548.541666666664</v>
      </c>
      <c r="B60" s="112">
        <v>9.4499999999999993</v>
      </c>
      <c r="C60" s="112">
        <v>4.09</v>
      </c>
      <c r="D60" s="112">
        <v>14.17</v>
      </c>
      <c r="E60" s="112">
        <v>8.6300000000000008</v>
      </c>
      <c r="F60" s="112">
        <v>6.47</v>
      </c>
      <c r="G60" s="112">
        <v>52.81</v>
      </c>
      <c r="H60" s="112">
        <v>10.73</v>
      </c>
      <c r="I60" s="112">
        <v>5.53</v>
      </c>
      <c r="J60" s="112">
        <v>0.44</v>
      </c>
      <c r="K60" s="112">
        <v>294.51</v>
      </c>
      <c r="L60" s="112">
        <v>30.3</v>
      </c>
      <c r="M60" s="112">
        <v>68.489999999999995</v>
      </c>
      <c r="N60" s="112">
        <v>165.2</v>
      </c>
      <c r="O60" s="112">
        <v>0</v>
      </c>
      <c r="P60" s="112">
        <v>0.46</v>
      </c>
      <c r="Q60" s="112">
        <v>4.63</v>
      </c>
    </row>
    <row r="61" spans="1:17" customFormat="1">
      <c r="A61" s="80">
        <v>45548.552083333336</v>
      </c>
      <c r="B61" s="112">
        <v>9.4700000000000006</v>
      </c>
      <c r="C61" s="112">
        <v>4.09</v>
      </c>
      <c r="D61" s="112">
        <v>14.18</v>
      </c>
      <c r="E61" s="112">
        <v>8.18</v>
      </c>
      <c r="F61" s="112">
        <v>5.85</v>
      </c>
      <c r="G61" s="112">
        <v>52.81</v>
      </c>
      <c r="H61" s="112">
        <v>10.73</v>
      </c>
      <c r="I61" s="112">
        <v>5.58</v>
      </c>
      <c r="J61" s="112">
        <v>0.62</v>
      </c>
      <c r="K61" s="112">
        <v>277.17</v>
      </c>
      <c r="L61" s="112">
        <v>30.24</v>
      </c>
      <c r="M61" s="112">
        <v>70.319999999999993</v>
      </c>
      <c r="N61" s="112">
        <v>191.9</v>
      </c>
      <c r="O61" s="112">
        <v>0</v>
      </c>
      <c r="P61" s="112">
        <v>0.46</v>
      </c>
      <c r="Q61" s="112">
        <v>4.6399999999999997</v>
      </c>
    </row>
    <row r="62" spans="1:17" customFormat="1">
      <c r="A62" s="80">
        <v>45548.5625</v>
      </c>
      <c r="B62" s="112">
        <v>9.48</v>
      </c>
      <c r="C62" s="112">
        <v>4.0999999999999996</v>
      </c>
      <c r="D62" s="112">
        <v>14.19</v>
      </c>
      <c r="E62" s="112">
        <v>8.5299999999999994</v>
      </c>
      <c r="F62" s="112">
        <v>7.7</v>
      </c>
      <c r="G62" s="112">
        <v>53.11</v>
      </c>
      <c r="H62" s="112">
        <v>11.32</v>
      </c>
      <c r="I62" s="112">
        <v>5.59</v>
      </c>
      <c r="J62" s="112">
        <v>0.52</v>
      </c>
      <c r="K62" s="112">
        <v>288.51</v>
      </c>
      <c r="L62" s="112">
        <v>30.21</v>
      </c>
      <c r="M62" s="112">
        <v>69.06</v>
      </c>
      <c r="N62" s="112">
        <v>123.4</v>
      </c>
      <c r="O62" s="112">
        <v>0</v>
      </c>
      <c r="P62" s="112">
        <v>0.46</v>
      </c>
      <c r="Q62" s="112">
        <v>4.6399999999999997</v>
      </c>
    </row>
    <row r="63" spans="1:17" customFormat="1">
      <c r="A63" s="80">
        <v>45548.572916666664</v>
      </c>
      <c r="B63" s="112">
        <v>9.49</v>
      </c>
      <c r="C63" s="112">
        <v>4.0999999999999996</v>
      </c>
      <c r="D63" s="112">
        <v>14.2</v>
      </c>
      <c r="E63" s="112">
        <v>8.6999999999999993</v>
      </c>
      <c r="F63" s="112">
        <v>8.2799999999999994</v>
      </c>
      <c r="G63" s="112">
        <v>56.14</v>
      </c>
      <c r="H63" s="112">
        <v>15.68</v>
      </c>
      <c r="I63" s="112">
        <v>5.55</v>
      </c>
      <c r="J63" s="112">
        <v>0.71</v>
      </c>
      <c r="K63" s="112">
        <v>322.98</v>
      </c>
      <c r="L63" s="112">
        <v>29.13</v>
      </c>
      <c r="M63" s="112">
        <v>73.41</v>
      </c>
      <c r="N63" s="112">
        <v>47</v>
      </c>
      <c r="O63" s="112">
        <v>0</v>
      </c>
      <c r="P63" s="112">
        <v>0.44</v>
      </c>
      <c r="Q63" s="112">
        <v>4.62</v>
      </c>
    </row>
    <row r="64" spans="1:17" customFormat="1">
      <c r="A64" s="80">
        <v>45548.583333333336</v>
      </c>
      <c r="B64" s="112">
        <v>9.5</v>
      </c>
      <c r="C64" s="112">
        <v>4.09</v>
      </c>
      <c r="D64" s="112">
        <v>14.2</v>
      </c>
      <c r="E64" s="112">
        <v>8.31</v>
      </c>
      <c r="F64" s="112">
        <v>7.97</v>
      </c>
      <c r="G64" s="112">
        <v>56.14</v>
      </c>
      <c r="H64" s="112">
        <v>15.68</v>
      </c>
      <c r="I64" s="112">
        <v>5.36</v>
      </c>
      <c r="J64" s="112">
        <v>0.46</v>
      </c>
      <c r="K64" s="112">
        <v>290.72000000000003</v>
      </c>
      <c r="L64" s="112">
        <v>27.65</v>
      </c>
      <c r="M64" s="112">
        <v>78.2</v>
      </c>
      <c r="N64" s="112">
        <v>49.1</v>
      </c>
      <c r="O64" s="112">
        <v>0</v>
      </c>
      <c r="P64" s="112">
        <v>0.43</v>
      </c>
      <c r="Q64" s="112">
        <v>4.6399999999999997</v>
      </c>
    </row>
    <row r="65" spans="1:17" customFormat="1">
      <c r="A65" s="80">
        <v>45548.59375</v>
      </c>
      <c r="B65" s="112">
        <v>9.5299999999999994</v>
      </c>
      <c r="C65" s="112">
        <v>4.1100000000000003</v>
      </c>
      <c r="D65" s="112">
        <v>14.24</v>
      </c>
      <c r="E65" s="112">
        <v>8.1999999999999993</v>
      </c>
      <c r="F65" s="112">
        <v>6.35</v>
      </c>
      <c r="G65" s="112">
        <v>56.14</v>
      </c>
      <c r="H65" s="112">
        <v>15.68</v>
      </c>
      <c r="I65" s="112">
        <v>5.32</v>
      </c>
      <c r="J65" s="112">
        <v>0.08</v>
      </c>
      <c r="K65" s="112">
        <v>307.33999999999997</v>
      </c>
      <c r="L65" s="112">
        <v>27.54</v>
      </c>
      <c r="M65" s="112">
        <v>80.88</v>
      </c>
      <c r="N65" s="112">
        <v>75.2</v>
      </c>
      <c r="O65" s="112">
        <v>0</v>
      </c>
      <c r="P65" s="112">
        <v>0.39</v>
      </c>
      <c r="Q65" s="112">
        <v>4.66</v>
      </c>
    </row>
    <row r="66" spans="1:17" customFormat="1">
      <c r="A66" s="80">
        <v>45548.604166666664</v>
      </c>
      <c r="B66" s="112">
        <v>9.51</v>
      </c>
      <c r="C66" s="112">
        <v>4.0999999999999996</v>
      </c>
      <c r="D66" s="112">
        <v>14.22</v>
      </c>
      <c r="E66" s="112">
        <v>7.92</v>
      </c>
      <c r="F66" s="112">
        <v>6.76</v>
      </c>
      <c r="G66" s="112">
        <v>55.22</v>
      </c>
      <c r="H66" s="112">
        <v>16.07</v>
      </c>
      <c r="I66" s="112">
        <v>5.1100000000000003</v>
      </c>
      <c r="J66" s="112">
        <v>0.13</v>
      </c>
      <c r="K66" s="112">
        <v>199.59</v>
      </c>
      <c r="L66" s="112">
        <v>28.2</v>
      </c>
      <c r="M66" s="112">
        <v>81.97</v>
      </c>
      <c r="N66" s="112">
        <v>63.8</v>
      </c>
      <c r="O66" s="112">
        <v>0</v>
      </c>
      <c r="P66" s="112">
        <v>0.38</v>
      </c>
      <c r="Q66" s="112">
        <v>4.6500000000000004</v>
      </c>
    </row>
    <row r="67" spans="1:17" customFormat="1">
      <c r="A67" s="80">
        <v>45548.614583333336</v>
      </c>
      <c r="B67" s="112">
        <v>9.4499999999999993</v>
      </c>
      <c r="C67" s="112">
        <v>4.09</v>
      </c>
      <c r="D67" s="112">
        <v>14.16</v>
      </c>
      <c r="E67" s="112">
        <v>8.1300000000000008</v>
      </c>
      <c r="F67" s="112">
        <v>8.01</v>
      </c>
      <c r="G67" s="112">
        <v>46.97</v>
      </c>
      <c r="H67" s="112">
        <v>18.96</v>
      </c>
      <c r="I67" s="112">
        <v>4.9800000000000004</v>
      </c>
      <c r="J67" s="112">
        <v>0.22</v>
      </c>
      <c r="K67" s="112">
        <v>197.35</v>
      </c>
      <c r="L67" s="112">
        <v>28.3</v>
      </c>
      <c r="M67" s="112">
        <v>82.61</v>
      </c>
      <c r="N67" s="112">
        <v>61</v>
      </c>
      <c r="O67" s="112">
        <v>0</v>
      </c>
      <c r="P67" s="112">
        <v>0.38</v>
      </c>
      <c r="Q67" s="112">
        <v>4.6500000000000004</v>
      </c>
    </row>
    <row r="68" spans="1:17" customFormat="1">
      <c r="A68" s="80">
        <v>45548.625</v>
      </c>
      <c r="B68" s="112">
        <v>9.3800000000000008</v>
      </c>
      <c r="C68" s="112">
        <v>4.0999999999999996</v>
      </c>
      <c r="D68" s="112">
        <v>14.12</v>
      </c>
      <c r="E68" s="112">
        <v>8.6</v>
      </c>
      <c r="F68" s="112">
        <v>7</v>
      </c>
      <c r="G68" s="112">
        <v>46.97</v>
      </c>
      <c r="H68" s="112">
        <v>18.96</v>
      </c>
      <c r="I68" s="112">
        <v>4.74</v>
      </c>
      <c r="J68" s="112">
        <v>0.3</v>
      </c>
      <c r="K68" s="112">
        <v>263.91000000000003</v>
      </c>
      <c r="L68" s="112">
        <v>28.4</v>
      </c>
      <c r="M68" s="112">
        <v>83.22</v>
      </c>
      <c r="N68" s="112">
        <v>94</v>
      </c>
      <c r="O68" s="112">
        <v>0</v>
      </c>
      <c r="P68" s="112">
        <v>0.38</v>
      </c>
      <c r="Q68" s="112">
        <v>4.6500000000000004</v>
      </c>
    </row>
    <row r="69" spans="1:17" customFormat="1">
      <c r="A69" s="80">
        <v>45548.635416666664</v>
      </c>
      <c r="B69" s="112">
        <v>9.3800000000000008</v>
      </c>
      <c r="C69" s="112">
        <v>4.08</v>
      </c>
      <c r="D69" s="112">
        <v>14.1</v>
      </c>
      <c r="E69" s="112">
        <v>8.7899999999999991</v>
      </c>
      <c r="F69" s="112">
        <v>6.84</v>
      </c>
      <c r="G69" s="112">
        <v>46.97</v>
      </c>
      <c r="H69" s="112">
        <v>18.96</v>
      </c>
      <c r="I69" s="112">
        <v>4.7300000000000004</v>
      </c>
      <c r="J69" s="112">
        <v>0.3</v>
      </c>
      <c r="K69" s="112">
        <v>255.33</v>
      </c>
      <c r="L69" s="112">
        <v>28.98</v>
      </c>
      <c r="M69" s="112">
        <v>81.38</v>
      </c>
      <c r="N69" s="112">
        <v>121.1</v>
      </c>
      <c r="O69" s="112">
        <v>0</v>
      </c>
      <c r="P69" s="112">
        <v>0.39</v>
      </c>
      <c r="Q69" s="112">
        <v>4.6500000000000004</v>
      </c>
    </row>
    <row r="70" spans="1:17" customFormat="1">
      <c r="A70" s="80">
        <v>45548.645833333336</v>
      </c>
      <c r="B70" s="112">
        <v>9.39</v>
      </c>
      <c r="C70" s="112">
        <v>4.09</v>
      </c>
      <c r="D70" s="112">
        <v>14.11</v>
      </c>
      <c r="E70" s="112">
        <v>9</v>
      </c>
      <c r="F70" s="112">
        <v>7.43</v>
      </c>
      <c r="G70" s="112">
        <v>47.02</v>
      </c>
      <c r="H70" s="112">
        <v>18.559999999999999</v>
      </c>
      <c r="I70" s="112">
        <v>4.6399999999999997</v>
      </c>
      <c r="J70" s="112">
        <v>0.44</v>
      </c>
      <c r="K70" s="112">
        <v>263.31</v>
      </c>
      <c r="L70" s="112">
        <v>29.41</v>
      </c>
      <c r="M70" s="112">
        <v>78.58</v>
      </c>
      <c r="N70" s="112">
        <v>136.69999999999999</v>
      </c>
      <c r="O70" s="112">
        <v>0</v>
      </c>
      <c r="P70" s="112">
        <v>0.39</v>
      </c>
      <c r="Q70" s="112">
        <v>4.6500000000000004</v>
      </c>
    </row>
    <row r="71" spans="1:17" customFormat="1">
      <c r="A71" s="80">
        <v>45548.65625</v>
      </c>
      <c r="B71" s="112">
        <v>9.4</v>
      </c>
      <c r="C71" s="112">
        <v>4.09</v>
      </c>
      <c r="D71" s="112">
        <v>14.13</v>
      </c>
      <c r="E71" s="112">
        <v>9.5</v>
      </c>
      <c r="F71" s="112">
        <v>7.41</v>
      </c>
      <c r="G71" s="112">
        <v>47.44</v>
      </c>
      <c r="H71" s="112">
        <v>15.23</v>
      </c>
      <c r="I71" s="112">
        <v>4.72</v>
      </c>
      <c r="J71" s="112">
        <v>0.38</v>
      </c>
      <c r="K71" s="112">
        <v>266.83999999999997</v>
      </c>
      <c r="L71" s="112">
        <v>29.64</v>
      </c>
      <c r="M71" s="112">
        <v>78.11</v>
      </c>
      <c r="N71" s="112">
        <v>116.9</v>
      </c>
      <c r="O71" s="112">
        <v>0</v>
      </c>
      <c r="P71" s="112">
        <v>0.39</v>
      </c>
      <c r="Q71" s="112">
        <v>4.6500000000000004</v>
      </c>
    </row>
    <row r="72" spans="1:17" customFormat="1">
      <c r="A72" s="80">
        <v>45548.666666666664</v>
      </c>
      <c r="B72" s="112">
        <v>9.42</v>
      </c>
      <c r="C72" s="112">
        <v>4.08</v>
      </c>
      <c r="D72" s="112">
        <v>14.14</v>
      </c>
      <c r="E72" s="112">
        <v>9.59</v>
      </c>
      <c r="F72" s="112">
        <v>9.93</v>
      </c>
      <c r="G72" s="112">
        <v>47.44</v>
      </c>
      <c r="H72" s="112">
        <v>15.23</v>
      </c>
      <c r="I72" s="112">
        <v>4.68</v>
      </c>
      <c r="J72" s="112">
        <v>0.6</v>
      </c>
      <c r="K72" s="112">
        <v>272.02</v>
      </c>
      <c r="L72" s="112">
        <v>29.25</v>
      </c>
      <c r="M72" s="112">
        <v>79.569999999999993</v>
      </c>
      <c r="N72" s="112">
        <v>74.8</v>
      </c>
      <c r="O72" s="112">
        <v>0</v>
      </c>
      <c r="P72" s="112">
        <v>0.39</v>
      </c>
      <c r="Q72" s="112">
        <v>4.66</v>
      </c>
    </row>
    <row r="73" spans="1:17" customFormat="1">
      <c r="A73" s="80">
        <v>45548.677083333336</v>
      </c>
      <c r="B73" s="112">
        <v>9.4600000000000009</v>
      </c>
      <c r="C73" s="112">
        <v>4.0599999999999996</v>
      </c>
      <c r="D73" s="112">
        <v>14.15</v>
      </c>
      <c r="E73" s="112">
        <v>9.59</v>
      </c>
      <c r="F73" s="112">
        <v>9.0399999999999991</v>
      </c>
      <c r="G73" s="112">
        <v>47.44</v>
      </c>
      <c r="H73" s="112">
        <v>15.23</v>
      </c>
      <c r="I73" s="112">
        <v>4.66</v>
      </c>
      <c r="J73" s="112">
        <v>0.47</v>
      </c>
      <c r="K73" s="112">
        <v>266.93</v>
      </c>
      <c r="L73" s="112">
        <v>29.03</v>
      </c>
      <c r="M73" s="112">
        <v>79.75</v>
      </c>
      <c r="N73" s="112">
        <v>69.2</v>
      </c>
      <c r="O73" s="112">
        <v>0</v>
      </c>
      <c r="P73" s="112">
        <v>0.39</v>
      </c>
      <c r="Q73" s="112">
        <v>4.6500000000000004</v>
      </c>
    </row>
    <row r="74" spans="1:17" customFormat="1">
      <c r="A74" s="80">
        <v>45548.6875</v>
      </c>
      <c r="B74" s="112">
        <v>9.4700000000000006</v>
      </c>
      <c r="C74" s="112">
        <v>4.07</v>
      </c>
      <c r="D74" s="112">
        <v>14.17</v>
      </c>
      <c r="E74" s="112">
        <v>9.8699999999999992</v>
      </c>
      <c r="F74" s="112">
        <v>8.2799999999999994</v>
      </c>
      <c r="G74" s="112">
        <v>47.75</v>
      </c>
      <c r="H74" s="112">
        <v>15.14</v>
      </c>
      <c r="I74" s="112">
        <v>4.66</v>
      </c>
      <c r="J74" s="112">
        <v>0.67</v>
      </c>
      <c r="K74" s="112">
        <v>271.93</v>
      </c>
      <c r="L74" s="112">
        <v>28.89</v>
      </c>
      <c r="M74" s="112">
        <v>79.260000000000005</v>
      </c>
      <c r="N74" s="112">
        <v>55</v>
      </c>
      <c r="O74" s="112">
        <v>0</v>
      </c>
      <c r="P74" s="112">
        <v>0.39</v>
      </c>
      <c r="Q74" s="112">
        <v>4.66</v>
      </c>
    </row>
    <row r="75" spans="1:17" customFormat="1">
      <c r="A75" s="80">
        <v>45548.697916666664</v>
      </c>
      <c r="B75" s="112">
        <v>9.4499999999999993</v>
      </c>
      <c r="C75" s="112">
        <v>4.0599999999999996</v>
      </c>
      <c r="D75" s="112">
        <v>14.15</v>
      </c>
      <c r="E75" s="112">
        <v>9.69</v>
      </c>
      <c r="F75" s="112">
        <v>7.46</v>
      </c>
      <c r="G75" s="112">
        <v>50.91</v>
      </c>
      <c r="H75" s="112">
        <v>14.51</v>
      </c>
      <c r="I75" s="112">
        <v>4.66</v>
      </c>
      <c r="J75" s="112">
        <v>0.52</v>
      </c>
      <c r="K75" s="112">
        <v>272.83</v>
      </c>
      <c r="L75" s="112">
        <v>28.37</v>
      </c>
      <c r="M75" s="112">
        <v>81.67</v>
      </c>
      <c r="N75" s="112">
        <v>40.200000000000003</v>
      </c>
      <c r="O75" s="112">
        <v>0</v>
      </c>
      <c r="P75" s="112">
        <v>0.39</v>
      </c>
      <c r="Q75" s="112">
        <v>4.66</v>
      </c>
    </row>
    <row r="76" spans="1:17" customFormat="1">
      <c r="A76" s="80">
        <v>45548.708333333336</v>
      </c>
      <c r="B76" s="112">
        <v>9.44</v>
      </c>
      <c r="C76" s="112">
        <v>4.0599999999999996</v>
      </c>
      <c r="D76" s="112">
        <v>14.14</v>
      </c>
      <c r="E76" s="112">
        <v>9.91</v>
      </c>
      <c r="F76" s="112">
        <v>7.23</v>
      </c>
      <c r="G76" s="112">
        <v>50.91</v>
      </c>
      <c r="H76" s="112">
        <v>14.51</v>
      </c>
      <c r="I76" s="112">
        <v>4.6500000000000004</v>
      </c>
      <c r="J76" s="112">
        <v>0.36</v>
      </c>
      <c r="K76" s="112">
        <v>265.61</v>
      </c>
      <c r="L76" s="112">
        <v>28.05</v>
      </c>
      <c r="M76" s="112">
        <v>82.75</v>
      </c>
      <c r="N76" s="112">
        <v>30</v>
      </c>
      <c r="O76" s="112">
        <v>0</v>
      </c>
      <c r="P76" s="112">
        <v>0.39</v>
      </c>
      <c r="Q76" s="112">
        <v>4.66</v>
      </c>
    </row>
    <row r="77" spans="1:17" customFormat="1">
      <c r="A77" s="80">
        <v>45548.71875</v>
      </c>
      <c r="B77" s="112">
        <v>9.43</v>
      </c>
      <c r="C77" s="112">
        <v>4.07</v>
      </c>
      <c r="D77" s="112">
        <v>14.14</v>
      </c>
      <c r="E77" s="112">
        <v>9.81</v>
      </c>
      <c r="F77" s="112">
        <v>7.17</v>
      </c>
      <c r="G77" s="112">
        <v>50.91</v>
      </c>
      <c r="H77" s="112">
        <v>14.51</v>
      </c>
      <c r="I77" s="112">
        <v>4.5999999999999996</v>
      </c>
      <c r="J77" s="112">
        <v>0.3</v>
      </c>
      <c r="K77" s="112">
        <v>270.08</v>
      </c>
      <c r="L77" s="112">
        <v>28.16</v>
      </c>
      <c r="M77" s="112">
        <v>80.849999999999994</v>
      </c>
      <c r="N77" s="112">
        <v>31.8</v>
      </c>
      <c r="O77" s="112">
        <v>0</v>
      </c>
      <c r="P77" s="112">
        <v>0.39</v>
      </c>
      <c r="Q77" s="112">
        <v>4.6500000000000004</v>
      </c>
    </row>
    <row r="78" spans="1:17" customFormat="1">
      <c r="A78" s="80">
        <v>45548.729166666664</v>
      </c>
      <c r="B78" s="112">
        <v>9.44</v>
      </c>
      <c r="C78" s="112">
        <v>4.07</v>
      </c>
      <c r="D78" s="112">
        <v>14.15</v>
      </c>
      <c r="E78" s="112">
        <v>10.02</v>
      </c>
      <c r="F78" s="112">
        <v>6.42</v>
      </c>
      <c r="G78" s="112">
        <v>50.22</v>
      </c>
      <c r="H78" s="112">
        <v>14.54</v>
      </c>
      <c r="I78" s="112">
        <v>4.5599999999999996</v>
      </c>
      <c r="J78" s="112">
        <v>0.48</v>
      </c>
      <c r="K78" s="112">
        <v>273.87</v>
      </c>
      <c r="L78" s="112">
        <v>28.42</v>
      </c>
      <c r="M78" s="112">
        <v>78.260000000000005</v>
      </c>
      <c r="N78" s="112">
        <v>28.4</v>
      </c>
      <c r="O78" s="112">
        <v>0</v>
      </c>
      <c r="P78" s="112">
        <v>0.42</v>
      </c>
      <c r="Q78" s="112">
        <v>4.63</v>
      </c>
    </row>
    <row r="79" spans="1:17" customFormat="1">
      <c r="A79" s="80">
        <v>45548.739583333336</v>
      </c>
      <c r="B79" s="112">
        <v>9.43</v>
      </c>
      <c r="C79" s="112">
        <v>4.07</v>
      </c>
      <c r="D79" s="112">
        <v>14.14</v>
      </c>
      <c r="E79" s="112">
        <v>10.039999999999999</v>
      </c>
      <c r="F79" s="112">
        <v>6.03</v>
      </c>
      <c r="G79" s="112">
        <v>43.23</v>
      </c>
      <c r="H79" s="112">
        <v>14.77</v>
      </c>
      <c r="I79" s="112">
        <v>4.7</v>
      </c>
      <c r="J79" s="112">
        <v>0.67</v>
      </c>
      <c r="K79" s="112">
        <v>289.45999999999998</v>
      </c>
      <c r="L79" s="112">
        <v>28.38</v>
      </c>
      <c r="M79" s="112">
        <v>76.900000000000006</v>
      </c>
      <c r="N79" s="112">
        <v>14.5</v>
      </c>
      <c r="O79" s="112">
        <v>0</v>
      </c>
      <c r="P79" s="112">
        <v>0.42</v>
      </c>
      <c r="Q79" s="112">
        <v>4.6399999999999997</v>
      </c>
    </row>
    <row r="80" spans="1:17" customFormat="1">
      <c r="A80" s="80">
        <v>45548.75</v>
      </c>
      <c r="B80" s="112">
        <v>9.42</v>
      </c>
      <c r="C80" s="112">
        <v>4.07</v>
      </c>
      <c r="D80" s="112">
        <v>14.13</v>
      </c>
      <c r="E80" s="112">
        <v>10.210000000000001</v>
      </c>
      <c r="F80" s="112">
        <v>5.77</v>
      </c>
      <c r="G80" s="112">
        <v>43.23</v>
      </c>
      <c r="H80" s="112">
        <v>14.77</v>
      </c>
      <c r="I80" s="112">
        <v>4.83</v>
      </c>
      <c r="J80" s="112">
        <v>0.48</v>
      </c>
      <c r="K80" s="112">
        <v>274.42</v>
      </c>
      <c r="L80" s="112">
        <v>28.21</v>
      </c>
      <c r="M80" s="112">
        <v>77.78</v>
      </c>
      <c r="N80" s="112">
        <v>5.6</v>
      </c>
      <c r="O80" s="112">
        <v>0</v>
      </c>
      <c r="P80" s="112">
        <v>0.43</v>
      </c>
      <c r="Q80" s="112">
        <v>4.6500000000000004</v>
      </c>
    </row>
    <row r="81" spans="1:17" customFormat="1">
      <c r="A81" s="80">
        <v>45548.760416666664</v>
      </c>
      <c r="B81" s="112">
        <v>9.43</v>
      </c>
      <c r="C81" s="112">
        <v>4.08</v>
      </c>
      <c r="D81" s="112">
        <v>14.14</v>
      </c>
      <c r="E81" s="112">
        <v>8.24</v>
      </c>
      <c r="F81" s="112">
        <v>6.08</v>
      </c>
      <c r="G81" s="112">
        <v>43.23</v>
      </c>
      <c r="H81" s="112">
        <v>14.77</v>
      </c>
      <c r="I81" s="112">
        <v>4.87</v>
      </c>
      <c r="J81" s="112">
        <v>0.48</v>
      </c>
      <c r="K81" s="112">
        <v>269.33999999999997</v>
      </c>
      <c r="L81" s="112">
        <v>27.91</v>
      </c>
      <c r="M81" s="112">
        <v>79.45</v>
      </c>
      <c r="N81" s="112">
        <v>2.8</v>
      </c>
      <c r="O81" s="112">
        <v>0</v>
      </c>
      <c r="P81" s="112">
        <v>0.44</v>
      </c>
      <c r="Q81" s="112">
        <v>4.67</v>
      </c>
    </row>
    <row r="82" spans="1:17" customFormat="1">
      <c r="A82" s="80">
        <v>45548.770833333336</v>
      </c>
      <c r="B82" s="112">
        <v>9.44</v>
      </c>
      <c r="C82" s="112">
        <v>4.12</v>
      </c>
      <c r="D82" s="112">
        <v>14.17</v>
      </c>
      <c r="E82" s="112">
        <v>9.2899999999999991</v>
      </c>
      <c r="F82" s="112">
        <v>6.92</v>
      </c>
      <c r="G82" s="112">
        <v>43.42</v>
      </c>
      <c r="H82" s="112">
        <v>14.83</v>
      </c>
      <c r="I82" s="112">
        <v>4.9000000000000004</v>
      </c>
      <c r="J82" s="112">
        <v>0.54</v>
      </c>
      <c r="K82" s="112">
        <v>270.52999999999997</v>
      </c>
      <c r="L82" s="112">
        <v>27.67</v>
      </c>
      <c r="M82" s="112">
        <v>80.760000000000005</v>
      </c>
      <c r="N82" s="112">
        <v>2.5</v>
      </c>
      <c r="O82" s="112">
        <v>0</v>
      </c>
      <c r="P82" s="112">
        <v>0.42</v>
      </c>
      <c r="Q82" s="112">
        <v>4.66</v>
      </c>
    </row>
    <row r="83" spans="1:17" customFormat="1">
      <c r="A83" s="80">
        <v>45548.78125</v>
      </c>
      <c r="B83" s="112">
        <v>9.43</v>
      </c>
      <c r="C83" s="112">
        <v>4.09</v>
      </c>
      <c r="D83" s="112">
        <v>14.15</v>
      </c>
      <c r="E83" s="112">
        <v>10.25</v>
      </c>
      <c r="F83" s="112">
        <v>4.97</v>
      </c>
      <c r="G83" s="112">
        <v>45.14</v>
      </c>
      <c r="H83" s="112">
        <v>15.3</v>
      </c>
      <c r="I83" s="112">
        <v>4.82</v>
      </c>
      <c r="J83" s="112">
        <v>0.72</v>
      </c>
      <c r="K83" s="112">
        <v>273.64999999999998</v>
      </c>
      <c r="L83" s="112">
        <v>27.56</v>
      </c>
      <c r="M83" s="112">
        <v>79.55</v>
      </c>
      <c r="N83" s="112">
        <v>2.2000000000000002</v>
      </c>
      <c r="O83" s="112">
        <v>0</v>
      </c>
      <c r="P83" s="112">
        <v>0.44</v>
      </c>
      <c r="Q83" s="112">
        <v>4.6399999999999997</v>
      </c>
    </row>
    <row r="84" spans="1:17" customFormat="1">
      <c r="A84" s="80">
        <v>45548.791666666664</v>
      </c>
      <c r="B84" s="112">
        <v>9.39</v>
      </c>
      <c r="C84" s="112">
        <v>4.1100000000000003</v>
      </c>
      <c r="D84" s="112">
        <v>14.13</v>
      </c>
      <c r="E84" s="112">
        <v>10.49</v>
      </c>
      <c r="F84" s="112">
        <v>4.88</v>
      </c>
      <c r="G84" s="112">
        <v>45.14</v>
      </c>
      <c r="H84" s="112">
        <v>15.3</v>
      </c>
      <c r="I84" s="112">
        <v>4.7699999999999996</v>
      </c>
      <c r="J84" s="112">
        <v>0.59</v>
      </c>
      <c r="K84" s="112">
        <v>286.08</v>
      </c>
      <c r="L84" s="112">
        <v>27.6</v>
      </c>
      <c r="M84" s="112">
        <v>78.17</v>
      </c>
      <c r="N84" s="112">
        <v>2.1</v>
      </c>
      <c r="O84" s="112">
        <v>0</v>
      </c>
      <c r="P84" s="112">
        <v>0.45</v>
      </c>
      <c r="Q84" s="112">
        <v>4.6500000000000004</v>
      </c>
    </row>
    <row r="85" spans="1:17" customFormat="1">
      <c r="A85" s="80">
        <v>45548.802083333336</v>
      </c>
      <c r="B85" s="112">
        <v>9.44</v>
      </c>
      <c r="C85" s="112">
        <v>4.07</v>
      </c>
      <c r="D85" s="112">
        <v>14.15</v>
      </c>
      <c r="E85" s="112">
        <v>10.23</v>
      </c>
      <c r="F85" s="112">
        <v>5.16</v>
      </c>
      <c r="G85" s="112">
        <v>45.14</v>
      </c>
      <c r="H85" s="112">
        <v>15.3</v>
      </c>
      <c r="I85" s="112">
        <v>4.92</v>
      </c>
      <c r="J85" s="112">
        <v>0.48</v>
      </c>
      <c r="K85" s="112">
        <v>267.47000000000003</v>
      </c>
      <c r="L85" s="112">
        <v>27.44</v>
      </c>
      <c r="M85" s="112">
        <v>79.84</v>
      </c>
      <c r="N85" s="112">
        <v>2.4</v>
      </c>
      <c r="O85" s="112">
        <v>0</v>
      </c>
      <c r="P85" s="112">
        <v>0.45</v>
      </c>
      <c r="Q85" s="112">
        <v>4.6500000000000004</v>
      </c>
    </row>
    <row r="86" spans="1:17" customFormat="1">
      <c r="A86" s="80">
        <v>45548.8125</v>
      </c>
      <c r="B86" s="112">
        <v>9.44</v>
      </c>
      <c r="C86" s="112">
        <v>4.0599999999999996</v>
      </c>
      <c r="D86" s="112">
        <v>14.14</v>
      </c>
      <c r="E86" s="112">
        <v>9.73</v>
      </c>
      <c r="F86" s="112">
        <v>5.65</v>
      </c>
      <c r="G86" s="112">
        <v>45.35</v>
      </c>
      <c r="H86" s="112">
        <v>15.12</v>
      </c>
      <c r="I86" s="112">
        <v>5.05</v>
      </c>
      <c r="J86" s="112">
        <v>0.61</v>
      </c>
      <c r="K86" s="112">
        <v>269.86</v>
      </c>
      <c r="L86" s="112">
        <v>27.37</v>
      </c>
      <c r="M86" s="112">
        <v>80.459999999999994</v>
      </c>
      <c r="N86" s="112">
        <v>2.2000000000000002</v>
      </c>
      <c r="O86" s="112">
        <v>0</v>
      </c>
      <c r="P86" s="112">
        <v>0.46</v>
      </c>
      <c r="Q86" s="112">
        <v>4.6500000000000004</v>
      </c>
    </row>
    <row r="87" spans="1:17" customFormat="1">
      <c r="A87" s="80">
        <v>45548.822916666664</v>
      </c>
      <c r="B87" s="112">
        <v>9.4</v>
      </c>
      <c r="C87" s="112">
        <v>4.07</v>
      </c>
      <c r="D87" s="112">
        <v>14.12</v>
      </c>
      <c r="E87" s="112">
        <v>9.4499999999999993</v>
      </c>
      <c r="F87" s="112">
        <v>6.03</v>
      </c>
      <c r="G87" s="112">
        <v>47.26</v>
      </c>
      <c r="H87" s="112">
        <v>13.74</v>
      </c>
      <c r="I87" s="112">
        <v>5.19</v>
      </c>
      <c r="J87" s="112">
        <v>0.59</v>
      </c>
      <c r="K87" s="112">
        <v>273.33</v>
      </c>
      <c r="L87" s="112">
        <v>27.36</v>
      </c>
      <c r="M87" s="112">
        <v>79.98</v>
      </c>
      <c r="N87" s="112">
        <v>2.2000000000000002</v>
      </c>
      <c r="O87" s="112">
        <v>0</v>
      </c>
      <c r="P87" s="112">
        <v>0.47</v>
      </c>
      <c r="Q87" s="112">
        <v>4.6399999999999997</v>
      </c>
    </row>
    <row r="88" spans="1:17" customFormat="1">
      <c r="A88" s="80">
        <v>45548.833333333336</v>
      </c>
      <c r="B88" s="112">
        <v>9.39</v>
      </c>
      <c r="C88" s="112">
        <v>4.0999999999999996</v>
      </c>
      <c r="D88" s="112">
        <v>14.12</v>
      </c>
      <c r="E88" s="112">
        <v>9.17</v>
      </c>
      <c r="F88" s="112">
        <v>5.56</v>
      </c>
      <c r="G88" s="112">
        <v>47.26</v>
      </c>
      <c r="H88" s="112">
        <v>13.74</v>
      </c>
      <c r="I88" s="112">
        <v>5.27</v>
      </c>
      <c r="J88" s="112">
        <v>0.59</v>
      </c>
      <c r="K88" s="112">
        <v>290.76</v>
      </c>
      <c r="L88" s="112">
        <v>27.43</v>
      </c>
      <c r="M88" s="112">
        <v>79.23</v>
      </c>
      <c r="N88" s="112">
        <v>2.1</v>
      </c>
      <c r="O88" s="112">
        <v>0</v>
      </c>
      <c r="P88" s="112">
        <v>0.46</v>
      </c>
      <c r="Q88" s="112">
        <v>4.63</v>
      </c>
    </row>
    <row r="89" spans="1:17" customFormat="1">
      <c r="A89" s="80">
        <v>45548.84375</v>
      </c>
      <c r="B89" s="112">
        <v>9.4</v>
      </c>
      <c r="C89" s="112">
        <v>4.1100000000000003</v>
      </c>
      <c r="D89" s="112">
        <v>14.13</v>
      </c>
      <c r="E89" s="112">
        <v>9.43</v>
      </c>
      <c r="F89" s="112">
        <v>5.39</v>
      </c>
      <c r="G89" s="112">
        <v>47.26</v>
      </c>
      <c r="H89" s="112">
        <v>13.74</v>
      </c>
      <c r="I89" s="112">
        <v>5.35</v>
      </c>
      <c r="J89" s="112">
        <v>0.57999999999999996</v>
      </c>
      <c r="K89" s="112">
        <v>281.89</v>
      </c>
      <c r="L89" s="112">
        <v>27.29</v>
      </c>
      <c r="M89" s="112">
        <v>80.28</v>
      </c>
      <c r="N89" s="112">
        <v>2.4</v>
      </c>
      <c r="O89" s="112">
        <v>0</v>
      </c>
      <c r="P89" s="112">
        <v>0.46</v>
      </c>
      <c r="Q89" s="112">
        <v>4.63</v>
      </c>
    </row>
    <row r="90" spans="1:17" customFormat="1">
      <c r="A90" s="80">
        <v>45548.854166666664</v>
      </c>
      <c r="B90" s="112">
        <v>9.41</v>
      </c>
      <c r="C90" s="112">
        <v>4.08</v>
      </c>
      <c r="D90" s="112">
        <v>14.13</v>
      </c>
      <c r="E90" s="112">
        <v>8.6999999999999993</v>
      </c>
      <c r="F90" s="112">
        <v>5.84</v>
      </c>
      <c r="G90" s="112">
        <v>47.57</v>
      </c>
      <c r="H90" s="112">
        <v>13.32</v>
      </c>
      <c r="I90" s="112">
        <v>5.47</v>
      </c>
      <c r="J90" s="112">
        <v>0.69</v>
      </c>
      <c r="K90" s="112">
        <v>286.51</v>
      </c>
      <c r="L90" s="112">
        <v>27.31</v>
      </c>
      <c r="M90" s="112">
        <v>79.239999999999995</v>
      </c>
      <c r="N90" s="112">
        <v>2.2000000000000002</v>
      </c>
      <c r="O90" s="112">
        <v>0</v>
      </c>
      <c r="P90" s="112">
        <v>0.48</v>
      </c>
      <c r="Q90" s="112">
        <v>4.6399999999999997</v>
      </c>
    </row>
    <row r="91" spans="1:17" customFormat="1">
      <c r="A91" s="80">
        <v>45548.864583333336</v>
      </c>
      <c r="B91" s="112">
        <v>9.42</v>
      </c>
      <c r="C91" s="112">
        <v>4.04</v>
      </c>
      <c r="D91" s="112">
        <v>14.11</v>
      </c>
      <c r="E91" s="112">
        <v>8.41</v>
      </c>
      <c r="F91" s="112">
        <v>5.81</v>
      </c>
      <c r="G91" s="112">
        <v>50.3</v>
      </c>
      <c r="H91" s="112">
        <v>9.77</v>
      </c>
      <c r="I91" s="112">
        <v>5.5</v>
      </c>
      <c r="J91" s="112">
        <v>0.71</v>
      </c>
      <c r="K91" s="112">
        <v>288.58999999999997</v>
      </c>
      <c r="L91" s="112">
        <v>27.22</v>
      </c>
      <c r="M91" s="112">
        <v>79.819999999999993</v>
      </c>
      <c r="N91" s="112">
        <v>2.2000000000000002</v>
      </c>
      <c r="O91" s="112">
        <v>0</v>
      </c>
      <c r="P91" s="112">
        <v>0.47</v>
      </c>
      <c r="Q91" s="112">
        <v>4.6399999999999997</v>
      </c>
    </row>
    <row r="92" spans="1:17" customFormat="1">
      <c r="A92" s="80">
        <v>45548.875</v>
      </c>
      <c r="B92" s="112">
        <v>9.42</v>
      </c>
      <c r="C92" s="112">
        <v>4.0599999999999996</v>
      </c>
      <c r="D92" s="112">
        <v>14.12</v>
      </c>
      <c r="E92" s="112">
        <v>8.5399999999999991</v>
      </c>
      <c r="F92" s="112">
        <v>5.76</v>
      </c>
      <c r="G92" s="112">
        <v>50.3</v>
      </c>
      <c r="H92" s="112">
        <v>9.77</v>
      </c>
      <c r="I92" s="112">
        <v>5.45</v>
      </c>
      <c r="J92" s="112">
        <v>0.62</v>
      </c>
      <c r="K92" s="112">
        <v>288.77</v>
      </c>
      <c r="L92" s="112">
        <v>27.13</v>
      </c>
      <c r="M92" s="112">
        <v>80.37</v>
      </c>
      <c r="N92" s="112">
        <v>2.2999999999999998</v>
      </c>
      <c r="O92" s="112">
        <v>0</v>
      </c>
      <c r="P92" s="112">
        <v>0.46</v>
      </c>
      <c r="Q92" s="112">
        <v>4.6500000000000004</v>
      </c>
    </row>
    <row r="93" spans="1:17" customFormat="1">
      <c r="A93" s="80">
        <v>45548.885416666664</v>
      </c>
      <c r="B93" s="112">
        <v>9.43</v>
      </c>
      <c r="C93" s="112">
        <v>4.05</v>
      </c>
      <c r="D93" s="112">
        <v>14.12</v>
      </c>
      <c r="E93" s="112">
        <v>8.19</v>
      </c>
      <c r="F93" s="112">
        <v>5.49</v>
      </c>
      <c r="G93" s="112">
        <v>50.3</v>
      </c>
      <c r="H93" s="112">
        <v>9.77</v>
      </c>
      <c r="I93" s="112">
        <v>5.47</v>
      </c>
      <c r="J93" s="112">
        <v>0.68</v>
      </c>
      <c r="K93" s="112">
        <v>280.70999999999998</v>
      </c>
      <c r="L93" s="112">
        <v>27.01</v>
      </c>
      <c r="M93" s="112">
        <v>81.33</v>
      </c>
      <c r="N93" s="112">
        <v>2.4</v>
      </c>
      <c r="O93" s="112">
        <v>0</v>
      </c>
      <c r="P93" s="112">
        <v>0.47</v>
      </c>
      <c r="Q93" s="112">
        <v>4.6500000000000004</v>
      </c>
    </row>
    <row r="94" spans="1:17" customFormat="1">
      <c r="A94" s="80">
        <v>45548.895833333336</v>
      </c>
      <c r="B94" s="112">
        <v>9.42</v>
      </c>
      <c r="C94" s="112">
        <v>4.0599999999999996</v>
      </c>
      <c r="D94" s="112">
        <v>14.13</v>
      </c>
      <c r="E94" s="112">
        <v>7.91</v>
      </c>
      <c r="F94" s="112">
        <v>6.14</v>
      </c>
      <c r="G94" s="112">
        <v>50.51</v>
      </c>
      <c r="H94" s="112">
        <v>9.82</v>
      </c>
      <c r="I94" s="112">
        <v>5.39</v>
      </c>
      <c r="J94" s="112">
        <v>0.54</v>
      </c>
      <c r="K94" s="112">
        <v>277.76</v>
      </c>
      <c r="L94" s="112">
        <v>27.01</v>
      </c>
      <c r="M94" s="112">
        <v>81.73</v>
      </c>
      <c r="N94" s="112">
        <v>2.2000000000000002</v>
      </c>
      <c r="O94" s="112">
        <v>0</v>
      </c>
      <c r="P94" s="112">
        <v>0.46</v>
      </c>
      <c r="Q94" s="112">
        <v>4.66</v>
      </c>
    </row>
    <row r="95" spans="1:17" customFormat="1">
      <c r="A95" s="80">
        <v>45548.90625</v>
      </c>
      <c r="B95" s="112">
        <v>9.42</v>
      </c>
      <c r="C95" s="112">
        <v>4.07</v>
      </c>
      <c r="D95" s="112">
        <v>14.13</v>
      </c>
      <c r="E95" s="112">
        <v>7.16</v>
      </c>
      <c r="F95" s="112">
        <v>6.62</v>
      </c>
      <c r="G95" s="112">
        <v>52.33</v>
      </c>
      <c r="H95" s="112">
        <v>10.24</v>
      </c>
      <c r="I95" s="112">
        <v>5.42</v>
      </c>
      <c r="J95" s="112">
        <v>0.49</v>
      </c>
      <c r="K95" s="112">
        <v>270.31</v>
      </c>
      <c r="L95" s="112">
        <v>26.98</v>
      </c>
      <c r="M95" s="112">
        <v>82.46</v>
      </c>
      <c r="N95" s="112">
        <v>2.4</v>
      </c>
      <c r="O95" s="112">
        <v>0</v>
      </c>
      <c r="P95" s="112">
        <v>0.47</v>
      </c>
      <c r="Q95" s="112">
        <v>4.67</v>
      </c>
    </row>
    <row r="96" spans="1:17" customFormat="1">
      <c r="A96" s="80">
        <v>45548.916666666664</v>
      </c>
      <c r="B96" s="112">
        <v>9.41</v>
      </c>
      <c r="C96" s="112">
        <v>4.08</v>
      </c>
      <c r="D96" s="112">
        <v>14.13</v>
      </c>
      <c r="E96" s="112">
        <v>7.76</v>
      </c>
      <c r="F96" s="112">
        <v>6.64</v>
      </c>
      <c r="G96" s="112">
        <v>52.33</v>
      </c>
      <c r="H96" s="112">
        <v>10.24</v>
      </c>
      <c r="I96" s="112">
        <v>5.37</v>
      </c>
      <c r="J96" s="112">
        <v>0.4</v>
      </c>
      <c r="K96" s="112">
        <v>268.79000000000002</v>
      </c>
      <c r="L96" s="112">
        <v>26.92</v>
      </c>
      <c r="M96" s="112">
        <v>83.2</v>
      </c>
      <c r="N96" s="112">
        <v>2.4</v>
      </c>
      <c r="O96" s="112">
        <v>0</v>
      </c>
      <c r="P96" s="112">
        <v>0.47</v>
      </c>
      <c r="Q96" s="112">
        <v>4.6500000000000004</v>
      </c>
    </row>
    <row r="97" spans="1:22" customFormat="1">
      <c r="A97" s="80">
        <v>45548.927083333336</v>
      </c>
      <c r="B97" s="112">
        <v>9.43</v>
      </c>
      <c r="C97" s="112">
        <v>4.08</v>
      </c>
      <c r="D97" s="112">
        <v>14.15</v>
      </c>
      <c r="E97" s="112">
        <v>7.1</v>
      </c>
      <c r="F97" s="112">
        <v>5.64</v>
      </c>
      <c r="G97" s="112">
        <v>52.33</v>
      </c>
      <c r="H97" s="112">
        <v>10.24</v>
      </c>
      <c r="I97" s="112">
        <v>5.33</v>
      </c>
      <c r="J97" s="112">
        <v>0.46</v>
      </c>
      <c r="K97" s="112">
        <v>283.49</v>
      </c>
      <c r="L97" s="112">
        <v>26.85</v>
      </c>
      <c r="M97" s="112">
        <v>83.53</v>
      </c>
      <c r="N97" s="112">
        <v>2.2999999999999998</v>
      </c>
      <c r="O97" s="112">
        <v>0</v>
      </c>
      <c r="P97" s="112">
        <v>0.48</v>
      </c>
      <c r="Q97" s="112">
        <v>4.6399999999999997</v>
      </c>
    </row>
    <row r="98" spans="1:22" customFormat="1">
      <c r="A98" s="80">
        <v>45548.9375</v>
      </c>
      <c r="B98" s="112">
        <v>9.42</v>
      </c>
      <c r="C98" s="112">
        <v>4.0999999999999996</v>
      </c>
      <c r="D98" s="112">
        <v>14.14</v>
      </c>
      <c r="E98" s="112">
        <v>7.45</v>
      </c>
      <c r="F98" s="112">
        <v>5.72</v>
      </c>
      <c r="G98" s="112">
        <v>52.12</v>
      </c>
      <c r="H98" s="112">
        <v>10.73</v>
      </c>
      <c r="I98" s="112">
        <v>5.43</v>
      </c>
      <c r="J98" s="112">
        <v>0.46</v>
      </c>
      <c r="K98" s="112">
        <v>286.94</v>
      </c>
      <c r="L98" s="112">
        <v>26.86</v>
      </c>
      <c r="M98" s="112">
        <v>83.3</v>
      </c>
      <c r="N98" s="112">
        <v>2.2999999999999998</v>
      </c>
      <c r="O98" s="112">
        <v>0</v>
      </c>
      <c r="P98" s="112">
        <v>0.46</v>
      </c>
      <c r="Q98" s="112">
        <v>4.6399999999999997</v>
      </c>
    </row>
    <row r="99" spans="1:22" customFormat="1">
      <c r="A99" s="80">
        <v>45548.947916666664</v>
      </c>
      <c r="B99" s="112">
        <v>9.43</v>
      </c>
      <c r="C99" s="112">
        <v>4.07</v>
      </c>
      <c r="D99" s="112">
        <v>14.14</v>
      </c>
      <c r="E99" s="112">
        <v>6.91</v>
      </c>
      <c r="F99" s="112">
        <v>5.55</v>
      </c>
      <c r="G99" s="112">
        <v>49.96</v>
      </c>
      <c r="H99" s="112">
        <v>14.33</v>
      </c>
      <c r="I99" s="112">
        <v>5.45</v>
      </c>
      <c r="J99" s="112">
        <v>0.42</v>
      </c>
      <c r="K99" s="112">
        <v>279.87</v>
      </c>
      <c r="L99" s="112">
        <v>26.81</v>
      </c>
      <c r="M99" s="112">
        <v>83.5</v>
      </c>
      <c r="N99" s="112">
        <v>2.2999999999999998</v>
      </c>
      <c r="O99" s="112">
        <v>0</v>
      </c>
      <c r="P99" s="112">
        <v>0.45</v>
      </c>
      <c r="Q99" s="112">
        <v>4.6399999999999997</v>
      </c>
    </row>
    <row r="100" spans="1:22" customFormat="1">
      <c r="A100" s="80">
        <v>45548.958333333336</v>
      </c>
      <c r="B100" s="112">
        <v>9.42</v>
      </c>
      <c r="C100" s="112">
        <v>4.07</v>
      </c>
      <c r="D100" s="112">
        <v>14.13</v>
      </c>
      <c r="E100" s="112">
        <v>6.84</v>
      </c>
      <c r="F100" s="112">
        <v>6.02</v>
      </c>
      <c r="G100" s="112">
        <v>49.96</v>
      </c>
      <c r="H100" s="112">
        <v>14.33</v>
      </c>
      <c r="I100" s="112">
        <v>5.33</v>
      </c>
      <c r="J100" s="112">
        <v>0.32</v>
      </c>
      <c r="K100" s="112">
        <v>264.70999999999998</v>
      </c>
      <c r="L100" s="112">
        <v>26.56</v>
      </c>
      <c r="M100" s="112">
        <v>85.41</v>
      </c>
      <c r="N100" s="112">
        <v>2.4</v>
      </c>
      <c r="O100" s="112">
        <v>0</v>
      </c>
      <c r="P100" s="112">
        <v>0.45</v>
      </c>
      <c r="Q100" s="112">
        <v>4.6399999999999997</v>
      </c>
    </row>
    <row r="101" spans="1:22" customFormat="1">
      <c r="A101" s="80">
        <v>45548.96875</v>
      </c>
      <c r="B101" s="112">
        <v>9.42</v>
      </c>
      <c r="C101" s="112">
        <v>4.05</v>
      </c>
      <c r="D101" s="112">
        <v>14.12</v>
      </c>
      <c r="E101" s="112">
        <v>7.4</v>
      </c>
      <c r="F101" s="112">
        <v>6.77</v>
      </c>
      <c r="G101" s="112">
        <v>49.96</v>
      </c>
      <c r="H101" s="112">
        <v>14.33</v>
      </c>
      <c r="I101" s="112">
        <v>5.31</v>
      </c>
      <c r="J101" s="112">
        <v>0.43</v>
      </c>
      <c r="K101" s="112">
        <v>270.52999999999997</v>
      </c>
      <c r="L101" s="112">
        <v>26.43</v>
      </c>
      <c r="M101" s="112">
        <v>86.14</v>
      </c>
      <c r="N101" s="112">
        <v>2.2999999999999998</v>
      </c>
      <c r="O101" s="112">
        <v>0</v>
      </c>
      <c r="P101" s="112">
        <v>0.45</v>
      </c>
      <c r="Q101" s="112">
        <v>4.6399999999999997</v>
      </c>
    </row>
    <row r="102" spans="1:22" customFormat="1">
      <c r="A102" s="80">
        <v>45548.979166666664</v>
      </c>
      <c r="B102" s="112">
        <v>9.41</v>
      </c>
      <c r="C102" s="112">
        <v>4.0599999999999996</v>
      </c>
      <c r="D102" s="112">
        <v>14.12</v>
      </c>
      <c r="E102" s="112">
        <v>8.25</v>
      </c>
      <c r="F102" s="112">
        <v>6.61</v>
      </c>
      <c r="G102" s="112">
        <v>50.47</v>
      </c>
      <c r="H102" s="112">
        <v>14.49</v>
      </c>
      <c r="I102" s="112">
        <v>5.41</v>
      </c>
      <c r="J102" s="112">
        <v>0.35</v>
      </c>
      <c r="K102" s="112">
        <v>268.05</v>
      </c>
      <c r="L102" s="112">
        <v>26.38</v>
      </c>
      <c r="M102" s="112">
        <v>86.4</v>
      </c>
      <c r="N102" s="112">
        <v>2.1</v>
      </c>
      <c r="O102" s="112">
        <v>0</v>
      </c>
      <c r="P102" s="112">
        <v>0.47</v>
      </c>
      <c r="Q102" s="112">
        <v>4.6500000000000004</v>
      </c>
    </row>
    <row r="103" spans="1:22" customFormat="1">
      <c r="A103" s="80">
        <v>45548.989583333336</v>
      </c>
      <c r="B103" s="112">
        <v>9.42</v>
      </c>
      <c r="C103" s="112">
        <v>4.0599999999999996</v>
      </c>
      <c r="D103" s="112">
        <v>14.13</v>
      </c>
      <c r="E103" s="112">
        <v>8.1</v>
      </c>
      <c r="F103" s="112">
        <v>5.53</v>
      </c>
      <c r="G103" s="112">
        <v>55.14</v>
      </c>
      <c r="H103" s="112">
        <v>15.67</v>
      </c>
      <c r="I103" s="112">
        <v>5.69</v>
      </c>
      <c r="J103" s="112">
        <v>0.46</v>
      </c>
      <c r="K103" s="112">
        <v>283.42</v>
      </c>
      <c r="L103" s="112">
        <v>26.51</v>
      </c>
      <c r="M103" s="112">
        <v>84.69</v>
      </c>
      <c r="N103" s="112">
        <v>2.1</v>
      </c>
      <c r="O103" s="112">
        <v>0</v>
      </c>
      <c r="P103" s="112">
        <v>0.48</v>
      </c>
      <c r="Q103" s="112">
        <v>4.63</v>
      </c>
    </row>
    <row r="104" spans="1:22" customFormat="1">
      <c r="A104" s="80">
        <v>45549</v>
      </c>
      <c r="B104" s="112">
        <v>9.41</v>
      </c>
      <c r="C104" s="112">
        <v>4.05</v>
      </c>
      <c r="D104" s="112">
        <v>14.12</v>
      </c>
      <c r="E104" s="112">
        <v>8.48</v>
      </c>
      <c r="F104" s="112">
        <v>5.26</v>
      </c>
      <c r="G104" s="112">
        <v>55.14</v>
      </c>
      <c r="H104" s="112">
        <v>15.67</v>
      </c>
      <c r="I104" s="112">
        <v>5.82</v>
      </c>
      <c r="J104" s="112">
        <v>0.44</v>
      </c>
      <c r="K104" s="112">
        <v>282.08</v>
      </c>
      <c r="L104" s="112">
        <v>26.52</v>
      </c>
      <c r="M104" s="112">
        <v>84.42</v>
      </c>
      <c r="N104" s="112">
        <v>2.1</v>
      </c>
      <c r="O104" s="112">
        <v>0</v>
      </c>
      <c r="P104" s="112">
        <v>0.49</v>
      </c>
      <c r="Q104" s="112">
        <v>4.6500000000000004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9.23</v>
      </c>
      <c r="C106" s="183">
        <f>MIN(C9:C104)</f>
        <v>4.03</v>
      </c>
      <c r="D106" s="183">
        <f t="shared" ref="D106:Q106" si="0">MIN(D9:D104)</f>
        <v>14</v>
      </c>
      <c r="E106" s="183">
        <f t="shared" si="0"/>
        <v>6.84</v>
      </c>
      <c r="F106" s="183">
        <f t="shared" si="0"/>
        <v>4.4000000000000004</v>
      </c>
      <c r="G106" s="183">
        <f t="shared" si="0"/>
        <v>14.38</v>
      </c>
      <c r="H106" s="183">
        <f t="shared" si="0"/>
        <v>3.8</v>
      </c>
      <c r="I106" s="183">
        <f t="shared" si="0"/>
        <v>4.1500000000000004</v>
      </c>
      <c r="J106" s="183">
        <f t="shared" si="0"/>
        <v>0.08</v>
      </c>
      <c r="K106" s="183">
        <f t="shared" si="0"/>
        <v>197.35</v>
      </c>
      <c r="L106" s="183">
        <f t="shared" si="0"/>
        <v>25.64</v>
      </c>
      <c r="M106" s="183">
        <f t="shared" si="0"/>
        <v>68.489999999999995</v>
      </c>
      <c r="N106" s="183">
        <f t="shared" si="0"/>
        <v>2.1</v>
      </c>
      <c r="O106" s="183">
        <f t="shared" si="0"/>
        <v>0</v>
      </c>
      <c r="P106" s="183">
        <f t="shared" si="0"/>
        <v>0.33</v>
      </c>
      <c r="Q106" s="183">
        <f t="shared" si="0"/>
        <v>4.62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9.5299999999999994</v>
      </c>
      <c r="C107" s="184">
        <f t="shared" ref="C107:Q107" si="1">MAX(C9:C104)</f>
        <v>4.16</v>
      </c>
      <c r="D107" s="184">
        <f t="shared" si="1"/>
        <v>14.24</v>
      </c>
      <c r="E107" s="184">
        <f t="shared" si="1"/>
        <v>13.32</v>
      </c>
      <c r="F107" s="184">
        <f t="shared" si="1"/>
        <v>9.93</v>
      </c>
      <c r="G107" s="184">
        <f t="shared" si="1"/>
        <v>56.14</v>
      </c>
      <c r="H107" s="184">
        <f t="shared" si="1"/>
        <v>18.96</v>
      </c>
      <c r="I107" s="184">
        <f t="shared" si="1"/>
        <v>5.95</v>
      </c>
      <c r="J107" s="184">
        <f t="shared" si="1"/>
        <v>0.89</v>
      </c>
      <c r="K107" s="184">
        <f t="shared" si="1"/>
        <v>322.98</v>
      </c>
      <c r="L107" s="184">
        <f t="shared" si="1"/>
        <v>30.3</v>
      </c>
      <c r="M107" s="184">
        <f t="shared" si="1"/>
        <v>96.95</v>
      </c>
      <c r="N107" s="184">
        <f t="shared" si="1"/>
        <v>399.6</v>
      </c>
      <c r="O107" s="184">
        <f t="shared" si="1"/>
        <v>0</v>
      </c>
      <c r="P107" s="184">
        <f t="shared" si="1"/>
        <v>0.49</v>
      </c>
      <c r="Q107" s="184">
        <f t="shared" si="1"/>
        <v>4.67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9.3688541666666598</v>
      </c>
      <c r="C108" s="183">
        <f t="shared" ref="C108:Q108" si="2">AVERAGE(C9:C104)</f>
        <v>4.0773958333333331</v>
      </c>
      <c r="D108" s="183">
        <f t="shared" si="2"/>
        <v>14.093333333333334</v>
      </c>
      <c r="E108" s="183">
        <f t="shared" si="2"/>
        <v>9.8927083333333332</v>
      </c>
      <c r="F108" s="183">
        <f t="shared" si="2"/>
        <v>6.2078124999999984</v>
      </c>
      <c r="G108" s="183">
        <f t="shared" si="2"/>
        <v>38.398333333333333</v>
      </c>
      <c r="H108" s="183">
        <f t="shared" si="2"/>
        <v>10.469583333333333</v>
      </c>
      <c r="I108" s="183">
        <f t="shared" si="2"/>
        <v>5.1154166666666674</v>
      </c>
      <c r="J108" s="183">
        <f t="shared" si="2"/>
        <v>0.53197916666666667</v>
      </c>
      <c r="K108" s="183">
        <f t="shared" si="2"/>
        <v>277.43489583333331</v>
      </c>
      <c r="L108" s="183">
        <f t="shared" si="2"/>
        <v>27.559791666666683</v>
      </c>
      <c r="M108" s="183">
        <f t="shared" si="2"/>
        <v>83.08718749999997</v>
      </c>
      <c r="N108" s="183">
        <f t="shared" si="2"/>
        <v>69.652083333333323</v>
      </c>
      <c r="O108" s="183">
        <f t="shared" si="2"/>
        <v>0</v>
      </c>
      <c r="P108" s="183">
        <f t="shared" si="2"/>
        <v>0.41416666666666674</v>
      </c>
      <c r="Q108" s="183">
        <f t="shared" si="2"/>
        <v>4.6481249999999958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8.6497578812073705E-2</v>
      </c>
      <c r="C109" s="183">
        <f t="shared" ref="C109:Q109" si="3">STDEV(C9:C104)</f>
        <v>2.0429328333069423E-2</v>
      </c>
      <c r="D109" s="183">
        <f t="shared" si="3"/>
        <v>7.0047602861673192E-2</v>
      </c>
      <c r="E109" s="183">
        <f t="shared" si="3"/>
        <v>1.5664841485694432</v>
      </c>
      <c r="F109" s="183">
        <f t="shared" si="3"/>
        <v>1.0290805330104498</v>
      </c>
      <c r="G109" s="183">
        <f t="shared" si="3"/>
        <v>13.660530749237992</v>
      </c>
      <c r="H109" s="183">
        <f t="shared" si="3"/>
        <v>4.461106050407512</v>
      </c>
      <c r="I109" s="183">
        <f t="shared" si="3"/>
        <v>0.49743323628542668</v>
      </c>
      <c r="J109" s="183">
        <f t="shared" si="3"/>
        <v>0.16599061350549238</v>
      </c>
      <c r="K109" s="183">
        <f t="shared" si="3"/>
        <v>17.974287014322744</v>
      </c>
      <c r="L109" s="183">
        <f t="shared" si="3"/>
        <v>1.4880032393614784</v>
      </c>
      <c r="M109" s="183">
        <f t="shared" si="3"/>
        <v>7.9441769078630564</v>
      </c>
      <c r="N109" s="183">
        <f t="shared" si="3"/>
        <v>101.95256583247215</v>
      </c>
      <c r="O109" s="183">
        <f t="shared" si="3"/>
        <v>0</v>
      </c>
      <c r="P109" s="183">
        <f t="shared" si="3"/>
        <v>4.5135274259233117E-2</v>
      </c>
      <c r="Q109" s="183">
        <f t="shared" si="3"/>
        <v>1.1079853694645038E-2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45549.010416666664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45549.010416666664</v>
      </c>
      <c r="B9" s="112">
        <v>9.25</v>
      </c>
      <c r="C9" s="112">
        <v>4.1100000000000003</v>
      </c>
      <c r="D9" s="112">
        <v>14.02</v>
      </c>
      <c r="E9" s="112">
        <v>8.39</v>
      </c>
      <c r="F9" s="112">
        <v>4.96</v>
      </c>
      <c r="G9" s="112">
        <v>55.14</v>
      </c>
      <c r="H9" s="112">
        <v>15.67</v>
      </c>
      <c r="I9" s="112">
        <v>5.87</v>
      </c>
      <c r="J9" s="112">
        <v>0.39</v>
      </c>
      <c r="K9" s="112">
        <v>275.64999999999998</v>
      </c>
      <c r="L9" s="112">
        <v>26.38</v>
      </c>
      <c r="M9" s="112">
        <v>85.13</v>
      </c>
      <c r="N9" s="112">
        <v>2.2000000000000002</v>
      </c>
      <c r="O9" s="112">
        <v>0</v>
      </c>
      <c r="P9" s="112">
        <v>0.48</v>
      </c>
      <c r="Q9" s="112">
        <v>4.63</v>
      </c>
    </row>
    <row r="10" spans="1:21" customFormat="1">
      <c r="A10" s="80">
        <v>45549.020833333336</v>
      </c>
      <c r="B10" s="112">
        <v>9.23</v>
      </c>
      <c r="C10" s="112">
        <v>4.0999999999999996</v>
      </c>
      <c r="D10" s="112">
        <v>14</v>
      </c>
      <c r="E10" s="112">
        <v>7.91</v>
      </c>
      <c r="F10" s="112">
        <v>4.7</v>
      </c>
      <c r="G10" s="112">
        <v>54.66</v>
      </c>
      <c r="H10" s="112">
        <v>15.54</v>
      </c>
      <c r="I10" s="112">
        <v>5.84</v>
      </c>
      <c r="J10" s="112">
        <v>0.46</v>
      </c>
      <c r="K10" s="112">
        <v>281.97000000000003</v>
      </c>
      <c r="L10" s="112">
        <v>26.39</v>
      </c>
      <c r="M10" s="112">
        <v>84.17</v>
      </c>
      <c r="N10" s="112">
        <v>2.1</v>
      </c>
      <c r="O10" s="112">
        <v>0</v>
      </c>
      <c r="P10" s="112">
        <v>0.48</v>
      </c>
      <c r="Q10" s="112">
        <v>4.6399999999999997</v>
      </c>
    </row>
    <row r="11" spans="1:21" customFormat="1">
      <c r="A11" s="80">
        <v>45549.03125</v>
      </c>
      <c r="B11" s="112">
        <v>9.24</v>
      </c>
      <c r="C11" s="112">
        <v>4.0999999999999996</v>
      </c>
      <c r="D11" s="112">
        <v>14</v>
      </c>
      <c r="E11" s="112">
        <v>8.15</v>
      </c>
      <c r="F11" s="112">
        <v>5.28</v>
      </c>
      <c r="G11" s="112">
        <v>50.31</v>
      </c>
      <c r="H11" s="112">
        <v>14.59</v>
      </c>
      <c r="I11" s="112">
        <v>5.8</v>
      </c>
      <c r="J11" s="112">
        <v>0.55000000000000004</v>
      </c>
      <c r="K11" s="112">
        <v>286.41000000000003</v>
      </c>
      <c r="L11" s="112">
        <v>26.4</v>
      </c>
      <c r="M11" s="112">
        <v>83.2</v>
      </c>
      <c r="N11" s="112">
        <v>2.1</v>
      </c>
      <c r="O11" s="112">
        <v>0</v>
      </c>
      <c r="P11" s="112">
        <v>0.47</v>
      </c>
      <c r="Q11" s="112">
        <v>4.6399999999999997</v>
      </c>
    </row>
    <row r="12" spans="1:21" customFormat="1">
      <c r="A12" s="80">
        <v>45549.041666666664</v>
      </c>
      <c r="B12" s="112">
        <v>9.26</v>
      </c>
      <c r="C12" s="112">
        <v>4.08</v>
      </c>
      <c r="D12" s="112">
        <v>14</v>
      </c>
      <c r="E12" s="112">
        <v>7.72</v>
      </c>
      <c r="F12" s="112">
        <v>5.94</v>
      </c>
      <c r="G12" s="112">
        <v>50.31</v>
      </c>
      <c r="H12" s="112">
        <v>14.59</v>
      </c>
      <c r="I12" s="112">
        <v>5.78</v>
      </c>
      <c r="J12" s="112">
        <v>0.6</v>
      </c>
      <c r="K12" s="112">
        <v>281.88</v>
      </c>
      <c r="L12" s="112">
        <v>26.32</v>
      </c>
      <c r="M12" s="112">
        <v>83.23</v>
      </c>
      <c r="N12" s="112">
        <v>2.2000000000000002</v>
      </c>
      <c r="O12" s="112">
        <v>0</v>
      </c>
      <c r="P12" s="112">
        <v>0.47</v>
      </c>
      <c r="Q12" s="112">
        <v>4.66</v>
      </c>
    </row>
    <row r="13" spans="1:21" customFormat="1">
      <c r="A13" s="80">
        <v>45549.052083333336</v>
      </c>
      <c r="B13" s="112">
        <v>9.27</v>
      </c>
      <c r="C13" s="112">
        <v>4.0599999999999996</v>
      </c>
      <c r="D13" s="112">
        <v>14</v>
      </c>
      <c r="E13" s="112">
        <v>7.92</v>
      </c>
      <c r="F13" s="112">
        <v>5.53</v>
      </c>
      <c r="G13" s="112">
        <v>50.31</v>
      </c>
      <c r="H13" s="112">
        <v>14.59</v>
      </c>
      <c r="I13" s="112">
        <v>5.71</v>
      </c>
      <c r="J13" s="112">
        <v>0.59</v>
      </c>
      <c r="K13" s="112">
        <v>287.3</v>
      </c>
      <c r="L13" s="112">
        <v>26.34</v>
      </c>
      <c r="M13" s="112">
        <v>82.86</v>
      </c>
      <c r="N13" s="112">
        <v>2.1</v>
      </c>
      <c r="O13" s="112">
        <v>0</v>
      </c>
      <c r="P13" s="112">
        <v>0.46</v>
      </c>
      <c r="Q13" s="112">
        <v>4.6500000000000004</v>
      </c>
    </row>
    <row r="14" spans="1:21" customFormat="1">
      <c r="A14" s="80">
        <v>45549.0625</v>
      </c>
      <c r="B14" s="112">
        <v>9.27</v>
      </c>
      <c r="C14" s="112">
        <v>4.0599999999999996</v>
      </c>
      <c r="D14" s="112">
        <v>14</v>
      </c>
      <c r="E14" s="112">
        <v>7.86</v>
      </c>
      <c r="F14" s="112">
        <v>5.0999999999999996</v>
      </c>
      <c r="G14" s="112">
        <v>50.24</v>
      </c>
      <c r="H14" s="112">
        <v>14.54</v>
      </c>
      <c r="I14" s="112">
        <v>5.65</v>
      </c>
      <c r="J14" s="112">
        <v>0.56000000000000005</v>
      </c>
      <c r="K14" s="112">
        <v>286.22000000000003</v>
      </c>
      <c r="L14" s="112">
        <v>26.23</v>
      </c>
      <c r="M14" s="112">
        <v>83.77</v>
      </c>
      <c r="N14" s="112">
        <v>2.2000000000000002</v>
      </c>
      <c r="O14" s="112">
        <v>0</v>
      </c>
      <c r="P14" s="112">
        <v>0.45</v>
      </c>
      <c r="Q14" s="112">
        <v>4.6500000000000004</v>
      </c>
    </row>
    <row r="15" spans="1:21" customFormat="1">
      <c r="A15" s="80">
        <v>45549.072916666664</v>
      </c>
      <c r="B15" s="112">
        <v>9.27</v>
      </c>
      <c r="C15" s="112">
        <v>4.0599999999999996</v>
      </c>
      <c r="D15" s="112">
        <v>14</v>
      </c>
      <c r="E15" s="112">
        <v>7.66</v>
      </c>
      <c r="F15" s="112">
        <v>5.25</v>
      </c>
      <c r="G15" s="112">
        <v>49.54</v>
      </c>
      <c r="H15" s="112">
        <v>14.07</v>
      </c>
      <c r="I15" s="112">
        <v>5.54</v>
      </c>
      <c r="J15" s="112">
        <v>0.54</v>
      </c>
      <c r="K15" s="112">
        <v>294.49</v>
      </c>
      <c r="L15" s="112">
        <v>26.13</v>
      </c>
      <c r="M15" s="112">
        <v>84.7</v>
      </c>
      <c r="N15" s="112">
        <v>2.1</v>
      </c>
      <c r="O15" s="112">
        <v>0</v>
      </c>
      <c r="P15" s="112">
        <v>0.43</v>
      </c>
      <c r="Q15" s="112">
        <v>4.6399999999999997</v>
      </c>
    </row>
    <row r="16" spans="1:21" customFormat="1">
      <c r="A16" s="80">
        <v>45549.083333333336</v>
      </c>
      <c r="B16" s="112">
        <v>9.25</v>
      </c>
      <c r="C16" s="112">
        <v>4.09</v>
      </c>
      <c r="D16" s="112">
        <v>14</v>
      </c>
      <c r="E16" s="112">
        <v>8.35</v>
      </c>
      <c r="F16" s="112">
        <v>4.58</v>
      </c>
      <c r="G16" s="112">
        <v>49.54</v>
      </c>
      <c r="H16" s="112">
        <v>14.07</v>
      </c>
      <c r="I16" s="112">
        <v>5.43</v>
      </c>
      <c r="J16" s="112">
        <v>0.67</v>
      </c>
      <c r="K16" s="112">
        <v>285.20999999999998</v>
      </c>
      <c r="L16" s="112">
        <v>26.15</v>
      </c>
      <c r="M16" s="112">
        <v>84.59</v>
      </c>
      <c r="N16" s="112">
        <v>2.1</v>
      </c>
      <c r="O16" s="112">
        <v>0</v>
      </c>
      <c r="P16" s="112">
        <v>0.44</v>
      </c>
      <c r="Q16" s="112">
        <v>4.6500000000000004</v>
      </c>
    </row>
    <row r="17" spans="1:17" customFormat="1">
      <c r="A17" s="80">
        <v>45549.09375</v>
      </c>
      <c r="B17" s="112">
        <v>9.25</v>
      </c>
      <c r="C17" s="112">
        <v>4.08</v>
      </c>
      <c r="D17" s="112">
        <v>14</v>
      </c>
      <c r="E17" s="112">
        <v>7.86</v>
      </c>
      <c r="F17" s="112">
        <v>4.9800000000000004</v>
      </c>
      <c r="G17" s="112">
        <v>49.54</v>
      </c>
      <c r="H17" s="112">
        <v>14.07</v>
      </c>
      <c r="I17" s="112">
        <v>5.29</v>
      </c>
      <c r="J17" s="112">
        <v>0.57999999999999996</v>
      </c>
      <c r="K17" s="112">
        <v>287.33</v>
      </c>
      <c r="L17" s="112">
        <v>26.06</v>
      </c>
      <c r="M17" s="112">
        <v>85.55</v>
      </c>
      <c r="N17" s="112">
        <v>2.2000000000000002</v>
      </c>
      <c r="O17" s="112">
        <v>0</v>
      </c>
      <c r="P17" s="112">
        <v>0.43</v>
      </c>
      <c r="Q17" s="112">
        <v>4.66</v>
      </c>
    </row>
    <row r="18" spans="1:17" customFormat="1">
      <c r="A18" s="80">
        <v>45549.104166666664</v>
      </c>
      <c r="B18" s="112">
        <v>9.26</v>
      </c>
      <c r="C18" s="112">
        <v>4.08</v>
      </c>
      <c r="D18" s="112">
        <v>14.01</v>
      </c>
      <c r="E18" s="112">
        <v>9.2799999999999994</v>
      </c>
      <c r="F18" s="112">
        <v>4.93</v>
      </c>
      <c r="G18" s="112">
        <v>49.34</v>
      </c>
      <c r="H18" s="112">
        <v>13.66</v>
      </c>
      <c r="I18" s="112">
        <v>5.27</v>
      </c>
      <c r="J18" s="112">
        <v>0.54</v>
      </c>
      <c r="K18" s="112">
        <v>276.98</v>
      </c>
      <c r="L18" s="112">
        <v>25.97</v>
      </c>
      <c r="M18" s="112">
        <v>86.11</v>
      </c>
      <c r="N18" s="112">
        <v>2.1</v>
      </c>
      <c r="O18" s="112">
        <v>0</v>
      </c>
      <c r="P18" s="112">
        <v>0.43</v>
      </c>
      <c r="Q18" s="112">
        <v>4.67</v>
      </c>
    </row>
    <row r="19" spans="1:17" customFormat="1">
      <c r="A19" s="80">
        <v>45549.114583333336</v>
      </c>
      <c r="B19" s="112">
        <v>9.26</v>
      </c>
      <c r="C19" s="112">
        <v>4.07</v>
      </c>
      <c r="D19" s="112">
        <v>14</v>
      </c>
      <c r="E19" s="112">
        <v>10.07</v>
      </c>
      <c r="F19" s="112">
        <v>5.01</v>
      </c>
      <c r="G19" s="112">
        <v>47.3</v>
      </c>
      <c r="H19" s="112">
        <v>10.199999999999999</v>
      </c>
      <c r="I19" s="112">
        <v>5.17</v>
      </c>
      <c r="J19" s="112">
        <v>0.56999999999999995</v>
      </c>
      <c r="K19" s="112">
        <v>275.93</v>
      </c>
      <c r="L19" s="112">
        <v>25.9</v>
      </c>
      <c r="M19" s="112">
        <v>86.4</v>
      </c>
      <c r="N19" s="112">
        <v>2.1</v>
      </c>
      <c r="O19" s="112">
        <v>0</v>
      </c>
      <c r="P19" s="112">
        <v>0.42</v>
      </c>
      <c r="Q19" s="112">
        <v>4.6500000000000004</v>
      </c>
    </row>
    <row r="20" spans="1:17" customFormat="1">
      <c r="A20" s="80">
        <v>45549.125</v>
      </c>
      <c r="B20" s="112">
        <v>9.27</v>
      </c>
      <c r="C20" s="112">
        <v>4.04</v>
      </c>
      <c r="D20" s="112">
        <v>14</v>
      </c>
      <c r="E20" s="112">
        <v>9.85</v>
      </c>
      <c r="F20" s="112">
        <v>4.54</v>
      </c>
      <c r="G20" s="112">
        <v>47.3</v>
      </c>
      <c r="H20" s="112">
        <v>10.199999999999999</v>
      </c>
      <c r="I20" s="112">
        <v>5.08</v>
      </c>
      <c r="J20" s="112">
        <v>0.44</v>
      </c>
      <c r="K20" s="112">
        <v>273.89999999999998</v>
      </c>
      <c r="L20" s="112">
        <v>25.87</v>
      </c>
      <c r="M20" s="112">
        <v>86.92</v>
      </c>
      <c r="N20" s="112">
        <v>2.2000000000000002</v>
      </c>
      <c r="O20" s="112">
        <v>0</v>
      </c>
      <c r="P20" s="112">
        <v>0.42</v>
      </c>
      <c r="Q20" s="112">
        <v>4.6500000000000004</v>
      </c>
    </row>
    <row r="21" spans="1:17" customFormat="1">
      <c r="A21" s="80">
        <v>45549.135416666664</v>
      </c>
      <c r="B21" s="112">
        <v>9.27</v>
      </c>
      <c r="C21" s="112">
        <v>4.05</v>
      </c>
      <c r="D21" s="112">
        <v>14</v>
      </c>
      <c r="E21" s="112">
        <v>10.25</v>
      </c>
      <c r="F21" s="112">
        <v>4.4800000000000004</v>
      </c>
      <c r="G21" s="112">
        <v>47.3</v>
      </c>
      <c r="H21" s="112">
        <v>10.199999999999999</v>
      </c>
      <c r="I21" s="112">
        <v>5.0599999999999996</v>
      </c>
      <c r="J21" s="112">
        <v>0.31</v>
      </c>
      <c r="K21" s="112">
        <v>264.75</v>
      </c>
      <c r="L21" s="112">
        <v>25.73</v>
      </c>
      <c r="M21" s="112">
        <v>88.06</v>
      </c>
      <c r="N21" s="112">
        <v>2.1</v>
      </c>
      <c r="O21" s="112">
        <v>0</v>
      </c>
      <c r="P21" s="112">
        <v>0.4</v>
      </c>
      <c r="Q21" s="112">
        <v>4.6500000000000004</v>
      </c>
    </row>
    <row r="22" spans="1:17" customFormat="1">
      <c r="A22" s="80">
        <v>45549.145833333336</v>
      </c>
      <c r="B22" s="112">
        <v>9.2799999999999994</v>
      </c>
      <c r="C22" s="112">
        <v>4.07</v>
      </c>
      <c r="D22" s="112">
        <v>14.01</v>
      </c>
      <c r="E22" s="112">
        <v>9.94</v>
      </c>
      <c r="F22" s="112">
        <v>4.46</v>
      </c>
      <c r="G22" s="112">
        <v>46.72</v>
      </c>
      <c r="H22" s="112">
        <v>10.15</v>
      </c>
      <c r="I22" s="112">
        <v>5.04</v>
      </c>
      <c r="J22" s="112">
        <v>0.32</v>
      </c>
      <c r="K22" s="112">
        <v>265.45</v>
      </c>
      <c r="L22" s="112">
        <v>25.64</v>
      </c>
      <c r="M22" s="112">
        <v>88.91</v>
      </c>
      <c r="N22" s="112">
        <v>2.1</v>
      </c>
      <c r="O22" s="112">
        <v>0</v>
      </c>
      <c r="P22" s="112">
        <v>0.4</v>
      </c>
      <c r="Q22" s="112">
        <v>4.6399999999999997</v>
      </c>
    </row>
    <row r="23" spans="1:17" customFormat="1">
      <c r="A23" s="80">
        <v>45549.15625</v>
      </c>
      <c r="B23" s="112">
        <v>9.2799999999999994</v>
      </c>
      <c r="C23" s="112">
        <v>4.05</v>
      </c>
      <c r="D23" s="112">
        <v>14.01</v>
      </c>
      <c r="E23" s="112">
        <v>10.199999999999999</v>
      </c>
      <c r="F23" s="112">
        <v>4.33</v>
      </c>
      <c r="G23" s="112">
        <v>40.75</v>
      </c>
      <c r="H23" s="112">
        <v>9.7200000000000006</v>
      </c>
      <c r="I23" s="112">
        <v>4.97</v>
      </c>
      <c r="J23" s="112">
        <v>0.28000000000000003</v>
      </c>
      <c r="K23" s="112">
        <v>265.62</v>
      </c>
      <c r="L23" s="112">
        <v>25.57</v>
      </c>
      <c r="M23" s="112">
        <v>89.6</v>
      </c>
      <c r="N23" s="112">
        <v>2.1</v>
      </c>
      <c r="O23" s="112">
        <v>0</v>
      </c>
      <c r="P23" s="112">
        <v>0.4</v>
      </c>
      <c r="Q23" s="112">
        <v>4.6399999999999997</v>
      </c>
    </row>
    <row r="24" spans="1:17" customFormat="1">
      <c r="A24" s="80">
        <v>45549.166666666664</v>
      </c>
      <c r="B24" s="112">
        <v>9.27</v>
      </c>
      <c r="C24" s="112">
        <v>4.07</v>
      </c>
      <c r="D24" s="112">
        <v>14.01</v>
      </c>
      <c r="E24" s="112">
        <v>10.119999999999999</v>
      </c>
      <c r="F24" s="112">
        <v>4.0199999999999996</v>
      </c>
      <c r="G24" s="112">
        <v>40.75</v>
      </c>
      <c r="H24" s="112">
        <v>9.7200000000000006</v>
      </c>
      <c r="I24" s="112">
        <v>4.93</v>
      </c>
      <c r="J24" s="112">
        <v>0.32</v>
      </c>
      <c r="K24" s="112">
        <v>264.89999999999998</v>
      </c>
      <c r="L24" s="112">
        <v>25.4</v>
      </c>
      <c r="M24" s="112">
        <v>90.84</v>
      </c>
      <c r="N24" s="112">
        <v>2.1</v>
      </c>
      <c r="O24" s="112">
        <v>0</v>
      </c>
      <c r="P24" s="112">
        <v>0.4</v>
      </c>
      <c r="Q24" s="112">
        <v>4.6399999999999997</v>
      </c>
    </row>
    <row r="25" spans="1:17" customFormat="1">
      <c r="A25" s="80">
        <v>45549.177083333336</v>
      </c>
      <c r="B25" s="112">
        <v>9.2799999999999994</v>
      </c>
      <c r="C25" s="112">
        <v>4.04</v>
      </c>
      <c r="D25" s="112">
        <v>14</v>
      </c>
      <c r="E25" s="112">
        <v>10.06</v>
      </c>
      <c r="F25" s="112">
        <v>3.61</v>
      </c>
      <c r="G25" s="112">
        <v>40.75</v>
      </c>
      <c r="H25" s="112">
        <v>9.7200000000000006</v>
      </c>
      <c r="I25" s="112">
        <v>4.8099999999999996</v>
      </c>
      <c r="J25" s="112">
        <v>0.1</v>
      </c>
      <c r="K25" s="112">
        <v>218.48</v>
      </c>
      <c r="L25" s="112">
        <v>25.3</v>
      </c>
      <c r="M25" s="112">
        <v>92.34</v>
      </c>
      <c r="N25" s="112">
        <v>2.2000000000000002</v>
      </c>
      <c r="O25" s="112">
        <v>0</v>
      </c>
      <c r="P25" s="112">
        <v>0.41</v>
      </c>
      <c r="Q25" s="112">
        <v>4.6500000000000004</v>
      </c>
    </row>
    <row r="26" spans="1:17" customFormat="1">
      <c r="A26" s="80">
        <v>45549.1875</v>
      </c>
      <c r="B26" s="112">
        <v>9.3000000000000007</v>
      </c>
      <c r="C26" s="112">
        <v>4.05</v>
      </c>
      <c r="D26" s="112">
        <v>14.02</v>
      </c>
      <c r="E26" s="112">
        <v>10.45</v>
      </c>
      <c r="F26" s="112">
        <v>3.5</v>
      </c>
      <c r="G26" s="112">
        <v>41.2</v>
      </c>
      <c r="H26" s="112">
        <v>9.69</v>
      </c>
      <c r="I26" s="112">
        <v>5.04</v>
      </c>
      <c r="J26" s="112">
        <v>0.15</v>
      </c>
      <c r="K26" s="112">
        <v>238.87</v>
      </c>
      <c r="L26" s="112">
        <v>25.1</v>
      </c>
      <c r="M26" s="112">
        <v>94.78</v>
      </c>
      <c r="N26" s="112">
        <v>2.1</v>
      </c>
      <c r="O26" s="112">
        <v>0</v>
      </c>
      <c r="P26" s="112">
        <v>0.41</v>
      </c>
      <c r="Q26" s="112">
        <v>4.6500000000000004</v>
      </c>
    </row>
    <row r="27" spans="1:17" customFormat="1">
      <c r="A27" s="80">
        <v>45549.197916666664</v>
      </c>
      <c r="B27" s="112">
        <v>9.33</v>
      </c>
      <c r="C27" s="112">
        <v>4.09</v>
      </c>
      <c r="D27" s="112">
        <v>14.06</v>
      </c>
      <c r="E27" s="112">
        <v>10.28</v>
      </c>
      <c r="F27" s="112">
        <v>3.84</v>
      </c>
      <c r="G27" s="112">
        <v>45.83</v>
      </c>
      <c r="H27" s="112">
        <v>9.36</v>
      </c>
      <c r="I27" s="112">
        <v>5.0999999999999996</v>
      </c>
      <c r="J27" s="112">
        <v>0.24</v>
      </c>
      <c r="K27" s="112">
        <v>270.92</v>
      </c>
      <c r="L27" s="112">
        <v>24.96</v>
      </c>
      <c r="M27" s="112">
        <v>95.89</v>
      </c>
      <c r="N27" s="112">
        <v>2.1</v>
      </c>
      <c r="O27" s="112">
        <v>0</v>
      </c>
      <c r="P27" s="112">
        <v>0.4</v>
      </c>
      <c r="Q27" s="112">
        <v>4.6500000000000004</v>
      </c>
    </row>
    <row r="28" spans="1:17" customFormat="1">
      <c r="A28" s="80">
        <v>45549.208333333336</v>
      </c>
      <c r="B28" s="112">
        <v>9.34</v>
      </c>
      <c r="C28" s="112">
        <v>4.08</v>
      </c>
      <c r="D28" s="112">
        <v>14.07</v>
      </c>
      <c r="E28" s="112">
        <v>9.91</v>
      </c>
      <c r="F28" s="112">
        <v>3.78</v>
      </c>
      <c r="G28" s="112">
        <v>45.83</v>
      </c>
      <c r="H28" s="112">
        <v>9.36</v>
      </c>
      <c r="I28" s="112">
        <v>5.05</v>
      </c>
      <c r="J28" s="112">
        <v>0.19</v>
      </c>
      <c r="K28" s="112">
        <v>261.85000000000002</v>
      </c>
      <c r="L28" s="112">
        <v>24.91</v>
      </c>
      <c r="M28" s="112">
        <v>96.67</v>
      </c>
      <c r="N28" s="112">
        <v>2.1</v>
      </c>
      <c r="O28" s="112">
        <v>0</v>
      </c>
      <c r="P28" s="112">
        <v>0.4</v>
      </c>
      <c r="Q28" s="112">
        <v>4.6399999999999997</v>
      </c>
    </row>
    <row r="29" spans="1:17" customFormat="1">
      <c r="A29" s="80">
        <v>45549.21875</v>
      </c>
      <c r="B29" s="112">
        <v>9.32</v>
      </c>
      <c r="C29" s="112">
        <v>4.0599999999999996</v>
      </c>
      <c r="D29" s="112">
        <v>14.05</v>
      </c>
      <c r="E29" s="112">
        <v>9.49</v>
      </c>
      <c r="F29" s="112">
        <v>3.86</v>
      </c>
      <c r="G29" s="112">
        <v>45.83</v>
      </c>
      <c r="H29" s="112">
        <v>9.36</v>
      </c>
      <c r="I29" s="112">
        <v>5.45</v>
      </c>
      <c r="J29" s="112">
        <v>0.16</v>
      </c>
      <c r="K29" s="112">
        <v>262.82</v>
      </c>
      <c r="L29" s="112">
        <v>24.9</v>
      </c>
      <c r="M29" s="112">
        <v>96.97</v>
      </c>
      <c r="N29" s="112">
        <v>2.1</v>
      </c>
      <c r="O29" s="112">
        <v>0</v>
      </c>
      <c r="P29" s="112">
        <v>0.41</v>
      </c>
      <c r="Q29" s="112">
        <v>4.6399999999999997</v>
      </c>
    </row>
    <row r="30" spans="1:17" customFormat="1">
      <c r="A30" s="80">
        <v>45549.229166666664</v>
      </c>
      <c r="B30" s="112">
        <v>9.32</v>
      </c>
      <c r="C30" s="112">
        <v>4.04</v>
      </c>
      <c r="D30" s="112">
        <v>14.04</v>
      </c>
      <c r="E30" s="112">
        <v>9.1300000000000008</v>
      </c>
      <c r="F30" s="112">
        <v>3.95</v>
      </c>
      <c r="G30" s="112">
        <v>45.48</v>
      </c>
      <c r="H30" s="112">
        <v>9.24</v>
      </c>
      <c r="I30" s="112">
        <v>5.41</v>
      </c>
      <c r="J30" s="112">
        <v>0.17</v>
      </c>
      <c r="K30" s="112">
        <v>255.93</v>
      </c>
      <c r="L30" s="112">
        <v>24.85</v>
      </c>
      <c r="M30" s="112">
        <v>97.22</v>
      </c>
      <c r="N30" s="112">
        <v>2.2000000000000002</v>
      </c>
      <c r="O30" s="112">
        <v>0</v>
      </c>
      <c r="P30" s="112">
        <v>0.4</v>
      </c>
      <c r="Q30" s="112">
        <v>4.6399999999999997</v>
      </c>
    </row>
    <row r="31" spans="1:17" customFormat="1">
      <c r="A31" s="80">
        <v>45549.239583333336</v>
      </c>
      <c r="B31" s="112">
        <v>9.33</v>
      </c>
      <c r="C31" s="112">
        <v>4.03</v>
      </c>
      <c r="D31" s="112">
        <v>14.04</v>
      </c>
      <c r="E31" s="112">
        <v>9.06</v>
      </c>
      <c r="F31" s="112">
        <v>3.82</v>
      </c>
      <c r="G31" s="112">
        <v>41.85</v>
      </c>
      <c r="H31" s="112">
        <v>8.19</v>
      </c>
      <c r="I31" s="112">
        <v>5.5</v>
      </c>
      <c r="J31" s="112">
        <v>0.21</v>
      </c>
      <c r="K31" s="112">
        <v>266.33</v>
      </c>
      <c r="L31" s="112">
        <v>24.84</v>
      </c>
      <c r="M31" s="112">
        <v>97.44</v>
      </c>
      <c r="N31" s="112">
        <v>3.7</v>
      </c>
      <c r="O31" s="112">
        <v>0</v>
      </c>
      <c r="P31" s="112">
        <v>0.4</v>
      </c>
      <c r="Q31" s="112">
        <v>4.6500000000000004</v>
      </c>
    </row>
    <row r="32" spans="1:17" customFormat="1">
      <c r="A32" s="80">
        <v>45549.25</v>
      </c>
      <c r="B32" s="112">
        <v>9.3000000000000007</v>
      </c>
      <c r="C32" s="112">
        <v>4.0599999999999996</v>
      </c>
      <c r="D32" s="112">
        <v>14.02</v>
      </c>
      <c r="E32" s="112">
        <v>8.4</v>
      </c>
      <c r="F32" s="112">
        <v>3.93</v>
      </c>
      <c r="G32" s="112">
        <v>41.85</v>
      </c>
      <c r="H32" s="112">
        <v>8.19</v>
      </c>
      <c r="I32" s="112">
        <v>5.48</v>
      </c>
      <c r="J32" s="112">
        <v>0.26</v>
      </c>
      <c r="K32" s="112">
        <v>270.26</v>
      </c>
      <c r="L32" s="112">
        <v>24.79</v>
      </c>
      <c r="M32" s="112">
        <v>97.43</v>
      </c>
      <c r="N32" s="112">
        <v>10</v>
      </c>
      <c r="O32" s="112">
        <v>0</v>
      </c>
      <c r="P32" s="112">
        <v>0.39</v>
      </c>
      <c r="Q32" s="112">
        <v>4.67</v>
      </c>
    </row>
    <row r="33" spans="1:17" customFormat="1">
      <c r="A33" s="80">
        <v>45549.260416666664</v>
      </c>
      <c r="B33" s="112">
        <v>9.2799999999999994</v>
      </c>
      <c r="C33" s="112">
        <v>4.0599999999999996</v>
      </c>
      <c r="D33" s="112">
        <v>14.01</v>
      </c>
      <c r="E33" s="112">
        <v>8.67</v>
      </c>
      <c r="F33" s="112">
        <v>4.04</v>
      </c>
      <c r="G33" s="112">
        <v>41.85</v>
      </c>
      <c r="H33" s="112">
        <v>8.19</v>
      </c>
      <c r="I33" s="112">
        <v>5.45</v>
      </c>
      <c r="J33" s="112">
        <v>0.28000000000000003</v>
      </c>
      <c r="K33" s="112">
        <v>268.16000000000003</v>
      </c>
      <c r="L33" s="112">
        <v>24.91</v>
      </c>
      <c r="M33" s="112">
        <v>97.21</v>
      </c>
      <c r="N33" s="112">
        <v>17.7</v>
      </c>
      <c r="O33" s="112">
        <v>0</v>
      </c>
      <c r="P33" s="112">
        <v>0.38</v>
      </c>
      <c r="Q33" s="112">
        <v>4.66</v>
      </c>
    </row>
    <row r="34" spans="1:17" customFormat="1">
      <c r="A34" s="80">
        <v>45549.270833333336</v>
      </c>
      <c r="B34" s="112">
        <v>9.27</v>
      </c>
      <c r="C34" s="112">
        <v>4.07</v>
      </c>
      <c r="D34" s="112">
        <v>14.01</v>
      </c>
      <c r="E34" s="112">
        <v>8.2899999999999991</v>
      </c>
      <c r="F34" s="112">
        <v>4.0199999999999996</v>
      </c>
      <c r="G34" s="112">
        <v>41.92</v>
      </c>
      <c r="H34" s="112">
        <v>8.52</v>
      </c>
      <c r="I34" s="112">
        <v>5.41</v>
      </c>
      <c r="J34" s="112">
        <v>0.3</v>
      </c>
      <c r="K34" s="112">
        <v>266.64999999999998</v>
      </c>
      <c r="L34" s="112">
        <v>25.05</v>
      </c>
      <c r="M34" s="112">
        <v>96.74</v>
      </c>
      <c r="N34" s="112">
        <v>26.1</v>
      </c>
      <c r="O34" s="112">
        <v>0</v>
      </c>
      <c r="P34" s="112">
        <v>0.38</v>
      </c>
      <c r="Q34" s="112">
        <v>4.66</v>
      </c>
    </row>
    <row r="35" spans="1:17" customFormat="1">
      <c r="A35" s="80">
        <v>45549.28125</v>
      </c>
      <c r="B35" s="112">
        <v>9.2799999999999994</v>
      </c>
      <c r="C35" s="112">
        <v>4.08</v>
      </c>
      <c r="D35" s="112">
        <v>14.02</v>
      </c>
      <c r="E35" s="112">
        <v>7.6</v>
      </c>
      <c r="F35" s="112">
        <v>4.18</v>
      </c>
      <c r="G35" s="112">
        <v>42.68</v>
      </c>
      <c r="H35" s="112">
        <v>11.25</v>
      </c>
      <c r="I35" s="112">
        <v>5.37</v>
      </c>
      <c r="J35" s="112">
        <v>0.35</v>
      </c>
      <c r="K35" s="112">
        <v>270.04000000000002</v>
      </c>
      <c r="L35" s="112">
        <v>25.26</v>
      </c>
      <c r="M35" s="112">
        <v>95.64</v>
      </c>
      <c r="N35" s="112">
        <v>36.200000000000003</v>
      </c>
      <c r="O35" s="112">
        <v>0</v>
      </c>
      <c r="P35" s="112">
        <v>0.38</v>
      </c>
      <c r="Q35" s="112">
        <v>4.6399999999999997</v>
      </c>
    </row>
    <row r="36" spans="1:17" customFormat="1">
      <c r="A36" s="80">
        <v>45549.291666666664</v>
      </c>
      <c r="B36" s="112">
        <v>9.2899999999999991</v>
      </c>
      <c r="C36" s="112">
        <v>4.07</v>
      </c>
      <c r="D36" s="112">
        <v>14.03</v>
      </c>
      <c r="E36" s="112">
        <v>8.26</v>
      </c>
      <c r="F36" s="112">
        <v>4.43</v>
      </c>
      <c r="G36" s="112">
        <v>42.68</v>
      </c>
      <c r="H36" s="112">
        <v>11.25</v>
      </c>
      <c r="I36" s="112">
        <v>5.33</v>
      </c>
      <c r="J36" s="112">
        <v>0.45</v>
      </c>
      <c r="K36" s="112">
        <v>269.49</v>
      </c>
      <c r="L36" s="112">
        <v>25.52</v>
      </c>
      <c r="M36" s="112">
        <v>93.45</v>
      </c>
      <c r="N36" s="112">
        <v>48.5</v>
      </c>
      <c r="O36" s="112">
        <v>0</v>
      </c>
      <c r="P36" s="112">
        <v>0.38</v>
      </c>
      <c r="Q36" s="112">
        <v>4.6399999999999997</v>
      </c>
    </row>
    <row r="37" spans="1:17" customFormat="1">
      <c r="A37" s="80">
        <v>45549.302083333336</v>
      </c>
      <c r="B37" s="112">
        <v>9.27</v>
      </c>
      <c r="C37" s="112">
        <v>4.05</v>
      </c>
      <c r="D37" s="112">
        <v>14</v>
      </c>
      <c r="E37" s="112">
        <v>8.14</v>
      </c>
      <c r="F37" s="112">
        <v>4.6100000000000003</v>
      </c>
      <c r="G37" s="112">
        <v>42.68</v>
      </c>
      <c r="H37" s="112">
        <v>11.25</v>
      </c>
      <c r="I37" s="112">
        <v>5.42</v>
      </c>
      <c r="J37" s="112">
        <v>0.49</v>
      </c>
      <c r="K37" s="112">
        <v>272.47000000000003</v>
      </c>
      <c r="L37" s="112">
        <v>25.84</v>
      </c>
      <c r="M37" s="112">
        <v>91.18</v>
      </c>
      <c r="N37" s="112">
        <v>68.599999999999994</v>
      </c>
      <c r="O37" s="112">
        <v>0</v>
      </c>
      <c r="P37" s="112">
        <v>0.38</v>
      </c>
      <c r="Q37" s="112">
        <v>4.6500000000000004</v>
      </c>
    </row>
    <row r="38" spans="1:17" customFormat="1">
      <c r="A38" s="80">
        <v>45549.3125</v>
      </c>
      <c r="B38" s="112">
        <v>9.2799999999999994</v>
      </c>
      <c r="C38" s="112">
        <v>4.04</v>
      </c>
      <c r="D38" s="112">
        <v>14</v>
      </c>
      <c r="E38" s="112">
        <v>8.35</v>
      </c>
      <c r="F38" s="112">
        <v>5</v>
      </c>
      <c r="G38" s="112">
        <v>42.97</v>
      </c>
      <c r="H38" s="112">
        <v>11.59</v>
      </c>
      <c r="I38" s="112">
        <v>5.51</v>
      </c>
      <c r="J38" s="112">
        <v>0.46</v>
      </c>
      <c r="K38" s="112">
        <v>271.86</v>
      </c>
      <c r="L38" s="112">
        <v>26.17</v>
      </c>
      <c r="M38" s="112">
        <v>89.33</v>
      </c>
      <c r="N38" s="112">
        <v>76.2</v>
      </c>
      <c r="O38" s="112">
        <v>0</v>
      </c>
      <c r="P38" s="112">
        <v>0.39</v>
      </c>
      <c r="Q38" s="112">
        <v>4.6399999999999997</v>
      </c>
    </row>
    <row r="39" spans="1:17" customFormat="1">
      <c r="A39" s="80">
        <v>45549.322916666664</v>
      </c>
      <c r="B39" s="112">
        <v>9.27</v>
      </c>
      <c r="C39" s="112">
        <v>4.05</v>
      </c>
      <c r="D39" s="112">
        <v>14</v>
      </c>
      <c r="E39" s="112">
        <v>8.41</v>
      </c>
      <c r="F39" s="112">
        <v>5.65</v>
      </c>
      <c r="G39" s="112">
        <v>45.92</v>
      </c>
      <c r="H39" s="112">
        <v>14.15</v>
      </c>
      <c r="I39" s="112">
        <v>5.65</v>
      </c>
      <c r="J39" s="112">
        <v>0.39</v>
      </c>
      <c r="K39" s="112">
        <v>266.83</v>
      </c>
      <c r="L39" s="112">
        <v>26.33</v>
      </c>
      <c r="M39" s="112">
        <v>88.91</v>
      </c>
      <c r="N39" s="112">
        <v>53.1</v>
      </c>
      <c r="O39" s="112">
        <v>0</v>
      </c>
      <c r="P39" s="112">
        <v>0.4</v>
      </c>
      <c r="Q39" s="112">
        <v>4.6500000000000004</v>
      </c>
    </row>
    <row r="40" spans="1:17" customFormat="1">
      <c r="A40" s="80">
        <v>45549.333333333336</v>
      </c>
      <c r="B40" s="112">
        <v>9.2799999999999994</v>
      </c>
      <c r="C40" s="112">
        <v>4.04</v>
      </c>
      <c r="D40" s="112">
        <v>14.01</v>
      </c>
      <c r="E40" s="112">
        <v>8.66</v>
      </c>
      <c r="F40" s="112">
        <v>5.48</v>
      </c>
      <c r="G40" s="112">
        <v>45.92</v>
      </c>
      <c r="H40" s="112">
        <v>14.15</v>
      </c>
      <c r="I40" s="112">
        <v>5.96</v>
      </c>
      <c r="J40" s="112">
        <v>0.45</v>
      </c>
      <c r="K40" s="112">
        <v>271.2</v>
      </c>
      <c r="L40" s="112">
        <v>26.29</v>
      </c>
      <c r="M40" s="112">
        <v>88.86</v>
      </c>
      <c r="N40" s="112">
        <v>40.9</v>
      </c>
      <c r="O40" s="112">
        <v>0</v>
      </c>
      <c r="P40" s="112">
        <v>0.4</v>
      </c>
      <c r="Q40" s="112">
        <v>4.67</v>
      </c>
    </row>
    <row r="41" spans="1:17" customFormat="1">
      <c r="A41" s="80">
        <v>45549.34375</v>
      </c>
      <c r="B41" s="112">
        <v>9.27</v>
      </c>
      <c r="C41" s="112">
        <v>4.0599999999999996</v>
      </c>
      <c r="D41" s="112">
        <v>14</v>
      </c>
      <c r="E41" s="112">
        <v>8.1999999999999993</v>
      </c>
      <c r="F41" s="112">
        <v>5.39</v>
      </c>
      <c r="G41" s="112">
        <v>45.92</v>
      </c>
      <c r="H41" s="112">
        <v>14.15</v>
      </c>
      <c r="I41" s="112">
        <v>5.89</v>
      </c>
      <c r="J41" s="112">
        <v>0.44</v>
      </c>
      <c r="K41" s="112">
        <v>271.69</v>
      </c>
      <c r="L41" s="112">
        <v>26.36</v>
      </c>
      <c r="M41" s="112">
        <v>88.74</v>
      </c>
      <c r="N41" s="112">
        <v>48.9</v>
      </c>
      <c r="O41" s="112">
        <v>0</v>
      </c>
      <c r="P41" s="112">
        <v>0.4</v>
      </c>
      <c r="Q41" s="112">
        <v>4.6500000000000004</v>
      </c>
    </row>
    <row r="42" spans="1:17" customFormat="1">
      <c r="A42" s="80">
        <v>45549.354166666664</v>
      </c>
      <c r="B42" s="112">
        <v>9.2799999999999994</v>
      </c>
      <c r="C42" s="112">
        <v>4.05</v>
      </c>
      <c r="D42" s="112">
        <v>14.01</v>
      </c>
      <c r="E42" s="112">
        <v>8.6999999999999993</v>
      </c>
      <c r="F42" s="112">
        <v>5.38</v>
      </c>
      <c r="G42" s="112">
        <v>46.6</v>
      </c>
      <c r="H42" s="112">
        <v>13.74</v>
      </c>
      <c r="I42" s="112">
        <v>6.1</v>
      </c>
      <c r="J42" s="112">
        <v>0.62</v>
      </c>
      <c r="K42" s="112">
        <v>283.99</v>
      </c>
      <c r="L42" s="112">
        <v>26.65</v>
      </c>
      <c r="M42" s="112">
        <v>85.43</v>
      </c>
      <c r="N42" s="112">
        <v>92.3</v>
      </c>
      <c r="O42" s="112">
        <v>0</v>
      </c>
      <c r="P42" s="112">
        <v>0.41</v>
      </c>
      <c r="Q42" s="112">
        <v>4.6399999999999997</v>
      </c>
    </row>
    <row r="43" spans="1:17" customFormat="1">
      <c r="A43" s="80">
        <v>45549.364583333336</v>
      </c>
      <c r="B43" s="112">
        <v>9.27</v>
      </c>
      <c r="C43" s="112">
        <v>4.08</v>
      </c>
      <c r="D43" s="112">
        <v>14.02</v>
      </c>
      <c r="E43" s="112">
        <v>8.8000000000000007</v>
      </c>
      <c r="F43" s="112">
        <v>5.55</v>
      </c>
      <c r="G43" s="112">
        <v>53.56</v>
      </c>
      <c r="H43" s="112">
        <v>10.7</v>
      </c>
      <c r="I43" s="112">
        <v>6.28</v>
      </c>
      <c r="J43" s="112">
        <v>0.63</v>
      </c>
      <c r="K43" s="112">
        <v>279.77</v>
      </c>
      <c r="L43" s="112">
        <v>26.92</v>
      </c>
      <c r="M43" s="112">
        <v>83.46</v>
      </c>
      <c r="N43" s="112">
        <v>96.6</v>
      </c>
      <c r="O43" s="112">
        <v>0</v>
      </c>
      <c r="P43" s="112">
        <v>0.4</v>
      </c>
      <c r="Q43" s="112">
        <v>4.66</v>
      </c>
    </row>
    <row r="44" spans="1:17" customFormat="1">
      <c r="A44" s="80">
        <v>45549.375</v>
      </c>
      <c r="B44" s="112">
        <v>9.2799999999999994</v>
      </c>
      <c r="C44" s="112">
        <v>4.0999999999999996</v>
      </c>
      <c r="D44" s="112">
        <v>14.03</v>
      </c>
      <c r="E44" s="112">
        <v>8.6300000000000008</v>
      </c>
      <c r="F44" s="112">
        <v>6.39</v>
      </c>
      <c r="G44" s="112">
        <v>53.56</v>
      </c>
      <c r="H44" s="112">
        <v>10.7</v>
      </c>
      <c r="I44" s="112">
        <v>6.13</v>
      </c>
      <c r="J44" s="112">
        <v>0.55000000000000004</v>
      </c>
      <c r="K44" s="112">
        <v>293.89999999999998</v>
      </c>
      <c r="L44" s="112">
        <v>27.1</v>
      </c>
      <c r="M44" s="112">
        <v>82.4</v>
      </c>
      <c r="N44" s="112">
        <v>117.4</v>
      </c>
      <c r="O44" s="112">
        <v>0</v>
      </c>
      <c r="P44" s="112">
        <v>0.43</v>
      </c>
      <c r="Q44" s="112">
        <v>4.6500000000000004</v>
      </c>
    </row>
    <row r="45" spans="1:17" customFormat="1">
      <c r="A45" s="80">
        <v>45549.385416666664</v>
      </c>
      <c r="B45" s="112">
        <v>9.2799999999999994</v>
      </c>
      <c r="C45" s="112">
        <v>4.0599999999999996</v>
      </c>
      <c r="D45" s="112">
        <v>14.01</v>
      </c>
      <c r="E45" s="112">
        <v>7.99</v>
      </c>
      <c r="F45" s="112">
        <v>5.78</v>
      </c>
      <c r="G45" s="112">
        <v>53.56</v>
      </c>
      <c r="H45" s="112">
        <v>10.7</v>
      </c>
      <c r="I45" s="112">
        <v>5.95</v>
      </c>
      <c r="J45" s="112">
        <v>0.67</v>
      </c>
      <c r="K45" s="112">
        <v>284.06</v>
      </c>
      <c r="L45" s="112">
        <v>27.32</v>
      </c>
      <c r="M45" s="112">
        <v>80.63</v>
      </c>
      <c r="N45" s="112">
        <v>121</v>
      </c>
      <c r="O45" s="112">
        <v>0</v>
      </c>
      <c r="P45" s="112">
        <v>0.44</v>
      </c>
      <c r="Q45" s="112">
        <v>4.6399999999999997</v>
      </c>
    </row>
    <row r="46" spans="1:17" customFormat="1">
      <c r="A46" s="80">
        <v>45549.395833333336</v>
      </c>
      <c r="B46" s="112">
        <v>9.25</v>
      </c>
      <c r="C46" s="112">
        <v>4.08</v>
      </c>
      <c r="D46" s="112">
        <v>14</v>
      </c>
      <c r="E46" s="112">
        <v>8.19</v>
      </c>
      <c r="F46" s="112">
        <v>6.47</v>
      </c>
      <c r="G46" s="112">
        <v>53.17</v>
      </c>
      <c r="H46" s="112">
        <v>10.66</v>
      </c>
      <c r="I46" s="112">
        <v>5.92</v>
      </c>
      <c r="J46" s="112">
        <v>0.79</v>
      </c>
      <c r="K46" s="112">
        <v>277.44</v>
      </c>
      <c r="L46" s="112">
        <v>27.22</v>
      </c>
      <c r="M46" s="112">
        <v>80.150000000000006</v>
      </c>
      <c r="N46" s="112">
        <v>106.2</v>
      </c>
      <c r="O46" s="112">
        <v>0</v>
      </c>
      <c r="P46" s="112">
        <v>0.44</v>
      </c>
      <c r="Q46" s="112">
        <v>4.6500000000000004</v>
      </c>
    </row>
    <row r="47" spans="1:17" customFormat="1">
      <c r="A47" s="80">
        <v>45549.40625</v>
      </c>
      <c r="B47" s="112">
        <v>9.24</v>
      </c>
      <c r="C47" s="112">
        <v>4.09</v>
      </c>
      <c r="D47" s="112">
        <v>14</v>
      </c>
      <c r="E47" s="112">
        <v>8.2799999999999994</v>
      </c>
      <c r="F47" s="112">
        <v>5.79</v>
      </c>
      <c r="G47" s="112">
        <v>49.14</v>
      </c>
      <c r="H47" s="112">
        <v>10.41</v>
      </c>
      <c r="I47" s="112">
        <v>6.1</v>
      </c>
      <c r="J47" s="112">
        <v>0.66</v>
      </c>
      <c r="K47" s="112">
        <v>288.32</v>
      </c>
      <c r="L47" s="112">
        <v>27.28</v>
      </c>
      <c r="M47" s="112">
        <v>80.02</v>
      </c>
      <c r="N47" s="112">
        <v>119.5</v>
      </c>
      <c r="O47" s="112">
        <v>0</v>
      </c>
      <c r="P47" s="112">
        <v>0.44</v>
      </c>
      <c r="Q47" s="112">
        <v>4.66</v>
      </c>
    </row>
    <row r="48" spans="1:17" customFormat="1">
      <c r="A48" s="80">
        <v>45549.416666666664</v>
      </c>
      <c r="B48" s="112">
        <v>9.24</v>
      </c>
      <c r="C48" s="112">
        <v>4.0999999999999996</v>
      </c>
      <c r="D48" s="112">
        <v>14</v>
      </c>
      <c r="E48" s="112">
        <v>7.72</v>
      </c>
      <c r="F48" s="112">
        <v>6.01</v>
      </c>
      <c r="G48" s="112">
        <v>49.14</v>
      </c>
      <c r="H48" s="112">
        <v>10.41</v>
      </c>
      <c r="I48" s="112">
        <v>5.83</v>
      </c>
      <c r="J48" s="112">
        <v>0.53</v>
      </c>
      <c r="K48" s="112">
        <v>286.98</v>
      </c>
      <c r="L48" s="112">
        <v>27.45</v>
      </c>
      <c r="M48" s="112">
        <v>79.36</v>
      </c>
      <c r="N48" s="112">
        <v>99.3</v>
      </c>
      <c r="O48" s="112">
        <v>0</v>
      </c>
      <c r="P48" s="112">
        <v>0.45</v>
      </c>
      <c r="Q48" s="112">
        <v>4.6500000000000004</v>
      </c>
    </row>
    <row r="49" spans="1:17" customFormat="1">
      <c r="A49" s="80">
        <v>45549.427083333336</v>
      </c>
      <c r="B49" s="112">
        <v>9.26</v>
      </c>
      <c r="C49" s="112">
        <v>4.07</v>
      </c>
      <c r="D49" s="112">
        <v>14</v>
      </c>
      <c r="E49" s="112">
        <v>8.06</v>
      </c>
      <c r="F49" s="112">
        <v>5.17</v>
      </c>
      <c r="G49" s="112">
        <v>49.14</v>
      </c>
      <c r="H49" s="112">
        <v>10.41</v>
      </c>
      <c r="I49" s="112">
        <v>5.95</v>
      </c>
      <c r="J49" s="112">
        <v>0.51</v>
      </c>
      <c r="K49" s="112">
        <v>305.37</v>
      </c>
      <c r="L49" s="112">
        <v>27.44</v>
      </c>
      <c r="M49" s="112">
        <v>79.23</v>
      </c>
      <c r="N49" s="112">
        <v>92.4</v>
      </c>
      <c r="O49" s="112">
        <v>0</v>
      </c>
      <c r="P49" s="112">
        <v>0.48</v>
      </c>
      <c r="Q49" s="112">
        <v>4.66</v>
      </c>
    </row>
    <row r="50" spans="1:17" customFormat="1">
      <c r="A50" s="80">
        <v>45549.4375</v>
      </c>
      <c r="B50" s="112">
        <v>9.25</v>
      </c>
      <c r="C50" s="112">
        <v>4.09</v>
      </c>
      <c r="D50" s="112">
        <v>14</v>
      </c>
      <c r="E50" s="112">
        <v>9.41</v>
      </c>
      <c r="F50" s="112">
        <v>5.69</v>
      </c>
      <c r="G50" s="112">
        <v>49.7</v>
      </c>
      <c r="H50" s="112">
        <v>10.32</v>
      </c>
      <c r="I50" s="112">
        <v>5.93</v>
      </c>
      <c r="J50" s="112">
        <v>0.53</v>
      </c>
      <c r="K50" s="112">
        <v>299.25</v>
      </c>
      <c r="L50" s="112">
        <v>27.58</v>
      </c>
      <c r="M50" s="112">
        <v>79.430000000000007</v>
      </c>
      <c r="N50" s="112">
        <v>121</v>
      </c>
      <c r="O50" s="112">
        <v>0</v>
      </c>
      <c r="P50" s="112">
        <v>0.47</v>
      </c>
      <c r="Q50" s="112">
        <v>4.6500000000000004</v>
      </c>
    </row>
    <row r="51" spans="1:17" customFormat="1">
      <c r="A51" s="80">
        <v>45549.447916666664</v>
      </c>
      <c r="B51" s="112">
        <v>9.24</v>
      </c>
      <c r="C51" s="112">
        <v>4.0999999999999996</v>
      </c>
      <c r="D51" s="112">
        <v>14</v>
      </c>
      <c r="E51" s="112">
        <v>9.86</v>
      </c>
      <c r="F51" s="112">
        <v>5.41</v>
      </c>
      <c r="G51" s="112">
        <v>55.4</v>
      </c>
      <c r="H51" s="112">
        <v>9.5500000000000007</v>
      </c>
      <c r="I51" s="112">
        <v>6.03</v>
      </c>
      <c r="J51" s="112">
        <v>0.52</v>
      </c>
      <c r="K51" s="112">
        <v>295.33999999999997</v>
      </c>
      <c r="L51" s="112">
        <v>27.85</v>
      </c>
      <c r="M51" s="112">
        <v>78.27</v>
      </c>
      <c r="N51" s="112">
        <v>149.4</v>
      </c>
      <c r="O51" s="112">
        <v>0</v>
      </c>
      <c r="P51" s="112">
        <v>0.46</v>
      </c>
      <c r="Q51" s="112">
        <v>4.67</v>
      </c>
    </row>
    <row r="52" spans="1:17" customFormat="1">
      <c r="A52" s="80">
        <v>45549.458333333336</v>
      </c>
      <c r="B52" s="112">
        <v>9.23</v>
      </c>
      <c r="C52" s="112">
        <v>4.12</v>
      </c>
      <c r="D52" s="112">
        <v>14</v>
      </c>
      <c r="E52" s="112">
        <v>10.65</v>
      </c>
      <c r="F52" s="112">
        <v>4.9000000000000004</v>
      </c>
      <c r="G52" s="112">
        <v>55.4</v>
      </c>
      <c r="H52" s="112">
        <v>9.5500000000000007</v>
      </c>
      <c r="I52" s="112">
        <v>5.65</v>
      </c>
      <c r="J52" s="112">
        <v>0.55000000000000004</v>
      </c>
      <c r="K52" s="112">
        <v>306.26</v>
      </c>
      <c r="L52" s="112">
        <v>27.94</v>
      </c>
      <c r="M52" s="112">
        <v>77.08</v>
      </c>
      <c r="N52" s="112">
        <v>128.9</v>
      </c>
      <c r="O52" s="112">
        <v>0</v>
      </c>
      <c r="P52" s="112">
        <v>0.46</v>
      </c>
      <c r="Q52" s="112">
        <v>4.67</v>
      </c>
    </row>
    <row r="53" spans="1:17" customFormat="1">
      <c r="A53" s="80">
        <v>45549.46875</v>
      </c>
      <c r="B53" s="112">
        <v>9.2200000000000006</v>
      </c>
      <c r="C53" s="112">
        <v>4.12</v>
      </c>
      <c r="D53" s="112">
        <v>14</v>
      </c>
      <c r="E53" s="112">
        <v>10</v>
      </c>
      <c r="F53" s="112">
        <v>5.83</v>
      </c>
      <c r="G53" s="112">
        <v>55.4</v>
      </c>
      <c r="H53" s="112">
        <v>9.5500000000000007</v>
      </c>
      <c r="I53" s="112">
        <v>5.87</v>
      </c>
      <c r="J53" s="112">
        <v>0.72</v>
      </c>
      <c r="K53" s="112">
        <v>293.25</v>
      </c>
      <c r="L53" s="112">
        <v>28.06</v>
      </c>
      <c r="M53" s="112">
        <v>76.94</v>
      </c>
      <c r="N53" s="112">
        <v>173.7</v>
      </c>
      <c r="O53" s="112">
        <v>0</v>
      </c>
      <c r="P53" s="112">
        <v>0.47</v>
      </c>
      <c r="Q53" s="112">
        <v>4.6399999999999997</v>
      </c>
    </row>
    <row r="54" spans="1:17" customFormat="1">
      <c r="A54" s="80">
        <v>45549.479166666664</v>
      </c>
      <c r="B54" s="112">
        <v>9.23</v>
      </c>
      <c r="C54" s="112">
        <v>4.1100000000000003</v>
      </c>
      <c r="D54" s="112">
        <v>14</v>
      </c>
      <c r="E54" s="112">
        <v>9.73</v>
      </c>
      <c r="F54" s="112">
        <v>5.52</v>
      </c>
      <c r="G54" s="112">
        <v>56.2</v>
      </c>
      <c r="H54" s="112">
        <v>10.57</v>
      </c>
      <c r="I54" s="112">
        <v>5.86</v>
      </c>
      <c r="J54" s="112">
        <v>0.71</v>
      </c>
      <c r="K54" s="112">
        <v>297.52999999999997</v>
      </c>
      <c r="L54" s="112">
        <v>28.35</v>
      </c>
      <c r="M54" s="112">
        <v>76.14</v>
      </c>
      <c r="N54" s="112">
        <v>204.6</v>
      </c>
      <c r="O54" s="112">
        <v>0</v>
      </c>
      <c r="P54" s="112">
        <v>0.46</v>
      </c>
      <c r="Q54" s="112">
        <v>4.62</v>
      </c>
    </row>
    <row r="55" spans="1:17" customFormat="1">
      <c r="A55" s="80">
        <v>45549.489583333336</v>
      </c>
      <c r="B55" s="112">
        <v>9.2100000000000009</v>
      </c>
      <c r="C55" s="112">
        <v>4.1399999999999997</v>
      </c>
      <c r="D55" s="112">
        <v>14</v>
      </c>
      <c r="E55" s="112">
        <v>10.16</v>
      </c>
      <c r="F55" s="112">
        <v>5.31</v>
      </c>
      <c r="G55" s="112">
        <v>64.430000000000007</v>
      </c>
      <c r="H55" s="112">
        <v>19.21</v>
      </c>
      <c r="I55" s="112">
        <v>5.79</v>
      </c>
      <c r="J55" s="112">
        <v>0.83</v>
      </c>
      <c r="K55" s="112">
        <v>306.02</v>
      </c>
      <c r="L55" s="112">
        <v>28.67</v>
      </c>
      <c r="M55" s="112">
        <v>73.209999999999994</v>
      </c>
      <c r="N55" s="112">
        <v>344.2</v>
      </c>
      <c r="O55" s="112">
        <v>0</v>
      </c>
      <c r="P55" s="112">
        <v>0.46</v>
      </c>
      <c r="Q55" s="112">
        <v>4.6399999999999997</v>
      </c>
    </row>
    <row r="56" spans="1:17" customFormat="1">
      <c r="A56" s="80">
        <v>45549.5</v>
      </c>
      <c r="B56" s="112">
        <v>9.23</v>
      </c>
      <c r="C56" s="112">
        <v>4.12</v>
      </c>
      <c r="D56" s="112">
        <v>14</v>
      </c>
      <c r="E56" s="112">
        <v>10.34</v>
      </c>
      <c r="F56" s="112">
        <v>4.8899999999999997</v>
      </c>
      <c r="G56" s="112">
        <v>64.430000000000007</v>
      </c>
      <c r="H56" s="112">
        <v>19.21</v>
      </c>
      <c r="I56" s="112">
        <v>5.67</v>
      </c>
      <c r="J56" s="112">
        <v>0.76</v>
      </c>
      <c r="K56" s="112">
        <v>303.95999999999998</v>
      </c>
      <c r="L56" s="112">
        <v>28.89</v>
      </c>
      <c r="M56" s="112">
        <v>71.84</v>
      </c>
      <c r="N56" s="112">
        <v>259.2</v>
      </c>
      <c r="O56" s="112">
        <v>0</v>
      </c>
      <c r="P56" s="112">
        <v>0.45</v>
      </c>
      <c r="Q56" s="112">
        <v>4.63</v>
      </c>
    </row>
    <row r="57" spans="1:17" customFormat="1">
      <c r="A57" s="80">
        <v>45549.510416666664</v>
      </c>
      <c r="B57" s="112">
        <v>9.23</v>
      </c>
      <c r="C57" s="112">
        <v>4.12</v>
      </c>
      <c r="D57" s="112">
        <v>14</v>
      </c>
      <c r="E57" s="112">
        <v>10.33</v>
      </c>
      <c r="F57" s="112">
        <v>5.29</v>
      </c>
      <c r="G57" s="112">
        <v>64.430000000000007</v>
      </c>
      <c r="H57" s="112">
        <v>19.21</v>
      </c>
      <c r="I57" s="112">
        <v>5.66</v>
      </c>
      <c r="J57" s="112">
        <v>0.73</v>
      </c>
      <c r="K57" s="112">
        <v>299.44</v>
      </c>
      <c r="L57" s="112">
        <v>28.91</v>
      </c>
      <c r="M57" s="112">
        <v>71.92</v>
      </c>
      <c r="N57" s="112">
        <v>307.5</v>
      </c>
      <c r="O57" s="112">
        <v>0</v>
      </c>
      <c r="P57" s="112">
        <v>0.45</v>
      </c>
      <c r="Q57" s="112">
        <v>4.6399999999999997</v>
      </c>
    </row>
    <row r="58" spans="1:17" customFormat="1">
      <c r="A58" s="80">
        <v>45549.520833333336</v>
      </c>
      <c r="B58" s="112">
        <v>9.23</v>
      </c>
      <c r="C58" s="112">
        <v>4.12</v>
      </c>
      <c r="D58" s="112">
        <v>14</v>
      </c>
      <c r="E58" s="112">
        <v>10.6</v>
      </c>
      <c r="F58" s="112">
        <v>5.78</v>
      </c>
      <c r="G58" s="112">
        <v>64.569999999999993</v>
      </c>
      <c r="H58" s="112">
        <v>18.920000000000002</v>
      </c>
      <c r="I58" s="112">
        <v>5.55</v>
      </c>
      <c r="J58" s="112">
        <v>0.66</v>
      </c>
      <c r="K58" s="112">
        <v>293.45999999999998</v>
      </c>
      <c r="L58" s="112">
        <v>29.23</v>
      </c>
      <c r="M58" s="112">
        <v>71.650000000000006</v>
      </c>
      <c r="N58" s="112">
        <v>365.8</v>
      </c>
      <c r="O58" s="112">
        <v>0</v>
      </c>
      <c r="P58" s="112">
        <v>0.44</v>
      </c>
      <c r="Q58" s="112">
        <v>4.6399999999999997</v>
      </c>
    </row>
    <row r="59" spans="1:17" customFormat="1">
      <c r="A59" s="80">
        <v>45549.53125</v>
      </c>
      <c r="B59" s="112">
        <v>9.2200000000000006</v>
      </c>
      <c r="C59" s="112">
        <v>4.13</v>
      </c>
      <c r="D59" s="112">
        <v>14</v>
      </c>
      <c r="E59" s="112">
        <v>11.1</v>
      </c>
      <c r="F59" s="112">
        <v>5.99</v>
      </c>
      <c r="G59" s="112">
        <v>66.03</v>
      </c>
      <c r="H59" s="112">
        <v>16.71</v>
      </c>
      <c r="I59" s="112">
        <v>5.49</v>
      </c>
      <c r="J59" s="112">
        <v>0.66</v>
      </c>
      <c r="K59" s="112">
        <v>307.07</v>
      </c>
      <c r="L59" s="112">
        <v>29.46</v>
      </c>
      <c r="M59" s="112">
        <v>70.459999999999994</v>
      </c>
      <c r="N59" s="112">
        <v>401</v>
      </c>
      <c r="O59" s="112">
        <v>0</v>
      </c>
      <c r="P59" s="112">
        <v>0.44</v>
      </c>
      <c r="Q59" s="112">
        <v>4.6500000000000004</v>
      </c>
    </row>
    <row r="60" spans="1:17" customFormat="1">
      <c r="A60" s="80">
        <v>45549.541666666664</v>
      </c>
      <c r="B60" s="112">
        <v>9.2100000000000009</v>
      </c>
      <c r="C60" s="112">
        <v>4.1500000000000004</v>
      </c>
      <c r="D60" s="112">
        <v>14</v>
      </c>
      <c r="E60" s="112">
        <v>11.04</v>
      </c>
      <c r="F60" s="112">
        <v>5.84</v>
      </c>
      <c r="G60" s="112">
        <v>66.03</v>
      </c>
      <c r="H60" s="112">
        <v>16.71</v>
      </c>
      <c r="I60" s="112">
        <v>5.35</v>
      </c>
      <c r="J60" s="112">
        <v>0.84</v>
      </c>
      <c r="K60" s="112">
        <v>285.64999999999998</v>
      </c>
      <c r="L60" s="112">
        <v>29.6</v>
      </c>
      <c r="M60" s="112">
        <v>70.17</v>
      </c>
      <c r="N60" s="112">
        <v>500.6</v>
      </c>
      <c r="O60" s="112">
        <v>0</v>
      </c>
      <c r="P60" s="112">
        <v>0.43</v>
      </c>
      <c r="Q60" s="112">
        <v>4.6500000000000004</v>
      </c>
    </row>
    <row r="61" spans="1:17" customFormat="1">
      <c r="A61" s="80">
        <v>45549.552083333336</v>
      </c>
      <c r="B61" s="112">
        <v>9.2100000000000009</v>
      </c>
      <c r="C61" s="112">
        <v>4.1399999999999997</v>
      </c>
      <c r="D61" s="112">
        <v>14</v>
      </c>
      <c r="E61" s="112">
        <v>10.69</v>
      </c>
      <c r="F61" s="112">
        <v>5.73</v>
      </c>
      <c r="G61" s="112">
        <v>66.03</v>
      </c>
      <c r="H61" s="112">
        <v>16.71</v>
      </c>
      <c r="I61" s="112">
        <v>5.3</v>
      </c>
      <c r="J61" s="112">
        <v>0.82</v>
      </c>
      <c r="K61" s="112">
        <v>300.38</v>
      </c>
      <c r="L61" s="112">
        <v>29.96</v>
      </c>
      <c r="M61" s="112">
        <v>67.959999999999994</v>
      </c>
      <c r="N61" s="112">
        <v>533.29999999999995</v>
      </c>
      <c r="O61" s="112">
        <v>0</v>
      </c>
      <c r="P61" s="112">
        <v>0.42</v>
      </c>
      <c r="Q61" s="112">
        <v>4.6399999999999997</v>
      </c>
    </row>
    <row r="62" spans="1:17" customFormat="1">
      <c r="A62" s="80">
        <v>45549.5625</v>
      </c>
      <c r="B62" s="112">
        <v>9.2100000000000009</v>
      </c>
      <c r="C62" s="112">
        <v>4.1399999999999997</v>
      </c>
      <c r="D62" s="112">
        <v>14</v>
      </c>
      <c r="E62" s="112">
        <v>10.61</v>
      </c>
      <c r="F62" s="112">
        <v>6.1</v>
      </c>
      <c r="G62" s="112">
        <v>66.88</v>
      </c>
      <c r="H62" s="112">
        <v>16.68</v>
      </c>
      <c r="I62" s="112">
        <v>5.29</v>
      </c>
      <c r="J62" s="112">
        <v>0.74</v>
      </c>
      <c r="K62" s="112">
        <v>293.64999999999998</v>
      </c>
      <c r="L62" s="112">
        <v>29.98</v>
      </c>
      <c r="M62" s="112">
        <v>68.61</v>
      </c>
      <c r="N62" s="112">
        <v>397.9</v>
      </c>
      <c r="O62" s="112">
        <v>0</v>
      </c>
      <c r="P62" s="112">
        <v>0.42</v>
      </c>
      <c r="Q62" s="112">
        <v>4.6500000000000004</v>
      </c>
    </row>
    <row r="63" spans="1:17" customFormat="1">
      <c r="A63" s="80">
        <v>45549.572916666664</v>
      </c>
      <c r="B63" s="112">
        <v>9.2200000000000006</v>
      </c>
      <c r="C63" s="112">
        <v>4.13</v>
      </c>
      <c r="D63" s="112">
        <v>14</v>
      </c>
      <c r="E63" s="112">
        <v>11.12</v>
      </c>
      <c r="F63" s="112">
        <v>5.57</v>
      </c>
      <c r="G63" s="112">
        <v>74.459999999999994</v>
      </c>
      <c r="H63" s="112">
        <v>16.39</v>
      </c>
      <c r="I63" s="112">
        <v>5.2</v>
      </c>
      <c r="J63" s="112">
        <v>0.74</v>
      </c>
      <c r="K63" s="112">
        <v>291.49</v>
      </c>
      <c r="L63" s="112">
        <v>30.2</v>
      </c>
      <c r="M63" s="112">
        <v>68.11</v>
      </c>
      <c r="N63" s="112">
        <v>214.5</v>
      </c>
      <c r="O63" s="112">
        <v>0</v>
      </c>
      <c r="P63" s="112">
        <v>0.43</v>
      </c>
      <c r="Q63" s="112">
        <v>4.63</v>
      </c>
    </row>
    <row r="64" spans="1:17" customFormat="1">
      <c r="A64" s="80">
        <v>45549.583333333336</v>
      </c>
      <c r="B64" s="112">
        <v>9.23</v>
      </c>
      <c r="C64" s="112">
        <v>4.12</v>
      </c>
      <c r="D64" s="112">
        <v>14</v>
      </c>
      <c r="E64" s="112">
        <v>11.18</v>
      </c>
      <c r="F64" s="112">
        <v>5.39</v>
      </c>
      <c r="G64" s="112">
        <v>74.459999999999994</v>
      </c>
      <c r="H64" s="112">
        <v>16.39</v>
      </c>
      <c r="I64" s="112">
        <v>5.0599999999999996</v>
      </c>
      <c r="J64" s="112">
        <v>0.83</v>
      </c>
      <c r="K64" s="112">
        <v>299.31</v>
      </c>
      <c r="L64" s="112">
        <v>30.12</v>
      </c>
      <c r="M64" s="112">
        <v>68</v>
      </c>
      <c r="N64" s="112">
        <v>195.1</v>
      </c>
      <c r="O64" s="112">
        <v>0</v>
      </c>
      <c r="P64" s="112">
        <v>0.42</v>
      </c>
      <c r="Q64" s="112">
        <v>4.63</v>
      </c>
    </row>
    <row r="65" spans="1:17" customFormat="1">
      <c r="A65" s="80">
        <v>45549.59375</v>
      </c>
      <c r="B65" s="112">
        <v>9.2799999999999994</v>
      </c>
      <c r="C65" s="112">
        <v>4.0599999999999996</v>
      </c>
      <c r="D65" s="112">
        <v>14.01</v>
      </c>
      <c r="E65" s="112">
        <v>11.49</v>
      </c>
      <c r="F65" s="112">
        <v>5.66</v>
      </c>
      <c r="G65" s="112">
        <v>74.459999999999994</v>
      </c>
      <c r="H65" s="112">
        <v>16.39</v>
      </c>
      <c r="I65" s="112">
        <v>5.07</v>
      </c>
      <c r="J65" s="112">
        <v>0.81</v>
      </c>
      <c r="K65" s="112">
        <v>295.32</v>
      </c>
      <c r="L65" s="112">
        <v>30.42</v>
      </c>
      <c r="M65" s="112">
        <v>68.069999999999993</v>
      </c>
      <c r="N65" s="112">
        <v>210.5</v>
      </c>
      <c r="O65" s="112">
        <v>0</v>
      </c>
      <c r="P65" s="112">
        <v>0.41</v>
      </c>
      <c r="Q65" s="112">
        <v>4.63</v>
      </c>
    </row>
    <row r="66" spans="1:17" customFormat="1">
      <c r="A66" s="80">
        <v>45549.604166666664</v>
      </c>
      <c r="B66" s="112">
        <v>9.2899999999999991</v>
      </c>
      <c r="C66" s="112">
        <v>4.0599999999999996</v>
      </c>
      <c r="D66" s="112">
        <v>14.02</v>
      </c>
      <c r="E66" s="112">
        <v>10.78</v>
      </c>
      <c r="F66" s="112">
        <v>5.89</v>
      </c>
      <c r="G66" s="112">
        <v>73.540000000000006</v>
      </c>
      <c r="H66" s="112">
        <v>15.85</v>
      </c>
      <c r="I66" s="112">
        <v>5.04</v>
      </c>
      <c r="J66" s="112">
        <v>0.85</v>
      </c>
      <c r="K66" s="112">
        <v>295.97000000000003</v>
      </c>
      <c r="L66" s="112">
        <v>30.28</v>
      </c>
      <c r="M66" s="112">
        <v>67.63</v>
      </c>
      <c r="N66" s="112">
        <v>228.1</v>
      </c>
      <c r="O66" s="112">
        <v>0</v>
      </c>
      <c r="P66" s="112">
        <v>0.43</v>
      </c>
      <c r="Q66" s="112">
        <v>4.62</v>
      </c>
    </row>
    <row r="67" spans="1:17" customFormat="1">
      <c r="A67" s="80">
        <v>45549.614583333336</v>
      </c>
      <c r="B67" s="112">
        <v>9.26</v>
      </c>
      <c r="C67" s="112">
        <v>4.09</v>
      </c>
      <c r="D67" s="112">
        <v>14.01</v>
      </c>
      <c r="E67" s="112">
        <v>10.57</v>
      </c>
      <c r="F67" s="112">
        <v>6.06</v>
      </c>
      <c r="G67" s="112">
        <v>64.09</v>
      </c>
      <c r="H67" s="112">
        <v>11.85</v>
      </c>
      <c r="I67" s="112">
        <v>5.0599999999999996</v>
      </c>
      <c r="J67" s="112">
        <v>0.87</v>
      </c>
      <c r="K67" s="112">
        <v>288.49</v>
      </c>
      <c r="L67" s="112">
        <v>30.01</v>
      </c>
      <c r="M67" s="112">
        <v>68.22</v>
      </c>
      <c r="N67" s="112">
        <v>251.9</v>
      </c>
      <c r="O67" s="112">
        <v>0</v>
      </c>
      <c r="P67" s="112">
        <v>0.43</v>
      </c>
      <c r="Q67" s="112">
        <v>4.62</v>
      </c>
    </row>
    <row r="68" spans="1:17" customFormat="1">
      <c r="A68" s="80">
        <v>45549.625</v>
      </c>
      <c r="B68" s="112">
        <v>9.23</v>
      </c>
      <c r="C68" s="112">
        <v>4.12</v>
      </c>
      <c r="D68" s="112">
        <v>14</v>
      </c>
      <c r="E68" s="112">
        <v>10.029999999999999</v>
      </c>
      <c r="F68" s="112">
        <v>5.71</v>
      </c>
      <c r="G68" s="112">
        <v>64.09</v>
      </c>
      <c r="H68" s="112">
        <v>11.85</v>
      </c>
      <c r="I68" s="112">
        <v>5.03</v>
      </c>
      <c r="J68" s="112">
        <v>0.88</v>
      </c>
      <c r="K68" s="112">
        <v>299.39999999999998</v>
      </c>
      <c r="L68" s="112">
        <v>30.06</v>
      </c>
      <c r="M68" s="112">
        <v>68.22</v>
      </c>
      <c r="N68" s="112">
        <v>216.4</v>
      </c>
      <c r="O68" s="112">
        <v>0</v>
      </c>
      <c r="P68" s="112">
        <v>0.43</v>
      </c>
      <c r="Q68" s="112">
        <v>4.6399999999999997</v>
      </c>
    </row>
    <row r="69" spans="1:17" customFormat="1">
      <c r="A69" s="80">
        <v>45549.635416666664</v>
      </c>
      <c r="B69" s="112">
        <v>9.23</v>
      </c>
      <c r="C69" s="112">
        <v>4.1100000000000003</v>
      </c>
      <c r="D69" s="112">
        <v>14</v>
      </c>
      <c r="E69" s="112">
        <v>9.77</v>
      </c>
      <c r="F69" s="112">
        <v>6.05</v>
      </c>
      <c r="G69" s="112">
        <v>64.09</v>
      </c>
      <c r="H69" s="112">
        <v>11.85</v>
      </c>
      <c r="I69" s="112">
        <v>5.0199999999999996</v>
      </c>
      <c r="J69" s="112">
        <v>0.77</v>
      </c>
      <c r="K69" s="112">
        <v>303.29000000000002</v>
      </c>
      <c r="L69" s="112">
        <v>30.07</v>
      </c>
      <c r="M69" s="112">
        <v>68.08</v>
      </c>
      <c r="N69" s="112">
        <v>207.6</v>
      </c>
      <c r="O69" s="112">
        <v>0</v>
      </c>
      <c r="P69" s="112">
        <v>0.42</v>
      </c>
      <c r="Q69" s="112">
        <v>4.62</v>
      </c>
    </row>
    <row r="70" spans="1:17" customFormat="1">
      <c r="A70" s="80">
        <v>45549.645833333336</v>
      </c>
      <c r="B70" s="112">
        <v>9.24</v>
      </c>
      <c r="C70" s="112">
        <v>4.0999999999999996</v>
      </c>
      <c r="D70" s="112">
        <v>14</v>
      </c>
      <c r="E70" s="112">
        <v>9.9600000000000009</v>
      </c>
      <c r="F70" s="112">
        <v>5.78</v>
      </c>
      <c r="G70" s="112">
        <v>64.31</v>
      </c>
      <c r="H70" s="112">
        <v>11.66</v>
      </c>
      <c r="I70" s="112">
        <v>4.99</v>
      </c>
      <c r="J70" s="112">
        <v>0.83</v>
      </c>
      <c r="K70" s="112">
        <v>297.45999999999998</v>
      </c>
      <c r="L70" s="112">
        <v>29.86</v>
      </c>
      <c r="M70" s="112">
        <v>69.08</v>
      </c>
      <c r="N70" s="112">
        <v>136.5</v>
      </c>
      <c r="O70" s="112">
        <v>0</v>
      </c>
      <c r="P70" s="112">
        <v>0.42</v>
      </c>
      <c r="Q70" s="112">
        <v>4.62</v>
      </c>
    </row>
    <row r="71" spans="1:17" customFormat="1">
      <c r="A71" s="80">
        <v>45549.65625</v>
      </c>
      <c r="B71" s="112">
        <v>9.2200000000000006</v>
      </c>
      <c r="C71" s="112">
        <v>4.13</v>
      </c>
      <c r="D71" s="112">
        <v>14</v>
      </c>
      <c r="E71" s="112">
        <v>9.67</v>
      </c>
      <c r="F71" s="112">
        <v>5.85</v>
      </c>
      <c r="G71" s="112">
        <v>66.58</v>
      </c>
      <c r="H71" s="112">
        <v>10.28</v>
      </c>
      <c r="I71" s="112">
        <v>4.9000000000000004</v>
      </c>
      <c r="J71" s="112">
        <v>0.65</v>
      </c>
      <c r="K71" s="112">
        <v>305.58</v>
      </c>
      <c r="L71" s="112">
        <v>29.64</v>
      </c>
      <c r="M71" s="112">
        <v>69.930000000000007</v>
      </c>
      <c r="N71" s="112">
        <v>92.2</v>
      </c>
      <c r="O71" s="112">
        <v>0</v>
      </c>
      <c r="P71" s="112">
        <v>0.42</v>
      </c>
      <c r="Q71" s="112">
        <v>4.63</v>
      </c>
    </row>
    <row r="72" spans="1:17" customFormat="1">
      <c r="A72" s="80">
        <v>45549.666666666664</v>
      </c>
      <c r="B72" s="112">
        <v>9.2100000000000009</v>
      </c>
      <c r="C72" s="112">
        <v>4.1399999999999997</v>
      </c>
      <c r="D72" s="112">
        <v>14</v>
      </c>
      <c r="E72" s="112">
        <v>9.83</v>
      </c>
      <c r="F72" s="112">
        <v>5.97</v>
      </c>
      <c r="G72" s="112">
        <v>66.58</v>
      </c>
      <c r="H72" s="112">
        <v>10.28</v>
      </c>
      <c r="I72" s="112">
        <v>4.84</v>
      </c>
      <c r="J72" s="112">
        <v>0.66</v>
      </c>
      <c r="K72" s="112">
        <v>285.61</v>
      </c>
      <c r="L72" s="112">
        <v>29.45</v>
      </c>
      <c r="M72" s="112">
        <v>71.25</v>
      </c>
      <c r="N72" s="112">
        <v>80.7</v>
      </c>
      <c r="O72" s="112">
        <v>0</v>
      </c>
      <c r="P72" s="112">
        <v>0.42</v>
      </c>
      <c r="Q72" s="112">
        <v>4.63</v>
      </c>
    </row>
    <row r="73" spans="1:17" customFormat="1">
      <c r="A73" s="80">
        <v>45549.677083333336</v>
      </c>
      <c r="B73" s="112">
        <v>9.23</v>
      </c>
      <c r="C73" s="112">
        <v>4.12</v>
      </c>
      <c r="D73" s="112">
        <v>14</v>
      </c>
      <c r="E73" s="112">
        <v>9.34</v>
      </c>
      <c r="F73" s="112">
        <v>5.53</v>
      </c>
      <c r="G73" s="112">
        <v>66.58</v>
      </c>
      <c r="H73" s="112">
        <v>10.28</v>
      </c>
      <c r="I73" s="112">
        <v>4.79</v>
      </c>
      <c r="J73" s="112">
        <v>0.79</v>
      </c>
      <c r="K73" s="112">
        <v>291.86</v>
      </c>
      <c r="L73" s="112">
        <v>29.51</v>
      </c>
      <c r="M73" s="112">
        <v>69.58</v>
      </c>
      <c r="N73" s="112">
        <v>77.900000000000006</v>
      </c>
      <c r="O73" s="112">
        <v>0</v>
      </c>
      <c r="P73" s="112">
        <v>0.43</v>
      </c>
      <c r="Q73" s="112">
        <v>4.62</v>
      </c>
    </row>
    <row r="74" spans="1:17" customFormat="1">
      <c r="A74" s="80">
        <v>45549.6875</v>
      </c>
      <c r="B74" s="112">
        <v>9.24</v>
      </c>
      <c r="C74" s="112">
        <v>4.0999999999999996</v>
      </c>
      <c r="D74" s="112">
        <v>14</v>
      </c>
      <c r="E74" s="112">
        <v>9.43</v>
      </c>
      <c r="F74" s="112">
        <v>5.67</v>
      </c>
      <c r="G74" s="112">
        <v>66.34</v>
      </c>
      <c r="H74" s="112">
        <v>11.03</v>
      </c>
      <c r="I74" s="112">
        <v>4.8</v>
      </c>
      <c r="J74" s="112">
        <v>0.71</v>
      </c>
      <c r="K74" s="112">
        <v>300.7</v>
      </c>
      <c r="L74" s="112">
        <v>29.58</v>
      </c>
      <c r="M74" s="112">
        <v>68.84</v>
      </c>
      <c r="N74" s="112">
        <v>74.099999999999994</v>
      </c>
      <c r="O74" s="112">
        <v>0</v>
      </c>
      <c r="P74" s="112">
        <v>0.43</v>
      </c>
      <c r="Q74" s="112">
        <v>4.62</v>
      </c>
    </row>
    <row r="75" spans="1:17" customFormat="1">
      <c r="A75" s="80">
        <v>45549.697916666664</v>
      </c>
      <c r="B75" s="112">
        <v>9.23</v>
      </c>
      <c r="C75" s="112">
        <v>4.1100000000000003</v>
      </c>
      <c r="D75" s="112">
        <v>14</v>
      </c>
      <c r="E75" s="112">
        <v>9.74</v>
      </c>
      <c r="F75" s="112">
        <v>5.92</v>
      </c>
      <c r="G75" s="112">
        <v>64.180000000000007</v>
      </c>
      <c r="H75" s="112">
        <v>16.59</v>
      </c>
      <c r="I75" s="112">
        <v>4.8</v>
      </c>
      <c r="J75" s="112">
        <v>0.7</v>
      </c>
      <c r="K75" s="112">
        <v>283.18</v>
      </c>
      <c r="L75" s="112">
        <v>29.52</v>
      </c>
      <c r="M75" s="112">
        <v>70.959999999999994</v>
      </c>
      <c r="N75" s="112">
        <v>69</v>
      </c>
      <c r="O75" s="112">
        <v>0</v>
      </c>
      <c r="P75" s="112">
        <v>0.43</v>
      </c>
      <c r="Q75" s="112">
        <v>4.63</v>
      </c>
    </row>
    <row r="76" spans="1:17" customFormat="1">
      <c r="A76" s="80">
        <v>45549.708333333336</v>
      </c>
      <c r="B76" s="112">
        <v>9.23</v>
      </c>
      <c r="C76" s="112">
        <v>4.1100000000000003</v>
      </c>
      <c r="D76" s="112">
        <v>14</v>
      </c>
      <c r="E76" s="112">
        <v>9.4</v>
      </c>
      <c r="F76" s="112">
        <v>5.39</v>
      </c>
      <c r="G76" s="112">
        <v>64.180000000000007</v>
      </c>
      <c r="H76" s="112">
        <v>16.59</v>
      </c>
      <c r="I76" s="112">
        <v>4.76</v>
      </c>
      <c r="J76" s="112">
        <v>0.88</v>
      </c>
      <c r="K76" s="112">
        <v>274.35000000000002</v>
      </c>
      <c r="L76" s="112">
        <v>29.19</v>
      </c>
      <c r="M76" s="112">
        <v>72.790000000000006</v>
      </c>
      <c r="N76" s="112">
        <v>49.7</v>
      </c>
      <c r="O76" s="112">
        <v>0</v>
      </c>
      <c r="P76" s="112">
        <v>0.41</v>
      </c>
      <c r="Q76" s="112">
        <v>4.63</v>
      </c>
    </row>
    <row r="77" spans="1:17" customFormat="1">
      <c r="A77" s="80">
        <v>45549.71875</v>
      </c>
      <c r="B77" s="112">
        <v>9.24</v>
      </c>
      <c r="C77" s="112">
        <v>4.09</v>
      </c>
      <c r="D77" s="112">
        <v>14</v>
      </c>
      <c r="E77" s="112">
        <v>9.07</v>
      </c>
      <c r="F77" s="112">
        <v>4.99</v>
      </c>
      <c r="G77" s="112">
        <v>64.180000000000007</v>
      </c>
      <c r="H77" s="112">
        <v>16.59</v>
      </c>
      <c r="I77" s="112">
        <v>4.76</v>
      </c>
      <c r="J77" s="112">
        <v>0.81</v>
      </c>
      <c r="K77" s="112">
        <v>282.68</v>
      </c>
      <c r="L77" s="112">
        <v>28.94</v>
      </c>
      <c r="M77" s="112">
        <v>74.2</v>
      </c>
      <c r="N77" s="112">
        <v>30.7</v>
      </c>
      <c r="O77" s="112">
        <v>0</v>
      </c>
      <c r="P77" s="112">
        <v>0.42</v>
      </c>
      <c r="Q77" s="112">
        <v>4.62</v>
      </c>
    </row>
    <row r="78" spans="1:17" customFormat="1">
      <c r="A78" s="80">
        <v>45549.729166666664</v>
      </c>
      <c r="B78" s="112">
        <v>9.26</v>
      </c>
      <c r="C78" s="112">
        <v>4.07</v>
      </c>
      <c r="D78" s="112">
        <v>14</v>
      </c>
      <c r="E78" s="112">
        <v>9.0399999999999991</v>
      </c>
      <c r="F78" s="112">
        <v>4.91</v>
      </c>
      <c r="G78" s="112">
        <v>63.73</v>
      </c>
      <c r="H78" s="112">
        <v>16.02</v>
      </c>
      <c r="I78" s="112">
        <v>4.78</v>
      </c>
      <c r="J78" s="112">
        <v>0.77</v>
      </c>
      <c r="K78" s="112">
        <v>278.95999999999998</v>
      </c>
      <c r="L78" s="112">
        <v>28.75</v>
      </c>
      <c r="M78" s="112">
        <v>74.290000000000006</v>
      </c>
      <c r="N78" s="112">
        <v>17.8</v>
      </c>
      <c r="O78" s="112">
        <v>0</v>
      </c>
      <c r="P78" s="112">
        <v>0.42</v>
      </c>
      <c r="Q78" s="112">
        <v>4.63</v>
      </c>
    </row>
    <row r="79" spans="1:17" customFormat="1">
      <c r="A79" s="80">
        <v>45549.739583333336</v>
      </c>
      <c r="B79" s="112">
        <v>9.26</v>
      </c>
      <c r="C79" s="112">
        <v>4.0599999999999996</v>
      </c>
      <c r="D79" s="112">
        <v>14</v>
      </c>
      <c r="E79" s="112">
        <v>9.42</v>
      </c>
      <c r="F79" s="112">
        <v>4.97</v>
      </c>
      <c r="G79" s="112">
        <v>59.75</v>
      </c>
      <c r="H79" s="112">
        <v>11.84</v>
      </c>
      <c r="I79" s="112">
        <v>4.78</v>
      </c>
      <c r="J79" s="112">
        <v>0.7</v>
      </c>
      <c r="K79" s="112">
        <v>288.01</v>
      </c>
      <c r="L79" s="112">
        <v>28.63</v>
      </c>
      <c r="M79" s="112">
        <v>74.16</v>
      </c>
      <c r="N79" s="112">
        <v>8.5</v>
      </c>
      <c r="O79" s="112">
        <v>0</v>
      </c>
      <c r="P79" s="112">
        <v>0.42</v>
      </c>
      <c r="Q79" s="112">
        <v>4.63</v>
      </c>
    </row>
    <row r="80" spans="1:17" customFormat="1">
      <c r="A80" s="80">
        <v>45549.75</v>
      </c>
      <c r="B80" s="112">
        <v>9.27</v>
      </c>
      <c r="C80" s="112">
        <v>4.07</v>
      </c>
      <c r="D80" s="112">
        <v>14.01</v>
      </c>
      <c r="E80" s="112">
        <v>9.31</v>
      </c>
      <c r="F80" s="112">
        <v>4.59</v>
      </c>
      <c r="G80" s="112">
        <v>59.75</v>
      </c>
      <c r="H80" s="112">
        <v>11.84</v>
      </c>
      <c r="I80" s="112">
        <v>4.79</v>
      </c>
      <c r="J80" s="112">
        <v>0.79</v>
      </c>
      <c r="K80" s="112">
        <v>277.52</v>
      </c>
      <c r="L80" s="112">
        <v>28.52</v>
      </c>
      <c r="M80" s="112">
        <v>73.459999999999994</v>
      </c>
      <c r="N80" s="112">
        <v>4.3</v>
      </c>
      <c r="O80" s="112">
        <v>0</v>
      </c>
      <c r="P80" s="112">
        <v>0.43</v>
      </c>
      <c r="Q80" s="112">
        <v>4.6399999999999997</v>
      </c>
    </row>
    <row r="81" spans="1:17" customFormat="1">
      <c r="A81" s="80">
        <v>45549.760416666664</v>
      </c>
      <c r="B81" s="112">
        <v>9.27</v>
      </c>
      <c r="C81" s="112">
        <v>4.08</v>
      </c>
      <c r="D81" s="112">
        <v>14.02</v>
      </c>
      <c r="E81" s="112">
        <v>8.6</v>
      </c>
      <c r="F81" s="112">
        <v>5.0999999999999996</v>
      </c>
      <c r="G81" s="112">
        <v>59.75</v>
      </c>
      <c r="H81" s="112">
        <v>11.84</v>
      </c>
      <c r="I81" s="112">
        <v>4.82</v>
      </c>
      <c r="J81" s="112">
        <v>0.7</v>
      </c>
      <c r="K81" s="112">
        <v>278.83</v>
      </c>
      <c r="L81" s="112">
        <v>28.29</v>
      </c>
      <c r="M81" s="112">
        <v>73.72</v>
      </c>
      <c r="N81" s="112">
        <v>2.6</v>
      </c>
      <c r="O81" s="112">
        <v>0</v>
      </c>
      <c r="P81" s="112">
        <v>0.43</v>
      </c>
      <c r="Q81" s="112">
        <v>4.6500000000000004</v>
      </c>
    </row>
    <row r="82" spans="1:17" customFormat="1">
      <c r="A82" s="80">
        <v>45549.770833333336</v>
      </c>
      <c r="B82" s="112">
        <v>9.3000000000000007</v>
      </c>
      <c r="C82" s="112">
        <v>4.07</v>
      </c>
      <c r="D82" s="112">
        <v>14.03</v>
      </c>
      <c r="E82" s="112">
        <v>10.08</v>
      </c>
      <c r="F82" s="112">
        <v>5.93</v>
      </c>
      <c r="G82" s="112">
        <v>59.99</v>
      </c>
      <c r="H82" s="112">
        <v>12.29</v>
      </c>
      <c r="I82" s="112">
        <v>4.8899999999999997</v>
      </c>
      <c r="J82" s="112">
        <v>0.75</v>
      </c>
      <c r="K82" s="112">
        <v>286.75</v>
      </c>
      <c r="L82" s="112">
        <v>28.34</v>
      </c>
      <c r="M82" s="112">
        <v>71.95</v>
      </c>
      <c r="N82" s="112">
        <v>2.1</v>
      </c>
      <c r="O82" s="112">
        <v>0</v>
      </c>
      <c r="P82" s="112">
        <v>0.44</v>
      </c>
      <c r="Q82" s="112">
        <v>4.6500000000000004</v>
      </c>
    </row>
    <row r="83" spans="1:17" customFormat="1">
      <c r="A83" s="80">
        <v>45549.78125</v>
      </c>
      <c r="B83" s="112">
        <v>9.31</v>
      </c>
      <c r="C83" s="112">
        <v>4.07</v>
      </c>
      <c r="D83" s="112">
        <v>14.05</v>
      </c>
      <c r="E83" s="112">
        <v>9.69</v>
      </c>
      <c r="F83" s="112">
        <v>5.24</v>
      </c>
      <c r="G83" s="112">
        <v>62.39</v>
      </c>
      <c r="H83" s="112">
        <v>15.64</v>
      </c>
      <c r="I83" s="112">
        <v>4.87</v>
      </c>
      <c r="J83" s="112">
        <v>0.83</v>
      </c>
      <c r="K83" s="112">
        <v>278.02</v>
      </c>
      <c r="L83" s="112">
        <v>28.22</v>
      </c>
      <c r="M83" s="112">
        <v>71.84</v>
      </c>
      <c r="N83" s="112">
        <v>2.4</v>
      </c>
      <c r="O83" s="112">
        <v>0</v>
      </c>
      <c r="P83" s="112">
        <v>0.42</v>
      </c>
      <c r="Q83" s="112">
        <v>4.6500000000000004</v>
      </c>
    </row>
    <row r="84" spans="1:17" customFormat="1">
      <c r="A84" s="80">
        <v>45549.791666666664</v>
      </c>
      <c r="B84" s="112">
        <v>9.31</v>
      </c>
      <c r="C84" s="112">
        <v>4.08</v>
      </c>
      <c r="D84" s="112">
        <v>14.05</v>
      </c>
      <c r="E84" s="112">
        <v>9.9700000000000006</v>
      </c>
      <c r="F84" s="112">
        <v>5.75</v>
      </c>
      <c r="G84" s="112">
        <v>62.39</v>
      </c>
      <c r="H84" s="112">
        <v>15.64</v>
      </c>
      <c r="I84" s="112">
        <v>4.8099999999999996</v>
      </c>
      <c r="J84" s="112">
        <v>0.78</v>
      </c>
      <c r="K84" s="112">
        <v>288.33999999999997</v>
      </c>
      <c r="L84" s="112">
        <v>28.17</v>
      </c>
      <c r="M84" s="112">
        <v>71.540000000000006</v>
      </c>
      <c r="N84" s="112">
        <v>2.2000000000000002</v>
      </c>
      <c r="O84" s="112">
        <v>0</v>
      </c>
      <c r="P84" s="112">
        <v>0.43</v>
      </c>
      <c r="Q84" s="112">
        <v>4.66</v>
      </c>
    </row>
    <row r="85" spans="1:17" customFormat="1">
      <c r="A85" s="80">
        <v>45549.802083333336</v>
      </c>
      <c r="B85" s="112">
        <v>9.31</v>
      </c>
      <c r="C85" s="112">
        <v>4.08</v>
      </c>
      <c r="D85" s="112">
        <v>14.05</v>
      </c>
      <c r="E85" s="112">
        <v>10.58</v>
      </c>
      <c r="F85" s="112">
        <v>5.55</v>
      </c>
      <c r="G85" s="112">
        <v>62.39</v>
      </c>
      <c r="H85" s="112">
        <v>15.64</v>
      </c>
      <c r="I85" s="112">
        <v>4.9400000000000004</v>
      </c>
      <c r="J85" s="112">
        <v>0.77</v>
      </c>
      <c r="K85" s="112">
        <v>284.06</v>
      </c>
      <c r="L85" s="112">
        <v>28.06</v>
      </c>
      <c r="M85" s="112">
        <v>71.680000000000007</v>
      </c>
      <c r="N85" s="112">
        <v>2.4</v>
      </c>
      <c r="O85" s="112">
        <v>0</v>
      </c>
      <c r="P85" s="112">
        <v>0.44</v>
      </c>
      <c r="Q85" s="112">
        <v>4.6500000000000004</v>
      </c>
    </row>
    <row r="86" spans="1:17" customFormat="1">
      <c r="A86" s="80">
        <v>45549.8125</v>
      </c>
      <c r="B86" s="112">
        <v>9.33</v>
      </c>
      <c r="C86" s="112">
        <v>4.09</v>
      </c>
      <c r="D86" s="112">
        <v>14.07</v>
      </c>
      <c r="E86" s="112">
        <v>10.09</v>
      </c>
      <c r="F86" s="112">
        <v>5.66</v>
      </c>
      <c r="G86" s="112">
        <v>62.65</v>
      </c>
      <c r="H86" s="112">
        <v>15.51</v>
      </c>
      <c r="I86" s="112">
        <v>4.95</v>
      </c>
      <c r="J86" s="112">
        <v>0.66</v>
      </c>
      <c r="K86" s="112">
        <v>288.94</v>
      </c>
      <c r="L86" s="112">
        <v>27.94</v>
      </c>
      <c r="M86" s="112">
        <v>72.08</v>
      </c>
      <c r="N86" s="112">
        <v>2.2999999999999998</v>
      </c>
      <c r="O86" s="112">
        <v>0</v>
      </c>
      <c r="P86" s="112">
        <v>0.45</v>
      </c>
      <c r="Q86" s="112">
        <v>4.6399999999999997</v>
      </c>
    </row>
    <row r="87" spans="1:17" customFormat="1">
      <c r="A87" s="80">
        <v>45549.822916666664</v>
      </c>
      <c r="B87" s="112">
        <v>9.3000000000000007</v>
      </c>
      <c r="C87" s="112">
        <v>4.07</v>
      </c>
      <c r="D87" s="112">
        <v>14.03</v>
      </c>
      <c r="E87" s="112">
        <v>10.41</v>
      </c>
      <c r="F87" s="112">
        <v>6.72</v>
      </c>
      <c r="G87" s="112">
        <v>65.349999999999994</v>
      </c>
      <c r="H87" s="112">
        <v>14.44</v>
      </c>
      <c r="I87" s="112">
        <v>4.99</v>
      </c>
      <c r="J87" s="112">
        <v>0.52</v>
      </c>
      <c r="K87" s="112">
        <v>284.27</v>
      </c>
      <c r="L87" s="112">
        <v>27.77</v>
      </c>
      <c r="M87" s="112">
        <v>73.209999999999994</v>
      </c>
      <c r="N87" s="112">
        <v>2.2999999999999998</v>
      </c>
      <c r="O87" s="112">
        <v>0</v>
      </c>
      <c r="P87" s="112">
        <v>0.45</v>
      </c>
      <c r="Q87" s="112">
        <v>4.63</v>
      </c>
    </row>
    <row r="88" spans="1:17" customFormat="1">
      <c r="A88" s="80">
        <v>45549.833333333336</v>
      </c>
      <c r="B88" s="112">
        <v>9.24</v>
      </c>
      <c r="C88" s="112">
        <v>4.0999999999999996</v>
      </c>
      <c r="D88" s="112">
        <v>14</v>
      </c>
      <c r="E88" s="112">
        <v>10.53</v>
      </c>
      <c r="F88" s="112">
        <v>5.41</v>
      </c>
      <c r="G88" s="112">
        <v>65.349999999999994</v>
      </c>
      <c r="H88" s="112">
        <v>14.44</v>
      </c>
      <c r="I88" s="112">
        <v>5.05</v>
      </c>
      <c r="J88" s="112">
        <v>0.52</v>
      </c>
      <c r="K88" s="112">
        <v>277.02</v>
      </c>
      <c r="L88" s="112">
        <v>27.65</v>
      </c>
      <c r="M88" s="112">
        <v>73.849999999999994</v>
      </c>
      <c r="N88" s="112">
        <v>2.2999999999999998</v>
      </c>
      <c r="O88" s="112">
        <v>0</v>
      </c>
      <c r="P88" s="112">
        <v>0.45</v>
      </c>
      <c r="Q88" s="112">
        <v>4.6399999999999997</v>
      </c>
    </row>
    <row r="89" spans="1:17" customFormat="1">
      <c r="A89" s="80">
        <v>45549.84375</v>
      </c>
      <c r="B89" s="112">
        <v>9.2200000000000006</v>
      </c>
      <c r="C89" s="112">
        <v>4.12</v>
      </c>
      <c r="D89" s="112">
        <v>14</v>
      </c>
      <c r="E89" s="112">
        <v>10.76</v>
      </c>
      <c r="F89" s="112">
        <v>4.8</v>
      </c>
      <c r="G89" s="112">
        <v>65.349999999999994</v>
      </c>
      <c r="H89" s="112">
        <v>14.44</v>
      </c>
      <c r="I89" s="112">
        <v>5.09</v>
      </c>
      <c r="J89" s="112">
        <v>0.53</v>
      </c>
      <c r="K89" s="112">
        <v>271.39999999999998</v>
      </c>
      <c r="L89" s="112">
        <v>27.51</v>
      </c>
      <c r="M89" s="112">
        <v>74.540000000000006</v>
      </c>
      <c r="N89" s="112">
        <v>2.2999999999999998</v>
      </c>
      <c r="O89" s="112">
        <v>0</v>
      </c>
      <c r="P89" s="112">
        <v>0.46</v>
      </c>
      <c r="Q89" s="112">
        <v>4.6500000000000004</v>
      </c>
    </row>
    <row r="90" spans="1:17" customFormat="1">
      <c r="A90" s="80">
        <v>45549.854166666664</v>
      </c>
      <c r="B90" s="112">
        <v>9.2200000000000006</v>
      </c>
      <c r="C90" s="112">
        <v>4.12</v>
      </c>
      <c r="D90" s="112">
        <v>14</v>
      </c>
      <c r="E90" s="112">
        <v>10.84</v>
      </c>
      <c r="F90" s="112">
        <v>4.74</v>
      </c>
      <c r="G90" s="112">
        <v>65.260000000000005</v>
      </c>
      <c r="H90" s="112">
        <v>13.99</v>
      </c>
      <c r="I90" s="112">
        <v>5.13</v>
      </c>
      <c r="J90" s="112">
        <v>0.52</v>
      </c>
      <c r="K90" s="112">
        <v>277.82</v>
      </c>
      <c r="L90" s="112">
        <v>27.43</v>
      </c>
      <c r="M90" s="112">
        <v>74.41</v>
      </c>
      <c r="N90" s="112">
        <v>2.2000000000000002</v>
      </c>
      <c r="O90" s="112">
        <v>0</v>
      </c>
      <c r="P90" s="112">
        <v>0.47</v>
      </c>
      <c r="Q90" s="112">
        <v>4.6500000000000004</v>
      </c>
    </row>
    <row r="91" spans="1:17" customFormat="1">
      <c r="A91" s="80">
        <v>45549.864583333336</v>
      </c>
      <c r="B91" s="112">
        <v>9.2200000000000006</v>
      </c>
      <c r="C91" s="112">
        <v>4.13</v>
      </c>
      <c r="D91" s="112">
        <v>14</v>
      </c>
      <c r="E91" s="112">
        <v>11.2</v>
      </c>
      <c r="F91" s="112">
        <v>4.91</v>
      </c>
      <c r="G91" s="112">
        <v>64.319999999999993</v>
      </c>
      <c r="H91" s="112">
        <v>10.63</v>
      </c>
      <c r="I91" s="112">
        <v>5.16</v>
      </c>
      <c r="J91" s="112">
        <v>0.59</v>
      </c>
      <c r="K91" s="112">
        <v>284.31</v>
      </c>
      <c r="L91" s="112">
        <v>27.39</v>
      </c>
      <c r="M91" s="112">
        <v>74.47</v>
      </c>
      <c r="N91" s="112">
        <v>2.1</v>
      </c>
      <c r="O91" s="112">
        <v>0</v>
      </c>
      <c r="P91" s="112">
        <v>0.48</v>
      </c>
      <c r="Q91" s="112">
        <v>4.6500000000000004</v>
      </c>
    </row>
    <row r="92" spans="1:17" customFormat="1">
      <c r="A92" s="80">
        <v>45549.875</v>
      </c>
      <c r="B92" s="112">
        <v>9.24</v>
      </c>
      <c r="C92" s="112">
        <v>4.0999999999999996</v>
      </c>
      <c r="D92" s="112">
        <v>14</v>
      </c>
      <c r="E92" s="112">
        <v>11.52</v>
      </c>
      <c r="F92" s="112">
        <v>4.8499999999999996</v>
      </c>
      <c r="G92" s="112">
        <v>64.319999999999993</v>
      </c>
      <c r="H92" s="112">
        <v>10.63</v>
      </c>
      <c r="I92" s="112">
        <v>5.25</v>
      </c>
      <c r="J92" s="112">
        <v>0.56000000000000005</v>
      </c>
      <c r="K92" s="112">
        <v>277.02</v>
      </c>
      <c r="L92" s="112">
        <v>27.25</v>
      </c>
      <c r="M92" s="112">
        <v>75.78</v>
      </c>
      <c r="N92" s="112">
        <v>2.2999999999999998</v>
      </c>
      <c r="O92" s="112">
        <v>0</v>
      </c>
      <c r="P92" s="112">
        <v>0.49</v>
      </c>
      <c r="Q92" s="112">
        <v>4.6500000000000004</v>
      </c>
    </row>
    <row r="93" spans="1:17" customFormat="1">
      <c r="A93" s="80">
        <v>45549.885416666664</v>
      </c>
      <c r="B93" s="112">
        <v>9.23</v>
      </c>
      <c r="C93" s="112">
        <v>4.1100000000000003</v>
      </c>
      <c r="D93" s="112">
        <v>14</v>
      </c>
      <c r="E93" s="112">
        <v>11.41</v>
      </c>
      <c r="F93" s="112">
        <v>4.6399999999999997</v>
      </c>
      <c r="G93" s="112">
        <v>64.319999999999993</v>
      </c>
      <c r="H93" s="112">
        <v>10.63</v>
      </c>
      <c r="I93" s="112">
        <v>5.32</v>
      </c>
      <c r="J93" s="112">
        <v>0.47</v>
      </c>
      <c r="K93" s="112">
        <v>270.75</v>
      </c>
      <c r="L93" s="112">
        <v>26.96</v>
      </c>
      <c r="M93" s="112">
        <v>77.72</v>
      </c>
      <c r="N93" s="112">
        <v>2.4</v>
      </c>
      <c r="O93" s="112">
        <v>0</v>
      </c>
      <c r="P93" s="112">
        <v>0.49</v>
      </c>
      <c r="Q93" s="112">
        <v>4.6399999999999997</v>
      </c>
    </row>
    <row r="94" spans="1:17" customFormat="1">
      <c r="A94" s="80">
        <v>45549.895833333336</v>
      </c>
      <c r="B94" s="112">
        <v>9.25</v>
      </c>
      <c r="C94" s="112">
        <v>4.09</v>
      </c>
      <c r="D94" s="112">
        <v>14</v>
      </c>
      <c r="E94" s="112">
        <v>11.37</v>
      </c>
      <c r="F94" s="112">
        <v>4.82</v>
      </c>
      <c r="G94" s="112">
        <v>64.27</v>
      </c>
      <c r="H94" s="112">
        <v>11.01</v>
      </c>
      <c r="I94" s="112">
        <v>5.37</v>
      </c>
      <c r="J94" s="112">
        <v>0.48</v>
      </c>
      <c r="K94" s="112">
        <v>269.69</v>
      </c>
      <c r="L94" s="112">
        <v>26.75</v>
      </c>
      <c r="M94" s="112">
        <v>79.45</v>
      </c>
      <c r="N94" s="112">
        <v>2.2999999999999998</v>
      </c>
      <c r="O94" s="112">
        <v>0</v>
      </c>
      <c r="P94" s="112">
        <v>0.51</v>
      </c>
      <c r="Q94" s="112">
        <v>4.6399999999999997</v>
      </c>
    </row>
    <row r="95" spans="1:17" customFormat="1">
      <c r="A95" s="80">
        <v>45549.90625</v>
      </c>
      <c r="B95" s="112">
        <v>9.25</v>
      </c>
      <c r="C95" s="112">
        <v>4.09</v>
      </c>
      <c r="D95" s="112">
        <v>14</v>
      </c>
      <c r="E95" s="112">
        <v>11.79</v>
      </c>
      <c r="F95" s="112">
        <v>4.5199999999999996</v>
      </c>
      <c r="G95" s="112">
        <v>63.83</v>
      </c>
      <c r="H95" s="112">
        <v>13.79</v>
      </c>
      <c r="I95" s="112">
        <v>5.53</v>
      </c>
      <c r="J95" s="112">
        <v>0.46</v>
      </c>
      <c r="K95" s="112">
        <v>267.39999999999998</v>
      </c>
      <c r="L95" s="112">
        <v>26.64</v>
      </c>
      <c r="M95" s="112">
        <v>80.47</v>
      </c>
      <c r="N95" s="112">
        <v>2.1</v>
      </c>
      <c r="O95" s="112">
        <v>0</v>
      </c>
      <c r="P95" s="112">
        <v>0.5</v>
      </c>
      <c r="Q95" s="112">
        <v>4.6500000000000004</v>
      </c>
    </row>
    <row r="96" spans="1:17" customFormat="1">
      <c r="A96" s="80">
        <v>45549.916666666664</v>
      </c>
      <c r="B96" s="112">
        <v>9.26</v>
      </c>
      <c r="C96" s="112">
        <v>4.08</v>
      </c>
      <c r="D96" s="112">
        <v>14.01</v>
      </c>
      <c r="E96" s="112">
        <v>11.75</v>
      </c>
      <c r="F96" s="112">
        <v>4.1900000000000004</v>
      </c>
      <c r="G96" s="112">
        <v>63.83</v>
      </c>
      <c r="H96" s="112">
        <v>13.79</v>
      </c>
      <c r="I96" s="112">
        <v>5.86</v>
      </c>
      <c r="J96" s="112">
        <v>0.4</v>
      </c>
      <c r="K96" s="112">
        <v>262.55</v>
      </c>
      <c r="L96" s="112">
        <v>26.57</v>
      </c>
      <c r="M96" s="112">
        <v>81.23</v>
      </c>
      <c r="N96" s="112">
        <v>2.1</v>
      </c>
      <c r="O96" s="112">
        <v>0</v>
      </c>
      <c r="P96" s="112">
        <v>0.5</v>
      </c>
      <c r="Q96" s="112">
        <v>4.66</v>
      </c>
    </row>
    <row r="97" spans="1:22" customFormat="1">
      <c r="A97" s="80">
        <v>45549.927083333336</v>
      </c>
      <c r="B97" s="112">
        <v>9.27</v>
      </c>
      <c r="C97" s="112">
        <v>4.07</v>
      </c>
      <c r="D97" s="112">
        <v>14.01</v>
      </c>
      <c r="E97" s="112">
        <v>11.85</v>
      </c>
      <c r="F97" s="112">
        <v>4.2</v>
      </c>
      <c r="G97" s="112">
        <v>63.83</v>
      </c>
      <c r="H97" s="112">
        <v>13.79</v>
      </c>
      <c r="I97" s="112">
        <v>6.06</v>
      </c>
      <c r="J97" s="112">
        <v>0.42</v>
      </c>
      <c r="K97" s="112">
        <v>269.95999999999998</v>
      </c>
      <c r="L97" s="112">
        <v>26.42</v>
      </c>
      <c r="M97" s="112">
        <v>82.29</v>
      </c>
      <c r="N97" s="112">
        <v>2.1</v>
      </c>
      <c r="O97" s="112">
        <v>0</v>
      </c>
      <c r="P97" s="112">
        <v>0.5</v>
      </c>
      <c r="Q97" s="112">
        <v>4.63</v>
      </c>
    </row>
    <row r="98" spans="1:22" customFormat="1">
      <c r="A98" s="80">
        <v>45549.9375</v>
      </c>
      <c r="B98" s="112">
        <v>9.26</v>
      </c>
      <c r="C98" s="112">
        <v>4.08</v>
      </c>
      <c r="D98" s="112">
        <v>14.01</v>
      </c>
      <c r="E98" s="112">
        <v>12.07</v>
      </c>
      <c r="F98" s="112">
        <v>4.6100000000000003</v>
      </c>
      <c r="G98" s="112">
        <v>64.08</v>
      </c>
      <c r="H98" s="112">
        <v>14.02</v>
      </c>
      <c r="I98" s="112">
        <v>6.16</v>
      </c>
      <c r="J98" s="112">
        <v>0.27</v>
      </c>
      <c r="K98" s="112">
        <v>266.06</v>
      </c>
      <c r="L98" s="112">
        <v>26.41</v>
      </c>
      <c r="M98" s="112">
        <v>83.09</v>
      </c>
      <c r="N98" s="112">
        <v>2.1</v>
      </c>
      <c r="O98" s="112">
        <v>0</v>
      </c>
      <c r="P98" s="112">
        <v>0.5</v>
      </c>
      <c r="Q98" s="112">
        <v>4.6399999999999997</v>
      </c>
    </row>
    <row r="99" spans="1:22" customFormat="1">
      <c r="A99" s="80">
        <v>45549.947916666664</v>
      </c>
      <c r="B99" s="112">
        <v>9.26</v>
      </c>
      <c r="C99" s="112">
        <v>4.08</v>
      </c>
      <c r="D99" s="112">
        <v>14.01</v>
      </c>
      <c r="E99" s="112">
        <v>11.81</v>
      </c>
      <c r="F99" s="112">
        <v>4.3600000000000003</v>
      </c>
      <c r="G99" s="112">
        <v>66.34</v>
      </c>
      <c r="H99" s="112">
        <v>15.7</v>
      </c>
      <c r="I99" s="112">
        <v>6.18</v>
      </c>
      <c r="J99" s="112">
        <v>0.31</v>
      </c>
      <c r="K99" s="112">
        <v>274.08999999999997</v>
      </c>
      <c r="L99" s="112">
        <v>26.34</v>
      </c>
      <c r="M99" s="112">
        <v>83.93</v>
      </c>
      <c r="N99" s="112">
        <v>2.1</v>
      </c>
      <c r="O99" s="112">
        <v>0</v>
      </c>
      <c r="P99" s="112">
        <v>0.51</v>
      </c>
      <c r="Q99" s="112">
        <v>4.6399999999999997</v>
      </c>
    </row>
    <row r="100" spans="1:22" customFormat="1">
      <c r="A100" s="80">
        <v>45549.958333333336</v>
      </c>
      <c r="B100" s="112">
        <v>9.24</v>
      </c>
      <c r="C100" s="112">
        <v>4.09</v>
      </c>
      <c r="D100" s="112">
        <v>14</v>
      </c>
      <c r="E100" s="112">
        <v>12.24</v>
      </c>
      <c r="F100" s="112">
        <v>3.88</v>
      </c>
      <c r="G100" s="112">
        <v>66.34</v>
      </c>
      <c r="H100" s="112">
        <v>15.7</v>
      </c>
      <c r="I100" s="112">
        <v>6.29</v>
      </c>
      <c r="J100" s="112">
        <v>0.46</v>
      </c>
      <c r="K100" s="112">
        <v>277.55</v>
      </c>
      <c r="L100" s="112">
        <v>26.51</v>
      </c>
      <c r="M100" s="112">
        <v>82.75</v>
      </c>
      <c r="N100" s="112">
        <v>1.9</v>
      </c>
      <c r="O100" s="112">
        <v>0</v>
      </c>
      <c r="P100" s="112">
        <v>0.52</v>
      </c>
      <c r="Q100" s="112">
        <v>4.6500000000000004</v>
      </c>
    </row>
    <row r="101" spans="1:22" customFormat="1">
      <c r="A101" s="80">
        <v>45549.96875</v>
      </c>
      <c r="B101" s="112">
        <v>9.24</v>
      </c>
      <c r="C101" s="112">
        <v>4.1100000000000003</v>
      </c>
      <c r="D101" s="112">
        <v>14.01</v>
      </c>
      <c r="E101" s="112">
        <v>12.52</v>
      </c>
      <c r="F101" s="112">
        <v>3.61</v>
      </c>
      <c r="G101" s="112">
        <v>66.34</v>
      </c>
      <c r="H101" s="112">
        <v>15.7</v>
      </c>
      <c r="I101" s="112">
        <v>6.36</v>
      </c>
      <c r="J101" s="112">
        <v>0.56999999999999995</v>
      </c>
      <c r="K101" s="112">
        <v>284.32</v>
      </c>
      <c r="L101" s="112">
        <v>26.53</v>
      </c>
      <c r="M101" s="112">
        <v>81.98</v>
      </c>
      <c r="N101" s="112">
        <v>2.1</v>
      </c>
      <c r="O101" s="112">
        <v>0</v>
      </c>
      <c r="P101" s="112">
        <v>0.52</v>
      </c>
      <c r="Q101" s="112">
        <v>4.6399999999999997</v>
      </c>
    </row>
    <row r="102" spans="1:22" customFormat="1">
      <c r="A102" s="80">
        <v>45549.979166666664</v>
      </c>
      <c r="B102" s="112">
        <v>9.3000000000000007</v>
      </c>
      <c r="C102" s="112">
        <v>4.1100000000000003</v>
      </c>
      <c r="D102" s="112">
        <v>14.06</v>
      </c>
      <c r="E102" s="112">
        <v>12.7</v>
      </c>
      <c r="F102" s="112">
        <v>4.0599999999999996</v>
      </c>
      <c r="G102" s="112">
        <v>67.09</v>
      </c>
      <c r="H102" s="112">
        <v>15.46</v>
      </c>
      <c r="I102" s="112">
        <v>6.41</v>
      </c>
      <c r="J102" s="112">
        <v>0.51</v>
      </c>
      <c r="K102" s="112">
        <v>289.29000000000002</v>
      </c>
      <c r="L102" s="112">
        <v>26.46</v>
      </c>
      <c r="M102" s="112">
        <v>82.17</v>
      </c>
      <c r="N102" s="112">
        <v>2.1</v>
      </c>
      <c r="O102" s="112">
        <v>0</v>
      </c>
      <c r="P102" s="112">
        <v>0.52</v>
      </c>
      <c r="Q102" s="112">
        <v>4.66</v>
      </c>
    </row>
    <row r="103" spans="1:22" customFormat="1">
      <c r="A103" s="80">
        <v>45549.989583333336</v>
      </c>
      <c r="B103" s="112">
        <v>9.36</v>
      </c>
      <c r="C103" s="112">
        <v>4.07</v>
      </c>
      <c r="D103" s="112">
        <v>14.08</v>
      </c>
      <c r="E103" s="112">
        <v>12.39</v>
      </c>
      <c r="F103" s="112">
        <v>4.5</v>
      </c>
      <c r="G103" s="112">
        <v>73.849999999999994</v>
      </c>
      <c r="H103" s="112">
        <v>13.7</v>
      </c>
      <c r="I103" s="112">
        <v>6.5</v>
      </c>
      <c r="J103" s="112">
        <v>0.49</v>
      </c>
      <c r="K103" s="112">
        <v>283.45999999999998</v>
      </c>
      <c r="L103" s="112">
        <v>26.42</v>
      </c>
      <c r="M103" s="112">
        <v>82.04</v>
      </c>
      <c r="N103" s="112">
        <v>2.1</v>
      </c>
      <c r="O103" s="112">
        <v>0</v>
      </c>
      <c r="P103" s="112">
        <v>0.52</v>
      </c>
      <c r="Q103" s="112">
        <v>4.6500000000000004</v>
      </c>
    </row>
    <row r="104" spans="1:22" customFormat="1">
      <c r="A104" s="80">
        <v>45550</v>
      </c>
      <c r="B104" s="112">
        <v>9.35</v>
      </c>
      <c r="C104" s="112">
        <v>4.08</v>
      </c>
      <c r="D104" s="112">
        <v>14.08</v>
      </c>
      <c r="E104" s="112">
        <v>12.01</v>
      </c>
      <c r="F104" s="112">
        <v>4.62</v>
      </c>
      <c r="G104" s="112">
        <v>73.849999999999994</v>
      </c>
      <c r="H104" s="112">
        <v>13.7</v>
      </c>
      <c r="I104" s="112">
        <v>6.53</v>
      </c>
      <c r="J104" s="112">
        <v>0.41</v>
      </c>
      <c r="K104" s="112">
        <v>290.58</v>
      </c>
      <c r="L104" s="112">
        <v>26.32</v>
      </c>
      <c r="M104" s="112">
        <v>82.29</v>
      </c>
      <c r="N104" s="112">
        <v>2.2000000000000002</v>
      </c>
      <c r="O104" s="112">
        <v>0</v>
      </c>
      <c r="P104" s="112">
        <v>0.51</v>
      </c>
      <c r="Q104" s="112">
        <v>4.66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9.2100000000000009</v>
      </c>
      <c r="C106" s="183">
        <f>MIN(C9:C104)</f>
        <v>4.03</v>
      </c>
      <c r="D106" s="183">
        <f t="shared" ref="D106:Q106" si="0">MIN(D9:D104)</f>
        <v>14</v>
      </c>
      <c r="E106" s="183">
        <f t="shared" si="0"/>
        <v>7.6</v>
      </c>
      <c r="F106" s="183">
        <f t="shared" si="0"/>
        <v>3.5</v>
      </c>
      <c r="G106" s="183">
        <f t="shared" si="0"/>
        <v>40.75</v>
      </c>
      <c r="H106" s="183">
        <f t="shared" si="0"/>
        <v>8.19</v>
      </c>
      <c r="I106" s="183">
        <f t="shared" si="0"/>
        <v>4.76</v>
      </c>
      <c r="J106" s="183">
        <f t="shared" si="0"/>
        <v>0.1</v>
      </c>
      <c r="K106" s="183">
        <f t="shared" si="0"/>
        <v>218.48</v>
      </c>
      <c r="L106" s="183">
        <f t="shared" si="0"/>
        <v>24.79</v>
      </c>
      <c r="M106" s="183">
        <f t="shared" si="0"/>
        <v>67.63</v>
      </c>
      <c r="N106" s="183">
        <f t="shared" si="0"/>
        <v>1.9</v>
      </c>
      <c r="O106" s="183">
        <f t="shared" si="0"/>
        <v>0</v>
      </c>
      <c r="P106" s="183">
        <f t="shared" si="0"/>
        <v>0.38</v>
      </c>
      <c r="Q106" s="183">
        <f t="shared" si="0"/>
        <v>4.62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9.36</v>
      </c>
      <c r="C107" s="184">
        <f t="shared" ref="C107:Q107" si="1">MAX(C9:C104)</f>
        <v>4.1500000000000004</v>
      </c>
      <c r="D107" s="184">
        <f t="shared" si="1"/>
        <v>14.08</v>
      </c>
      <c r="E107" s="184">
        <f t="shared" si="1"/>
        <v>12.7</v>
      </c>
      <c r="F107" s="184">
        <f t="shared" si="1"/>
        <v>6.72</v>
      </c>
      <c r="G107" s="184">
        <f t="shared" si="1"/>
        <v>74.459999999999994</v>
      </c>
      <c r="H107" s="184">
        <f t="shared" si="1"/>
        <v>19.21</v>
      </c>
      <c r="I107" s="184">
        <f t="shared" si="1"/>
        <v>6.53</v>
      </c>
      <c r="J107" s="184">
        <f t="shared" si="1"/>
        <v>0.88</v>
      </c>
      <c r="K107" s="184">
        <f t="shared" si="1"/>
        <v>307.07</v>
      </c>
      <c r="L107" s="184">
        <f t="shared" si="1"/>
        <v>30.42</v>
      </c>
      <c r="M107" s="184">
        <f t="shared" si="1"/>
        <v>97.44</v>
      </c>
      <c r="N107" s="184">
        <f t="shared" si="1"/>
        <v>533.29999999999995</v>
      </c>
      <c r="O107" s="184">
        <f t="shared" si="1"/>
        <v>0</v>
      </c>
      <c r="P107" s="184">
        <f t="shared" si="1"/>
        <v>0.52</v>
      </c>
      <c r="Q107" s="184">
        <f t="shared" si="1"/>
        <v>4.67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9.2616666666666649</v>
      </c>
      <c r="C108" s="183">
        <f t="shared" ref="C108:Q108" si="2">AVERAGE(C9:C104)</f>
        <v>4.0867708333333326</v>
      </c>
      <c r="D108" s="183">
        <f t="shared" si="2"/>
        <v>14.011770833333328</v>
      </c>
      <c r="E108" s="183">
        <f t="shared" si="2"/>
        <v>9.8032291666666698</v>
      </c>
      <c r="F108" s="183">
        <f t="shared" si="2"/>
        <v>5.0684375000000026</v>
      </c>
      <c r="G108" s="183">
        <f t="shared" si="2"/>
        <v>57.040000000000028</v>
      </c>
      <c r="H108" s="183">
        <f t="shared" si="2"/>
        <v>12.911562500000008</v>
      </c>
      <c r="I108" s="183">
        <f t="shared" si="2"/>
        <v>5.4265625000000002</v>
      </c>
      <c r="J108" s="183">
        <f t="shared" si="2"/>
        <v>0.56104166666666699</v>
      </c>
      <c r="K108" s="183">
        <f t="shared" si="2"/>
        <v>281.56864583333339</v>
      </c>
      <c r="L108" s="183">
        <f t="shared" si="2"/>
        <v>27.341875000000005</v>
      </c>
      <c r="M108" s="183">
        <f t="shared" si="2"/>
        <v>80.214062499999997</v>
      </c>
      <c r="N108" s="183">
        <f t="shared" si="2"/>
        <v>77.366666666666703</v>
      </c>
      <c r="O108" s="183">
        <f t="shared" si="2"/>
        <v>0</v>
      </c>
      <c r="P108" s="183">
        <f t="shared" si="2"/>
        <v>0.43895833333333378</v>
      </c>
      <c r="Q108" s="183">
        <f t="shared" si="2"/>
        <v>4.644062499999996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3.3986581459426471E-2</v>
      </c>
      <c r="C109" s="183">
        <f t="shared" ref="C109:Q109" si="3">STDEV(C9:C104)</f>
        <v>2.7965948906583063E-2</v>
      </c>
      <c r="D109" s="183">
        <f t="shared" si="3"/>
        <v>1.9947024137194656E-2</v>
      </c>
      <c r="E109" s="183">
        <f t="shared" si="3"/>
        <v>1.3068503677819847</v>
      </c>
      <c r="F109" s="183">
        <f t="shared" si="3"/>
        <v>0.74411986601619651</v>
      </c>
      <c r="G109" s="183">
        <f t="shared" si="3"/>
        <v>9.8065089018520037</v>
      </c>
      <c r="H109" s="183">
        <f t="shared" si="3"/>
        <v>2.8473848863104809</v>
      </c>
      <c r="I109" s="183">
        <f t="shared" si="3"/>
        <v>0.47807030560915958</v>
      </c>
      <c r="J109" s="183">
        <f t="shared" si="3"/>
        <v>0.19669093665291998</v>
      </c>
      <c r="K109" s="183">
        <f t="shared" si="3"/>
        <v>14.638175225634498</v>
      </c>
      <c r="L109" s="183">
        <f t="shared" si="3"/>
        <v>1.6131905702020961</v>
      </c>
      <c r="M109" s="183">
        <f t="shared" si="3"/>
        <v>8.8326025941129771</v>
      </c>
      <c r="N109" s="183">
        <f t="shared" si="3"/>
        <v>117.84679855568652</v>
      </c>
      <c r="O109" s="183">
        <f t="shared" si="3"/>
        <v>0</v>
      </c>
      <c r="P109" s="183">
        <f t="shared" si="3"/>
        <v>3.6691578459153634E-2</v>
      </c>
      <c r="Q109" s="183">
        <f t="shared" si="3"/>
        <v>1.2530226611971984E-2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45550.010416666664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45550.010416666664</v>
      </c>
      <c r="B9" s="112">
        <v>9.3000000000000007</v>
      </c>
      <c r="C9" s="112">
        <v>4.13</v>
      </c>
      <c r="D9" s="112">
        <v>14.06</v>
      </c>
      <c r="E9" s="112">
        <v>11.95</v>
      </c>
      <c r="F9" s="112">
        <v>4.4800000000000004</v>
      </c>
      <c r="G9" s="112">
        <v>73.849999999999994</v>
      </c>
      <c r="H9" s="112">
        <v>13.7</v>
      </c>
      <c r="I9" s="112">
        <v>6.62</v>
      </c>
      <c r="J9" s="112">
        <v>0.36</v>
      </c>
      <c r="K9" s="112">
        <v>304.72000000000003</v>
      </c>
      <c r="L9" s="112">
        <v>26.36</v>
      </c>
      <c r="M9" s="112">
        <v>80.98</v>
      </c>
      <c r="N9" s="112">
        <v>2.1</v>
      </c>
      <c r="O9" s="112">
        <v>0</v>
      </c>
      <c r="P9" s="112">
        <v>0.51</v>
      </c>
      <c r="Q9" s="112">
        <v>4.6500000000000004</v>
      </c>
    </row>
    <row r="10" spans="1:21" customFormat="1">
      <c r="A10" s="80">
        <v>45550.020833333336</v>
      </c>
      <c r="B10" s="112">
        <v>9.3000000000000007</v>
      </c>
      <c r="C10" s="112">
        <v>4.09</v>
      </c>
      <c r="D10" s="112">
        <v>14.04</v>
      </c>
      <c r="E10" s="112">
        <v>11.18</v>
      </c>
      <c r="F10" s="112">
        <v>4.99</v>
      </c>
      <c r="G10" s="112">
        <v>73.36</v>
      </c>
      <c r="H10" s="112">
        <v>13.79</v>
      </c>
      <c r="I10" s="112">
        <v>6.73</v>
      </c>
      <c r="J10" s="112">
        <v>0.36</v>
      </c>
      <c r="K10" s="112">
        <v>290.66000000000003</v>
      </c>
      <c r="L10" s="112">
        <v>26.25</v>
      </c>
      <c r="M10" s="112">
        <v>80.540000000000006</v>
      </c>
      <c r="N10" s="112">
        <v>2.1</v>
      </c>
      <c r="O10" s="112">
        <v>0</v>
      </c>
      <c r="P10" s="112">
        <v>0.5</v>
      </c>
      <c r="Q10" s="112">
        <v>4.6500000000000004</v>
      </c>
    </row>
    <row r="11" spans="1:21" customFormat="1">
      <c r="A11" s="80">
        <v>45550.03125</v>
      </c>
      <c r="B11" s="112">
        <v>9.2899999999999991</v>
      </c>
      <c r="C11" s="112">
        <v>4.0599999999999996</v>
      </c>
      <c r="D11" s="112">
        <v>14.02</v>
      </c>
      <c r="E11" s="112">
        <v>11.14</v>
      </c>
      <c r="F11" s="112">
        <v>5.55</v>
      </c>
      <c r="G11" s="112">
        <v>68.959999999999994</v>
      </c>
      <c r="H11" s="112">
        <v>14.6</v>
      </c>
      <c r="I11" s="112">
        <v>6.67</v>
      </c>
      <c r="J11" s="112">
        <v>0.39</v>
      </c>
      <c r="K11" s="112">
        <v>278.39</v>
      </c>
      <c r="L11" s="112">
        <v>26.12</v>
      </c>
      <c r="M11" s="112">
        <v>80.78</v>
      </c>
      <c r="N11" s="112">
        <v>2.1</v>
      </c>
      <c r="O11" s="112">
        <v>0</v>
      </c>
      <c r="P11" s="112">
        <v>0.49</v>
      </c>
      <c r="Q11" s="112">
        <v>4.6500000000000004</v>
      </c>
    </row>
    <row r="12" spans="1:21" customFormat="1">
      <c r="A12" s="80">
        <v>45550.041666666664</v>
      </c>
      <c r="B12" s="112">
        <v>9.31</v>
      </c>
      <c r="C12" s="112">
        <v>4.0599999999999996</v>
      </c>
      <c r="D12" s="112">
        <v>14.03</v>
      </c>
      <c r="E12" s="112">
        <v>10.9</v>
      </c>
      <c r="F12" s="112">
        <v>5.47</v>
      </c>
      <c r="G12" s="112">
        <v>68.959999999999994</v>
      </c>
      <c r="H12" s="112">
        <v>14.6</v>
      </c>
      <c r="I12" s="112">
        <v>6.5</v>
      </c>
      <c r="J12" s="112">
        <v>0.43</v>
      </c>
      <c r="K12" s="112">
        <v>304.37</v>
      </c>
      <c r="L12" s="112">
        <v>26.11</v>
      </c>
      <c r="M12" s="112">
        <v>79.95</v>
      </c>
      <c r="N12" s="112">
        <v>2</v>
      </c>
      <c r="O12" s="112">
        <v>0</v>
      </c>
      <c r="P12" s="112">
        <v>0.48</v>
      </c>
      <c r="Q12" s="112">
        <v>4.6500000000000004</v>
      </c>
    </row>
    <row r="13" spans="1:21" customFormat="1">
      <c r="A13" s="80">
        <v>45550.052083333336</v>
      </c>
      <c r="B13" s="112">
        <v>9.32</v>
      </c>
      <c r="C13" s="112">
        <v>4.05</v>
      </c>
      <c r="D13" s="112">
        <v>14.04</v>
      </c>
      <c r="E13" s="112">
        <v>10.8</v>
      </c>
      <c r="F13" s="112">
        <v>5.41</v>
      </c>
      <c r="G13" s="112">
        <v>68.959999999999994</v>
      </c>
      <c r="H13" s="112">
        <v>14.6</v>
      </c>
      <c r="I13" s="112">
        <v>6.41</v>
      </c>
      <c r="J13" s="112">
        <v>0.52</v>
      </c>
      <c r="K13" s="112">
        <v>296.42</v>
      </c>
      <c r="L13" s="112">
        <v>26.16</v>
      </c>
      <c r="M13" s="112">
        <v>78.7</v>
      </c>
      <c r="N13" s="112">
        <v>2</v>
      </c>
      <c r="O13" s="112">
        <v>0</v>
      </c>
      <c r="P13" s="112">
        <v>0.47</v>
      </c>
      <c r="Q13" s="112">
        <v>4.6500000000000004</v>
      </c>
    </row>
    <row r="14" spans="1:21" customFormat="1">
      <c r="A14" s="80">
        <v>45550.0625</v>
      </c>
      <c r="B14" s="112">
        <v>9.32</v>
      </c>
      <c r="C14" s="112">
        <v>4.04</v>
      </c>
      <c r="D14" s="112">
        <v>14.04</v>
      </c>
      <c r="E14" s="112">
        <v>10.51</v>
      </c>
      <c r="F14" s="112">
        <v>5.93</v>
      </c>
      <c r="G14" s="112">
        <v>68.55</v>
      </c>
      <c r="H14" s="112">
        <v>14.65</v>
      </c>
      <c r="I14" s="112">
        <v>6.4</v>
      </c>
      <c r="J14" s="112">
        <v>0.45</v>
      </c>
      <c r="K14" s="112">
        <v>283.67</v>
      </c>
      <c r="L14" s="112">
        <v>26</v>
      </c>
      <c r="M14" s="112">
        <v>79.83</v>
      </c>
      <c r="N14" s="112">
        <v>2.1</v>
      </c>
      <c r="O14" s="112">
        <v>0</v>
      </c>
      <c r="P14" s="112">
        <v>0.47</v>
      </c>
      <c r="Q14" s="112">
        <v>4.6399999999999997</v>
      </c>
    </row>
    <row r="15" spans="1:21" customFormat="1">
      <c r="A15" s="80">
        <v>45550.072916666664</v>
      </c>
      <c r="B15" s="112">
        <v>9.33</v>
      </c>
      <c r="C15" s="112">
        <v>4.04</v>
      </c>
      <c r="D15" s="112">
        <v>14.04</v>
      </c>
      <c r="E15" s="112">
        <v>10.67</v>
      </c>
      <c r="F15" s="112">
        <v>6.72</v>
      </c>
      <c r="G15" s="112">
        <v>64.36</v>
      </c>
      <c r="H15" s="112">
        <v>15.04</v>
      </c>
      <c r="I15" s="112">
        <v>6.43</v>
      </c>
      <c r="J15" s="112">
        <v>0.43</v>
      </c>
      <c r="K15" s="112">
        <v>298.37</v>
      </c>
      <c r="L15" s="112">
        <v>25.88</v>
      </c>
      <c r="M15" s="112">
        <v>80.72</v>
      </c>
      <c r="N15" s="112">
        <v>2.1</v>
      </c>
      <c r="O15" s="112">
        <v>0</v>
      </c>
      <c r="P15" s="112">
        <v>0.44</v>
      </c>
      <c r="Q15" s="112">
        <v>4.66</v>
      </c>
    </row>
    <row r="16" spans="1:21" customFormat="1">
      <c r="A16" s="80">
        <v>45550.083333333336</v>
      </c>
      <c r="B16" s="112">
        <v>9.31</v>
      </c>
      <c r="C16" s="112">
        <v>4.08</v>
      </c>
      <c r="D16" s="112">
        <v>14.05</v>
      </c>
      <c r="E16" s="112">
        <v>10.36</v>
      </c>
      <c r="F16" s="112">
        <v>5.94</v>
      </c>
      <c r="G16" s="112">
        <v>64.36</v>
      </c>
      <c r="H16" s="112">
        <v>15.04</v>
      </c>
      <c r="I16" s="112">
        <v>6.39</v>
      </c>
      <c r="J16" s="112">
        <v>0.45</v>
      </c>
      <c r="K16" s="112">
        <v>282.3</v>
      </c>
      <c r="L16" s="112">
        <v>25.79</v>
      </c>
      <c r="M16" s="112">
        <v>81.760000000000005</v>
      </c>
      <c r="N16" s="112">
        <v>2.1</v>
      </c>
      <c r="O16" s="112">
        <v>0</v>
      </c>
      <c r="P16" s="112">
        <v>0.44</v>
      </c>
      <c r="Q16" s="112">
        <v>4.6500000000000004</v>
      </c>
    </row>
    <row r="17" spans="1:17" customFormat="1">
      <c r="A17" s="80">
        <v>45550.09375</v>
      </c>
      <c r="B17" s="112">
        <v>9.34</v>
      </c>
      <c r="C17" s="112">
        <v>4.07</v>
      </c>
      <c r="D17" s="112">
        <v>14.07</v>
      </c>
      <c r="E17" s="112">
        <v>8.9499999999999993</v>
      </c>
      <c r="F17" s="112">
        <v>5.7</v>
      </c>
      <c r="G17" s="112">
        <v>64.36</v>
      </c>
      <c r="H17" s="112">
        <v>15.04</v>
      </c>
      <c r="I17" s="112">
        <v>6.26</v>
      </c>
      <c r="J17" s="112">
        <v>0.47</v>
      </c>
      <c r="K17" s="112">
        <v>289.47000000000003</v>
      </c>
      <c r="L17" s="112">
        <v>25.71</v>
      </c>
      <c r="M17" s="112">
        <v>82.44</v>
      </c>
      <c r="N17" s="112">
        <v>2.1</v>
      </c>
      <c r="O17" s="112">
        <v>0</v>
      </c>
      <c r="P17" s="112">
        <v>0.43</v>
      </c>
      <c r="Q17" s="112">
        <v>4.63</v>
      </c>
    </row>
    <row r="18" spans="1:17" customFormat="1">
      <c r="A18" s="80">
        <v>45550.104166666664</v>
      </c>
      <c r="B18" s="112">
        <v>9.34</v>
      </c>
      <c r="C18" s="112">
        <v>4.07</v>
      </c>
      <c r="D18" s="112">
        <v>14.06</v>
      </c>
      <c r="E18" s="112">
        <v>10.51</v>
      </c>
      <c r="F18" s="112">
        <v>5.72</v>
      </c>
      <c r="G18" s="112">
        <v>63.5</v>
      </c>
      <c r="H18" s="112">
        <v>14.63</v>
      </c>
      <c r="I18" s="112">
        <v>6.26</v>
      </c>
      <c r="J18" s="112">
        <v>0.55000000000000004</v>
      </c>
      <c r="K18" s="112">
        <v>285.76</v>
      </c>
      <c r="L18" s="112">
        <v>25.76</v>
      </c>
      <c r="M18" s="112">
        <v>81.96</v>
      </c>
      <c r="N18" s="112">
        <v>2.1</v>
      </c>
      <c r="O18" s="112">
        <v>0</v>
      </c>
      <c r="P18" s="112">
        <v>0.42</v>
      </c>
      <c r="Q18" s="112">
        <v>4.6500000000000004</v>
      </c>
    </row>
    <row r="19" spans="1:17" customFormat="1">
      <c r="A19" s="80">
        <v>45550.114583333336</v>
      </c>
      <c r="B19" s="112">
        <v>9.33</v>
      </c>
      <c r="C19" s="112">
        <v>4.08</v>
      </c>
      <c r="D19" s="112">
        <v>14.06</v>
      </c>
      <c r="E19" s="112">
        <v>10.45</v>
      </c>
      <c r="F19" s="112">
        <v>5.66</v>
      </c>
      <c r="G19" s="112">
        <v>54.59</v>
      </c>
      <c r="H19" s="112">
        <v>11.19</v>
      </c>
      <c r="I19" s="112">
        <v>6.16</v>
      </c>
      <c r="J19" s="112">
        <v>0.56999999999999995</v>
      </c>
      <c r="K19" s="112">
        <v>281.5</v>
      </c>
      <c r="L19" s="112">
        <v>25.72</v>
      </c>
      <c r="M19" s="112">
        <v>81.790000000000006</v>
      </c>
      <c r="N19" s="112">
        <v>2.1</v>
      </c>
      <c r="O19" s="112">
        <v>0</v>
      </c>
      <c r="P19" s="112">
        <v>0.42</v>
      </c>
      <c r="Q19" s="112">
        <v>4.66</v>
      </c>
    </row>
    <row r="20" spans="1:17" customFormat="1">
      <c r="A20" s="80">
        <v>45550.125</v>
      </c>
      <c r="B20" s="112">
        <v>9.3000000000000007</v>
      </c>
      <c r="C20" s="112">
        <v>4.12</v>
      </c>
      <c r="D20" s="112">
        <v>14.06</v>
      </c>
      <c r="E20" s="112">
        <v>9.75</v>
      </c>
      <c r="F20" s="112">
        <v>5.24</v>
      </c>
      <c r="G20" s="112">
        <v>54.59</v>
      </c>
      <c r="H20" s="112">
        <v>11.19</v>
      </c>
      <c r="I20" s="112">
        <v>6.08</v>
      </c>
      <c r="J20" s="112">
        <v>0.56000000000000005</v>
      </c>
      <c r="K20" s="112">
        <v>289.79000000000002</v>
      </c>
      <c r="L20" s="112">
        <v>25.64</v>
      </c>
      <c r="M20" s="112">
        <v>82.29</v>
      </c>
      <c r="N20" s="112">
        <v>2.2000000000000002</v>
      </c>
      <c r="O20" s="112">
        <v>0</v>
      </c>
      <c r="P20" s="112">
        <v>0.42</v>
      </c>
      <c r="Q20" s="112">
        <v>4.6500000000000004</v>
      </c>
    </row>
    <row r="21" spans="1:17" customFormat="1">
      <c r="A21" s="80">
        <v>45550.135416666664</v>
      </c>
      <c r="B21" s="112">
        <v>9.2899999999999991</v>
      </c>
      <c r="C21" s="112">
        <v>4.09</v>
      </c>
      <c r="D21" s="112">
        <v>14.04</v>
      </c>
      <c r="E21" s="112">
        <v>10.1</v>
      </c>
      <c r="F21" s="112">
        <v>5.2</v>
      </c>
      <c r="G21" s="112">
        <v>54.59</v>
      </c>
      <c r="H21" s="112">
        <v>11.19</v>
      </c>
      <c r="I21" s="112">
        <v>5.99</v>
      </c>
      <c r="J21" s="112">
        <v>0.46</v>
      </c>
      <c r="K21" s="112">
        <v>292.58</v>
      </c>
      <c r="L21" s="112">
        <v>25.65</v>
      </c>
      <c r="M21" s="112">
        <v>81.8</v>
      </c>
      <c r="N21" s="112">
        <v>2.1</v>
      </c>
      <c r="O21" s="112">
        <v>0</v>
      </c>
      <c r="P21" s="112">
        <v>0.4</v>
      </c>
      <c r="Q21" s="112">
        <v>4.66</v>
      </c>
    </row>
    <row r="22" spans="1:17" customFormat="1">
      <c r="A22" s="80">
        <v>45550.145833333336</v>
      </c>
      <c r="B22" s="112">
        <v>9.2799999999999994</v>
      </c>
      <c r="C22" s="112">
        <v>4.07</v>
      </c>
      <c r="D22" s="112">
        <v>14.02</v>
      </c>
      <c r="E22" s="112">
        <v>9.7899999999999991</v>
      </c>
      <c r="F22" s="112">
        <v>5.82</v>
      </c>
      <c r="G22" s="112">
        <v>54.6</v>
      </c>
      <c r="H22" s="112">
        <v>11.18</v>
      </c>
      <c r="I22" s="112">
        <v>5.92</v>
      </c>
      <c r="J22" s="112">
        <v>0.3</v>
      </c>
      <c r="K22" s="112">
        <v>308.06</v>
      </c>
      <c r="L22" s="112">
        <v>25.62</v>
      </c>
      <c r="M22" s="112">
        <v>81.88</v>
      </c>
      <c r="N22" s="112">
        <v>2.1</v>
      </c>
      <c r="O22" s="112">
        <v>0</v>
      </c>
      <c r="P22" s="112">
        <v>0.39</v>
      </c>
      <c r="Q22" s="112">
        <v>4.6500000000000004</v>
      </c>
    </row>
    <row r="23" spans="1:17" customFormat="1">
      <c r="A23" s="80">
        <v>45550.15625</v>
      </c>
      <c r="B23" s="112">
        <v>9.2899999999999991</v>
      </c>
      <c r="C23" s="112">
        <v>4.0599999999999996</v>
      </c>
      <c r="D23" s="112">
        <v>14.02</v>
      </c>
      <c r="E23" s="112">
        <v>9.6300000000000008</v>
      </c>
      <c r="F23" s="112">
        <v>5.69</v>
      </c>
      <c r="G23" s="112">
        <v>54.6</v>
      </c>
      <c r="H23" s="112">
        <v>11.1</v>
      </c>
      <c r="I23" s="112">
        <v>5.78</v>
      </c>
      <c r="J23" s="112">
        <v>0.32</v>
      </c>
      <c r="K23" s="112">
        <v>285.89</v>
      </c>
      <c r="L23" s="112">
        <v>25.53</v>
      </c>
      <c r="M23" s="112">
        <v>82.56</v>
      </c>
      <c r="N23" s="112">
        <v>2.2000000000000002</v>
      </c>
      <c r="O23" s="112">
        <v>0</v>
      </c>
      <c r="P23" s="112">
        <v>0.39</v>
      </c>
      <c r="Q23" s="112">
        <v>4.6399999999999997</v>
      </c>
    </row>
    <row r="24" spans="1:17" customFormat="1">
      <c r="A24" s="80">
        <v>45550.166666666664</v>
      </c>
      <c r="B24" s="112">
        <v>9.2799999999999994</v>
      </c>
      <c r="C24" s="112">
        <v>4.1100000000000003</v>
      </c>
      <c r="D24" s="112">
        <v>14.04</v>
      </c>
      <c r="E24" s="112">
        <v>9.68</v>
      </c>
      <c r="F24" s="112">
        <v>6.25</v>
      </c>
      <c r="G24" s="112">
        <v>54.6</v>
      </c>
      <c r="H24" s="112">
        <v>11.1</v>
      </c>
      <c r="I24" s="112">
        <v>5.52</v>
      </c>
      <c r="J24" s="112">
        <v>0.45</v>
      </c>
      <c r="K24" s="112">
        <v>273.43</v>
      </c>
      <c r="L24" s="112">
        <v>25.46</v>
      </c>
      <c r="M24" s="112">
        <v>82.69</v>
      </c>
      <c r="N24" s="112">
        <v>2.1</v>
      </c>
      <c r="O24" s="112">
        <v>0</v>
      </c>
      <c r="P24" s="112">
        <v>0.4</v>
      </c>
      <c r="Q24" s="112">
        <v>4.6399999999999997</v>
      </c>
    </row>
    <row r="25" spans="1:17" customFormat="1">
      <c r="A25" s="80">
        <v>45550.177083333336</v>
      </c>
      <c r="B25" s="112">
        <v>9.2899999999999991</v>
      </c>
      <c r="C25" s="112">
        <v>4.07</v>
      </c>
      <c r="D25" s="112">
        <v>14.02</v>
      </c>
      <c r="E25" s="112">
        <v>9.59</v>
      </c>
      <c r="F25" s="112">
        <v>6.16</v>
      </c>
      <c r="G25" s="112">
        <v>54.6</v>
      </c>
      <c r="H25" s="112">
        <v>11.1</v>
      </c>
      <c r="I25" s="112">
        <v>5.55</v>
      </c>
      <c r="J25" s="112">
        <v>0.45</v>
      </c>
      <c r="K25" s="112">
        <v>273.55</v>
      </c>
      <c r="L25" s="112">
        <v>25.37</v>
      </c>
      <c r="M25" s="112">
        <v>83.54</v>
      </c>
      <c r="N25" s="112">
        <v>2.2000000000000002</v>
      </c>
      <c r="O25" s="112">
        <v>0</v>
      </c>
      <c r="P25" s="112">
        <v>0.4</v>
      </c>
      <c r="Q25" s="112">
        <v>4.66</v>
      </c>
    </row>
    <row r="26" spans="1:17" customFormat="1">
      <c r="A26" s="80">
        <v>45550.1875</v>
      </c>
      <c r="B26" s="112">
        <v>9.2799999999999994</v>
      </c>
      <c r="C26" s="112">
        <v>4.07</v>
      </c>
      <c r="D26" s="112">
        <v>14.01</v>
      </c>
      <c r="E26" s="112">
        <v>9.52</v>
      </c>
      <c r="F26" s="112">
        <v>5.1100000000000003</v>
      </c>
      <c r="G26" s="112">
        <v>54.45</v>
      </c>
      <c r="H26" s="112">
        <v>11.03</v>
      </c>
      <c r="I26" s="112">
        <v>5.54</v>
      </c>
      <c r="J26" s="112">
        <v>0.42</v>
      </c>
      <c r="K26" s="112">
        <v>279.48</v>
      </c>
      <c r="L26" s="112">
        <v>25.35</v>
      </c>
      <c r="M26" s="112">
        <v>83.75</v>
      </c>
      <c r="N26" s="112">
        <v>2.1</v>
      </c>
      <c r="O26" s="112">
        <v>0</v>
      </c>
      <c r="P26" s="112">
        <v>0.4</v>
      </c>
      <c r="Q26" s="112">
        <v>4.6500000000000004</v>
      </c>
    </row>
    <row r="27" spans="1:17" customFormat="1">
      <c r="A27" s="80">
        <v>45550.197916666664</v>
      </c>
      <c r="B27" s="112">
        <v>9.24</v>
      </c>
      <c r="C27" s="112">
        <v>4.0999999999999996</v>
      </c>
      <c r="D27" s="112">
        <v>14</v>
      </c>
      <c r="E27" s="112">
        <v>9.0399999999999991</v>
      </c>
      <c r="F27" s="112">
        <v>4.87</v>
      </c>
      <c r="G27" s="112">
        <v>52.86</v>
      </c>
      <c r="H27" s="112">
        <v>10.52</v>
      </c>
      <c r="I27" s="112">
        <v>5.44</v>
      </c>
      <c r="J27" s="112">
        <v>0.61</v>
      </c>
      <c r="K27" s="112">
        <v>278.2</v>
      </c>
      <c r="L27" s="112">
        <v>25.37</v>
      </c>
      <c r="M27" s="112">
        <v>83.59</v>
      </c>
      <c r="N27" s="112">
        <v>2.1</v>
      </c>
      <c r="O27" s="112">
        <v>0</v>
      </c>
      <c r="P27" s="112">
        <v>0.4</v>
      </c>
      <c r="Q27" s="112">
        <v>4.66</v>
      </c>
    </row>
    <row r="28" spans="1:17" customFormat="1">
      <c r="A28" s="80">
        <v>45550.208333333336</v>
      </c>
      <c r="B28" s="112">
        <v>9.24</v>
      </c>
      <c r="C28" s="112">
        <v>4.0999999999999996</v>
      </c>
      <c r="D28" s="112">
        <v>14</v>
      </c>
      <c r="E28" s="112">
        <v>9.34</v>
      </c>
      <c r="F28" s="112">
        <v>4.37</v>
      </c>
      <c r="G28" s="112">
        <v>52.86</v>
      </c>
      <c r="H28" s="112">
        <v>10.52</v>
      </c>
      <c r="I28" s="112">
        <v>5.3</v>
      </c>
      <c r="J28" s="112">
        <v>0.55000000000000004</v>
      </c>
      <c r="K28" s="112">
        <v>276.83999999999997</v>
      </c>
      <c r="L28" s="112">
        <v>25.3</v>
      </c>
      <c r="M28" s="112">
        <v>83.91</v>
      </c>
      <c r="N28" s="112">
        <v>2.1</v>
      </c>
      <c r="O28" s="112">
        <v>0</v>
      </c>
      <c r="P28" s="112">
        <v>0.4</v>
      </c>
      <c r="Q28" s="112">
        <v>4.6500000000000004</v>
      </c>
    </row>
    <row r="29" spans="1:17" customFormat="1">
      <c r="A29" s="80">
        <v>45550.21875</v>
      </c>
      <c r="B29" s="112">
        <v>9.25</v>
      </c>
      <c r="C29" s="112">
        <v>4.08</v>
      </c>
      <c r="D29" s="112">
        <v>14</v>
      </c>
      <c r="E29" s="112">
        <v>9.94</v>
      </c>
      <c r="F29" s="112">
        <v>4.2699999999999996</v>
      </c>
      <c r="G29" s="112">
        <v>52.86</v>
      </c>
      <c r="H29" s="112">
        <v>10.52</v>
      </c>
      <c r="I29" s="112">
        <v>5.3</v>
      </c>
      <c r="J29" s="112">
        <v>0.51</v>
      </c>
      <c r="K29" s="112">
        <v>277.89</v>
      </c>
      <c r="L29" s="112">
        <v>25.32</v>
      </c>
      <c r="M29" s="112">
        <v>83.83</v>
      </c>
      <c r="N29" s="112">
        <v>2.1</v>
      </c>
      <c r="O29" s="112">
        <v>0</v>
      </c>
      <c r="P29" s="112">
        <v>0.39</v>
      </c>
      <c r="Q29" s="112">
        <v>4.6500000000000004</v>
      </c>
    </row>
    <row r="30" spans="1:17" customFormat="1">
      <c r="A30" s="80">
        <v>45550.229166666664</v>
      </c>
      <c r="B30" s="112">
        <v>9.2799999999999994</v>
      </c>
      <c r="C30" s="112">
        <v>4.05</v>
      </c>
      <c r="D30" s="112">
        <v>14</v>
      </c>
      <c r="E30" s="112">
        <v>9.81</v>
      </c>
      <c r="F30" s="112">
        <v>4.3499999999999996</v>
      </c>
      <c r="G30" s="112">
        <v>52.72</v>
      </c>
      <c r="H30" s="112">
        <v>11.06</v>
      </c>
      <c r="I30" s="112">
        <v>5.1100000000000003</v>
      </c>
      <c r="J30" s="112">
        <v>0.6</v>
      </c>
      <c r="K30" s="112">
        <v>292.17</v>
      </c>
      <c r="L30" s="112">
        <v>25.37</v>
      </c>
      <c r="M30" s="112">
        <v>82.31</v>
      </c>
      <c r="N30" s="112">
        <v>2.1</v>
      </c>
      <c r="O30" s="112">
        <v>0</v>
      </c>
      <c r="P30" s="112">
        <v>0.38</v>
      </c>
      <c r="Q30" s="112">
        <v>4.6500000000000004</v>
      </c>
    </row>
    <row r="31" spans="1:17" customFormat="1">
      <c r="A31" s="80">
        <v>45550.239583333336</v>
      </c>
      <c r="B31" s="112">
        <v>9.27</v>
      </c>
      <c r="C31" s="112">
        <v>4.08</v>
      </c>
      <c r="D31" s="112">
        <v>14.01</v>
      </c>
      <c r="E31" s="112">
        <v>10.039999999999999</v>
      </c>
      <c r="F31" s="112">
        <v>4.22</v>
      </c>
      <c r="G31" s="112">
        <v>51.27</v>
      </c>
      <c r="H31" s="112">
        <v>15.07</v>
      </c>
      <c r="I31" s="112">
        <v>5.1100000000000003</v>
      </c>
      <c r="J31" s="112">
        <v>0.62</v>
      </c>
      <c r="K31" s="112">
        <v>286.13</v>
      </c>
      <c r="L31" s="112">
        <v>25.36</v>
      </c>
      <c r="M31" s="112">
        <v>82.91</v>
      </c>
      <c r="N31" s="112">
        <v>3.3</v>
      </c>
      <c r="O31" s="112">
        <v>0</v>
      </c>
      <c r="P31" s="112">
        <v>0.39</v>
      </c>
      <c r="Q31" s="112">
        <v>4.6399999999999997</v>
      </c>
    </row>
    <row r="32" spans="1:17" customFormat="1">
      <c r="A32" s="80">
        <v>45550.25</v>
      </c>
      <c r="B32" s="112">
        <v>9.27</v>
      </c>
      <c r="C32" s="112">
        <v>4.05</v>
      </c>
      <c r="D32" s="112">
        <v>14</v>
      </c>
      <c r="E32" s="112">
        <v>10.07</v>
      </c>
      <c r="F32" s="112">
        <v>3.99</v>
      </c>
      <c r="G32" s="112">
        <v>51.27</v>
      </c>
      <c r="H32" s="112">
        <v>15.07</v>
      </c>
      <c r="I32" s="112">
        <v>5.23</v>
      </c>
      <c r="J32" s="112">
        <v>0.51</v>
      </c>
      <c r="K32" s="112">
        <v>288.04000000000002</v>
      </c>
      <c r="L32" s="112">
        <v>25.35</v>
      </c>
      <c r="M32" s="112">
        <v>83.27</v>
      </c>
      <c r="N32" s="112">
        <v>8.3000000000000007</v>
      </c>
      <c r="O32" s="112">
        <v>0</v>
      </c>
      <c r="P32" s="112">
        <v>0.37</v>
      </c>
      <c r="Q32" s="112">
        <v>4.63</v>
      </c>
    </row>
    <row r="33" spans="1:17" customFormat="1">
      <c r="A33" s="80">
        <v>45550.260416666664</v>
      </c>
      <c r="B33" s="112">
        <v>9.26</v>
      </c>
      <c r="C33" s="112">
        <v>4.07</v>
      </c>
      <c r="D33" s="112">
        <v>14</v>
      </c>
      <c r="E33" s="112">
        <v>9.99</v>
      </c>
      <c r="F33" s="112">
        <v>3.96</v>
      </c>
      <c r="G33" s="112">
        <v>51.27</v>
      </c>
      <c r="H33" s="112">
        <v>15.07</v>
      </c>
      <c r="I33" s="112">
        <v>4.97</v>
      </c>
      <c r="J33" s="112">
        <v>0.55000000000000004</v>
      </c>
      <c r="K33" s="112">
        <v>283.7</v>
      </c>
      <c r="L33" s="112">
        <v>25.36</v>
      </c>
      <c r="M33" s="112">
        <v>84.42</v>
      </c>
      <c r="N33" s="112">
        <v>16.899999999999999</v>
      </c>
      <c r="O33" s="112">
        <v>0</v>
      </c>
      <c r="P33" s="112">
        <v>0.38</v>
      </c>
      <c r="Q33" s="112">
        <v>4.6399999999999997</v>
      </c>
    </row>
    <row r="34" spans="1:17" customFormat="1">
      <c r="A34" s="80">
        <v>45550.270833333336</v>
      </c>
      <c r="B34" s="112">
        <v>9.24</v>
      </c>
      <c r="C34" s="112">
        <v>4.09</v>
      </c>
      <c r="D34" s="112">
        <v>14</v>
      </c>
      <c r="E34" s="112">
        <v>9.57</v>
      </c>
      <c r="F34" s="112">
        <v>3.94</v>
      </c>
      <c r="G34" s="112">
        <v>51.25</v>
      </c>
      <c r="H34" s="112">
        <v>14.86</v>
      </c>
      <c r="I34" s="112">
        <v>4.91</v>
      </c>
      <c r="J34" s="112">
        <v>0.49</v>
      </c>
      <c r="K34" s="112">
        <v>279.58</v>
      </c>
      <c r="L34" s="112">
        <v>25.46</v>
      </c>
      <c r="M34" s="112">
        <v>85.39</v>
      </c>
      <c r="N34" s="112">
        <v>29.2</v>
      </c>
      <c r="O34" s="112">
        <v>0</v>
      </c>
      <c r="P34" s="112">
        <v>0.38</v>
      </c>
      <c r="Q34" s="112">
        <v>4.6500000000000004</v>
      </c>
    </row>
    <row r="35" spans="1:17" customFormat="1">
      <c r="A35" s="80">
        <v>45550.28125</v>
      </c>
      <c r="B35" s="112">
        <v>9.2200000000000006</v>
      </c>
      <c r="C35" s="112">
        <v>4.12</v>
      </c>
      <c r="D35" s="112">
        <v>14</v>
      </c>
      <c r="E35" s="112">
        <v>10.34</v>
      </c>
      <c r="F35" s="112">
        <v>4.24</v>
      </c>
      <c r="G35" s="112">
        <v>51.03</v>
      </c>
      <c r="H35" s="112">
        <v>13.05</v>
      </c>
      <c r="I35" s="112">
        <v>4.9000000000000004</v>
      </c>
      <c r="J35" s="112">
        <v>0.49</v>
      </c>
      <c r="K35" s="112">
        <v>294.74</v>
      </c>
      <c r="L35" s="112">
        <v>25.77</v>
      </c>
      <c r="M35" s="112">
        <v>82.81</v>
      </c>
      <c r="N35" s="112">
        <v>46.4</v>
      </c>
      <c r="O35" s="112">
        <v>0</v>
      </c>
      <c r="P35" s="112">
        <v>0.38</v>
      </c>
      <c r="Q35" s="112">
        <v>4.6500000000000004</v>
      </c>
    </row>
    <row r="36" spans="1:17" customFormat="1">
      <c r="A36" s="80">
        <v>45550.291666666664</v>
      </c>
      <c r="B36" s="112">
        <v>9.23</v>
      </c>
      <c r="C36" s="112">
        <v>4.1100000000000003</v>
      </c>
      <c r="D36" s="112">
        <v>14</v>
      </c>
      <c r="E36" s="112">
        <v>10.76</v>
      </c>
      <c r="F36" s="112">
        <v>4.29</v>
      </c>
      <c r="G36" s="112">
        <v>51.03</v>
      </c>
      <c r="H36" s="112">
        <v>13.05</v>
      </c>
      <c r="I36" s="112">
        <v>4.87</v>
      </c>
      <c r="J36" s="112">
        <v>0.49</v>
      </c>
      <c r="K36" s="112">
        <v>294.32</v>
      </c>
      <c r="L36" s="112">
        <v>25.96</v>
      </c>
      <c r="M36" s="112">
        <v>80.69</v>
      </c>
      <c r="N36" s="112">
        <v>46.1</v>
      </c>
      <c r="O36" s="112">
        <v>0</v>
      </c>
      <c r="P36" s="112">
        <v>0.38</v>
      </c>
      <c r="Q36" s="112">
        <v>4.6399999999999997</v>
      </c>
    </row>
    <row r="37" spans="1:17" customFormat="1">
      <c r="A37" s="80">
        <v>45550.302083333336</v>
      </c>
      <c r="B37" s="112">
        <v>9.23</v>
      </c>
      <c r="C37" s="112">
        <v>4.1100000000000003</v>
      </c>
      <c r="D37" s="112">
        <v>14</v>
      </c>
      <c r="E37" s="112">
        <v>10.86</v>
      </c>
      <c r="F37" s="112">
        <v>4.24</v>
      </c>
      <c r="G37" s="112">
        <v>51.03</v>
      </c>
      <c r="H37" s="112">
        <v>13.05</v>
      </c>
      <c r="I37" s="112">
        <v>4.84</v>
      </c>
      <c r="J37" s="112">
        <v>0.49</v>
      </c>
      <c r="K37" s="112">
        <v>298.5</v>
      </c>
      <c r="L37" s="112">
        <v>26</v>
      </c>
      <c r="M37" s="112">
        <v>79.77</v>
      </c>
      <c r="N37" s="112">
        <v>52.8</v>
      </c>
      <c r="O37" s="112">
        <v>0</v>
      </c>
      <c r="P37" s="112">
        <v>0.38</v>
      </c>
      <c r="Q37" s="112">
        <v>4.6399999999999997</v>
      </c>
    </row>
    <row r="38" spans="1:17" customFormat="1">
      <c r="A38" s="80">
        <v>45550.3125</v>
      </c>
      <c r="B38" s="112">
        <v>9.25</v>
      </c>
      <c r="C38" s="112">
        <v>4.09</v>
      </c>
      <c r="D38" s="112">
        <v>14</v>
      </c>
      <c r="E38" s="112">
        <v>11.48</v>
      </c>
      <c r="F38" s="112">
        <v>4.42</v>
      </c>
      <c r="G38" s="112">
        <v>50.82</v>
      </c>
      <c r="H38" s="112">
        <v>13.18</v>
      </c>
      <c r="I38" s="112">
        <v>4.84</v>
      </c>
      <c r="J38" s="112">
        <v>0.53</v>
      </c>
      <c r="K38" s="112">
        <v>305.83999999999997</v>
      </c>
      <c r="L38" s="112">
        <v>26.18</v>
      </c>
      <c r="M38" s="112">
        <v>78.25</v>
      </c>
      <c r="N38" s="112">
        <v>72.5</v>
      </c>
      <c r="O38" s="112">
        <v>0</v>
      </c>
      <c r="P38" s="112">
        <v>0.38</v>
      </c>
      <c r="Q38" s="112">
        <v>4.66</v>
      </c>
    </row>
    <row r="39" spans="1:17" customFormat="1">
      <c r="A39" s="80">
        <v>45550.322916666664</v>
      </c>
      <c r="B39" s="112">
        <v>9.25</v>
      </c>
      <c r="C39" s="112">
        <v>4.09</v>
      </c>
      <c r="D39" s="112">
        <v>14</v>
      </c>
      <c r="E39" s="112">
        <v>11.16</v>
      </c>
      <c r="F39" s="112">
        <v>4.46</v>
      </c>
      <c r="G39" s="112">
        <v>48.59</v>
      </c>
      <c r="H39" s="112">
        <v>14.2</v>
      </c>
      <c r="I39" s="112">
        <v>4.8099999999999996</v>
      </c>
      <c r="J39" s="112">
        <v>0.83</v>
      </c>
      <c r="K39" s="112">
        <v>308.37</v>
      </c>
      <c r="L39" s="112">
        <v>26.47</v>
      </c>
      <c r="M39" s="112">
        <v>74.98</v>
      </c>
      <c r="N39" s="112">
        <v>100.7</v>
      </c>
      <c r="O39" s="112">
        <v>0</v>
      </c>
      <c r="P39" s="112">
        <v>0.38</v>
      </c>
      <c r="Q39" s="112">
        <v>4.66</v>
      </c>
    </row>
    <row r="40" spans="1:17" customFormat="1">
      <c r="A40" s="80">
        <v>45550.333333333336</v>
      </c>
      <c r="B40" s="112">
        <v>9.25</v>
      </c>
      <c r="C40" s="112">
        <v>4.0999999999999996</v>
      </c>
      <c r="D40" s="112">
        <v>14.01</v>
      </c>
      <c r="E40" s="112">
        <v>11.47</v>
      </c>
      <c r="F40" s="112">
        <v>4.58</v>
      </c>
      <c r="G40" s="112">
        <v>48.59</v>
      </c>
      <c r="H40" s="112">
        <v>14.2</v>
      </c>
      <c r="I40" s="112">
        <v>4.75</v>
      </c>
      <c r="J40" s="112">
        <v>0.7</v>
      </c>
      <c r="K40" s="112">
        <v>317.56</v>
      </c>
      <c r="L40" s="112">
        <v>26.64</v>
      </c>
      <c r="M40" s="112">
        <v>73.81</v>
      </c>
      <c r="N40" s="112">
        <v>108.5</v>
      </c>
      <c r="O40" s="112">
        <v>0</v>
      </c>
      <c r="P40" s="112">
        <v>0.37</v>
      </c>
      <c r="Q40" s="112">
        <v>4.6500000000000004</v>
      </c>
    </row>
    <row r="41" spans="1:17" customFormat="1">
      <c r="A41" s="80">
        <v>45550.34375</v>
      </c>
      <c r="B41" s="112">
        <v>9.23</v>
      </c>
      <c r="C41" s="112">
        <v>4.1100000000000003</v>
      </c>
      <c r="D41" s="112">
        <v>14</v>
      </c>
      <c r="E41" s="112">
        <v>10.98</v>
      </c>
      <c r="F41" s="112">
        <v>4.32</v>
      </c>
      <c r="G41" s="112">
        <v>48.59</v>
      </c>
      <c r="H41" s="112">
        <v>14.2</v>
      </c>
      <c r="I41" s="112">
        <v>4.7300000000000004</v>
      </c>
      <c r="J41" s="112">
        <v>0.93</v>
      </c>
      <c r="K41" s="112">
        <v>309.97000000000003</v>
      </c>
      <c r="L41" s="112">
        <v>26.82</v>
      </c>
      <c r="M41" s="112">
        <v>72.83</v>
      </c>
      <c r="N41" s="112">
        <v>136</v>
      </c>
      <c r="O41" s="112">
        <v>0</v>
      </c>
      <c r="P41" s="112">
        <v>0.37</v>
      </c>
      <c r="Q41" s="112">
        <v>4.6399999999999997</v>
      </c>
    </row>
    <row r="42" spans="1:17" customFormat="1">
      <c r="A42" s="80">
        <v>45550.354166666664</v>
      </c>
      <c r="B42" s="112">
        <v>9.23</v>
      </c>
      <c r="C42" s="112">
        <v>4.12</v>
      </c>
      <c r="D42" s="112">
        <v>14</v>
      </c>
      <c r="E42" s="112">
        <v>11.08</v>
      </c>
      <c r="F42" s="112">
        <v>4.83</v>
      </c>
      <c r="G42" s="112">
        <v>48.52</v>
      </c>
      <c r="H42" s="112">
        <v>13.81</v>
      </c>
      <c r="I42" s="112">
        <v>4.7</v>
      </c>
      <c r="J42" s="112">
        <v>0.9</v>
      </c>
      <c r="K42" s="112">
        <v>306.76</v>
      </c>
      <c r="L42" s="112">
        <v>27.17</v>
      </c>
      <c r="M42" s="112">
        <v>71.88</v>
      </c>
      <c r="N42" s="112">
        <v>169.5</v>
      </c>
      <c r="O42" s="112">
        <v>0</v>
      </c>
      <c r="P42" s="112">
        <v>0.38</v>
      </c>
      <c r="Q42" s="112">
        <v>4.6399999999999997</v>
      </c>
    </row>
    <row r="43" spans="1:17" customFormat="1">
      <c r="A43" s="80">
        <v>45550.364583333336</v>
      </c>
      <c r="B43" s="112">
        <v>9.2200000000000006</v>
      </c>
      <c r="C43" s="112">
        <v>4.12</v>
      </c>
      <c r="D43" s="112">
        <v>14</v>
      </c>
      <c r="E43" s="112">
        <v>11.09</v>
      </c>
      <c r="F43" s="112">
        <v>4.4400000000000004</v>
      </c>
      <c r="G43" s="112">
        <v>47.83</v>
      </c>
      <c r="H43" s="112">
        <v>10.57</v>
      </c>
      <c r="I43" s="112">
        <v>4.6500000000000004</v>
      </c>
      <c r="J43" s="112">
        <v>0.84</v>
      </c>
      <c r="K43" s="112">
        <v>304.64999999999998</v>
      </c>
      <c r="L43" s="112">
        <v>27.56</v>
      </c>
      <c r="M43" s="112">
        <v>70.989999999999995</v>
      </c>
      <c r="N43" s="112">
        <v>200.9</v>
      </c>
      <c r="O43" s="112">
        <v>0</v>
      </c>
      <c r="P43" s="112">
        <v>0.38</v>
      </c>
      <c r="Q43" s="112">
        <v>4.6399999999999997</v>
      </c>
    </row>
    <row r="44" spans="1:17" customFormat="1">
      <c r="A44" s="80">
        <v>45550.375</v>
      </c>
      <c r="B44" s="112">
        <v>9.24</v>
      </c>
      <c r="C44" s="112">
        <v>4.1100000000000003</v>
      </c>
      <c r="D44" s="112">
        <v>14</v>
      </c>
      <c r="E44" s="112">
        <v>11.36</v>
      </c>
      <c r="F44" s="112">
        <v>4.6900000000000004</v>
      </c>
      <c r="G44" s="112">
        <v>47.83</v>
      </c>
      <c r="H44" s="112">
        <v>10.57</v>
      </c>
      <c r="I44" s="112">
        <v>4.5999999999999996</v>
      </c>
      <c r="J44" s="112">
        <v>0.74</v>
      </c>
      <c r="K44" s="112">
        <v>284.12</v>
      </c>
      <c r="L44" s="112">
        <v>28.04</v>
      </c>
      <c r="M44" s="112">
        <v>70.489999999999995</v>
      </c>
      <c r="N44" s="112">
        <v>292</v>
      </c>
      <c r="O44" s="112">
        <v>0</v>
      </c>
      <c r="P44" s="112">
        <v>0.38</v>
      </c>
      <c r="Q44" s="112">
        <v>4.6399999999999997</v>
      </c>
    </row>
    <row r="45" spans="1:17" customFormat="1">
      <c r="A45" s="80">
        <v>45550.385416666664</v>
      </c>
      <c r="B45" s="112">
        <v>9.2799999999999994</v>
      </c>
      <c r="C45" s="112">
        <v>4.07</v>
      </c>
      <c r="D45" s="112">
        <v>14.02</v>
      </c>
      <c r="E45" s="112">
        <v>11.45</v>
      </c>
      <c r="F45" s="112">
        <v>4.9800000000000004</v>
      </c>
      <c r="G45" s="112">
        <v>47.83</v>
      </c>
      <c r="H45" s="112">
        <v>10.57</v>
      </c>
      <c r="I45" s="112">
        <v>4.79</v>
      </c>
      <c r="J45" s="112">
        <v>0.83</v>
      </c>
      <c r="K45" s="112">
        <v>307.25</v>
      </c>
      <c r="L45" s="112">
        <v>28.4</v>
      </c>
      <c r="M45" s="112">
        <v>68.67</v>
      </c>
      <c r="N45" s="112">
        <v>402.3</v>
      </c>
      <c r="O45" s="112">
        <v>0</v>
      </c>
      <c r="P45" s="112">
        <v>0.38</v>
      </c>
      <c r="Q45" s="112">
        <v>4.6399999999999997</v>
      </c>
    </row>
    <row r="46" spans="1:17" customFormat="1">
      <c r="A46" s="80">
        <v>45550.395833333336</v>
      </c>
      <c r="B46" s="112">
        <v>9.3000000000000007</v>
      </c>
      <c r="C46" s="112">
        <v>4.05</v>
      </c>
      <c r="D46" s="112">
        <v>14.02</v>
      </c>
      <c r="E46" s="112">
        <v>10.7</v>
      </c>
      <c r="F46" s="112">
        <v>5.54</v>
      </c>
      <c r="G46" s="112">
        <v>48.23</v>
      </c>
      <c r="H46" s="112">
        <v>10.45</v>
      </c>
      <c r="I46" s="112">
        <v>4.59</v>
      </c>
      <c r="J46" s="112">
        <v>0.94</v>
      </c>
      <c r="K46" s="112">
        <v>311.37</v>
      </c>
      <c r="L46" s="112">
        <v>28.58</v>
      </c>
      <c r="M46" s="112">
        <v>67.47</v>
      </c>
      <c r="N46" s="112">
        <v>414.1</v>
      </c>
      <c r="O46" s="112">
        <v>0</v>
      </c>
      <c r="P46" s="112">
        <v>0.38</v>
      </c>
      <c r="Q46" s="112">
        <v>4.63</v>
      </c>
    </row>
    <row r="47" spans="1:17" customFormat="1">
      <c r="A47" s="80">
        <v>45550.40625</v>
      </c>
      <c r="B47" s="112">
        <v>9.27</v>
      </c>
      <c r="C47" s="112">
        <v>4.08</v>
      </c>
      <c r="D47" s="112">
        <v>14.01</v>
      </c>
      <c r="E47" s="112">
        <v>10.73</v>
      </c>
      <c r="F47" s="112">
        <v>5.9</v>
      </c>
      <c r="G47" s="112">
        <v>52.32</v>
      </c>
      <c r="H47" s="112">
        <v>9.5299999999999994</v>
      </c>
      <c r="I47" s="112">
        <v>4.6100000000000003</v>
      </c>
      <c r="J47" s="112">
        <v>0.88</v>
      </c>
      <c r="K47" s="112">
        <v>312.02</v>
      </c>
      <c r="L47" s="112">
        <v>28.62</v>
      </c>
      <c r="M47" s="112">
        <v>67.38</v>
      </c>
      <c r="N47" s="112">
        <v>298.39999999999998</v>
      </c>
      <c r="O47" s="112">
        <v>0</v>
      </c>
      <c r="P47" s="112">
        <v>0.38</v>
      </c>
      <c r="Q47" s="112">
        <v>4.62</v>
      </c>
    </row>
    <row r="48" spans="1:17" customFormat="1">
      <c r="A48" s="80">
        <v>45550.416666666664</v>
      </c>
      <c r="B48" s="112">
        <v>9.26</v>
      </c>
      <c r="C48" s="112">
        <v>4.08</v>
      </c>
      <c r="D48" s="112">
        <v>14.01</v>
      </c>
      <c r="E48" s="112">
        <v>10.53</v>
      </c>
      <c r="F48" s="112">
        <v>5.57</v>
      </c>
      <c r="G48" s="112">
        <v>52.32</v>
      </c>
      <c r="H48" s="112">
        <v>9.5299999999999994</v>
      </c>
      <c r="I48" s="112">
        <v>4.8899999999999997</v>
      </c>
      <c r="J48" s="112">
        <v>0.9</v>
      </c>
      <c r="K48" s="112">
        <v>307.52999999999997</v>
      </c>
      <c r="L48" s="112">
        <v>28.78</v>
      </c>
      <c r="M48" s="112">
        <v>66.989999999999995</v>
      </c>
      <c r="N48" s="112">
        <v>240.1</v>
      </c>
      <c r="O48" s="112">
        <v>0</v>
      </c>
      <c r="P48" s="112">
        <v>0.38</v>
      </c>
      <c r="Q48" s="112">
        <v>4.63</v>
      </c>
    </row>
    <row r="49" spans="1:17" customFormat="1">
      <c r="A49" s="80">
        <v>45550.427083333336</v>
      </c>
      <c r="B49" s="112">
        <v>9.2899999999999991</v>
      </c>
      <c r="C49" s="112">
        <v>4.08</v>
      </c>
      <c r="D49" s="112">
        <v>14.03</v>
      </c>
      <c r="E49" s="112">
        <v>7.87</v>
      </c>
      <c r="F49" s="112">
        <v>5.7</v>
      </c>
      <c r="G49" s="112">
        <v>52.32</v>
      </c>
      <c r="H49" s="112">
        <v>9.5299999999999994</v>
      </c>
      <c r="I49" s="112">
        <v>4.9000000000000004</v>
      </c>
      <c r="J49" s="112">
        <v>0.74</v>
      </c>
      <c r="K49" s="112">
        <v>307.88</v>
      </c>
      <c r="L49" s="112">
        <v>29.12</v>
      </c>
      <c r="M49" s="112">
        <v>67.14</v>
      </c>
      <c r="N49" s="112">
        <v>268.5</v>
      </c>
      <c r="O49" s="112">
        <v>0</v>
      </c>
      <c r="P49" s="112">
        <v>0.39</v>
      </c>
      <c r="Q49" s="112">
        <v>4.6500000000000004</v>
      </c>
    </row>
    <row r="50" spans="1:17" customFormat="1">
      <c r="A50" s="80">
        <v>45550.4375</v>
      </c>
      <c r="B50" s="112">
        <v>9.2799999999999994</v>
      </c>
      <c r="C50" s="112">
        <v>4.0599999999999996</v>
      </c>
      <c r="D50" s="112">
        <v>14.01</v>
      </c>
      <c r="E50" s="112">
        <v>8.83</v>
      </c>
      <c r="F50" s="112">
        <v>5.83</v>
      </c>
      <c r="G50" s="112">
        <v>52.8</v>
      </c>
      <c r="H50" s="112">
        <v>9.6</v>
      </c>
      <c r="I50" s="112">
        <v>4.8</v>
      </c>
      <c r="J50" s="112">
        <v>0.84</v>
      </c>
      <c r="K50" s="112">
        <v>302.64</v>
      </c>
      <c r="L50" s="112">
        <v>29.34</v>
      </c>
      <c r="M50" s="112">
        <v>66.42</v>
      </c>
      <c r="N50" s="112">
        <v>246.1</v>
      </c>
      <c r="O50" s="112">
        <v>0</v>
      </c>
      <c r="P50" s="112">
        <v>0.4</v>
      </c>
      <c r="Q50" s="112">
        <v>4.63</v>
      </c>
    </row>
    <row r="51" spans="1:17" customFormat="1">
      <c r="A51" s="80">
        <v>45550.447916666664</v>
      </c>
      <c r="B51" s="112">
        <v>9.26</v>
      </c>
      <c r="C51" s="112">
        <v>4.08</v>
      </c>
      <c r="D51" s="112">
        <v>14</v>
      </c>
      <c r="E51" s="112">
        <v>8.41</v>
      </c>
      <c r="F51" s="112">
        <v>5.29</v>
      </c>
      <c r="G51" s="112">
        <v>57.72</v>
      </c>
      <c r="H51" s="112">
        <v>10.050000000000001</v>
      </c>
      <c r="I51" s="112">
        <v>4.7300000000000004</v>
      </c>
      <c r="J51" s="112">
        <v>0.8</v>
      </c>
      <c r="K51" s="112">
        <v>288.67</v>
      </c>
      <c r="L51" s="112">
        <v>29.03</v>
      </c>
      <c r="M51" s="112">
        <v>68.22</v>
      </c>
      <c r="N51" s="112">
        <v>213.2</v>
      </c>
      <c r="O51" s="112">
        <v>0</v>
      </c>
      <c r="P51" s="112">
        <v>0.39</v>
      </c>
      <c r="Q51" s="112">
        <v>4.6500000000000004</v>
      </c>
    </row>
    <row r="52" spans="1:17" customFormat="1">
      <c r="A52" s="80">
        <v>45550.458333333336</v>
      </c>
      <c r="B52" s="112">
        <v>9.2100000000000009</v>
      </c>
      <c r="C52" s="112">
        <v>4.1399999999999997</v>
      </c>
      <c r="D52" s="112">
        <v>14</v>
      </c>
      <c r="E52" s="112">
        <v>8.31</v>
      </c>
      <c r="F52" s="112">
        <v>4.8600000000000003</v>
      </c>
      <c r="G52" s="112">
        <v>57.72</v>
      </c>
      <c r="H52" s="112">
        <v>10.050000000000001</v>
      </c>
      <c r="I52" s="112">
        <v>4.8499999999999996</v>
      </c>
      <c r="J52" s="112">
        <v>0.78</v>
      </c>
      <c r="K52" s="112">
        <v>304.25</v>
      </c>
      <c r="L52" s="112">
        <v>29.15</v>
      </c>
      <c r="M52" s="112">
        <v>68.05</v>
      </c>
      <c r="N52" s="112">
        <v>252.8</v>
      </c>
      <c r="O52" s="112">
        <v>0</v>
      </c>
      <c r="P52" s="112">
        <v>0.4</v>
      </c>
      <c r="Q52" s="112">
        <v>4.63</v>
      </c>
    </row>
    <row r="53" spans="1:17" customFormat="1">
      <c r="A53" s="80">
        <v>45550.46875</v>
      </c>
      <c r="B53" s="112">
        <v>9.2100000000000009</v>
      </c>
      <c r="C53" s="112">
        <v>4.1399999999999997</v>
      </c>
      <c r="D53" s="112">
        <v>14</v>
      </c>
      <c r="E53" s="112">
        <v>8.85</v>
      </c>
      <c r="F53" s="112">
        <v>5.43</v>
      </c>
      <c r="G53" s="112">
        <v>57.72</v>
      </c>
      <c r="H53" s="112">
        <v>10.050000000000001</v>
      </c>
      <c r="I53" s="112">
        <v>4.8099999999999996</v>
      </c>
      <c r="J53" s="112">
        <v>0.77</v>
      </c>
      <c r="K53" s="112">
        <v>313.85000000000002</v>
      </c>
      <c r="L53" s="112">
        <v>29.44</v>
      </c>
      <c r="M53" s="112">
        <v>66.569999999999993</v>
      </c>
      <c r="N53" s="112">
        <v>352.6</v>
      </c>
      <c r="O53" s="112">
        <v>0</v>
      </c>
      <c r="P53" s="112">
        <v>0.41</v>
      </c>
      <c r="Q53" s="112">
        <v>4.63</v>
      </c>
    </row>
    <row r="54" spans="1:17" customFormat="1">
      <c r="A54" s="80">
        <v>45550.479166666664</v>
      </c>
      <c r="B54" s="112">
        <v>9.24</v>
      </c>
      <c r="C54" s="112">
        <v>4.0999999999999996</v>
      </c>
      <c r="D54" s="112">
        <v>14</v>
      </c>
      <c r="E54" s="112">
        <v>8.99</v>
      </c>
      <c r="F54" s="112">
        <v>5.97</v>
      </c>
      <c r="G54" s="112">
        <v>57.7</v>
      </c>
      <c r="H54" s="112">
        <v>10.78</v>
      </c>
      <c r="I54" s="112">
        <v>4.8</v>
      </c>
      <c r="J54" s="112">
        <v>0.9</v>
      </c>
      <c r="K54" s="112">
        <v>317.52</v>
      </c>
      <c r="L54" s="112">
        <v>29.58</v>
      </c>
      <c r="M54" s="112">
        <v>65.010000000000005</v>
      </c>
      <c r="N54" s="112">
        <v>479.6</v>
      </c>
      <c r="O54" s="112">
        <v>0</v>
      </c>
      <c r="P54" s="112">
        <v>0.41</v>
      </c>
      <c r="Q54" s="112">
        <v>4.6399999999999997</v>
      </c>
    </row>
    <row r="55" spans="1:17" customFormat="1">
      <c r="A55" s="80">
        <v>45550.489583333336</v>
      </c>
      <c r="B55" s="112">
        <v>9.25</v>
      </c>
      <c r="C55" s="112">
        <v>4.08</v>
      </c>
      <c r="D55" s="112">
        <v>14</v>
      </c>
      <c r="E55" s="112">
        <v>9</v>
      </c>
      <c r="F55" s="112">
        <v>6.31</v>
      </c>
      <c r="G55" s="112">
        <v>57.5</v>
      </c>
      <c r="H55" s="112">
        <v>16.920000000000002</v>
      </c>
      <c r="I55" s="112">
        <v>4.76</v>
      </c>
      <c r="J55" s="112">
        <v>0.83</v>
      </c>
      <c r="K55" s="112">
        <v>308.04000000000002</v>
      </c>
      <c r="L55" s="112">
        <v>30.01</v>
      </c>
      <c r="M55" s="112">
        <v>64.540000000000006</v>
      </c>
      <c r="N55" s="112">
        <v>473.3</v>
      </c>
      <c r="O55" s="112">
        <v>0</v>
      </c>
      <c r="P55" s="112">
        <v>0.4</v>
      </c>
      <c r="Q55" s="112">
        <v>4.6399999999999997</v>
      </c>
    </row>
    <row r="56" spans="1:17" customFormat="1">
      <c r="A56" s="80">
        <v>45550.5</v>
      </c>
      <c r="B56" s="112">
        <v>9.26</v>
      </c>
      <c r="C56" s="112">
        <v>4.09</v>
      </c>
      <c r="D56" s="112">
        <v>14.01</v>
      </c>
      <c r="E56" s="112">
        <v>8.98</v>
      </c>
      <c r="F56" s="112">
        <v>5.77</v>
      </c>
      <c r="G56" s="112">
        <v>57.5</v>
      </c>
      <c r="H56" s="112">
        <v>16.920000000000002</v>
      </c>
      <c r="I56" s="112">
        <v>4.6500000000000004</v>
      </c>
      <c r="J56" s="112">
        <v>0.71</v>
      </c>
      <c r="K56" s="112">
        <v>315.62</v>
      </c>
      <c r="L56" s="112">
        <v>30.05</v>
      </c>
      <c r="M56" s="112">
        <v>64.22</v>
      </c>
      <c r="N56" s="112">
        <v>365.2</v>
      </c>
      <c r="O56" s="112">
        <v>0</v>
      </c>
      <c r="P56" s="112">
        <v>0.41</v>
      </c>
      <c r="Q56" s="112">
        <v>4.6399999999999997</v>
      </c>
    </row>
    <row r="57" spans="1:17" customFormat="1">
      <c r="A57" s="80">
        <v>45550.510416666664</v>
      </c>
      <c r="B57" s="112">
        <v>9.27</v>
      </c>
      <c r="C57" s="112">
        <v>4.07</v>
      </c>
      <c r="D57" s="112">
        <v>14.01</v>
      </c>
      <c r="E57" s="112">
        <v>8.6199999999999992</v>
      </c>
      <c r="F57" s="112">
        <v>6.21</v>
      </c>
      <c r="G57" s="112">
        <v>57.5</v>
      </c>
      <c r="H57" s="112">
        <v>16.920000000000002</v>
      </c>
      <c r="I57" s="112">
        <v>4.6399999999999997</v>
      </c>
      <c r="J57" s="112">
        <v>0.83</v>
      </c>
      <c r="K57" s="112">
        <v>317.39999999999998</v>
      </c>
      <c r="L57" s="112">
        <v>30.09</v>
      </c>
      <c r="M57" s="112">
        <v>63.86</v>
      </c>
      <c r="N57" s="112">
        <v>346.4</v>
      </c>
      <c r="O57" s="112">
        <v>0</v>
      </c>
      <c r="P57" s="112">
        <v>0.41</v>
      </c>
      <c r="Q57" s="112">
        <v>4.63</v>
      </c>
    </row>
    <row r="58" spans="1:17" customFormat="1">
      <c r="A58" s="80">
        <v>45550.520833333336</v>
      </c>
      <c r="B58" s="112">
        <v>9.2799999999999994</v>
      </c>
      <c r="C58" s="112">
        <v>4.05</v>
      </c>
      <c r="D58" s="112">
        <v>14.01</v>
      </c>
      <c r="E58" s="112">
        <v>8.3800000000000008</v>
      </c>
      <c r="F58" s="112">
        <v>6.67</v>
      </c>
      <c r="G58" s="112">
        <v>57.66</v>
      </c>
      <c r="H58" s="112">
        <v>16.88</v>
      </c>
      <c r="I58" s="112">
        <v>4.6100000000000003</v>
      </c>
      <c r="J58" s="112">
        <v>0.72</v>
      </c>
      <c r="K58" s="112">
        <v>318.99</v>
      </c>
      <c r="L58" s="112">
        <v>30.09</v>
      </c>
      <c r="M58" s="112">
        <v>64.61</v>
      </c>
      <c r="N58" s="112">
        <v>324.8</v>
      </c>
      <c r="O58" s="112">
        <v>0</v>
      </c>
      <c r="P58" s="112">
        <v>0.41</v>
      </c>
      <c r="Q58" s="112">
        <v>4.6399999999999997</v>
      </c>
    </row>
    <row r="59" spans="1:17" customFormat="1">
      <c r="A59" s="80">
        <v>45550.53125</v>
      </c>
      <c r="B59" s="112">
        <v>9.27</v>
      </c>
      <c r="C59" s="112">
        <v>4.0599999999999996</v>
      </c>
      <c r="D59" s="112">
        <v>14.01</v>
      </c>
      <c r="E59" s="112">
        <v>8.1300000000000008</v>
      </c>
      <c r="F59" s="112">
        <v>6.82</v>
      </c>
      <c r="G59" s="112">
        <v>59.24</v>
      </c>
      <c r="H59" s="112">
        <v>16.64</v>
      </c>
      <c r="I59" s="112">
        <v>4.57</v>
      </c>
      <c r="J59" s="112">
        <v>0.41</v>
      </c>
      <c r="K59" s="112">
        <v>328.43</v>
      </c>
      <c r="L59" s="112">
        <v>30.03</v>
      </c>
      <c r="M59" s="112">
        <v>63.78</v>
      </c>
      <c r="N59" s="112">
        <v>283.2</v>
      </c>
      <c r="O59" s="112">
        <v>0</v>
      </c>
      <c r="P59" s="112">
        <v>0.4</v>
      </c>
      <c r="Q59" s="112">
        <v>4.63</v>
      </c>
    </row>
    <row r="60" spans="1:17" customFormat="1">
      <c r="A60" s="80">
        <v>45550.541666666664</v>
      </c>
      <c r="B60" s="112">
        <v>9.26</v>
      </c>
      <c r="C60" s="112">
        <v>4.07</v>
      </c>
      <c r="D60" s="112">
        <v>14</v>
      </c>
      <c r="E60" s="112">
        <v>9.3800000000000008</v>
      </c>
      <c r="F60" s="112">
        <v>6.23</v>
      </c>
      <c r="G60" s="112">
        <v>59.24</v>
      </c>
      <c r="H60" s="112">
        <v>16.64</v>
      </c>
      <c r="I60" s="112">
        <v>4.53</v>
      </c>
      <c r="J60" s="112">
        <v>0.74</v>
      </c>
      <c r="K60" s="112">
        <v>320.39999999999998</v>
      </c>
      <c r="L60" s="112">
        <v>30.05</v>
      </c>
      <c r="M60" s="112">
        <v>64.37</v>
      </c>
      <c r="N60" s="112">
        <v>268.5</v>
      </c>
      <c r="O60" s="112">
        <v>0</v>
      </c>
      <c r="P60" s="112">
        <v>0.41</v>
      </c>
      <c r="Q60" s="112">
        <v>4.6100000000000003</v>
      </c>
    </row>
    <row r="61" spans="1:17" customFormat="1">
      <c r="A61" s="80">
        <v>45550.552083333336</v>
      </c>
      <c r="B61" s="112">
        <v>9.27</v>
      </c>
      <c r="C61" s="112">
        <v>4.0599999999999996</v>
      </c>
      <c r="D61" s="112">
        <v>14</v>
      </c>
      <c r="E61" s="112">
        <v>8.86</v>
      </c>
      <c r="F61" s="112">
        <v>7.21</v>
      </c>
      <c r="G61" s="112">
        <v>59.24</v>
      </c>
      <c r="H61" s="112">
        <v>16.64</v>
      </c>
      <c r="I61" s="112">
        <v>4.53</v>
      </c>
      <c r="J61" s="112">
        <v>0.62</v>
      </c>
      <c r="K61" s="112">
        <v>317.12</v>
      </c>
      <c r="L61" s="112">
        <v>30.01</v>
      </c>
      <c r="M61" s="112">
        <v>64.739999999999995</v>
      </c>
      <c r="N61" s="112">
        <v>208.5</v>
      </c>
      <c r="O61" s="112">
        <v>0</v>
      </c>
      <c r="P61" s="112">
        <v>0.41</v>
      </c>
      <c r="Q61" s="112">
        <v>4.6399999999999997</v>
      </c>
    </row>
    <row r="62" spans="1:17" customFormat="1">
      <c r="A62" s="80">
        <v>45550.5625</v>
      </c>
      <c r="B62" s="112">
        <v>9.2799999999999994</v>
      </c>
      <c r="C62" s="112">
        <v>4.0599999999999996</v>
      </c>
      <c r="D62" s="112">
        <v>14.01</v>
      </c>
      <c r="E62" s="112">
        <v>8.4</v>
      </c>
      <c r="F62" s="112">
        <v>8.02</v>
      </c>
      <c r="G62" s="112">
        <v>59.22</v>
      </c>
      <c r="H62" s="112">
        <v>16.829999999999998</v>
      </c>
      <c r="I62" s="112">
        <v>4.55</v>
      </c>
      <c r="J62" s="112">
        <v>0.62</v>
      </c>
      <c r="K62" s="112">
        <v>303.06</v>
      </c>
      <c r="L62" s="112">
        <v>30.2</v>
      </c>
      <c r="M62" s="112">
        <v>64.349999999999994</v>
      </c>
      <c r="N62" s="112">
        <v>254.8</v>
      </c>
      <c r="O62" s="112">
        <v>0</v>
      </c>
      <c r="P62" s="112">
        <v>0.4</v>
      </c>
      <c r="Q62" s="112">
        <v>4.6500000000000004</v>
      </c>
    </row>
    <row r="63" spans="1:17" customFormat="1">
      <c r="A63" s="80">
        <v>45550.572916666664</v>
      </c>
      <c r="B63" s="112">
        <v>9.3000000000000007</v>
      </c>
      <c r="C63" s="112">
        <v>4.09</v>
      </c>
      <c r="D63" s="112">
        <v>14.05</v>
      </c>
      <c r="E63" s="112">
        <v>9.91</v>
      </c>
      <c r="F63" s="112">
        <v>7.92</v>
      </c>
      <c r="G63" s="112">
        <v>59</v>
      </c>
      <c r="H63" s="112">
        <v>18.25</v>
      </c>
      <c r="I63" s="112">
        <v>4.5</v>
      </c>
      <c r="J63" s="112">
        <v>0.56999999999999995</v>
      </c>
      <c r="K63" s="112">
        <v>327.69</v>
      </c>
      <c r="L63" s="112">
        <v>30.76</v>
      </c>
      <c r="M63" s="112">
        <v>61.64</v>
      </c>
      <c r="N63" s="112">
        <v>242.2</v>
      </c>
      <c r="O63" s="112">
        <v>0</v>
      </c>
      <c r="P63" s="112">
        <v>0.37</v>
      </c>
      <c r="Q63" s="112">
        <v>4.66</v>
      </c>
    </row>
    <row r="64" spans="1:17" customFormat="1">
      <c r="A64" s="80">
        <v>45550.583333333336</v>
      </c>
      <c r="B64" s="112">
        <v>9.3000000000000007</v>
      </c>
      <c r="C64" s="112">
        <v>4.0599999999999996</v>
      </c>
      <c r="D64" s="112">
        <v>14.03</v>
      </c>
      <c r="E64" s="112">
        <v>9.5299999999999994</v>
      </c>
      <c r="F64" s="112">
        <v>7.87</v>
      </c>
      <c r="G64" s="112">
        <v>59</v>
      </c>
      <c r="H64" s="112">
        <v>18.25</v>
      </c>
      <c r="I64" s="112">
        <v>4.26</v>
      </c>
      <c r="J64" s="112">
        <v>0.59</v>
      </c>
      <c r="K64" s="112">
        <v>331.22</v>
      </c>
      <c r="L64" s="112">
        <v>31.03</v>
      </c>
      <c r="M64" s="112">
        <v>60.93</v>
      </c>
      <c r="N64" s="112">
        <v>192.3</v>
      </c>
      <c r="O64" s="112">
        <v>0</v>
      </c>
      <c r="P64" s="112">
        <v>0.38</v>
      </c>
      <c r="Q64" s="112">
        <v>4.67</v>
      </c>
    </row>
    <row r="65" spans="1:17" customFormat="1">
      <c r="A65" s="80">
        <v>45550.59375</v>
      </c>
      <c r="B65" s="112">
        <v>9.26</v>
      </c>
      <c r="C65" s="112">
        <v>4.0999999999999996</v>
      </c>
      <c r="D65" s="112">
        <v>14.02</v>
      </c>
      <c r="E65" s="112">
        <v>9.48</v>
      </c>
      <c r="F65" s="112">
        <v>7.63</v>
      </c>
      <c r="G65" s="112">
        <v>59</v>
      </c>
      <c r="H65" s="112">
        <v>18.25</v>
      </c>
      <c r="I65" s="112">
        <v>4.21</v>
      </c>
      <c r="J65" s="112">
        <v>0.36</v>
      </c>
      <c r="K65" s="112">
        <v>355.6</v>
      </c>
      <c r="L65" s="112">
        <v>31.04</v>
      </c>
      <c r="M65" s="112">
        <v>60.23</v>
      </c>
      <c r="N65" s="112">
        <v>162.9</v>
      </c>
      <c r="O65" s="112">
        <v>0</v>
      </c>
      <c r="P65" s="112">
        <v>0.35</v>
      </c>
      <c r="Q65" s="112">
        <v>4.67</v>
      </c>
    </row>
    <row r="66" spans="1:17" customFormat="1">
      <c r="A66" s="80">
        <v>45550.604166666664</v>
      </c>
      <c r="B66" s="112">
        <v>9.1999999999999993</v>
      </c>
      <c r="C66" s="112">
        <v>4.16</v>
      </c>
      <c r="D66" s="112">
        <v>14</v>
      </c>
      <c r="E66" s="112">
        <v>9.18</v>
      </c>
      <c r="F66" s="112">
        <v>8.11</v>
      </c>
      <c r="G66" s="112">
        <v>58.33</v>
      </c>
      <c r="H66" s="112">
        <v>17.64</v>
      </c>
      <c r="I66" s="112">
        <v>4.17</v>
      </c>
      <c r="J66" s="112">
        <v>0.64</v>
      </c>
      <c r="K66" s="112">
        <v>305.73</v>
      </c>
      <c r="L66" s="112">
        <v>30.68</v>
      </c>
      <c r="M66" s="112">
        <v>61.41</v>
      </c>
      <c r="N66" s="112">
        <v>148.30000000000001</v>
      </c>
      <c r="O66" s="112">
        <v>0</v>
      </c>
      <c r="P66" s="112">
        <v>0.37</v>
      </c>
      <c r="Q66" s="112">
        <v>4.67</v>
      </c>
    </row>
    <row r="67" spans="1:17" customFormat="1">
      <c r="A67" s="80">
        <v>45550.614583333336</v>
      </c>
      <c r="B67" s="112">
        <v>9.16</v>
      </c>
      <c r="C67" s="112">
        <v>4.22</v>
      </c>
      <c r="D67" s="112">
        <v>14</v>
      </c>
      <c r="E67" s="112">
        <v>9.39</v>
      </c>
      <c r="F67" s="112">
        <v>7.05</v>
      </c>
      <c r="G67" s="112">
        <v>51.46</v>
      </c>
      <c r="H67" s="112">
        <v>13.12</v>
      </c>
      <c r="I67" s="112">
        <v>4.12</v>
      </c>
      <c r="J67" s="112">
        <v>0.57999999999999996</v>
      </c>
      <c r="K67" s="112">
        <v>299.52</v>
      </c>
      <c r="L67" s="112">
        <v>30.74</v>
      </c>
      <c r="M67" s="112">
        <v>61.89</v>
      </c>
      <c r="N67" s="112">
        <v>147.19999999999999</v>
      </c>
      <c r="O67" s="112">
        <v>0</v>
      </c>
      <c r="P67" s="112">
        <v>0.38</v>
      </c>
      <c r="Q67" s="112">
        <v>4.66</v>
      </c>
    </row>
    <row r="68" spans="1:17" customFormat="1">
      <c r="A68" s="80">
        <v>45550.625</v>
      </c>
      <c r="B68" s="112">
        <v>9.1199999999999992</v>
      </c>
      <c r="C68" s="112">
        <v>4.28</v>
      </c>
      <c r="D68" s="112">
        <v>14</v>
      </c>
      <c r="E68" s="112">
        <v>9.34</v>
      </c>
      <c r="F68" s="112">
        <v>7.54</v>
      </c>
      <c r="G68" s="112">
        <v>51.46</v>
      </c>
      <c r="H68" s="112">
        <v>13.12</v>
      </c>
      <c r="I68" s="112">
        <v>4</v>
      </c>
      <c r="J68" s="112">
        <v>0.75</v>
      </c>
      <c r="K68" s="112">
        <v>303.01</v>
      </c>
      <c r="L68" s="112">
        <v>30.53</v>
      </c>
      <c r="M68" s="112">
        <v>61.38</v>
      </c>
      <c r="N68" s="112">
        <v>135.9</v>
      </c>
      <c r="O68" s="112">
        <v>0</v>
      </c>
      <c r="P68" s="112">
        <v>0.39</v>
      </c>
      <c r="Q68" s="112">
        <v>4.66</v>
      </c>
    </row>
    <row r="69" spans="1:17" customFormat="1">
      <c r="A69" s="80">
        <v>45550.635416666664</v>
      </c>
      <c r="B69" s="112">
        <v>9.1300000000000008</v>
      </c>
      <c r="C69" s="112">
        <v>4.2699999999999996</v>
      </c>
      <c r="D69" s="112">
        <v>14</v>
      </c>
      <c r="E69" s="112">
        <v>8.9700000000000006</v>
      </c>
      <c r="F69" s="112">
        <v>7.78</v>
      </c>
      <c r="G69" s="112">
        <v>51.46</v>
      </c>
      <c r="H69" s="112">
        <v>13.12</v>
      </c>
      <c r="I69" s="112">
        <v>4.0599999999999996</v>
      </c>
      <c r="J69" s="112">
        <v>0.68</v>
      </c>
      <c r="K69" s="112">
        <v>308.93</v>
      </c>
      <c r="L69" s="112">
        <v>30.55</v>
      </c>
      <c r="M69" s="112">
        <v>59.5</v>
      </c>
      <c r="N69" s="112">
        <v>144.4</v>
      </c>
      <c r="O69" s="112">
        <v>0</v>
      </c>
      <c r="P69" s="112">
        <v>0.39</v>
      </c>
      <c r="Q69" s="112">
        <v>4.68</v>
      </c>
    </row>
    <row r="70" spans="1:17" customFormat="1">
      <c r="A70" s="80">
        <v>45550.645833333336</v>
      </c>
      <c r="B70" s="112">
        <v>9.1199999999999992</v>
      </c>
      <c r="C70" s="112">
        <v>4.29</v>
      </c>
      <c r="D70" s="112">
        <v>14</v>
      </c>
      <c r="E70" s="112">
        <v>9.17</v>
      </c>
      <c r="F70" s="112">
        <v>8.7799999999999994</v>
      </c>
      <c r="G70" s="112">
        <v>51.56</v>
      </c>
      <c r="H70" s="112">
        <v>13.03</v>
      </c>
      <c r="I70" s="112">
        <v>4.0199999999999996</v>
      </c>
      <c r="J70" s="112">
        <v>0.7</v>
      </c>
      <c r="K70" s="112">
        <v>308.7</v>
      </c>
      <c r="L70" s="112">
        <v>30.49</v>
      </c>
      <c r="M70" s="112">
        <v>59.07</v>
      </c>
      <c r="N70" s="112">
        <v>122</v>
      </c>
      <c r="O70" s="112">
        <v>0</v>
      </c>
      <c r="P70" s="112">
        <v>0.38</v>
      </c>
      <c r="Q70" s="112">
        <v>4.6500000000000004</v>
      </c>
    </row>
    <row r="71" spans="1:17" customFormat="1">
      <c r="A71" s="80">
        <v>45550.65625</v>
      </c>
      <c r="B71" s="112">
        <v>9.11</v>
      </c>
      <c r="C71" s="112">
        <v>4.3</v>
      </c>
      <c r="D71" s="112">
        <v>14</v>
      </c>
      <c r="E71" s="112">
        <v>9.02</v>
      </c>
      <c r="F71" s="112">
        <v>8.23</v>
      </c>
      <c r="G71" s="112">
        <v>52.61</v>
      </c>
      <c r="H71" s="112">
        <v>12.31</v>
      </c>
      <c r="I71" s="112">
        <v>3.99</v>
      </c>
      <c r="J71" s="112">
        <v>0.62</v>
      </c>
      <c r="K71" s="112">
        <v>310.12</v>
      </c>
      <c r="L71" s="112">
        <v>30.48</v>
      </c>
      <c r="M71" s="112">
        <v>59.99</v>
      </c>
      <c r="N71" s="112">
        <v>105.4</v>
      </c>
      <c r="O71" s="112">
        <v>0</v>
      </c>
      <c r="P71" s="112">
        <v>0.39</v>
      </c>
      <c r="Q71" s="112">
        <v>4.6500000000000004</v>
      </c>
    </row>
    <row r="72" spans="1:17" customFormat="1">
      <c r="A72" s="80">
        <v>45550.666666666664</v>
      </c>
      <c r="B72" s="112">
        <v>9.1199999999999992</v>
      </c>
      <c r="C72" s="112">
        <v>4.29</v>
      </c>
      <c r="D72" s="112">
        <v>14</v>
      </c>
      <c r="E72" s="112">
        <v>9.35</v>
      </c>
      <c r="F72" s="112">
        <v>7.78</v>
      </c>
      <c r="G72" s="112">
        <v>52.61</v>
      </c>
      <c r="H72" s="112">
        <v>12.31</v>
      </c>
      <c r="I72" s="112">
        <v>3.89</v>
      </c>
      <c r="J72" s="112">
        <v>0.77</v>
      </c>
      <c r="K72" s="112">
        <v>277.61</v>
      </c>
      <c r="L72" s="112">
        <v>30.44</v>
      </c>
      <c r="M72" s="112">
        <v>61.98</v>
      </c>
      <c r="N72" s="112">
        <v>104.9</v>
      </c>
      <c r="O72" s="112">
        <v>0</v>
      </c>
      <c r="P72" s="112">
        <v>0.39</v>
      </c>
      <c r="Q72" s="112">
        <v>4.6500000000000004</v>
      </c>
    </row>
    <row r="73" spans="1:17" customFormat="1">
      <c r="A73" s="80">
        <v>45550.677083333336</v>
      </c>
      <c r="B73" s="112">
        <v>9.11</v>
      </c>
      <c r="C73" s="112">
        <v>4.3</v>
      </c>
      <c r="D73" s="112">
        <v>14</v>
      </c>
      <c r="E73" s="112">
        <v>9.33</v>
      </c>
      <c r="F73" s="112">
        <v>7.73</v>
      </c>
      <c r="G73" s="112">
        <v>52.61</v>
      </c>
      <c r="H73" s="112">
        <v>12.31</v>
      </c>
      <c r="I73" s="112">
        <v>3.93</v>
      </c>
      <c r="J73" s="112">
        <v>0.62</v>
      </c>
      <c r="K73" s="112">
        <v>289.55</v>
      </c>
      <c r="L73" s="112">
        <v>30.34</v>
      </c>
      <c r="M73" s="112">
        <v>63.04</v>
      </c>
      <c r="N73" s="112">
        <v>73.5</v>
      </c>
      <c r="O73" s="112">
        <v>0</v>
      </c>
      <c r="P73" s="112">
        <v>0.39</v>
      </c>
      <c r="Q73" s="112">
        <v>4.66</v>
      </c>
    </row>
    <row r="74" spans="1:17" customFormat="1">
      <c r="A74" s="80">
        <v>45550.6875</v>
      </c>
      <c r="B74" s="112">
        <v>9.1199999999999992</v>
      </c>
      <c r="C74" s="112">
        <v>4.29</v>
      </c>
      <c r="D74" s="112">
        <v>14</v>
      </c>
      <c r="E74" s="112">
        <v>9.1</v>
      </c>
      <c r="F74" s="112">
        <v>8.69</v>
      </c>
      <c r="G74" s="112">
        <v>52.83</v>
      </c>
      <c r="H74" s="112">
        <v>12.11</v>
      </c>
      <c r="I74" s="112">
        <v>3.9</v>
      </c>
      <c r="J74" s="112">
        <v>0.72</v>
      </c>
      <c r="K74" s="112">
        <v>273.91000000000003</v>
      </c>
      <c r="L74" s="112">
        <v>29.97</v>
      </c>
      <c r="M74" s="112">
        <v>64.03</v>
      </c>
      <c r="N74" s="112">
        <v>55.7</v>
      </c>
      <c r="O74" s="112">
        <v>0</v>
      </c>
      <c r="P74" s="112">
        <v>0.39</v>
      </c>
      <c r="Q74" s="112">
        <v>4.6399999999999997</v>
      </c>
    </row>
    <row r="75" spans="1:17" customFormat="1">
      <c r="A75" s="80">
        <v>45550.697916666664</v>
      </c>
      <c r="B75" s="112">
        <v>9.1300000000000008</v>
      </c>
      <c r="C75" s="112">
        <v>4.2699999999999996</v>
      </c>
      <c r="D75" s="112">
        <v>14</v>
      </c>
      <c r="E75" s="112">
        <v>9.57</v>
      </c>
      <c r="F75" s="112">
        <v>7.66</v>
      </c>
      <c r="G75" s="112">
        <v>55.1</v>
      </c>
      <c r="H75" s="112">
        <v>10.66</v>
      </c>
      <c r="I75" s="112">
        <v>3.86</v>
      </c>
      <c r="J75" s="112">
        <v>0.77</v>
      </c>
      <c r="K75" s="112">
        <v>290.26</v>
      </c>
      <c r="L75" s="112">
        <v>29.84</v>
      </c>
      <c r="M75" s="112">
        <v>64.06</v>
      </c>
      <c r="N75" s="112">
        <v>42.5</v>
      </c>
      <c r="O75" s="112">
        <v>0</v>
      </c>
      <c r="P75" s="112">
        <v>0.39</v>
      </c>
      <c r="Q75" s="112">
        <v>4.6500000000000004</v>
      </c>
    </row>
    <row r="76" spans="1:17" customFormat="1">
      <c r="A76" s="80">
        <v>45550.708333333336</v>
      </c>
      <c r="B76" s="112">
        <v>9.14</v>
      </c>
      <c r="C76" s="112">
        <v>4.24</v>
      </c>
      <c r="D76" s="112">
        <v>14</v>
      </c>
      <c r="E76" s="112">
        <v>9.67</v>
      </c>
      <c r="F76" s="112">
        <v>7.13</v>
      </c>
      <c r="G76" s="112">
        <v>55.1</v>
      </c>
      <c r="H76" s="112">
        <v>10.66</v>
      </c>
      <c r="I76" s="112">
        <v>3.79</v>
      </c>
      <c r="J76" s="112">
        <v>0.87</v>
      </c>
      <c r="K76" s="112">
        <v>278.57</v>
      </c>
      <c r="L76" s="112">
        <v>29.54</v>
      </c>
      <c r="M76" s="112">
        <v>64.599999999999994</v>
      </c>
      <c r="N76" s="112">
        <v>32.1</v>
      </c>
      <c r="O76" s="112">
        <v>0</v>
      </c>
      <c r="P76" s="112">
        <v>0.39</v>
      </c>
      <c r="Q76" s="112">
        <v>4.6500000000000004</v>
      </c>
    </row>
    <row r="77" spans="1:17" customFormat="1">
      <c r="A77" s="80">
        <v>45550.71875</v>
      </c>
      <c r="B77" s="112">
        <v>9.14</v>
      </c>
      <c r="C77" s="112">
        <v>4.25</v>
      </c>
      <c r="D77" s="112">
        <v>14</v>
      </c>
      <c r="E77" s="112">
        <v>9.48</v>
      </c>
      <c r="F77" s="112">
        <v>6.52</v>
      </c>
      <c r="G77" s="112">
        <v>55.1</v>
      </c>
      <c r="H77" s="112">
        <v>10.66</v>
      </c>
      <c r="I77" s="112">
        <v>3.88</v>
      </c>
      <c r="J77" s="112">
        <v>0.78</v>
      </c>
      <c r="K77" s="112">
        <v>291.20999999999998</v>
      </c>
      <c r="L77" s="112">
        <v>29.4</v>
      </c>
      <c r="M77" s="112">
        <v>63.1</v>
      </c>
      <c r="N77" s="112">
        <v>22.8</v>
      </c>
      <c r="O77" s="112">
        <v>0</v>
      </c>
      <c r="P77" s="112">
        <v>0.4</v>
      </c>
      <c r="Q77" s="112">
        <v>4.6500000000000004</v>
      </c>
    </row>
    <row r="78" spans="1:17" customFormat="1">
      <c r="A78" s="80">
        <v>45550.729166666664</v>
      </c>
      <c r="B78" s="112">
        <v>9.14</v>
      </c>
      <c r="C78" s="112">
        <v>4.26</v>
      </c>
      <c r="D78" s="112">
        <v>14</v>
      </c>
      <c r="E78" s="112">
        <v>9.26</v>
      </c>
      <c r="F78" s="112">
        <v>7.22</v>
      </c>
      <c r="G78" s="112">
        <v>54.85</v>
      </c>
      <c r="H78" s="112">
        <v>10.92</v>
      </c>
      <c r="I78" s="112">
        <v>3.88</v>
      </c>
      <c r="J78" s="112">
        <v>0.73</v>
      </c>
      <c r="K78" s="112">
        <v>278.24</v>
      </c>
      <c r="L78" s="112">
        <v>29.16</v>
      </c>
      <c r="M78" s="112">
        <v>64.709999999999994</v>
      </c>
      <c r="N78" s="112">
        <v>15</v>
      </c>
      <c r="O78" s="112">
        <v>0</v>
      </c>
      <c r="P78" s="112">
        <v>0.4</v>
      </c>
      <c r="Q78" s="112">
        <v>4.6399999999999997</v>
      </c>
    </row>
    <row r="79" spans="1:17" customFormat="1">
      <c r="A79" s="80">
        <v>45550.739583333336</v>
      </c>
      <c r="B79" s="112">
        <v>9.1300000000000008</v>
      </c>
      <c r="C79" s="112">
        <v>4.26</v>
      </c>
      <c r="D79" s="112">
        <v>14</v>
      </c>
      <c r="E79" s="112">
        <v>9.83</v>
      </c>
      <c r="F79" s="112">
        <v>7.49</v>
      </c>
      <c r="G79" s="112">
        <v>52.62</v>
      </c>
      <c r="H79" s="112">
        <v>12.83</v>
      </c>
      <c r="I79" s="112">
        <v>3.95</v>
      </c>
      <c r="J79" s="112">
        <v>0.63</v>
      </c>
      <c r="K79" s="112">
        <v>278.93</v>
      </c>
      <c r="L79" s="112">
        <v>28.96</v>
      </c>
      <c r="M79" s="112">
        <v>65.900000000000006</v>
      </c>
      <c r="N79" s="112">
        <v>7.7</v>
      </c>
      <c r="O79" s="112">
        <v>0</v>
      </c>
      <c r="P79" s="112">
        <v>0.4</v>
      </c>
      <c r="Q79" s="112">
        <v>4.63</v>
      </c>
    </row>
    <row r="80" spans="1:17" customFormat="1">
      <c r="A80" s="80">
        <v>45550.75</v>
      </c>
      <c r="B80" s="112">
        <v>9.14</v>
      </c>
      <c r="C80" s="112">
        <v>4.25</v>
      </c>
      <c r="D80" s="112">
        <v>14</v>
      </c>
      <c r="E80" s="112">
        <v>10.02</v>
      </c>
      <c r="F80" s="112">
        <v>6.48</v>
      </c>
      <c r="G80" s="112">
        <v>52.62</v>
      </c>
      <c r="H80" s="112">
        <v>12.83</v>
      </c>
      <c r="I80" s="112">
        <v>3.95</v>
      </c>
      <c r="J80" s="112">
        <v>0.72</v>
      </c>
      <c r="K80" s="112">
        <v>271.54000000000002</v>
      </c>
      <c r="L80" s="112">
        <v>28.81</v>
      </c>
      <c r="M80" s="112">
        <v>66.23</v>
      </c>
      <c r="N80" s="112">
        <v>3.6</v>
      </c>
      <c r="O80" s="112">
        <v>0</v>
      </c>
      <c r="P80" s="112">
        <v>0.41</v>
      </c>
      <c r="Q80" s="112">
        <v>4.6399999999999997</v>
      </c>
    </row>
    <row r="81" spans="1:17" customFormat="1">
      <c r="A81" s="80">
        <v>45550.760416666664</v>
      </c>
      <c r="B81" s="112">
        <v>9.1300000000000008</v>
      </c>
      <c r="C81" s="112">
        <v>4.2699999999999996</v>
      </c>
      <c r="D81" s="112">
        <v>14</v>
      </c>
      <c r="E81" s="112">
        <v>8.15</v>
      </c>
      <c r="F81" s="112">
        <v>5.27</v>
      </c>
      <c r="G81" s="112">
        <v>52.62</v>
      </c>
      <c r="H81" s="112">
        <v>12.83</v>
      </c>
      <c r="I81" s="112">
        <v>4</v>
      </c>
      <c r="J81" s="112">
        <v>0.68</v>
      </c>
      <c r="K81" s="112">
        <v>278.17</v>
      </c>
      <c r="L81" s="112">
        <v>28.59</v>
      </c>
      <c r="M81" s="112">
        <v>67.62</v>
      </c>
      <c r="N81" s="112">
        <v>2.5</v>
      </c>
      <c r="O81" s="112">
        <v>0</v>
      </c>
      <c r="P81" s="112">
        <v>0.42</v>
      </c>
      <c r="Q81" s="112">
        <v>4.6399999999999997</v>
      </c>
    </row>
    <row r="82" spans="1:17" customFormat="1">
      <c r="A82" s="80">
        <v>45550.770833333336</v>
      </c>
      <c r="B82" s="112">
        <v>9.18</v>
      </c>
      <c r="C82" s="112">
        <v>4.1900000000000004</v>
      </c>
      <c r="D82" s="112">
        <v>14</v>
      </c>
      <c r="E82" s="112">
        <v>9.5399999999999991</v>
      </c>
      <c r="F82" s="112">
        <v>6</v>
      </c>
      <c r="G82" s="112">
        <v>52.17</v>
      </c>
      <c r="H82" s="112">
        <v>12.81</v>
      </c>
      <c r="I82" s="112">
        <v>4.09</v>
      </c>
      <c r="J82" s="112">
        <v>0.68</v>
      </c>
      <c r="K82" s="112">
        <v>278.98</v>
      </c>
      <c r="L82" s="112">
        <v>28.53</v>
      </c>
      <c r="M82" s="112">
        <v>67.61</v>
      </c>
      <c r="N82" s="112">
        <v>2.2000000000000002</v>
      </c>
      <c r="O82" s="112">
        <v>0</v>
      </c>
      <c r="P82" s="112">
        <v>0.42</v>
      </c>
      <c r="Q82" s="112">
        <v>4.6500000000000004</v>
      </c>
    </row>
    <row r="83" spans="1:17" customFormat="1">
      <c r="A83" s="80">
        <v>45550.78125</v>
      </c>
      <c r="B83" s="112">
        <v>9.19</v>
      </c>
      <c r="C83" s="112">
        <v>4.18</v>
      </c>
      <c r="D83" s="112">
        <v>14</v>
      </c>
      <c r="E83" s="112">
        <v>9.3000000000000007</v>
      </c>
      <c r="F83" s="112">
        <v>6.33</v>
      </c>
      <c r="G83" s="112">
        <v>48.14</v>
      </c>
      <c r="H83" s="112">
        <v>12.67</v>
      </c>
      <c r="I83" s="112">
        <v>4.2699999999999996</v>
      </c>
      <c r="J83" s="112">
        <v>0.86</v>
      </c>
      <c r="K83" s="112">
        <v>282.26</v>
      </c>
      <c r="L83" s="112">
        <v>28.61</v>
      </c>
      <c r="M83" s="112">
        <v>66.959999999999994</v>
      </c>
      <c r="N83" s="112">
        <v>2.1</v>
      </c>
      <c r="O83" s="112">
        <v>0</v>
      </c>
      <c r="P83" s="112">
        <v>0.42</v>
      </c>
      <c r="Q83" s="112">
        <v>4.6399999999999997</v>
      </c>
    </row>
    <row r="84" spans="1:17" customFormat="1">
      <c r="A84" s="80">
        <v>45550.791666666664</v>
      </c>
      <c r="B84" s="112">
        <v>9.17</v>
      </c>
      <c r="C84" s="112">
        <v>4.21</v>
      </c>
      <c r="D84" s="112">
        <v>14</v>
      </c>
      <c r="E84" s="112">
        <v>8.91</v>
      </c>
      <c r="F84" s="112">
        <v>6.33</v>
      </c>
      <c r="G84" s="112">
        <v>48.14</v>
      </c>
      <c r="H84" s="112">
        <v>12.67</v>
      </c>
      <c r="I84" s="112">
        <v>4.3</v>
      </c>
      <c r="J84" s="112">
        <v>0.82</v>
      </c>
      <c r="K84" s="112">
        <v>289.97000000000003</v>
      </c>
      <c r="L84" s="112">
        <v>28.5</v>
      </c>
      <c r="M84" s="112">
        <v>68.02</v>
      </c>
      <c r="N84" s="112">
        <v>2.2000000000000002</v>
      </c>
      <c r="O84" s="112">
        <v>0</v>
      </c>
      <c r="P84" s="112">
        <v>0.42</v>
      </c>
      <c r="Q84" s="112">
        <v>4.6399999999999997</v>
      </c>
    </row>
    <row r="85" spans="1:17" customFormat="1">
      <c r="A85" s="80">
        <v>45550.802083333336</v>
      </c>
      <c r="B85" s="112">
        <v>9.16</v>
      </c>
      <c r="C85" s="112">
        <v>4.2300000000000004</v>
      </c>
      <c r="D85" s="112">
        <v>14</v>
      </c>
      <c r="E85" s="112">
        <v>8</v>
      </c>
      <c r="F85" s="112">
        <v>6.05</v>
      </c>
      <c r="G85" s="112">
        <v>48.14</v>
      </c>
      <c r="H85" s="112">
        <v>12.67</v>
      </c>
      <c r="I85" s="112">
        <v>4.4000000000000004</v>
      </c>
      <c r="J85" s="112">
        <v>0.76</v>
      </c>
      <c r="K85" s="112">
        <v>287.83</v>
      </c>
      <c r="L85" s="112">
        <v>28.49</v>
      </c>
      <c r="M85" s="112">
        <v>68.8</v>
      </c>
      <c r="N85" s="112">
        <v>2.2999999999999998</v>
      </c>
      <c r="O85" s="112">
        <v>0</v>
      </c>
      <c r="P85" s="112">
        <v>0.44</v>
      </c>
      <c r="Q85" s="112">
        <v>4.6500000000000004</v>
      </c>
    </row>
    <row r="86" spans="1:17" customFormat="1">
      <c r="A86" s="80">
        <v>45550.8125</v>
      </c>
      <c r="B86" s="112">
        <v>9.1300000000000008</v>
      </c>
      <c r="C86" s="112">
        <v>4.26</v>
      </c>
      <c r="D86" s="112">
        <v>14</v>
      </c>
      <c r="E86" s="112">
        <v>7.98</v>
      </c>
      <c r="F86" s="112">
        <v>6.7</v>
      </c>
      <c r="G86" s="112">
        <v>48.08</v>
      </c>
      <c r="H86" s="112">
        <v>12.64</v>
      </c>
      <c r="I86" s="112">
        <v>4.53</v>
      </c>
      <c r="J86" s="112">
        <v>0.81</v>
      </c>
      <c r="K86" s="112">
        <v>287.17</v>
      </c>
      <c r="L86" s="112">
        <v>28.42</v>
      </c>
      <c r="M86" s="112">
        <v>69.349999999999994</v>
      </c>
      <c r="N86" s="112">
        <v>2.2999999999999998</v>
      </c>
      <c r="O86" s="112">
        <v>0</v>
      </c>
      <c r="P86" s="112">
        <v>0.43</v>
      </c>
      <c r="Q86" s="112">
        <v>4.6399999999999997</v>
      </c>
    </row>
    <row r="87" spans="1:17" customFormat="1">
      <c r="A87" s="80">
        <v>45550.822916666664</v>
      </c>
      <c r="B87" s="112">
        <v>9.15</v>
      </c>
      <c r="C87" s="112">
        <v>4.24</v>
      </c>
      <c r="D87" s="112">
        <v>14</v>
      </c>
      <c r="E87" s="112">
        <v>7.89</v>
      </c>
      <c r="F87" s="112">
        <v>6.9</v>
      </c>
      <c r="G87" s="112">
        <v>47.62</v>
      </c>
      <c r="H87" s="112">
        <v>12.49</v>
      </c>
      <c r="I87" s="112">
        <v>4.75</v>
      </c>
      <c r="J87" s="112">
        <v>1.01</v>
      </c>
      <c r="K87" s="112">
        <v>293.11</v>
      </c>
      <c r="L87" s="112">
        <v>28.45</v>
      </c>
      <c r="M87" s="112">
        <v>69.5</v>
      </c>
      <c r="N87" s="112">
        <v>2.2000000000000002</v>
      </c>
      <c r="O87" s="112">
        <v>0</v>
      </c>
      <c r="P87" s="112">
        <v>0.43</v>
      </c>
      <c r="Q87" s="112">
        <v>4.66</v>
      </c>
    </row>
    <row r="88" spans="1:17" customFormat="1">
      <c r="A88" s="80">
        <v>45550.833333333336</v>
      </c>
      <c r="B88" s="112">
        <v>9.15</v>
      </c>
      <c r="C88" s="112">
        <v>4.24</v>
      </c>
      <c r="D88" s="112">
        <v>14</v>
      </c>
      <c r="E88" s="112">
        <v>7.63</v>
      </c>
      <c r="F88" s="112">
        <v>6.43</v>
      </c>
      <c r="G88" s="112">
        <v>47.62</v>
      </c>
      <c r="H88" s="112">
        <v>12.49</v>
      </c>
      <c r="I88" s="112">
        <v>4.9400000000000004</v>
      </c>
      <c r="J88" s="112">
        <v>0.92</v>
      </c>
      <c r="K88" s="112">
        <v>287.57</v>
      </c>
      <c r="L88" s="112">
        <v>28.4</v>
      </c>
      <c r="M88" s="112">
        <v>70.31</v>
      </c>
      <c r="N88" s="112">
        <v>2.2999999999999998</v>
      </c>
      <c r="O88" s="112">
        <v>0</v>
      </c>
      <c r="P88" s="112">
        <v>0.44</v>
      </c>
      <c r="Q88" s="112">
        <v>4.6500000000000004</v>
      </c>
    </row>
    <row r="89" spans="1:17" customFormat="1">
      <c r="A89" s="80">
        <v>45550.84375</v>
      </c>
      <c r="B89" s="112">
        <v>9.17</v>
      </c>
      <c r="C89" s="112">
        <v>4.21</v>
      </c>
      <c r="D89" s="112">
        <v>14</v>
      </c>
      <c r="E89" s="112">
        <v>7.87</v>
      </c>
      <c r="F89" s="112">
        <v>6.29</v>
      </c>
      <c r="G89" s="112">
        <v>47.62</v>
      </c>
      <c r="H89" s="112">
        <v>12.49</v>
      </c>
      <c r="I89" s="112">
        <v>4.97</v>
      </c>
      <c r="J89" s="112">
        <v>0.8</v>
      </c>
      <c r="K89" s="112">
        <v>290.2</v>
      </c>
      <c r="L89" s="112">
        <v>28.25</v>
      </c>
      <c r="M89" s="112">
        <v>71.59</v>
      </c>
      <c r="N89" s="112">
        <v>2.4</v>
      </c>
      <c r="O89" s="112">
        <v>0</v>
      </c>
      <c r="P89" s="112">
        <v>0.43</v>
      </c>
      <c r="Q89" s="112">
        <v>4.6399999999999997</v>
      </c>
    </row>
    <row r="90" spans="1:17" customFormat="1">
      <c r="A90" s="80">
        <v>45550.854166666664</v>
      </c>
      <c r="B90" s="112">
        <v>9.17</v>
      </c>
      <c r="C90" s="112">
        <v>4.21</v>
      </c>
      <c r="D90" s="112">
        <v>14</v>
      </c>
      <c r="E90" s="112">
        <v>7.52</v>
      </c>
      <c r="F90" s="112">
        <v>6.37</v>
      </c>
      <c r="G90" s="112">
        <v>47</v>
      </c>
      <c r="H90" s="112">
        <v>12.04</v>
      </c>
      <c r="I90" s="112">
        <v>5.09</v>
      </c>
      <c r="J90" s="112">
        <v>0.78</v>
      </c>
      <c r="K90" s="112">
        <v>283.95999999999998</v>
      </c>
      <c r="L90" s="112">
        <v>28.08</v>
      </c>
      <c r="M90" s="112">
        <v>73.03</v>
      </c>
      <c r="N90" s="112">
        <v>2.4</v>
      </c>
      <c r="O90" s="112">
        <v>0</v>
      </c>
      <c r="P90" s="112">
        <v>0.44</v>
      </c>
      <c r="Q90" s="112">
        <v>4.6500000000000004</v>
      </c>
    </row>
    <row r="91" spans="1:17" customFormat="1">
      <c r="A91" s="80">
        <v>45550.864583333336</v>
      </c>
      <c r="B91" s="112">
        <v>9.18</v>
      </c>
      <c r="C91" s="112">
        <v>4.2</v>
      </c>
      <c r="D91" s="112">
        <v>14</v>
      </c>
      <c r="E91" s="112">
        <v>8.18</v>
      </c>
      <c r="F91" s="112">
        <v>6.5</v>
      </c>
      <c r="G91" s="112">
        <v>40.65</v>
      </c>
      <c r="H91" s="112">
        <v>8.77</v>
      </c>
      <c r="I91" s="112">
        <v>5.33</v>
      </c>
      <c r="J91" s="112">
        <v>0.83</v>
      </c>
      <c r="K91" s="112">
        <v>287.86</v>
      </c>
      <c r="L91" s="112">
        <v>28.06</v>
      </c>
      <c r="M91" s="112">
        <v>72.66</v>
      </c>
      <c r="N91" s="112">
        <v>2.2000000000000002</v>
      </c>
      <c r="O91" s="112">
        <v>0</v>
      </c>
      <c r="P91" s="112">
        <v>0.44</v>
      </c>
      <c r="Q91" s="112">
        <v>4.66</v>
      </c>
    </row>
    <row r="92" spans="1:17" customFormat="1">
      <c r="A92" s="80">
        <v>45550.875</v>
      </c>
      <c r="B92" s="112">
        <v>9.18</v>
      </c>
      <c r="C92" s="112">
        <v>4.1900000000000004</v>
      </c>
      <c r="D92" s="112">
        <v>14</v>
      </c>
      <c r="E92" s="112">
        <v>8.41</v>
      </c>
      <c r="F92" s="112">
        <v>6.2</v>
      </c>
      <c r="G92" s="112">
        <v>40.65</v>
      </c>
      <c r="H92" s="112">
        <v>8.77</v>
      </c>
      <c r="I92" s="112">
        <v>5.37</v>
      </c>
      <c r="J92" s="112">
        <v>0.87</v>
      </c>
      <c r="K92" s="112">
        <v>279.42</v>
      </c>
      <c r="L92" s="112">
        <v>27.92</v>
      </c>
      <c r="M92" s="112">
        <v>73.2</v>
      </c>
      <c r="N92" s="112">
        <v>2.4</v>
      </c>
      <c r="O92" s="112">
        <v>0</v>
      </c>
      <c r="P92" s="112">
        <v>0.44</v>
      </c>
      <c r="Q92" s="112">
        <v>4.6500000000000004</v>
      </c>
    </row>
    <row r="93" spans="1:17" customFormat="1">
      <c r="A93" s="80">
        <v>45550.885416666664</v>
      </c>
      <c r="B93" s="112">
        <v>9.18</v>
      </c>
      <c r="C93" s="112">
        <v>4.18</v>
      </c>
      <c r="D93" s="112">
        <v>14</v>
      </c>
      <c r="E93" s="112">
        <v>8.26</v>
      </c>
      <c r="F93" s="112">
        <v>6.26</v>
      </c>
      <c r="G93" s="112">
        <v>40.65</v>
      </c>
      <c r="H93" s="112">
        <v>8.77</v>
      </c>
      <c r="I93" s="112">
        <v>5.39</v>
      </c>
      <c r="J93" s="112">
        <v>0.82</v>
      </c>
      <c r="K93" s="112">
        <v>283.33999999999997</v>
      </c>
      <c r="L93" s="112">
        <v>27.9</v>
      </c>
      <c r="M93" s="112">
        <v>72.86</v>
      </c>
      <c r="N93" s="112">
        <v>2.2999999999999998</v>
      </c>
      <c r="O93" s="112">
        <v>0</v>
      </c>
      <c r="P93" s="112">
        <v>0.44</v>
      </c>
      <c r="Q93" s="112">
        <v>4.6399999999999997</v>
      </c>
    </row>
    <row r="94" spans="1:17" customFormat="1">
      <c r="A94" s="80">
        <v>45550.895833333336</v>
      </c>
      <c r="B94" s="112">
        <v>9.1999999999999993</v>
      </c>
      <c r="C94" s="112">
        <v>4.16</v>
      </c>
      <c r="D94" s="112">
        <v>14</v>
      </c>
      <c r="E94" s="112">
        <v>8.0500000000000007</v>
      </c>
      <c r="F94" s="112">
        <v>6.04</v>
      </c>
      <c r="G94" s="112">
        <v>41.22</v>
      </c>
      <c r="H94" s="112">
        <v>8.89</v>
      </c>
      <c r="I94" s="112">
        <v>5.49</v>
      </c>
      <c r="J94" s="112">
        <v>0.88</v>
      </c>
      <c r="K94" s="112">
        <v>289.07</v>
      </c>
      <c r="L94" s="112">
        <v>27.87</v>
      </c>
      <c r="M94" s="112">
        <v>72.25</v>
      </c>
      <c r="N94" s="112">
        <v>2.2999999999999998</v>
      </c>
      <c r="O94" s="112">
        <v>0</v>
      </c>
      <c r="P94" s="112">
        <v>0.44</v>
      </c>
      <c r="Q94" s="112">
        <v>4.6500000000000004</v>
      </c>
    </row>
    <row r="95" spans="1:17" customFormat="1">
      <c r="A95" s="80">
        <v>45550.90625</v>
      </c>
      <c r="B95" s="112">
        <v>9.2200000000000006</v>
      </c>
      <c r="C95" s="112">
        <v>4.13</v>
      </c>
      <c r="D95" s="112">
        <v>14</v>
      </c>
      <c r="E95" s="112">
        <v>8.6999999999999993</v>
      </c>
      <c r="F95" s="112">
        <v>6.18</v>
      </c>
      <c r="G95" s="112">
        <v>46.33</v>
      </c>
      <c r="H95" s="112">
        <v>9.77</v>
      </c>
      <c r="I95" s="112">
        <v>5.41</v>
      </c>
      <c r="J95" s="112">
        <v>0.83</v>
      </c>
      <c r="K95" s="112">
        <v>284.36</v>
      </c>
      <c r="L95" s="112">
        <v>27.72</v>
      </c>
      <c r="M95" s="112">
        <v>72.83</v>
      </c>
      <c r="N95" s="112">
        <v>2.4</v>
      </c>
      <c r="O95" s="112">
        <v>0</v>
      </c>
      <c r="P95" s="112">
        <v>0.43</v>
      </c>
      <c r="Q95" s="112">
        <v>4.6500000000000004</v>
      </c>
    </row>
    <row r="96" spans="1:17" customFormat="1">
      <c r="A96" s="80">
        <v>45550.916666666664</v>
      </c>
      <c r="B96" s="112">
        <v>9.23</v>
      </c>
      <c r="C96" s="112">
        <v>4.1100000000000003</v>
      </c>
      <c r="D96" s="112">
        <v>14</v>
      </c>
      <c r="E96" s="112">
        <v>8.39</v>
      </c>
      <c r="F96" s="112">
        <v>5.75</v>
      </c>
      <c r="G96" s="112">
        <v>46.33</v>
      </c>
      <c r="H96" s="112">
        <v>9.77</v>
      </c>
      <c r="I96" s="112">
        <v>5.35</v>
      </c>
      <c r="J96" s="112">
        <v>0.79</v>
      </c>
      <c r="K96" s="112">
        <v>291.14999999999998</v>
      </c>
      <c r="L96" s="112">
        <v>27.64</v>
      </c>
      <c r="M96" s="112">
        <v>72.83</v>
      </c>
      <c r="N96" s="112">
        <v>2.2999999999999998</v>
      </c>
      <c r="O96" s="112">
        <v>0</v>
      </c>
      <c r="P96" s="112">
        <v>0.44</v>
      </c>
      <c r="Q96" s="112">
        <v>4.6500000000000004</v>
      </c>
    </row>
    <row r="97" spans="1:22" customFormat="1">
      <c r="A97" s="80">
        <v>45550.927083333336</v>
      </c>
      <c r="B97" s="112">
        <v>9.23</v>
      </c>
      <c r="C97" s="112">
        <v>4.12</v>
      </c>
      <c r="D97" s="112">
        <v>14</v>
      </c>
      <c r="E97" s="112">
        <v>8.35</v>
      </c>
      <c r="F97" s="112">
        <v>5.99</v>
      </c>
      <c r="G97" s="112">
        <v>46.33</v>
      </c>
      <c r="H97" s="112">
        <v>9.77</v>
      </c>
      <c r="I97" s="112">
        <v>5.3</v>
      </c>
      <c r="J97" s="112">
        <v>0.78</v>
      </c>
      <c r="K97" s="112">
        <v>284.69</v>
      </c>
      <c r="L97" s="112">
        <v>27.57</v>
      </c>
      <c r="M97" s="112">
        <v>72.87</v>
      </c>
      <c r="N97" s="112">
        <v>2.4</v>
      </c>
      <c r="O97" s="112">
        <v>0</v>
      </c>
      <c r="P97" s="112">
        <v>0.44</v>
      </c>
      <c r="Q97" s="112">
        <v>4.6500000000000004</v>
      </c>
    </row>
    <row r="98" spans="1:22" customFormat="1">
      <c r="A98" s="80">
        <v>45550.9375</v>
      </c>
      <c r="B98" s="112">
        <v>9.24</v>
      </c>
      <c r="C98" s="112">
        <v>4.0999999999999996</v>
      </c>
      <c r="D98" s="112">
        <v>14</v>
      </c>
      <c r="E98" s="112">
        <v>7.73</v>
      </c>
      <c r="F98" s="112">
        <v>6.28</v>
      </c>
      <c r="G98" s="112">
        <v>46.16</v>
      </c>
      <c r="H98" s="112">
        <v>9.9700000000000006</v>
      </c>
      <c r="I98" s="112">
        <v>5.3</v>
      </c>
      <c r="J98" s="112">
        <v>0.76</v>
      </c>
      <c r="K98" s="112">
        <v>286.17</v>
      </c>
      <c r="L98" s="112">
        <v>27.46</v>
      </c>
      <c r="M98" s="112">
        <v>72.58</v>
      </c>
      <c r="N98" s="112">
        <v>2.2999999999999998</v>
      </c>
      <c r="O98" s="112">
        <v>0</v>
      </c>
      <c r="P98" s="112">
        <v>0.44</v>
      </c>
      <c r="Q98" s="112">
        <v>4.6500000000000004</v>
      </c>
    </row>
    <row r="99" spans="1:22" customFormat="1">
      <c r="A99" s="80">
        <v>45550.947916666664</v>
      </c>
      <c r="B99" s="112">
        <v>9.24</v>
      </c>
      <c r="C99" s="112">
        <v>4.0999999999999996</v>
      </c>
      <c r="D99" s="112">
        <v>14</v>
      </c>
      <c r="E99" s="112">
        <v>7.79</v>
      </c>
      <c r="F99" s="112">
        <v>6.94</v>
      </c>
      <c r="G99" s="112">
        <v>44.36</v>
      </c>
      <c r="H99" s="112">
        <v>11.39</v>
      </c>
      <c r="I99" s="112">
        <v>5.3</v>
      </c>
      <c r="J99" s="112">
        <v>0.67</v>
      </c>
      <c r="K99" s="112">
        <v>284.35000000000002</v>
      </c>
      <c r="L99" s="112">
        <v>27.38</v>
      </c>
      <c r="M99" s="112">
        <v>72.239999999999995</v>
      </c>
      <c r="N99" s="112">
        <v>2.4</v>
      </c>
      <c r="O99" s="112">
        <v>0</v>
      </c>
      <c r="P99" s="112">
        <v>0.43</v>
      </c>
      <c r="Q99" s="112">
        <v>4.6399999999999997</v>
      </c>
    </row>
    <row r="100" spans="1:22" customFormat="1">
      <c r="A100" s="80">
        <v>45550.958333333336</v>
      </c>
      <c r="B100" s="112">
        <v>9.24</v>
      </c>
      <c r="C100" s="112">
        <v>4.0999999999999996</v>
      </c>
      <c r="D100" s="112">
        <v>14</v>
      </c>
      <c r="E100" s="112">
        <v>7.72</v>
      </c>
      <c r="F100" s="112">
        <v>7.5</v>
      </c>
      <c r="G100" s="112">
        <v>44.36</v>
      </c>
      <c r="H100" s="112">
        <v>11.39</v>
      </c>
      <c r="I100" s="112">
        <v>5.32</v>
      </c>
      <c r="J100" s="112">
        <v>0.64</v>
      </c>
      <c r="K100" s="112">
        <v>285.97000000000003</v>
      </c>
      <c r="L100" s="112">
        <v>27.28</v>
      </c>
      <c r="M100" s="112">
        <v>72.900000000000006</v>
      </c>
      <c r="N100" s="112">
        <v>2.2999999999999998</v>
      </c>
      <c r="O100" s="112">
        <v>0</v>
      </c>
      <c r="P100" s="112">
        <v>0.44</v>
      </c>
      <c r="Q100" s="112">
        <v>4.6500000000000004</v>
      </c>
    </row>
    <row r="101" spans="1:22" customFormat="1">
      <c r="A101" s="80">
        <v>45550.96875</v>
      </c>
      <c r="B101" s="112">
        <v>9.24</v>
      </c>
      <c r="C101" s="112">
        <v>4.0999999999999996</v>
      </c>
      <c r="D101" s="112">
        <v>14</v>
      </c>
      <c r="E101" s="112">
        <v>7.31</v>
      </c>
      <c r="F101" s="112">
        <v>7.47</v>
      </c>
      <c r="G101" s="112">
        <v>44.36</v>
      </c>
      <c r="H101" s="112">
        <v>11.39</v>
      </c>
      <c r="I101" s="112">
        <v>5.36</v>
      </c>
      <c r="J101" s="112">
        <v>0.55000000000000004</v>
      </c>
      <c r="K101" s="112">
        <v>285.13</v>
      </c>
      <c r="L101" s="112">
        <v>27.19</v>
      </c>
      <c r="M101" s="112">
        <v>73.38</v>
      </c>
      <c r="N101" s="112">
        <v>2.2000000000000002</v>
      </c>
      <c r="O101" s="112">
        <v>0</v>
      </c>
      <c r="P101" s="112">
        <v>0.44</v>
      </c>
      <c r="Q101" s="112">
        <v>4.6399999999999997</v>
      </c>
    </row>
    <row r="102" spans="1:22" customFormat="1">
      <c r="A102" s="80">
        <v>45550.979166666664</v>
      </c>
      <c r="B102" s="112">
        <v>9.23</v>
      </c>
      <c r="C102" s="112">
        <v>4.1100000000000003</v>
      </c>
      <c r="D102" s="112">
        <v>14</v>
      </c>
      <c r="E102" s="112">
        <v>7.95</v>
      </c>
      <c r="F102" s="112">
        <v>6.88</v>
      </c>
      <c r="G102" s="112">
        <v>44.69</v>
      </c>
      <c r="H102" s="112">
        <v>10.98</v>
      </c>
      <c r="I102" s="112">
        <v>5.34</v>
      </c>
      <c r="J102" s="112">
        <v>0.72</v>
      </c>
      <c r="K102" s="112">
        <v>276.36</v>
      </c>
      <c r="L102" s="112">
        <v>27.14</v>
      </c>
      <c r="M102" s="112">
        <v>73.37</v>
      </c>
      <c r="N102" s="112">
        <v>2.2999999999999998</v>
      </c>
      <c r="O102" s="112">
        <v>0</v>
      </c>
      <c r="P102" s="112">
        <v>0.43</v>
      </c>
      <c r="Q102" s="112">
        <v>4.6500000000000004</v>
      </c>
    </row>
    <row r="103" spans="1:22" customFormat="1">
      <c r="A103" s="80">
        <v>45550.989583333336</v>
      </c>
      <c r="B103" s="112">
        <v>9.1999999999999993</v>
      </c>
      <c r="C103" s="112">
        <v>4.16</v>
      </c>
      <c r="D103" s="112">
        <v>14</v>
      </c>
      <c r="E103" s="112">
        <v>8</v>
      </c>
      <c r="F103" s="112">
        <v>6.65</v>
      </c>
      <c r="G103" s="112">
        <v>47.6</v>
      </c>
      <c r="H103" s="112">
        <v>8.02</v>
      </c>
      <c r="I103" s="112">
        <v>5.49</v>
      </c>
      <c r="J103" s="112">
        <v>0.52</v>
      </c>
      <c r="K103" s="112">
        <v>283.44</v>
      </c>
      <c r="L103" s="112">
        <v>27.02</v>
      </c>
      <c r="M103" s="112">
        <v>74.27</v>
      </c>
      <c r="N103" s="112">
        <v>2.2999999999999998</v>
      </c>
      <c r="O103" s="112">
        <v>0</v>
      </c>
      <c r="P103" s="112">
        <v>0.43</v>
      </c>
      <c r="Q103" s="112">
        <v>4.6500000000000004</v>
      </c>
    </row>
    <row r="104" spans="1:22" customFormat="1">
      <c r="A104" s="80">
        <v>45551</v>
      </c>
      <c r="B104" s="112">
        <v>9.15</v>
      </c>
      <c r="C104" s="112">
        <v>4.24</v>
      </c>
      <c r="D104" s="112">
        <v>14</v>
      </c>
      <c r="E104" s="112">
        <v>7.47</v>
      </c>
      <c r="F104" s="112">
        <v>5.77</v>
      </c>
      <c r="G104" s="112">
        <v>47.6</v>
      </c>
      <c r="H104" s="112">
        <v>8.02</v>
      </c>
      <c r="I104" s="112">
        <v>5.5</v>
      </c>
      <c r="J104" s="112">
        <v>0.56000000000000005</v>
      </c>
      <c r="K104" s="112">
        <v>273.07</v>
      </c>
      <c r="L104" s="112">
        <v>26.82</v>
      </c>
      <c r="M104" s="112">
        <v>75.569999999999993</v>
      </c>
      <c r="N104" s="112">
        <v>2.4</v>
      </c>
      <c r="O104" s="112">
        <v>0</v>
      </c>
      <c r="P104" s="112">
        <v>0.43</v>
      </c>
      <c r="Q104" s="112">
        <v>4.66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9.11</v>
      </c>
      <c r="C106" s="183">
        <f>MIN(C9:C104)</f>
        <v>4.04</v>
      </c>
      <c r="D106" s="183">
        <f t="shared" ref="D106:Q106" si="0">MIN(D9:D104)</f>
        <v>14</v>
      </c>
      <c r="E106" s="183">
        <f t="shared" si="0"/>
        <v>7.31</v>
      </c>
      <c r="F106" s="183">
        <f t="shared" si="0"/>
        <v>3.94</v>
      </c>
      <c r="G106" s="183">
        <f t="shared" si="0"/>
        <v>40.65</v>
      </c>
      <c r="H106" s="183">
        <f t="shared" si="0"/>
        <v>8.02</v>
      </c>
      <c r="I106" s="183">
        <f t="shared" si="0"/>
        <v>3.79</v>
      </c>
      <c r="J106" s="183">
        <f t="shared" si="0"/>
        <v>0.3</v>
      </c>
      <c r="K106" s="183">
        <f t="shared" si="0"/>
        <v>271.54000000000002</v>
      </c>
      <c r="L106" s="183">
        <f t="shared" si="0"/>
        <v>25.3</v>
      </c>
      <c r="M106" s="183">
        <f t="shared" si="0"/>
        <v>59.07</v>
      </c>
      <c r="N106" s="183">
        <f t="shared" si="0"/>
        <v>2</v>
      </c>
      <c r="O106" s="183">
        <f t="shared" si="0"/>
        <v>0</v>
      </c>
      <c r="P106" s="183">
        <f t="shared" si="0"/>
        <v>0.35</v>
      </c>
      <c r="Q106" s="183">
        <f t="shared" si="0"/>
        <v>4.6100000000000003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9.34</v>
      </c>
      <c r="C107" s="184">
        <f t="shared" ref="C107:Q107" si="1">MAX(C9:C104)</f>
        <v>4.3</v>
      </c>
      <c r="D107" s="184">
        <f t="shared" si="1"/>
        <v>14.07</v>
      </c>
      <c r="E107" s="184">
        <f t="shared" si="1"/>
        <v>11.95</v>
      </c>
      <c r="F107" s="184">
        <f t="shared" si="1"/>
        <v>8.7799999999999994</v>
      </c>
      <c r="G107" s="184">
        <f t="shared" si="1"/>
        <v>73.849999999999994</v>
      </c>
      <c r="H107" s="184">
        <f t="shared" si="1"/>
        <v>18.25</v>
      </c>
      <c r="I107" s="184">
        <f t="shared" si="1"/>
        <v>6.73</v>
      </c>
      <c r="J107" s="184">
        <f t="shared" si="1"/>
        <v>1.01</v>
      </c>
      <c r="K107" s="184">
        <f t="shared" si="1"/>
        <v>355.6</v>
      </c>
      <c r="L107" s="184">
        <f t="shared" si="1"/>
        <v>31.04</v>
      </c>
      <c r="M107" s="184">
        <f t="shared" si="1"/>
        <v>85.39</v>
      </c>
      <c r="N107" s="184">
        <f t="shared" si="1"/>
        <v>479.6</v>
      </c>
      <c r="O107" s="184">
        <f t="shared" si="1"/>
        <v>0</v>
      </c>
      <c r="P107" s="184">
        <f t="shared" si="1"/>
        <v>0.51</v>
      </c>
      <c r="Q107" s="184">
        <f t="shared" si="1"/>
        <v>4.68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9.2298958333333303</v>
      </c>
      <c r="C108" s="183">
        <f t="shared" ref="C108:Q108" si="2">AVERAGE(C9:C104)</f>
        <v>4.1343750000000021</v>
      </c>
      <c r="D108" s="183">
        <f t="shared" si="2"/>
        <v>14.010312499999998</v>
      </c>
      <c r="E108" s="183">
        <f t="shared" si="2"/>
        <v>9.4060416666666651</v>
      </c>
      <c r="F108" s="183">
        <f t="shared" si="2"/>
        <v>6.0262500000000001</v>
      </c>
      <c r="G108" s="183">
        <f t="shared" si="2"/>
        <v>53.287499999999966</v>
      </c>
      <c r="H108" s="183">
        <f t="shared" si="2"/>
        <v>12.559583333333329</v>
      </c>
      <c r="I108" s="183">
        <f t="shared" si="2"/>
        <v>4.9773958333333317</v>
      </c>
      <c r="J108" s="183">
        <f t="shared" si="2"/>
        <v>0.66270833333333312</v>
      </c>
      <c r="K108" s="183">
        <f t="shared" si="2"/>
        <v>294.81010416666663</v>
      </c>
      <c r="L108" s="183">
        <f t="shared" si="2"/>
        <v>27.881249999999998</v>
      </c>
      <c r="M108" s="183">
        <f t="shared" si="2"/>
        <v>72.091354166666648</v>
      </c>
      <c r="N108" s="183">
        <f t="shared" si="2"/>
        <v>92.037499999999952</v>
      </c>
      <c r="O108" s="183">
        <f t="shared" si="2"/>
        <v>0</v>
      </c>
      <c r="P108" s="183">
        <f t="shared" si="2"/>
        <v>0.40906249999999988</v>
      </c>
      <c r="Q108" s="183">
        <f t="shared" si="2"/>
        <v>4.6466666666666612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6.2685426689927201E-2</v>
      </c>
      <c r="C109" s="183">
        <f t="shared" ref="C109:Q109" si="3">STDEV(C9:C104)</f>
        <v>7.706200510988348E-2</v>
      </c>
      <c r="D109" s="183">
        <f t="shared" si="3"/>
        <v>1.7856334568172875E-2</v>
      </c>
      <c r="E109" s="183">
        <f t="shared" si="3"/>
        <v>1.1280066061458909</v>
      </c>
      <c r="F109" s="183">
        <f t="shared" si="3"/>
        <v>1.1794693275947659</v>
      </c>
      <c r="G109" s="183">
        <f t="shared" si="3"/>
        <v>6.8152503911992159</v>
      </c>
      <c r="H109" s="183">
        <f t="shared" si="3"/>
        <v>2.5130501143417336</v>
      </c>
      <c r="I109" s="183">
        <f t="shared" si="3"/>
        <v>0.75286434759338494</v>
      </c>
      <c r="J109" s="183">
        <f t="shared" si="3"/>
        <v>0.1676115758260075</v>
      </c>
      <c r="K109" s="183">
        <f t="shared" si="3"/>
        <v>15.728955430556731</v>
      </c>
      <c r="L109" s="183">
        <f t="shared" si="3"/>
        <v>1.8084365157724165</v>
      </c>
      <c r="M109" s="183">
        <f t="shared" si="3"/>
        <v>7.718284458934952</v>
      </c>
      <c r="N109" s="183">
        <f t="shared" si="3"/>
        <v>128.53732060951666</v>
      </c>
      <c r="O109" s="183">
        <f t="shared" si="3"/>
        <v>0</v>
      </c>
      <c r="P109" s="183">
        <f t="shared" si="3"/>
        <v>3.0472701329485301E-2</v>
      </c>
      <c r="Q109" s="183">
        <f t="shared" si="3"/>
        <v>1.1113450046219994E-2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45551.010416666664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45551.010416666664</v>
      </c>
      <c r="B9" s="112">
        <v>9.14</v>
      </c>
      <c r="C9" s="112">
        <v>4.24</v>
      </c>
      <c r="D9" s="112">
        <v>14</v>
      </c>
      <c r="E9" s="112">
        <v>7.87</v>
      </c>
      <c r="F9" s="112">
        <v>5.17</v>
      </c>
      <c r="G9" s="112">
        <v>47.6</v>
      </c>
      <c r="H9" s="112">
        <v>8.02</v>
      </c>
      <c r="I9" s="112">
        <v>5.6</v>
      </c>
      <c r="J9" s="112">
        <v>0.42</v>
      </c>
      <c r="K9" s="112">
        <v>276.25</v>
      </c>
      <c r="L9" s="112">
        <v>26.76</v>
      </c>
      <c r="M9" s="112">
        <v>76.17</v>
      </c>
      <c r="N9" s="112">
        <v>2.2000000000000002</v>
      </c>
      <c r="O9" s="112">
        <v>0</v>
      </c>
      <c r="P9" s="112">
        <v>0.44</v>
      </c>
      <c r="Q9" s="112">
        <v>4.6500000000000004</v>
      </c>
    </row>
    <row r="10" spans="1:21" customFormat="1">
      <c r="A10" s="80">
        <v>45551.020833333336</v>
      </c>
      <c r="B10" s="112">
        <v>9.14</v>
      </c>
      <c r="C10" s="112">
        <v>4.24</v>
      </c>
      <c r="D10" s="112">
        <v>14</v>
      </c>
      <c r="E10" s="112">
        <v>7.96</v>
      </c>
      <c r="F10" s="112">
        <v>5.19</v>
      </c>
      <c r="G10" s="112">
        <v>47.61</v>
      </c>
      <c r="H10" s="112">
        <v>7.82</v>
      </c>
      <c r="I10" s="112">
        <v>5.64</v>
      </c>
      <c r="J10" s="112">
        <v>0.57999999999999996</v>
      </c>
      <c r="K10" s="112">
        <v>281.48</v>
      </c>
      <c r="L10" s="112">
        <v>26.66</v>
      </c>
      <c r="M10" s="112">
        <v>76.45</v>
      </c>
      <c r="N10" s="112">
        <v>2.1</v>
      </c>
      <c r="O10" s="112">
        <v>0</v>
      </c>
      <c r="P10" s="112">
        <v>0.43</v>
      </c>
      <c r="Q10" s="112">
        <v>4.6500000000000004</v>
      </c>
    </row>
    <row r="11" spans="1:21" customFormat="1">
      <c r="A11" s="80">
        <v>45551.03125</v>
      </c>
      <c r="B11" s="112">
        <v>9.14</v>
      </c>
      <c r="C11" s="112">
        <v>4.25</v>
      </c>
      <c r="D11" s="112">
        <v>14</v>
      </c>
      <c r="E11" s="112">
        <v>8.43</v>
      </c>
      <c r="F11" s="112">
        <v>5.54</v>
      </c>
      <c r="G11" s="112">
        <v>47.65</v>
      </c>
      <c r="H11" s="112">
        <v>6.33</v>
      </c>
      <c r="I11" s="112">
        <v>5.65</v>
      </c>
      <c r="J11" s="112">
        <v>0.5</v>
      </c>
      <c r="K11" s="112">
        <v>281.02</v>
      </c>
      <c r="L11" s="112">
        <v>26.66</v>
      </c>
      <c r="M11" s="112">
        <v>76.66</v>
      </c>
      <c r="N11" s="112">
        <v>2.1</v>
      </c>
      <c r="O11" s="112">
        <v>0</v>
      </c>
      <c r="P11" s="112">
        <v>0.43</v>
      </c>
      <c r="Q11" s="112">
        <v>4.6399999999999997</v>
      </c>
    </row>
    <row r="12" spans="1:21" customFormat="1">
      <c r="A12" s="80">
        <v>45551.041666666664</v>
      </c>
      <c r="B12" s="112">
        <v>9.15</v>
      </c>
      <c r="C12" s="112">
        <v>4.2300000000000004</v>
      </c>
      <c r="D12" s="112">
        <v>14</v>
      </c>
      <c r="E12" s="112">
        <v>8.41</v>
      </c>
      <c r="F12" s="112">
        <v>5.68</v>
      </c>
      <c r="G12" s="112">
        <v>47.65</v>
      </c>
      <c r="H12" s="112">
        <v>6.33</v>
      </c>
      <c r="I12" s="112">
        <v>5.66</v>
      </c>
      <c r="J12" s="112">
        <v>0.55000000000000004</v>
      </c>
      <c r="K12" s="112">
        <v>280.66000000000003</v>
      </c>
      <c r="L12" s="112">
        <v>26.61</v>
      </c>
      <c r="M12" s="112">
        <v>76.95</v>
      </c>
      <c r="N12" s="112">
        <v>2.2000000000000002</v>
      </c>
      <c r="O12" s="112">
        <v>0</v>
      </c>
      <c r="P12" s="112">
        <v>0.42</v>
      </c>
      <c r="Q12" s="112">
        <v>4.66</v>
      </c>
    </row>
    <row r="13" spans="1:21" customFormat="1">
      <c r="A13" s="80">
        <v>45551.052083333336</v>
      </c>
      <c r="B13" s="112">
        <v>9.16</v>
      </c>
      <c r="C13" s="112">
        <v>4.22</v>
      </c>
      <c r="D13" s="112">
        <v>14</v>
      </c>
      <c r="E13" s="112">
        <v>8.41</v>
      </c>
      <c r="F13" s="112">
        <v>4.92</v>
      </c>
      <c r="G13" s="112">
        <v>47.65</v>
      </c>
      <c r="H13" s="112">
        <v>6.33</v>
      </c>
      <c r="I13" s="112">
        <v>5.71</v>
      </c>
      <c r="J13" s="112">
        <v>0.5</v>
      </c>
      <c r="K13" s="112">
        <v>283.54000000000002</v>
      </c>
      <c r="L13" s="112">
        <v>26.63</v>
      </c>
      <c r="M13" s="112">
        <v>76.7</v>
      </c>
      <c r="N13" s="112">
        <v>2.2000000000000002</v>
      </c>
      <c r="O13" s="112">
        <v>0</v>
      </c>
      <c r="P13" s="112">
        <v>0.42</v>
      </c>
      <c r="Q13" s="112">
        <v>4.66</v>
      </c>
    </row>
    <row r="14" spans="1:21" customFormat="1">
      <c r="A14" s="80">
        <v>45551.0625</v>
      </c>
      <c r="B14" s="112">
        <v>9.16</v>
      </c>
      <c r="C14" s="112">
        <v>4.22</v>
      </c>
      <c r="D14" s="112">
        <v>14</v>
      </c>
      <c r="E14" s="112">
        <v>8.5500000000000007</v>
      </c>
      <c r="F14" s="112">
        <v>5</v>
      </c>
      <c r="G14" s="112">
        <v>47.56</v>
      </c>
      <c r="H14" s="112">
        <v>6.69</v>
      </c>
      <c r="I14" s="112">
        <v>5.69</v>
      </c>
      <c r="J14" s="112">
        <v>0.44</v>
      </c>
      <c r="K14" s="112">
        <v>292.5</v>
      </c>
      <c r="L14" s="112">
        <v>26.57</v>
      </c>
      <c r="M14" s="112">
        <v>77.23</v>
      </c>
      <c r="N14" s="112">
        <v>2.2000000000000002</v>
      </c>
      <c r="O14" s="112">
        <v>0</v>
      </c>
      <c r="P14" s="112">
        <v>0.42</v>
      </c>
      <c r="Q14" s="112">
        <v>4.6500000000000004</v>
      </c>
    </row>
    <row r="15" spans="1:21" customFormat="1">
      <c r="A15" s="80">
        <v>45551.072916666664</v>
      </c>
      <c r="B15" s="112">
        <v>9.15</v>
      </c>
      <c r="C15" s="112">
        <v>4.24</v>
      </c>
      <c r="D15" s="112">
        <v>14</v>
      </c>
      <c r="E15" s="112">
        <v>7.96</v>
      </c>
      <c r="F15" s="112">
        <v>6.59</v>
      </c>
      <c r="G15" s="112">
        <v>46.72</v>
      </c>
      <c r="H15" s="112">
        <v>9.7200000000000006</v>
      </c>
      <c r="I15" s="112">
        <v>5.57</v>
      </c>
      <c r="J15" s="112">
        <v>0.49</v>
      </c>
      <c r="K15" s="112">
        <v>302.05</v>
      </c>
      <c r="L15" s="112">
        <v>26.59</v>
      </c>
      <c r="M15" s="112">
        <v>76.95</v>
      </c>
      <c r="N15" s="112">
        <v>2.2000000000000002</v>
      </c>
      <c r="O15" s="112">
        <v>0</v>
      </c>
      <c r="P15" s="112">
        <v>0.4</v>
      </c>
      <c r="Q15" s="112">
        <v>4.66</v>
      </c>
    </row>
    <row r="16" spans="1:21" customFormat="1">
      <c r="A16" s="80">
        <v>45551.083333333336</v>
      </c>
      <c r="B16" s="112">
        <v>9.15</v>
      </c>
      <c r="C16" s="112">
        <v>4.2300000000000004</v>
      </c>
      <c r="D16" s="112">
        <v>14</v>
      </c>
      <c r="E16" s="112">
        <v>9.16</v>
      </c>
      <c r="F16" s="112">
        <v>4.97</v>
      </c>
      <c r="G16" s="112">
        <v>46.72</v>
      </c>
      <c r="H16" s="112">
        <v>9.7200000000000006</v>
      </c>
      <c r="I16" s="112">
        <v>5.49</v>
      </c>
      <c r="J16" s="112">
        <v>0.48</v>
      </c>
      <c r="K16" s="112">
        <v>303.33999999999997</v>
      </c>
      <c r="L16" s="112">
        <v>26.55</v>
      </c>
      <c r="M16" s="112">
        <v>77.010000000000005</v>
      </c>
      <c r="N16" s="112">
        <v>2.2999999999999998</v>
      </c>
      <c r="O16" s="112">
        <v>0</v>
      </c>
      <c r="P16" s="112">
        <v>0.41</v>
      </c>
      <c r="Q16" s="112">
        <v>4.6500000000000004</v>
      </c>
    </row>
    <row r="17" spans="1:17" customFormat="1">
      <c r="A17" s="80">
        <v>45551.09375</v>
      </c>
      <c r="B17" s="112">
        <v>9.17</v>
      </c>
      <c r="C17" s="112">
        <v>4.2</v>
      </c>
      <c r="D17" s="112">
        <v>14</v>
      </c>
      <c r="E17" s="112">
        <v>8.33</v>
      </c>
      <c r="F17" s="112">
        <v>4.74</v>
      </c>
      <c r="G17" s="112">
        <v>46.72</v>
      </c>
      <c r="H17" s="112">
        <v>9.7200000000000006</v>
      </c>
      <c r="I17" s="112">
        <v>5.41</v>
      </c>
      <c r="J17" s="112">
        <v>0.54</v>
      </c>
      <c r="K17" s="112">
        <v>285.88</v>
      </c>
      <c r="L17" s="112">
        <v>26.42</v>
      </c>
      <c r="M17" s="112">
        <v>77.62</v>
      </c>
      <c r="N17" s="112">
        <v>2.2999999999999998</v>
      </c>
      <c r="O17" s="112">
        <v>0</v>
      </c>
      <c r="P17" s="112">
        <v>0.4</v>
      </c>
      <c r="Q17" s="112">
        <v>4.6500000000000004</v>
      </c>
    </row>
    <row r="18" spans="1:17" customFormat="1">
      <c r="A18" s="80">
        <v>45551.104166666664</v>
      </c>
      <c r="B18" s="112">
        <v>9.19</v>
      </c>
      <c r="C18" s="112">
        <v>4.17</v>
      </c>
      <c r="D18" s="112">
        <v>14</v>
      </c>
      <c r="E18" s="112">
        <v>10.01</v>
      </c>
      <c r="F18" s="112">
        <v>5.12</v>
      </c>
      <c r="G18" s="112">
        <v>46.21</v>
      </c>
      <c r="H18" s="112">
        <v>9.6999999999999993</v>
      </c>
      <c r="I18" s="112">
        <v>5.36</v>
      </c>
      <c r="J18" s="112">
        <v>0.56999999999999995</v>
      </c>
      <c r="K18" s="112">
        <v>285.45999999999998</v>
      </c>
      <c r="L18" s="112">
        <v>26.39</v>
      </c>
      <c r="M18" s="112">
        <v>77.75</v>
      </c>
      <c r="N18" s="112">
        <v>2.2999999999999998</v>
      </c>
      <c r="O18" s="112">
        <v>0</v>
      </c>
      <c r="P18" s="112">
        <v>0.39</v>
      </c>
      <c r="Q18" s="112">
        <v>4.66</v>
      </c>
    </row>
    <row r="19" spans="1:17" customFormat="1">
      <c r="A19" s="80">
        <v>45551.114583333336</v>
      </c>
      <c r="B19" s="112">
        <v>9.18</v>
      </c>
      <c r="C19" s="112">
        <v>4.18</v>
      </c>
      <c r="D19" s="112">
        <v>14</v>
      </c>
      <c r="E19" s="112">
        <v>9.8800000000000008</v>
      </c>
      <c r="F19" s="112">
        <v>5.7</v>
      </c>
      <c r="G19" s="112">
        <v>41</v>
      </c>
      <c r="H19" s="112">
        <v>9.56</v>
      </c>
      <c r="I19" s="112">
        <v>5.21</v>
      </c>
      <c r="J19" s="112">
        <v>0.48</v>
      </c>
      <c r="K19" s="112">
        <v>285.08999999999997</v>
      </c>
      <c r="L19" s="112">
        <v>26.33</v>
      </c>
      <c r="M19" s="112">
        <v>78.36</v>
      </c>
      <c r="N19" s="112">
        <v>2.2999999999999998</v>
      </c>
      <c r="O19" s="112">
        <v>0</v>
      </c>
      <c r="P19" s="112">
        <v>0.39</v>
      </c>
      <c r="Q19" s="112">
        <v>4.66</v>
      </c>
    </row>
    <row r="20" spans="1:17" customFormat="1">
      <c r="A20" s="80">
        <v>45551.125</v>
      </c>
      <c r="B20" s="112">
        <v>9.1999999999999993</v>
      </c>
      <c r="C20" s="112">
        <v>4.16</v>
      </c>
      <c r="D20" s="112">
        <v>14</v>
      </c>
      <c r="E20" s="112">
        <v>10.39</v>
      </c>
      <c r="F20" s="112">
        <v>4.6900000000000004</v>
      </c>
      <c r="G20" s="112">
        <v>41</v>
      </c>
      <c r="H20" s="112">
        <v>9.56</v>
      </c>
      <c r="I20" s="112">
        <v>5.0599999999999996</v>
      </c>
      <c r="J20" s="112">
        <v>0.66</v>
      </c>
      <c r="K20" s="112">
        <v>280.95999999999998</v>
      </c>
      <c r="L20" s="112">
        <v>26.28</v>
      </c>
      <c r="M20" s="112">
        <v>78.900000000000006</v>
      </c>
      <c r="N20" s="112">
        <v>2.2999999999999998</v>
      </c>
      <c r="O20" s="112">
        <v>0</v>
      </c>
      <c r="P20" s="112">
        <v>0.39</v>
      </c>
      <c r="Q20" s="112">
        <v>4.6500000000000004</v>
      </c>
    </row>
    <row r="21" spans="1:17" customFormat="1">
      <c r="A21" s="80">
        <v>45551.135416666664</v>
      </c>
      <c r="B21" s="112">
        <v>9.19</v>
      </c>
      <c r="C21" s="112">
        <v>4.17</v>
      </c>
      <c r="D21" s="112">
        <v>14</v>
      </c>
      <c r="E21" s="112">
        <v>10.01</v>
      </c>
      <c r="F21" s="112">
        <v>4.63</v>
      </c>
      <c r="G21" s="112">
        <v>41</v>
      </c>
      <c r="H21" s="112">
        <v>9.56</v>
      </c>
      <c r="I21" s="112">
        <v>4.99</v>
      </c>
      <c r="J21" s="112">
        <v>0.66</v>
      </c>
      <c r="K21" s="112">
        <v>299.02</v>
      </c>
      <c r="L21" s="112">
        <v>26.3</v>
      </c>
      <c r="M21" s="112">
        <v>78.41</v>
      </c>
      <c r="N21" s="112">
        <v>2.2000000000000002</v>
      </c>
      <c r="O21" s="112">
        <v>0</v>
      </c>
      <c r="P21" s="112">
        <v>0.38</v>
      </c>
      <c r="Q21" s="112">
        <v>4.6500000000000004</v>
      </c>
    </row>
    <row r="22" spans="1:17" customFormat="1">
      <c r="A22" s="80">
        <v>45551.145833333336</v>
      </c>
      <c r="B22" s="112">
        <v>9.1999999999999993</v>
      </c>
      <c r="C22" s="112">
        <v>4.16</v>
      </c>
      <c r="D22" s="112">
        <v>14</v>
      </c>
      <c r="E22" s="112">
        <v>10.51</v>
      </c>
      <c r="F22" s="112">
        <v>4.51</v>
      </c>
      <c r="G22" s="112">
        <v>40.86</v>
      </c>
      <c r="H22" s="112">
        <v>9.56</v>
      </c>
      <c r="I22" s="112">
        <v>4.78</v>
      </c>
      <c r="J22" s="112">
        <v>0.56000000000000005</v>
      </c>
      <c r="K22" s="112">
        <v>298.54000000000002</v>
      </c>
      <c r="L22" s="112">
        <v>26.28</v>
      </c>
      <c r="M22" s="112">
        <v>78.78</v>
      </c>
      <c r="N22" s="112">
        <v>2.4</v>
      </c>
      <c r="O22" s="112">
        <v>0</v>
      </c>
      <c r="P22" s="112">
        <v>0.39</v>
      </c>
      <c r="Q22" s="112">
        <v>4.6399999999999997</v>
      </c>
    </row>
    <row r="23" spans="1:17" customFormat="1">
      <c r="A23" s="80">
        <v>45551.15625</v>
      </c>
      <c r="B23" s="112">
        <v>9.19</v>
      </c>
      <c r="C23" s="112">
        <v>4.17</v>
      </c>
      <c r="D23" s="112">
        <v>14</v>
      </c>
      <c r="E23" s="112">
        <v>10.73</v>
      </c>
      <c r="F23" s="112">
        <v>4.4000000000000004</v>
      </c>
      <c r="G23" s="112">
        <v>39.520000000000003</v>
      </c>
      <c r="H23" s="112">
        <v>9.6300000000000008</v>
      </c>
      <c r="I23" s="112">
        <v>4.88</v>
      </c>
      <c r="J23" s="112">
        <v>0.57999999999999996</v>
      </c>
      <c r="K23" s="112">
        <v>307.77999999999997</v>
      </c>
      <c r="L23" s="112">
        <v>26.27</v>
      </c>
      <c r="M23" s="112">
        <v>78.87</v>
      </c>
      <c r="N23" s="112">
        <v>2.2000000000000002</v>
      </c>
      <c r="O23" s="112">
        <v>0</v>
      </c>
      <c r="P23" s="112">
        <v>0.38</v>
      </c>
      <c r="Q23" s="112">
        <v>4.63</v>
      </c>
    </row>
    <row r="24" spans="1:17" customFormat="1">
      <c r="A24" s="80">
        <v>45551.166666666664</v>
      </c>
      <c r="B24" s="112">
        <v>9.2200000000000006</v>
      </c>
      <c r="C24" s="112">
        <v>4.13</v>
      </c>
      <c r="D24" s="112">
        <v>14</v>
      </c>
      <c r="E24" s="112">
        <v>10.83</v>
      </c>
      <c r="F24" s="112">
        <v>4.54</v>
      </c>
      <c r="G24" s="112">
        <v>39.520000000000003</v>
      </c>
      <c r="H24" s="112">
        <v>9.6300000000000008</v>
      </c>
      <c r="I24" s="112">
        <v>4.63</v>
      </c>
      <c r="J24" s="112">
        <v>0.67</v>
      </c>
      <c r="K24" s="112">
        <v>295.27</v>
      </c>
      <c r="L24" s="112">
        <v>26.22</v>
      </c>
      <c r="M24" s="112">
        <v>79.33</v>
      </c>
      <c r="N24" s="112">
        <v>2.4</v>
      </c>
      <c r="O24" s="112">
        <v>0</v>
      </c>
      <c r="P24" s="112">
        <v>0.37</v>
      </c>
      <c r="Q24" s="112">
        <v>4.63</v>
      </c>
    </row>
    <row r="25" spans="1:17" customFormat="1">
      <c r="A25" s="80">
        <v>45551.177083333336</v>
      </c>
      <c r="B25" s="112">
        <v>9.25</v>
      </c>
      <c r="C25" s="112">
        <v>4.08</v>
      </c>
      <c r="D25" s="112">
        <v>14</v>
      </c>
      <c r="E25" s="112">
        <v>10.16</v>
      </c>
      <c r="F25" s="112">
        <v>4.6900000000000004</v>
      </c>
      <c r="G25" s="112">
        <v>39.520000000000003</v>
      </c>
      <c r="H25" s="112">
        <v>9.6300000000000008</v>
      </c>
      <c r="I25" s="112">
        <v>4.63</v>
      </c>
      <c r="J25" s="112">
        <v>0.63</v>
      </c>
      <c r="K25" s="112">
        <v>287.81</v>
      </c>
      <c r="L25" s="112">
        <v>26.14</v>
      </c>
      <c r="M25" s="112">
        <v>79.88</v>
      </c>
      <c r="N25" s="112">
        <v>2.4</v>
      </c>
      <c r="O25" s="112">
        <v>0</v>
      </c>
      <c r="P25" s="112">
        <v>0.37</v>
      </c>
      <c r="Q25" s="112">
        <v>4.6500000000000004</v>
      </c>
    </row>
    <row r="26" spans="1:17" customFormat="1">
      <c r="A26" s="80">
        <v>45551.1875</v>
      </c>
      <c r="B26" s="112">
        <v>9.26</v>
      </c>
      <c r="C26" s="112">
        <v>4.07</v>
      </c>
      <c r="D26" s="112">
        <v>14</v>
      </c>
      <c r="E26" s="112">
        <v>10.210000000000001</v>
      </c>
      <c r="F26" s="112">
        <v>4.84</v>
      </c>
      <c r="G26" s="112">
        <v>39.090000000000003</v>
      </c>
      <c r="H26" s="112">
        <v>9.61</v>
      </c>
      <c r="I26" s="112">
        <v>4.63</v>
      </c>
      <c r="J26" s="112">
        <v>0.62</v>
      </c>
      <c r="K26" s="112">
        <v>293.02999999999997</v>
      </c>
      <c r="L26" s="112">
        <v>26.07</v>
      </c>
      <c r="M26" s="112">
        <v>80.319999999999993</v>
      </c>
      <c r="N26" s="112">
        <v>2.4</v>
      </c>
      <c r="O26" s="112">
        <v>0</v>
      </c>
      <c r="P26" s="112">
        <v>0.37</v>
      </c>
      <c r="Q26" s="112">
        <v>4.6399999999999997</v>
      </c>
    </row>
    <row r="27" spans="1:17" customFormat="1">
      <c r="A27" s="80">
        <v>45551.197916666664</v>
      </c>
      <c r="B27" s="112">
        <v>9.25</v>
      </c>
      <c r="C27" s="112">
        <v>4.0999999999999996</v>
      </c>
      <c r="D27" s="112">
        <v>14.01</v>
      </c>
      <c r="E27" s="112">
        <v>9.84</v>
      </c>
      <c r="F27" s="112">
        <v>5.04</v>
      </c>
      <c r="G27" s="112">
        <v>34.61</v>
      </c>
      <c r="H27" s="112">
        <v>9.49</v>
      </c>
      <c r="I27" s="112">
        <v>4.59</v>
      </c>
      <c r="J27" s="112">
        <v>0.54</v>
      </c>
      <c r="K27" s="112">
        <v>288.27</v>
      </c>
      <c r="L27" s="112">
        <v>26.04</v>
      </c>
      <c r="M27" s="112">
        <v>80.56</v>
      </c>
      <c r="N27" s="112">
        <v>2.4</v>
      </c>
      <c r="O27" s="112">
        <v>0</v>
      </c>
      <c r="P27" s="112">
        <v>0.36</v>
      </c>
      <c r="Q27" s="112">
        <v>4.66</v>
      </c>
    </row>
    <row r="28" spans="1:17" customFormat="1">
      <c r="A28" s="80">
        <v>45551.208333333336</v>
      </c>
      <c r="B28" s="112">
        <v>9.26</v>
      </c>
      <c r="C28" s="112">
        <v>4.08</v>
      </c>
      <c r="D28" s="112">
        <v>14.01</v>
      </c>
      <c r="E28" s="112">
        <v>10.15</v>
      </c>
      <c r="F28" s="112">
        <v>4.82</v>
      </c>
      <c r="G28" s="112">
        <v>34.61</v>
      </c>
      <c r="H28" s="112">
        <v>9.49</v>
      </c>
      <c r="I28" s="112">
        <v>4.5199999999999996</v>
      </c>
      <c r="J28" s="112">
        <v>0.63</v>
      </c>
      <c r="K28" s="112">
        <v>289.17</v>
      </c>
      <c r="L28" s="112">
        <v>26.07</v>
      </c>
      <c r="M28" s="112">
        <v>80.400000000000006</v>
      </c>
      <c r="N28" s="112">
        <v>2.2000000000000002</v>
      </c>
      <c r="O28" s="112">
        <v>0</v>
      </c>
      <c r="P28" s="112">
        <v>0.35</v>
      </c>
      <c r="Q28" s="112">
        <v>4.6399999999999997</v>
      </c>
    </row>
    <row r="29" spans="1:17" customFormat="1">
      <c r="A29" s="80">
        <v>45551.21875</v>
      </c>
      <c r="B29" s="112">
        <v>9.27</v>
      </c>
      <c r="C29" s="112">
        <v>4.08</v>
      </c>
      <c r="D29" s="112">
        <v>14.01</v>
      </c>
      <c r="E29" s="112">
        <v>9.91</v>
      </c>
      <c r="F29" s="112">
        <v>4.8099999999999996</v>
      </c>
      <c r="G29" s="112">
        <v>34.61</v>
      </c>
      <c r="H29" s="112">
        <v>9.49</v>
      </c>
      <c r="I29" s="112">
        <v>4.51</v>
      </c>
      <c r="J29" s="112">
        <v>0.57999999999999996</v>
      </c>
      <c r="K29" s="112">
        <v>298.45</v>
      </c>
      <c r="L29" s="112">
        <v>26.03</v>
      </c>
      <c r="M29" s="112">
        <v>80.59</v>
      </c>
      <c r="N29" s="112">
        <v>2.4</v>
      </c>
      <c r="O29" s="112">
        <v>0</v>
      </c>
      <c r="P29" s="112">
        <v>0.35</v>
      </c>
      <c r="Q29" s="112">
        <v>4.66</v>
      </c>
    </row>
    <row r="30" spans="1:17" customFormat="1">
      <c r="A30" s="80">
        <v>45551.229166666664</v>
      </c>
      <c r="B30" s="112">
        <v>9.26</v>
      </c>
      <c r="C30" s="112">
        <v>4.08</v>
      </c>
      <c r="D30" s="112">
        <v>14</v>
      </c>
      <c r="E30" s="112">
        <v>9.2799999999999994</v>
      </c>
      <c r="F30" s="112">
        <v>5.39</v>
      </c>
      <c r="G30" s="112">
        <v>34.67</v>
      </c>
      <c r="H30" s="112">
        <v>9.19</v>
      </c>
      <c r="I30" s="112">
        <v>4.4800000000000004</v>
      </c>
      <c r="J30" s="112">
        <v>0.56999999999999995</v>
      </c>
      <c r="K30" s="112">
        <v>301</v>
      </c>
      <c r="L30" s="112">
        <v>26.02</v>
      </c>
      <c r="M30" s="112">
        <v>80.48</v>
      </c>
      <c r="N30" s="112">
        <v>2.4</v>
      </c>
      <c r="O30" s="112">
        <v>0</v>
      </c>
      <c r="P30" s="112">
        <v>0.34</v>
      </c>
      <c r="Q30" s="112">
        <v>4.66</v>
      </c>
    </row>
    <row r="31" spans="1:17" customFormat="1">
      <c r="A31" s="80">
        <v>45551.239583333336</v>
      </c>
      <c r="B31" s="112">
        <v>9.26</v>
      </c>
      <c r="C31" s="112">
        <v>4.07</v>
      </c>
      <c r="D31" s="112">
        <v>14</v>
      </c>
      <c r="E31" s="112">
        <v>9.06</v>
      </c>
      <c r="F31" s="112">
        <v>5.85</v>
      </c>
      <c r="G31" s="112">
        <v>35.33</v>
      </c>
      <c r="H31" s="112">
        <v>6.95</v>
      </c>
      <c r="I31" s="112">
        <v>4.41</v>
      </c>
      <c r="J31" s="112">
        <v>0.48</v>
      </c>
      <c r="K31" s="112">
        <v>303.37</v>
      </c>
      <c r="L31" s="112">
        <v>25.96</v>
      </c>
      <c r="M31" s="112">
        <v>81.03</v>
      </c>
      <c r="N31" s="112">
        <v>3.3</v>
      </c>
      <c r="O31" s="112">
        <v>0</v>
      </c>
      <c r="P31" s="112">
        <v>0.33</v>
      </c>
      <c r="Q31" s="112">
        <v>4.6500000000000004</v>
      </c>
    </row>
    <row r="32" spans="1:17" customFormat="1">
      <c r="A32" s="80">
        <v>45551.25</v>
      </c>
      <c r="B32" s="112">
        <v>9.26</v>
      </c>
      <c r="C32" s="112">
        <v>4.0599999999999996</v>
      </c>
      <c r="D32" s="112">
        <v>14</v>
      </c>
      <c r="E32" s="112">
        <v>9.07</v>
      </c>
      <c r="F32" s="112">
        <v>5.35</v>
      </c>
      <c r="G32" s="112">
        <v>35.33</v>
      </c>
      <c r="H32" s="112">
        <v>6.95</v>
      </c>
      <c r="I32" s="112">
        <v>4.2699999999999996</v>
      </c>
      <c r="J32" s="112">
        <v>0.5</v>
      </c>
      <c r="K32" s="112">
        <v>281.79000000000002</v>
      </c>
      <c r="L32" s="112">
        <v>25.87</v>
      </c>
      <c r="M32" s="112">
        <v>81.91</v>
      </c>
      <c r="N32" s="112">
        <v>5.2</v>
      </c>
      <c r="O32" s="112">
        <v>0</v>
      </c>
      <c r="P32" s="112">
        <v>0.34</v>
      </c>
      <c r="Q32" s="112">
        <v>4.6399999999999997</v>
      </c>
    </row>
    <row r="33" spans="1:17" customFormat="1">
      <c r="A33" s="80">
        <v>45551.260416666664</v>
      </c>
      <c r="B33" s="112">
        <v>9.27</v>
      </c>
      <c r="C33" s="112">
        <v>4.0599999999999996</v>
      </c>
      <c r="D33" s="112">
        <v>14.01</v>
      </c>
      <c r="E33" s="112">
        <v>8.9600000000000009</v>
      </c>
      <c r="F33" s="112">
        <v>4.97</v>
      </c>
      <c r="G33" s="112">
        <v>35.33</v>
      </c>
      <c r="H33" s="112">
        <v>6.95</v>
      </c>
      <c r="I33" s="112">
        <v>4.26</v>
      </c>
      <c r="J33" s="112">
        <v>0.56000000000000005</v>
      </c>
      <c r="K33" s="112">
        <v>302.31</v>
      </c>
      <c r="L33" s="112">
        <v>25.92</v>
      </c>
      <c r="M33" s="112">
        <v>81.31</v>
      </c>
      <c r="N33" s="112">
        <v>7.9</v>
      </c>
      <c r="O33" s="112">
        <v>0</v>
      </c>
      <c r="P33" s="112">
        <v>0.33</v>
      </c>
      <c r="Q33" s="112">
        <v>4.6500000000000004</v>
      </c>
    </row>
    <row r="34" spans="1:17" customFormat="1">
      <c r="A34" s="80">
        <v>45551.270833333336</v>
      </c>
      <c r="B34" s="112">
        <v>9.26</v>
      </c>
      <c r="C34" s="112">
        <v>4.0599999999999996</v>
      </c>
      <c r="D34" s="112">
        <v>14</v>
      </c>
      <c r="E34" s="112">
        <v>8.84</v>
      </c>
      <c r="F34" s="112">
        <v>5.54</v>
      </c>
      <c r="G34" s="112">
        <v>35.68</v>
      </c>
      <c r="H34" s="112">
        <v>7.43</v>
      </c>
      <c r="I34" s="112">
        <v>4.25</v>
      </c>
      <c r="J34" s="112">
        <v>0.48</v>
      </c>
      <c r="K34" s="112">
        <v>303.92</v>
      </c>
      <c r="L34" s="112">
        <v>25.93</v>
      </c>
      <c r="M34" s="112">
        <v>81.56</v>
      </c>
      <c r="N34" s="112">
        <v>13.6</v>
      </c>
      <c r="O34" s="112">
        <v>0</v>
      </c>
      <c r="P34" s="112">
        <v>0.33</v>
      </c>
      <c r="Q34" s="112">
        <v>4.67</v>
      </c>
    </row>
    <row r="35" spans="1:17" customFormat="1">
      <c r="A35" s="80">
        <v>45551.28125</v>
      </c>
      <c r="B35" s="112">
        <v>9.26</v>
      </c>
      <c r="C35" s="112">
        <v>4.08</v>
      </c>
      <c r="D35" s="112">
        <v>14</v>
      </c>
      <c r="E35" s="112">
        <v>8.83</v>
      </c>
      <c r="F35" s="112">
        <v>6.03</v>
      </c>
      <c r="G35" s="112">
        <v>39.200000000000003</v>
      </c>
      <c r="H35" s="112">
        <v>11.5</v>
      </c>
      <c r="I35" s="112">
        <v>4.22</v>
      </c>
      <c r="J35" s="112">
        <v>0.51</v>
      </c>
      <c r="K35" s="112">
        <v>304.17</v>
      </c>
      <c r="L35" s="112">
        <v>25.94</v>
      </c>
      <c r="M35" s="112">
        <v>81.739999999999995</v>
      </c>
      <c r="N35" s="112">
        <v>21.6</v>
      </c>
      <c r="O35" s="112">
        <v>0</v>
      </c>
      <c r="P35" s="112">
        <v>0.34</v>
      </c>
      <c r="Q35" s="112">
        <v>4.6500000000000004</v>
      </c>
    </row>
    <row r="36" spans="1:17" customFormat="1">
      <c r="A36" s="80">
        <v>45551.291666666664</v>
      </c>
      <c r="B36" s="112">
        <v>9.27</v>
      </c>
      <c r="C36" s="112">
        <v>4.09</v>
      </c>
      <c r="D36" s="112">
        <v>14.02</v>
      </c>
      <c r="E36" s="112">
        <v>9.19</v>
      </c>
      <c r="F36" s="112">
        <v>5.7</v>
      </c>
      <c r="G36" s="112">
        <v>39.200000000000003</v>
      </c>
      <c r="H36" s="112">
        <v>11.5</v>
      </c>
      <c r="I36" s="112">
        <v>4.18</v>
      </c>
      <c r="J36" s="112">
        <v>0.46</v>
      </c>
      <c r="K36" s="112">
        <v>317.27999999999997</v>
      </c>
      <c r="L36" s="112">
        <v>25.96</v>
      </c>
      <c r="M36" s="112">
        <v>81.650000000000006</v>
      </c>
      <c r="N36" s="112">
        <v>22</v>
      </c>
      <c r="O36" s="112">
        <v>0</v>
      </c>
      <c r="P36" s="112">
        <v>0.34</v>
      </c>
      <c r="Q36" s="112">
        <v>4.6399999999999997</v>
      </c>
    </row>
    <row r="37" spans="1:17" customFormat="1">
      <c r="A37" s="80">
        <v>45551.302083333336</v>
      </c>
      <c r="B37" s="112">
        <v>9.27</v>
      </c>
      <c r="C37" s="112">
        <v>4.09</v>
      </c>
      <c r="D37" s="112">
        <v>14.02</v>
      </c>
      <c r="E37" s="112">
        <v>9.11</v>
      </c>
      <c r="F37" s="112">
        <v>5.51</v>
      </c>
      <c r="G37" s="112">
        <v>39.200000000000003</v>
      </c>
      <c r="H37" s="112">
        <v>11.5</v>
      </c>
      <c r="I37" s="112">
        <v>4.18</v>
      </c>
      <c r="J37" s="112">
        <v>0.66</v>
      </c>
      <c r="K37" s="112">
        <v>284.13</v>
      </c>
      <c r="L37" s="112">
        <v>25.81</v>
      </c>
      <c r="M37" s="112">
        <v>83.28</v>
      </c>
      <c r="N37" s="112">
        <v>17.3</v>
      </c>
      <c r="O37" s="112">
        <v>0</v>
      </c>
      <c r="P37" s="112">
        <v>0.34</v>
      </c>
      <c r="Q37" s="112">
        <v>4.6399999999999997</v>
      </c>
    </row>
    <row r="38" spans="1:17" customFormat="1">
      <c r="A38" s="80">
        <v>45551.3125</v>
      </c>
      <c r="B38" s="112">
        <v>9.26</v>
      </c>
      <c r="C38" s="112">
        <v>4.08</v>
      </c>
      <c r="D38" s="112">
        <v>14.01</v>
      </c>
      <c r="E38" s="112">
        <v>9.0500000000000007</v>
      </c>
      <c r="F38" s="112">
        <v>4.83</v>
      </c>
      <c r="G38" s="112">
        <v>39.93</v>
      </c>
      <c r="H38" s="112">
        <v>11.86</v>
      </c>
      <c r="I38" s="112">
        <v>4.1900000000000004</v>
      </c>
      <c r="J38" s="112">
        <v>0.83</v>
      </c>
      <c r="K38" s="112">
        <v>273.04000000000002</v>
      </c>
      <c r="L38" s="112">
        <v>25.37</v>
      </c>
      <c r="M38" s="112">
        <v>86.79</v>
      </c>
      <c r="N38" s="112">
        <v>20.9</v>
      </c>
      <c r="O38" s="112">
        <v>0</v>
      </c>
      <c r="P38" s="112">
        <v>0.34</v>
      </c>
      <c r="Q38" s="112">
        <v>4.6500000000000004</v>
      </c>
    </row>
    <row r="39" spans="1:17" customFormat="1">
      <c r="A39" s="80">
        <v>45551.322916666664</v>
      </c>
      <c r="B39" s="112">
        <v>9.2899999999999991</v>
      </c>
      <c r="C39" s="112">
        <v>4.05</v>
      </c>
      <c r="D39" s="112">
        <v>14.01</v>
      </c>
      <c r="E39" s="112">
        <v>8.49</v>
      </c>
      <c r="F39" s="112">
        <v>5.92</v>
      </c>
      <c r="G39" s="112">
        <v>47.44</v>
      </c>
      <c r="H39" s="112">
        <v>14.5</v>
      </c>
      <c r="I39" s="112">
        <v>4.28</v>
      </c>
      <c r="J39" s="112">
        <v>0.7</v>
      </c>
      <c r="K39" s="112">
        <v>290.82</v>
      </c>
      <c r="L39" s="112">
        <v>25.33</v>
      </c>
      <c r="M39" s="112">
        <v>86.72</v>
      </c>
      <c r="N39" s="112">
        <v>30.6</v>
      </c>
      <c r="O39" s="112">
        <v>0</v>
      </c>
      <c r="P39" s="112">
        <v>0.34</v>
      </c>
      <c r="Q39" s="112">
        <v>4.66</v>
      </c>
    </row>
    <row r="40" spans="1:17" customFormat="1">
      <c r="A40" s="80">
        <v>45551.333333333336</v>
      </c>
      <c r="B40" s="112">
        <v>9.3000000000000007</v>
      </c>
      <c r="C40" s="112">
        <v>4.0599999999999996</v>
      </c>
      <c r="D40" s="112">
        <v>14.03</v>
      </c>
      <c r="E40" s="112">
        <v>8.24</v>
      </c>
      <c r="F40" s="112">
        <v>5.39</v>
      </c>
      <c r="G40" s="112">
        <v>47.44</v>
      </c>
      <c r="H40" s="112">
        <v>14.5</v>
      </c>
      <c r="I40" s="112">
        <v>4.2699999999999996</v>
      </c>
      <c r="J40" s="112">
        <v>0.85</v>
      </c>
      <c r="K40" s="112">
        <v>291.18</v>
      </c>
      <c r="L40" s="112">
        <v>25.61</v>
      </c>
      <c r="M40" s="112">
        <v>85.12</v>
      </c>
      <c r="N40" s="112">
        <v>52.1</v>
      </c>
      <c r="O40" s="112">
        <v>0</v>
      </c>
      <c r="P40" s="112">
        <v>0.33</v>
      </c>
      <c r="Q40" s="112">
        <v>4.67</v>
      </c>
    </row>
    <row r="41" spans="1:17" customFormat="1">
      <c r="A41" s="80">
        <v>45551.34375</v>
      </c>
      <c r="B41" s="112">
        <v>9.2799999999999994</v>
      </c>
      <c r="C41" s="112">
        <v>4.09</v>
      </c>
      <c r="D41" s="112">
        <v>14.03</v>
      </c>
      <c r="E41" s="112">
        <v>8.3699999999999992</v>
      </c>
      <c r="F41" s="112">
        <v>5.07</v>
      </c>
      <c r="G41" s="112">
        <v>47.44</v>
      </c>
      <c r="H41" s="112">
        <v>14.5</v>
      </c>
      <c r="I41" s="112">
        <v>4.2300000000000004</v>
      </c>
      <c r="J41" s="112">
        <v>0.78</v>
      </c>
      <c r="K41" s="112">
        <v>294.47000000000003</v>
      </c>
      <c r="L41" s="112">
        <v>25.95</v>
      </c>
      <c r="M41" s="112">
        <v>82.89</v>
      </c>
      <c r="N41" s="112">
        <v>48.4</v>
      </c>
      <c r="O41" s="112">
        <v>0</v>
      </c>
      <c r="P41" s="112">
        <v>0.35</v>
      </c>
      <c r="Q41" s="112">
        <v>4.66</v>
      </c>
    </row>
    <row r="42" spans="1:17" customFormat="1">
      <c r="A42" s="80">
        <v>45551.354166666664</v>
      </c>
      <c r="B42" s="112">
        <v>9.27</v>
      </c>
      <c r="C42" s="112">
        <v>4.0999999999999996</v>
      </c>
      <c r="D42" s="112">
        <v>14.03</v>
      </c>
      <c r="E42" s="112">
        <v>8.2200000000000006</v>
      </c>
      <c r="F42" s="112">
        <v>6.57</v>
      </c>
      <c r="G42" s="112">
        <v>47.51</v>
      </c>
      <c r="H42" s="112">
        <v>14.49</v>
      </c>
      <c r="I42" s="112">
        <v>4.25</v>
      </c>
      <c r="J42" s="112">
        <v>0.81</v>
      </c>
      <c r="K42" s="112">
        <v>298.14</v>
      </c>
      <c r="L42" s="112">
        <v>26.07</v>
      </c>
      <c r="M42" s="112">
        <v>81.27</v>
      </c>
      <c r="N42" s="112">
        <v>35.1</v>
      </c>
      <c r="O42" s="112">
        <v>0</v>
      </c>
      <c r="P42" s="112">
        <v>0.36</v>
      </c>
      <c r="Q42" s="112">
        <v>4.6500000000000004</v>
      </c>
    </row>
    <row r="43" spans="1:17" customFormat="1">
      <c r="A43" s="80">
        <v>45551.364583333336</v>
      </c>
      <c r="B43" s="112">
        <v>9.27</v>
      </c>
      <c r="C43" s="112">
        <v>4.0999999999999996</v>
      </c>
      <c r="D43" s="112">
        <v>14.03</v>
      </c>
      <c r="E43" s="112">
        <v>8.43</v>
      </c>
      <c r="F43" s="112">
        <v>6.16</v>
      </c>
      <c r="G43" s="112">
        <v>48.24</v>
      </c>
      <c r="H43" s="112">
        <v>14.34</v>
      </c>
      <c r="I43" s="112">
        <v>4.21</v>
      </c>
      <c r="J43" s="112">
        <v>0.9</v>
      </c>
      <c r="K43" s="112">
        <v>307.3</v>
      </c>
      <c r="L43" s="112">
        <v>26.34</v>
      </c>
      <c r="M43" s="112">
        <v>79.83</v>
      </c>
      <c r="N43" s="112">
        <v>45.5</v>
      </c>
      <c r="O43" s="112">
        <v>0</v>
      </c>
      <c r="P43" s="112">
        <v>0.37</v>
      </c>
      <c r="Q43" s="112">
        <v>4.6399999999999997</v>
      </c>
    </row>
    <row r="44" spans="1:17" customFormat="1">
      <c r="A44" s="80">
        <v>45551.375</v>
      </c>
      <c r="B44" s="112">
        <v>9.2899999999999991</v>
      </c>
      <c r="C44" s="112">
        <v>4.08</v>
      </c>
      <c r="D44" s="112">
        <v>14.03</v>
      </c>
      <c r="E44" s="112">
        <v>8.33</v>
      </c>
      <c r="F44" s="112">
        <v>6.77</v>
      </c>
      <c r="G44" s="112">
        <v>48.24</v>
      </c>
      <c r="H44" s="112">
        <v>14.34</v>
      </c>
      <c r="I44" s="112">
        <v>4.1900000000000004</v>
      </c>
      <c r="J44" s="112">
        <v>0.87</v>
      </c>
      <c r="K44" s="112">
        <v>306.97000000000003</v>
      </c>
      <c r="L44" s="112">
        <v>26.53</v>
      </c>
      <c r="M44" s="112">
        <v>79.81</v>
      </c>
      <c r="N44" s="112">
        <v>72.900000000000006</v>
      </c>
      <c r="O44" s="112">
        <v>0</v>
      </c>
      <c r="P44" s="112">
        <v>0.37</v>
      </c>
      <c r="Q44" s="112">
        <v>4.6399999999999997</v>
      </c>
    </row>
    <row r="45" spans="1:17" customFormat="1">
      <c r="A45" s="80">
        <v>45551.385416666664</v>
      </c>
      <c r="B45" s="112">
        <v>9.2899999999999991</v>
      </c>
      <c r="C45" s="112">
        <v>4.0599999999999996</v>
      </c>
      <c r="D45" s="112">
        <v>14.02</v>
      </c>
      <c r="E45" s="112">
        <v>9.0399999999999991</v>
      </c>
      <c r="F45" s="112">
        <v>5.96</v>
      </c>
      <c r="G45" s="112">
        <v>48.24</v>
      </c>
      <c r="H45" s="112">
        <v>14.34</v>
      </c>
      <c r="I45" s="112">
        <v>4.18</v>
      </c>
      <c r="J45" s="112">
        <v>0.82</v>
      </c>
      <c r="K45" s="112">
        <v>313.5</v>
      </c>
      <c r="L45" s="112">
        <v>26.7</v>
      </c>
      <c r="M45" s="112">
        <v>79.540000000000006</v>
      </c>
      <c r="N45" s="112">
        <v>84.8</v>
      </c>
      <c r="O45" s="112">
        <v>0</v>
      </c>
      <c r="P45" s="112">
        <v>0.39</v>
      </c>
      <c r="Q45" s="112">
        <v>4.6500000000000004</v>
      </c>
    </row>
    <row r="46" spans="1:17" customFormat="1">
      <c r="A46" s="80">
        <v>45551.395833333336</v>
      </c>
      <c r="B46" s="112">
        <v>9.2899999999999991</v>
      </c>
      <c r="C46" s="112">
        <v>4.07</v>
      </c>
      <c r="D46" s="112">
        <v>14.02</v>
      </c>
      <c r="E46" s="112">
        <v>9.49</v>
      </c>
      <c r="F46" s="112">
        <v>5.46</v>
      </c>
      <c r="G46" s="112">
        <v>48.77</v>
      </c>
      <c r="H46" s="112">
        <v>14.27</v>
      </c>
      <c r="I46" s="112">
        <v>4.18</v>
      </c>
      <c r="J46" s="112">
        <v>0.93</v>
      </c>
      <c r="K46" s="112">
        <v>317.73</v>
      </c>
      <c r="L46" s="112">
        <v>27.01</v>
      </c>
      <c r="M46" s="112">
        <v>78.23</v>
      </c>
      <c r="N46" s="112">
        <v>131.6</v>
      </c>
      <c r="O46" s="112">
        <v>0</v>
      </c>
      <c r="P46" s="112">
        <v>0.39</v>
      </c>
      <c r="Q46" s="112">
        <v>4.6500000000000004</v>
      </c>
    </row>
    <row r="47" spans="1:17" customFormat="1">
      <c r="A47" s="80">
        <v>45551.40625</v>
      </c>
      <c r="B47" s="112">
        <v>9.2799999999999994</v>
      </c>
      <c r="C47" s="112">
        <v>4.1100000000000003</v>
      </c>
      <c r="D47" s="112">
        <v>14.04</v>
      </c>
      <c r="E47" s="112">
        <v>9.18</v>
      </c>
      <c r="F47" s="112">
        <v>6.17</v>
      </c>
      <c r="G47" s="112">
        <v>54.18</v>
      </c>
      <c r="H47" s="112">
        <v>13.66</v>
      </c>
      <c r="I47" s="112">
        <v>4.18</v>
      </c>
      <c r="J47" s="112">
        <v>0.82</v>
      </c>
      <c r="K47" s="112">
        <v>317.44</v>
      </c>
      <c r="L47" s="112">
        <v>27.09</v>
      </c>
      <c r="M47" s="112">
        <v>77.25</v>
      </c>
      <c r="N47" s="112">
        <v>113.8</v>
      </c>
      <c r="O47" s="112">
        <v>0</v>
      </c>
      <c r="P47" s="112">
        <v>0.4</v>
      </c>
      <c r="Q47" s="112">
        <v>4.66</v>
      </c>
    </row>
    <row r="48" spans="1:17" customFormat="1">
      <c r="A48" s="80">
        <v>45551.416666666664</v>
      </c>
      <c r="B48" s="112">
        <v>9.2799999999999994</v>
      </c>
      <c r="C48" s="112">
        <v>4.07</v>
      </c>
      <c r="D48" s="112">
        <v>14.01</v>
      </c>
      <c r="E48" s="112">
        <v>8.8000000000000007</v>
      </c>
      <c r="F48" s="112">
        <v>5.75</v>
      </c>
      <c r="G48" s="112">
        <v>54.18</v>
      </c>
      <c r="H48" s="112">
        <v>13.66</v>
      </c>
      <c r="I48" s="112">
        <v>4.24</v>
      </c>
      <c r="J48" s="112">
        <v>0.91</v>
      </c>
      <c r="K48" s="112">
        <v>319.07</v>
      </c>
      <c r="L48" s="112">
        <v>27.39</v>
      </c>
      <c r="M48" s="112">
        <v>75.209999999999994</v>
      </c>
      <c r="N48" s="112">
        <v>184.1</v>
      </c>
      <c r="O48" s="112">
        <v>0</v>
      </c>
      <c r="P48" s="112">
        <v>0.4</v>
      </c>
      <c r="Q48" s="112">
        <v>4.6500000000000004</v>
      </c>
    </row>
    <row r="49" spans="1:17" customFormat="1">
      <c r="A49" s="80">
        <v>45551.427083333336</v>
      </c>
      <c r="B49" s="112">
        <v>9.26</v>
      </c>
      <c r="C49" s="112">
        <v>4.09</v>
      </c>
      <c r="D49" s="112">
        <v>14.01</v>
      </c>
      <c r="E49" s="112">
        <v>7.77</v>
      </c>
      <c r="F49" s="112">
        <v>6.18</v>
      </c>
      <c r="G49" s="112">
        <v>54.18</v>
      </c>
      <c r="H49" s="112">
        <v>13.66</v>
      </c>
      <c r="I49" s="112">
        <v>4.41</v>
      </c>
      <c r="J49" s="112">
        <v>0.86</v>
      </c>
      <c r="K49" s="112">
        <v>314.7</v>
      </c>
      <c r="L49" s="112">
        <v>27.9</v>
      </c>
      <c r="M49" s="112">
        <v>73.92</v>
      </c>
      <c r="N49" s="112">
        <v>201.2</v>
      </c>
      <c r="O49" s="112">
        <v>0</v>
      </c>
      <c r="P49" s="112">
        <v>0.41</v>
      </c>
      <c r="Q49" s="112">
        <v>4.67</v>
      </c>
    </row>
    <row r="50" spans="1:17" customFormat="1">
      <c r="A50" s="80">
        <v>45551.4375</v>
      </c>
      <c r="B50" s="112">
        <v>9.27</v>
      </c>
      <c r="C50" s="112">
        <v>4.07</v>
      </c>
      <c r="D50" s="112">
        <v>14.01</v>
      </c>
      <c r="E50" s="112">
        <v>9.73</v>
      </c>
      <c r="F50" s="112">
        <v>6.21</v>
      </c>
      <c r="G50" s="112">
        <v>55.06</v>
      </c>
      <c r="H50" s="112">
        <v>14.44</v>
      </c>
      <c r="I50" s="112">
        <v>4.25</v>
      </c>
      <c r="J50" s="112">
        <v>0.8</v>
      </c>
      <c r="K50" s="112">
        <v>306.25</v>
      </c>
      <c r="L50" s="112">
        <v>28.1</v>
      </c>
      <c r="M50" s="112">
        <v>73.41</v>
      </c>
      <c r="N50" s="112">
        <v>139.1</v>
      </c>
      <c r="O50" s="112">
        <v>0</v>
      </c>
      <c r="P50" s="112">
        <v>0.42</v>
      </c>
      <c r="Q50" s="112">
        <v>4.6500000000000004</v>
      </c>
    </row>
    <row r="51" spans="1:17" customFormat="1">
      <c r="A51" s="80">
        <v>45551.447916666664</v>
      </c>
      <c r="B51" s="112">
        <v>9.26</v>
      </c>
      <c r="C51" s="112">
        <v>4.07</v>
      </c>
      <c r="D51" s="112">
        <v>14</v>
      </c>
      <c r="E51" s="112">
        <v>9.93</v>
      </c>
      <c r="F51" s="112">
        <v>5.61</v>
      </c>
      <c r="G51" s="112">
        <v>64.08</v>
      </c>
      <c r="H51" s="112">
        <v>20.18</v>
      </c>
      <c r="I51" s="112">
        <v>4.38</v>
      </c>
      <c r="J51" s="112">
        <v>1.02</v>
      </c>
      <c r="K51" s="112">
        <v>303.24</v>
      </c>
      <c r="L51" s="112">
        <v>28.11</v>
      </c>
      <c r="M51" s="112">
        <v>72.62</v>
      </c>
      <c r="N51" s="112">
        <v>174.7</v>
      </c>
      <c r="O51" s="112">
        <v>0</v>
      </c>
      <c r="P51" s="112">
        <v>0.41</v>
      </c>
      <c r="Q51" s="112">
        <v>4.66</v>
      </c>
    </row>
    <row r="52" spans="1:17" customFormat="1">
      <c r="A52" s="80">
        <v>45551.458333333336</v>
      </c>
      <c r="B52" s="112">
        <v>9.26</v>
      </c>
      <c r="C52" s="112">
        <v>4.07</v>
      </c>
      <c r="D52" s="112">
        <v>14</v>
      </c>
      <c r="E52" s="112">
        <v>9.07</v>
      </c>
      <c r="F52" s="112">
        <v>5.74</v>
      </c>
      <c r="G52" s="112">
        <v>64.08</v>
      </c>
      <c r="H52" s="112">
        <v>20.18</v>
      </c>
      <c r="I52" s="112">
        <v>4.21</v>
      </c>
      <c r="J52" s="112">
        <v>1</v>
      </c>
      <c r="K52" s="112">
        <v>311.72000000000003</v>
      </c>
      <c r="L52" s="112">
        <v>28.6</v>
      </c>
      <c r="M52" s="112">
        <v>70.650000000000006</v>
      </c>
      <c r="N52" s="112">
        <v>358</v>
      </c>
      <c r="O52" s="112">
        <v>0</v>
      </c>
      <c r="P52" s="112">
        <v>0.41</v>
      </c>
      <c r="Q52" s="112">
        <v>4.6500000000000004</v>
      </c>
    </row>
    <row r="53" spans="1:17" customFormat="1">
      <c r="A53" s="80">
        <v>45551.46875</v>
      </c>
      <c r="B53" s="112">
        <v>9.24</v>
      </c>
      <c r="C53" s="112">
        <v>4.0999999999999996</v>
      </c>
      <c r="D53" s="112">
        <v>14</v>
      </c>
      <c r="E53" s="112">
        <v>9.32</v>
      </c>
      <c r="F53" s="112">
        <v>5.6</v>
      </c>
      <c r="G53" s="112">
        <v>64.08</v>
      </c>
      <c r="H53" s="112">
        <v>20.18</v>
      </c>
      <c r="I53" s="112">
        <v>4.26</v>
      </c>
      <c r="J53" s="112">
        <v>0.99</v>
      </c>
      <c r="K53" s="112">
        <v>314.43</v>
      </c>
      <c r="L53" s="112">
        <v>29.23</v>
      </c>
      <c r="M53" s="112">
        <v>68.23</v>
      </c>
      <c r="N53" s="112">
        <v>346.9</v>
      </c>
      <c r="O53" s="112">
        <v>0</v>
      </c>
      <c r="P53" s="112">
        <v>0.41</v>
      </c>
      <c r="Q53" s="112">
        <v>4.66</v>
      </c>
    </row>
    <row r="54" spans="1:17" customFormat="1">
      <c r="A54" s="80">
        <v>45551.479166666664</v>
      </c>
      <c r="B54" s="112">
        <v>9.24</v>
      </c>
      <c r="C54" s="112">
        <v>4.0999999999999996</v>
      </c>
      <c r="D54" s="112">
        <v>14</v>
      </c>
      <c r="E54" s="112">
        <v>9.75</v>
      </c>
      <c r="F54" s="112">
        <v>7.21</v>
      </c>
      <c r="G54" s="112">
        <v>64.31</v>
      </c>
      <c r="H54" s="112">
        <v>19.86</v>
      </c>
      <c r="I54" s="112">
        <v>4.42</v>
      </c>
      <c r="J54" s="112">
        <v>1.08</v>
      </c>
      <c r="K54" s="112">
        <v>306.89999999999998</v>
      </c>
      <c r="L54" s="112">
        <v>29.56</v>
      </c>
      <c r="M54" s="112">
        <v>66.98</v>
      </c>
      <c r="N54" s="112">
        <v>513.29999999999995</v>
      </c>
      <c r="O54" s="112">
        <v>0</v>
      </c>
      <c r="P54" s="112">
        <v>0.41</v>
      </c>
      <c r="Q54" s="112">
        <v>4.66</v>
      </c>
    </row>
    <row r="55" spans="1:17" customFormat="1">
      <c r="A55" s="80">
        <v>45551.489583333336</v>
      </c>
      <c r="B55" s="112">
        <v>9.23</v>
      </c>
      <c r="C55" s="112">
        <v>4.1100000000000003</v>
      </c>
      <c r="D55" s="112">
        <v>14</v>
      </c>
      <c r="E55" s="112">
        <v>9.68</v>
      </c>
      <c r="F55" s="112">
        <v>7.26</v>
      </c>
      <c r="G55" s="112">
        <v>66.709999999999994</v>
      </c>
      <c r="H55" s="112">
        <v>17.46</v>
      </c>
      <c r="I55" s="112">
        <v>4.3899999999999997</v>
      </c>
      <c r="J55" s="112">
        <v>1.1100000000000001</v>
      </c>
      <c r="K55" s="112">
        <v>323.48</v>
      </c>
      <c r="L55" s="112">
        <v>29.13</v>
      </c>
      <c r="M55" s="112">
        <v>67.72</v>
      </c>
      <c r="N55" s="112">
        <v>146.19999999999999</v>
      </c>
      <c r="O55" s="112">
        <v>0</v>
      </c>
      <c r="P55" s="112">
        <v>0.41</v>
      </c>
      <c r="Q55" s="112">
        <v>4.6500000000000004</v>
      </c>
    </row>
    <row r="56" spans="1:17" customFormat="1">
      <c r="A56" s="80">
        <v>45551.5</v>
      </c>
      <c r="B56" s="112">
        <v>9.23</v>
      </c>
      <c r="C56" s="112">
        <v>4.1100000000000003</v>
      </c>
      <c r="D56" s="112">
        <v>14</v>
      </c>
      <c r="E56" s="112">
        <v>9.7799999999999994</v>
      </c>
      <c r="F56" s="112">
        <v>6.93</v>
      </c>
      <c r="G56" s="112">
        <v>66.709999999999994</v>
      </c>
      <c r="H56" s="112">
        <v>17.46</v>
      </c>
      <c r="I56" s="112">
        <v>4.29</v>
      </c>
      <c r="J56" s="112">
        <v>0.77</v>
      </c>
      <c r="K56" s="112">
        <v>317.88</v>
      </c>
      <c r="L56" s="112">
        <v>28.68</v>
      </c>
      <c r="M56" s="112">
        <v>69.67</v>
      </c>
      <c r="N56" s="112">
        <v>94.8</v>
      </c>
      <c r="O56" s="112">
        <v>0</v>
      </c>
      <c r="P56" s="112">
        <v>0.4</v>
      </c>
      <c r="Q56" s="112">
        <v>4.6500000000000004</v>
      </c>
    </row>
    <row r="57" spans="1:17" customFormat="1">
      <c r="A57" s="80">
        <v>45551.510416666664</v>
      </c>
      <c r="B57" s="112">
        <v>9.24</v>
      </c>
      <c r="C57" s="112">
        <v>4.0999999999999996</v>
      </c>
      <c r="D57" s="112">
        <v>14</v>
      </c>
      <c r="E57" s="112">
        <v>10.09</v>
      </c>
      <c r="F57" s="112">
        <v>6.33</v>
      </c>
      <c r="G57" s="112">
        <v>66.709999999999994</v>
      </c>
      <c r="H57" s="112">
        <v>17.46</v>
      </c>
      <c r="I57" s="112">
        <v>4.25</v>
      </c>
      <c r="J57" s="112">
        <v>1.31</v>
      </c>
      <c r="K57" s="112">
        <v>318.35000000000002</v>
      </c>
      <c r="L57" s="112">
        <v>28.47</v>
      </c>
      <c r="M57" s="112">
        <v>70.25</v>
      </c>
      <c r="N57" s="112">
        <v>118.8</v>
      </c>
      <c r="O57" s="112">
        <v>0</v>
      </c>
      <c r="P57" s="112">
        <v>0.4</v>
      </c>
      <c r="Q57" s="112">
        <v>4.66</v>
      </c>
    </row>
    <row r="58" spans="1:17" customFormat="1">
      <c r="A58" s="80">
        <v>45551.520833333336</v>
      </c>
      <c r="B58" s="112">
        <v>9.24</v>
      </c>
      <c r="C58" s="112">
        <v>4.0999999999999996</v>
      </c>
      <c r="D58" s="112">
        <v>14</v>
      </c>
      <c r="E58" s="112">
        <v>10.199999999999999</v>
      </c>
      <c r="F58" s="112">
        <v>6.65</v>
      </c>
      <c r="G58" s="112">
        <v>66.5</v>
      </c>
      <c r="H58" s="112">
        <v>17.420000000000002</v>
      </c>
      <c r="I58" s="112">
        <v>4.25</v>
      </c>
      <c r="J58" s="112">
        <v>0.94</v>
      </c>
      <c r="K58" s="112">
        <v>314.7</v>
      </c>
      <c r="L58" s="112">
        <v>28.22</v>
      </c>
      <c r="M58" s="112">
        <v>73.41</v>
      </c>
      <c r="N58" s="112">
        <v>129.5</v>
      </c>
      <c r="O58" s="112">
        <v>0</v>
      </c>
      <c r="P58" s="112">
        <v>0.4</v>
      </c>
      <c r="Q58" s="112">
        <v>4.66</v>
      </c>
    </row>
    <row r="59" spans="1:17" customFormat="1">
      <c r="A59" s="80">
        <v>45551.53125</v>
      </c>
      <c r="B59" s="112">
        <v>9.24</v>
      </c>
      <c r="C59" s="112">
        <v>4.0999999999999996</v>
      </c>
      <c r="D59" s="112">
        <v>14</v>
      </c>
      <c r="E59" s="112">
        <v>10.24</v>
      </c>
      <c r="F59" s="112">
        <v>6.53</v>
      </c>
      <c r="G59" s="112">
        <v>64.39</v>
      </c>
      <c r="H59" s="112">
        <v>17.07</v>
      </c>
      <c r="I59" s="112">
        <v>4.1900000000000004</v>
      </c>
      <c r="J59" s="112">
        <v>0.7</v>
      </c>
      <c r="K59" s="112">
        <v>331.65</v>
      </c>
      <c r="L59" s="112">
        <v>27.41</v>
      </c>
      <c r="M59" s="112">
        <v>77.84</v>
      </c>
      <c r="N59" s="112">
        <v>59.7</v>
      </c>
      <c r="O59" s="112">
        <v>0.2</v>
      </c>
      <c r="P59" s="112">
        <v>0.4</v>
      </c>
      <c r="Q59" s="112">
        <v>4.6500000000000004</v>
      </c>
    </row>
    <row r="60" spans="1:17" customFormat="1">
      <c r="A60" s="80">
        <v>45551.541666666664</v>
      </c>
      <c r="B60" s="112">
        <v>9.24</v>
      </c>
      <c r="C60" s="112">
        <v>4.0999999999999996</v>
      </c>
      <c r="D60" s="112">
        <v>14</v>
      </c>
      <c r="E60" s="112">
        <v>10.32</v>
      </c>
      <c r="F60" s="112">
        <v>5.65</v>
      </c>
      <c r="G60" s="112">
        <v>64.39</v>
      </c>
      <c r="H60" s="112">
        <v>17.07</v>
      </c>
      <c r="I60" s="112">
        <v>4.18</v>
      </c>
      <c r="J60" s="112">
        <v>0.68</v>
      </c>
      <c r="K60" s="112">
        <v>313.17</v>
      </c>
      <c r="L60" s="112">
        <v>26.98</v>
      </c>
      <c r="M60" s="112">
        <v>80.3</v>
      </c>
      <c r="N60" s="112">
        <v>70.400000000000006</v>
      </c>
      <c r="O60" s="112">
        <v>0</v>
      </c>
      <c r="P60" s="112">
        <v>0.4</v>
      </c>
      <c r="Q60" s="112">
        <v>4.6399999999999997</v>
      </c>
    </row>
    <row r="61" spans="1:17" customFormat="1">
      <c r="A61" s="80">
        <v>45551.552083333336</v>
      </c>
      <c r="B61" s="112">
        <v>9.24</v>
      </c>
      <c r="C61" s="112">
        <v>4.0999999999999996</v>
      </c>
      <c r="D61" s="112">
        <v>14</v>
      </c>
      <c r="E61" s="112">
        <v>10.33</v>
      </c>
      <c r="F61" s="112">
        <v>4.84</v>
      </c>
      <c r="G61" s="112">
        <v>64.39</v>
      </c>
      <c r="H61" s="112">
        <v>17.07</v>
      </c>
      <c r="I61" s="112">
        <v>4.1399999999999997</v>
      </c>
      <c r="J61" s="112">
        <v>0.69</v>
      </c>
      <c r="K61" s="112">
        <v>293.02999999999997</v>
      </c>
      <c r="L61" s="112">
        <v>27.08</v>
      </c>
      <c r="M61" s="112">
        <v>78.430000000000007</v>
      </c>
      <c r="N61" s="112">
        <v>58.6</v>
      </c>
      <c r="O61" s="112">
        <v>0</v>
      </c>
      <c r="P61" s="112">
        <v>0.4</v>
      </c>
      <c r="Q61" s="112">
        <v>4.6500000000000004</v>
      </c>
    </row>
    <row r="62" spans="1:17" customFormat="1">
      <c r="A62" s="80">
        <v>45551.5625</v>
      </c>
      <c r="B62" s="112">
        <v>9.26</v>
      </c>
      <c r="C62" s="112">
        <v>4.08</v>
      </c>
      <c r="D62" s="112">
        <v>14.01</v>
      </c>
      <c r="E62" s="112">
        <v>9.64</v>
      </c>
      <c r="F62" s="112">
        <v>5.16</v>
      </c>
      <c r="G62" s="112">
        <v>64.510000000000005</v>
      </c>
      <c r="H62" s="112">
        <v>17</v>
      </c>
      <c r="I62" s="112">
        <v>3.98</v>
      </c>
      <c r="J62" s="112">
        <v>0.7</v>
      </c>
      <c r="K62" s="112">
        <v>311.3</v>
      </c>
      <c r="L62" s="112">
        <v>27.11</v>
      </c>
      <c r="M62" s="112">
        <v>78.2</v>
      </c>
      <c r="N62" s="112">
        <v>39.4</v>
      </c>
      <c r="O62" s="112">
        <v>0</v>
      </c>
      <c r="P62" s="112">
        <v>0.4</v>
      </c>
      <c r="Q62" s="112">
        <v>4.6399999999999997</v>
      </c>
    </row>
    <row r="63" spans="1:17" customFormat="1">
      <c r="A63" s="80">
        <v>45551.572916666664</v>
      </c>
      <c r="B63" s="112">
        <v>9.2799999999999994</v>
      </c>
      <c r="C63" s="112">
        <v>4.0599999999999996</v>
      </c>
      <c r="D63" s="112">
        <v>14.01</v>
      </c>
      <c r="E63" s="112">
        <v>9.91</v>
      </c>
      <c r="F63" s="112">
        <v>5.85</v>
      </c>
      <c r="G63" s="112">
        <v>65.8</v>
      </c>
      <c r="H63" s="112">
        <v>16.489999999999998</v>
      </c>
      <c r="I63" s="112">
        <v>4.12</v>
      </c>
      <c r="J63" s="112">
        <v>0.92</v>
      </c>
      <c r="K63" s="112">
        <v>303.5</v>
      </c>
      <c r="L63" s="112">
        <v>27.32</v>
      </c>
      <c r="M63" s="112">
        <v>77.5</v>
      </c>
      <c r="N63" s="112">
        <v>32.200000000000003</v>
      </c>
      <c r="O63" s="112">
        <v>0</v>
      </c>
      <c r="P63" s="112">
        <v>0.41</v>
      </c>
      <c r="Q63" s="112">
        <v>4.6500000000000004</v>
      </c>
    </row>
    <row r="64" spans="1:17" customFormat="1">
      <c r="A64" s="80">
        <v>45551.583333333336</v>
      </c>
      <c r="B64" s="112">
        <v>9.27</v>
      </c>
      <c r="C64" s="112">
        <v>4.08</v>
      </c>
      <c r="D64" s="112">
        <v>14.02</v>
      </c>
      <c r="E64" s="112">
        <v>9.25</v>
      </c>
      <c r="F64" s="112">
        <v>5.64</v>
      </c>
      <c r="G64" s="112">
        <v>65.8</v>
      </c>
      <c r="H64" s="112">
        <v>16.489999999999998</v>
      </c>
      <c r="I64" s="112">
        <v>4.3099999999999996</v>
      </c>
      <c r="J64" s="112">
        <v>0.9</v>
      </c>
      <c r="K64" s="112">
        <v>301.83</v>
      </c>
      <c r="L64" s="112">
        <v>27.51</v>
      </c>
      <c r="M64" s="112">
        <v>76.8</v>
      </c>
      <c r="N64" s="112">
        <v>45</v>
      </c>
      <c r="O64" s="112">
        <v>0</v>
      </c>
      <c r="P64" s="112">
        <v>0.4</v>
      </c>
      <c r="Q64" s="112">
        <v>4.6399999999999997</v>
      </c>
    </row>
    <row r="65" spans="1:17" customFormat="1">
      <c r="A65" s="80">
        <v>45551.59375</v>
      </c>
      <c r="B65" s="112">
        <v>9.2899999999999991</v>
      </c>
      <c r="C65" s="112">
        <v>4.0999999999999996</v>
      </c>
      <c r="D65" s="112">
        <v>14.04</v>
      </c>
      <c r="E65" s="112">
        <v>9.81</v>
      </c>
      <c r="F65" s="112">
        <v>5.69</v>
      </c>
      <c r="G65" s="112">
        <v>65.8</v>
      </c>
      <c r="H65" s="112">
        <v>16.489999999999998</v>
      </c>
      <c r="I65" s="112">
        <v>4.32</v>
      </c>
      <c r="J65" s="112">
        <v>0.86</v>
      </c>
      <c r="K65" s="112">
        <v>316.27999999999997</v>
      </c>
      <c r="L65" s="112">
        <v>27.52</v>
      </c>
      <c r="M65" s="112">
        <v>76.53</v>
      </c>
      <c r="N65" s="112">
        <v>42.6</v>
      </c>
      <c r="O65" s="112">
        <v>0</v>
      </c>
      <c r="P65" s="112">
        <v>0.35</v>
      </c>
      <c r="Q65" s="112">
        <v>4.6399999999999997</v>
      </c>
    </row>
    <row r="66" spans="1:17" customFormat="1">
      <c r="A66" s="80">
        <v>45551.604166666664</v>
      </c>
      <c r="B66" s="112">
        <v>9.2799999999999994</v>
      </c>
      <c r="C66" s="112">
        <v>4.0999999999999996</v>
      </c>
      <c r="D66" s="112">
        <v>14.03</v>
      </c>
      <c r="E66" s="112">
        <v>9.57</v>
      </c>
      <c r="F66" s="112">
        <v>5.29</v>
      </c>
      <c r="G66" s="112">
        <v>65.400000000000006</v>
      </c>
      <c r="H66" s="112">
        <v>16.27</v>
      </c>
      <c r="I66" s="112">
        <v>4.3099999999999996</v>
      </c>
      <c r="J66" s="112">
        <v>0.73</v>
      </c>
      <c r="K66" s="112">
        <v>304.68</v>
      </c>
      <c r="L66" s="112">
        <v>27.32</v>
      </c>
      <c r="M66" s="112">
        <v>77.67</v>
      </c>
      <c r="N66" s="112">
        <v>20.100000000000001</v>
      </c>
      <c r="O66" s="112">
        <v>0</v>
      </c>
      <c r="P66" s="112">
        <v>0.37</v>
      </c>
      <c r="Q66" s="112">
        <v>4.6399999999999997</v>
      </c>
    </row>
    <row r="67" spans="1:17" customFormat="1">
      <c r="A67" s="80">
        <v>45551.614583333336</v>
      </c>
      <c r="B67" s="112">
        <v>9.2799999999999994</v>
      </c>
      <c r="C67" s="112">
        <v>4.08</v>
      </c>
      <c r="D67" s="112">
        <v>14.02</v>
      </c>
      <c r="E67" s="112">
        <v>8.8800000000000008</v>
      </c>
      <c r="F67" s="112">
        <v>5.59</v>
      </c>
      <c r="G67" s="112">
        <v>61.86</v>
      </c>
      <c r="H67" s="112">
        <v>14.62</v>
      </c>
      <c r="I67" s="112">
        <v>4.33</v>
      </c>
      <c r="J67" s="112">
        <v>0.84</v>
      </c>
      <c r="K67" s="112">
        <v>310.92</v>
      </c>
      <c r="L67" s="112">
        <v>26.97</v>
      </c>
      <c r="M67" s="112">
        <v>77.510000000000005</v>
      </c>
      <c r="N67" s="112">
        <v>24</v>
      </c>
      <c r="O67" s="112">
        <v>0</v>
      </c>
      <c r="P67" s="112">
        <v>0.37</v>
      </c>
      <c r="Q67" s="112">
        <v>4.6399999999999997</v>
      </c>
    </row>
    <row r="68" spans="1:17" customFormat="1">
      <c r="A68" s="80">
        <v>45551.625</v>
      </c>
      <c r="B68" s="112">
        <v>9.2799999999999994</v>
      </c>
      <c r="C68" s="112">
        <v>4.07</v>
      </c>
      <c r="D68" s="112">
        <v>14.02</v>
      </c>
      <c r="E68" s="112">
        <v>8.7200000000000006</v>
      </c>
      <c r="F68" s="112">
        <v>5.6</v>
      </c>
      <c r="G68" s="112">
        <v>61.86</v>
      </c>
      <c r="H68" s="112">
        <v>14.62</v>
      </c>
      <c r="I68" s="112">
        <v>4.32</v>
      </c>
      <c r="J68" s="112">
        <v>0.82</v>
      </c>
      <c r="K68" s="112">
        <v>311.11</v>
      </c>
      <c r="L68" s="112">
        <v>27.1</v>
      </c>
      <c r="M68" s="112">
        <v>76.77</v>
      </c>
      <c r="N68" s="112">
        <v>36.6</v>
      </c>
      <c r="O68" s="112">
        <v>0</v>
      </c>
      <c r="P68" s="112">
        <v>0.38</v>
      </c>
      <c r="Q68" s="112">
        <v>4.6399999999999997</v>
      </c>
    </row>
    <row r="69" spans="1:17" customFormat="1">
      <c r="A69" s="80">
        <v>45551.635416666664</v>
      </c>
      <c r="B69" s="112">
        <v>9.26</v>
      </c>
      <c r="C69" s="112">
        <v>4.07</v>
      </c>
      <c r="D69" s="112">
        <v>14.01</v>
      </c>
      <c r="E69" s="112">
        <v>8.6199999999999992</v>
      </c>
      <c r="F69" s="112">
        <v>5.91</v>
      </c>
      <c r="G69" s="112">
        <v>61.86</v>
      </c>
      <c r="H69" s="112">
        <v>14.62</v>
      </c>
      <c r="I69" s="112">
        <v>4.2699999999999996</v>
      </c>
      <c r="J69" s="112">
        <v>0.71</v>
      </c>
      <c r="K69" s="112">
        <v>308.20999999999998</v>
      </c>
      <c r="L69" s="112">
        <v>27.2</v>
      </c>
      <c r="M69" s="112">
        <v>76.25</v>
      </c>
      <c r="N69" s="112">
        <v>49.1</v>
      </c>
      <c r="O69" s="112">
        <v>0</v>
      </c>
      <c r="P69" s="112">
        <v>0.37</v>
      </c>
      <c r="Q69" s="112">
        <v>4.63</v>
      </c>
    </row>
    <row r="70" spans="1:17" customFormat="1">
      <c r="A70" s="80">
        <v>45551.645833333336</v>
      </c>
      <c r="B70" s="112">
        <v>9.27</v>
      </c>
      <c r="C70" s="112">
        <v>4.07</v>
      </c>
      <c r="D70" s="112">
        <v>14.01</v>
      </c>
      <c r="E70" s="112">
        <v>8.3699999999999992</v>
      </c>
      <c r="F70" s="112">
        <v>6.12</v>
      </c>
      <c r="G70" s="112">
        <v>62.45</v>
      </c>
      <c r="H70" s="112">
        <v>14.49</v>
      </c>
      <c r="I70" s="112">
        <v>4.21</v>
      </c>
      <c r="J70" s="112">
        <v>0.7</v>
      </c>
      <c r="K70" s="112">
        <v>317.60000000000002</v>
      </c>
      <c r="L70" s="112">
        <v>27.37</v>
      </c>
      <c r="M70" s="112">
        <v>76.36</v>
      </c>
      <c r="N70" s="112">
        <v>46.4</v>
      </c>
      <c r="O70" s="112">
        <v>0</v>
      </c>
      <c r="P70" s="112">
        <v>0.38</v>
      </c>
      <c r="Q70" s="112">
        <v>4.6500000000000004</v>
      </c>
    </row>
    <row r="71" spans="1:17" customFormat="1">
      <c r="A71" s="80">
        <v>45551.65625</v>
      </c>
      <c r="B71" s="112">
        <v>9.2799999999999994</v>
      </c>
      <c r="C71" s="112">
        <v>4.08</v>
      </c>
      <c r="D71" s="112">
        <v>14.02</v>
      </c>
      <c r="E71" s="112">
        <v>8.73</v>
      </c>
      <c r="F71" s="112">
        <v>6.23</v>
      </c>
      <c r="G71" s="112">
        <v>67.709999999999994</v>
      </c>
      <c r="H71" s="112">
        <v>13.55</v>
      </c>
      <c r="I71" s="112">
        <v>4.33</v>
      </c>
      <c r="J71" s="112">
        <v>0.82</v>
      </c>
      <c r="K71" s="112">
        <v>307.57</v>
      </c>
      <c r="L71" s="112">
        <v>27.49</v>
      </c>
      <c r="M71" s="112">
        <v>76.38</v>
      </c>
      <c r="N71" s="112">
        <v>46.2</v>
      </c>
      <c r="O71" s="112">
        <v>0</v>
      </c>
      <c r="P71" s="112">
        <v>0.37</v>
      </c>
      <c r="Q71" s="112">
        <v>4.6500000000000004</v>
      </c>
    </row>
    <row r="72" spans="1:17" customFormat="1">
      <c r="A72" s="80">
        <v>45551.666666666664</v>
      </c>
      <c r="B72" s="112">
        <v>9.27</v>
      </c>
      <c r="C72" s="112">
        <v>4.0599999999999996</v>
      </c>
      <c r="D72" s="112">
        <v>14</v>
      </c>
      <c r="E72" s="112">
        <v>8.34</v>
      </c>
      <c r="F72" s="112">
        <v>6.09</v>
      </c>
      <c r="G72" s="112">
        <v>67.709999999999994</v>
      </c>
      <c r="H72" s="112">
        <v>13.55</v>
      </c>
      <c r="I72" s="112">
        <v>4.18</v>
      </c>
      <c r="J72" s="112">
        <v>0.71</v>
      </c>
      <c r="K72" s="112">
        <v>300.88</v>
      </c>
      <c r="L72" s="112">
        <v>27.82</v>
      </c>
      <c r="M72" s="112">
        <v>76.5</v>
      </c>
      <c r="N72" s="112">
        <v>59.5</v>
      </c>
      <c r="O72" s="112">
        <v>0</v>
      </c>
      <c r="P72" s="112">
        <v>0.37</v>
      </c>
      <c r="Q72" s="112">
        <v>4.63</v>
      </c>
    </row>
    <row r="73" spans="1:17" customFormat="1">
      <c r="A73" s="80">
        <v>45551.677083333336</v>
      </c>
      <c r="B73" s="112">
        <v>9.26</v>
      </c>
      <c r="C73" s="112">
        <v>4.07</v>
      </c>
      <c r="D73" s="112">
        <v>14</v>
      </c>
      <c r="E73" s="112">
        <v>8.52</v>
      </c>
      <c r="F73" s="112">
        <v>6.03</v>
      </c>
      <c r="G73" s="112">
        <v>67.709999999999994</v>
      </c>
      <c r="H73" s="112">
        <v>13.55</v>
      </c>
      <c r="I73" s="112">
        <v>4.4400000000000004</v>
      </c>
      <c r="J73" s="112">
        <v>0.82</v>
      </c>
      <c r="K73" s="112">
        <v>295.43</v>
      </c>
      <c r="L73" s="112">
        <v>27.93</v>
      </c>
      <c r="M73" s="112">
        <v>75.819999999999993</v>
      </c>
      <c r="N73" s="112">
        <v>50</v>
      </c>
      <c r="O73" s="112">
        <v>0</v>
      </c>
      <c r="P73" s="112">
        <v>0.37</v>
      </c>
      <c r="Q73" s="112">
        <v>4.6399999999999997</v>
      </c>
    </row>
    <row r="74" spans="1:17" customFormat="1">
      <c r="A74" s="80">
        <v>45551.6875</v>
      </c>
      <c r="B74" s="112">
        <v>9.24</v>
      </c>
      <c r="C74" s="112">
        <v>4.0999999999999996</v>
      </c>
      <c r="D74" s="112">
        <v>14</v>
      </c>
      <c r="E74" s="112">
        <v>8.39</v>
      </c>
      <c r="F74" s="112">
        <v>6.07</v>
      </c>
      <c r="G74" s="112">
        <v>67.94</v>
      </c>
      <c r="H74" s="112">
        <v>13.67</v>
      </c>
      <c r="I74" s="112">
        <v>4.41</v>
      </c>
      <c r="J74" s="112">
        <v>0.83</v>
      </c>
      <c r="K74" s="112">
        <v>298.67</v>
      </c>
      <c r="L74" s="112">
        <v>27.91</v>
      </c>
      <c r="M74" s="112">
        <v>75.2</v>
      </c>
      <c r="N74" s="112">
        <v>35.5</v>
      </c>
      <c r="O74" s="112">
        <v>0</v>
      </c>
      <c r="P74" s="112">
        <v>0.38</v>
      </c>
      <c r="Q74" s="112">
        <v>4.6399999999999997</v>
      </c>
    </row>
    <row r="75" spans="1:17" customFormat="1">
      <c r="A75" s="80">
        <v>45551.697916666664</v>
      </c>
      <c r="B75" s="112">
        <v>9.25</v>
      </c>
      <c r="C75" s="112">
        <v>4.08</v>
      </c>
      <c r="D75" s="112">
        <v>14</v>
      </c>
      <c r="E75" s="112">
        <v>8.4700000000000006</v>
      </c>
      <c r="F75" s="112">
        <v>6.42</v>
      </c>
      <c r="G75" s="112">
        <v>69.98</v>
      </c>
      <c r="H75" s="112">
        <v>14.52</v>
      </c>
      <c r="I75" s="112">
        <v>4.4000000000000004</v>
      </c>
      <c r="J75" s="112">
        <v>0.72</v>
      </c>
      <c r="K75" s="112">
        <v>286.64</v>
      </c>
      <c r="L75" s="112">
        <v>28.04</v>
      </c>
      <c r="M75" s="112">
        <v>75.08</v>
      </c>
      <c r="N75" s="112">
        <v>46</v>
      </c>
      <c r="O75" s="112">
        <v>0</v>
      </c>
      <c r="P75" s="112">
        <v>0.38</v>
      </c>
      <c r="Q75" s="112">
        <v>4.6399999999999997</v>
      </c>
    </row>
    <row r="76" spans="1:17" customFormat="1">
      <c r="A76" s="80">
        <v>45551.708333333336</v>
      </c>
      <c r="B76" s="112">
        <v>9.26</v>
      </c>
      <c r="C76" s="112">
        <v>4.0599999999999996</v>
      </c>
      <c r="D76" s="112">
        <v>14</v>
      </c>
      <c r="E76" s="112">
        <v>8.36</v>
      </c>
      <c r="F76" s="112">
        <v>6.79</v>
      </c>
      <c r="G76" s="112">
        <v>69.98</v>
      </c>
      <c r="H76" s="112">
        <v>14.52</v>
      </c>
      <c r="I76" s="112">
        <v>4.4000000000000004</v>
      </c>
      <c r="J76" s="112">
        <v>0.79</v>
      </c>
      <c r="K76" s="112">
        <v>288.37</v>
      </c>
      <c r="L76" s="112">
        <v>28.05</v>
      </c>
      <c r="M76" s="112">
        <v>75.959999999999994</v>
      </c>
      <c r="N76" s="112">
        <v>38.6</v>
      </c>
      <c r="O76" s="112">
        <v>0</v>
      </c>
      <c r="P76" s="112">
        <v>0.38</v>
      </c>
      <c r="Q76" s="112">
        <v>4.6399999999999997</v>
      </c>
    </row>
    <row r="77" spans="1:17" customFormat="1">
      <c r="A77" s="80">
        <v>45551.71875</v>
      </c>
      <c r="B77" s="112">
        <v>9.25</v>
      </c>
      <c r="C77" s="112">
        <v>4.08</v>
      </c>
      <c r="D77" s="112">
        <v>14</v>
      </c>
      <c r="E77" s="112">
        <v>8.16</v>
      </c>
      <c r="F77" s="112">
        <v>6.16</v>
      </c>
      <c r="G77" s="112">
        <v>69.98</v>
      </c>
      <c r="H77" s="112">
        <v>14.52</v>
      </c>
      <c r="I77" s="112">
        <v>4.3600000000000003</v>
      </c>
      <c r="J77" s="112">
        <v>0.8</v>
      </c>
      <c r="K77" s="112">
        <v>301.95999999999998</v>
      </c>
      <c r="L77" s="112">
        <v>28.08</v>
      </c>
      <c r="M77" s="112">
        <v>74.14</v>
      </c>
      <c r="N77" s="112">
        <v>26.8</v>
      </c>
      <c r="O77" s="112">
        <v>0</v>
      </c>
      <c r="P77" s="112">
        <v>0.38</v>
      </c>
      <c r="Q77" s="112">
        <v>4.6500000000000004</v>
      </c>
    </row>
    <row r="78" spans="1:17" customFormat="1">
      <c r="A78" s="80">
        <v>45551.729166666664</v>
      </c>
      <c r="B78" s="112">
        <v>9.24</v>
      </c>
      <c r="C78" s="112">
        <v>4.09</v>
      </c>
      <c r="D78" s="112">
        <v>14</v>
      </c>
      <c r="E78" s="112">
        <v>8.15</v>
      </c>
      <c r="F78" s="112">
        <v>6.69</v>
      </c>
      <c r="G78" s="112">
        <v>69.14</v>
      </c>
      <c r="H78" s="112">
        <v>14.64</v>
      </c>
      <c r="I78" s="112">
        <v>4.3899999999999997</v>
      </c>
      <c r="J78" s="112">
        <v>1.07</v>
      </c>
      <c r="K78" s="112">
        <v>295.86</v>
      </c>
      <c r="L78" s="112">
        <v>27.85</v>
      </c>
      <c r="M78" s="112">
        <v>72.319999999999993</v>
      </c>
      <c r="N78" s="112">
        <v>9.9</v>
      </c>
      <c r="O78" s="112">
        <v>0</v>
      </c>
      <c r="P78" s="112">
        <v>0.38</v>
      </c>
      <c r="Q78" s="112">
        <v>4.6500000000000004</v>
      </c>
    </row>
    <row r="79" spans="1:17" customFormat="1">
      <c r="A79" s="80">
        <v>45551.739583333336</v>
      </c>
      <c r="B79" s="112">
        <v>9.26</v>
      </c>
      <c r="C79" s="112">
        <v>4.07</v>
      </c>
      <c r="D79" s="112">
        <v>14</v>
      </c>
      <c r="E79" s="112">
        <v>7.76</v>
      </c>
      <c r="F79" s="112">
        <v>7.52</v>
      </c>
      <c r="G79" s="112">
        <v>61.61</v>
      </c>
      <c r="H79" s="112">
        <v>15.47</v>
      </c>
      <c r="I79" s="112">
        <v>4.42</v>
      </c>
      <c r="J79" s="112">
        <v>1.01</v>
      </c>
      <c r="K79" s="112">
        <v>299.35000000000002</v>
      </c>
      <c r="L79" s="112">
        <v>27.62</v>
      </c>
      <c r="M79" s="112">
        <v>71.33</v>
      </c>
      <c r="N79" s="112">
        <v>4.8</v>
      </c>
      <c r="O79" s="112">
        <v>0</v>
      </c>
      <c r="P79" s="112">
        <v>0.38</v>
      </c>
      <c r="Q79" s="112">
        <v>4.6399999999999997</v>
      </c>
    </row>
    <row r="80" spans="1:17" customFormat="1">
      <c r="A80" s="80">
        <v>45551.75</v>
      </c>
      <c r="B80" s="112">
        <v>9.27</v>
      </c>
      <c r="C80" s="112">
        <v>4.0599999999999996</v>
      </c>
      <c r="D80" s="112">
        <v>14</v>
      </c>
      <c r="E80" s="112">
        <v>7.81</v>
      </c>
      <c r="F80" s="112">
        <v>7.04</v>
      </c>
      <c r="G80" s="112">
        <v>61.61</v>
      </c>
      <c r="H80" s="112">
        <v>15.47</v>
      </c>
      <c r="I80" s="112">
        <v>4.42</v>
      </c>
      <c r="J80" s="112">
        <v>0.88</v>
      </c>
      <c r="K80" s="112">
        <v>296.94</v>
      </c>
      <c r="L80" s="112">
        <v>27.51</v>
      </c>
      <c r="M80" s="112">
        <v>71.86</v>
      </c>
      <c r="N80" s="112">
        <v>2.9</v>
      </c>
      <c r="O80" s="112">
        <v>0</v>
      </c>
      <c r="P80" s="112">
        <v>0.38</v>
      </c>
      <c r="Q80" s="112">
        <v>4.6500000000000004</v>
      </c>
    </row>
    <row r="81" spans="1:17" customFormat="1">
      <c r="A81" s="80">
        <v>45551.760416666664</v>
      </c>
      <c r="B81" s="112">
        <v>9.2799999999999994</v>
      </c>
      <c r="C81" s="112">
        <v>4.07</v>
      </c>
      <c r="D81" s="112">
        <v>14.01</v>
      </c>
      <c r="E81" s="112">
        <v>8.44</v>
      </c>
      <c r="F81" s="112">
        <v>6</v>
      </c>
      <c r="G81" s="112">
        <v>61.61</v>
      </c>
      <c r="H81" s="112">
        <v>15.47</v>
      </c>
      <c r="I81" s="112">
        <v>4.3499999999999996</v>
      </c>
      <c r="J81" s="112">
        <v>1.06</v>
      </c>
      <c r="K81" s="112">
        <v>313.94</v>
      </c>
      <c r="L81" s="112">
        <v>27.47</v>
      </c>
      <c r="M81" s="112">
        <v>72.12</v>
      </c>
      <c r="N81" s="112">
        <v>2.5</v>
      </c>
      <c r="O81" s="112">
        <v>0</v>
      </c>
      <c r="P81" s="112">
        <v>0.4</v>
      </c>
      <c r="Q81" s="112">
        <v>4.6500000000000004</v>
      </c>
    </row>
    <row r="82" spans="1:17" customFormat="1">
      <c r="A82" s="80">
        <v>45551.770833333336</v>
      </c>
      <c r="B82" s="112">
        <v>9.2799999999999994</v>
      </c>
      <c r="C82" s="112">
        <v>4.07</v>
      </c>
      <c r="D82" s="112">
        <v>14.01</v>
      </c>
      <c r="E82" s="112">
        <v>10.32</v>
      </c>
      <c r="F82" s="112">
        <v>6.82</v>
      </c>
      <c r="G82" s="112">
        <v>61.34</v>
      </c>
      <c r="H82" s="112">
        <v>15.79</v>
      </c>
      <c r="I82" s="112">
        <v>4.3899999999999997</v>
      </c>
      <c r="J82" s="112">
        <v>1.05</v>
      </c>
      <c r="K82" s="112">
        <v>304.31</v>
      </c>
      <c r="L82" s="112">
        <v>27.28</v>
      </c>
      <c r="M82" s="112">
        <v>72.58</v>
      </c>
      <c r="N82" s="112">
        <v>2.6</v>
      </c>
      <c r="O82" s="112">
        <v>0</v>
      </c>
      <c r="P82" s="112">
        <v>0.4</v>
      </c>
      <c r="Q82" s="112">
        <v>4.66</v>
      </c>
    </row>
    <row r="83" spans="1:17" customFormat="1">
      <c r="A83" s="80">
        <v>45551.78125</v>
      </c>
      <c r="B83" s="112">
        <v>9.3000000000000007</v>
      </c>
      <c r="C83" s="112">
        <v>4.07</v>
      </c>
      <c r="D83" s="112">
        <v>14.03</v>
      </c>
      <c r="E83" s="112">
        <v>10.46</v>
      </c>
      <c r="F83" s="112">
        <v>5.98</v>
      </c>
      <c r="G83" s="112">
        <v>58.9</v>
      </c>
      <c r="H83" s="112">
        <v>18.09</v>
      </c>
      <c r="I83" s="112">
        <v>4.45</v>
      </c>
      <c r="J83" s="112">
        <v>1.3</v>
      </c>
      <c r="K83" s="112">
        <v>313.23</v>
      </c>
      <c r="L83" s="112">
        <v>27.22</v>
      </c>
      <c r="M83" s="112">
        <v>73.569999999999993</v>
      </c>
      <c r="N83" s="112">
        <v>2.4</v>
      </c>
      <c r="O83" s="112">
        <v>0</v>
      </c>
      <c r="P83" s="112">
        <v>0.4</v>
      </c>
      <c r="Q83" s="112">
        <v>4.67</v>
      </c>
    </row>
    <row r="84" spans="1:17" customFormat="1">
      <c r="A84" s="80">
        <v>45551.791666666664</v>
      </c>
      <c r="B84" s="112">
        <v>9.3000000000000007</v>
      </c>
      <c r="C84" s="112">
        <v>4.0599999999999996</v>
      </c>
      <c r="D84" s="112">
        <v>14.03</v>
      </c>
      <c r="E84" s="112">
        <v>10.199999999999999</v>
      </c>
      <c r="F84" s="112">
        <v>6.32</v>
      </c>
      <c r="G84" s="112">
        <v>58.9</v>
      </c>
      <c r="H84" s="112">
        <v>18.09</v>
      </c>
      <c r="I84" s="112">
        <v>4.3600000000000003</v>
      </c>
      <c r="J84" s="112">
        <v>1.24</v>
      </c>
      <c r="K84" s="112">
        <v>310.64</v>
      </c>
      <c r="L84" s="112">
        <v>27.17</v>
      </c>
      <c r="M84" s="112">
        <v>74.77</v>
      </c>
      <c r="N84" s="112">
        <v>2.5</v>
      </c>
      <c r="O84" s="112">
        <v>0</v>
      </c>
      <c r="P84" s="112">
        <v>0.39</v>
      </c>
      <c r="Q84" s="112">
        <v>4.66</v>
      </c>
    </row>
    <row r="85" spans="1:17" customFormat="1">
      <c r="A85" s="80">
        <v>45551.802083333336</v>
      </c>
      <c r="B85" s="112">
        <v>9.3000000000000007</v>
      </c>
      <c r="C85" s="112">
        <v>4.08</v>
      </c>
      <c r="D85" s="112">
        <v>14.04</v>
      </c>
      <c r="E85" s="112">
        <v>10.220000000000001</v>
      </c>
      <c r="F85" s="112">
        <v>5.75</v>
      </c>
      <c r="G85" s="112">
        <v>58.9</v>
      </c>
      <c r="H85" s="112">
        <v>18.09</v>
      </c>
      <c r="I85" s="112">
        <v>4.37</v>
      </c>
      <c r="J85" s="112">
        <v>1.1200000000000001</v>
      </c>
      <c r="K85" s="112">
        <v>305.02999999999997</v>
      </c>
      <c r="L85" s="112">
        <v>26.98</v>
      </c>
      <c r="M85" s="112">
        <v>76.37</v>
      </c>
      <c r="N85" s="112">
        <v>2.5</v>
      </c>
      <c r="O85" s="112">
        <v>0</v>
      </c>
      <c r="P85" s="112">
        <v>0.4</v>
      </c>
      <c r="Q85" s="112">
        <v>4.6500000000000004</v>
      </c>
    </row>
    <row r="86" spans="1:17" customFormat="1">
      <c r="A86" s="80">
        <v>45551.8125</v>
      </c>
      <c r="B86" s="112">
        <v>9.3000000000000007</v>
      </c>
      <c r="C86" s="112">
        <v>4.08</v>
      </c>
      <c r="D86" s="112">
        <v>14.04</v>
      </c>
      <c r="E86" s="112">
        <v>10.18</v>
      </c>
      <c r="F86" s="112">
        <v>6.05</v>
      </c>
      <c r="G86" s="112">
        <v>58.58</v>
      </c>
      <c r="H86" s="112">
        <v>17.440000000000001</v>
      </c>
      <c r="I86" s="112">
        <v>4.3499999999999996</v>
      </c>
      <c r="J86" s="112">
        <v>0.96</v>
      </c>
      <c r="K86" s="112">
        <v>308.66000000000003</v>
      </c>
      <c r="L86" s="112">
        <v>26.86</v>
      </c>
      <c r="M86" s="112">
        <v>77.650000000000006</v>
      </c>
      <c r="N86" s="112">
        <v>2.4</v>
      </c>
      <c r="O86" s="112">
        <v>0</v>
      </c>
      <c r="P86" s="112">
        <v>0.41</v>
      </c>
      <c r="Q86" s="112">
        <v>4.6500000000000004</v>
      </c>
    </row>
    <row r="87" spans="1:17" customFormat="1">
      <c r="A87" s="80">
        <v>45551.822916666664</v>
      </c>
      <c r="B87" s="112">
        <v>9.31</v>
      </c>
      <c r="C87" s="112">
        <v>4.0599999999999996</v>
      </c>
      <c r="D87" s="112">
        <v>14.03</v>
      </c>
      <c r="E87" s="112">
        <v>10.49</v>
      </c>
      <c r="F87" s="112">
        <v>6.99</v>
      </c>
      <c r="G87" s="112">
        <v>55.72</v>
      </c>
      <c r="H87" s="112">
        <v>12.7</v>
      </c>
      <c r="I87" s="112">
        <v>4.3600000000000003</v>
      </c>
      <c r="J87" s="112">
        <v>0.84</v>
      </c>
      <c r="K87" s="112">
        <v>309.23</v>
      </c>
      <c r="L87" s="112">
        <v>26.77</v>
      </c>
      <c r="M87" s="112">
        <v>77.819999999999993</v>
      </c>
      <c r="N87" s="112">
        <v>2.2999999999999998</v>
      </c>
      <c r="O87" s="112">
        <v>0</v>
      </c>
      <c r="P87" s="112">
        <v>0.4</v>
      </c>
      <c r="Q87" s="112">
        <v>4.66</v>
      </c>
    </row>
    <row r="88" spans="1:17" customFormat="1">
      <c r="A88" s="80">
        <v>45551.833333333336</v>
      </c>
      <c r="B88" s="112">
        <v>9.3000000000000007</v>
      </c>
      <c r="C88" s="112">
        <v>4.08</v>
      </c>
      <c r="D88" s="112">
        <v>14.04</v>
      </c>
      <c r="E88" s="112">
        <v>10.81</v>
      </c>
      <c r="F88" s="112">
        <v>6.12</v>
      </c>
      <c r="G88" s="112">
        <v>55.72</v>
      </c>
      <c r="H88" s="112">
        <v>12.7</v>
      </c>
      <c r="I88" s="112">
        <v>4.34</v>
      </c>
      <c r="J88" s="112">
        <v>1.1200000000000001</v>
      </c>
      <c r="K88" s="112">
        <v>302.75</v>
      </c>
      <c r="L88" s="112">
        <v>26.73</v>
      </c>
      <c r="M88" s="112">
        <v>77.81</v>
      </c>
      <c r="N88" s="112">
        <v>2.4</v>
      </c>
      <c r="O88" s="112">
        <v>0</v>
      </c>
      <c r="P88" s="112">
        <v>0.41</v>
      </c>
      <c r="Q88" s="112">
        <v>4.66</v>
      </c>
    </row>
    <row r="89" spans="1:17" customFormat="1">
      <c r="A89" s="80">
        <v>45551.84375</v>
      </c>
      <c r="B89" s="112">
        <v>9.32</v>
      </c>
      <c r="C89" s="112">
        <v>4.07</v>
      </c>
      <c r="D89" s="112">
        <v>14.05</v>
      </c>
      <c r="E89" s="112">
        <v>10.41</v>
      </c>
      <c r="F89" s="112">
        <v>5.62</v>
      </c>
      <c r="G89" s="112">
        <v>55.72</v>
      </c>
      <c r="H89" s="112">
        <v>12.7</v>
      </c>
      <c r="I89" s="112">
        <v>4.3499999999999996</v>
      </c>
      <c r="J89" s="112">
        <v>1.22</v>
      </c>
      <c r="K89" s="112">
        <v>311.98</v>
      </c>
      <c r="L89" s="112">
        <v>26.7</v>
      </c>
      <c r="M89" s="112">
        <v>77.48</v>
      </c>
      <c r="N89" s="112">
        <v>2.4</v>
      </c>
      <c r="O89" s="112">
        <v>0</v>
      </c>
      <c r="P89" s="112">
        <v>0.41</v>
      </c>
      <c r="Q89" s="112">
        <v>4.6500000000000004</v>
      </c>
    </row>
    <row r="90" spans="1:17" customFormat="1">
      <c r="A90" s="80">
        <v>45551.854166666664</v>
      </c>
      <c r="B90" s="112">
        <v>9.33</v>
      </c>
      <c r="C90" s="112">
        <v>4.07</v>
      </c>
      <c r="D90" s="112">
        <v>14.06</v>
      </c>
      <c r="E90" s="112">
        <v>10.59</v>
      </c>
      <c r="F90" s="112">
        <v>5.57</v>
      </c>
      <c r="G90" s="112">
        <v>55.35</v>
      </c>
      <c r="H90" s="112">
        <v>12.62</v>
      </c>
      <c r="I90" s="112">
        <v>4.3600000000000003</v>
      </c>
      <c r="J90" s="112">
        <v>1.36</v>
      </c>
      <c r="K90" s="112">
        <v>307.55</v>
      </c>
      <c r="L90" s="112">
        <v>26.6</v>
      </c>
      <c r="M90" s="112">
        <v>78.05</v>
      </c>
      <c r="N90" s="112">
        <v>2.5</v>
      </c>
      <c r="O90" s="112">
        <v>0</v>
      </c>
      <c r="P90" s="112">
        <v>0.41</v>
      </c>
      <c r="Q90" s="112">
        <v>4.66</v>
      </c>
    </row>
    <row r="91" spans="1:17" customFormat="1">
      <c r="A91" s="80">
        <v>45551.864583333336</v>
      </c>
      <c r="B91" s="112">
        <v>9.32</v>
      </c>
      <c r="C91" s="112">
        <v>4.07</v>
      </c>
      <c r="D91" s="112">
        <v>14.05</v>
      </c>
      <c r="E91" s="112">
        <v>10.83</v>
      </c>
      <c r="F91" s="112">
        <v>6.65</v>
      </c>
      <c r="G91" s="112">
        <v>52.02</v>
      </c>
      <c r="H91" s="112">
        <v>12.03</v>
      </c>
      <c r="I91" s="112">
        <v>4.3499999999999996</v>
      </c>
      <c r="J91" s="112">
        <v>1.1200000000000001</v>
      </c>
      <c r="K91" s="112">
        <v>314.86</v>
      </c>
      <c r="L91" s="112">
        <v>26.43</v>
      </c>
      <c r="M91" s="112">
        <v>77.88</v>
      </c>
      <c r="N91" s="112">
        <v>2.5</v>
      </c>
      <c r="O91" s="112">
        <v>0</v>
      </c>
      <c r="P91" s="112">
        <v>0.4</v>
      </c>
      <c r="Q91" s="112">
        <v>4.66</v>
      </c>
    </row>
    <row r="92" spans="1:17" customFormat="1">
      <c r="A92" s="80">
        <v>45551.875</v>
      </c>
      <c r="B92" s="112">
        <v>9.27</v>
      </c>
      <c r="C92" s="112">
        <v>4.08</v>
      </c>
      <c r="D92" s="112">
        <v>14.01</v>
      </c>
      <c r="E92" s="112">
        <v>10.72</v>
      </c>
      <c r="F92" s="112">
        <v>5.68</v>
      </c>
      <c r="G92" s="112">
        <v>52.02</v>
      </c>
      <c r="H92" s="112">
        <v>12.03</v>
      </c>
      <c r="I92" s="112">
        <v>4.29</v>
      </c>
      <c r="J92" s="112">
        <v>1.22</v>
      </c>
      <c r="K92" s="112">
        <v>309.32</v>
      </c>
      <c r="L92" s="112">
        <v>26.21</v>
      </c>
      <c r="M92" s="112">
        <v>76.05</v>
      </c>
      <c r="N92" s="112">
        <v>2.7</v>
      </c>
      <c r="O92" s="112">
        <v>0</v>
      </c>
      <c r="P92" s="112">
        <v>0.4</v>
      </c>
      <c r="Q92" s="112">
        <v>4.68</v>
      </c>
    </row>
    <row r="93" spans="1:17" customFormat="1">
      <c r="A93" s="80">
        <v>45551.885416666664</v>
      </c>
      <c r="B93" s="112">
        <v>9.26</v>
      </c>
      <c r="C93" s="112">
        <v>4.07</v>
      </c>
      <c r="D93" s="112">
        <v>14.01</v>
      </c>
      <c r="E93" s="112">
        <v>11.02</v>
      </c>
      <c r="F93" s="112">
        <v>5.35</v>
      </c>
      <c r="G93" s="112">
        <v>52.02</v>
      </c>
      <c r="H93" s="112">
        <v>12.03</v>
      </c>
      <c r="I93" s="112">
        <v>4.24</v>
      </c>
      <c r="J93" s="112">
        <v>0.88</v>
      </c>
      <c r="K93" s="112">
        <v>311.97000000000003</v>
      </c>
      <c r="L93" s="112">
        <v>25.9</v>
      </c>
      <c r="M93" s="112">
        <v>75.709999999999994</v>
      </c>
      <c r="N93" s="112">
        <v>2.8</v>
      </c>
      <c r="O93" s="112">
        <v>0</v>
      </c>
      <c r="P93" s="112">
        <v>0.4</v>
      </c>
      <c r="Q93" s="112">
        <v>4.66</v>
      </c>
    </row>
    <row r="94" spans="1:17" customFormat="1">
      <c r="A94" s="80">
        <v>45551.895833333336</v>
      </c>
      <c r="B94" s="112">
        <v>9.27</v>
      </c>
      <c r="C94" s="112">
        <v>4.0599999999999996</v>
      </c>
      <c r="D94" s="112">
        <v>14.01</v>
      </c>
      <c r="E94" s="112">
        <v>11.01</v>
      </c>
      <c r="F94" s="112">
        <v>5.13</v>
      </c>
      <c r="G94" s="112">
        <v>51.66</v>
      </c>
      <c r="H94" s="112">
        <v>11.69</v>
      </c>
      <c r="I94" s="112">
        <v>4.24</v>
      </c>
      <c r="J94" s="112">
        <v>0.83</v>
      </c>
      <c r="K94" s="112">
        <v>318.24</v>
      </c>
      <c r="L94" s="112">
        <v>25.67</v>
      </c>
      <c r="M94" s="112">
        <v>75.7</v>
      </c>
      <c r="N94" s="112">
        <v>2.7</v>
      </c>
      <c r="O94" s="112">
        <v>0</v>
      </c>
      <c r="P94" s="112">
        <v>0.4</v>
      </c>
      <c r="Q94" s="112">
        <v>4.66</v>
      </c>
    </row>
    <row r="95" spans="1:17" customFormat="1">
      <c r="A95" s="80">
        <v>45551.90625</v>
      </c>
      <c r="B95" s="112">
        <v>9.26</v>
      </c>
      <c r="C95" s="112">
        <v>4.07</v>
      </c>
      <c r="D95" s="112">
        <v>14</v>
      </c>
      <c r="E95" s="112">
        <v>11.23</v>
      </c>
      <c r="F95" s="112">
        <v>5.2</v>
      </c>
      <c r="G95" s="112">
        <v>47.98</v>
      </c>
      <c r="H95" s="112">
        <v>9.1999999999999993</v>
      </c>
      <c r="I95" s="112">
        <v>4.2</v>
      </c>
      <c r="J95" s="112">
        <v>0.75</v>
      </c>
      <c r="K95" s="112">
        <v>309.44</v>
      </c>
      <c r="L95" s="112">
        <v>25.5</v>
      </c>
      <c r="M95" s="112">
        <v>76.11</v>
      </c>
      <c r="N95" s="112">
        <v>2.5</v>
      </c>
      <c r="O95" s="112">
        <v>0</v>
      </c>
      <c r="P95" s="112">
        <v>0.39</v>
      </c>
      <c r="Q95" s="112">
        <v>4.6500000000000004</v>
      </c>
    </row>
    <row r="96" spans="1:17" customFormat="1">
      <c r="A96" s="80">
        <v>45551.916666666664</v>
      </c>
      <c r="B96" s="112">
        <v>9.27</v>
      </c>
      <c r="C96" s="112">
        <v>4.05</v>
      </c>
      <c r="D96" s="112">
        <v>14</v>
      </c>
      <c r="E96" s="112">
        <v>11.49</v>
      </c>
      <c r="F96" s="112">
        <v>4.92</v>
      </c>
      <c r="G96" s="112">
        <v>47.98</v>
      </c>
      <c r="H96" s="112">
        <v>9.1999999999999993</v>
      </c>
      <c r="I96" s="112">
        <v>4.1500000000000004</v>
      </c>
      <c r="J96" s="112">
        <v>0.73</v>
      </c>
      <c r="K96" s="112">
        <v>306.14</v>
      </c>
      <c r="L96" s="112">
        <v>25.39</v>
      </c>
      <c r="M96" s="112">
        <v>76.67</v>
      </c>
      <c r="N96" s="112">
        <v>2.4</v>
      </c>
      <c r="O96" s="112">
        <v>0</v>
      </c>
      <c r="P96" s="112">
        <v>0.39</v>
      </c>
      <c r="Q96" s="112">
        <v>4.6500000000000004</v>
      </c>
    </row>
    <row r="97" spans="1:22" customFormat="1">
      <c r="A97" s="80">
        <v>45551.927083333336</v>
      </c>
      <c r="B97" s="112">
        <v>9.25</v>
      </c>
      <c r="C97" s="112">
        <v>4.08</v>
      </c>
      <c r="D97" s="112">
        <v>14</v>
      </c>
      <c r="E97" s="112">
        <v>11.28</v>
      </c>
      <c r="F97" s="112">
        <v>4.55</v>
      </c>
      <c r="G97" s="112">
        <v>47.98</v>
      </c>
      <c r="H97" s="112">
        <v>9.1999999999999993</v>
      </c>
      <c r="I97" s="112">
        <v>4.01</v>
      </c>
      <c r="J97" s="112">
        <v>0.63</v>
      </c>
      <c r="K97" s="112">
        <v>306.26</v>
      </c>
      <c r="L97" s="112">
        <v>25.3</v>
      </c>
      <c r="M97" s="112">
        <v>77.680000000000007</v>
      </c>
      <c r="N97" s="112">
        <v>2.4</v>
      </c>
      <c r="O97" s="112">
        <v>0</v>
      </c>
      <c r="P97" s="112">
        <v>0.39</v>
      </c>
      <c r="Q97" s="112">
        <v>4.6500000000000004</v>
      </c>
    </row>
    <row r="98" spans="1:22" customFormat="1">
      <c r="A98" s="80">
        <v>45551.9375</v>
      </c>
      <c r="B98" s="112">
        <v>9.27</v>
      </c>
      <c r="C98" s="112">
        <v>4.0599999999999996</v>
      </c>
      <c r="D98" s="112">
        <v>14</v>
      </c>
      <c r="E98" s="112">
        <v>11.51</v>
      </c>
      <c r="F98" s="112">
        <v>4.38</v>
      </c>
      <c r="G98" s="112">
        <v>47.5</v>
      </c>
      <c r="H98" s="112">
        <v>9.75</v>
      </c>
      <c r="I98" s="112">
        <v>4.1500000000000004</v>
      </c>
      <c r="J98" s="112">
        <v>0.73</v>
      </c>
      <c r="K98" s="112">
        <v>288.91000000000003</v>
      </c>
      <c r="L98" s="112">
        <v>25.17</v>
      </c>
      <c r="M98" s="112">
        <v>78.59</v>
      </c>
      <c r="N98" s="112">
        <v>2.4</v>
      </c>
      <c r="O98" s="112">
        <v>0</v>
      </c>
      <c r="P98" s="112">
        <v>0.39</v>
      </c>
      <c r="Q98" s="112">
        <v>4.6500000000000004</v>
      </c>
    </row>
    <row r="99" spans="1:22" customFormat="1">
      <c r="A99" s="80">
        <v>45551.947916666664</v>
      </c>
      <c r="B99" s="112">
        <v>9.25</v>
      </c>
      <c r="C99" s="112">
        <v>4.07</v>
      </c>
      <c r="D99" s="112">
        <v>14</v>
      </c>
      <c r="E99" s="112">
        <v>11.52</v>
      </c>
      <c r="F99" s="112">
        <v>4.26</v>
      </c>
      <c r="G99" s="112">
        <v>43.22</v>
      </c>
      <c r="H99" s="112">
        <v>13.76</v>
      </c>
      <c r="I99" s="112">
        <v>3.98</v>
      </c>
      <c r="J99" s="112">
        <v>0.77</v>
      </c>
      <c r="K99" s="112">
        <v>300.64999999999998</v>
      </c>
      <c r="L99" s="112">
        <v>24.96</v>
      </c>
      <c r="M99" s="112">
        <v>81.08</v>
      </c>
      <c r="N99" s="112">
        <v>2.5</v>
      </c>
      <c r="O99" s="112">
        <v>0</v>
      </c>
      <c r="P99" s="112">
        <v>0.38</v>
      </c>
      <c r="Q99" s="112">
        <v>4.6500000000000004</v>
      </c>
    </row>
    <row r="100" spans="1:22" customFormat="1">
      <c r="A100" s="80">
        <v>45551.958333333336</v>
      </c>
      <c r="B100" s="112">
        <v>9.25</v>
      </c>
      <c r="C100" s="112">
        <v>4.09</v>
      </c>
      <c r="D100" s="112">
        <v>14</v>
      </c>
      <c r="E100" s="112">
        <v>11.71</v>
      </c>
      <c r="F100" s="112">
        <v>4.46</v>
      </c>
      <c r="G100" s="112">
        <v>43.22</v>
      </c>
      <c r="H100" s="112">
        <v>13.76</v>
      </c>
      <c r="I100" s="112">
        <v>3.96</v>
      </c>
      <c r="J100" s="112">
        <v>0.73</v>
      </c>
      <c r="K100" s="112">
        <v>285.54000000000002</v>
      </c>
      <c r="L100" s="112">
        <v>24.66</v>
      </c>
      <c r="M100" s="112">
        <v>82.92</v>
      </c>
      <c r="N100" s="112">
        <v>1.5</v>
      </c>
      <c r="O100" s="112">
        <v>0</v>
      </c>
      <c r="P100" s="112">
        <v>0.38</v>
      </c>
      <c r="Q100" s="112">
        <v>4.6500000000000004</v>
      </c>
    </row>
    <row r="101" spans="1:22" customFormat="1">
      <c r="A101" s="80">
        <v>45551.96875</v>
      </c>
      <c r="B101" s="112">
        <v>9.24</v>
      </c>
      <c r="C101" s="112">
        <v>4.1100000000000003</v>
      </c>
      <c r="D101" s="112">
        <v>14.01</v>
      </c>
      <c r="E101" s="112">
        <v>11.41</v>
      </c>
      <c r="F101" s="112">
        <v>4.33</v>
      </c>
      <c r="G101" s="112">
        <v>43.22</v>
      </c>
      <c r="H101" s="112">
        <v>13.76</v>
      </c>
      <c r="I101" s="112">
        <v>4</v>
      </c>
      <c r="J101" s="112">
        <v>0.78</v>
      </c>
      <c r="K101" s="112">
        <v>292.33</v>
      </c>
      <c r="L101" s="112">
        <v>24.79</v>
      </c>
      <c r="M101" s="112">
        <v>81.62</v>
      </c>
      <c r="N101" s="112">
        <v>2</v>
      </c>
      <c r="O101" s="112">
        <v>0</v>
      </c>
      <c r="P101" s="112">
        <v>0.37</v>
      </c>
      <c r="Q101" s="112">
        <v>4.66</v>
      </c>
    </row>
    <row r="102" spans="1:22" customFormat="1">
      <c r="A102" s="80">
        <v>45551.979166666664</v>
      </c>
      <c r="B102" s="112">
        <v>9.24</v>
      </c>
      <c r="C102" s="112">
        <v>4.1100000000000003</v>
      </c>
      <c r="D102" s="112">
        <v>14</v>
      </c>
      <c r="E102" s="112">
        <v>10.62</v>
      </c>
      <c r="F102" s="112">
        <v>4.51</v>
      </c>
      <c r="G102" s="112">
        <v>42.81</v>
      </c>
      <c r="H102" s="112">
        <v>13.31</v>
      </c>
      <c r="I102" s="112">
        <v>4</v>
      </c>
      <c r="J102" s="112">
        <v>0.72</v>
      </c>
      <c r="K102" s="112">
        <v>281.24</v>
      </c>
      <c r="L102" s="112">
        <v>24.83</v>
      </c>
      <c r="M102" s="112">
        <v>81.819999999999993</v>
      </c>
      <c r="N102" s="112">
        <v>2.2000000000000002</v>
      </c>
      <c r="O102" s="112">
        <v>0</v>
      </c>
      <c r="P102" s="112">
        <v>0.36</v>
      </c>
      <c r="Q102" s="112">
        <v>4.6399999999999997</v>
      </c>
    </row>
    <row r="103" spans="1:22" customFormat="1">
      <c r="A103" s="80">
        <v>45551.989583333336</v>
      </c>
      <c r="B103" s="112">
        <v>9.26</v>
      </c>
      <c r="C103" s="112">
        <v>4.0999999999999996</v>
      </c>
      <c r="D103" s="112">
        <v>14.01</v>
      </c>
      <c r="E103" s="112">
        <v>10.98</v>
      </c>
      <c r="F103" s="112">
        <v>4.6399999999999997</v>
      </c>
      <c r="G103" s="112">
        <v>38.630000000000003</v>
      </c>
      <c r="H103" s="112">
        <v>10.01</v>
      </c>
      <c r="I103" s="112">
        <v>3.98</v>
      </c>
      <c r="J103" s="112">
        <v>0.7</v>
      </c>
      <c r="K103" s="112">
        <v>283.81</v>
      </c>
      <c r="L103" s="112">
        <v>24.87</v>
      </c>
      <c r="M103" s="112">
        <v>81.55</v>
      </c>
      <c r="N103" s="112">
        <v>2.2000000000000002</v>
      </c>
      <c r="O103" s="112">
        <v>0</v>
      </c>
      <c r="P103" s="112">
        <v>0.37</v>
      </c>
      <c r="Q103" s="112">
        <v>4.66</v>
      </c>
    </row>
    <row r="104" spans="1:22" customFormat="1">
      <c r="A104" s="80">
        <v>45552</v>
      </c>
      <c r="B104" s="112">
        <v>9.27</v>
      </c>
      <c r="C104" s="112">
        <v>4.08</v>
      </c>
      <c r="D104" s="112">
        <v>14.02</v>
      </c>
      <c r="E104" s="112">
        <v>10.67</v>
      </c>
      <c r="F104" s="112">
        <v>4.58</v>
      </c>
      <c r="G104" s="112">
        <v>38.630000000000003</v>
      </c>
      <c r="H104" s="112">
        <v>10.01</v>
      </c>
      <c r="I104" s="112">
        <v>3.89</v>
      </c>
      <c r="J104" s="112">
        <v>0.72</v>
      </c>
      <c r="K104" s="112">
        <v>294.14999999999998</v>
      </c>
      <c r="L104" s="112">
        <v>24.85</v>
      </c>
      <c r="M104" s="112">
        <v>81.5</v>
      </c>
      <c r="N104" s="112">
        <v>2.2999999999999998</v>
      </c>
      <c r="O104" s="112">
        <v>0</v>
      </c>
      <c r="P104" s="112">
        <v>0.35</v>
      </c>
      <c r="Q104" s="112">
        <v>4.66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9.14</v>
      </c>
      <c r="C106" s="183">
        <f>MIN(C9:C104)</f>
        <v>4.05</v>
      </c>
      <c r="D106" s="183">
        <f t="shared" ref="D106:Q106" si="0">MIN(D9:D104)</f>
        <v>14</v>
      </c>
      <c r="E106" s="183">
        <f t="shared" si="0"/>
        <v>7.76</v>
      </c>
      <c r="F106" s="183">
        <f t="shared" si="0"/>
        <v>4.26</v>
      </c>
      <c r="G106" s="183">
        <f t="shared" si="0"/>
        <v>34.61</v>
      </c>
      <c r="H106" s="183">
        <f t="shared" si="0"/>
        <v>6.33</v>
      </c>
      <c r="I106" s="183">
        <f t="shared" si="0"/>
        <v>3.89</v>
      </c>
      <c r="J106" s="183">
        <f t="shared" si="0"/>
        <v>0.42</v>
      </c>
      <c r="K106" s="183">
        <f t="shared" si="0"/>
        <v>273.04000000000002</v>
      </c>
      <c r="L106" s="183">
        <f t="shared" si="0"/>
        <v>24.66</v>
      </c>
      <c r="M106" s="183">
        <f t="shared" si="0"/>
        <v>66.98</v>
      </c>
      <c r="N106" s="183">
        <f t="shared" si="0"/>
        <v>1.5</v>
      </c>
      <c r="O106" s="183">
        <f t="shared" si="0"/>
        <v>0</v>
      </c>
      <c r="P106" s="183">
        <f t="shared" si="0"/>
        <v>0.33</v>
      </c>
      <c r="Q106" s="183">
        <f t="shared" si="0"/>
        <v>4.63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9.33</v>
      </c>
      <c r="C107" s="184">
        <f t="shared" ref="C107:Q107" si="1">MAX(C9:C104)</f>
        <v>4.25</v>
      </c>
      <c r="D107" s="184">
        <f t="shared" si="1"/>
        <v>14.06</v>
      </c>
      <c r="E107" s="184">
        <f t="shared" si="1"/>
        <v>11.71</v>
      </c>
      <c r="F107" s="184">
        <f t="shared" si="1"/>
        <v>7.52</v>
      </c>
      <c r="G107" s="184">
        <f t="shared" si="1"/>
        <v>69.98</v>
      </c>
      <c r="H107" s="184">
        <f t="shared" si="1"/>
        <v>20.18</v>
      </c>
      <c r="I107" s="184">
        <f t="shared" si="1"/>
        <v>5.71</v>
      </c>
      <c r="J107" s="184">
        <f t="shared" si="1"/>
        <v>1.36</v>
      </c>
      <c r="K107" s="184">
        <f t="shared" si="1"/>
        <v>331.65</v>
      </c>
      <c r="L107" s="184">
        <f t="shared" si="1"/>
        <v>29.56</v>
      </c>
      <c r="M107" s="184">
        <f t="shared" si="1"/>
        <v>86.79</v>
      </c>
      <c r="N107" s="184">
        <f t="shared" si="1"/>
        <v>513.29999999999995</v>
      </c>
      <c r="O107" s="184">
        <f t="shared" si="1"/>
        <v>0.2</v>
      </c>
      <c r="P107" s="184">
        <f t="shared" si="1"/>
        <v>0.44</v>
      </c>
      <c r="Q107" s="184">
        <f t="shared" si="1"/>
        <v>4.68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9.2517708333333264</v>
      </c>
      <c r="C108" s="183">
        <f t="shared" ref="C108:Q108" si="2">AVERAGE(C9:C104)</f>
        <v>4.099687499999999</v>
      </c>
      <c r="D108" s="183">
        <f t="shared" si="2"/>
        <v>14.010520833333324</v>
      </c>
      <c r="E108" s="183">
        <f t="shared" si="2"/>
        <v>9.5362500000000008</v>
      </c>
      <c r="F108" s="183">
        <f t="shared" si="2"/>
        <v>5.6298958333333351</v>
      </c>
      <c r="G108" s="183">
        <f t="shared" si="2"/>
        <v>52.363645833333379</v>
      </c>
      <c r="H108" s="183">
        <f t="shared" si="2"/>
        <v>12.911562500000002</v>
      </c>
      <c r="I108" s="183">
        <f t="shared" si="2"/>
        <v>4.4533333333333331</v>
      </c>
      <c r="J108" s="183">
        <f t="shared" si="2"/>
        <v>0.78416666666666668</v>
      </c>
      <c r="K108" s="183">
        <f t="shared" si="2"/>
        <v>301.45812499999994</v>
      </c>
      <c r="L108" s="183">
        <f t="shared" si="2"/>
        <v>26.730937499999992</v>
      </c>
      <c r="M108" s="183">
        <f t="shared" si="2"/>
        <v>77.43979166666665</v>
      </c>
      <c r="N108" s="183">
        <f t="shared" si="2"/>
        <v>42.554166666666667</v>
      </c>
      <c r="O108" s="183">
        <f t="shared" si="2"/>
        <v>2.0833333333333333E-3</v>
      </c>
      <c r="P108" s="183">
        <f t="shared" si="2"/>
        <v>0.38406249999999975</v>
      </c>
      <c r="Q108" s="183">
        <f t="shared" si="2"/>
        <v>4.6508333333333303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4.2574882431253749E-2</v>
      </c>
      <c r="C109" s="183">
        <f t="shared" ref="C109:Q109" si="3">STDEV(C9:C104)</f>
        <v>4.9893636868843357E-2</v>
      </c>
      <c r="D109" s="183">
        <f t="shared" si="3"/>
        <v>1.4390771287377544E-2</v>
      </c>
      <c r="E109" s="183">
        <f t="shared" si="3"/>
        <v>1.054186890451603</v>
      </c>
      <c r="F109" s="183">
        <f t="shared" si="3"/>
        <v>0.76840572450763611</v>
      </c>
      <c r="G109" s="183">
        <f t="shared" si="3"/>
        <v>10.889509304085667</v>
      </c>
      <c r="H109" s="183">
        <f t="shared" si="3"/>
        <v>3.5495465472070413</v>
      </c>
      <c r="I109" s="183">
        <f t="shared" si="3"/>
        <v>0.4420804086580794</v>
      </c>
      <c r="J109" s="183">
        <f t="shared" si="3"/>
        <v>0.21735571943689369</v>
      </c>
      <c r="K109" s="183">
        <f t="shared" si="3"/>
        <v>12.184241445625146</v>
      </c>
      <c r="L109" s="183">
        <f t="shared" si="3"/>
        <v>1.0402207034291906</v>
      </c>
      <c r="M109" s="183">
        <f t="shared" si="3"/>
        <v>3.7759727862444925</v>
      </c>
      <c r="N109" s="183">
        <f t="shared" si="3"/>
        <v>80.595005613403615</v>
      </c>
      <c r="O109" s="183">
        <f t="shared" si="3"/>
        <v>2.0412414523193152E-2</v>
      </c>
      <c r="P109" s="183">
        <f t="shared" si="3"/>
        <v>2.5529265971682466E-2</v>
      </c>
      <c r="Q109" s="183">
        <f t="shared" si="3"/>
        <v>9.6971690569619459E-3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5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45552.010416666664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45552.010416666664</v>
      </c>
      <c r="B9" s="112">
        <v>9.31</v>
      </c>
      <c r="C9" s="112">
        <v>4.09</v>
      </c>
      <c r="D9" s="112">
        <v>14.05</v>
      </c>
      <c r="E9" s="112">
        <v>10.06</v>
      </c>
      <c r="F9" s="112">
        <v>4.58</v>
      </c>
      <c r="G9" s="112">
        <v>38.630000000000003</v>
      </c>
      <c r="H9" s="112">
        <v>10.01</v>
      </c>
      <c r="I9" s="112">
        <v>3.9</v>
      </c>
      <c r="J9" s="112">
        <v>0.95</v>
      </c>
      <c r="K9" s="112">
        <v>286.83999999999997</v>
      </c>
      <c r="L9" s="112">
        <v>24.9</v>
      </c>
      <c r="M9" s="112">
        <v>81.16</v>
      </c>
      <c r="N9" s="112">
        <v>2.2000000000000002</v>
      </c>
      <c r="O9" s="112">
        <v>0</v>
      </c>
      <c r="P9" s="112">
        <v>0.34</v>
      </c>
      <c r="Q9" s="112">
        <v>4.6500000000000004</v>
      </c>
    </row>
    <row r="10" spans="1:21" customFormat="1">
      <c r="A10" s="80">
        <v>45552.020833333336</v>
      </c>
      <c r="B10" s="112">
        <v>9.33</v>
      </c>
      <c r="C10" s="112">
        <v>4.09</v>
      </c>
      <c r="D10" s="112">
        <v>14.07</v>
      </c>
      <c r="E10" s="112">
        <v>9.83</v>
      </c>
      <c r="F10" s="112">
        <v>4.88</v>
      </c>
      <c r="G10" s="112">
        <v>37.54</v>
      </c>
      <c r="H10" s="112">
        <v>9.68</v>
      </c>
      <c r="I10" s="112">
        <v>3.91</v>
      </c>
      <c r="J10" s="112">
        <v>1.03</v>
      </c>
      <c r="K10" s="112">
        <v>283.56</v>
      </c>
      <c r="L10" s="112">
        <v>24.91</v>
      </c>
      <c r="M10" s="112">
        <v>81.09</v>
      </c>
      <c r="N10" s="112">
        <v>2.2999999999999998</v>
      </c>
      <c r="O10" s="112">
        <v>0</v>
      </c>
      <c r="P10" s="112">
        <v>0.34</v>
      </c>
      <c r="Q10" s="112">
        <v>4.6500000000000004</v>
      </c>
    </row>
    <row r="11" spans="1:21" customFormat="1">
      <c r="A11" s="80">
        <v>45552.03125</v>
      </c>
      <c r="B11" s="112">
        <v>9.35</v>
      </c>
      <c r="C11" s="112">
        <v>4.09</v>
      </c>
      <c r="D11" s="112">
        <v>14.08</v>
      </c>
      <c r="E11" s="112">
        <v>9.89</v>
      </c>
      <c r="F11" s="112">
        <v>4.8</v>
      </c>
      <c r="G11" s="112">
        <v>27.72</v>
      </c>
      <c r="H11" s="112">
        <v>7.2</v>
      </c>
      <c r="I11" s="112">
        <v>3.87</v>
      </c>
      <c r="J11" s="112">
        <v>0.99</v>
      </c>
      <c r="K11" s="112">
        <v>281.55</v>
      </c>
      <c r="L11" s="112">
        <v>24.88</v>
      </c>
      <c r="M11" s="112">
        <v>81.17</v>
      </c>
      <c r="N11" s="112">
        <v>2.4</v>
      </c>
      <c r="O11" s="112">
        <v>0</v>
      </c>
      <c r="P11" s="112">
        <v>0.33</v>
      </c>
      <c r="Q11" s="112">
        <v>4.66</v>
      </c>
    </row>
    <row r="12" spans="1:21" customFormat="1">
      <c r="A12" s="80">
        <v>45552.041666666664</v>
      </c>
      <c r="B12" s="112">
        <v>9.35</v>
      </c>
      <c r="C12" s="112">
        <v>4.08</v>
      </c>
      <c r="D12" s="112">
        <v>14.08</v>
      </c>
      <c r="E12" s="112">
        <v>9.81</v>
      </c>
      <c r="F12" s="112">
        <v>4.7699999999999996</v>
      </c>
      <c r="G12" s="112">
        <v>27.72</v>
      </c>
      <c r="H12" s="112">
        <v>7.2</v>
      </c>
      <c r="I12" s="112">
        <v>3.81</v>
      </c>
      <c r="J12" s="112">
        <v>0.82</v>
      </c>
      <c r="K12" s="112">
        <v>294.20999999999998</v>
      </c>
      <c r="L12" s="112">
        <v>24.88</v>
      </c>
      <c r="M12" s="112">
        <v>81.010000000000005</v>
      </c>
      <c r="N12" s="112">
        <v>2.2999999999999998</v>
      </c>
      <c r="O12" s="112">
        <v>0</v>
      </c>
      <c r="P12" s="112">
        <v>0.32</v>
      </c>
      <c r="Q12" s="112">
        <v>4.6399999999999997</v>
      </c>
    </row>
    <row r="13" spans="1:21" customFormat="1">
      <c r="A13" s="80">
        <v>45552.052083333336</v>
      </c>
      <c r="B13" s="112">
        <v>9.35</v>
      </c>
      <c r="C13" s="112">
        <v>4.09</v>
      </c>
      <c r="D13" s="112">
        <v>14.09</v>
      </c>
      <c r="E13" s="112">
        <v>9.7899999999999991</v>
      </c>
      <c r="F13" s="112">
        <v>5.05</v>
      </c>
      <c r="G13" s="112">
        <v>27.72</v>
      </c>
      <c r="H13" s="112">
        <v>7.2</v>
      </c>
      <c r="I13" s="112">
        <v>3.78</v>
      </c>
      <c r="J13" s="112">
        <v>1.06</v>
      </c>
      <c r="K13" s="112">
        <v>292.61</v>
      </c>
      <c r="L13" s="112">
        <v>24.99</v>
      </c>
      <c r="M13" s="112">
        <v>79.86</v>
      </c>
      <c r="N13" s="112">
        <v>2.2999999999999998</v>
      </c>
      <c r="O13" s="112">
        <v>0</v>
      </c>
      <c r="P13" s="112">
        <v>0.32</v>
      </c>
      <c r="Q13" s="112">
        <v>4.6500000000000004</v>
      </c>
    </row>
    <row r="14" spans="1:21" customFormat="1">
      <c r="A14" s="80">
        <v>45552.0625</v>
      </c>
      <c r="B14" s="112">
        <v>9.36</v>
      </c>
      <c r="C14" s="112">
        <v>4.08</v>
      </c>
      <c r="D14" s="112">
        <v>14.09</v>
      </c>
      <c r="E14" s="112">
        <v>9.39</v>
      </c>
      <c r="F14" s="112">
        <v>5.47</v>
      </c>
      <c r="G14" s="112">
        <v>27.9</v>
      </c>
      <c r="H14" s="112">
        <v>7.34</v>
      </c>
      <c r="I14" s="112">
        <v>3.78</v>
      </c>
      <c r="J14" s="112">
        <v>1</v>
      </c>
      <c r="K14" s="112">
        <v>289.88</v>
      </c>
      <c r="L14" s="112">
        <v>25</v>
      </c>
      <c r="M14" s="112">
        <v>79.819999999999993</v>
      </c>
      <c r="N14" s="112">
        <v>2.2999999999999998</v>
      </c>
      <c r="O14" s="112">
        <v>0</v>
      </c>
      <c r="P14" s="112">
        <v>0.31</v>
      </c>
      <c r="Q14" s="112">
        <v>4.6500000000000004</v>
      </c>
    </row>
    <row r="15" spans="1:21" customFormat="1">
      <c r="A15" s="80">
        <v>45552.072916666664</v>
      </c>
      <c r="B15" s="112">
        <v>9.36</v>
      </c>
      <c r="C15" s="112">
        <v>4.0999999999999996</v>
      </c>
      <c r="D15" s="112">
        <v>14.1</v>
      </c>
      <c r="E15" s="112">
        <v>9.42</v>
      </c>
      <c r="F15" s="112">
        <v>5.81</v>
      </c>
      <c r="G15" s="112">
        <v>29.79</v>
      </c>
      <c r="H15" s="112">
        <v>8.48</v>
      </c>
      <c r="I15" s="112">
        <v>3.75</v>
      </c>
      <c r="J15" s="112">
        <v>0.99</v>
      </c>
      <c r="K15" s="112">
        <v>291.83</v>
      </c>
      <c r="L15" s="112">
        <v>25.03</v>
      </c>
      <c r="M15" s="112">
        <v>79.42</v>
      </c>
      <c r="N15" s="112">
        <v>2.2999999999999998</v>
      </c>
      <c r="O15" s="112">
        <v>0</v>
      </c>
      <c r="P15" s="112">
        <v>0.3</v>
      </c>
      <c r="Q15" s="112">
        <v>4.68</v>
      </c>
    </row>
    <row r="16" spans="1:21" customFormat="1">
      <c r="A16" s="80">
        <v>45552.083333333336</v>
      </c>
      <c r="B16" s="112">
        <v>9.35</v>
      </c>
      <c r="C16" s="112">
        <v>4.08</v>
      </c>
      <c r="D16" s="112">
        <v>14.08</v>
      </c>
      <c r="E16" s="112">
        <v>9.3000000000000007</v>
      </c>
      <c r="F16" s="112">
        <v>5.39</v>
      </c>
      <c r="G16" s="112">
        <v>29.79</v>
      </c>
      <c r="H16" s="112">
        <v>8.48</v>
      </c>
      <c r="I16" s="112">
        <v>3.66</v>
      </c>
      <c r="J16" s="112">
        <v>0.98</v>
      </c>
      <c r="K16" s="112">
        <v>283.51</v>
      </c>
      <c r="L16" s="112">
        <v>25.01</v>
      </c>
      <c r="M16" s="112">
        <v>79.459999999999994</v>
      </c>
      <c r="N16" s="112">
        <v>2.5</v>
      </c>
      <c r="O16" s="112">
        <v>0</v>
      </c>
      <c r="P16" s="112">
        <v>0.28999999999999998</v>
      </c>
      <c r="Q16" s="112">
        <v>4.66</v>
      </c>
    </row>
    <row r="17" spans="1:17" customFormat="1">
      <c r="A17" s="80">
        <v>45552.09375</v>
      </c>
      <c r="B17" s="112">
        <v>9.35</v>
      </c>
      <c r="C17" s="112">
        <v>4.08</v>
      </c>
      <c r="D17" s="112">
        <v>14.08</v>
      </c>
      <c r="E17" s="112">
        <v>8.58</v>
      </c>
      <c r="F17" s="112">
        <v>5.18</v>
      </c>
      <c r="G17" s="112">
        <v>29.79</v>
      </c>
      <c r="H17" s="112">
        <v>8.48</v>
      </c>
      <c r="I17" s="112">
        <v>3.64</v>
      </c>
      <c r="J17" s="112">
        <v>1.01</v>
      </c>
      <c r="K17" s="112">
        <v>284.06</v>
      </c>
      <c r="L17" s="112">
        <v>24.91</v>
      </c>
      <c r="M17" s="112">
        <v>80.02</v>
      </c>
      <c r="N17" s="112">
        <v>2.2000000000000002</v>
      </c>
      <c r="O17" s="112">
        <v>0</v>
      </c>
      <c r="P17" s="112">
        <v>0.28999999999999998</v>
      </c>
      <c r="Q17" s="112">
        <v>4.68</v>
      </c>
    </row>
    <row r="18" spans="1:17" customFormat="1">
      <c r="A18" s="80">
        <v>45552.104166666664</v>
      </c>
      <c r="B18" s="112">
        <v>9.3699999999999992</v>
      </c>
      <c r="C18" s="112">
        <v>4.0599999999999996</v>
      </c>
      <c r="D18" s="112">
        <v>14.08</v>
      </c>
      <c r="E18" s="112">
        <v>9.86</v>
      </c>
      <c r="F18" s="112">
        <v>5.09</v>
      </c>
      <c r="G18" s="112">
        <v>29.55</v>
      </c>
      <c r="H18" s="112">
        <v>8.5299999999999994</v>
      </c>
      <c r="I18" s="112">
        <v>3.6</v>
      </c>
      <c r="J18" s="112">
        <v>0.88</v>
      </c>
      <c r="K18" s="112">
        <v>286.16000000000003</v>
      </c>
      <c r="L18" s="112">
        <v>24.72</v>
      </c>
      <c r="M18" s="112">
        <v>81.459999999999994</v>
      </c>
      <c r="N18" s="112">
        <v>2.4</v>
      </c>
      <c r="O18" s="112">
        <v>0</v>
      </c>
      <c r="P18" s="112">
        <v>0.3</v>
      </c>
      <c r="Q18" s="112">
        <v>4.67</v>
      </c>
    </row>
    <row r="19" spans="1:17" customFormat="1">
      <c r="A19" s="80">
        <v>45552.114583333336</v>
      </c>
      <c r="B19" s="112">
        <v>9.36</v>
      </c>
      <c r="C19" s="112">
        <v>4.0599999999999996</v>
      </c>
      <c r="D19" s="112">
        <v>14.08</v>
      </c>
      <c r="E19" s="112">
        <v>10.11</v>
      </c>
      <c r="F19" s="112">
        <v>5.01</v>
      </c>
      <c r="G19" s="112">
        <v>27.12</v>
      </c>
      <c r="H19" s="112">
        <v>8.9499999999999993</v>
      </c>
      <c r="I19" s="112">
        <v>3.62</v>
      </c>
      <c r="J19" s="112">
        <v>1</v>
      </c>
      <c r="K19" s="112">
        <v>283.11</v>
      </c>
      <c r="L19" s="112">
        <v>24.66</v>
      </c>
      <c r="M19" s="112">
        <v>82.04</v>
      </c>
      <c r="N19" s="112">
        <v>2.2999999999999998</v>
      </c>
      <c r="O19" s="112">
        <v>0</v>
      </c>
      <c r="P19" s="112">
        <v>0.3</v>
      </c>
      <c r="Q19" s="112">
        <v>4.66</v>
      </c>
    </row>
    <row r="20" spans="1:17" customFormat="1">
      <c r="A20" s="80">
        <v>45552.125</v>
      </c>
      <c r="B20" s="112">
        <v>9.35</v>
      </c>
      <c r="C20" s="112">
        <v>4.07</v>
      </c>
      <c r="D20" s="112">
        <v>14.07</v>
      </c>
      <c r="E20" s="112">
        <v>9.66</v>
      </c>
      <c r="F20" s="112">
        <v>4.88</v>
      </c>
      <c r="G20" s="112">
        <v>27.12</v>
      </c>
      <c r="H20" s="112">
        <v>8.9499999999999993</v>
      </c>
      <c r="I20" s="112">
        <v>3.79</v>
      </c>
      <c r="J20" s="112">
        <v>0.83</v>
      </c>
      <c r="K20" s="112">
        <v>291.7</v>
      </c>
      <c r="L20" s="112">
        <v>24.42</v>
      </c>
      <c r="M20" s="112">
        <v>83.88</v>
      </c>
      <c r="N20" s="112">
        <v>1.5</v>
      </c>
      <c r="O20" s="112">
        <v>0.2</v>
      </c>
      <c r="P20" s="112">
        <v>0.28999999999999998</v>
      </c>
      <c r="Q20" s="112">
        <v>4.66</v>
      </c>
    </row>
    <row r="21" spans="1:17" customFormat="1">
      <c r="A21" s="80">
        <v>45552.135416666664</v>
      </c>
      <c r="B21" s="112">
        <v>9.35</v>
      </c>
      <c r="C21" s="112">
        <v>4.0599999999999996</v>
      </c>
      <c r="D21" s="112">
        <v>14.07</v>
      </c>
      <c r="E21" s="112">
        <v>9.74</v>
      </c>
      <c r="F21" s="112">
        <v>5.88</v>
      </c>
      <c r="G21" s="112">
        <v>27.12</v>
      </c>
      <c r="H21" s="112">
        <v>8.9499999999999993</v>
      </c>
      <c r="I21" s="112">
        <v>3.82</v>
      </c>
      <c r="J21" s="112">
        <v>0.72</v>
      </c>
      <c r="K21" s="112">
        <v>292.11</v>
      </c>
      <c r="L21" s="112">
        <v>23.95</v>
      </c>
      <c r="M21" s="112">
        <v>87.91</v>
      </c>
      <c r="N21" s="112">
        <v>2.8</v>
      </c>
      <c r="O21" s="112">
        <v>0.2</v>
      </c>
      <c r="P21" s="112">
        <v>0.3</v>
      </c>
      <c r="Q21" s="112">
        <v>4.67</v>
      </c>
    </row>
    <row r="22" spans="1:17" customFormat="1">
      <c r="A22" s="80">
        <v>45552.145833333336</v>
      </c>
      <c r="B22" s="112">
        <v>9.36</v>
      </c>
      <c r="C22" s="112">
        <v>4.07</v>
      </c>
      <c r="D22" s="112">
        <v>14.08</v>
      </c>
      <c r="E22" s="112">
        <v>9.7899999999999991</v>
      </c>
      <c r="F22" s="112">
        <v>5.47</v>
      </c>
      <c r="G22" s="112">
        <v>26.98</v>
      </c>
      <c r="H22" s="112">
        <v>8.73</v>
      </c>
      <c r="I22" s="112">
        <v>3.58</v>
      </c>
      <c r="J22" s="112">
        <v>0.69</v>
      </c>
      <c r="K22" s="112">
        <v>291.51</v>
      </c>
      <c r="L22" s="112">
        <v>23.55</v>
      </c>
      <c r="M22" s="112">
        <v>91.3</v>
      </c>
      <c r="N22" s="112">
        <v>2.5</v>
      </c>
      <c r="O22" s="112">
        <v>0.6</v>
      </c>
      <c r="P22" s="112">
        <v>0.31</v>
      </c>
      <c r="Q22" s="112">
        <v>4.6399999999999997</v>
      </c>
    </row>
    <row r="23" spans="1:17" customFormat="1">
      <c r="A23" s="80">
        <v>45552.15625</v>
      </c>
      <c r="B23" s="112">
        <v>9.35</v>
      </c>
      <c r="C23" s="112">
        <v>4.09</v>
      </c>
      <c r="D23" s="112">
        <v>14.09</v>
      </c>
      <c r="E23" s="112">
        <v>10.029999999999999</v>
      </c>
      <c r="F23" s="112">
        <v>5.42</v>
      </c>
      <c r="G23" s="112">
        <v>25.58</v>
      </c>
      <c r="H23" s="112">
        <v>6.86</v>
      </c>
      <c r="I23" s="112">
        <v>3.58</v>
      </c>
      <c r="J23" s="112">
        <v>0.77</v>
      </c>
      <c r="K23" s="112">
        <v>281.56</v>
      </c>
      <c r="L23" s="112">
        <v>23.28</v>
      </c>
      <c r="M23" s="112">
        <v>92.93</v>
      </c>
      <c r="N23" s="112">
        <v>2.5</v>
      </c>
      <c r="O23" s="112">
        <v>1</v>
      </c>
      <c r="P23" s="112">
        <v>0.31</v>
      </c>
      <c r="Q23" s="112">
        <v>4.6399999999999997</v>
      </c>
    </row>
    <row r="24" spans="1:17" customFormat="1">
      <c r="A24" s="80">
        <v>45552.166666666664</v>
      </c>
      <c r="B24" s="112">
        <v>9.36</v>
      </c>
      <c r="C24" s="112">
        <v>4.04</v>
      </c>
      <c r="D24" s="112">
        <v>14.07</v>
      </c>
      <c r="E24" s="112">
        <v>9.91</v>
      </c>
      <c r="F24" s="112">
        <v>4.9800000000000004</v>
      </c>
      <c r="G24" s="112">
        <v>25.58</v>
      </c>
      <c r="H24" s="112">
        <v>6.86</v>
      </c>
      <c r="I24" s="112">
        <v>3.65</v>
      </c>
      <c r="J24" s="112">
        <v>0.62</v>
      </c>
      <c r="K24" s="112">
        <v>274.42</v>
      </c>
      <c r="L24" s="112">
        <v>23.22</v>
      </c>
      <c r="M24" s="112">
        <v>93.99</v>
      </c>
      <c r="N24" s="112">
        <v>2.2000000000000002</v>
      </c>
      <c r="O24" s="112">
        <v>0</v>
      </c>
      <c r="P24" s="112">
        <v>0.31</v>
      </c>
      <c r="Q24" s="112">
        <v>4.6399999999999997</v>
      </c>
    </row>
    <row r="25" spans="1:17" customFormat="1">
      <c r="A25" s="80">
        <v>45552.177083333336</v>
      </c>
      <c r="B25" s="112">
        <v>9.35</v>
      </c>
      <c r="C25" s="112">
        <v>4.08</v>
      </c>
      <c r="D25" s="112">
        <v>14.08</v>
      </c>
      <c r="E25" s="112">
        <v>9.99</v>
      </c>
      <c r="F25" s="112">
        <v>4.72</v>
      </c>
      <c r="G25" s="112">
        <v>25.58</v>
      </c>
      <c r="H25" s="112">
        <v>6.86</v>
      </c>
      <c r="I25" s="112">
        <v>3.39</v>
      </c>
      <c r="J25" s="112">
        <v>0.91</v>
      </c>
      <c r="K25" s="112">
        <v>286.8</v>
      </c>
      <c r="L25" s="112">
        <v>23.44</v>
      </c>
      <c r="M25" s="112">
        <v>92.12</v>
      </c>
      <c r="N25" s="112">
        <v>2.5</v>
      </c>
      <c r="O25" s="112">
        <v>0</v>
      </c>
      <c r="P25" s="112">
        <v>0.31</v>
      </c>
      <c r="Q25" s="112">
        <v>4.6500000000000004</v>
      </c>
    </row>
    <row r="26" spans="1:17" customFormat="1">
      <c r="A26" s="80">
        <v>45552.1875</v>
      </c>
      <c r="B26" s="112">
        <v>9.35</v>
      </c>
      <c r="C26" s="112">
        <v>4.1100000000000003</v>
      </c>
      <c r="D26" s="112">
        <v>14.1</v>
      </c>
      <c r="E26" s="112">
        <v>10.31</v>
      </c>
      <c r="F26" s="112">
        <v>4.6500000000000004</v>
      </c>
      <c r="G26" s="112">
        <v>25.21</v>
      </c>
      <c r="H26" s="112">
        <v>6.71</v>
      </c>
      <c r="I26" s="112">
        <v>3.38</v>
      </c>
      <c r="J26" s="112">
        <v>1.01</v>
      </c>
      <c r="K26" s="112">
        <v>295.29000000000002</v>
      </c>
      <c r="L26" s="112">
        <v>23.5</v>
      </c>
      <c r="M26" s="112">
        <v>91.07</v>
      </c>
      <c r="N26" s="112">
        <v>3.4</v>
      </c>
      <c r="O26" s="112">
        <v>0</v>
      </c>
      <c r="P26" s="112">
        <v>0.3</v>
      </c>
      <c r="Q26" s="112">
        <v>4.66</v>
      </c>
    </row>
    <row r="27" spans="1:17" customFormat="1">
      <c r="A27" s="80">
        <v>45552.197916666664</v>
      </c>
      <c r="B27" s="112">
        <v>9.35</v>
      </c>
      <c r="C27" s="112">
        <v>4.08</v>
      </c>
      <c r="D27" s="112">
        <v>14.08</v>
      </c>
      <c r="E27" s="112">
        <v>10.220000000000001</v>
      </c>
      <c r="F27" s="112">
        <v>4.71</v>
      </c>
      <c r="G27" s="112">
        <v>21.42</v>
      </c>
      <c r="H27" s="112">
        <v>5.44</v>
      </c>
      <c r="I27" s="112">
        <v>3.35</v>
      </c>
      <c r="J27" s="112">
        <v>0.89</v>
      </c>
      <c r="K27" s="112">
        <v>285.86</v>
      </c>
      <c r="L27" s="112">
        <v>23.52</v>
      </c>
      <c r="M27" s="112">
        <v>91.34</v>
      </c>
      <c r="N27" s="112">
        <v>3.2</v>
      </c>
      <c r="O27" s="112">
        <v>0</v>
      </c>
      <c r="P27" s="112">
        <v>0.3</v>
      </c>
      <c r="Q27" s="112">
        <v>4.67</v>
      </c>
    </row>
    <row r="28" spans="1:17" customFormat="1">
      <c r="A28" s="80">
        <v>45552.208333333336</v>
      </c>
      <c r="B28" s="112">
        <v>9.35</v>
      </c>
      <c r="C28" s="112">
        <v>4.08</v>
      </c>
      <c r="D28" s="112">
        <v>14.08</v>
      </c>
      <c r="E28" s="112">
        <v>10.26</v>
      </c>
      <c r="F28" s="112">
        <v>4.67</v>
      </c>
      <c r="G28" s="112">
        <v>21.42</v>
      </c>
      <c r="H28" s="112">
        <v>5.44</v>
      </c>
      <c r="I28" s="112">
        <v>3.41</v>
      </c>
      <c r="J28" s="112">
        <v>0.77</v>
      </c>
      <c r="K28" s="112">
        <v>281.19</v>
      </c>
      <c r="L28" s="112">
        <v>23.23</v>
      </c>
      <c r="M28" s="112">
        <v>94.94</v>
      </c>
      <c r="N28" s="112">
        <v>2.2000000000000002</v>
      </c>
      <c r="O28" s="112">
        <v>0.2</v>
      </c>
      <c r="P28" s="112">
        <v>0.3</v>
      </c>
      <c r="Q28" s="112">
        <v>4.67</v>
      </c>
    </row>
    <row r="29" spans="1:17" customFormat="1">
      <c r="A29" s="80">
        <v>45552.21875</v>
      </c>
      <c r="B29" s="112">
        <v>9.35</v>
      </c>
      <c r="C29" s="112">
        <v>4.09</v>
      </c>
      <c r="D29" s="112">
        <v>14.08</v>
      </c>
      <c r="E29" s="112">
        <v>10.33</v>
      </c>
      <c r="F29" s="112">
        <v>4.6500000000000004</v>
      </c>
      <c r="G29" s="112">
        <v>21.42</v>
      </c>
      <c r="H29" s="112">
        <v>5.44</v>
      </c>
      <c r="I29" s="112">
        <v>3.28</v>
      </c>
      <c r="J29" s="112">
        <v>0.69</v>
      </c>
      <c r="K29" s="112">
        <v>274.08</v>
      </c>
      <c r="L29" s="112">
        <v>23.29</v>
      </c>
      <c r="M29" s="112">
        <v>97.13</v>
      </c>
      <c r="N29" s="112">
        <v>2.1</v>
      </c>
      <c r="O29" s="112">
        <v>0</v>
      </c>
      <c r="P29" s="112">
        <v>0.3</v>
      </c>
      <c r="Q29" s="112">
        <v>4.66</v>
      </c>
    </row>
    <row r="30" spans="1:17" customFormat="1">
      <c r="A30" s="80">
        <v>45552.229166666664</v>
      </c>
      <c r="B30" s="112">
        <v>9.35</v>
      </c>
      <c r="C30" s="112">
        <v>4.08</v>
      </c>
      <c r="D30" s="112">
        <v>14.07</v>
      </c>
      <c r="E30" s="112">
        <v>10.48</v>
      </c>
      <c r="F30" s="112">
        <v>4.68</v>
      </c>
      <c r="G30" s="112">
        <v>21.75</v>
      </c>
      <c r="H30" s="112">
        <v>5.68</v>
      </c>
      <c r="I30" s="112">
        <v>3.4</v>
      </c>
      <c r="J30" s="112">
        <v>0.87</v>
      </c>
      <c r="K30" s="112">
        <v>280.27999999999997</v>
      </c>
      <c r="L30" s="112">
        <v>23.69</v>
      </c>
      <c r="M30" s="112">
        <v>93.44</v>
      </c>
      <c r="N30" s="112">
        <v>2.8</v>
      </c>
      <c r="O30" s="112">
        <v>0</v>
      </c>
      <c r="P30" s="112">
        <v>0.3</v>
      </c>
      <c r="Q30" s="112">
        <v>4.66</v>
      </c>
    </row>
    <row r="31" spans="1:17" customFormat="1">
      <c r="A31" s="80">
        <v>45552.239583333336</v>
      </c>
      <c r="B31" s="112">
        <v>9.36</v>
      </c>
      <c r="C31" s="112">
        <v>4.08</v>
      </c>
      <c r="D31" s="112">
        <v>14.09</v>
      </c>
      <c r="E31" s="112">
        <v>10.9</v>
      </c>
      <c r="F31" s="112">
        <v>4.49</v>
      </c>
      <c r="G31" s="112">
        <v>25.13</v>
      </c>
      <c r="H31" s="112">
        <v>7.51</v>
      </c>
      <c r="I31" s="112">
        <v>3.39</v>
      </c>
      <c r="J31" s="112">
        <v>0.91</v>
      </c>
      <c r="K31" s="112">
        <v>283.69</v>
      </c>
      <c r="L31" s="112">
        <v>23.94</v>
      </c>
      <c r="M31" s="112">
        <v>90.98</v>
      </c>
      <c r="N31" s="112">
        <v>3.6</v>
      </c>
      <c r="O31" s="112">
        <v>0</v>
      </c>
      <c r="P31" s="112">
        <v>0.3</v>
      </c>
      <c r="Q31" s="112">
        <v>4.6500000000000004</v>
      </c>
    </row>
    <row r="32" spans="1:17" customFormat="1">
      <c r="A32" s="80">
        <v>45552.25</v>
      </c>
      <c r="B32" s="112">
        <v>9.36</v>
      </c>
      <c r="C32" s="112">
        <v>4.07</v>
      </c>
      <c r="D32" s="112">
        <v>14.08</v>
      </c>
      <c r="E32" s="112">
        <v>11.26</v>
      </c>
      <c r="F32" s="112">
        <v>4.47</v>
      </c>
      <c r="G32" s="112">
        <v>25.13</v>
      </c>
      <c r="H32" s="112">
        <v>7.51</v>
      </c>
      <c r="I32" s="112">
        <v>3.38</v>
      </c>
      <c r="J32" s="112">
        <v>0.99</v>
      </c>
      <c r="K32" s="112">
        <v>278.22000000000003</v>
      </c>
      <c r="L32" s="112">
        <v>24.06</v>
      </c>
      <c r="M32" s="112">
        <v>90.55</v>
      </c>
      <c r="N32" s="112">
        <v>5.0999999999999996</v>
      </c>
      <c r="O32" s="112">
        <v>0</v>
      </c>
      <c r="P32" s="112">
        <v>0.3</v>
      </c>
      <c r="Q32" s="112">
        <v>4.66</v>
      </c>
    </row>
    <row r="33" spans="1:17" customFormat="1">
      <c r="A33" s="80">
        <v>45552.260416666664</v>
      </c>
      <c r="B33" s="112">
        <v>9.36</v>
      </c>
      <c r="C33" s="112">
        <v>4.08</v>
      </c>
      <c r="D33" s="112">
        <v>14.09</v>
      </c>
      <c r="E33" s="112">
        <v>10.98</v>
      </c>
      <c r="F33" s="112">
        <v>4.57</v>
      </c>
      <c r="G33" s="112">
        <v>25.13</v>
      </c>
      <c r="H33" s="112">
        <v>7.51</v>
      </c>
      <c r="I33" s="112">
        <v>3.38</v>
      </c>
      <c r="J33" s="112">
        <v>0.88</v>
      </c>
      <c r="K33" s="112">
        <v>277.45999999999998</v>
      </c>
      <c r="L33" s="112">
        <v>24.19</v>
      </c>
      <c r="M33" s="112">
        <v>90.16</v>
      </c>
      <c r="N33" s="112">
        <v>8.6999999999999993</v>
      </c>
      <c r="O33" s="112">
        <v>0</v>
      </c>
      <c r="P33" s="112">
        <v>0.3</v>
      </c>
      <c r="Q33" s="112">
        <v>4.66</v>
      </c>
    </row>
    <row r="34" spans="1:17" customFormat="1">
      <c r="A34" s="80">
        <v>45552.270833333336</v>
      </c>
      <c r="B34" s="112">
        <v>9.3699999999999992</v>
      </c>
      <c r="C34" s="112">
        <v>4.09</v>
      </c>
      <c r="D34" s="112">
        <v>14.1</v>
      </c>
      <c r="E34" s="112">
        <v>11.3</v>
      </c>
      <c r="F34" s="112">
        <v>4.72</v>
      </c>
      <c r="G34" s="112">
        <v>25.19</v>
      </c>
      <c r="H34" s="112">
        <v>7.31</v>
      </c>
      <c r="I34" s="112">
        <v>3.37</v>
      </c>
      <c r="J34" s="112">
        <v>1.01</v>
      </c>
      <c r="K34" s="112">
        <v>281.95</v>
      </c>
      <c r="L34" s="112">
        <v>24.27</v>
      </c>
      <c r="M34" s="112">
        <v>89.99</v>
      </c>
      <c r="N34" s="112">
        <v>12</v>
      </c>
      <c r="O34" s="112">
        <v>0</v>
      </c>
      <c r="P34" s="112">
        <v>0.3</v>
      </c>
      <c r="Q34" s="112">
        <v>4.6500000000000004</v>
      </c>
    </row>
    <row r="35" spans="1:17" customFormat="1">
      <c r="A35" s="80">
        <v>45552.28125</v>
      </c>
      <c r="B35" s="112">
        <v>9.36</v>
      </c>
      <c r="C35" s="112">
        <v>4.0999999999999996</v>
      </c>
      <c r="D35" s="112">
        <v>14.1</v>
      </c>
      <c r="E35" s="112">
        <v>11.25</v>
      </c>
      <c r="F35" s="112">
        <v>4.75</v>
      </c>
      <c r="G35" s="112">
        <v>25.79</v>
      </c>
      <c r="H35" s="112">
        <v>5.66</v>
      </c>
      <c r="I35" s="112">
        <v>3.27</v>
      </c>
      <c r="J35" s="112">
        <v>0.9</v>
      </c>
      <c r="K35" s="112">
        <v>273.12</v>
      </c>
      <c r="L35" s="112">
        <v>24.36</v>
      </c>
      <c r="M35" s="112">
        <v>90.15</v>
      </c>
      <c r="N35" s="112">
        <v>13</v>
      </c>
      <c r="O35" s="112">
        <v>0</v>
      </c>
      <c r="P35" s="112">
        <v>0.3</v>
      </c>
      <c r="Q35" s="112">
        <v>4.6399999999999997</v>
      </c>
    </row>
    <row r="36" spans="1:17" customFormat="1">
      <c r="A36" s="80">
        <v>45552.291666666664</v>
      </c>
      <c r="B36" s="112">
        <v>9.3800000000000008</v>
      </c>
      <c r="C36" s="112">
        <v>4.0999999999999996</v>
      </c>
      <c r="D36" s="112">
        <v>14.11</v>
      </c>
      <c r="E36" s="112">
        <v>11.25</v>
      </c>
      <c r="F36" s="112">
        <v>4.51</v>
      </c>
      <c r="G36" s="112">
        <v>25.79</v>
      </c>
      <c r="H36" s="112">
        <v>5.66</v>
      </c>
      <c r="I36" s="112">
        <v>3.43</v>
      </c>
      <c r="J36" s="112">
        <v>0.88</v>
      </c>
      <c r="K36" s="112">
        <v>271.8</v>
      </c>
      <c r="L36" s="112">
        <v>24.39</v>
      </c>
      <c r="M36" s="112">
        <v>90.63</v>
      </c>
      <c r="N36" s="112">
        <v>16.5</v>
      </c>
      <c r="O36" s="112">
        <v>0</v>
      </c>
      <c r="P36" s="112">
        <v>0.31</v>
      </c>
      <c r="Q36" s="112">
        <v>4.66</v>
      </c>
    </row>
    <row r="37" spans="1:17" customFormat="1">
      <c r="A37" s="80">
        <v>45552.302083333336</v>
      </c>
      <c r="B37" s="112">
        <v>9.3800000000000008</v>
      </c>
      <c r="C37" s="112">
        <v>4.08</v>
      </c>
      <c r="D37" s="112">
        <v>14.1</v>
      </c>
      <c r="E37" s="112">
        <v>11.32</v>
      </c>
      <c r="F37" s="112">
        <v>4.66</v>
      </c>
      <c r="G37" s="112">
        <v>25.79</v>
      </c>
      <c r="H37" s="112">
        <v>5.66</v>
      </c>
      <c r="I37" s="112">
        <v>3.53</v>
      </c>
      <c r="J37" s="112">
        <v>0.82</v>
      </c>
      <c r="K37" s="112">
        <v>276.26</v>
      </c>
      <c r="L37" s="112">
        <v>24.37</v>
      </c>
      <c r="M37" s="112">
        <v>91.16</v>
      </c>
      <c r="N37" s="112">
        <v>18.399999999999999</v>
      </c>
      <c r="O37" s="112">
        <v>0</v>
      </c>
      <c r="P37" s="112">
        <v>0.31</v>
      </c>
      <c r="Q37" s="112">
        <v>4.6500000000000004</v>
      </c>
    </row>
    <row r="38" spans="1:17" customFormat="1">
      <c r="A38" s="80">
        <v>45552.3125</v>
      </c>
      <c r="B38" s="112">
        <v>9.4</v>
      </c>
      <c r="C38" s="112">
        <v>4.0599999999999996</v>
      </c>
      <c r="D38" s="112">
        <v>14.1</v>
      </c>
      <c r="E38" s="112">
        <v>12.01</v>
      </c>
      <c r="F38" s="112">
        <v>4.82</v>
      </c>
      <c r="G38" s="112">
        <v>25.88</v>
      </c>
      <c r="H38" s="112">
        <v>5.79</v>
      </c>
      <c r="I38" s="112">
        <v>3.68</v>
      </c>
      <c r="J38" s="112">
        <v>0.93</v>
      </c>
      <c r="K38" s="112">
        <v>271.83999999999997</v>
      </c>
      <c r="L38" s="112">
        <v>24.64</v>
      </c>
      <c r="M38" s="112">
        <v>89.55</v>
      </c>
      <c r="N38" s="112">
        <v>24.6</v>
      </c>
      <c r="O38" s="112">
        <v>0</v>
      </c>
      <c r="P38" s="112">
        <v>0.31</v>
      </c>
      <c r="Q38" s="112">
        <v>4.6399999999999997</v>
      </c>
    </row>
    <row r="39" spans="1:17" customFormat="1">
      <c r="A39" s="80">
        <v>45552.322916666664</v>
      </c>
      <c r="B39" s="112">
        <v>9.4</v>
      </c>
      <c r="C39" s="112">
        <v>4.04</v>
      </c>
      <c r="D39" s="112">
        <v>14.1</v>
      </c>
      <c r="E39" s="112">
        <v>12.05</v>
      </c>
      <c r="F39" s="112">
        <v>4.29</v>
      </c>
      <c r="G39" s="112">
        <v>26.79</v>
      </c>
      <c r="H39" s="112">
        <v>6.82</v>
      </c>
      <c r="I39" s="112">
        <v>3.64</v>
      </c>
      <c r="J39" s="112">
        <v>0.79</v>
      </c>
      <c r="K39" s="112">
        <v>271.58999999999997</v>
      </c>
      <c r="L39" s="112">
        <v>24.78</v>
      </c>
      <c r="M39" s="112">
        <v>89.08</v>
      </c>
      <c r="N39" s="112">
        <v>30.5</v>
      </c>
      <c r="O39" s="112">
        <v>0</v>
      </c>
      <c r="P39" s="112">
        <v>0.32</v>
      </c>
      <c r="Q39" s="112">
        <v>4.6500000000000004</v>
      </c>
    </row>
    <row r="40" spans="1:17" customFormat="1">
      <c r="A40" s="80">
        <v>45552.333333333336</v>
      </c>
      <c r="B40" s="112">
        <v>9.3699999999999992</v>
      </c>
      <c r="C40" s="112">
        <v>4.05</v>
      </c>
      <c r="D40" s="112">
        <v>14.08</v>
      </c>
      <c r="E40" s="112">
        <v>12.32</v>
      </c>
      <c r="F40" s="112">
        <v>3.97</v>
      </c>
      <c r="G40" s="112">
        <v>26.79</v>
      </c>
      <c r="H40" s="112">
        <v>6.82</v>
      </c>
      <c r="I40" s="112">
        <v>3.52</v>
      </c>
      <c r="J40" s="112">
        <v>0.9</v>
      </c>
      <c r="K40" s="112">
        <v>274.81</v>
      </c>
      <c r="L40" s="112">
        <v>24.93</v>
      </c>
      <c r="M40" s="112">
        <v>88.53</v>
      </c>
      <c r="N40" s="112">
        <v>36</v>
      </c>
      <c r="O40" s="112">
        <v>0</v>
      </c>
      <c r="P40" s="112">
        <v>0.34</v>
      </c>
      <c r="Q40" s="112">
        <v>4.6399999999999997</v>
      </c>
    </row>
    <row r="41" spans="1:17" customFormat="1">
      <c r="A41" s="80">
        <v>45552.34375</v>
      </c>
      <c r="B41" s="112">
        <v>9.36</v>
      </c>
      <c r="C41" s="112">
        <v>4.04</v>
      </c>
      <c r="D41" s="112">
        <v>14.07</v>
      </c>
      <c r="E41" s="112">
        <v>12.69</v>
      </c>
      <c r="F41" s="112">
        <v>4.05</v>
      </c>
      <c r="G41" s="112">
        <v>26.79</v>
      </c>
      <c r="H41" s="112">
        <v>6.82</v>
      </c>
      <c r="I41" s="112">
        <v>3.77</v>
      </c>
      <c r="J41" s="112">
        <v>0.92</v>
      </c>
      <c r="K41" s="112">
        <v>275.61</v>
      </c>
      <c r="L41" s="112">
        <v>25.12</v>
      </c>
      <c r="M41" s="112">
        <v>87.78</v>
      </c>
      <c r="N41" s="112">
        <v>48.5</v>
      </c>
      <c r="O41" s="112">
        <v>0</v>
      </c>
      <c r="P41" s="112">
        <v>0.33</v>
      </c>
      <c r="Q41" s="112">
        <v>4.6399999999999997</v>
      </c>
    </row>
    <row r="42" spans="1:17" customFormat="1">
      <c r="A42" s="80">
        <v>45552.354166666664</v>
      </c>
      <c r="B42" s="112">
        <v>9.3800000000000008</v>
      </c>
      <c r="C42" s="112">
        <v>4.0599999999999996</v>
      </c>
      <c r="D42" s="112">
        <v>14.1</v>
      </c>
      <c r="E42" s="112">
        <v>12.19</v>
      </c>
      <c r="F42" s="112">
        <v>4.38</v>
      </c>
      <c r="G42" s="112">
        <v>27.39</v>
      </c>
      <c r="H42" s="112">
        <v>6.96</v>
      </c>
      <c r="I42" s="112">
        <v>3.81</v>
      </c>
      <c r="J42" s="112">
        <v>0.85</v>
      </c>
      <c r="K42" s="112">
        <v>276.10000000000002</v>
      </c>
      <c r="L42" s="112">
        <v>25.37</v>
      </c>
      <c r="M42" s="112">
        <v>87.23</v>
      </c>
      <c r="N42" s="112">
        <v>72.099999999999994</v>
      </c>
      <c r="O42" s="112">
        <v>0</v>
      </c>
      <c r="P42" s="112">
        <v>0.34</v>
      </c>
      <c r="Q42" s="112">
        <v>4.6399999999999997</v>
      </c>
    </row>
    <row r="43" spans="1:17" customFormat="1">
      <c r="A43" s="80">
        <v>45552.364583333336</v>
      </c>
      <c r="B43" s="112">
        <v>9.3800000000000008</v>
      </c>
      <c r="C43" s="112">
        <v>4.08</v>
      </c>
      <c r="D43" s="112">
        <v>14.11</v>
      </c>
      <c r="E43" s="112">
        <v>12.26</v>
      </c>
      <c r="F43" s="112">
        <v>4.75</v>
      </c>
      <c r="G43" s="112">
        <v>33.56</v>
      </c>
      <c r="H43" s="112">
        <v>8.0500000000000007</v>
      </c>
      <c r="I43" s="112">
        <v>3.91</v>
      </c>
      <c r="J43" s="112">
        <v>0.97</v>
      </c>
      <c r="K43" s="112">
        <v>276.37</v>
      </c>
      <c r="L43" s="112">
        <v>25.74</v>
      </c>
      <c r="M43" s="112">
        <v>85.71</v>
      </c>
      <c r="N43" s="112">
        <v>83.7</v>
      </c>
      <c r="O43" s="112">
        <v>0</v>
      </c>
      <c r="P43" s="112">
        <v>0.34</v>
      </c>
      <c r="Q43" s="112">
        <v>4.63</v>
      </c>
    </row>
    <row r="44" spans="1:17" customFormat="1">
      <c r="A44" s="80">
        <v>45552.375</v>
      </c>
      <c r="B44" s="112">
        <v>9.3800000000000008</v>
      </c>
      <c r="C44" s="112">
        <v>4.0599999999999996</v>
      </c>
      <c r="D44" s="112">
        <v>14.09</v>
      </c>
      <c r="E44" s="112">
        <v>12.01</v>
      </c>
      <c r="F44" s="112">
        <v>4.88</v>
      </c>
      <c r="G44" s="112">
        <v>33.56</v>
      </c>
      <c r="H44" s="112">
        <v>8.0500000000000007</v>
      </c>
      <c r="I44" s="112">
        <v>3.97</v>
      </c>
      <c r="J44" s="112">
        <v>0.89</v>
      </c>
      <c r="K44" s="112">
        <v>279.99</v>
      </c>
      <c r="L44" s="112">
        <v>26.05</v>
      </c>
      <c r="M44" s="112">
        <v>84.6</v>
      </c>
      <c r="N44" s="112">
        <v>119.5</v>
      </c>
      <c r="O44" s="112">
        <v>0</v>
      </c>
      <c r="P44" s="112">
        <v>0.34</v>
      </c>
      <c r="Q44" s="112">
        <v>4.63</v>
      </c>
    </row>
    <row r="45" spans="1:17" customFormat="1">
      <c r="A45" s="80">
        <v>45552.385416666664</v>
      </c>
      <c r="B45" s="112">
        <v>9.3699999999999992</v>
      </c>
      <c r="C45" s="112">
        <v>4.07</v>
      </c>
      <c r="D45" s="112">
        <v>14.09</v>
      </c>
      <c r="E45" s="112">
        <v>11.69</v>
      </c>
      <c r="F45" s="112">
        <v>5.04</v>
      </c>
      <c r="G45" s="112">
        <v>33.56</v>
      </c>
      <c r="H45" s="112">
        <v>8.0500000000000007</v>
      </c>
      <c r="I45" s="112">
        <v>4.01</v>
      </c>
      <c r="J45" s="112">
        <v>0.99</v>
      </c>
      <c r="K45" s="112">
        <v>277.35000000000002</v>
      </c>
      <c r="L45" s="112">
        <v>26.54</v>
      </c>
      <c r="M45" s="112">
        <v>83.13</v>
      </c>
      <c r="N45" s="112">
        <v>147.19999999999999</v>
      </c>
      <c r="O45" s="112">
        <v>0</v>
      </c>
      <c r="P45" s="112">
        <v>0.34</v>
      </c>
      <c r="Q45" s="112">
        <v>4.6399999999999997</v>
      </c>
    </row>
    <row r="46" spans="1:17" customFormat="1">
      <c r="A46" s="80">
        <v>45552.395833333336</v>
      </c>
      <c r="B46" s="112">
        <v>9.3800000000000008</v>
      </c>
      <c r="C46" s="112">
        <v>4.07</v>
      </c>
      <c r="D46" s="112">
        <v>14.1</v>
      </c>
      <c r="E46" s="112">
        <v>11.04</v>
      </c>
      <c r="F46" s="112">
        <v>5.37</v>
      </c>
      <c r="G46" s="112">
        <v>34.020000000000003</v>
      </c>
      <c r="H46" s="112">
        <v>8.14</v>
      </c>
      <c r="I46" s="112">
        <v>4.0599999999999996</v>
      </c>
      <c r="J46" s="112">
        <v>0.85</v>
      </c>
      <c r="K46" s="112">
        <v>284.77</v>
      </c>
      <c r="L46" s="112">
        <v>26.81</v>
      </c>
      <c r="M46" s="112">
        <v>82.24</v>
      </c>
      <c r="N46" s="112">
        <v>178.9</v>
      </c>
      <c r="O46" s="112">
        <v>0</v>
      </c>
      <c r="P46" s="112">
        <v>0.35</v>
      </c>
      <c r="Q46" s="112">
        <v>4.6399999999999997</v>
      </c>
    </row>
    <row r="47" spans="1:17" customFormat="1">
      <c r="A47" s="80">
        <v>45552.40625</v>
      </c>
      <c r="B47" s="112">
        <v>9.39</v>
      </c>
      <c r="C47" s="112">
        <v>4.07</v>
      </c>
      <c r="D47" s="112">
        <v>14.11</v>
      </c>
      <c r="E47" s="112">
        <v>11.8</v>
      </c>
      <c r="F47" s="112">
        <v>5.64</v>
      </c>
      <c r="G47" s="112">
        <v>38.82</v>
      </c>
      <c r="H47" s="112">
        <v>8.9</v>
      </c>
      <c r="I47" s="112">
        <v>3.9</v>
      </c>
      <c r="J47" s="112">
        <v>1.1499999999999999</v>
      </c>
      <c r="K47" s="112">
        <v>294.39999999999998</v>
      </c>
      <c r="L47" s="112">
        <v>27.9</v>
      </c>
      <c r="M47" s="112">
        <v>78.34</v>
      </c>
      <c r="N47" s="112">
        <v>334.4</v>
      </c>
      <c r="O47" s="112">
        <v>0</v>
      </c>
      <c r="P47" s="112">
        <v>0.35</v>
      </c>
      <c r="Q47" s="112">
        <v>4.66</v>
      </c>
    </row>
    <row r="48" spans="1:17" customFormat="1">
      <c r="A48" s="80">
        <v>45552.416666666664</v>
      </c>
      <c r="B48" s="112">
        <v>9.3800000000000008</v>
      </c>
      <c r="C48" s="112">
        <v>4.07</v>
      </c>
      <c r="D48" s="112">
        <v>14.1</v>
      </c>
      <c r="E48" s="112">
        <v>11.28</v>
      </c>
      <c r="F48" s="112">
        <v>5.34</v>
      </c>
      <c r="G48" s="112">
        <v>38.82</v>
      </c>
      <c r="H48" s="112">
        <v>8.9</v>
      </c>
      <c r="I48" s="112">
        <v>3.93</v>
      </c>
      <c r="J48" s="112">
        <v>1.32</v>
      </c>
      <c r="K48" s="112">
        <v>297.17</v>
      </c>
      <c r="L48" s="112">
        <v>28.34</v>
      </c>
      <c r="M48" s="112">
        <v>76.03</v>
      </c>
      <c r="N48" s="112">
        <v>283.8</v>
      </c>
      <c r="O48" s="112">
        <v>0</v>
      </c>
      <c r="P48" s="112">
        <v>0.36</v>
      </c>
      <c r="Q48" s="112">
        <v>4.6500000000000004</v>
      </c>
    </row>
    <row r="49" spans="1:17" customFormat="1">
      <c r="A49" s="80">
        <v>45552.427083333336</v>
      </c>
      <c r="B49" s="112">
        <v>9.3800000000000008</v>
      </c>
      <c r="C49" s="112">
        <v>4.0599999999999996</v>
      </c>
      <c r="D49" s="112">
        <v>14.1</v>
      </c>
      <c r="E49" s="112">
        <v>7.39</v>
      </c>
      <c r="F49" s="112">
        <v>5.33</v>
      </c>
      <c r="G49" s="112">
        <v>38.82</v>
      </c>
      <c r="H49" s="112">
        <v>8.9</v>
      </c>
      <c r="I49" s="112">
        <v>3.98</v>
      </c>
      <c r="J49" s="112">
        <v>1.33</v>
      </c>
      <c r="K49" s="112">
        <v>286.07</v>
      </c>
      <c r="L49" s="112">
        <v>28.36</v>
      </c>
      <c r="M49" s="112">
        <v>75.28</v>
      </c>
      <c r="N49" s="112">
        <v>246.2</v>
      </c>
      <c r="O49" s="112">
        <v>0.2</v>
      </c>
      <c r="P49" s="112">
        <v>0.36</v>
      </c>
      <c r="Q49" s="112">
        <v>4.6500000000000004</v>
      </c>
    </row>
    <row r="50" spans="1:17" customFormat="1">
      <c r="A50" s="80">
        <v>45552.4375</v>
      </c>
      <c r="B50" s="112">
        <v>9.3800000000000008</v>
      </c>
      <c r="C50" s="112">
        <v>4.09</v>
      </c>
      <c r="D50" s="112">
        <v>14.11</v>
      </c>
      <c r="E50" s="112">
        <v>8.2899999999999991</v>
      </c>
      <c r="F50" s="112">
        <v>8.89</v>
      </c>
      <c r="G50" s="112">
        <v>38.590000000000003</v>
      </c>
      <c r="H50" s="112">
        <v>9.09</v>
      </c>
      <c r="I50" s="112">
        <v>4.01</v>
      </c>
      <c r="J50" s="112">
        <v>1.27</v>
      </c>
      <c r="K50" s="112">
        <v>288.05</v>
      </c>
      <c r="L50" s="112">
        <v>29.26</v>
      </c>
      <c r="M50" s="112">
        <v>72.84</v>
      </c>
      <c r="N50" s="112">
        <v>336.5</v>
      </c>
      <c r="O50" s="112">
        <v>0</v>
      </c>
      <c r="P50" s="112">
        <v>0.37</v>
      </c>
      <c r="Q50" s="112">
        <v>4.6500000000000004</v>
      </c>
    </row>
    <row r="51" spans="1:17" customFormat="1">
      <c r="A51" s="80">
        <v>45552.447916666664</v>
      </c>
      <c r="B51" s="112">
        <v>9.4</v>
      </c>
      <c r="C51" s="112">
        <v>4.07</v>
      </c>
      <c r="D51" s="112">
        <v>14.12</v>
      </c>
      <c r="E51" s="112">
        <v>7.9</v>
      </c>
      <c r="F51" s="112">
        <v>18.2</v>
      </c>
      <c r="G51" s="112">
        <v>36.31</v>
      </c>
      <c r="H51" s="112">
        <v>10.71</v>
      </c>
      <c r="I51" s="112">
        <v>4.05</v>
      </c>
      <c r="J51" s="112">
        <v>1.1399999999999999</v>
      </c>
      <c r="K51" s="112">
        <v>293.72000000000003</v>
      </c>
      <c r="L51" s="112">
        <v>29.34</v>
      </c>
      <c r="M51" s="112">
        <v>71.58</v>
      </c>
      <c r="N51" s="112">
        <v>367.3</v>
      </c>
      <c r="O51" s="112">
        <v>0</v>
      </c>
      <c r="P51" s="112">
        <v>0.41</v>
      </c>
      <c r="Q51" s="112">
        <v>4.6500000000000004</v>
      </c>
    </row>
    <row r="52" spans="1:17" customFormat="1">
      <c r="A52" s="80">
        <v>45552.458333333336</v>
      </c>
      <c r="B52" s="112">
        <v>9.36</v>
      </c>
      <c r="C52" s="112">
        <v>4.09</v>
      </c>
      <c r="D52" s="112">
        <v>14.1</v>
      </c>
      <c r="E52" s="112">
        <v>6.92</v>
      </c>
      <c r="F52" s="112">
        <v>15.43</v>
      </c>
      <c r="G52" s="112">
        <v>36.31</v>
      </c>
      <c r="H52" s="112">
        <v>10.71</v>
      </c>
      <c r="I52" s="112">
        <v>3.91</v>
      </c>
      <c r="J52" s="112">
        <v>1.19</v>
      </c>
      <c r="K52" s="112">
        <v>291.89999999999998</v>
      </c>
      <c r="L52" s="112">
        <v>28.98</v>
      </c>
      <c r="M52" s="112">
        <v>72.55</v>
      </c>
      <c r="N52" s="112">
        <v>249.2</v>
      </c>
      <c r="O52" s="112">
        <v>0</v>
      </c>
      <c r="P52" s="112">
        <v>0.41</v>
      </c>
      <c r="Q52" s="112">
        <v>4.6399999999999997</v>
      </c>
    </row>
    <row r="53" spans="1:17" customFormat="1">
      <c r="A53" s="80">
        <v>45552.46875</v>
      </c>
      <c r="B53" s="112">
        <v>9.33</v>
      </c>
      <c r="C53" s="112">
        <v>4.12</v>
      </c>
      <c r="D53" s="112">
        <v>14.09</v>
      </c>
      <c r="E53" s="112">
        <v>7.11</v>
      </c>
      <c r="F53" s="112">
        <v>8.4499999999999993</v>
      </c>
      <c r="G53" s="112">
        <v>36.31</v>
      </c>
      <c r="H53" s="112">
        <v>10.71</v>
      </c>
      <c r="I53" s="112">
        <v>3.81</v>
      </c>
      <c r="J53" s="112">
        <v>1.31</v>
      </c>
      <c r="K53" s="112">
        <v>277.88</v>
      </c>
      <c r="L53" s="112">
        <v>28.65</v>
      </c>
      <c r="M53" s="112">
        <v>73.63</v>
      </c>
      <c r="N53" s="112">
        <v>175.9</v>
      </c>
      <c r="O53" s="112">
        <v>0</v>
      </c>
      <c r="P53" s="112">
        <v>0.41</v>
      </c>
      <c r="Q53" s="112">
        <v>4.63</v>
      </c>
    </row>
    <row r="54" spans="1:17" customFormat="1">
      <c r="A54" s="80">
        <v>45552.479166666664</v>
      </c>
      <c r="B54" s="112">
        <v>9.36</v>
      </c>
      <c r="C54" s="112">
        <v>4.0999999999999996</v>
      </c>
      <c r="D54" s="112">
        <v>14.1</v>
      </c>
      <c r="E54" s="112">
        <v>7.23</v>
      </c>
      <c r="F54" s="112">
        <v>5.5</v>
      </c>
      <c r="G54" s="112">
        <v>36.24</v>
      </c>
      <c r="H54" s="112">
        <v>10.84</v>
      </c>
      <c r="I54" s="112">
        <v>3.79</v>
      </c>
      <c r="J54" s="112">
        <v>1.06</v>
      </c>
      <c r="K54" s="112">
        <v>292.64999999999998</v>
      </c>
      <c r="L54" s="112">
        <v>28.4</v>
      </c>
      <c r="M54" s="112">
        <v>73.819999999999993</v>
      </c>
      <c r="N54" s="112">
        <v>100.1</v>
      </c>
      <c r="O54" s="112">
        <v>0</v>
      </c>
      <c r="P54" s="112">
        <v>0.41</v>
      </c>
      <c r="Q54" s="112">
        <v>4.62</v>
      </c>
    </row>
    <row r="55" spans="1:17" customFormat="1">
      <c r="A55" s="80">
        <v>45552.489583333336</v>
      </c>
      <c r="B55" s="112">
        <v>9.35</v>
      </c>
      <c r="C55" s="112">
        <v>4.08</v>
      </c>
      <c r="D55" s="112">
        <v>14.08</v>
      </c>
      <c r="E55" s="112">
        <v>7.29</v>
      </c>
      <c r="F55" s="112">
        <v>4.66</v>
      </c>
      <c r="G55" s="112">
        <v>35.450000000000003</v>
      </c>
      <c r="H55" s="112">
        <v>12</v>
      </c>
      <c r="I55" s="112">
        <v>3.84</v>
      </c>
      <c r="J55" s="112">
        <v>1.1100000000000001</v>
      </c>
      <c r="K55" s="112">
        <v>281.08999999999997</v>
      </c>
      <c r="L55" s="112">
        <v>28.32</v>
      </c>
      <c r="M55" s="112">
        <v>74.06</v>
      </c>
      <c r="N55" s="112">
        <v>95.4</v>
      </c>
      <c r="O55" s="112">
        <v>0</v>
      </c>
      <c r="P55" s="112">
        <v>0.42</v>
      </c>
      <c r="Q55" s="112">
        <v>4.63</v>
      </c>
    </row>
    <row r="56" spans="1:17" customFormat="1">
      <c r="A56" s="80">
        <v>45552.5</v>
      </c>
      <c r="B56" s="112">
        <v>9.34</v>
      </c>
      <c r="C56" s="112">
        <v>4.07</v>
      </c>
      <c r="D56" s="112">
        <v>14.07</v>
      </c>
      <c r="E56" s="112">
        <v>7.4</v>
      </c>
      <c r="F56" s="112">
        <v>11.43</v>
      </c>
      <c r="G56" s="112">
        <v>35.450000000000003</v>
      </c>
      <c r="H56" s="112">
        <v>12</v>
      </c>
      <c r="I56" s="112">
        <v>3.92</v>
      </c>
      <c r="J56" s="112">
        <v>1.03</v>
      </c>
      <c r="K56" s="112">
        <v>293.68</v>
      </c>
      <c r="L56" s="112">
        <v>28.12</v>
      </c>
      <c r="M56" s="112">
        <v>73.36</v>
      </c>
      <c r="N56" s="112">
        <v>80.599999999999994</v>
      </c>
      <c r="O56" s="112">
        <v>0</v>
      </c>
      <c r="P56" s="112">
        <v>0.42</v>
      </c>
      <c r="Q56" s="112">
        <v>4.63</v>
      </c>
    </row>
    <row r="57" spans="1:17" customFormat="1">
      <c r="A57" s="80">
        <v>45552.510416666664</v>
      </c>
      <c r="B57" s="112">
        <v>9.34</v>
      </c>
      <c r="C57" s="112">
        <v>4.07</v>
      </c>
      <c r="D57" s="112">
        <v>14.06</v>
      </c>
      <c r="E57" s="112">
        <v>6.91</v>
      </c>
      <c r="F57" s="112">
        <v>8.74</v>
      </c>
      <c r="G57" s="112">
        <v>35.450000000000003</v>
      </c>
      <c r="H57" s="112">
        <v>12</v>
      </c>
      <c r="I57" s="112">
        <v>4</v>
      </c>
      <c r="J57" s="112">
        <v>1.08</v>
      </c>
      <c r="K57" s="112">
        <v>283.07</v>
      </c>
      <c r="L57" s="112">
        <v>28.27</v>
      </c>
      <c r="M57" s="112">
        <v>73.739999999999995</v>
      </c>
      <c r="N57" s="112">
        <v>140.19999999999999</v>
      </c>
      <c r="O57" s="112">
        <v>0</v>
      </c>
      <c r="P57" s="112">
        <v>0.42</v>
      </c>
      <c r="Q57" s="112">
        <v>4.62</v>
      </c>
    </row>
    <row r="58" spans="1:17" customFormat="1">
      <c r="A58" s="80">
        <v>45552.520833333336</v>
      </c>
      <c r="B58" s="112">
        <v>9.31</v>
      </c>
      <c r="C58" s="112">
        <v>4.07</v>
      </c>
      <c r="D58" s="112">
        <v>14.04</v>
      </c>
      <c r="E58" s="112">
        <v>7.52</v>
      </c>
      <c r="F58" s="112">
        <v>5.66</v>
      </c>
      <c r="G58" s="112">
        <v>34.86</v>
      </c>
      <c r="H58" s="112">
        <v>11.86</v>
      </c>
      <c r="I58" s="112">
        <v>3.91</v>
      </c>
      <c r="J58" s="112">
        <v>1.06</v>
      </c>
      <c r="K58" s="112">
        <v>290.05</v>
      </c>
      <c r="L58" s="112">
        <v>28.1</v>
      </c>
      <c r="M58" s="112">
        <v>74.11</v>
      </c>
      <c r="N58" s="112">
        <v>107</v>
      </c>
      <c r="O58" s="112">
        <v>0</v>
      </c>
      <c r="P58" s="112">
        <v>0.42</v>
      </c>
      <c r="Q58" s="112">
        <v>4.62</v>
      </c>
    </row>
    <row r="59" spans="1:17" customFormat="1">
      <c r="A59" s="80">
        <v>45552.53125</v>
      </c>
      <c r="B59" s="112">
        <v>9.34</v>
      </c>
      <c r="C59" s="112">
        <v>4.08</v>
      </c>
      <c r="D59" s="112">
        <v>14.07</v>
      </c>
      <c r="E59" s="112">
        <v>6.85</v>
      </c>
      <c r="F59" s="112">
        <v>5.96</v>
      </c>
      <c r="G59" s="112">
        <v>28.78</v>
      </c>
      <c r="H59" s="112">
        <v>10.89</v>
      </c>
      <c r="I59" s="112">
        <v>4.0199999999999996</v>
      </c>
      <c r="J59" s="112">
        <v>1</v>
      </c>
      <c r="K59" s="112">
        <v>282.86</v>
      </c>
      <c r="L59" s="112">
        <v>27.77</v>
      </c>
      <c r="M59" s="112">
        <v>74.459999999999994</v>
      </c>
      <c r="N59" s="112">
        <v>79</v>
      </c>
      <c r="O59" s="112">
        <v>0</v>
      </c>
      <c r="P59" s="112">
        <v>0.4</v>
      </c>
      <c r="Q59" s="112">
        <v>4.6399999999999997</v>
      </c>
    </row>
    <row r="60" spans="1:17" customFormat="1">
      <c r="A60" s="80">
        <v>45552.541666666664</v>
      </c>
      <c r="B60" s="112">
        <v>9.4499999999999993</v>
      </c>
      <c r="C60" s="112">
        <v>4.0599999999999996</v>
      </c>
      <c r="D60" s="112">
        <v>14.15</v>
      </c>
      <c r="E60" s="112">
        <v>6.72</v>
      </c>
      <c r="F60" s="112">
        <v>4.95</v>
      </c>
      <c r="G60" s="112">
        <v>28.78</v>
      </c>
      <c r="H60" s="112">
        <v>10.89</v>
      </c>
      <c r="I60" s="112">
        <v>4.1100000000000003</v>
      </c>
      <c r="J60" s="112">
        <v>1.05</v>
      </c>
      <c r="K60" s="112">
        <v>277.49</v>
      </c>
      <c r="L60" s="112">
        <v>27.62</v>
      </c>
      <c r="M60" s="112">
        <v>75.56</v>
      </c>
      <c r="N60" s="112">
        <v>104.5</v>
      </c>
      <c r="O60" s="112">
        <v>0</v>
      </c>
      <c r="P60" s="112">
        <v>0.35</v>
      </c>
      <c r="Q60" s="112">
        <v>4.67</v>
      </c>
    </row>
    <row r="61" spans="1:17" customFormat="1">
      <c r="A61" s="80">
        <v>45552.552083333336</v>
      </c>
      <c r="B61" s="112">
        <v>9.43</v>
      </c>
      <c r="C61" s="112">
        <v>4.08</v>
      </c>
      <c r="D61" s="112">
        <v>14.15</v>
      </c>
      <c r="E61" s="112">
        <v>7.03</v>
      </c>
      <c r="F61" s="112">
        <v>5.05</v>
      </c>
      <c r="G61" s="112">
        <v>28.78</v>
      </c>
      <c r="H61" s="112">
        <v>10.89</v>
      </c>
      <c r="I61" s="112">
        <v>4</v>
      </c>
      <c r="J61" s="112">
        <v>1.2</v>
      </c>
      <c r="K61" s="112">
        <v>278.17</v>
      </c>
      <c r="L61" s="112">
        <v>27.48</v>
      </c>
      <c r="M61" s="112">
        <v>75.900000000000006</v>
      </c>
      <c r="N61" s="112">
        <v>101.7</v>
      </c>
      <c r="O61" s="112">
        <v>0</v>
      </c>
      <c r="P61" s="112">
        <v>0.34</v>
      </c>
      <c r="Q61" s="112">
        <v>4.66</v>
      </c>
    </row>
    <row r="62" spans="1:17" customFormat="1">
      <c r="A62" s="80">
        <v>45552.5625</v>
      </c>
      <c r="B62" s="112">
        <v>9.4</v>
      </c>
      <c r="C62" s="112">
        <v>4.0999999999999996</v>
      </c>
      <c r="D62" s="112">
        <v>14.13</v>
      </c>
      <c r="E62" s="112">
        <v>7.31</v>
      </c>
      <c r="F62" s="112">
        <v>5.81</v>
      </c>
      <c r="G62" s="112">
        <v>28.99</v>
      </c>
      <c r="H62" s="112">
        <v>11.03</v>
      </c>
      <c r="I62" s="112">
        <v>3.91</v>
      </c>
      <c r="J62" s="112">
        <v>0.94</v>
      </c>
      <c r="K62" s="112">
        <v>275.49</v>
      </c>
      <c r="L62" s="112">
        <v>27.44</v>
      </c>
      <c r="M62" s="112">
        <v>78.069999999999993</v>
      </c>
      <c r="N62" s="112">
        <v>120.8</v>
      </c>
      <c r="O62" s="112">
        <v>0</v>
      </c>
      <c r="P62" s="112">
        <v>0.35</v>
      </c>
      <c r="Q62" s="112">
        <v>4.66</v>
      </c>
    </row>
    <row r="63" spans="1:17" customFormat="1">
      <c r="A63" s="80">
        <v>45552.572916666664</v>
      </c>
      <c r="B63" s="112">
        <v>9.32</v>
      </c>
      <c r="C63" s="112">
        <v>4.0999999999999996</v>
      </c>
      <c r="D63" s="112">
        <v>14.06</v>
      </c>
      <c r="E63" s="112">
        <v>7.96</v>
      </c>
      <c r="F63" s="112">
        <v>6.24</v>
      </c>
      <c r="G63" s="112">
        <v>31.19</v>
      </c>
      <c r="H63" s="112">
        <v>12.19</v>
      </c>
      <c r="I63" s="112">
        <v>3.9</v>
      </c>
      <c r="J63" s="112">
        <v>0.93</v>
      </c>
      <c r="K63" s="112">
        <v>271.11</v>
      </c>
      <c r="L63" s="112">
        <v>27.1</v>
      </c>
      <c r="M63" s="112">
        <v>80.52</v>
      </c>
      <c r="N63" s="112">
        <v>108.8</v>
      </c>
      <c r="O63" s="112">
        <v>0</v>
      </c>
      <c r="P63" s="112">
        <v>0.35</v>
      </c>
      <c r="Q63" s="112">
        <v>4.66</v>
      </c>
    </row>
    <row r="64" spans="1:17" customFormat="1">
      <c r="A64" s="80">
        <v>45552.583333333336</v>
      </c>
      <c r="B64" s="112">
        <v>9.2899999999999991</v>
      </c>
      <c r="C64" s="112">
        <v>4.07</v>
      </c>
      <c r="D64" s="112">
        <v>14.03</v>
      </c>
      <c r="E64" s="112">
        <v>8.3800000000000008</v>
      </c>
      <c r="F64" s="112">
        <v>5.87</v>
      </c>
      <c r="G64" s="112">
        <v>31.19</v>
      </c>
      <c r="H64" s="112">
        <v>12.19</v>
      </c>
      <c r="I64" s="112">
        <v>3.98</v>
      </c>
      <c r="J64" s="112">
        <v>0.98</v>
      </c>
      <c r="K64" s="112">
        <v>276.33999999999997</v>
      </c>
      <c r="L64" s="112">
        <v>27.41</v>
      </c>
      <c r="M64" s="112">
        <v>78.75</v>
      </c>
      <c r="N64" s="112">
        <v>110.1</v>
      </c>
      <c r="O64" s="112">
        <v>0</v>
      </c>
      <c r="P64" s="112">
        <v>0.34</v>
      </c>
      <c r="Q64" s="112">
        <v>4.6500000000000004</v>
      </c>
    </row>
    <row r="65" spans="1:17" customFormat="1">
      <c r="A65" s="80">
        <v>45552.59375</v>
      </c>
      <c r="B65" s="112">
        <v>9.2799999999999994</v>
      </c>
      <c r="C65" s="112">
        <v>4.09</v>
      </c>
      <c r="D65" s="112">
        <v>14.03</v>
      </c>
      <c r="E65" s="112">
        <v>8.64</v>
      </c>
      <c r="F65" s="112">
        <v>5.78</v>
      </c>
      <c r="G65" s="112">
        <v>31.19</v>
      </c>
      <c r="H65" s="112">
        <v>12.19</v>
      </c>
      <c r="I65" s="112">
        <v>4.03</v>
      </c>
      <c r="J65" s="112">
        <v>1.01</v>
      </c>
      <c r="K65" s="112">
        <v>277.8</v>
      </c>
      <c r="L65" s="112">
        <v>27.35</v>
      </c>
      <c r="M65" s="112">
        <v>77.930000000000007</v>
      </c>
      <c r="N65" s="112">
        <v>98.6</v>
      </c>
      <c r="O65" s="112">
        <v>0</v>
      </c>
      <c r="P65" s="112">
        <v>0.38</v>
      </c>
      <c r="Q65" s="112">
        <v>4.67</v>
      </c>
    </row>
    <row r="66" spans="1:17" customFormat="1">
      <c r="A66" s="80">
        <v>45552.604166666664</v>
      </c>
      <c r="B66" s="112">
        <v>9.27</v>
      </c>
      <c r="C66" s="112">
        <v>4.0599999999999996</v>
      </c>
      <c r="D66" s="112">
        <v>14.01</v>
      </c>
      <c r="E66" s="112">
        <v>8.76</v>
      </c>
      <c r="F66" s="112">
        <v>5.63</v>
      </c>
      <c r="G66" s="112">
        <v>30.39</v>
      </c>
      <c r="H66" s="112">
        <v>11.93</v>
      </c>
      <c r="I66" s="112">
        <v>4.03</v>
      </c>
      <c r="J66" s="112">
        <v>1.08</v>
      </c>
      <c r="K66" s="112">
        <v>273.64999999999998</v>
      </c>
      <c r="L66" s="112">
        <v>27.53</v>
      </c>
      <c r="M66" s="112">
        <v>77.02</v>
      </c>
      <c r="N66" s="112">
        <v>132.4</v>
      </c>
      <c r="O66" s="112">
        <v>0</v>
      </c>
      <c r="P66" s="112">
        <v>0.4</v>
      </c>
      <c r="Q66" s="112">
        <v>4.66</v>
      </c>
    </row>
    <row r="67" spans="1:17" customFormat="1">
      <c r="A67" s="80">
        <v>45552.614583333336</v>
      </c>
      <c r="B67" s="112">
        <v>9.27</v>
      </c>
      <c r="C67" s="112">
        <v>4.0599999999999996</v>
      </c>
      <c r="D67" s="112">
        <v>14.01</v>
      </c>
      <c r="E67" s="112">
        <v>8.77</v>
      </c>
      <c r="F67" s="112">
        <v>6.05</v>
      </c>
      <c r="G67" s="112">
        <v>22.17</v>
      </c>
      <c r="H67" s="112">
        <v>9.67</v>
      </c>
      <c r="I67" s="112">
        <v>4.04</v>
      </c>
      <c r="J67" s="112">
        <v>0.95</v>
      </c>
      <c r="K67" s="112">
        <v>278.24</v>
      </c>
      <c r="L67" s="112">
        <v>28.22</v>
      </c>
      <c r="M67" s="112">
        <v>74.09</v>
      </c>
      <c r="N67" s="112">
        <v>159.30000000000001</v>
      </c>
      <c r="O67" s="112">
        <v>0</v>
      </c>
      <c r="P67" s="112">
        <v>0.39</v>
      </c>
      <c r="Q67" s="112">
        <v>4.66</v>
      </c>
    </row>
    <row r="68" spans="1:17" customFormat="1">
      <c r="A68" s="80">
        <v>45552.625</v>
      </c>
      <c r="B68" s="112">
        <v>9.27</v>
      </c>
      <c r="C68" s="112">
        <v>4.05</v>
      </c>
      <c r="D68" s="112">
        <v>14</v>
      </c>
      <c r="E68" s="112">
        <v>8.34</v>
      </c>
      <c r="F68" s="112">
        <v>5.91</v>
      </c>
      <c r="G68" s="112">
        <v>22.17</v>
      </c>
      <c r="H68" s="112">
        <v>9.67</v>
      </c>
      <c r="I68" s="112">
        <v>4.07</v>
      </c>
      <c r="J68" s="112">
        <v>0.86</v>
      </c>
      <c r="K68" s="112">
        <v>278.94</v>
      </c>
      <c r="L68" s="112">
        <v>28.41</v>
      </c>
      <c r="M68" s="112">
        <v>73.38</v>
      </c>
      <c r="N68" s="112">
        <v>137.9</v>
      </c>
      <c r="O68" s="112">
        <v>0</v>
      </c>
      <c r="P68" s="112">
        <v>0.39</v>
      </c>
      <c r="Q68" s="112">
        <v>4.6500000000000004</v>
      </c>
    </row>
    <row r="69" spans="1:17" customFormat="1">
      <c r="A69" s="80">
        <v>45552.635416666664</v>
      </c>
      <c r="B69" s="112">
        <v>9.26</v>
      </c>
      <c r="C69" s="112">
        <v>4.07</v>
      </c>
      <c r="D69" s="112">
        <v>14</v>
      </c>
      <c r="E69" s="112">
        <v>9.1300000000000008</v>
      </c>
      <c r="F69" s="112">
        <v>5.35</v>
      </c>
      <c r="G69" s="112">
        <v>22.17</v>
      </c>
      <c r="H69" s="112">
        <v>9.67</v>
      </c>
      <c r="I69" s="112">
        <v>4.07</v>
      </c>
      <c r="J69" s="112">
        <v>0.85</v>
      </c>
      <c r="K69" s="112">
        <v>279.48</v>
      </c>
      <c r="L69" s="112">
        <v>28.35</v>
      </c>
      <c r="M69" s="112">
        <v>73.56</v>
      </c>
      <c r="N69" s="112">
        <v>121.3</v>
      </c>
      <c r="O69" s="112">
        <v>0</v>
      </c>
      <c r="P69" s="112">
        <v>0.4</v>
      </c>
      <c r="Q69" s="112">
        <v>4.66</v>
      </c>
    </row>
    <row r="70" spans="1:17" customFormat="1">
      <c r="A70" s="80">
        <v>45552.645833333336</v>
      </c>
      <c r="B70" s="112">
        <v>9.27</v>
      </c>
      <c r="C70" s="112">
        <v>4.0599999999999996</v>
      </c>
      <c r="D70" s="112">
        <v>14</v>
      </c>
      <c r="E70" s="112">
        <v>9.18</v>
      </c>
      <c r="F70" s="112">
        <v>6.76</v>
      </c>
      <c r="G70" s="112">
        <v>22.42</v>
      </c>
      <c r="H70" s="112">
        <v>9.6</v>
      </c>
      <c r="I70" s="112">
        <v>4.05</v>
      </c>
      <c r="J70" s="112">
        <v>0.87</v>
      </c>
      <c r="K70" s="112">
        <v>274.23</v>
      </c>
      <c r="L70" s="112">
        <v>28.92</v>
      </c>
      <c r="M70" s="112">
        <v>73.349999999999994</v>
      </c>
      <c r="N70" s="112">
        <v>322.3</v>
      </c>
      <c r="O70" s="112">
        <v>0</v>
      </c>
      <c r="P70" s="112">
        <v>0.4</v>
      </c>
      <c r="Q70" s="112">
        <v>4.6500000000000004</v>
      </c>
    </row>
    <row r="71" spans="1:17" customFormat="1">
      <c r="A71" s="80">
        <v>45552.65625</v>
      </c>
      <c r="B71" s="112">
        <v>9.2899999999999991</v>
      </c>
      <c r="C71" s="112">
        <v>4.04</v>
      </c>
      <c r="D71" s="112">
        <v>14.01</v>
      </c>
      <c r="E71" s="112">
        <v>9.26</v>
      </c>
      <c r="F71" s="112">
        <v>7.34</v>
      </c>
      <c r="G71" s="112">
        <v>24.99</v>
      </c>
      <c r="H71" s="112">
        <v>9.06</v>
      </c>
      <c r="I71" s="112">
        <v>4.07</v>
      </c>
      <c r="J71" s="112">
        <v>0.84</v>
      </c>
      <c r="K71" s="112">
        <v>275.86</v>
      </c>
      <c r="L71" s="112">
        <v>29.42</v>
      </c>
      <c r="M71" s="112">
        <v>72.319999999999993</v>
      </c>
      <c r="N71" s="112">
        <v>346.4</v>
      </c>
      <c r="O71" s="112">
        <v>0</v>
      </c>
      <c r="P71" s="112">
        <v>0.41</v>
      </c>
      <c r="Q71" s="112">
        <v>4.6500000000000004</v>
      </c>
    </row>
    <row r="72" spans="1:17" customFormat="1">
      <c r="A72" s="80">
        <v>45552.666666666664</v>
      </c>
      <c r="B72" s="112">
        <v>9.2899999999999991</v>
      </c>
      <c r="C72" s="112">
        <v>4.05</v>
      </c>
      <c r="D72" s="112">
        <v>14.01</v>
      </c>
      <c r="E72" s="112">
        <v>9.83</v>
      </c>
      <c r="F72" s="112">
        <v>6.46</v>
      </c>
      <c r="G72" s="112">
        <v>24.99</v>
      </c>
      <c r="H72" s="112">
        <v>9.06</v>
      </c>
      <c r="I72" s="112">
        <v>4.07</v>
      </c>
      <c r="J72" s="112">
        <v>0.84</v>
      </c>
      <c r="K72" s="112">
        <v>274.56</v>
      </c>
      <c r="L72" s="112">
        <v>29.13</v>
      </c>
      <c r="M72" s="112">
        <v>73.19</v>
      </c>
      <c r="N72" s="112">
        <v>157.30000000000001</v>
      </c>
      <c r="O72" s="112">
        <v>0</v>
      </c>
      <c r="P72" s="112">
        <v>0.42</v>
      </c>
      <c r="Q72" s="112">
        <v>4.66</v>
      </c>
    </row>
    <row r="73" spans="1:17" customFormat="1">
      <c r="A73" s="80">
        <v>45552.677083333336</v>
      </c>
      <c r="B73" s="112">
        <v>9.2899999999999991</v>
      </c>
      <c r="C73" s="112">
        <v>4.07</v>
      </c>
      <c r="D73" s="112">
        <v>14.02</v>
      </c>
      <c r="E73" s="112">
        <v>9.69</v>
      </c>
      <c r="F73" s="112">
        <v>5.84</v>
      </c>
      <c r="G73" s="112">
        <v>24.99</v>
      </c>
      <c r="H73" s="112">
        <v>9.06</v>
      </c>
      <c r="I73" s="112">
        <v>4.2</v>
      </c>
      <c r="J73" s="112">
        <v>0.65</v>
      </c>
      <c r="K73" s="112">
        <v>274.69</v>
      </c>
      <c r="L73" s="112">
        <v>28.47</v>
      </c>
      <c r="M73" s="112">
        <v>76.14</v>
      </c>
      <c r="N73" s="112">
        <v>66.5</v>
      </c>
      <c r="O73" s="112">
        <v>0</v>
      </c>
      <c r="P73" s="112">
        <v>0.42</v>
      </c>
      <c r="Q73" s="112">
        <v>4.66</v>
      </c>
    </row>
    <row r="74" spans="1:17" customFormat="1">
      <c r="A74" s="80">
        <v>45552.6875</v>
      </c>
      <c r="B74" s="112">
        <v>9.2799999999999994</v>
      </c>
      <c r="C74" s="112">
        <v>4.08</v>
      </c>
      <c r="D74" s="112">
        <v>14.02</v>
      </c>
      <c r="E74" s="112">
        <v>9.7799999999999994</v>
      </c>
      <c r="F74" s="112">
        <v>7.47</v>
      </c>
      <c r="G74" s="112">
        <v>25.36</v>
      </c>
      <c r="H74" s="112">
        <v>8.92</v>
      </c>
      <c r="I74" s="112">
        <v>4.2300000000000004</v>
      </c>
      <c r="J74" s="112">
        <v>0.73</v>
      </c>
      <c r="K74" s="112">
        <v>271.48</v>
      </c>
      <c r="L74" s="112">
        <v>28.49</v>
      </c>
      <c r="M74" s="112">
        <v>76.819999999999993</v>
      </c>
      <c r="N74" s="112">
        <v>70.8</v>
      </c>
      <c r="O74" s="112">
        <v>0</v>
      </c>
      <c r="P74" s="112">
        <v>0.41</v>
      </c>
      <c r="Q74" s="112">
        <v>4.6500000000000004</v>
      </c>
    </row>
    <row r="75" spans="1:17" customFormat="1">
      <c r="A75" s="80">
        <v>45552.697916666664</v>
      </c>
      <c r="B75" s="112">
        <v>9.2899999999999991</v>
      </c>
      <c r="C75" s="112">
        <v>4.05</v>
      </c>
      <c r="D75" s="112">
        <v>14.02</v>
      </c>
      <c r="E75" s="112">
        <v>10.11</v>
      </c>
      <c r="F75" s="112">
        <v>6.1</v>
      </c>
      <c r="G75" s="112">
        <v>28.71</v>
      </c>
      <c r="H75" s="112">
        <v>7.91</v>
      </c>
      <c r="I75" s="112">
        <v>4.29</v>
      </c>
      <c r="J75" s="112">
        <v>0.55000000000000004</v>
      </c>
      <c r="K75" s="112">
        <v>269.12</v>
      </c>
      <c r="L75" s="112">
        <v>28.16</v>
      </c>
      <c r="M75" s="112">
        <v>78.33</v>
      </c>
      <c r="N75" s="112">
        <v>32.5</v>
      </c>
      <c r="O75" s="112">
        <v>0</v>
      </c>
      <c r="P75" s="112">
        <v>0.42</v>
      </c>
      <c r="Q75" s="112">
        <v>4.6500000000000004</v>
      </c>
    </row>
    <row r="76" spans="1:17" customFormat="1">
      <c r="A76" s="80">
        <v>45552.708333333336</v>
      </c>
      <c r="B76" s="112">
        <v>9.2799999999999994</v>
      </c>
      <c r="C76" s="112">
        <v>4.05</v>
      </c>
      <c r="D76" s="112">
        <v>14.01</v>
      </c>
      <c r="E76" s="112">
        <v>10.23</v>
      </c>
      <c r="F76" s="112">
        <v>6.27</v>
      </c>
      <c r="G76" s="112">
        <v>28.71</v>
      </c>
      <c r="H76" s="112">
        <v>7.91</v>
      </c>
      <c r="I76" s="112">
        <v>4.29</v>
      </c>
      <c r="J76" s="112">
        <v>0.66</v>
      </c>
      <c r="K76" s="112">
        <v>272.2</v>
      </c>
      <c r="L76" s="112">
        <v>27.7</v>
      </c>
      <c r="M76" s="112">
        <v>79.11</v>
      </c>
      <c r="N76" s="112">
        <v>11.7</v>
      </c>
      <c r="O76" s="112">
        <v>0</v>
      </c>
      <c r="P76" s="112">
        <v>0.42</v>
      </c>
      <c r="Q76" s="112">
        <v>4.6500000000000004</v>
      </c>
    </row>
    <row r="77" spans="1:17" customFormat="1">
      <c r="A77" s="80">
        <v>45552.71875</v>
      </c>
      <c r="B77" s="112">
        <v>9.26</v>
      </c>
      <c r="C77" s="112">
        <v>4.07</v>
      </c>
      <c r="D77" s="112">
        <v>14</v>
      </c>
      <c r="E77" s="112">
        <v>10.61</v>
      </c>
      <c r="F77" s="112">
        <v>6</v>
      </c>
      <c r="G77" s="112">
        <v>28.71</v>
      </c>
      <c r="H77" s="112">
        <v>7.91</v>
      </c>
      <c r="I77" s="112">
        <v>4.41</v>
      </c>
      <c r="J77" s="112">
        <v>0.68</v>
      </c>
      <c r="K77" s="112">
        <v>272.3</v>
      </c>
      <c r="L77" s="112">
        <v>27.36</v>
      </c>
      <c r="M77" s="112">
        <v>79.489999999999995</v>
      </c>
      <c r="N77" s="112">
        <v>7</v>
      </c>
      <c r="O77" s="112">
        <v>0</v>
      </c>
      <c r="P77" s="112">
        <v>0.42</v>
      </c>
      <c r="Q77" s="112">
        <v>4.6399999999999997</v>
      </c>
    </row>
    <row r="78" spans="1:17" customFormat="1">
      <c r="A78" s="80">
        <v>45552.729166666664</v>
      </c>
      <c r="B78" s="112">
        <v>9.26</v>
      </c>
      <c r="C78" s="112">
        <v>4.07</v>
      </c>
      <c r="D78" s="112">
        <v>14</v>
      </c>
      <c r="E78" s="112">
        <v>11.17</v>
      </c>
      <c r="F78" s="112">
        <v>4.3600000000000003</v>
      </c>
      <c r="G78" s="112">
        <v>28.31</v>
      </c>
      <c r="H78" s="112">
        <v>8.08</v>
      </c>
      <c r="I78" s="112">
        <v>4.38</v>
      </c>
      <c r="J78" s="112">
        <v>0.28000000000000003</v>
      </c>
      <c r="K78" s="112">
        <v>261.76</v>
      </c>
      <c r="L78" s="112">
        <v>27.11</v>
      </c>
      <c r="M78" s="112">
        <v>81.96</v>
      </c>
      <c r="N78" s="112">
        <v>6.3</v>
      </c>
      <c r="O78" s="112">
        <v>0</v>
      </c>
      <c r="P78" s="112">
        <v>0.44</v>
      </c>
      <c r="Q78" s="112">
        <v>4.6399999999999997</v>
      </c>
    </row>
    <row r="79" spans="1:17" customFormat="1">
      <c r="A79" s="80">
        <v>45552.739583333336</v>
      </c>
      <c r="B79" s="112">
        <v>9.2799999999999994</v>
      </c>
      <c r="C79" s="112">
        <v>4.08</v>
      </c>
      <c r="D79" s="112">
        <v>14.02</v>
      </c>
      <c r="E79" s="112">
        <v>10.84</v>
      </c>
      <c r="F79" s="112">
        <v>4.76</v>
      </c>
      <c r="G79" s="112">
        <v>24.19</v>
      </c>
      <c r="H79" s="112">
        <v>9.31</v>
      </c>
      <c r="I79" s="112">
        <v>4.37</v>
      </c>
      <c r="J79" s="112">
        <v>0.28000000000000003</v>
      </c>
      <c r="K79" s="112">
        <v>269.14999999999998</v>
      </c>
      <c r="L79" s="112">
        <v>26.84</v>
      </c>
      <c r="M79" s="112">
        <v>84.9</v>
      </c>
      <c r="N79" s="112">
        <v>6.3</v>
      </c>
      <c r="O79" s="112">
        <v>0</v>
      </c>
      <c r="P79" s="112">
        <v>0.45</v>
      </c>
      <c r="Q79" s="112">
        <v>4.6500000000000004</v>
      </c>
    </row>
    <row r="80" spans="1:17" customFormat="1">
      <c r="A80" s="80">
        <v>45552.75</v>
      </c>
      <c r="B80" s="112">
        <v>9.31</v>
      </c>
      <c r="C80" s="112">
        <v>4.07</v>
      </c>
      <c r="D80" s="112">
        <v>14.04</v>
      </c>
      <c r="E80" s="112">
        <v>10.36</v>
      </c>
      <c r="F80" s="112">
        <v>4.9800000000000004</v>
      </c>
      <c r="G80" s="112">
        <v>24.19</v>
      </c>
      <c r="H80" s="112">
        <v>9.31</v>
      </c>
      <c r="I80" s="112">
        <v>4.47</v>
      </c>
      <c r="J80" s="112">
        <v>0.34</v>
      </c>
      <c r="K80" s="112">
        <v>270.17</v>
      </c>
      <c r="L80" s="112">
        <v>26.65</v>
      </c>
      <c r="M80" s="112">
        <v>86.12</v>
      </c>
      <c r="N80" s="112">
        <v>3.3</v>
      </c>
      <c r="O80" s="112">
        <v>0</v>
      </c>
      <c r="P80" s="112">
        <v>0.45</v>
      </c>
      <c r="Q80" s="112">
        <v>4.6399999999999997</v>
      </c>
    </row>
    <row r="81" spans="1:17" customFormat="1">
      <c r="A81" s="80">
        <v>45552.760416666664</v>
      </c>
      <c r="B81" s="112">
        <v>9.31</v>
      </c>
      <c r="C81" s="112">
        <v>4.04</v>
      </c>
      <c r="D81" s="112">
        <v>14.03</v>
      </c>
      <c r="E81" s="112">
        <v>6.72</v>
      </c>
      <c r="F81" s="112">
        <v>5.17</v>
      </c>
      <c r="G81" s="112">
        <v>24.19</v>
      </c>
      <c r="H81" s="112">
        <v>9.31</v>
      </c>
      <c r="I81" s="112">
        <v>4.49</v>
      </c>
      <c r="J81" s="112">
        <v>0.45</v>
      </c>
      <c r="K81" s="112">
        <v>268.13</v>
      </c>
      <c r="L81" s="112">
        <v>26.62</v>
      </c>
      <c r="M81" s="112">
        <v>86.48</v>
      </c>
      <c r="N81" s="112">
        <v>2.2000000000000002</v>
      </c>
      <c r="O81" s="112">
        <v>0</v>
      </c>
      <c r="P81" s="112">
        <v>0.45</v>
      </c>
      <c r="Q81" s="112">
        <v>4.63</v>
      </c>
    </row>
    <row r="82" spans="1:17" customFormat="1">
      <c r="A82" s="80">
        <v>45552.770833333336</v>
      </c>
      <c r="B82" s="112">
        <v>9.2799999999999994</v>
      </c>
      <c r="C82" s="112">
        <v>4.05</v>
      </c>
      <c r="D82" s="112">
        <v>14.01</v>
      </c>
      <c r="E82" s="112">
        <v>8.43</v>
      </c>
      <c r="F82" s="112">
        <v>5.84</v>
      </c>
      <c r="G82" s="112">
        <v>24.39</v>
      </c>
      <c r="H82" s="112">
        <v>9.68</v>
      </c>
      <c r="I82" s="112">
        <v>4.54</v>
      </c>
      <c r="J82" s="112">
        <v>0.57999999999999996</v>
      </c>
      <c r="K82" s="112">
        <v>273.32</v>
      </c>
      <c r="L82" s="112">
        <v>26.49</v>
      </c>
      <c r="M82" s="112">
        <v>86.88</v>
      </c>
      <c r="N82" s="112">
        <v>2.6</v>
      </c>
      <c r="O82" s="112">
        <v>0</v>
      </c>
      <c r="P82" s="112">
        <v>0.46</v>
      </c>
      <c r="Q82" s="112">
        <v>4.63</v>
      </c>
    </row>
    <row r="83" spans="1:17" customFormat="1">
      <c r="A83" s="80">
        <v>45552.78125</v>
      </c>
      <c r="B83" s="112">
        <v>9.27</v>
      </c>
      <c r="C83" s="112">
        <v>4.07</v>
      </c>
      <c r="D83" s="112">
        <v>14.01</v>
      </c>
      <c r="E83" s="112">
        <v>7.87</v>
      </c>
      <c r="F83" s="112">
        <v>6.54</v>
      </c>
      <c r="G83" s="112">
        <v>26.19</v>
      </c>
      <c r="H83" s="112">
        <v>12.36</v>
      </c>
      <c r="I83" s="112">
        <v>4.54</v>
      </c>
      <c r="J83" s="112">
        <v>0.57999999999999996</v>
      </c>
      <c r="K83" s="112">
        <v>271.97000000000003</v>
      </c>
      <c r="L83" s="112">
        <v>26.29</v>
      </c>
      <c r="M83" s="112">
        <v>87.72</v>
      </c>
      <c r="N83" s="112">
        <v>2.5</v>
      </c>
      <c r="O83" s="112">
        <v>0</v>
      </c>
      <c r="P83" s="112">
        <v>0.45</v>
      </c>
      <c r="Q83" s="112">
        <v>4.6500000000000004</v>
      </c>
    </row>
    <row r="84" spans="1:17" customFormat="1">
      <c r="A84" s="80">
        <v>45552.791666666664</v>
      </c>
      <c r="B84" s="112">
        <v>9.25</v>
      </c>
      <c r="C84" s="112">
        <v>4.0999999999999996</v>
      </c>
      <c r="D84" s="112">
        <v>14.01</v>
      </c>
      <c r="E84" s="112">
        <v>7.62</v>
      </c>
      <c r="F84" s="112">
        <v>5.78</v>
      </c>
      <c r="G84" s="112">
        <v>26.19</v>
      </c>
      <c r="H84" s="112">
        <v>12.36</v>
      </c>
      <c r="I84" s="112">
        <v>4.5599999999999996</v>
      </c>
      <c r="J84" s="112">
        <v>0.38</v>
      </c>
      <c r="K84" s="112">
        <v>270.8</v>
      </c>
      <c r="L84" s="112">
        <v>26.26</v>
      </c>
      <c r="M84" s="112">
        <v>87</v>
      </c>
      <c r="N84" s="112">
        <v>2.2999999999999998</v>
      </c>
      <c r="O84" s="112">
        <v>0</v>
      </c>
      <c r="P84" s="112">
        <v>0.44</v>
      </c>
      <c r="Q84" s="112">
        <v>4.6500000000000004</v>
      </c>
    </row>
    <row r="85" spans="1:17" customFormat="1">
      <c r="A85" s="80">
        <v>45552.802083333336</v>
      </c>
      <c r="B85" s="112">
        <v>9.25</v>
      </c>
      <c r="C85" s="112">
        <v>4.09</v>
      </c>
      <c r="D85" s="112">
        <v>14.01</v>
      </c>
      <c r="E85" s="112">
        <v>7.11</v>
      </c>
      <c r="F85" s="112">
        <v>5.21</v>
      </c>
      <c r="G85" s="112">
        <v>26.19</v>
      </c>
      <c r="H85" s="112">
        <v>12.36</v>
      </c>
      <c r="I85" s="112">
        <v>4.54</v>
      </c>
      <c r="J85" s="112">
        <v>0.26</v>
      </c>
      <c r="K85" s="112">
        <v>255.57</v>
      </c>
      <c r="L85" s="112">
        <v>26.28</v>
      </c>
      <c r="M85" s="112">
        <v>86.74</v>
      </c>
      <c r="N85" s="112">
        <v>2.4</v>
      </c>
      <c r="O85" s="112">
        <v>0</v>
      </c>
      <c r="P85" s="112">
        <v>0.44</v>
      </c>
      <c r="Q85" s="112">
        <v>4.6399999999999997</v>
      </c>
    </row>
    <row r="86" spans="1:17" customFormat="1">
      <c r="A86" s="80">
        <v>45552.8125</v>
      </c>
      <c r="B86" s="112">
        <v>9.2799999999999994</v>
      </c>
      <c r="C86" s="112">
        <v>4.03</v>
      </c>
      <c r="D86" s="112">
        <v>14</v>
      </c>
      <c r="E86" s="112">
        <v>7.4</v>
      </c>
      <c r="F86" s="112">
        <v>5.74</v>
      </c>
      <c r="G86" s="112">
        <v>26.38</v>
      </c>
      <c r="H86" s="112">
        <v>12.15</v>
      </c>
      <c r="I86" s="112">
        <v>4.3099999999999996</v>
      </c>
      <c r="J86" s="112">
        <v>0.37</v>
      </c>
      <c r="K86" s="112">
        <v>270.60000000000002</v>
      </c>
      <c r="L86" s="112">
        <v>26.23</v>
      </c>
      <c r="M86" s="112">
        <v>86.46</v>
      </c>
      <c r="N86" s="112">
        <v>2.2999999999999998</v>
      </c>
      <c r="O86" s="112">
        <v>0</v>
      </c>
      <c r="P86" s="112">
        <v>0.44</v>
      </c>
      <c r="Q86" s="112">
        <v>4.6399999999999997</v>
      </c>
    </row>
    <row r="87" spans="1:17" customFormat="1">
      <c r="A87" s="80">
        <v>45552.822916666664</v>
      </c>
      <c r="B87" s="112">
        <v>9.25</v>
      </c>
      <c r="C87" s="112">
        <v>4.08</v>
      </c>
      <c r="D87" s="112">
        <v>14</v>
      </c>
      <c r="E87" s="112">
        <v>7.27</v>
      </c>
      <c r="F87" s="112">
        <v>6.78</v>
      </c>
      <c r="G87" s="112">
        <v>28.13</v>
      </c>
      <c r="H87" s="112">
        <v>10.42</v>
      </c>
      <c r="I87" s="112">
        <v>4.3499999999999996</v>
      </c>
      <c r="J87" s="112">
        <v>0.33</v>
      </c>
      <c r="K87" s="112">
        <v>266.8</v>
      </c>
      <c r="L87" s="112">
        <v>26.16</v>
      </c>
      <c r="M87" s="112">
        <v>86.56</v>
      </c>
      <c r="N87" s="112">
        <v>2.4</v>
      </c>
      <c r="O87" s="112">
        <v>0</v>
      </c>
      <c r="P87" s="112">
        <v>0.43</v>
      </c>
      <c r="Q87" s="112">
        <v>4.6500000000000004</v>
      </c>
    </row>
    <row r="88" spans="1:17" customFormat="1">
      <c r="A88" s="80">
        <v>45552.833333333336</v>
      </c>
      <c r="B88" s="112">
        <v>9.23</v>
      </c>
      <c r="C88" s="112">
        <v>4.12</v>
      </c>
      <c r="D88" s="112">
        <v>14</v>
      </c>
      <c r="E88" s="112">
        <v>7</v>
      </c>
      <c r="F88" s="112">
        <v>5.82</v>
      </c>
      <c r="G88" s="112">
        <v>28.13</v>
      </c>
      <c r="H88" s="112">
        <v>10.42</v>
      </c>
      <c r="I88" s="112">
        <v>4.28</v>
      </c>
      <c r="J88" s="112">
        <v>0.69</v>
      </c>
      <c r="K88" s="112">
        <v>272.35000000000002</v>
      </c>
      <c r="L88" s="112">
        <v>26.2</v>
      </c>
      <c r="M88" s="112">
        <v>85.19</v>
      </c>
      <c r="N88" s="112">
        <v>2.2000000000000002</v>
      </c>
      <c r="O88" s="112">
        <v>0</v>
      </c>
      <c r="P88" s="112">
        <v>0.42</v>
      </c>
      <c r="Q88" s="112">
        <v>4.66</v>
      </c>
    </row>
    <row r="89" spans="1:17" customFormat="1">
      <c r="A89" s="80">
        <v>45552.84375</v>
      </c>
      <c r="B89" s="112">
        <v>9.2100000000000009</v>
      </c>
      <c r="C89" s="112">
        <v>4.1500000000000004</v>
      </c>
      <c r="D89" s="112">
        <v>14</v>
      </c>
      <c r="E89" s="112">
        <v>7.54</v>
      </c>
      <c r="F89" s="112">
        <v>5.78</v>
      </c>
      <c r="G89" s="112">
        <v>28.13</v>
      </c>
      <c r="H89" s="112">
        <v>10.42</v>
      </c>
      <c r="I89" s="112">
        <v>4.25</v>
      </c>
      <c r="J89" s="112">
        <v>0.56999999999999995</v>
      </c>
      <c r="K89" s="112">
        <v>271.99</v>
      </c>
      <c r="L89" s="112">
        <v>26.2</v>
      </c>
      <c r="M89" s="112">
        <v>85.44</v>
      </c>
      <c r="N89" s="112">
        <v>2.4</v>
      </c>
      <c r="O89" s="112">
        <v>0</v>
      </c>
      <c r="P89" s="112">
        <v>0.42</v>
      </c>
      <c r="Q89" s="112">
        <v>4.6500000000000004</v>
      </c>
    </row>
    <row r="90" spans="1:17" customFormat="1">
      <c r="A90" s="80">
        <v>45552.854166666664</v>
      </c>
      <c r="B90" s="112">
        <v>9.1999999999999993</v>
      </c>
      <c r="C90" s="112">
        <v>4.1500000000000004</v>
      </c>
      <c r="D90" s="112">
        <v>14</v>
      </c>
      <c r="E90" s="112">
        <v>7.19</v>
      </c>
      <c r="F90" s="112">
        <v>6.01</v>
      </c>
      <c r="G90" s="112">
        <v>27.35</v>
      </c>
      <c r="H90" s="112">
        <v>10.46</v>
      </c>
      <c r="I90" s="112">
        <v>4.29</v>
      </c>
      <c r="J90" s="112">
        <v>0.4</v>
      </c>
      <c r="K90" s="112">
        <v>268.62</v>
      </c>
      <c r="L90" s="112">
        <v>26.15</v>
      </c>
      <c r="M90" s="112">
        <v>86.36</v>
      </c>
      <c r="N90" s="112">
        <v>2.4</v>
      </c>
      <c r="O90" s="112">
        <v>0</v>
      </c>
      <c r="P90" s="112">
        <v>0.41</v>
      </c>
      <c r="Q90" s="112">
        <v>4.66</v>
      </c>
    </row>
    <row r="91" spans="1:17" customFormat="1">
      <c r="A91" s="80">
        <v>45552.864583333336</v>
      </c>
      <c r="B91" s="112">
        <v>9.2200000000000006</v>
      </c>
      <c r="C91" s="112">
        <v>4.13</v>
      </c>
      <c r="D91" s="112">
        <v>14</v>
      </c>
      <c r="E91" s="112">
        <v>6.92</v>
      </c>
      <c r="F91" s="112">
        <v>6.06</v>
      </c>
      <c r="G91" s="112">
        <v>20.3</v>
      </c>
      <c r="H91" s="112">
        <v>10.75</v>
      </c>
      <c r="I91" s="112">
        <v>4.25</v>
      </c>
      <c r="J91" s="112">
        <v>0.27</v>
      </c>
      <c r="K91" s="112">
        <v>261.93</v>
      </c>
      <c r="L91" s="112">
        <v>26.1</v>
      </c>
      <c r="M91" s="112">
        <v>86.74</v>
      </c>
      <c r="N91" s="112">
        <v>2.2999999999999998</v>
      </c>
      <c r="O91" s="112">
        <v>0</v>
      </c>
      <c r="P91" s="112">
        <v>0.41</v>
      </c>
      <c r="Q91" s="112">
        <v>4.66</v>
      </c>
    </row>
    <row r="92" spans="1:17" customFormat="1">
      <c r="A92" s="80">
        <v>45552.875</v>
      </c>
      <c r="B92" s="112">
        <v>9.23</v>
      </c>
      <c r="C92" s="112">
        <v>4.12</v>
      </c>
      <c r="D92" s="112">
        <v>14</v>
      </c>
      <c r="E92" s="112">
        <v>7.2</v>
      </c>
      <c r="F92" s="112">
        <v>6.05</v>
      </c>
      <c r="G92" s="112">
        <v>20.3</v>
      </c>
      <c r="H92" s="112">
        <v>10.75</v>
      </c>
      <c r="I92" s="112">
        <v>4.2</v>
      </c>
      <c r="J92" s="112">
        <v>0.37</v>
      </c>
      <c r="K92" s="112">
        <v>272</v>
      </c>
      <c r="L92" s="112">
        <v>25.99</v>
      </c>
      <c r="M92" s="112">
        <v>87.18</v>
      </c>
      <c r="N92" s="112">
        <v>2.4</v>
      </c>
      <c r="O92" s="112">
        <v>0</v>
      </c>
      <c r="P92" s="112">
        <v>0.41</v>
      </c>
      <c r="Q92" s="112">
        <v>4.6500000000000004</v>
      </c>
    </row>
    <row r="93" spans="1:17" customFormat="1">
      <c r="A93" s="80">
        <v>45552.885416666664</v>
      </c>
      <c r="B93" s="112">
        <v>9.24</v>
      </c>
      <c r="C93" s="112">
        <v>4.0999999999999996</v>
      </c>
      <c r="D93" s="112">
        <v>14</v>
      </c>
      <c r="E93" s="112">
        <v>6.65</v>
      </c>
      <c r="F93" s="112">
        <v>5.58</v>
      </c>
      <c r="G93" s="112">
        <v>20.3</v>
      </c>
      <c r="H93" s="112">
        <v>10.75</v>
      </c>
      <c r="I93" s="112">
        <v>4.22</v>
      </c>
      <c r="J93" s="112">
        <v>0.38</v>
      </c>
      <c r="K93" s="112">
        <v>266.44</v>
      </c>
      <c r="L93" s="112">
        <v>26.02</v>
      </c>
      <c r="M93" s="112">
        <v>87.22</v>
      </c>
      <c r="N93" s="112">
        <v>2.2999999999999998</v>
      </c>
      <c r="O93" s="112">
        <v>0</v>
      </c>
      <c r="P93" s="112">
        <v>0.41</v>
      </c>
      <c r="Q93" s="112">
        <v>4.6399999999999997</v>
      </c>
    </row>
    <row r="94" spans="1:17" customFormat="1">
      <c r="A94" s="80">
        <v>45552.895833333336</v>
      </c>
      <c r="B94" s="112">
        <v>9.26</v>
      </c>
      <c r="C94" s="112">
        <v>4.07</v>
      </c>
      <c r="D94" s="112">
        <v>14</v>
      </c>
      <c r="E94" s="112">
        <v>6.56</v>
      </c>
      <c r="F94" s="112">
        <v>6.64</v>
      </c>
      <c r="G94" s="112">
        <v>20.82</v>
      </c>
      <c r="H94" s="112">
        <v>10.5</v>
      </c>
      <c r="I94" s="112">
        <v>4.26</v>
      </c>
      <c r="J94" s="112">
        <v>0.2</v>
      </c>
      <c r="K94" s="112">
        <v>260.18</v>
      </c>
      <c r="L94" s="112">
        <v>25.99</v>
      </c>
      <c r="M94" s="112">
        <v>87.04</v>
      </c>
      <c r="N94" s="112">
        <v>2.4</v>
      </c>
      <c r="O94" s="112">
        <v>0</v>
      </c>
      <c r="P94" s="112">
        <v>0.41</v>
      </c>
      <c r="Q94" s="112">
        <v>4.6500000000000004</v>
      </c>
    </row>
    <row r="95" spans="1:17" customFormat="1">
      <c r="A95" s="80">
        <v>45552.90625</v>
      </c>
      <c r="B95" s="112">
        <v>9.26</v>
      </c>
      <c r="C95" s="112">
        <v>4.07</v>
      </c>
      <c r="D95" s="112">
        <v>14</v>
      </c>
      <c r="E95" s="112">
        <v>6.86</v>
      </c>
      <c r="F95" s="112">
        <v>7.19</v>
      </c>
      <c r="G95" s="112">
        <v>25.44</v>
      </c>
      <c r="H95" s="112">
        <v>8.6199999999999992</v>
      </c>
      <c r="I95" s="112">
        <v>4.26</v>
      </c>
      <c r="J95" s="112">
        <v>0.24</v>
      </c>
      <c r="K95" s="112">
        <v>263.20999999999998</v>
      </c>
      <c r="L95" s="112">
        <v>25.88</v>
      </c>
      <c r="M95" s="112">
        <v>88.11</v>
      </c>
      <c r="N95" s="112">
        <v>2.4</v>
      </c>
      <c r="O95" s="112">
        <v>0</v>
      </c>
      <c r="P95" s="112">
        <v>0.4</v>
      </c>
      <c r="Q95" s="112">
        <v>4.66</v>
      </c>
    </row>
    <row r="96" spans="1:17" customFormat="1">
      <c r="A96" s="80">
        <v>45552.916666666664</v>
      </c>
      <c r="B96" s="112">
        <v>9.26</v>
      </c>
      <c r="C96" s="112">
        <v>4.07</v>
      </c>
      <c r="D96" s="112">
        <v>14</v>
      </c>
      <c r="E96" s="112">
        <v>6.88</v>
      </c>
      <c r="F96" s="112">
        <v>6.39</v>
      </c>
      <c r="G96" s="112">
        <v>25.44</v>
      </c>
      <c r="H96" s="112">
        <v>8.6199999999999992</v>
      </c>
      <c r="I96" s="112">
        <v>4.1500000000000004</v>
      </c>
      <c r="J96" s="112">
        <v>0.23</v>
      </c>
      <c r="K96" s="112">
        <v>261.60000000000002</v>
      </c>
      <c r="L96" s="112">
        <v>25.81</v>
      </c>
      <c r="M96" s="112">
        <v>88.75</v>
      </c>
      <c r="N96" s="112">
        <v>2.2999999999999998</v>
      </c>
      <c r="O96" s="112">
        <v>0</v>
      </c>
      <c r="P96" s="112">
        <v>0.4</v>
      </c>
      <c r="Q96" s="112">
        <v>4.66</v>
      </c>
    </row>
    <row r="97" spans="1:22" customFormat="1">
      <c r="A97" s="80">
        <v>45552.927083333336</v>
      </c>
      <c r="B97" s="112">
        <v>9.26</v>
      </c>
      <c r="C97" s="112">
        <v>4.07</v>
      </c>
      <c r="D97" s="112">
        <v>14</v>
      </c>
      <c r="E97" s="112">
        <v>6.87</v>
      </c>
      <c r="F97" s="112">
        <v>7.51</v>
      </c>
      <c r="G97" s="112">
        <v>25.44</v>
      </c>
      <c r="H97" s="112">
        <v>8.6199999999999992</v>
      </c>
      <c r="I97" s="112">
        <v>4.1100000000000003</v>
      </c>
      <c r="J97" s="112">
        <v>0.21</v>
      </c>
      <c r="K97" s="112">
        <v>257.97000000000003</v>
      </c>
      <c r="L97" s="112">
        <v>25.76</v>
      </c>
      <c r="M97" s="112">
        <v>88.99</v>
      </c>
      <c r="N97" s="112">
        <v>2.4</v>
      </c>
      <c r="O97" s="112">
        <v>0</v>
      </c>
      <c r="P97" s="112">
        <v>0.4</v>
      </c>
      <c r="Q97" s="112">
        <v>4.6500000000000004</v>
      </c>
    </row>
    <row r="98" spans="1:22" customFormat="1">
      <c r="A98" s="80">
        <v>45552.9375</v>
      </c>
      <c r="B98" s="112">
        <v>9.27</v>
      </c>
      <c r="C98" s="112">
        <v>4.0599999999999996</v>
      </c>
      <c r="D98" s="112">
        <v>14</v>
      </c>
      <c r="E98" s="112">
        <v>7</v>
      </c>
      <c r="F98" s="112">
        <v>7.43</v>
      </c>
      <c r="G98" s="112">
        <v>25.3</v>
      </c>
      <c r="H98" s="112">
        <v>8.59</v>
      </c>
      <c r="I98" s="112">
        <v>4.17</v>
      </c>
      <c r="J98" s="112">
        <v>0.18</v>
      </c>
      <c r="K98" s="112">
        <v>248.12</v>
      </c>
      <c r="L98" s="112">
        <v>25.78</v>
      </c>
      <c r="M98" s="112">
        <v>88.62</v>
      </c>
      <c r="N98" s="112">
        <v>2.1</v>
      </c>
      <c r="O98" s="112">
        <v>0</v>
      </c>
      <c r="P98" s="112">
        <v>0.4</v>
      </c>
      <c r="Q98" s="112">
        <v>4.63</v>
      </c>
    </row>
    <row r="99" spans="1:22" customFormat="1">
      <c r="A99" s="80">
        <v>45552.947916666664</v>
      </c>
      <c r="B99" s="112">
        <v>9.3000000000000007</v>
      </c>
      <c r="C99" s="112">
        <v>4.0599999999999996</v>
      </c>
      <c r="D99" s="112">
        <v>14.03</v>
      </c>
      <c r="E99" s="112">
        <v>6.59</v>
      </c>
      <c r="F99" s="112">
        <v>6.72</v>
      </c>
      <c r="G99" s="112">
        <v>24.05</v>
      </c>
      <c r="H99" s="112">
        <v>8.32</v>
      </c>
      <c r="I99" s="112">
        <v>4.1100000000000003</v>
      </c>
      <c r="J99" s="112">
        <v>0.2</v>
      </c>
      <c r="K99" s="112">
        <v>260.08</v>
      </c>
      <c r="L99" s="112">
        <v>25.64</v>
      </c>
      <c r="M99" s="112">
        <v>88.77</v>
      </c>
      <c r="N99" s="112">
        <v>2.2000000000000002</v>
      </c>
      <c r="O99" s="112">
        <v>0</v>
      </c>
      <c r="P99" s="112">
        <v>0.38</v>
      </c>
      <c r="Q99" s="112">
        <v>4.6399999999999997</v>
      </c>
    </row>
    <row r="100" spans="1:22" customFormat="1">
      <c r="A100" s="80">
        <v>45552.958333333336</v>
      </c>
      <c r="B100" s="112">
        <v>9.34</v>
      </c>
      <c r="C100" s="112">
        <v>4.07</v>
      </c>
      <c r="D100" s="112">
        <v>14.07</v>
      </c>
      <c r="E100" s="112">
        <v>7.17</v>
      </c>
      <c r="F100" s="112">
        <v>5.58</v>
      </c>
      <c r="G100" s="112">
        <v>24.05</v>
      </c>
      <c r="H100" s="112">
        <v>8.32</v>
      </c>
      <c r="I100" s="112">
        <v>4.07</v>
      </c>
      <c r="J100" s="112">
        <v>0.24</v>
      </c>
      <c r="K100" s="112">
        <v>268.57</v>
      </c>
      <c r="L100" s="112">
        <v>25.54</v>
      </c>
      <c r="M100" s="112">
        <v>89.09</v>
      </c>
      <c r="N100" s="112">
        <v>2.2000000000000002</v>
      </c>
      <c r="O100" s="112">
        <v>0</v>
      </c>
      <c r="P100" s="112">
        <v>0.39</v>
      </c>
      <c r="Q100" s="112">
        <v>4.63</v>
      </c>
    </row>
    <row r="101" spans="1:22" customFormat="1">
      <c r="A101" s="80">
        <v>45552.96875</v>
      </c>
      <c r="B101" s="112">
        <v>9.34</v>
      </c>
      <c r="C101" s="112">
        <v>4.07</v>
      </c>
      <c r="D101" s="112">
        <v>14.07</v>
      </c>
      <c r="E101" s="112">
        <v>6.73</v>
      </c>
      <c r="F101" s="112">
        <v>5.43</v>
      </c>
      <c r="G101" s="112">
        <v>24.05</v>
      </c>
      <c r="H101" s="112">
        <v>8.32</v>
      </c>
      <c r="I101" s="112">
        <v>4.12</v>
      </c>
      <c r="J101" s="112">
        <v>0.12</v>
      </c>
      <c r="K101" s="112">
        <v>215.03</v>
      </c>
      <c r="L101" s="112">
        <v>25.47</v>
      </c>
      <c r="M101" s="112">
        <v>89.68</v>
      </c>
      <c r="N101" s="112">
        <v>2.2000000000000002</v>
      </c>
      <c r="O101" s="112">
        <v>0</v>
      </c>
      <c r="P101" s="112">
        <v>0.39</v>
      </c>
      <c r="Q101" s="112">
        <v>4.6500000000000004</v>
      </c>
    </row>
    <row r="102" spans="1:22" customFormat="1">
      <c r="A102" s="80">
        <v>45552.979166666664</v>
      </c>
      <c r="B102" s="112">
        <v>9.32</v>
      </c>
      <c r="C102" s="112">
        <v>4.0999999999999996</v>
      </c>
      <c r="D102" s="112">
        <v>14.06</v>
      </c>
      <c r="E102" s="112">
        <v>7.52</v>
      </c>
      <c r="F102" s="112">
        <v>6.2</v>
      </c>
      <c r="G102" s="112">
        <v>24.21</v>
      </c>
      <c r="H102" s="112">
        <v>8.2799999999999994</v>
      </c>
      <c r="I102" s="112">
        <v>4.13</v>
      </c>
      <c r="J102" s="112">
        <v>0.1</v>
      </c>
      <c r="K102" s="112">
        <v>182.98</v>
      </c>
      <c r="L102" s="112">
        <v>25.34</v>
      </c>
      <c r="M102" s="112">
        <v>90.38</v>
      </c>
      <c r="N102" s="112">
        <v>2.1</v>
      </c>
      <c r="O102" s="112">
        <v>0</v>
      </c>
      <c r="P102" s="112">
        <v>0.39</v>
      </c>
      <c r="Q102" s="112">
        <v>4.6500000000000004</v>
      </c>
    </row>
    <row r="103" spans="1:22" customFormat="1">
      <c r="A103" s="80">
        <v>45552.989583333336</v>
      </c>
      <c r="B103" s="112">
        <v>9.33</v>
      </c>
      <c r="C103" s="112">
        <v>4.07</v>
      </c>
      <c r="D103" s="112">
        <v>14.06</v>
      </c>
      <c r="E103" s="112">
        <v>8.11</v>
      </c>
      <c r="F103" s="112">
        <v>5.35</v>
      </c>
      <c r="G103" s="112">
        <v>25.69</v>
      </c>
      <c r="H103" s="112">
        <v>7.98</v>
      </c>
      <c r="I103" s="112">
        <v>4.07</v>
      </c>
      <c r="J103" s="112">
        <v>0.11</v>
      </c>
      <c r="K103" s="112">
        <v>232.21</v>
      </c>
      <c r="L103" s="112">
        <v>25.19</v>
      </c>
      <c r="M103" s="112">
        <v>92.15</v>
      </c>
      <c r="N103" s="112">
        <v>2.1</v>
      </c>
      <c r="O103" s="112">
        <v>0</v>
      </c>
      <c r="P103" s="112">
        <v>0.38</v>
      </c>
      <c r="Q103" s="112">
        <v>4.6500000000000004</v>
      </c>
    </row>
    <row r="104" spans="1:22" customFormat="1">
      <c r="A104" s="80">
        <v>45553</v>
      </c>
      <c r="B104" s="112">
        <v>9.32</v>
      </c>
      <c r="C104" s="112">
        <v>4.05</v>
      </c>
      <c r="D104" s="112">
        <v>14.04</v>
      </c>
      <c r="E104" s="112">
        <v>7.98</v>
      </c>
      <c r="F104" s="112">
        <v>4.84</v>
      </c>
      <c r="G104" s="112">
        <v>25.69</v>
      </c>
      <c r="H104" s="112">
        <v>7.98</v>
      </c>
      <c r="I104" s="112">
        <v>4.01</v>
      </c>
      <c r="J104" s="112">
        <v>0.1</v>
      </c>
      <c r="K104" s="112">
        <v>228.74</v>
      </c>
      <c r="L104" s="112">
        <v>25.13</v>
      </c>
      <c r="M104" s="112">
        <v>93.17</v>
      </c>
      <c r="N104" s="112">
        <v>2.1</v>
      </c>
      <c r="O104" s="112">
        <v>0</v>
      </c>
      <c r="P104" s="112">
        <v>0.38</v>
      </c>
      <c r="Q104" s="112">
        <v>4.66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9.1999999999999993</v>
      </c>
      <c r="C106" s="183">
        <f>MIN(C9:C104)</f>
        <v>4.03</v>
      </c>
      <c r="D106" s="183">
        <f t="shared" ref="D106:Q106" si="0">MIN(D9:D104)</f>
        <v>14</v>
      </c>
      <c r="E106" s="183">
        <f t="shared" si="0"/>
        <v>6.56</v>
      </c>
      <c r="F106" s="183">
        <f t="shared" si="0"/>
        <v>3.97</v>
      </c>
      <c r="G106" s="183">
        <f t="shared" si="0"/>
        <v>20.3</v>
      </c>
      <c r="H106" s="183">
        <f t="shared" si="0"/>
        <v>5.44</v>
      </c>
      <c r="I106" s="183">
        <f t="shared" si="0"/>
        <v>3.27</v>
      </c>
      <c r="J106" s="183">
        <f t="shared" si="0"/>
        <v>0.1</v>
      </c>
      <c r="K106" s="183">
        <f t="shared" si="0"/>
        <v>182.98</v>
      </c>
      <c r="L106" s="183">
        <f t="shared" si="0"/>
        <v>23.22</v>
      </c>
      <c r="M106" s="183">
        <f t="shared" si="0"/>
        <v>71.58</v>
      </c>
      <c r="N106" s="183">
        <f t="shared" si="0"/>
        <v>1.5</v>
      </c>
      <c r="O106" s="183">
        <f t="shared" si="0"/>
        <v>0</v>
      </c>
      <c r="P106" s="183">
        <f t="shared" si="0"/>
        <v>0.28999999999999998</v>
      </c>
      <c r="Q106" s="183">
        <f t="shared" si="0"/>
        <v>4.62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9.4499999999999993</v>
      </c>
      <c r="C107" s="184">
        <f t="shared" ref="C107:Q107" si="1">MAX(C9:C104)</f>
        <v>4.1500000000000004</v>
      </c>
      <c r="D107" s="184">
        <f t="shared" si="1"/>
        <v>14.15</v>
      </c>
      <c r="E107" s="184">
        <f t="shared" si="1"/>
        <v>12.69</v>
      </c>
      <c r="F107" s="184">
        <f t="shared" si="1"/>
        <v>18.2</v>
      </c>
      <c r="G107" s="184">
        <f t="shared" si="1"/>
        <v>38.82</v>
      </c>
      <c r="H107" s="184">
        <f t="shared" si="1"/>
        <v>12.36</v>
      </c>
      <c r="I107" s="184">
        <f t="shared" si="1"/>
        <v>4.5599999999999996</v>
      </c>
      <c r="J107" s="184">
        <f t="shared" si="1"/>
        <v>1.33</v>
      </c>
      <c r="K107" s="184">
        <f t="shared" si="1"/>
        <v>297.17</v>
      </c>
      <c r="L107" s="184">
        <f t="shared" si="1"/>
        <v>29.42</v>
      </c>
      <c r="M107" s="184">
        <f t="shared" si="1"/>
        <v>97.13</v>
      </c>
      <c r="N107" s="184">
        <f t="shared" si="1"/>
        <v>367.3</v>
      </c>
      <c r="O107" s="184">
        <f t="shared" si="1"/>
        <v>1</v>
      </c>
      <c r="P107" s="184">
        <f t="shared" si="1"/>
        <v>0.46</v>
      </c>
      <c r="Q107" s="184">
        <f t="shared" si="1"/>
        <v>4.68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9.3247916666666608</v>
      </c>
      <c r="C108" s="183">
        <f t="shared" ref="C108:Q108" si="2">AVERAGE(C9:C104)</f>
        <v>4.0764583333333322</v>
      </c>
      <c r="D108" s="183">
        <f t="shared" si="2"/>
        <v>14.057604166666664</v>
      </c>
      <c r="E108" s="183">
        <f t="shared" si="2"/>
        <v>9.0881249999999998</v>
      </c>
      <c r="F108" s="183">
        <f t="shared" si="2"/>
        <v>5.8573958333333325</v>
      </c>
      <c r="G108" s="183">
        <f t="shared" si="2"/>
        <v>27.894687500000018</v>
      </c>
      <c r="H108" s="183">
        <f t="shared" si="2"/>
        <v>8.9592708333333277</v>
      </c>
      <c r="I108" s="183">
        <f t="shared" si="2"/>
        <v>3.9415625000000012</v>
      </c>
      <c r="J108" s="183">
        <f t="shared" si="2"/>
        <v>0.76187499999999986</v>
      </c>
      <c r="K108" s="183">
        <f t="shared" si="2"/>
        <v>274.96958333333322</v>
      </c>
      <c r="L108" s="183">
        <f t="shared" si="2"/>
        <v>26.146145833333325</v>
      </c>
      <c r="M108" s="183">
        <f t="shared" si="2"/>
        <v>83.427708333333342</v>
      </c>
      <c r="N108" s="183">
        <f t="shared" si="2"/>
        <v>59.876041666666659</v>
      </c>
      <c r="O108" s="183">
        <f t="shared" si="2"/>
        <v>2.5000000000000005E-2</v>
      </c>
      <c r="P108" s="183">
        <f t="shared" si="2"/>
        <v>0.36791666666666689</v>
      </c>
      <c r="Q108" s="183">
        <f t="shared" si="2"/>
        <v>4.6495833333333296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5.2675354602092092E-2</v>
      </c>
      <c r="C109" s="183">
        <f t="shared" ref="C109:Q109" si="3">STDEV(C9:C104)</f>
        <v>2.2003787552752532E-2</v>
      </c>
      <c r="D109" s="183">
        <f t="shared" si="3"/>
        <v>4.1971037424111193E-2</v>
      </c>
      <c r="E109" s="183">
        <f t="shared" si="3"/>
        <v>1.7626083020103507</v>
      </c>
      <c r="F109" s="183">
        <f t="shared" si="3"/>
        <v>1.9775169144484781</v>
      </c>
      <c r="G109" s="183">
        <f t="shared" si="3"/>
        <v>4.7638995422534993</v>
      </c>
      <c r="H109" s="183">
        <f t="shared" si="3"/>
        <v>1.8758836485025803</v>
      </c>
      <c r="I109" s="183">
        <f t="shared" si="3"/>
        <v>0.32443092890717612</v>
      </c>
      <c r="J109" s="183">
        <f t="shared" si="3"/>
        <v>0.32516008203247931</v>
      </c>
      <c r="K109" s="183">
        <f t="shared" si="3"/>
        <v>16.434027018205715</v>
      </c>
      <c r="L109" s="183">
        <f t="shared" si="3"/>
        <v>1.7056687960055987</v>
      </c>
      <c r="M109" s="183">
        <f t="shared" si="3"/>
        <v>6.6920330447425282</v>
      </c>
      <c r="N109" s="183">
        <f t="shared" si="3"/>
        <v>92.060985215798723</v>
      </c>
      <c r="O109" s="183">
        <f t="shared" si="3"/>
        <v>0.12396943596157715</v>
      </c>
      <c r="P109" s="183">
        <f t="shared" si="3"/>
        <v>5.1173937994104524E-2</v>
      </c>
      <c r="Q109" s="183">
        <f t="shared" si="3"/>
        <v>1.2558634410062889E-2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2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45553.010416666664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45553.010416666664</v>
      </c>
      <c r="B9" s="112">
        <v>9.23</v>
      </c>
      <c r="C9" s="112">
        <v>4.12</v>
      </c>
      <c r="D9" s="112">
        <v>14</v>
      </c>
      <c r="E9" s="112">
        <v>8.2200000000000006</v>
      </c>
      <c r="F9" s="112">
        <v>4.4000000000000004</v>
      </c>
      <c r="G9" s="112">
        <v>25.69</v>
      </c>
      <c r="H9" s="112">
        <v>7.98</v>
      </c>
      <c r="I9" s="112">
        <v>4.0199999999999996</v>
      </c>
      <c r="J9" s="112">
        <v>0.15</v>
      </c>
      <c r="K9" s="112">
        <v>246.37</v>
      </c>
      <c r="L9" s="112">
        <v>25</v>
      </c>
      <c r="M9" s="112">
        <v>94.07</v>
      </c>
      <c r="N9" s="112">
        <v>2.1</v>
      </c>
      <c r="O9" s="112">
        <v>0</v>
      </c>
      <c r="P9" s="112">
        <v>0.38</v>
      </c>
      <c r="Q9" s="112">
        <v>4.6399999999999997</v>
      </c>
    </row>
    <row r="10" spans="1:21" customFormat="1">
      <c r="A10" s="80">
        <v>45553.020833333336</v>
      </c>
      <c r="B10" s="112">
        <v>9.2200000000000006</v>
      </c>
      <c r="C10" s="112">
        <v>4.13</v>
      </c>
      <c r="D10" s="112">
        <v>14</v>
      </c>
      <c r="E10" s="112">
        <v>7.99</v>
      </c>
      <c r="F10" s="112">
        <v>4.2</v>
      </c>
      <c r="G10" s="112">
        <v>26.37</v>
      </c>
      <c r="H10" s="112">
        <v>8.3000000000000007</v>
      </c>
      <c r="I10" s="112">
        <v>3.98</v>
      </c>
      <c r="J10" s="112">
        <v>0.08</v>
      </c>
      <c r="K10" s="112">
        <v>210.07</v>
      </c>
      <c r="L10" s="112">
        <v>24.93</v>
      </c>
      <c r="M10" s="112">
        <v>95.06</v>
      </c>
      <c r="N10" s="112">
        <v>2.1</v>
      </c>
      <c r="O10" s="112">
        <v>0</v>
      </c>
      <c r="P10" s="112">
        <v>0.38</v>
      </c>
      <c r="Q10" s="112">
        <v>4.66</v>
      </c>
    </row>
    <row r="11" spans="1:21" customFormat="1">
      <c r="A11" s="80">
        <v>45553.03125</v>
      </c>
      <c r="B11" s="112">
        <v>9.1999999999999993</v>
      </c>
      <c r="C11" s="112">
        <v>4.16</v>
      </c>
      <c r="D11" s="112">
        <v>14</v>
      </c>
      <c r="E11" s="112">
        <v>7.96</v>
      </c>
      <c r="F11" s="112">
        <v>3.92</v>
      </c>
      <c r="G11" s="112">
        <v>32.54</v>
      </c>
      <c r="H11" s="112">
        <v>10.99</v>
      </c>
      <c r="I11" s="112">
        <v>3.97</v>
      </c>
      <c r="J11" s="112">
        <v>0.16</v>
      </c>
      <c r="K11" s="112">
        <v>246.8</v>
      </c>
      <c r="L11" s="112">
        <v>24.84</v>
      </c>
      <c r="M11" s="112">
        <v>95.74</v>
      </c>
      <c r="N11" s="112">
        <v>2.1</v>
      </c>
      <c r="O11" s="112">
        <v>0</v>
      </c>
      <c r="P11" s="112">
        <v>0.38</v>
      </c>
      <c r="Q11" s="112">
        <v>4.66</v>
      </c>
    </row>
    <row r="12" spans="1:21" customFormat="1">
      <c r="A12" s="80">
        <v>45553.041666666664</v>
      </c>
      <c r="B12" s="112">
        <v>9.2100000000000009</v>
      </c>
      <c r="C12" s="112">
        <v>4.1399999999999997</v>
      </c>
      <c r="D12" s="112">
        <v>14</v>
      </c>
      <c r="E12" s="112">
        <v>8.41</v>
      </c>
      <c r="F12" s="112">
        <v>3.94</v>
      </c>
      <c r="G12" s="112">
        <v>32.54</v>
      </c>
      <c r="H12" s="112">
        <v>10.99</v>
      </c>
      <c r="I12" s="112">
        <v>3.94</v>
      </c>
      <c r="J12" s="112">
        <v>0.17</v>
      </c>
      <c r="K12" s="112">
        <v>237.22</v>
      </c>
      <c r="L12" s="112">
        <v>24.96</v>
      </c>
      <c r="M12" s="112">
        <v>94.8</v>
      </c>
      <c r="N12" s="112">
        <v>2</v>
      </c>
      <c r="O12" s="112">
        <v>0</v>
      </c>
      <c r="P12" s="112">
        <v>0.38</v>
      </c>
      <c r="Q12" s="112">
        <v>4.66</v>
      </c>
    </row>
    <row r="13" spans="1:21" customFormat="1">
      <c r="A13" s="80">
        <v>45553.052083333336</v>
      </c>
      <c r="B13" s="112">
        <v>9.2100000000000009</v>
      </c>
      <c r="C13" s="112">
        <v>4.1399999999999997</v>
      </c>
      <c r="D13" s="112">
        <v>14</v>
      </c>
      <c r="E13" s="112">
        <v>8.39</v>
      </c>
      <c r="F13" s="112">
        <v>4.0599999999999996</v>
      </c>
      <c r="G13" s="112">
        <v>32.54</v>
      </c>
      <c r="H13" s="112">
        <v>10.99</v>
      </c>
      <c r="I13" s="112">
        <v>3.96</v>
      </c>
      <c r="J13" s="112">
        <v>0.2</v>
      </c>
      <c r="K13" s="112">
        <v>254.79</v>
      </c>
      <c r="L13" s="112">
        <v>24.93</v>
      </c>
      <c r="M13" s="112">
        <v>94.05</v>
      </c>
      <c r="N13" s="112">
        <v>2.1</v>
      </c>
      <c r="O13" s="112">
        <v>0</v>
      </c>
      <c r="P13" s="112">
        <v>0.38</v>
      </c>
      <c r="Q13" s="112">
        <v>4.66</v>
      </c>
    </row>
    <row r="14" spans="1:21" customFormat="1">
      <c r="A14" s="80">
        <v>45553.0625</v>
      </c>
      <c r="B14" s="112">
        <v>9.23</v>
      </c>
      <c r="C14" s="112">
        <v>4.12</v>
      </c>
      <c r="D14" s="112">
        <v>14</v>
      </c>
      <c r="E14" s="112">
        <v>8.2200000000000006</v>
      </c>
      <c r="F14" s="112">
        <v>4.1399999999999997</v>
      </c>
      <c r="G14" s="112">
        <v>32.71</v>
      </c>
      <c r="H14" s="112">
        <v>11.57</v>
      </c>
      <c r="I14" s="112">
        <v>3.98</v>
      </c>
      <c r="J14" s="112">
        <v>0.28000000000000003</v>
      </c>
      <c r="K14" s="112">
        <v>261.83999999999997</v>
      </c>
      <c r="L14" s="112">
        <v>24.88</v>
      </c>
      <c r="M14" s="112">
        <v>93.42</v>
      </c>
      <c r="N14" s="112">
        <v>2.1</v>
      </c>
      <c r="O14" s="112">
        <v>0</v>
      </c>
      <c r="P14" s="112">
        <v>0.37</v>
      </c>
      <c r="Q14" s="112">
        <v>4.6500000000000004</v>
      </c>
    </row>
    <row r="15" spans="1:21" customFormat="1">
      <c r="A15" s="80">
        <v>45553.072916666664</v>
      </c>
      <c r="B15" s="112">
        <v>9.2200000000000006</v>
      </c>
      <c r="C15" s="112">
        <v>4.13</v>
      </c>
      <c r="D15" s="112">
        <v>14</v>
      </c>
      <c r="E15" s="112">
        <v>8.82</v>
      </c>
      <c r="F15" s="112">
        <v>4.5599999999999996</v>
      </c>
      <c r="G15" s="112">
        <v>34.49</v>
      </c>
      <c r="H15" s="112">
        <v>16.440000000000001</v>
      </c>
      <c r="I15" s="112">
        <v>3.9</v>
      </c>
      <c r="J15" s="112">
        <v>0.38</v>
      </c>
      <c r="K15" s="112">
        <v>266.89999999999998</v>
      </c>
      <c r="L15" s="112">
        <v>24.86</v>
      </c>
      <c r="M15" s="112">
        <v>92.69</v>
      </c>
      <c r="N15" s="112">
        <v>2.1</v>
      </c>
      <c r="O15" s="112">
        <v>0</v>
      </c>
      <c r="P15" s="112">
        <v>0.37</v>
      </c>
      <c r="Q15" s="112">
        <v>4.66</v>
      </c>
    </row>
    <row r="16" spans="1:21" customFormat="1">
      <c r="A16" s="80">
        <v>45553.083333333336</v>
      </c>
      <c r="B16" s="112">
        <v>9.2100000000000009</v>
      </c>
      <c r="C16" s="112">
        <v>4.1399999999999997</v>
      </c>
      <c r="D16" s="112">
        <v>14</v>
      </c>
      <c r="E16" s="112">
        <v>9.1</v>
      </c>
      <c r="F16" s="112">
        <v>4.12</v>
      </c>
      <c r="G16" s="112">
        <v>34.49</v>
      </c>
      <c r="H16" s="112">
        <v>16.440000000000001</v>
      </c>
      <c r="I16" s="112">
        <v>3.81</v>
      </c>
      <c r="J16" s="112">
        <v>0.31</v>
      </c>
      <c r="K16" s="112">
        <v>265.10000000000002</v>
      </c>
      <c r="L16" s="112">
        <v>24.81</v>
      </c>
      <c r="M16" s="112">
        <v>92.64</v>
      </c>
      <c r="N16" s="112">
        <v>2.1</v>
      </c>
      <c r="O16" s="112">
        <v>0</v>
      </c>
      <c r="P16" s="112">
        <v>0.38</v>
      </c>
      <c r="Q16" s="112">
        <v>4.6500000000000004</v>
      </c>
    </row>
    <row r="17" spans="1:17" customFormat="1">
      <c r="A17" s="80">
        <v>45553.09375</v>
      </c>
      <c r="B17" s="112">
        <v>9.1999999999999993</v>
      </c>
      <c r="C17" s="112">
        <v>4.1500000000000004</v>
      </c>
      <c r="D17" s="112">
        <v>14</v>
      </c>
      <c r="E17" s="112">
        <v>6.81</v>
      </c>
      <c r="F17" s="112">
        <v>4.13</v>
      </c>
      <c r="G17" s="112">
        <v>34.49</v>
      </c>
      <c r="H17" s="112">
        <v>16.440000000000001</v>
      </c>
      <c r="I17" s="112">
        <v>3.81</v>
      </c>
      <c r="J17" s="112">
        <v>0.32</v>
      </c>
      <c r="K17" s="112">
        <v>262.7</v>
      </c>
      <c r="L17" s="112">
        <v>24.9</v>
      </c>
      <c r="M17" s="112">
        <v>91.74</v>
      </c>
      <c r="N17" s="112">
        <v>2</v>
      </c>
      <c r="O17" s="112">
        <v>0</v>
      </c>
      <c r="P17" s="112">
        <v>0.37</v>
      </c>
      <c r="Q17" s="112">
        <v>4.66</v>
      </c>
    </row>
    <row r="18" spans="1:17" customFormat="1">
      <c r="A18" s="80">
        <v>45553.104166666664</v>
      </c>
      <c r="B18" s="112">
        <v>9.2200000000000006</v>
      </c>
      <c r="C18" s="112">
        <v>4.12</v>
      </c>
      <c r="D18" s="112">
        <v>14</v>
      </c>
      <c r="E18" s="112">
        <v>8.44</v>
      </c>
      <c r="F18" s="112">
        <v>4.21</v>
      </c>
      <c r="G18" s="112">
        <v>34.229999999999997</v>
      </c>
      <c r="H18" s="112">
        <v>16.09</v>
      </c>
      <c r="I18" s="112">
        <v>3.81</v>
      </c>
      <c r="J18" s="112">
        <v>0.32</v>
      </c>
      <c r="K18" s="112">
        <v>269.11</v>
      </c>
      <c r="L18" s="112">
        <v>24.71</v>
      </c>
      <c r="M18" s="112">
        <v>92.66</v>
      </c>
      <c r="N18" s="112">
        <v>2.1</v>
      </c>
      <c r="O18" s="112">
        <v>0</v>
      </c>
      <c r="P18" s="112">
        <v>0.37</v>
      </c>
      <c r="Q18" s="112">
        <v>4.6399999999999997</v>
      </c>
    </row>
    <row r="19" spans="1:17" customFormat="1">
      <c r="A19" s="80">
        <v>45553.114583333336</v>
      </c>
      <c r="B19" s="112">
        <v>9.24</v>
      </c>
      <c r="C19" s="112">
        <v>4.0999999999999996</v>
      </c>
      <c r="D19" s="112">
        <v>14</v>
      </c>
      <c r="E19" s="112">
        <v>8.41</v>
      </c>
      <c r="F19" s="112">
        <v>3.98</v>
      </c>
      <c r="G19" s="112">
        <v>31.61</v>
      </c>
      <c r="H19" s="112">
        <v>13.19</v>
      </c>
      <c r="I19" s="112">
        <v>3.77</v>
      </c>
      <c r="J19" s="112">
        <v>0.3</v>
      </c>
      <c r="K19" s="112">
        <v>270.5</v>
      </c>
      <c r="L19" s="112">
        <v>24.63</v>
      </c>
      <c r="M19" s="112">
        <v>92.88</v>
      </c>
      <c r="N19" s="112">
        <v>2.1</v>
      </c>
      <c r="O19" s="112">
        <v>0</v>
      </c>
      <c r="P19" s="112">
        <v>0.37</v>
      </c>
      <c r="Q19" s="112">
        <v>4.6500000000000004</v>
      </c>
    </row>
    <row r="20" spans="1:17" customFormat="1">
      <c r="A20" s="80">
        <v>45553.125</v>
      </c>
      <c r="B20" s="112">
        <v>9.2200000000000006</v>
      </c>
      <c r="C20" s="112">
        <v>4.12</v>
      </c>
      <c r="D20" s="112">
        <v>14</v>
      </c>
      <c r="E20" s="112">
        <v>8.35</v>
      </c>
      <c r="F20" s="112">
        <v>3.66</v>
      </c>
      <c r="G20" s="112">
        <v>31.61</v>
      </c>
      <c r="H20" s="112">
        <v>13.19</v>
      </c>
      <c r="I20" s="112">
        <v>3.74</v>
      </c>
      <c r="J20" s="112">
        <v>0.24</v>
      </c>
      <c r="K20" s="112">
        <v>262.26</v>
      </c>
      <c r="L20" s="112">
        <v>24.52</v>
      </c>
      <c r="M20" s="112">
        <v>93.36</v>
      </c>
      <c r="N20" s="112">
        <v>2.1</v>
      </c>
      <c r="O20" s="112">
        <v>0</v>
      </c>
      <c r="P20" s="112">
        <v>0.38</v>
      </c>
      <c r="Q20" s="112">
        <v>4.66</v>
      </c>
    </row>
    <row r="21" spans="1:17" customFormat="1">
      <c r="A21" s="80">
        <v>45553.135416666664</v>
      </c>
      <c r="B21" s="112">
        <v>9.2200000000000006</v>
      </c>
      <c r="C21" s="112">
        <v>4.12</v>
      </c>
      <c r="D21" s="112">
        <v>14</v>
      </c>
      <c r="E21" s="112">
        <v>8.61</v>
      </c>
      <c r="F21" s="112">
        <v>3.46</v>
      </c>
      <c r="G21" s="112">
        <v>31.61</v>
      </c>
      <c r="H21" s="112">
        <v>13.19</v>
      </c>
      <c r="I21" s="112">
        <v>3.93</v>
      </c>
      <c r="J21" s="112">
        <v>0.12</v>
      </c>
      <c r="K21" s="112">
        <v>249.66</v>
      </c>
      <c r="L21" s="112">
        <v>24.39</v>
      </c>
      <c r="M21" s="112">
        <v>93.99</v>
      </c>
      <c r="N21" s="112">
        <v>2.1</v>
      </c>
      <c r="O21" s="112">
        <v>0</v>
      </c>
      <c r="P21" s="112">
        <v>0.38</v>
      </c>
      <c r="Q21" s="112">
        <v>4.66</v>
      </c>
    </row>
    <row r="22" spans="1:17" customFormat="1">
      <c r="A22" s="80">
        <v>45553.145833333336</v>
      </c>
      <c r="B22" s="112">
        <v>9.24</v>
      </c>
      <c r="C22" s="112">
        <v>4.0999999999999996</v>
      </c>
      <c r="D22" s="112">
        <v>14</v>
      </c>
      <c r="E22" s="112">
        <v>8.4600000000000009</v>
      </c>
      <c r="F22" s="112">
        <v>3.76</v>
      </c>
      <c r="G22" s="112">
        <v>31.89</v>
      </c>
      <c r="H22" s="112">
        <v>12.75</v>
      </c>
      <c r="I22" s="112">
        <v>3.81</v>
      </c>
      <c r="J22" s="112">
        <v>0.3</v>
      </c>
      <c r="K22" s="112">
        <v>270.7</v>
      </c>
      <c r="L22" s="112">
        <v>24.23</v>
      </c>
      <c r="M22" s="112">
        <v>94.77</v>
      </c>
      <c r="N22" s="112">
        <v>2.1</v>
      </c>
      <c r="O22" s="112">
        <v>0</v>
      </c>
      <c r="P22" s="112">
        <v>0.38</v>
      </c>
      <c r="Q22" s="112">
        <v>4.6500000000000004</v>
      </c>
    </row>
    <row r="23" spans="1:17" customFormat="1">
      <c r="A23" s="80">
        <v>45553.15625</v>
      </c>
      <c r="B23" s="112">
        <v>9.1999999999999993</v>
      </c>
      <c r="C23" s="112">
        <v>4.16</v>
      </c>
      <c r="D23" s="112">
        <v>14</v>
      </c>
      <c r="E23" s="112">
        <v>7.85</v>
      </c>
      <c r="F23" s="112">
        <v>4</v>
      </c>
      <c r="G23" s="112">
        <v>34.82</v>
      </c>
      <c r="H23" s="112">
        <v>9.5399999999999991</v>
      </c>
      <c r="I23" s="112">
        <v>4</v>
      </c>
      <c r="J23" s="112">
        <v>0.28000000000000003</v>
      </c>
      <c r="K23" s="112">
        <v>270.36</v>
      </c>
      <c r="L23" s="112">
        <v>24.14</v>
      </c>
      <c r="M23" s="112">
        <v>95.23</v>
      </c>
      <c r="N23" s="112">
        <v>2.1</v>
      </c>
      <c r="O23" s="112">
        <v>0</v>
      </c>
      <c r="P23" s="112">
        <v>0.38</v>
      </c>
      <c r="Q23" s="112">
        <v>4.63</v>
      </c>
    </row>
    <row r="24" spans="1:17" customFormat="1">
      <c r="A24" s="80">
        <v>45553.166666666664</v>
      </c>
      <c r="B24" s="112">
        <v>9.19</v>
      </c>
      <c r="C24" s="112">
        <v>4.17</v>
      </c>
      <c r="D24" s="112">
        <v>14</v>
      </c>
      <c r="E24" s="112">
        <v>7.71</v>
      </c>
      <c r="F24" s="112">
        <v>3.81</v>
      </c>
      <c r="G24" s="112">
        <v>34.82</v>
      </c>
      <c r="H24" s="112">
        <v>9.5399999999999991</v>
      </c>
      <c r="I24" s="112">
        <v>3.97</v>
      </c>
      <c r="J24" s="112">
        <v>0.24</v>
      </c>
      <c r="K24" s="112">
        <v>264.07</v>
      </c>
      <c r="L24" s="112">
        <v>24.11</v>
      </c>
      <c r="M24" s="112">
        <v>95.02</v>
      </c>
      <c r="N24" s="112">
        <v>2.1</v>
      </c>
      <c r="O24" s="112">
        <v>0</v>
      </c>
      <c r="P24" s="112">
        <v>0.38</v>
      </c>
      <c r="Q24" s="112">
        <v>4.6399999999999997</v>
      </c>
    </row>
    <row r="25" spans="1:17" customFormat="1">
      <c r="A25" s="80">
        <v>45553.177083333336</v>
      </c>
      <c r="B25" s="112">
        <v>9.1999999999999993</v>
      </c>
      <c r="C25" s="112">
        <v>4.16</v>
      </c>
      <c r="D25" s="112">
        <v>14</v>
      </c>
      <c r="E25" s="112">
        <v>7.4</v>
      </c>
      <c r="F25" s="112">
        <v>3.96</v>
      </c>
      <c r="G25" s="112">
        <v>34.82</v>
      </c>
      <c r="H25" s="112">
        <v>9.5399999999999991</v>
      </c>
      <c r="I25" s="112">
        <v>3.82</v>
      </c>
      <c r="J25" s="112">
        <v>0.28000000000000003</v>
      </c>
      <c r="K25" s="112">
        <v>268.83999999999997</v>
      </c>
      <c r="L25" s="112">
        <v>24.01</v>
      </c>
      <c r="M25" s="112">
        <v>95.37</v>
      </c>
      <c r="N25" s="112">
        <v>2.1</v>
      </c>
      <c r="O25" s="112">
        <v>0</v>
      </c>
      <c r="P25" s="112">
        <v>0.38</v>
      </c>
      <c r="Q25" s="112">
        <v>4.6500000000000004</v>
      </c>
    </row>
    <row r="26" spans="1:17" customFormat="1">
      <c r="A26" s="80">
        <v>45553.1875</v>
      </c>
      <c r="B26" s="112">
        <v>9.2100000000000009</v>
      </c>
      <c r="C26" s="112">
        <v>4.1399999999999997</v>
      </c>
      <c r="D26" s="112">
        <v>14</v>
      </c>
      <c r="E26" s="112">
        <v>7.38</v>
      </c>
      <c r="F26" s="112">
        <v>3.98</v>
      </c>
      <c r="G26" s="112">
        <v>34.880000000000003</v>
      </c>
      <c r="H26" s="112">
        <v>9.49</v>
      </c>
      <c r="I26" s="112">
        <v>4.03</v>
      </c>
      <c r="J26" s="112">
        <v>0.21</v>
      </c>
      <c r="K26" s="112">
        <v>257.68</v>
      </c>
      <c r="L26" s="112">
        <v>24.01</v>
      </c>
      <c r="M26" s="112">
        <v>95.05</v>
      </c>
      <c r="N26" s="112">
        <v>2.1</v>
      </c>
      <c r="O26" s="112">
        <v>0</v>
      </c>
      <c r="P26" s="112">
        <v>0.38</v>
      </c>
      <c r="Q26" s="112">
        <v>4.6500000000000004</v>
      </c>
    </row>
    <row r="27" spans="1:17" customFormat="1">
      <c r="A27" s="80">
        <v>45553.197916666664</v>
      </c>
      <c r="B27" s="112">
        <v>9.2100000000000009</v>
      </c>
      <c r="C27" s="112">
        <v>4.1399999999999997</v>
      </c>
      <c r="D27" s="112">
        <v>14</v>
      </c>
      <c r="E27" s="112">
        <v>7.03</v>
      </c>
      <c r="F27" s="112">
        <v>3.89</v>
      </c>
      <c r="G27" s="112">
        <v>35.49</v>
      </c>
      <c r="H27" s="112">
        <v>9</v>
      </c>
      <c r="I27" s="112">
        <v>3.86</v>
      </c>
      <c r="J27" s="112">
        <v>0.15</v>
      </c>
      <c r="K27" s="112">
        <v>246.05</v>
      </c>
      <c r="L27" s="112">
        <v>23.99</v>
      </c>
      <c r="M27" s="112">
        <v>95</v>
      </c>
      <c r="N27" s="112">
        <v>2.1</v>
      </c>
      <c r="O27" s="112">
        <v>0</v>
      </c>
      <c r="P27" s="112">
        <v>0.37</v>
      </c>
      <c r="Q27" s="112">
        <v>4.67</v>
      </c>
    </row>
    <row r="28" spans="1:17" customFormat="1">
      <c r="A28" s="80">
        <v>45553.208333333336</v>
      </c>
      <c r="B28" s="112">
        <v>9.2200000000000006</v>
      </c>
      <c r="C28" s="112">
        <v>4.13</v>
      </c>
      <c r="D28" s="112">
        <v>14</v>
      </c>
      <c r="E28" s="112">
        <v>7.05</v>
      </c>
      <c r="F28" s="112">
        <v>3.81</v>
      </c>
      <c r="G28" s="112">
        <v>35.49</v>
      </c>
      <c r="H28" s="112">
        <v>9</v>
      </c>
      <c r="I28" s="112">
        <v>4.0599999999999996</v>
      </c>
      <c r="J28" s="112">
        <v>0.08</v>
      </c>
      <c r="K28" s="112">
        <v>215.42</v>
      </c>
      <c r="L28" s="112">
        <v>23.98</v>
      </c>
      <c r="M28" s="112">
        <v>95.26</v>
      </c>
      <c r="N28" s="112">
        <v>2.1</v>
      </c>
      <c r="O28" s="112">
        <v>0</v>
      </c>
      <c r="P28" s="112">
        <v>0.38</v>
      </c>
      <c r="Q28" s="112">
        <v>4.6500000000000004</v>
      </c>
    </row>
    <row r="29" spans="1:17" customFormat="1">
      <c r="A29" s="80">
        <v>45553.21875</v>
      </c>
      <c r="B29" s="112">
        <v>9.2200000000000006</v>
      </c>
      <c r="C29" s="112">
        <v>4.13</v>
      </c>
      <c r="D29" s="112">
        <v>14</v>
      </c>
      <c r="E29" s="112">
        <v>6.84</v>
      </c>
      <c r="F29" s="112">
        <v>3.9</v>
      </c>
      <c r="G29" s="112">
        <v>35.49</v>
      </c>
      <c r="H29" s="112">
        <v>9</v>
      </c>
      <c r="I29" s="112">
        <v>4.08</v>
      </c>
      <c r="J29" s="112">
        <v>7.0000000000000007E-2</v>
      </c>
      <c r="K29" s="112">
        <v>204.57</v>
      </c>
      <c r="L29" s="112">
        <v>24.06</v>
      </c>
      <c r="M29" s="112">
        <v>95.42</v>
      </c>
      <c r="N29" s="112">
        <v>2.1</v>
      </c>
      <c r="O29" s="112">
        <v>0</v>
      </c>
      <c r="P29" s="112">
        <v>0.37</v>
      </c>
      <c r="Q29" s="112">
        <v>4.67</v>
      </c>
    </row>
    <row r="30" spans="1:17" customFormat="1">
      <c r="A30" s="80">
        <v>45553.229166666664</v>
      </c>
      <c r="B30" s="112">
        <v>9.2100000000000009</v>
      </c>
      <c r="C30" s="112">
        <v>4.1399999999999997</v>
      </c>
      <c r="D30" s="112">
        <v>14</v>
      </c>
      <c r="E30" s="112">
        <v>6.98</v>
      </c>
      <c r="F30" s="112">
        <v>3.91</v>
      </c>
      <c r="G30" s="112">
        <v>35.200000000000003</v>
      </c>
      <c r="H30" s="112">
        <v>9.0399999999999991</v>
      </c>
      <c r="I30" s="112">
        <v>4.0599999999999996</v>
      </c>
      <c r="J30" s="112">
        <v>0.09</v>
      </c>
      <c r="K30" s="112">
        <v>173.96</v>
      </c>
      <c r="L30" s="112">
        <v>23.99</v>
      </c>
      <c r="M30" s="112">
        <v>95.28</v>
      </c>
      <c r="N30" s="112">
        <v>2.4</v>
      </c>
      <c r="O30" s="112">
        <v>0</v>
      </c>
      <c r="P30" s="112">
        <v>0.37</v>
      </c>
      <c r="Q30" s="112">
        <v>4.66</v>
      </c>
    </row>
    <row r="31" spans="1:17" customFormat="1">
      <c r="A31" s="80">
        <v>45553.239583333336</v>
      </c>
      <c r="B31" s="112">
        <v>9.1999999999999993</v>
      </c>
      <c r="C31" s="112">
        <v>4.16</v>
      </c>
      <c r="D31" s="112">
        <v>14</v>
      </c>
      <c r="E31" s="112">
        <v>6.71</v>
      </c>
      <c r="F31" s="112">
        <v>3.91</v>
      </c>
      <c r="G31" s="112">
        <v>32.18</v>
      </c>
      <c r="H31" s="112">
        <v>9.42</v>
      </c>
      <c r="I31" s="112">
        <v>4.08</v>
      </c>
      <c r="J31" s="112">
        <v>0.06</v>
      </c>
      <c r="K31" s="112">
        <v>231.13</v>
      </c>
      <c r="L31" s="112">
        <v>23.81</v>
      </c>
      <c r="M31" s="112">
        <v>96.52</v>
      </c>
      <c r="N31" s="112">
        <v>4.0999999999999996</v>
      </c>
      <c r="O31" s="112">
        <v>0</v>
      </c>
      <c r="P31" s="112">
        <v>0.36</v>
      </c>
      <c r="Q31" s="112">
        <v>4.6500000000000004</v>
      </c>
    </row>
    <row r="32" spans="1:17" customFormat="1">
      <c r="A32" s="80">
        <v>45553.25</v>
      </c>
      <c r="B32" s="112">
        <v>9.19</v>
      </c>
      <c r="C32" s="112">
        <v>4.18</v>
      </c>
      <c r="D32" s="112">
        <v>14</v>
      </c>
      <c r="E32" s="112">
        <v>6.52</v>
      </c>
      <c r="F32" s="112">
        <v>3.67</v>
      </c>
      <c r="G32" s="112">
        <v>32.18</v>
      </c>
      <c r="H32" s="112">
        <v>9.42</v>
      </c>
      <c r="I32" s="112">
        <v>4.05</v>
      </c>
      <c r="J32" s="112">
        <v>0.06</v>
      </c>
      <c r="K32" s="112">
        <v>217.74</v>
      </c>
      <c r="L32" s="112">
        <v>23.84</v>
      </c>
      <c r="M32" s="112">
        <v>97.34</v>
      </c>
      <c r="N32" s="112">
        <v>10.6</v>
      </c>
      <c r="O32" s="112">
        <v>0</v>
      </c>
      <c r="P32" s="112">
        <v>0.37</v>
      </c>
      <c r="Q32" s="112">
        <v>4.67</v>
      </c>
    </row>
    <row r="33" spans="1:17" customFormat="1">
      <c r="A33" s="80">
        <v>45553.260416666664</v>
      </c>
      <c r="B33" s="112">
        <v>9.1999999999999993</v>
      </c>
      <c r="C33" s="112">
        <v>4.1500000000000004</v>
      </c>
      <c r="D33" s="112">
        <v>14</v>
      </c>
      <c r="E33" s="112">
        <v>6.79</v>
      </c>
      <c r="F33" s="112">
        <v>3.59</v>
      </c>
      <c r="G33" s="112">
        <v>32.18</v>
      </c>
      <c r="H33" s="112">
        <v>9.42</v>
      </c>
      <c r="I33" s="112">
        <v>4.07</v>
      </c>
      <c r="J33" s="112">
        <v>0.08</v>
      </c>
      <c r="K33" s="112">
        <v>217.55</v>
      </c>
      <c r="L33" s="112">
        <v>24.11</v>
      </c>
      <c r="M33" s="112">
        <v>97.19</v>
      </c>
      <c r="N33" s="112">
        <v>13.9</v>
      </c>
      <c r="O33" s="112">
        <v>0</v>
      </c>
      <c r="P33" s="112">
        <v>0.37</v>
      </c>
      <c r="Q33" s="112">
        <v>4.66</v>
      </c>
    </row>
    <row r="34" spans="1:17" customFormat="1">
      <c r="A34" s="80">
        <v>45553.270833333336</v>
      </c>
      <c r="B34" s="112">
        <v>9.1999999999999993</v>
      </c>
      <c r="C34" s="112">
        <v>4.17</v>
      </c>
      <c r="D34" s="112">
        <v>14</v>
      </c>
      <c r="E34" s="112">
        <v>6.62</v>
      </c>
      <c r="F34" s="112">
        <v>3.85</v>
      </c>
      <c r="G34" s="112">
        <v>32.299999999999997</v>
      </c>
      <c r="H34" s="112">
        <v>9.57</v>
      </c>
      <c r="I34" s="112">
        <v>4.0999999999999996</v>
      </c>
      <c r="J34" s="112">
        <v>7.0000000000000007E-2</v>
      </c>
      <c r="K34" s="112">
        <v>203.83</v>
      </c>
      <c r="L34" s="112">
        <v>24.37</v>
      </c>
      <c r="M34" s="112">
        <v>96.69</v>
      </c>
      <c r="N34" s="112">
        <v>22.5</v>
      </c>
      <c r="O34" s="112">
        <v>0</v>
      </c>
      <c r="P34" s="112">
        <v>0.37</v>
      </c>
      <c r="Q34" s="112">
        <v>4.68</v>
      </c>
    </row>
    <row r="35" spans="1:17" customFormat="1">
      <c r="A35" s="80">
        <v>45553.28125</v>
      </c>
      <c r="B35" s="112">
        <v>9.18</v>
      </c>
      <c r="C35" s="112">
        <v>4.1900000000000004</v>
      </c>
      <c r="D35" s="112">
        <v>14</v>
      </c>
      <c r="E35" s="112">
        <v>6.56</v>
      </c>
      <c r="F35" s="112">
        <v>4.12</v>
      </c>
      <c r="G35" s="112">
        <v>33.53</v>
      </c>
      <c r="H35" s="112">
        <v>10.7</v>
      </c>
      <c r="I35" s="112">
        <v>4.13</v>
      </c>
      <c r="J35" s="112">
        <v>7.0000000000000007E-2</v>
      </c>
      <c r="K35" s="112">
        <v>278.35000000000002</v>
      </c>
      <c r="L35" s="112">
        <v>24.63</v>
      </c>
      <c r="M35" s="112">
        <v>95.18</v>
      </c>
      <c r="N35" s="112">
        <v>38</v>
      </c>
      <c r="O35" s="112">
        <v>0</v>
      </c>
      <c r="P35" s="112">
        <v>0.36</v>
      </c>
      <c r="Q35" s="112">
        <v>4.66</v>
      </c>
    </row>
    <row r="36" spans="1:17" customFormat="1">
      <c r="A36" s="80">
        <v>45553.291666666664</v>
      </c>
      <c r="B36" s="112">
        <v>9.18</v>
      </c>
      <c r="C36" s="112">
        <v>4.2</v>
      </c>
      <c r="D36" s="112">
        <v>14</v>
      </c>
      <c r="E36" s="112">
        <v>6.59</v>
      </c>
      <c r="F36" s="112">
        <v>4.17</v>
      </c>
      <c r="G36" s="112">
        <v>33.53</v>
      </c>
      <c r="H36" s="112">
        <v>10.7</v>
      </c>
      <c r="I36" s="112">
        <v>4.07</v>
      </c>
      <c r="J36" s="112">
        <v>0.18</v>
      </c>
      <c r="K36" s="112">
        <v>272.38</v>
      </c>
      <c r="L36" s="112">
        <v>25.03</v>
      </c>
      <c r="M36" s="112">
        <v>93.43</v>
      </c>
      <c r="N36" s="112">
        <v>52.5</v>
      </c>
      <c r="O36" s="112">
        <v>0</v>
      </c>
      <c r="P36" s="112">
        <v>0.37</v>
      </c>
      <c r="Q36" s="112">
        <v>4.66</v>
      </c>
    </row>
    <row r="37" spans="1:17" customFormat="1">
      <c r="A37" s="80">
        <v>45553.302083333336</v>
      </c>
      <c r="B37" s="112">
        <v>9.17</v>
      </c>
      <c r="C37" s="112">
        <v>4.21</v>
      </c>
      <c r="D37" s="112">
        <v>14</v>
      </c>
      <c r="E37" s="112">
        <v>6.29</v>
      </c>
      <c r="F37" s="112">
        <v>4.37</v>
      </c>
      <c r="G37" s="112">
        <v>33.53</v>
      </c>
      <c r="H37" s="112">
        <v>10.7</v>
      </c>
      <c r="I37" s="112">
        <v>4.07</v>
      </c>
      <c r="J37" s="112">
        <v>0.25</v>
      </c>
      <c r="K37" s="112">
        <v>264.24</v>
      </c>
      <c r="L37" s="112">
        <v>25.44</v>
      </c>
      <c r="M37" s="112">
        <v>91.48</v>
      </c>
      <c r="N37" s="112">
        <v>77</v>
      </c>
      <c r="O37" s="112">
        <v>0</v>
      </c>
      <c r="P37" s="112">
        <v>0.36</v>
      </c>
      <c r="Q37" s="112">
        <v>4.67</v>
      </c>
    </row>
    <row r="38" spans="1:17" customFormat="1">
      <c r="A38" s="80">
        <v>45553.3125</v>
      </c>
      <c r="B38" s="112">
        <v>9.15</v>
      </c>
      <c r="C38" s="112">
        <v>4.2300000000000004</v>
      </c>
      <c r="D38" s="112">
        <v>14</v>
      </c>
      <c r="E38" s="112">
        <v>6.53</v>
      </c>
      <c r="F38" s="112">
        <v>5.52</v>
      </c>
      <c r="G38" s="112">
        <v>33.299999999999997</v>
      </c>
      <c r="H38" s="112">
        <v>10.87</v>
      </c>
      <c r="I38" s="112">
        <v>4.0599999999999996</v>
      </c>
      <c r="J38" s="112">
        <v>0.33</v>
      </c>
      <c r="K38" s="112">
        <v>266.22000000000003</v>
      </c>
      <c r="L38" s="112">
        <v>25.85</v>
      </c>
      <c r="M38" s="112">
        <v>89.39</v>
      </c>
      <c r="N38" s="112">
        <v>81.5</v>
      </c>
      <c r="O38" s="112">
        <v>0</v>
      </c>
      <c r="P38" s="112">
        <v>0.36</v>
      </c>
      <c r="Q38" s="112">
        <v>4.66</v>
      </c>
    </row>
    <row r="39" spans="1:17" customFormat="1">
      <c r="A39" s="80">
        <v>45553.322916666664</v>
      </c>
      <c r="B39" s="112">
        <v>9.15</v>
      </c>
      <c r="C39" s="112">
        <v>4.2300000000000004</v>
      </c>
      <c r="D39" s="112">
        <v>14</v>
      </c>
      <c r="E39" s="112">
        <v>5.99</v>
      </c>
      <c r="F39" s="112">
        <v>6.55</v>
      </c>
      <c r="G39" s="112">
        <v>30.97</v>
      </c>
      <c r="H39" s="112">
        <v>12.3</v>
      </c>
      <c r="I39" s="112">
        <v>4.09</v>
      </c>
      <c r="J39" s="112">
        <v>0.37</v>
      </c>
      <c r="K39" s="112">
        <v>265.87</v>
      </c>
      <c r="L39" s="112">
        <v>25.98</v>
      </c>
      <c r="M39" s="112">
        <v>88.28</v>
      </c>
      <c r="N39" s="112">
        <v>122.1</v>
      </c>
      <c r="O39" s="112">
        <v>0</v>
      </c>
      <c r="P39" s="112">
        <v>0.36</v>
      </c>
      <c r="Q39" s="112">
        <v>4.6500000000000004</v>
      </c>
    </row>
    <row r="40" spans="1:17" customFormat="1">
      <c r="A40" s="80">
        <v>45553.333333333336</v>
      </c>
      <c r="B40" s="112">
        <v>9.15</v>
      </c>
      <c r="C40" s="112">
        <v>4.24</v>
      </c>
      <c r="D40" s="112">
        <v>14</v>
      </c>
      <c r="E40" s="112">
        <v>6.59</v>
      </c>
      <c r="F40" s="112">
        <v>4.7699999999999996</v>
      </c>
      <c r="G40" s="112">
        <v>30.97</v>
      </c>
      <c r="H40" s="112">
        <v>12.3</v>
      </c>
      <c r="I40" s="112">
        <v>4.0199999999999996</v>
      </c>
      <c r="J40" s="112">
        <v>0.48</v>
      </c>
      <c r="K40" s="112">
        <v>272.58</v>
      </c>
      <c r="L40" s="112">
        <v>26.72</v>
      </c>
      <c r="M40" s="112">
        <v>84.31</v>
      </c>
      <c r="N40" s="112">
        <v>216.6</v>
      </c>
      <c r="O40" s="112">
        <v>0</v>
      </c>
      <c r="P40" s="112">
        <v>0.37</v>
      </c>
      <c r="Q40" s="112">
        <v>4.6399999999999997</v>
      </c>
    </row>
    <row r="41" spans="1:17" customFormat="1">
      <c r="A41" s="80">
        <v>45553.34375</v>
      </c>
      <c r="B41" s="112">
        <v>9.14</v>
      </c>
      <c r="C41" s="112">
        <v>4.26</v>
      </c>
      <c r="D41" s="112">
        <v>14</v>
      </c>
      <c r="E41" s="112">
        <v>6.56</v>
      </c>
      <c r="F41" s="112">
        <v>5.0999999999999996</v>
      </c>
      <c r="G41" s="112">
        <v>30.97</v>
      </c>
      <c r="H41" s="112">
        <v>12.3</v>
      </c>
      <c r="I41" s="112">
        <v>4.0999999999999996</v>
      </c>
      <c r="J41" s="112">
        <v>0.5</v>
      </c>
      <c r="K41" s="112">
        <v>274.41000000000003</v>
      </c>
      <c r="L41" s="112">
        <v>27.06</v>
      </c>
      <c r="M41" s="112">
        <v>82.09</v>
      </c>
      <c r="N41" s="112">
        <v>137.9</v>
      </c>
      <c r="O41" s="112">
        <v>0</v>
      </c>
      <c r="P41" s="112">
        <v>0.38</v>
      </c>
      <c r="Q41" s="112">
        <v>4.6399999999999997</v>
      </c>
    </row>
    <row r="42" spans="1:17" customFormat="1">
      <c r="A42" s="80">
        <v>45553.354166666664</v>
      </c>
      <c r="B42" s="112">
        <v>9.15</v>
      </c>
      <c r="C42" s="112">
        <v>4.24</v>
      </c>
      <c r="D42" s="112">
        <v>14</v>
      </c>
      <c r="E42" s="112">
        <v>6.34</v>
      </c>
      <c r="F42" s="112">
        <v>4.88</v>
      </c>
      <c r="G42" s="112">
        <v>31.41</v>
      </c>
      <c r="H42" s="112">
        <v>11.91</v>
      </c>
      <c r="I42" s="112">
        <v>4.16</v>
      </c>
      <c r="J42" s="112">
        <v>0.34</v>
      </c>
      <c r="K42" s="112">
        <v>252.56</v>
      </c>
      <c r="L42" s="112">
        <v>27.45</v>
      </c>
      <c r="M42" s="112">
        <v>80.33</v>
      </c>
      <c r="N42" s="112">
        <v>126.8</v>
      </c>
      <c r="O42" s="112">
        <v>0</v>
      </c>
      <c r="P42" s="112">
        <v>0.41</v>
      </c>
      <c r="Q42" s="112">
        <v>4.6500000000000004</v>
      </c>
    </row>
    <row r="43" spans="1:17" customFormat="1">
      <c r="A43" s="80">
        <v>45553.364583333336</v>
      </c>
      <c r="B43" s="112">
        <v>9.15</v>
      </c>
      <c r="C43" s="112">
        <v>4.24</v>
      </c>
      <c r="D43" s="112">
        <v>14</v>
      </c>
      <c r="E43" s="112">
        <v>7.04</v>
      </c>
      <c r="F43" s="112">
        <v>4.6399999999999997</v>
      </c>
      <c r="G43" s="112">
        <v>35.97</v>
      </c>
      <c r="H43" s="112">
        <v>9.07</v>
      </c>
      <c r="I43" s="112">
        <v>4.21</v>
      </c>
      <c r="J43" s="112">
        <v>0.4</v>
      </c>
      <c r="K43" s="112">
        <v>275.13</v>
      </c>
      <c r="L43" s="112">
        <v>27.48</v>
      </c>
      <c r="M43" s="112">
        <v>79.83</v>
      </c>
      <c r="N43" s="112">
        <v>178</v>
      </c>
      <c r="O43" s="112">
        <v>0</v>
      </c>
      <c r="P43" s="112">
        <v>0.41</v>
      </c>
      <c r="Q43" s="112">
        <v>4.6500000000000004</v>
      </c>
    </row>
    <row r="44" spans="1:17" customFormat="1">
      <c r="A44" s="80">
        <v>45553.375</v>
      </c>
      <c r="B44" s="112">
        <v>9.15</v>
      </c>
      <c r="C44" s="112">
        <v>4.24</v>
      </c>
      <c r="D44" s="112">
        <v>14</v>
      </c>
      <c r="E44" s="112">
        <v>7.07</v>
      </c>
      <c r="F44" s="112">
        <v>4.84</v>
      </c>
      <c r="G44" s="112">
        <v>35.97</v>
      </c>
      <c r="H44" s="112">
        <v>9.07</v>
      </c>
      <c r="I44" s="112">
        <v>4.34</v>
      </c>
      <c r="J44" s="112">
        <v>0.34</v>
      </c>
      <c r="K44" s="112">
        <v>277.86</v>
      </c>
      <c r="L44" s="112">
        <v>27.89</v>
      </c>
      <c r="M44" s="112">
        <v>77.13</v>
      </c>
      <c r="N44" s="112">
        <v>185.4</v>
      </c>
      <c r="O44" s="112">
        <v>0</v>
      </c>
      <c r="P44" s="112">
        <v>0.42</v>
      </c>
      <c r="Q44" s="112">
        <v>4.6500000000000004</v>
      </c>
    </row>
    <row r="45" spans="1:17" customFormat="1">
      <c r="A45" s="80">
        <v>45553.385416666664</v>
      </c>
      <c r="B45" s="112">
        <v>9.1300000000000008</v>
      </c>
      <c r="C45" s="112">
        <v>4.2699999999999996</v>
      </c>
      <c r="D45" s="112">
        <v>14</v>
      </c>
      <c r="E45" s="112">
        <v>7.49</v>
      </c>
      <c r="F45" s="112">
        <v>5.35</v>
      </c>
      <c r="G45" s="112">
        <v>35.97</v>
      </c>
      <c r="H45" s="112">
        <v>9.07</v>
      </c>
      <c r="I45" s="112">
        <v>4.49</v>
      </c>
      <c r="J45" s="112">
        <v>0.28999999999999998</v>
      </c>
      <c r="K45" s="112">
        <v>259.37</v>
      </c>
      <c r="L45" s="112">
        <v>28.36</v>
      </c>
      <c r="M45" s="112">
        <v>74.069999999999993</v>
      </c>
      <c r="N45" s="112">
        <v>241</v>
      </c>
      <c r="O45" s="112">
        <v>0</v>
      </c>
      <c r="P45" s="112">
        <v>0.43</v>
      </c>
      <c r="Q45" s="112">
        <v>4.66</v>
      </c>
    </row>
    <row r="46" spans="1:17" customFormat="1">
      <c r="A46" s="80">
        <v>45553.395833333336</v>
      </c>
      <c r="B46" s="112">
        <v>9.14</v>
      </c>
      <c r="C46" s="112">
        <v>4.25</v>
      </c>
      <c r="D46" s="112">
        <v>14</v>
      </c>
      <c r="E46" s="112">
        <v>7.26</v>
      </c>
      <c r="F46" s="112">
        <v>5.26</v>
      </c>
      <c r="G46" s="112">
        <v>35.869999999999997</v>
      </c>
      <c r="H46" s="112">
        <v>9.49</v>
      </c>
      <c r="I46" s="112">
        <v>4.53</v>
      </c>
      <c r="J46" s="112">
        <v>0.13</v>
      </c>
      <c r="K46" s="112">
        <v>246.02</v>
      </c>
      <c r="L46" s="112">
        <v>28.73</v>
      </c>
      <c r="M46" s="112">
        <v>72.42</v>
      </c>
      <c r="N46" s="112">
        <v>178.8</v>
      </c>
      <c r="O46" s="112">
        <v>0</v>
      </c>
      <c r="P46" s="112">
        <v>0.44</v>
      </c>
      <c r="Q46" s="112">
        <v>4.66</v>
      </c>
    </row>
    <row r="47" spans="1:17" customFormat="1">
      <c r="A47" s="80">
        <v>45553.40625</v>
      </c>
      <c r="B47" s="112">
        <v>9.16</v>
      </c>
      <c r="C47" s="112">
        <v>4.22</v>
      </c>
      <c r="D47" s="112">
        <v>14</v>
      </c>
      <c r="E47" s="112">
        <v>7.6</v>
      </c>
      <c r="F47" s="112">
        <v>4.87</v>
      </c>
      <c r="G47" s="112">
        <v>34.869999999999997</v>
      </c>
      <c r="H47" s="112">
        <v>12.58</v>
      </c>
      <c r="I47" s="112">
        <v>4.57</v>
      </c>
      <c r="J47" s="112">
        <v>0.36</v>
      </c>
      <c r="K47" s="112">
        <v>256.2</v>
      </c>
      <c r="L47" s="112">
        <v>28.44</v>
      </c>
      <c r="M47" s="112">
        <v>74.78</v>
      </c>
      <c r="N47" s="112">
        <v>129.4</v>
      </c>
      <c r="O47" s="112">
        <v>0</v>
      </c>
      <c r="P47" s="112">
        <v>0.45</v>
      </c>
      <c r="Q47" s="112">
        <v>4.66</v>
      </c>
    </row>
    <row r="48" spans="1:17" customFormat="1">
      <c r="A48" s="80">
        <v>45553.416666666664</v>
      </c>
      <c r="B48" s="112">
        <v>9.17</v>
      </c>
      <c r="C48" s="112">
        <v>4.21</v>
      </c>
      <c r="D48" s="112">
        <v>14</v>
      </c>
      <c r="E48" s="112">
        <v>8.43</v>
      </c>
      <c r="F48" s="112">
        <v>4.93</v>
      </c>
      <c r="G48" s="112">
        <v>34.869999999999997</v>
      </c>
      <c r="H48" s="112">
        <v>12.58</v>
      </c>
      <c r="I48" s="112">
        <v>4.46</v>
      </c>
      <c r="J48" s="112">
        <v>0.4</v>
      </c>
      <c r="K48" s="112">
        <v>258.49</v>
      </c>
      <c r="L48" s="112">
        <v>28.75</v>
      </c>
      <c r="M48" s="112">
        <v>72.27</v>
      </c>
      <c r="N48" s="112">
        <v>187.1</v>
      </c>
      <c r="O48" s="112">
        <v>0</v>
      </c>
      <c r="P48" s="112">
        <v>0.47</v>
      </c>
      <c r="Q48" s="112">
        <v>4.67</v>
      </c>
    </row>
    <row r="49" spans="1:17" customFormat="1">
      <c r="A49" s="80">
        <v>45553.427083333336</v>
      </c>
      <c r="B49" s="112">
        <v>9.18</v>
      </c>
      <c r="C49" s="112">
        <v>4.1900000000000004</v>
      </c>
      <c r="D49" s="112">
        <v>14</v>
      </c>
      <c r="E49" s="112">
        <v>8.02</v>
      </c>
      <c r="F49" s="112">
        <v>5.0999999999999996</v>
      </c>
      <c r="G49" s="112">
        <v>34.869999999999997</v>
      </c>
      <c r="H49" s="112">
        <v>12.58</v>
      </c>
      <c r="I49" s="112">
        <v>4.59</v>
      </c>
      <c r="J49" s="112">
        <v>0.34</v>
      </c>
      <c r="K49" s="112">
        <v>260.82</v>
      </c>
      <c r="L49" s="112">
        <v>29.72</v>
      </c>
      <c r="M49" s="112">
        <v>69.25</v>
      </c>
      <c r="N49" s="112">
        <v>228.6</v>
      </c>
      <c r="O49" s="112">
        <v>0</v>
      </c>
      <c r="P49" s="112">
        <v>0.48</v>
      </c>
      <c r="Q49" s="112">
        <v>4.67</v>
      </c>
    </row>
    <row r="50" spans="1:17" customFormat="1">
      <c r="A50" s="80">
        <v>45553.4375</v>
      </c>
      <c r="B50" s="112">
        <v>9.18</v>
      </c>
      <c r="C50" s="112">
        <v>4.1900000000000004</v>
      </c>
      <c r="D50" s="112">
        <v>14</v>
      </c>
      <c r="E50" s="112">
        <v>10.06</v>
      </c>
      <c r="F50" s="112">
        <v>5.13</v>
      </c>
      <c r="G50" s="112">
        <v>35.71</v>
      </c>
      <c r="H50" s="112">
        <v>12.4</v>
      </c>
      <c r="I50" s="112">
        <v>4.79</v>
      </c>
      <c r="J50" s="112">
        <v>0.45</v>
      </c>
      <c r="K50" s="112">
        <v>262.45</v>
      </c>
      <c r="L50" s="112">
        <v>29.76</v>
      </c>
      <c r="M50" s="112">
        <v>67.94</v>
      </c>
      <c r="N50" s="112">
        <v>291</v>
      </c>
      <c r="O50" s="112">
        <v>0</v>
      </c>
      <c r="P50" s="112">
        <v>0.48</v>
      </c>
      <c r="Q50" s="112">
        <v>4.6500000000000004</v>
      </c>
    </row>
    <row r="51" spans="1:17" customFormat="1">
      <c r="A51" s="80">
        <v>45553.447916666664</v>
      </c>
      <c r="B51" s="112">
        <v>9.18</v>
      </c>
      <c r="C51" s="112">
        <v>4.1900000000000004</v>
      </c>
      <c r="D51" s="112">
        <v>14</v>
      </c>
      <c r="E51" s="112">
        <v>10.07</v>
      </c>
      <c r="F51" s="112">
        <v>5.48</v>
      </c>
      <c r="G51" s="112">
        <v>44.34</v>
      </c>
      <c r="H51" s="112">
        <v>10.89</v>
      </c>
      <c r="I51" s="112">
        <v>4.91</v>
      </c>
      <c r="J51" s="112">
        <v>0.51</v>
      </c>
      <c r="K51" s="112">
        <v>264.24</v>
      </c>
      <c r="L51" s="112">
        <v>29.9</v>
      </c>
      <c r="M51" s="112">
        <v>67.14</v>
      </c>
      <c r="N51" s="112">
        <v>327.2</v>
      </c>
      <c r="O51" s="112">
        <v>0</v>
      </c>
      <c r="P51" s="112">
        <v>0.49</v>
      </c>
      <c r="Q51" s="112">
        <v>4.6399999999999997</v>
      </c>
    </row>
    <row r="52" spans="1:17" customFormat="1">
      <c r="A52" s="80">
        <v>45553.458333333336</v>
      </c>
      <c r="B52" s="112">
        <v>9.17</v>
      </c>
      <c r="C52" s="112">
        <v>4.2</v>
      </c>
      <c r="D52" s="112">
        <v>14</v>
      </c>
      <c r="E52" s="112">
        <v>10.25</v>
      </c>
      <c r="F52" s="112">
        <v>6.03</v>
      </c>
      <c r="G52" s="112">
        <v>44.34</v>
      </c>
      <c r="H52" s="112">
        <v>10.89</v>
      </c>
      <c r="I52" s="112">
        <v>4.9800000000000004</v>
      </c>
      <c r="J52" s="112">
        <v>0.54</v>
      </c>
      <c r="K52" s="112">
        <v>265.70999999999998</v>
      </c>
      <c r="L52" s="112">
        <v>30.13</v>
      </c>
      <c r="M52" s="112">
        <v>67</v>
      </c>
      <c r="N52" s="112">
        <v>395.2</v>
      </c>
      <c r="O52" s="112">
        <v>0</v>
      </c>
      <c r="P52" s="112">
        <v>0.49</v>
      </c>
      <c r="Q52" s="112">
        <v>4.6500000000000004</v>
      </c>
    </row>
    <row r="53" spans="1:17" customFormat="1">
      <c r="A53" s="80">
        <v>45553.46875</v>
      </c>
      <c r="B53" s="112">
        <v>9.16</v>
      </c>
      <c r="C53" s="112">
        <v>4.22</v>
      </c>
      <c r="D53" s="112">
        <v>14</v>
      </c>
      <c r="E53" s="112">
        <v>10.76</v>
      </c>
      <c r="F53" s="112">
        <v>6.8</v>
      </c>
      <c r="G53" s="112">
        <v>44.34</v>
      </c>
      <c r="H53" s="112">
        <v>10.89</v>
      </c>
      <c r="I53" s="112">
        <v>4.99</v>
      </c>
      <c r="J53" s="112">
        <v>0.65</v>
      </c>
      <c r="K53" s="112">
        <v>270.08999999999997</v>
      </c>
      <c r="L53" s="112">
        <v>30.47</v>
      </c>
      <c r="M53" s="112">
        <v>65.569999999999993</v>
      </c>
      <c r="N53" s="112">
        <v>574.6</v>
      </c>
      <c r="O53" s="112">
        <v>0</v>
      </c>
      <c r="P53" s="112">
        <v>0.48</v>
      </c>
      <c r="Q53" s="112">
        <v>4.67</v>
      </c>
    </row>
    <row r="54" spans="1:17" customFormat="1">
      <c r="A54" s="80">
        <v>45553.479166666664</v>
      </c>
      <c r="B54" s="112">
        <v>9.16</v>
      </c>
      <c r="C54" s="112">
        <v>4.22</v>
      </c>
      <c r="D54" s="112">
        <v>14</v>
      </c>
      <c r="E54" s="112">
        <v>10.81</v>
      </c>
      <c r="F54" s="112">
        <v>6.76</v>
      </c>
      <c r="G54" s="112">
        <v>44.56</v>
      </c>
      <c r="H54" s="112">
        <v>11.58</v>
      </c>
      <c r="I54" s="112">
        <v>4.93</v>
      </c>
      <c r="J54" s="112">
        <v>0.55000000000000004</v>
      </c>
      <c r="K54" s="112">
        <v>271.25</v>
      </c>
      <c r="L54" s="112">
        <v>30.3</v>
      </c>
      <c r="M54" s="112">
        <v>66.290000000000006</v>
      </c>
      <c r="N54" s="112">
        <v>607.9</v>
      </c>
      <c r="O54" s="112">
        <v>0</v>
      </c>
      <c r="P54" s="112">
        <v>0.48</v>
      </c>
      <c r="Q54" s="112">
        <v>4.6500000000000004</v>
      </c>
    </row>
    <row r="55" spans="1:17" customFormat="1">
      <c r="A55" s="80">
        <v>45553.489583333336</v>
      </c>
      <c r="B55" s="112">
        <v>9.17</v>
      </c>
      <c r="C55" s="112">
        <v>4.2</v>
      </c>
      <c r="D55" s="112">
        <v>14</v>
      </c>
      <c r="E55" s="112">
        <v>10.45</v>
      </c>
      <c r="F55" s="112">
        <v>6.53</v>
      </c>
      <c r="G55" s="112">
        <v>46.77</v>
      </c>
      <c r="H55" s="112">
        <v>16.72</v>
      </c>
      <c r="I55" s="112">
        <v>4.8099999999999996</v>
      </c>
      <c r="J55" s="112">
        <v>0.43</v>
      </c>
      <c r="K55" s="112">
        <v>246.14</v>
      </c>
      <c r="L55" s="112">
        <v>31.44</v>
      </c>
      <c r="M55" s="112">
        <v>62.68</v>
      </c>
      <c r="N55" s="112">
        <v>833</v>
      </c>
      <c r="O55" s="112">
        <v>0</v>
      </c>
      <c r="P55" s="112">
        <v>0.47</v>
      </c>
      <c r="Q55" s="112">
        <v>4.66</v>
      </c>
    </row>
    <row r="56" spans="1:17" customFormat="1">
      <c r="A56" s="80">
        <v>45553.5</v>
      </c>
      <c r="B56" s="112">
        <v>9.15</v>
      </c>
      <c r="C56" s="112">
        <v>4.24</v>
      </c>
      <c r="D56" s="112">
        <v>14</v>
      </c>
      <c r="E56" s="112">
        <v>10.26</v>
      </c>
      <c r="F56" s="112">
        <v>6.33</v>
      </c>
      <c r="G56" s="112">
        <v>46.77</v>
      </c>
      <c r="H56" s="112">
        <v>16.72</v>
      </c>
      <c r="I56" s="112">
        <v>4.82</v>
      </c>
      <c r="J56" s="112">
        <v>0.5</v>
      </c>
      <c r="K56" s="112">
        <v>260.58</v>
      </c>
      <c r="L56" s="112">
        <v>31.58</v>
      </c>
      <c r="M56" s="112">
        <v>62.96</v>
      </c>
      <c r="N56" s="112">
        <v>753.5</v>
      </c>
      <c r="O56" s="112">
        <v>0</v>
      </c>
      <c r="P56" s="112">
        <v>0.47</v>
      </c>
      <c r="Q56" s="112">
        <v>4.66</v>
      </c>
    </row>
    <row r="57" spans="1:17" customFormat="1">
      <c r="A57" s="80">
        <v>45553.510416666664</v>
      </c>
      <c r="B57" s="112">
        <v>9.14</v>
      </c>
      <c r="C57" s="112">
        <v>4.25</v>
      </c>
      <c r="D57" s="112">
        <v>14</v>
      </c>
      <c r="E57" s="112">
        <v>10.23</v>
      </c>
      <c r="F57" s="112">
        <v>6.81</v>
      </c>
      <c r="G57" s="112">
        <v>46.77</v>
      </c>
      <c r="H57" s="112">
        <v>16.72</v>
      </c>
      <c r="I57" s="112">
        <v>4.84</v>
      </c>
      <c r="J57" s="112">
        <v>0.38</v>
      </c>
      <c r="K57" s="112">
        <v>247.84</v>
      </c>
      <c r="L57" s="112">
        <v>31.89</v>
      </c>
      <c r="M57" s="112">
        <v>61.32</v>
      </c>
      <c r="N57" s="112">
        <v>735.8</v>
      </c>
      <c r="O57" s="112">
        <v>0</v>
      </c>
      <c r="P57" s="112">
        <v>0.47</v>
      </c>
      <c r="Q57" s="112">
        <v>4.67</v>
      </c>
    </row>
    <row r="58" spans="1:17" customFormat="1">
      <c r="A58" s="80">
        <v>45553.520833333336</v>
      </c>
      <c r="B58" s="112">
        <v>9.14</v>
      </c>
      <c r="C58" s="112">
        <v>4.25</v>
      </c>
      <c r="D58" s="112">
        <v>14</v>
      </c>
      <c r="E58" s="112">
        <v>10.48</v>
      </c>
      <c r="F58" s="112">
        <v>6.36</v>
      </c>
      <c r="G58" s="112">
        <v>46.18</v>
      </c>
      <c r="H58" s="112">
        <v>16.329999999999998</v>
      </c>
      <c r="I58" s="112">
        <v>4.78</v>
      </c>
      <c r="J58" s="112">
        <v>0.38</v>
      </c>
      <c r="K58" s="112">
        <v>259.29000000000002</v>
      </c>
      <c r="L58" s="112">
        <v>31.36</v>
      </c>
      <c r="M58" s="112">
        <v>62.87</v>
      </c>
      <c r="N58" s="112">
        <v>551.5</v>
      </c>
      <c r="O58" s="112">
        <v>0</v>
      </c>
      <c r="P58" s="112">
        <v>0.47</v>
      </c>
      <c r="Q58" s="112">
        <v>4.6500000000000004</v>
      </c>
    </row>
    <row r="59" spans="1:17" customFormat="1">
      <c r="A59" s="80">
        <v>45553.53125</v>
      </c>
      <c r="B59" s="112">
        <v>9.2200000000000006</v>
      </c>
      <c r="C59" s="112">
        <v>4.13</v>
      </c>
      <c r="D59" s="112">
        <v>14</v>
      </c>
      <c r="E59" s="112">
        <v>11.24</v>
      </c>
      <c r="F59" s="112">
        <v>5.96</v>
      </c>
      <c r="G59" s="112">
        <v>40.18</v>
      </c>
      <c r="H59" s="112">
        <v>13.49</v>
      </c>
      <c r="I59" s="112">
        <v>4.68</v>
      </c>
      <c r="J59" s="112">
        <v>0.32</v>
      </c>
      <c r="K59" s="112">
        <v>243.1</v>
      </c>
      <c r="L59" s="112">
        <v>32.119999999999997</v>
      </c>
      <c r="M59" s="112">
        <v>61.71</v>
      </c>
      <c r="N59" s="112">
        <v>836.3</v>
      </c>
      <c r="O59" s="112">
        <v>0</v>
      </c>
      <c r="P59" s="112">
        <v>0.49</v>
      </c>
      <c r="Q59" s="112">
        <v>4.66</v>
      </c>
    </row>
    <row r="60" spans="1:17" customFormat="1">
      <c r="A60" s="80">
        <v>45553.541666666664</v>
      </c>
      <c r="B60" s="112">
        <v>9.2899999999999991</v>
      </c>
      <c r="C60" s="112">
        <v>4.0599999999999996</v>
      </c>
      <c r="D60" s="112">
        <v>14.02</v>
      </c>
      <c r="E60" s="112">
        <v>10.81</v>
      </c>
      <c r="F60" s="112">
        <v>5.18</v>
      </c>
      <c r="G60" s="112">
        <v>40.18</v>
      </c>
      <c r="H60" s="112">
        <v>13.49</v>
      </c>
      <c r="I60" s="112">
        <v>4.68</v>
      </c>
      <c r="J60" s="112">
        <v>0.52</v>
      </c>
      <c r="K60" s="112">
        <v>265.77999999999997</v>
      </c>
      <c r="L60" s="112">
        <v>32.229999999999997</v>
      </c>
      <c r="M60" s="112">
        <v>60.01</v>
      </c>
      <c r="N60" s="112">
        <v>792.1</v>
      </c>
      <c r="O60" s="112">
        <v>0</v>
      </c>
      <c r="P60" s="112">
        <v>0.49</v>
      </c>
      <c r="Q60" s="112">
        <v>4.66</v>
      </c>
    </row>
    <row r="61" spans="1:17" customFormat="1">
      <c r="A61" s="80">
        <v>45553.552083333336</v>
      </c>
      <c r="B61" s="112">
        <v>9.25</v>
      </c>
      <c r="C61" s="112">
        <v>4.08</v>
      </c>
      <c r="D61" s="112">
        <v>14</v>
      </c>
      <c r="E61" s="112">
        <v>10.72</v>
      </c>
      <c r="F61" s="112">
        <v>5.31</v>
      </c>
      <c r="G61" s="112">
        <v>40.18</v>
      </c>
      <c r="H61" s="112">
        <v>13.49</v>
      </c>
      <c r="I61" s="112">
        <v>4.74</v>
      </c>
      <c r="J61" s="112">
        <v>0.52</v>
      </c>
      <c r="K61" s="112">
        <v>269.01</v>
      </c>
      <c r="L61" s="112">
        <v>32.1</v>
      </c>
      <c r="M61" s="112">
        <v>59.76</v>
      </c>
      <c r="N61" s="112">
        <v>697.8</v>
      </c>
      <c r="O61" s="112">
        <v>0</v>
      </c>
      <c r="P61" s="112">
        <v>0.49</v>
      </c>
      <c r="Q61" s="112">
        <v>4.6399999999999997</v>
      </c>
    </row>
    <row r="62" spans="1:17" customFormat="1">
      <c r="A62" s="80">
        <v>45553.5625</v>
      </c>
      <c r="B62" s="112">
        <v>9.2100000000000009</v>
      </c>
      <c r="C62" s="112">
        <v>4.1399999999999997</v>
      </c>
      <c r="D62" s="112">
        <v>14</v>
      </c>
      <c r="E62" s="112">
        <v>10.69</v>
      </c>
      <c r="F62" s="112">
        <v>5.2</v>
      </c>
      <c r="G62" s="112">
        <v>39.5</v>
      </c>
      <c r="H62" s="112">
        <v>13.27</v>
      </c>
      <c r="I62" s="112">
        <v>4.7699999999999996</v>
      </c>
      <c r="J62" s="112">
        <v>0.3</v>
      </c>
      <c r="K62" s="112">
        <v>216.86</v>
      </c>
      <c r="L62" s="112">
        <v>32.1</v>
      </c>
      <c r="M62" s="112">
        <v>61.19</v>
      </c>
      <c r="N62" s="112">
        <v>450.5</v>
      </c>
      <c r="O62" s="112">
        <v>0</v>
      </c>
      <c r="P62" s="112">
        <v>0.49</v>
      </c>
      <c r="Q62" s="112">
        <v>4.6399999999999997</v>
      </c>
    </row>
    <row r="63" spans="1:17" customFormat="1">
      <c r="A63" s="80">
        <v>45553.572916666664</v>
      </c>
      <c r="B63" s="112">
        <v>9.24</v>
      </c>
      <c r="C63" s="112">
        <v>4.0999999999999996</v>
      </c>
      <c r="D63" s="112">
        <v>14</v>
      </c>
      <c r="E63" s="112">
        <v>10.6</v>
      </c>
      <c r="F63" s="112">
        <v>5.23</v>
      </c>
      <c r="G63" s="112">
        <v>32.58</v>
      </c>
      <c r="H63" s="112">
        <v>11.42</v>
      </c>
      <c r="I63" s="112">
        <v>4.79</v>
      </c>
      <c r="J63" s="112">
        <v>0.39</v>
      </c>
      <c r="K63" s="112">
        <v>246.21</v>
      </c>
      <c r="L63" s="112">
        <v>31.43</v>
      </c>
      <c r="M63" s="112">
        <v>64.349999999999994</v>
      </c>
      <c r="N63" s="112">
        <v>147</v>
      </c>
      <c r="O63" s="112">
        <v>0</v>
      </c>
      <c r="P63" s="112">
        <v>0.5</v>
      </c>
      <c r="Q63" s="112">
        <v>4.6399999999999997</v>
      </c>
    </row>
    <row r="64" spans="1:17" customFormat="1">
      <c r="A64" s="80">
        <v>45553.583333333336</v>
      </c>
      <c r="B64" s="112">
        <v>9.2200000000000006</v>
      </c>
      <c r="C64" s="112">
        <v>4.12</v>
      </c>
      <c r="D64" s="112">
        <v>14</v>
      </c>
      <c r="E64" s="112">
        <v>10.71</v>
      </c>
      <c r="F64" s="112">
        <v>4.66</v>
      </c>
      <c r="G64" s="112">
        <v>32.58</v>
      </c>
      <c r="H64" s="112">
        <v>11.42</v>
      </c>
      <c r="I64" s="112">
        <v>4.82</v>
      </c>
      <c r="J64" s="112">
        <v>0.56999999999999995</v>
      </c>
      <c r="K64" s="112">
        <v>270.16000000000003</v>
      </c>
      <c r="L64" s="112">
        <v>30.27</v>
      </c>
      <c r="M64" s="112">
        <v>66.09</v>
      </c>
      <c r="N64" s="112">
        <v>100.1</v>
      </c>
      <c r="O64" s="112">
        <v>0</v>
      </c>
      <c r="P64" s="112">
        <v>0.48</v>
      </c>
      <c r="Q64" s="112">
        <v>4.63</v>
      </c>
    </row>
    <row r="65" spans="1:17" customFormat="1">
      <c r="A65" s="80">
        <v>45553.59375</v>
      </c>
      <c r="B65" s="112">
        <v>9.25</v>
      </c>
      <c r="C65" s="112">
        <v>4.08</v>
      </c>
      <c r="D65" s="112">
        <v>14</v>
      </c>
      <c r="E65" s="112">
        <v>10.15</v>
      </c>
      <c r="F65" s="112">
        <v>4.3099999999999996</v>
      </c>
      <c r="G65" s="112">
        <v>32.58</v>
      </c>
      <c r="H65" s="112">
        <v>11.42</v>
      </c>
      <c r="I65" s="112">
        <v>4.97</v>
      </c>
      <c r="J65" s="112">
        <v>0.35</v>
      </c>
      <c r="K65" s="112">
        <v>259.83</v>
      </c>
      <c r="L65" s="112">
        <v>29.69</v>
      </c>
      <c r="M65" s="112">
        <v>69.5</v>
      </c>
      <c r="N65" s="112">
        <v>71.900000000000006</v>
      </c>
      <c r="O65" s="112">
        <v>0</v>
      </c>
      <c r="P65" s="112">
        <v>0.4</v>
      </c>
      <c r="Q65" s="112">
        <v>4.62</v>
      </c>
    </row>
    <row r="66" spans="1:17" customFormat="1">
      <c r="A66" s="80">
        <v>45553.604166666664</v>
      </c>
      <c r="B66" s="112">
        <v>9.26</v>
      </c>
      <c r="C66" s="112">
        <v>4.0599999999999996</v>
      </c>
      <c r="D66" s="112">
        <v>14</v>
      </c>
      <c r="E66" s="112">
        <v>10.14</v>
      </c>
      <c r="F66" s="112">
        <v>4.37</v>
      </c>
      <c r="G66" s="112">
        <v>31.93</v>
      </c>
      <c r="H66" s="112">
        <v>11.02</v>
      </c>
      <c r="I66" s="112">
        <v>4.78</v>
      </c>
      <c r="J66" s="112">
        <v>0.43</v>
      </c>
      <c r="K66" s="112">
        <v>271.52999999999997</v>
      </c>
      <c r="L66" s="112">
        <v>29.52</v>
      </c>
      <c r="M66" s="112">
        <v>68.790000000000006</v>
      </c>
      <c r="N66" s="112">
        <v>98.3</v>
      </c>
      <c r="O66" s="112">
        <v>0</v>
      </c>
      <c r="P66" s="112">
        <v>0.42</v>
      </c>
      <c r="Q66" s="112">
        <v>4.63</v>
      </c>
    </row>
    <row r="67" spans="1:17" customFormat="1">
      <c r="A67" s="80">
        <v>45553.614583333336</v>
      </c>
      <c r="B67" s="112">
        <v>9.25</v>
      </c>
      <c r="C67" s="112">
        <v>4.09</v>
      </c>
      <c r="D67" s="112">
        <v>14.01</v>
      </c>
      <c r="E67" s="112">
        <v>10.1</v>
      </c>
      <c r="F67" s="112">
        <v>4.62</v>
      </c>
      <c r="G67" s="112">
        <v>25.23</v>
      </c>
      <c r="H67" s="112">
        <v>8.07</v>
      </c>
      <c r="I67" s="112">
        <v>4.8099999999999996</v>
      </c>
      <c r="J67" s="112">
        <v>0.5</v>
      </c>
      <c r="K67" s="112">
        <v>269.56</v>
      </c>
      <c r="L67" s="112">
        <v>29.37</v>
      </c>
      <c r="M67" s="112">
        <v>69.95</v>
      </c>
      <c r="N67" s="112">
        <v>68.3</v>
      </c>
      <c r="O67" s="112">
        <v>0</v>
      </c>
      <c r="P67" s="112">
        <v>0.42</v>
      </c>
      <c r="Q67" s="112">
        <v>4.6399999999999997</v>
      </c>
    </row>
    <row r="68" spans="1:17" customFormat="1">
      <c r="A68" s="80">
        <v>45553.625</v>
      </c>
      <c r="B68" s="112">
        <v>9.24</v>
      </c>
      <c r="C68" s="112">
        <v>4.0999999999999996</v>
      </c>
      <c r="D68" s="112">
        <v>14</v>
      </c>
      <c r="E68" s="112">
        <v>10</v>
      </c>
      <c r="F68" s="112">
        <v>4.47</v>
      </c>
      <c r="G68" s="112">
        <v>25.23</v>
      </c>
      <c r="H68" s="112">
        <v>8.07</v>
      </c>
      <c r="I68" s="112">
        <v>4.7699999999999996</v>
      </c>
      <c r="J68" s="112">
        <v>0.28999999999999998</v>
      </c>
      <c r="K68" s="112">
        <v>289.74</v>
      </c>
      <c r="L68" s="112">
        <v>29.13</v>
      </c>
      <c r="M68" s="112">
        <v>72.12</v>
      </c>
      <c r="N68" s="112">
        <v>57.2</v>
      </c>
      <c r="O68" s="112">
        <v>0</v>
      </c>
      <c r="P68" s="112">
        <v>0.42</v>
      </c>
      <c r="Q68" s="112">
        <v>4.6500000000000004</v>
      </c>
    </row>
    <row r="69" spans="1:17" customFormat="1">
      <c r="A69" s="80">
        <v>45553.635416666664</v>
      </c>
      <c r="B69" s="112">
        <v>9.24</v>
      </c>
      <c r="C69" s="112">
        <v>4.09</v>
      </c>
      <c r="D69" s="112">
        <v>14</v>
      </c>
      <c r="E69" s="112">
        <v>9.76</v>
      </c>
      <c r="F69" s="112">
        <v>4.21</v>
      </c>
      <c r="G69" s="112">
        <v>25.23</v>
      </c>
      <c r="H69" s="112">
        <v>8.07</v>
      </c>
      <c r="I69" s="112">
        <v>4.7699999999999996</v>
      </c>
      <c r="J69" s="112">
        <v>0.28999999999999998</v>
      </c>
      <c r="K69" s="112">
        <v>261.07</v>
      </c>
      <c r="L69" s="112">
        <v>29.11</v>
      </c>
      <c r="M69" s="112">
        <v>73.319999999999993</v>
      </c>
      <c r="N69" s="112">
        <v>74.3</v>
      </c>
      <c r="O69" s="112">
        <v>0</v>
      </c>
      <c r="P69" s="112">
        <v>0.42</v>
      </c>
      <c r="Q69" s="112">
        <v>4.63</v>
      </c>
    </row>
    <row r="70" spans="1:17" customFormat="1">
      <c r="A70" s="80">
        <v>45553.645833333336</v>
      </c>
      <c r="B70" s="112">
        <v>9.24</v>
      </c>
      <c r="C70" s="112">
        <v>4.0999999999999996</v>
      </c>
      <c r="D70" s="112">
        <v>14</v>
      </c>
      <c r="E70" s="112">
        <v>9.5399999999999991</v>
      </c>
      <c r="F70" s="112">
        <v>4.21</v>
      </c>
      <c r="G70" s="112">
        <v>26.37</v>
      </c>
      <c r="H70" s="112">
        <v>8.49</v>
      </c>
      <c r="I70" s="112">
        <v>4.78</v>
      </c>
      <c r="J70" s="112">
        <v>0.16</v>
      </c>
      <c r="K70" s="112">
        <v>242.99</v>
      </c>
      <c r="L70" s="112">
        <v>29.48</v>
      </c>
      <c r="M70" s="112">
        <v>72.05</v>
      </c>
      <c r="N70" s="112">
        <v>123.4</v>
      </c>
      <c r="O70" s="112">
        <v>0</v>
      </c>
      <c r="P70" s="112">
        <v>0.42</v>
      </c>
      <c r="Q70" s="112">
        <v>4.62</v>
      </c>
    </row>
    <row r="71" spans="1:17" customFormat="1">
      <c r="A71" s="80">
        <v>45553.65625</v>
      </c>
      <c r="B71" s="112">
        <v>9.24</v>
      </c>
      <c r="C71" s="112">
        <v>4.0999999999999996</v>
      </c>
      <c r="D71" s="112">
        <v>14</v>
      </c>
      <c r="E71" s="112">
        <v>9.6199999999999992</v>
      </c>
      <c r="F71" s="112">
        <v>4.6399999999999997</v>
      </c>
      <c r="G71" s="112">
        <v>36.659999999999997</v>
      </c>
      <c r="H71" s="112">
        <v>12.03</v>
      </c>
      <c r="I71" s="112">
        <v>4.8</v>
      </c>
      <c r="J71" s="112">
        <v>0.25</v>
      </c>
      <c r="K71" s="112">
        <v>290.24</v>
      </c>
      <c r="L71" s="112">
        <v>30.55</v>
      </c>
      <c r="M71" s="112">
        <v>65.27</v>
      </c>
      <c r="N71" s="112">
        <v>310.5</v>
      </c>
      <c r="O71" s="112">
        <v>0</v>
      </c>
      <c r="P71" s="112">
        <v>0.41</v>
      </c>
      <c r="Q71" s="112">
        <v>4.62</v>
      </c>
    </row>
    <row r="72" spans="1:17" customFormat="1">
      <c r="A72" s="80">
        <v>45553.666666666664</v>
      </c>
      <c r="B72" s="112">
        <v>9.24</v>
      </c>
      <c r="C72" s="112">
        <v>4.09</v>
      </c>
      <c r="D72" s="112">
        <v>14</v>
      </c>
      <c r="E72" s="112">
        <v>9.51</v>
      </c>
      <c r="F72" s="112">
        <v>4.8899999999999997</v>
      </c>
      <c r="G72" s="112">
        <v>36.659999999999997</v>
      </c>
      <c r="H72" s="112">
        <v>12.03</v>
      </c>
      <c r="I72" s="112">
        <v>4.7699999999999996</v>
      </c>
      <c r="J72" s="112">
        <v>0.42</v>
      </c>
      <c r="K72" s="112">
        <v>290.18</v>
      </c>
      <c r="L72" s="112">
        <v>30.56</v>
      </c>
      <c r="M72" s="112">
        <v>64.97</v>
      </c>
      <c r="N72" s="112">
        <v>136</v>
      </c>
      <c r="O72" s="112">
        <v>0</v>
      </c>
      <c r="P72" s="112">
        <v>0.41</v>
      </c>
      <c r="Q72" s="112">
        <v>4.63</v>
      </c>
    </row>
    <row r="73" spans="1:17" customFormat="1">
      <c r="A73" s="80">
        <v>45553.677083333336</v>
      </c>
      <c r="B73" s="112">
        <v>9.26</v>
      </c>
      <c r="C73" s="112">
        <v>4.07</v>
      </c>
      <c r="D73" s="112">
        <v>14</v>
      </c>
      <c r="E73" s="112">
        <v>9.6999999999999993</v>
      </c>
      <c r="F73" s="112">
        <v>4.93</v>
      </c>
      <c r="G73" s="112">
        <v>36.659999999999997</v>
      </c>
      <c r="H73" s="112">
        <v>12.03</v>
      </c>
      <c r="I73" s="112">
        <v>4.74</v>
      </c>
      <c r="J73" s="112">
        <v>0.44</v>
      </c>
      <c r="K73" s="112">
        <v>276.72000000000003</v>
      </c>
      <c r="L73" s="112">
        <v>30.33</v>
      </c>
      <c r="M73" s="112">
        <v>66.45</v>
      </c>
      <c r="N73" s="112">
        <v>71.7</v>
      </c>
      <c r="O73" s="112">
        <v>0</v>
      </c>
      <c r="P73" s="112">
        <v>0.41</v>
      </c>
      <c r="Q73" s="112">
        <v>4.6399999999999997</v>
      </c>
    </row>
    <row r="74" spans="1:17" customFormat="1">
      <c r="A74" s="80">
        <v>45553.6875</v>
      </c>
      <c r="B74" s="112">
        <v>9.24</v>
      </c>
      <c r="C74" s="112">
        <v>4.09</v>
      </c>
      <c r="D74" s="112">
        <v>14</v>
      </c>
      <c r="E74" s="112">
        <v>9.9700000000000006</v>
      </c>
      <c r="F74" s="112">
        <v>4.8899999999999997</v>
      </c>
      <c r="G74" s="112">
        <v>35.909999999999997</v>
      </c>
      <c r="H74" s="112">
        <v>12.1</v>
      </c>
      <c r="I74" s="112">
        <v>4.7699999999999996</v>
      </c>
      <c r="J74" s="112">
        <v>0.37</v>
      </c>
      <c r="K74" s="112">
        <v>259.85000000000002</v>
      </c>
      <c r="L74" s="112">
        <v>29.97</v>
      </c>
      <c r="M74" s="112">
        <v>67.97</v>
      </c>
      <c r="N74" s="112">
        <v>58.7</v>
      </c>
      <c r="O74" s="112">
        <v>0</v>
      </c>
      <c r="P74" s="112">
        <v>0.4</v>
      </c>
      <c r="Q74" s="112">
        <v>4.63</v>
      </c>
    </row>
    <row r="75" spans="1:17" customFormat="1">
      <c r="A75" s="80">
        <v>45553.697916666664</v>
      </c>
      <c r="B75" s="112">
        <v>9.24</v>
      </c>
      <c r="C75" s="112">
        <v>4.09</v>
      </c>
      <c r="D75" s="112">
        <v>14</v>
      </c>
      <c r="E75" s="112">
        <v>10.09</v>
      </c>
      <c r="F75" s="112">
        <v>4.8600000000000003</v>
      </c>
      <c r="G75" s="112">
        <v>29.23</v>
      </c>
      <c r="H75" s="112">
        <v>12.64</v>
      </c>
      <c r="I75" s="112">
        <v>4.76</v>
      </c>
      <c r="J75" s="112">
        <v>0.42</v>
      </c>
      <c r="K75" s="112">
        <v>267.39999999999998</v>
      </c>
      <c r="L75" s="112">
        <v>29.62</v>
      </c>
      <c r="M75" s="112">
        <v>68.59</v>
      </c>
      <c r="N75" s="112">
        <v>38.9</v>
      </c>
      <c r="O75" s="112">
        <v>0</v>
      </c>
      <c r="P75" s="112">
        <v>0.41</v>
      </c>
      <c r="Q75" s="112">
        <v>4.62</v>
      </c>
    </row>
    <row r="76" spans="1:17" customFormat="1">
      <c r="A76" s="80">
        <v>45553.708333333336</v>
      </c>
      <c r="B76" s="112">
        <v>9.24</v>
      </c>
      <c r="C76" s="112">
        <v>4.0999999999999996</v>
      </c>
      <c r="D76" s="112">
        <v>14</v>
      </c>
      <c r="E76" s="112">
        <v>9.9600000000000009</v>
      </c>
      <c r="F76" s="112">
        <v>7.86</v>
      </c>
      <c r="G76" s="112">
        <v>29.23</v>
      </c>
      <c r="H76" s="112">
        <v>12.64</v>
      </c>
      <c r="I76" s="112">
        <v>4.7300000000000004</v>
      </c>
      <c r="J76" s="112">
        <v>0.39</v>
      </c>
      <c r="K76" s="112">
        <v>266.82</v>
      </c>
      <c r="L76" s="112">
        <v>29.36</v>
      </c>
      <c r="M76" s="112">
        <v>69.55</v>
      </c>
      <c r="N76" s="112">
        <v>30.5</v>
      </c>
      <c r="O76" s="112">
        <v>0</v>
      </c>
      <c r="P76" s="112">
        <v>0.39</v>
      </c>
      <c r="Q76" s="112">
        <v>4.62</v>
      </c>
    </row>
    <row r="77" spans="1:17" customFormat="1">
      <c r="A77" s="80">
        <v>45553.71875</v>
      </c>
      <c r="B77" s="112">
        <v>9.3000000000000007</v>
      </c>
      <c r="C77" s="112">
        <v>4.07</v>
      </c>
      <c r="D77" s="112">
        <v>14.03</v>
      </c>
      <c r="E77" s="112">
        <v>9.07</v>
      </c>
      <c r="F77" s="112">
        <v>9.19</v>
      </c>
      <c r="G77" s="112">
        <v>29.23</v>
      </c>
      <c r="H77" s="112">
        <v>12.64</v>
      </c>
      <c r="I77" s="112">
        <v>4.71</v>
      </c>
      <c r="J77" s="112">
        <v>0.4</v>
      </c>
      <c r="K77" s="112">
        <v>264.11</v>
      </c>
      <c r="L77" s="112">
        <v>29.34</v>
      </c>
      <c r="M77" s="112">
        <v>67.44</v>
      </c>
      <c r="N77" s="112">
        <v>23.2</v>
      </c>
      <c r="O77" s="112">
        <v>0</v>
      </c>
      <c r="P77" s="112">
        <v>0.35</v>
      </c>
      <c r="Q77" s="112">
        <v>4.6500000000000004</v>
      </c>
    </row>
    <row r="78" spans="1:17" customFormat="1">
      <c r="A78" s="80">
        <v>45553.729166666664</v>
      </c>
      <c r="B78" s="112">
        <v>9.35</v>
      </c>
      <c r="C78" s="112">
        <v>4.0599999999999996</v>
      </c>
      <c r="D78" s="112">
        <v>14.07</v>
      </c>
      <c r="E78" s="112">
        <v>9.16</v>
      </c>
      <c r="F78" s="112">
        <v>8.52</v>
      </c>
      <c r="G78" s="112">
        <v>29.71</v>
      </c>
      <c r="H78" s="112">
        <v>12.23</v>
      </c>
      <c r="I78" s="112">
        <v>4.49</v>
      </c>
      <c r="J78" s="112">
        <v>0.37</v>
      </c>
      <c r="K78" s="112">
        <v>265.3</v>
      </c>
      <c r="L78" s="112">
        <v>29.02</v>
      </c>
      <c r="M78" s="112">
        <v>68.17</v>
      </c>
      <c r="N78" s="112">
        <v>14.7</v>
      </c>
      <c r="O78" s="112">
        <v>0</v>
      </c>
      <c r="P78" s="112">
        <v>0.32</v>
      </c>
      <c r="Q78" s="112">
        <v>4.67</v>
      </c>
    </row>
    <row r="79" spans="1:17" customFormat="1">
      <c r="A79" s="80">
        <v>45553.739583333336</v>
      </c>
      <c r="B79" s="112">
        <v>9.3000000000000007</v>
      </c>
      <c r="C79" s="112">
        <v>4.0599999999999996</v>
      </c>
      <c r="D79" s="112">
        <v>14.02</v>
      </c>
      <c r="E79" s="112">
        <v>9.65</v>
      </c>
      <c r="F79" s="112">
        <v>9.2100000000000009</v>
      </c>
      <c r="G79" s="112">
        <v>34.61</v>
      </c>
      <c r="H79" s="112">
        <v>9.1999999999999993</v>
      </c>
      <c r="I79" s="112">
        <v>4.25</v>
      </c>
      <c r="J79" s="112">
        <v>0.22</v>
      </c>
      <c r="K79" s="112">
        <v>248.37</v>
      </c>
      <c r="L79" s="112">
        <v>28.76</v>
      </c>
      <c r="M79" s="112">
        <v>70.12</v>
      </c>
      <c r="N79" s="112">
        <v>7.9</v>
      </c>
      <c r="O79" s="112">
        <v>0</v>
      </c>
      <c r="P79" s="112">
        <v>0.31</v>
      </c>
      <c r="Q79" s="112">
        <v>4.67</v>
      </c>
    </row>
    <row r="80" spans="1:17" customFormat="1">
      <c r="A80" s="80">
        <v>45553.75</v>
      </c>
      <c r="B80" s="112">
        <v>9.25</v>
      </c>
      <c r="C80" s="112">
        <v>4.09</v>
      </c>
      <c r="D80" s="112">
        <v>14</v>
      </c>
      <c r="E80" s="112">
        <v>9.26</v>
      </c>
      <c r="F80" s="112">
        <v>8.9</v>
      </c>
      <c r="G80" s="112">
        <v>34.61</v>
      </c>
      <c r="H80" s="112">
        <v>9.1999999999999993</v>
      </c>
      <c r="I80" s="112">
        <v>4.2300000000000004</v>
      </c>
      <c r="J80" s="112">
        <v>0.17</v>
      </c>
      <c r="K80" s="112">
        <v>244.91</v>
      </c>
      <c r="L80" s="112">
        <v>28.29</v>
      </c>
      <c r="M80" s="112">
        <v>72.260000000000005</v>
      </c>
      <c r="N80" s="112">
        <v>3.5</v>
      </c>
      <c r="O80" s="112">
        <v>0</v>
      </c>
      <c r="P80" s="112">
        <v>0.31</v>
      </c>
      <c r="Q80" s="112">
        <v>4.66</v>
      </c>
    </row>
    <row r="81" spans="1:17" customFormat="1">
      <c r="A81" s="80">
        <v>45553.760416666664</v>
      </c>
      <c r="B81" s="112">
        <v>9.25</v>
      </c>
      <c r="C81" s="112">
        <v>4.09</v>
      </c>
      <c r="D81" s="112">
        <v>14.01</v>
      </c>
      <c r="E81" s="112">
        <v>8.51</v>
      </c>
      <c r="F81" s="112">
        <v>9.34</v>
      </c>
      <c r="G81" s="112">
        <v>34.61</v>
      </c>
      <c r="H81" s="112">
        <v>9.1999999999999993</v>
      </c>
      <c r="I81" s="112">
        <v>4.41</v>
      </c>
      <c r="J81" s="112">
        <v>0.21</v>
      </c>
      <c r="K81" s="112">
        <v>171.86</v>
      </c>
      <c r="L81" s="112">
        <v>27.94</v>
      </c>
      <c r="M81" s="112">
        <v>74.45</v>
      </c>
      <c r="N81" s="112">
        <v>2.5</v>
      </c>
      <c r="O81" s="112">
        <v>0</v>
      </c>
      <c r="P81" s="112">
        <v>0.31</v>
      </c>
      <c r="Q81" s="112">
        <v>4.6500000000000004</v>
      </c>
    </row>
    <row r="82" spans="1:17" customFormat="1">
      <c r="A82" s="80">
        <v>45553.770833333336</v>
      </c>
      <c r="B82" s="112">
        <v>9.24</v>
      </c>
      <c r="C82" s="112">
        <v>4.1100000000000003</v>
      </c>
      <c r="D82" s="112">
        <v>14</v>
      </c>
      <c r="E82" s="112">
        <v>10.130000000000001</v>
      </c>
      <c r="F82" s="112">
        <v>8.3699999999999992</v>
      </c>
      <c r="G82" s="112">
        <v>33.950000000000003</v>
      </c>
      <c r="H82" s="112">
        <v>9.52</v>
      </c>
      <c r="I82" s="112">
        <v>4.1900000000000004</v>
      </c>
      <c r="J82" s="112">
        <v>0.14000000000000001</v>
      </c>
      <c r="K82" s="112">
        <v>177.2</v>
      </c>
      <c r="L82" s="112">
        <v>27.51</v>
      </c>
      <c r="M82" s="112">
        <v>77.11</v>
      </c>
      <c r="N82" s="112">
        <v>2.4</v>
      </c>
      <c r="O82" s="112">
        <v>0</v>
      </c>
      <c r="P82" s="112">
        <v>0.32</v>
      </c>
      <c r="Q82" s="112">
        <v>4.6500000000000004</v>
      </c>
    </row>
    <row r="83" spans="1:17" customFormat="1">
      <c r="A83" s="80">
        <v>45553.78125</v>
      </c>
      <c r="B83" s="112">
        <v>9.2100000000000009</v>
      </c>
      <c r="C83" s="112">
        <v>4.1399999999999997</v>
      </c>
      <c r="D83" s="112">
        <v>14</v>
      </c>
      <c r="E83" s="112">
        <v>10.66</v>
      </c>
      <c r="F83" s="112">
        <v>8.4</v>
      </c>
      <c r="G83" s="112">
        <v>27.19</v>
      </c>
      <c r="H83" s="112">
        <v>12.18</v>
      </c>
      <c r="I83" s="112">
        <v>4.26</v>
      </c>
      <c r="J83" s="112">
        <v>0.12</v>
      </c>
      <c r="K83" s="112">
        <v>195.07</v>
      </c>
      <c r="L83" s="112">
        <v>27.22</v>
      </c>
      <c r="M83" s="112">
        <v>77.790000000000006</v>
      </c>
      <c r="N83" s="112">
        <v>2.1</v>
      </c>
      <c r="O83" s="112">
        <v>0</v>
      </c>
      <c r="P83" s="112">
        <v>0.33</v>
      </c>
      <c r="Q83" s="112">
        <v>4.6500000000000004</v>
      </c>
    </row>
    <row r="84" spans="1:17" customFormat="1">
      <c r="A84" s="80">
        <v>45553.791666666664</v>
      </c>
      <c r="B84" s="112">
        <v>9.2100000000000009</v>
      </c>
      <c r="C84" s="112">
        <v>4.1399999999999997</v>
      </c>
      <c r="D84" s="112">
        <v>14</v>
      </c>
      <c r="E84" s="112">
        <v>10.09</v>
      </c>
      <c r="F84" s="112">
        <v>8.15</v>
      </c>
      <c r="G84" s="112">
        <v>27.19</v>
      </c>
      <c r="H84" s="112">
        <v>12.18</v>
      </c>
      <c r="I84" s="112">
        <v>4.08</v>
      </c>
      <c r="J84" s="112">
        <v>0.14000000000000001</v>
      </c>
      <c r="K84" s="112">
        <v>178.06</v>
      </c>
      <c r="L84" s="112">
        <v>26.97</v>
      </c>
      <c r="M84" s="112">
        <v>81.17</v>
      </c>
      <c r="N84" s="112">
        <v>2.1</v>
      </c>
      <c r="O84" s="112">
        <v>0</v>
      </c>
      <c r="P84" s="112">
        <v>0.32</v>
      </c>
      <c r="Q84" s="112">
        <v>4.6399999999999997</v>
      </c>
    </row>
    <row r="85" spans="1:17" customFormat="1">
      <c r="A85" s="80">
        <v>45553.802083333336</v>
      </c>
      <c r="B85" s="112">
        <v>9.2200000000000006</v>
      </c>
      <c r="C85" s="112">
        <v>4.13</v>
      </c>
      <c r="D85" s="112">
        <v>14</v>
      </c>
      <c r="E85" s="112">
        <v>10.39</v>
      </c>
      <c r="F85" s="112">
        <v>7.51</v>
      </c>
      <c r="G85" s="112">
        <v>27.19</v>
      </c>
      <c r="H85" s="112">
        <v>12.18</v>
      </c>
      <c r="I85" s="112">
        <v>4.17</v>
      </c>
      <c r="J85" s="112">
        <v>0.11</v>
      </c>
      <c r="K85" s="112">
        <v>184.69</v>
      </c>
      <c r="L85" s="112">
        <v>26.8</v>
      </c>
      <c r="M85" s="112">
        <v>82.45</v>
      </c>
      <c r="N85" s="112">
        <v>2.1</v>
      </c>
      <c r="O85" s="112">
        <v>0</v>
      </c>
      <c r="P85" s="112">
        <v>0.33</v>
      </c>
      <c r="Q85" s="112">
        <v>4.66</v>
      </c>
    </row>
    <row r="86" spans="1:17" customFormat="1">
      <c r="A86" s="80">
        <v>45553.8125</v>
      </c>
      <c r="B86" s="112">
        <v>9.25</v>
      </c>
      <c r="C86" s="112">
        <v>4.08</v>
      </c>
      <c r="D86" s="112">
        <v>14</v>
      </c>
      <c r="E86" s="112">
        <v>10.25</v>
      </c>
      <c r="F86" s="112">
        <v>7.32</v>
      </c>
      <c r="G86" s="112">
        <v>27.58</v>
      </c>
      <c r="H86" s="112">
        <v>11.75</v>
      </c>
      <c r="I86" s="112">
        <v>4.4000000000000004</v>
      </c>
      <c r="J86" s="112">
        <v>0.14000000000000001</v>
      </c>
      <c r="K86" s="112">
        <v>176.64</v>
      </c>
      <c r="L86" s="112">
        <v>26.79</v>
      </c>
      <c r="M86" s="112">
        <v>82.93</v>
      </c>
      <c r="N86" s="112">
        <v>2.1</v>
      </c>
      <c r="O86" s="112">
        <v>0</v>
      </c>
      <c r="P86" s="112">
        <v>0.34</v>
      </c>
      <c r="Q86" s="112">
        <v>4.67</v>
      </c>
    </row>
    <row r="87" spans="1:17" customFormat="1">
      <c r="A87" s="80">
        <v>45553.822916666664</v>
      </c>
      <c r="B87" s="112">
        <v>9.25</v>
      </c>
      <c r="C87" s="112">
        <v>4.08</v>
      </c>
      <c r="D87" s="112">
        <v>14</v>
      </c>
      <c r="E87" s="112">
        <v>10.26</v>
      </c>
      <c r="F87" s="112">
        <v>7.17</v>
      </c>
      <c r="G87" s="112">
        <v>31.55</v>
      </c>
      <c r="H87" s="112">
        <v>8.57</v>
      </c>
      <c r="I87" s="112">
        <v>4.57</v>
      </c>
      <c r="J87" s="112">
        <v>0.12</v>
      </c>
      <c r="K87" s="112">
        <v>177.07</v>
      </c>
      <c r="L87" s="112">
        <v>26.71</v>
      </c>
      <c r="M87" s="112">
        <v>82.88</v>
      </c>
      <c r="N87" s="112">
        <v>2.1</v>
      </c>
      <c r="O87" s="112">
        <v>0</v>
      </c>
      <c r="P87" s="112">
        <v>0.35</v>
      </c>
      <c r="Q87" s="112">
        <v>4.66</v>
      </c>
    </row>
    <row r="88" spans="1:17" customFormat="1">
      <c r="A88" s="80">
        <v>45553.833333333336</v>
      </c>
      <c r="B88" s="112">
        <v>9.25</v>
      </c>
      <c r="C88" s="112">
        <v>4.09</v>
      </c>
      <c r="D88" s="112">
        <v>14</v>
      </c>
      <c r="E88" s="112">
        <v>10.7</v>
      </c>
      <c r="F88" s="112">
        <v>6.11</v>
      </c>
      <c r="G88" s="112">
        <v>31.55</v>
      </c>
      <c r="H88" s="112">
        <v>8.57</v>
      </c>
      <c r="I88" s="112">
        <v>4.5999999999999996</v>
      </c>
      <c r="J88" s="112">
        <v>0.13</v>
      </c>
      <c r="K88" s="112">
        <v>185.71</v>
      </c>
      <c r="L88" s="112">
        <v>26.57</v>
      </c>
      <c r="M88" s="112">
        <v>83.95</v>
      </c>
      <c r="N88" s="112">
        <v>2.1</v>
      </c>
      <c r="O88" s="112">
        <v>0</v>
      </c>
      <c r="P88" s="112">
        <v>0.36</v>
      </c>
      <c r="Q88" s="112">
        <v>4.66</v>
      </c>
    </row>
    <row r="89" spans="1:17" customFormat="1">
      <c r="A89" s="80">
        <v>45553.84375</v>
      </c>
      <c r="B89" s="112">
        <v>9.25</v>
      </c>
      <c r="C89" s="112">
        <v>4.07</v>
      </c>
      <c r="D89" s="112">
        <v>14</v>
      </c>
      <c r="E89" s="112">
        <v>10.55</v>
      </c>
      <c r="F89" s="112">
        <v>5.2</v>
      </c>
      <c r="G89" s="112">
        <v>31.55</v>
      </c>
      <c r="H89" s="112">
        <v>8.57</v>
      </c>
      <c r="I89" s="112">
        <v>4.4800000000000004</v>
      </c>
      <c r="J89" s="112">
        <v>0.15</v>
      </c>
      <c r="K89" s="112">
        <v>201.49</v>
      </c>
      <c r="L89" s="112">
        <v>26.46</v>
      </c>
      <c r="M89" s="112">
        <v>84.61</v>
      </c>
      <c r="N89" s="112">
        <v>2.1</v>
      </c>
      <c r="O89" s="112">
        <v>0</v>
      </c>
      <c r="P89" s="112">
        <v>0.36</v>
      </c>
      <c r="Q89" s="112">
        <v>4.66</v>
      </c>
    </row>
    <row r="90" spans="1:17" customFormat="1">
      <c r="A90" s="80">
        <v>45553.854166666664</v>
      </c>
      <c r="B90" s="112">
        <v>9.2799999999999994</v>
      </c>
      <c r="C90" s="112">
        <v>4.05</v>
      </c>
      <c r="D90" s="112">
        <v>14.01</v>
      </c>
      <c r="E90" s="112">
        <v>10.46</v>
      </c>
      <c r="F90" s="112">
        <v>5.72</v>
      </c>
      <c r="G90" s="112">
        <v>31.96</v>
      </c>
      <c r="H90" s="112">
        <v>8.35</v>
      </c>
      <c r="I90" s="112">
        <v>4.8</v>
      </c>
      <c r="J90" s="112">
        <v>0.15</v>
      </c>
      <c r="K90" s="112">
        <v>187.25</v>
      </c>
      <c r="L90" s="112">
        <v>26.49</v>
      </c>
      <c r="M90" s="112">
        <v>83.54</v>
      </c>
      <c r="N90" s="112">
        <v>2.1</v>
      </c>
      <c r="O90" s="112">
        <v>0</v>
      </c>
      <c r="P90" s="112">
        <v>0.38</v>
      </c>
      <c r="Q90" s="112">
        <v>4.66</v>
      </c>
    </row>
    <row r="91" spans="1:17" customFormat="1">
      <c r="A91" s="80">
        <v>45553.864583333336</v>
      </c>
      <c r="B91" s="112">
        <v>9.27</v>
      </c>
      <c r="C91" s="112">
        <v>4.0599999999999996</v>
      </c>
      <c r="D91" s="112">
        <v>14.01</v>
      </c>
      <c r="E91" s="112">
        <v>10.18</v>
      </c>
      <c r="F91" s="112">
        <v>6.15</v>
      </c>
      <c r="G91" s="112">
        <v>36.159999999999997</v>
      </c>
      <c r="H91" s="112">
        <v>6.72</v>
      </c>
      <c r="I91" s="112">
        <v>4.97</v>
      </c>
      <c r="J91" s="112">
        <v>0.15</v>
      </c>
      <c r="K91" s="112">
        <v>194.94</v>
      </c>
      <c r="L91" s="112">
        <v>26.31</v>
      </c>
      <c r="M91" s="112">
        <v>85.35</v>
      </c>
      <c r="N91" s="112">
        <v>2.1</v>
      </c>
      <c r="O91" s="112">
        <v>0</v>
      </c>
      <c r="P91" s="112">
        <v>0.38</v>
      </c>
      <c r="Q91" s="112">
        <v>4.6500000000000004</v>
      </c>
    </row>
    <row r="92" spans="1:17" customFormat="1">
      <c r="A92" s="80">
        <v>45553.875</v>
      </c>
      <c r="B92" s="112">
        <v>9.25</v>
      </c>
      <c r="C92" s="112">
        <v>4.08</v>
      </c>
      <c r="D92" s="112">
        <v>14</v>
      </c>
      <c r="E92" s="112">
        <v>10.86</v>
      </c>
      <c r="F92" s="112">
        <v>4.7300000000000004</v>
      </c>
      <c r="G92" s="112">
        <v>36.159999999999997</v>
      </c>
      <c r="H92" s="112">
        <v>6.72</v>
      </c>
      <c r="I92" s="112">
        <v>5.0999999999999996</v>
      </c>
      <c r="J92" s="112">
        <v>0.17</v>
      </c>
      <c r="K92" s="112">
        <v>182.69</v>
      </c>
      <c r="L92" s="112">
        <v>26.19</v>
      </c>
      <c r="M92" s="112">
        <v>86.71</v>
      </c>
      <c r="N92" s="112">
        <v>2.1</v>
      </c>
      <c r="O92" s="112">
        <v>0</v>
      </c>
      <c r="P92" s="112">
        <v>0.4</v>
      </c>
      <c r="Q92" s="112">
        <v>4.67</v>
      </c>
    </row>
    <row r="93" spans="1:17" customFormat="1">
      <c r="A93" s="80">
        <v>45553.885416666664</v>
      </c>
      <c r="B93" s="112">
        <v>9.23</v>
      </c>
      <c r="C93" s="112">
        <v>4.1100000000000003</v>
      </c>
      <c r="D93" s="112">
        <v>14</v>
      </c>
      <c r="E93" s="112">
        <v>10.97</v>
      </c>
      <c r="F93" s="112">
        <v>4.71</v>
      </c>
      <c r="G93" s="112">
        <v>36.159999999999997</v>
      </c>
      <c r="H93" s="112">
        <v>6.72</v>
      </c>
      <c r="I93" s="112">
        <v>5.18</v>
      </c>
      <c r="J93" s="112">
        <v>0.17</v>
      </c>
      <c r="K93" s="112">
        <v>184.81</v>
      </c>
      <c r="L93" s="112">
        <v>26.17</v>
      </c>
      <c r="M93" s="112">
        <v>86.97</v>
      </c>
      <c r="N93" s="112">
        <v>2.1</v>
      </c>
      <c r="O93" s="112">
        <v>0</v>
      </c>
      <c r="P93" s="112">
        <v>0.41</v>
      </c>
      <c r="Q93" s="112">
        <v>4.6500000000000004</v>
      </c>
    </row>
    <row r="94" spans="1:17" customFormat="1">
      <c r="A94" s="80">
        <v>45553.895833333336</v>
      </c>
      <c r="B94" s="112">
        <v>9.23</v>
      </c>
      <c r="C94" s="112">
        <v>4.1100000000000003</v>
      </c>
      <c r="D94" s="112">
        <v>14</v>
      </c>
      <c r="E94" s="112">
        <v>11.01</v>
      </c>
      <c r="F94" s="112">
        <v>4.63</v>
      </c>
      <c r="G94" s="112">
        <v>36.36</v>
      </c>
      <c r="H94" s="112">
        <v>6.71</v>
      </c>
      <c r="I94" s="112">
        <v>5.24</v>
      </c>
      <c r="J94" s="112">
        <v>0.15</v>
      </c>
      <c r="K94" s="112">
        <v>204.06</v>
      </c>
      <c r="L94" s="112">
        <v>26.08</v>
      </c>
      <c r="M94" s="112">
        <v>87.71</v>
      </c>
      <c r="N94" s="112">
        <v>2.1</v>
      </c>
      <c r="O94" s="112">
        <v>0</v>
      </c>
      <c r="P94" s="112">
        <v>0.42</v>
      </c>
      <c r="Q94" s="112">
        <v>4.66</v>
      </c>
    </row>
    <row r="95" spans="1:17" customFormat="1">
      <c r="A95" s="80">
        <v>45553.90625</v>
      </c>
      <c r="B95" s="112">
        <v>9.24</v>
      </c>
      <c r="C95" s="112">
        <v>4.0999999999999996</v>
      </c>
      <c r="D95" s="112">
        <v>14</v>
      </c>
      <c r="E95" s="112">
        <v>11.35</v>
      </c>
      <c r="F95" s="112">
        <v>4.51</v>
      </c>
      <c r="G95" s="112">
        <v>38.229999999999997</v>
      </c>
      <c r="H95" s="112">
        <v>6.68</v>
      </c>
      <c r="I95" s="112">
        <v>5.41</v>
      </c>
      <c r="J95" s="112">
        <v>0.12</v>
      </c>
      <c r="K95" s="112">
        <v>190.24</v>
      </c>
      <c r="L95" s="112">
        <v>25.84</v>
      </c>
      <c r="M95" s="112">
        <v>89.64</v>
      </c>
      <c r="N95" s="112">
        <v>2.1</v>
      </c>
      <c r="O95" s="112">
        <v>0</v>
      </c>
      <c r="P95" s="112">
        <v>0.43</v>
      </c>
      <c r="Q95" s="112">
        <v>4.66</v>
      </c>
    </row>
    <row r="96" spans="1:17" customFormat="1">
      <c r="A96" s="80">
        <v>45553.916666666664</v>
      </c>
      <c r="B96" s="112">
        <v>9.23</v>
      </c>
      <c r="C96" s="112">
        <v>4.1100000000000003</v>
      </c>
      <c r="D96" s="112">
        <v>14</v>
      </c>
      <c r="E96" s="112">
        <v>12.13</v>
      </c>
      <c r="F96" s="112">
        <v>3.54</v>
      </c>
      <c r="G96" s="112">
        <v>38.229999999999997</v>
      </c>
      <c r="H96" s="112">
        <v>6.68</v>
      </c>
      <c r="I96" s="112">
        <v>5.47</v>
      </c>
      <c r="J96" s="112">
        <v>0.14000000000000001</v>
      </c>
      <c r="K96" s="112">
        <v>189.14</v>
      </c>
      <c r="L96" s="112">
        <v>25.68</v>
      </c>
      <c r="M96" s="112">
        <v>91.15</v>
      </c>
      <c r="N96" s="112">
        <v>2.1</v>
      </c>
      <c r="O96" s="112">
        <v>0</v>
      </c>
      <c r="P96" s="112">
        <v>0.45</v>
      </c>
      <c r="Q96" s="112">
        <v>4.66</v>
      </c>
    </row>
    <row r="97" spans="1:22" customFormat="1">
      <c r="A97" s="80">
        <v>45553.927083333336</v>
      </c>
      <c r="B97" s="112">
        <v>9.2899999999999991</v>
      </c>
      <c r="C97" s="112">
        <v>4.09</v>
      </c>
      <c r="D97" s="112">
        <v>14.03</v>
      </c>
      <c r="E97" s="112">
        <v>12.07</v>
      </c>
      <c r="F97" s="112">
        <v>3.76</v>
      </c>
      <c r="G97" s="112">
        <v>38.229999999999997</v>
      </c>
      <c r="H97" s="112">
        <v>6.68</v>
      </c>
      <c r="I97" s="112">
        <v>5.58</v>
      </c>
      <c r="J97" s="112">
        <v>0.09</v>
      </c>
      <c r="K97" s="112">
        <v>194.71</v>
      </c>
      <c r="L97" s="112">
        <v>25.58</v>
      </c>
      <c r="M97" s="112">
        <v>93.07</v>
      </c>
      <c r="N97" s="112">
        <v>2.1</v>
      </c>
      <c r="O97" s="112">
        <v>0</v>
      </c>
      <c r="P97" s="112">
        <v>0.46</v>
      </c>
      <c r="Q97" s="112">
        <v>4.6500000000000004</v>
      </c>
    </row>
    <row r="98" spans="1:22" customFormat="1">
      <c r="A98" s="80">
        <v>45553.9375</v>
      </c>
      <c r="B98" s="112">
        <v>9.3000000000000007</v>
      </c>
      <c r="C98" s="112">
        <v>4.0599999999999996</v>
      </c>
      <c r="D98" s="112">
        <v>14.03</v>
      </c>
      <c r="E98" s="112">
        <v>11.71</v>
      </c>
      <c r="F98" s="112">
        <v>3.94</v>
      </c>
      <c r="G98" s="112">
        <v>38.64</v>
      </c>
      <c r="H98" s="112">
        <v>6.94</v>
      </c>
      <c r="I98" s="112">
        <v>5.7</v>
      </c>
      <c r="J98" s="112">
        <v>0.11</v>
      </c>
      <c r="K98" s="112">
        <v>176.32</v>
      </c>
      <c r="L98" s="112">
        <v>25.45</v>
      </c>
      <c r="M98" s="112">
        <v>94.21</v>
      </c>
      <c r="N98" s="112">
        <v>2.1</v>
      </c>
      <c r="O98" s="112">
        <v>0</v>
      </c>
      <c r="P98" s="112">
        <v>0.46</v>
      </c>
      <c r="Q98" s="112">
        <v>4.6500000000000004</v>
      </c>
    </row>
    <row r="99" spans="1:22" customFormat="1">
      <c r="A99" s="80">
        <v>45553.947916666664</v>
      </c>
      <c r="B99" s="112">
        <v>9.27</v>
      </c>
      <c r="C99" s="112">
        <v>4.08</v>
      </c>
      <c r="D99" s="112">
        <v>14.02</v>
      </c>
      <c r="E99" s="112">
        <v>11.11</v>
      </c>
      <c r="F99" s="112">
        <v>4.1500000000000004</v>
      </c>
      <c r="G99" s="112">
        <v>42.77</v>
      </c>
      <c r="H99" s="112">
        <v>8.84</v>
      </c>
      <c r="I99" s="112">
        <v>5.82</v>
      </c>
      <c r="J99" s="112">
        <v>0.14000000000000001</v>
      </c>
      <c r="K99" s="112">
        <v>201.62</v>
      </c>
      <c r="L99" s="112">
        <v>25.33</v>
      </c>
      <c r="M99" s="112">
        <v>93.43</v>
      </c>
      <c r="N99" s="112">
        <v>2.1</v>
      </c>
      <c r="O99" s="112">
        <v>0</v>
      </c>
      <c r="P99" s="112">
        <v>0.47</v>
      </c>
      <c r="Q99" s="112">
        <v>4.6500000000000004</v>
      </c>
    </row>
    <row r="100" spans="1:22" customFormat="1">
      <c r="A100" s="80">
        <v>45553.958333333336</v>
      </c>
      <c r="B100" s="112">
        <v>9.27</v>
      </c>
      <c r="C100" s="112">
        <v>4.08</v>
      </c>
      <c r="D100" s="112">
        <v>14.02</v>
      </c>
      <c r="E100" s="112">
        <v>11.01</v>
      </c>
      <c r="F100" s="112">
        <v>3.92</v>
      </c>
      <c r="G100" s="112">
        <v>42.77</v>
      </c>
      <c r="H100" s="112">
        <v>8.84</v>
      </c>
      <c r="I100" s="112">
        <v>5.92</v>
      </c>
      <c r="J100" s="112">
        <v>0.11</v>
      </c>
      <c r="K100" s="112">
        <v>208.09</v>
      </c>
      <c r="L100" s="112">
        <v>25.3</v>
      </c>
      <c r="M100" s="112">
        <v>94.49</v>
      </c>
      <c r="N100" s="112">
        <v>2.1</v>
      </c>
      <c r="O100" s="112">
        <v>0</v>
      </c>
      <c r="P100" s="112">
        <v>0.47</v>
      </c>
      <c r="Q100" s="112">
        <v>4.6399999999999997</v>
      </c>
    </row>
    <row r="101" spans="1:22" customFormat="1">
      <c r="A101" s="80">
        <v>45553.96875</v>
      </c>
      <c r="B101" s="112">
        <v>9.26</v>
      </c>
      <c r="C101" s="112">
        <v>4.0599999999999996</v>
      </c>
      <c r="D101" s="112">
        <v>14</v>
      </c>
      <c r="E101" s="112">
        <v>10.54</v>
      </c>
      <c r="F101" s="112">
        <v>3.94</v>
      </c>
      <c r="G101" s="112">
        <v>42.77</v>
      </c>
      <c r="H101" s="112">
        <v>8.84</v>
      </c>
      <c r="I101" s="112">
        <v>6.03</v>
      </c>
      <c r="J101" s="112">
        <v>0.13</v>
      </c>
      <c r="K101" s="112">
        <v>210.04</v>
      </c>
      <c r="L101" s="112">
        <v>25.11</v>
      </c>
      <c r="M101" s="112">
        <v>94.98</v>
      </c>
      <c r="N101" s="112">
        <v>2.1</v>
      </c>
      <c r="O101" s="112">
        <v>0</v>
      </c>
      <c r="P101" s="112">
        <v>0.48</v>
      </c>
      <c r="Q101" s="112">
        <v>4.6500000000000004</v>
      </c>
    </row>
    <row r="102" spans="1:22" customFormat="1">
      <c r="A102" s="80">
        <v>45553.979166666664</v>
      </c>
      <c r="B102" s="112">
        <v>9.2799999999999994</v>
      </c>
      <c r="C102" s="112">
        <v>4.04</v>
      </c>
      <c r="D102" s="112">
        <v>14</v>
      </c>
      <c r="E102" s="112">
        <v>10.27</v>
      </c>
      <c r="F102" s="112">
        <v>3.91</v>
      </c>
      <c r="G102" s="112">
        <v>42.76</v>
      </c>
      <c r="H102" s="112">
        <v>8.7799999999999994</v>
      </c>
      <c r="I102" s="112">
        <v>6.11</v>
      </c>
      <c r="J102" s="112">
        <v>0.13</v>
      </c>
      <c r="K102" s="112">
        <v>216.77</v>
      </c>
      <c r="L102" s="112">
        <v>25.03</v>
      </c>
      <c r="M102" s="112">
        <v>95.05</v>
      </c>
      <c r="N102" s="112">
        <v>2.1</v>
      </c>
      <c r="O102" s="112">
        <v>0</v>
      </c>
      <c r="P102" s="112">
        <v>0.47</v>
      </c>
      <c r="Q102" s="112">
        <v>4.6500000000000004</v>
      </c>
    </row>
    <row r="103" spans="1:22" customFormat="1">
      <c r="A103" s="80">
        <v>45553.989583333336</v>
      </c>
      <c r="B103" s="112">
        <v>9.2799999999999994</v>
      </c>
      <c r="C103" s="112">
        <v>4.0599999999999996</v>
      </c>
      <c r="D103" s="112">
        <v>14.02</v>
      </c>
      <c r="E103" s="112">
        <v>10.039999999999999</v>
      </c>
      <c r="F103" s="112">
        <v>4.09</v>
      </c>
      <c r="G103" s="112">
        <v>42.73</v>
      </c>
      <c r="H103" s="112">
        <v>8.27</v>
      </c>
      <c r="I103" s="112">
        <v>6.11</v>
      </c>
      <c r="J103" s="112">
        <v>0.13</v>
      </c>
      <c r="K103" s="112">
        <v>201.81</v>
      </c>
      <c r="L103" s="112">
        <v>24.98</v>
      </c>
      <c r="M103" s="112">
        <v>96.01</v>
      </c>
      <c r="N103" s="112">
        <v>2</v>
      </c>
      <c r="O103" s="112">
        <v>0</v>
      </c>
      <c r="P103" s="112">
        <v>0.47</v>
      </c>
      <c r="Q103" s="112">
        <v>4.6399999999999997</v>
      </c>
    </row>
    <row r="104" spans="1:22" customFormat="1">
      <c r="A104" s="80">
        <v>45554</v>
      </c>
      <c r="B104" s="112">
        <v>9.31</v>
      </c>
      <c r="C104" s="112">
        <v>4.05</v>
      </c>
      <c r="D104" s="112">
        <v>14.03</v>
      </c>
      <c r="E104" s="112">
        <v>9.84</v>
      </c>
      <c r="F104" s="112">
        <v>3.99</v>
      </c>
      <c r="G104" s="112">
        <v>42.73</v>
      </c>
      <c r="H104" s="112">
        <v>8.27</v>
      </c>
      <c r="I104" s="112">
        <v>6.08</v>
      </c>
      <c r="J104" s="112">
        <v>0.12</v>
      </c>
      <c r="K104" s="112">
        <v>223.98</v>
      </c>
      <c r="L104" s="112">
        <v>24.97</v>
      </c>
      <c r="M104" s="112">
        <v>95.22</v>
      </c>
      <c r="N104" s="112">
        <v>2.1</v>
      </c>
      <c r="O104" s="112">
        <v>0</v>
      </c>
      <c r="P104" s="112">
        <v>0.48</v>
      </c>
      <c r="Q104" s="112">
        <v>4.6500000000000004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9.1300000000000008</v>
      </c>
      <c r="C106" s="183">
        <f>MIN(C9:C104)</f>
        <v>4.04</v>
      </c>
      <c r="D106" s="183">
        <f t="shared" ref="D106:Q106" si="0">MIN(D9:D104)</f>
        <v>14</v>
      </c>
      <c r="E106" s="183">
        <f t="shared" si="0"/>
        <v>5.99</v>
      </c>
      <c r="F106" s="183">
        <f t="shared" si="0"/>
        <v>3.46</v>
      </c>
      <c r="G106" s="183">
        <f t="shared" si="0"/>
        <v>25.23</v>
      </c>
      <c r="H106" s="183">
        <f t="shared" si="0"/>
        <v>6.68</v>
      </c>
      <c r="I106" s="183">
        <f t="shared" si="0"/>
        <v>3.74</v>
      </c>
      <c r="J106" s="183">
        <f t="shared" si="0"/>
        <v>0.06</v>
      </c>
      <c r="K106" s="183">
        <f t="shared" si="0"/>
        <v>171.86</v>
      </c>
      <c r="L106" s="183">
        <f t="shared" si="0"/>
        <v>23.81</v>
      </c>
      <c r="M106" s="183">
        <f t="shared" si="0"/>
        <v>59.76</v>
      </c>
      <c r="N106" s="183">
        <f t="shared" si="0"/>
        <v>2</v>
      </c>
      <c r="O106" s="183">
        <f t="shared" si="0"/>
        <v>0</v>
      </c>
      <c r="P106" s="183">
        <f t="shared" si="0"/>
        <v>0.31</v>
      </c>
      <c r="Q106" s="183">
        <f t="shared" si="0"/>
        <v>4.62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9.35</v>
      </c>
      <c r="C107" s="184">
        <f t="shared" ref="C107:Q107" si="1">MAX(C9:C104)</f>
        <v>4.2699999999999996</v>
      </c>
      <c r="D107" s="184">
        <f t="shared" si="1"/>
        <v>14.07</v>
      </c>
      <c r="E107" s="184">
        <f t="shared" si="1"/>
        <v>12.13</v>
      </c>
      <c r="F107" s="184">
        <f t="shared" si="1"/>
        <v>9.34</v>
      </c>
      <c r="G107" s="184">
        <f t="shared" si="1"/>
        <v>46.77</v>
      </c>
      <c r="H107" s="184">
        <f t="shared" si="1"/>
        <v>16.72</v>
      </c>
      <c r="I107" s="184">
        <f t="shared" si="1"/>
        <v>6.11</v>
      </c>
      <c r="J107" s="184">
        <f t="shared" si="1"/>
        <v>0.65</v>
      </c>
      <c r="K107" s="184">
        <f t="shared" si="1"/>
        <v>290.24</v>
      </c>
      <c r="L107" s="184">
        <f t="shared" si="1"/>
        <v>32.229999999999997</v>
      </c>
      <c r="M107" s="184">
        <f t="shared" si="1"/>
        <v>97.34</v>
      </c>
      <c r="N107" s="184">
        <f t="shared" si="1"/>
        <v>836.3</v>
      </c>
      <c r="O107" s="184">
        <f t="shared" si="1"/>
        <v>0</v>
      </c>
      <c r="P107" s="184">
        <f t="shared" si="1"/>
        <v>0.5</v>
      </c>
      <c r="Q107" s="184">
        <f t="shared" si="1"/>
        <v>4.68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9.2188541666666648</v>
      </c>
      <c r="C108" s="183">
        <f t="shared" ref="C108:Q108" si="2">AVERAGE(C9:C104)</f>
        <v>4.1358333333333324</v>
      </c>
      <c r="D108" s="183">
        <f t="shared" si="2"/>
        <v>14.003437499999997</v>
      </c>
      <c r="E108" s="183">
        <f t="shared" si="2"/>
        <v>9.1077083333333366</v>
      </c>
      <c r="F108" s="183">
        <f t="shared" si="2"/>
        <v>5.1291666666666655</v>
      </c>
      <c r="G108" s="183">
        <f t="shared" si="2"/>
        <v>34.857708333333328</v>
      </c>
      <c r="H108" s="183">
        <f t="shared" si="2"/>
        <v>10.782395833333338</v>
      </c>
      <c r="I108" s="183">
        <f t="shared" si="2"/>
        <v>4.5483333333333347</v>
      </c>
      <c r="J108" s="183">
        <f t="shared" si="2"/>
        <v>0.26593750000000005</v>
      </c>
      <c r="K108" s="183">
        <f t="shared" si="2"/>
        <v>240.28447916666667</v>
      </c>
      <c r="L108" s="183">
        <f t="shared" si="2"/>
        <v>27.17916666666666</v>
      </c>
      <c r="M108" s="183">
        <f t="shared" si="2"/>
        <v>81.705729166666671</v>
      </c>
      <c r="N108" s="183">
        <f t="shared" si="2"/>
        <v>120.95416666666672</v>
      </c>
      <c r="O108" s="183">
        <f t="shared" si="2"/>
        <v>0</v>
      </c>
      <c r="P108" s="183">
        <f t="shared" si="2"/>
        <v>0.40552083333333311</v>
      </c>
      <c r="Q108" s="183">
        <f t="shared" si="2"/>
        <v>4.651562499999998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4.5186625680071181E-2</v>
      </c>
      <c r="C109" s="183">
        <f t="shared" ref="C109:Q109" si="3">STDEV(C9:C104)</f>
        <v>6.0378920453149292E-2</v>
      </c>
      <c r="D109" s="183">
        <f t="shared" si="3"/>
        <v>1.0138838820672565E-2</v>
      </c>
      <c r="E109" s="183">
        <f t="shared" si="3"/>
        <v>1.6213967202882111</v>
      </c>
      <c r="F109" s="183">
        <f t="shared" si="3"/>
        <v>1.4787090149441853</v>
      </c>
      <c r="G109" s="183">
        <f t="shared" si="3"/>
        <v>5.1812641170739528</v>
      </c>
      <c r="H109" s="183">
        <f t="shared" si="3"/>
        <v>2.5665179133528979</v>
      </c>
      <c r="I109" s="183">
        <f t="shared" si="3"/>
        <v>0.5871226298279888</v>
      </c>
      <c r="J109" s="183">
        <f t="shared" si="3"/>
        <v>0.1468230451221724</v>
      </c>
      <c r="K109" s="183">
        <f t="shared" si="3"/>
        <v>34.115923242281134</v>
      </c>
      <c r="L109" s="183">
        <f t="shared" si="3"/>
        <v>2.5442503462830941</v>
      </c>
      <c r="M109" s="183">
        <f t="shared" si="3"/>
        <v>12.407858354140091</v>
      </c>
      <c r="N109" s="183">
        <f t="shared" si="3"/>
        <v>213.83252665612019</v>
      </c>
      <c r="O109" s="183">
        <f t="shared" si="3"/>
        <v>0</v>
      </c>
      <c r="P109" s="183">
        <f t="shared" si="3"/>
        <v>5.1847342553160841E-2</v>
      </c>
      <c r="Q109" s="183">
        <f t="shared" si="3"/>
        <v>1.3244909647821249E-2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2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45554.010416666664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45554.010416666664</v>
      </c>
      <c r="B9" s="112">
        <v>9.3000000000000007</v>
      </c>
      <c r="C9" s="112">
        <v>4.0199999999999996</v>
      </c>
      <c r="D9" s="112">
        <v>14</v>
      </c>
      <c r="E9" s="112">
        <v>9.4</v>
      </c>
      <c r="F9" s="112">
        <v>3.83</v>
      </c>
      <c r="G9" s="112">
        <v>42.73</v>
      </c>
      <c r="H9" s="112">
        <v>8.27</v>
      </c>
      <c r="I9" s="112">
        <v>6.11</v>
      </c>
      <c r="J9" s="112">
        <v>0.17</v>
      </c>
      <c r="K9" s="112">
        <v>193.68</v>
      </c>
      <c r="L9" s="112">
        <v>24.98</v>
      </c>
      <c r="M9" s="112">
        <v>96.03</v>
      </c>
      <c r="N9" s="112">
        <v>2.1</v>
      </c>
      <c r="O9" s="112">
        <v>0</v>
      </c>
      <c r="P9" s="112">
        <v>0.48</v>
      </c>
      <c r="Q9" s="112">
        <v>4.6399999999999997</v>
      </c>
    </row>
    <row r="10" spans="1:21" customFormat="1">
      <c r="A10" s="80">
        <v>45554.020833333336</v>
      </c>
      <c r="B10" s="112">
        <v>9.3000000000000007</v>
      </c>
      <c r="C10" s="112">
        <v>4.05</v>
      </c>
      <c r="D10" s="112">
        <v>14.03</v>
      </c>
      <c r="E10" s="112">
        <v>9.9700000000000006</v>
      </c>
      <c r="F10" s="112">
        <v>4</v>
      </c>
      <c r="G10" s="112">
        <v>43.41</v>
      </c>
      <c r="H10" s="112">
        <v>8.98</v>
      </c>
      <c r="I10" s="112">
        <v>6.17</v>
      </c>
      <c r="J10" s="112">
        <v>0.17</v>
      </c>
      <c r="K10" s="112">
        <v>214.23</v>
      </c>
      <c r="L10" s="112">
        <v>24.84</v>
      </c>
      <c r="M10" s="112">
        <v>97.2</v>
      </c>
      <c r="N10" s="112">
        <v>2.1</v>
      </c>
      <c r="O10" s="112">
        <v>0</v>
      </c>
      <c r="P10" s="112">
        <v>0.46</v>
      </c>
      <c r="Q10" s="112">
        <v>4.6500000000000004</v>
      </c>
    </row>
    <row r="11" spans="1:21" customFormat="1">
      <c r="A11" s="80">
        <v>45554.03125</v>
      </c>
      <c r="B11" s="112">
        <v>9.31</v>
      </c>
      <c r="C11" s="112">
        <v>4.0599999999999996</v>
      </c>
      <c r="D11" s="112">
        <v>14.04</v>
      </c>
      <c r="E11" s="112">
        <v>9.75</v>
      </c>
      <c r="F11" s="112">
        <v>4.29</v>
      </c>
      <c r="G11" s="112">
        <v>49.59</v>
      </c>
      <c r="H11" s="112">
        <v>14.2</v>
      </c>
      <c r="I11" s="112">
        <v>6.18</v>
      </c>
      <c r="J11" s="112">
        <v>0.1</v>
      </c>
      <c r="K11" s="112">
        <v>203.81</v>
      </c>
      <c r="L11" s="112">
        <v>24.83</v>
      </c>
      <c r="M11" s="112">
        <v>96.14</v>
      </c>
      <c r="N11" s="112">
        <v>2.1</v>
      </c>
      <c r="O11" s="112">
        <v>0</v>
      </c>
      <c r="P11" s="112">
        <v>0.46</v>
      </c>
      <c r="Q11" s="112">
        <v>4.6500000000000004</v>
      </c>
    </row>
    <row r="12" spans="1:21" customFormat="1">
      <c r="A12" s="80">
        <v>45554.041666666664</v>
      </c>
      <c r="B12" s="112">
        <v>9.31</v>
      </c>
      <c r="C12" s="112">
        <v>4.07</v>
      </c>
      <c r="D12" s="112">
        <v>14.04</v>
      </c>
      <c r="E12" s="112">
        <v>9.56</v>
      </c>
      <c r="F12" s="112">
        <v>4.03</v>
      </c>
      <c r="G12" s="112">
        <v>49.59</v>
      </c>
      <c r="H12" s="112">
        <v>14.2</v>
      </c>
      <c r="I12" s="112">
        <v>6.12</v>
      </c>
      <c r="J12" s="112">
        <v>0.16</v>
      </c>
      <c r="K12" s="112">
        <v>189.4</v>
      </c>
      <c r="L12" s="112">
        <v>24.92</v>
      </c>
      <c r="M12" s="112">
        <v>96.18</v>
      </c>
      <c r="N12" s="112">
        <v>2</v>
      </c>
      <c r="O12" s="112">
        <v>0</v>
      </c>
      <c r="P12" s="112">
        <v>0.46</v>
      </c>
      <c r="Q12" s="112">
        <v>4.6500000000000004</v>
      </c>
    </row>
    <row r="13" spans="1:21" customFormat="1">
      <c r="A13" s="80">
        <v>45554.052083333336</v>
      </c>
      <c r="B13" s="112">
        <v>9.2899999999999991</v>
      </c>
      <c r="C13" s="112">
        <v>4.07</v>
      </c>
      <c r="D13" s="112">
        <v>14.03</v>
      </c>
      <c r="E13" s="112">
        <v>9.4499999999999993</v>
      </c>
      <c r="F13" s="112">
        <v>3.92</v>
      </c>
      <c r="G13" s="112">
        <v>49.59</v>
      </c>
      <c r="H13" s="112">
        <v>14.2</v>
      </c>
      <c r="I13" s="112">
        <v>6.09</v>
      </c>
      <c r="J13" s="112">
        <v>0.16</v>
      </c>
      <c r="K13" s="112">
        <v>186.34</v>
      </c>
      <c r="L13" s="112">
        <v>24.79</v>
      </c>
      <c r="M13" s="112">
        <v>96.84</v>
      </c>
      <c r="N13" s="112">
        <v>2.1</v>
      </c>
      <c r="O13" s="112">
        <v>0</v>
      </c>
      <c r="P13" s="112">
        <v>0.46</v>
      </c>
      <c r="Q13" s="112">
        <v>4.66</v>
      </c>
    </row>
    <row r="14" spans="1:21" customFormat="1">
      <c r="A14" s="80">
        <v>45554.0625</v>
      </c>
      <c r="B14" s="112">
        <v>9.2899999999999991</v>
      </c>
      <c r="C14" s="112">
        <v>4.04</v>
      </c>
      <c r="D14" s="112">
        <v>14.01</v>
      </c>
      <c r="E14" s="112">
        <v>9.08</v>
      </c>
      <c r="F14" s="112">
        <v>4.08</v>
      </c>
      <c r="G14" s="112">
        <v>49.1</v>
      </c>
      <c r="H14" s="112">
        <v>14.3</v>
      </c>
      <c r="I14" s="112">
        <v>6.09</v>
      </c>
      <c r="J14" s="112">
        <v>0.08</v>
      </c>
      <c r="K14" s="112">
        <v>179.09</v>
      </c>
      <c r="L14" s="112">
        <v>24.83</v>
      </c>
      <c r="M14" s="112">
        <v>96.62</v>
      </c>
      <c r="N14" s="112">
        <v>2.1</v>
      </c>
      <c r="O14" s="112">
        <v>0</v>
      </c>
      <c r="P14" s="112">
        <v>0.45</v>
      </c>
      <c r="Q14" s="112">
        <v>4.67</v>
      </c>
    </row>
    <row r="15" spans="1:21" customFormat="1">
      <c r="A15" s="80">
        <v>45554.072916666664</v>
      </c>
      <c r="B15" s="112">
        <v>9.3000000000000007</v>
      </c>
      <c r="C15" s="112">
        <v>4.04</v>
      </c>
      <c r="D15" s="112">
        <v>14.02</v>
      </c>
      <c r="E15" s="112">
        <v>9.26</v>
      </c>
      <c r="F15" s="112">
        <v>4.42</v>
      </c>
      <c r="G15" s="112">
        <v>44.04</v>
      </c>
      <c r="H15" s="112">
        <v>15.16</v>
      </c>
      <c r="I15" s="112">
        <v>6.07</v>
      </c>
      <c r="J15" s="112">
        <v>0.15</v>
      </c>
      <c r="K15" s="112">
        <v>170.16</v>
      </c>
      <c r="L15" s="112">
        <v>24.83</v>
      </c>
      <c r="M15" s="112">
        <v>97.08</v>
      </c>
      <c r="N15" s="112">
        <v>2</v>
      </c>
      <c r="O15" s="112">
        <v>0</v>
      </c>
      <c r="P15" s="112">
        <v>0.45</v>
      </c>
      <c r="Q15" s="112">
        <v>4.66</v>
      </c>
    </row>
    <row r="16" spans="1:21" customFormat="1">
      <c r="A16" s="80">
        <v>45554.083333333336</v>
      </c>
      <c r="B16" s="112">
        <v>9.2799999999999994</v>
      </c>
      <c r="C16" s="112">
        <v>4.0599999999999996</v>
      </c>
      <c r="D16" s="112">
        <v>14.01</v>
      </c>
      <c r="E16" s="112">
        <v>9.4</v>
      </c>
      <c r="F16" s="112">
        <v>4.1399999999999997</v>
      </c>
      <c r="G16" s="112">
        <v>44.04</v>
      </c>
      <c r="H16" s="112">
        <v>15.16</v>
      </c>
      <c r="I16" s="112">
        <v>5.91</v>
      </c>
      <c r="J16" s="112">
        <v>0.11</v>
      </c>
      <c r="K16" s="112">
        <v>220.08</v>
      </c>
      <c r="L16" s="112">
        <v>24.68</v>
      </c>
      <c r="M16" s="112">
        <v>97.45</v>
      </c>
      <c r="N16" s="112">
        <v>2.1</v>
      </c>
      <c r="O16" s="112">
        <v>0</v>
      </c>
      <c r="P16" s="112">
        <v>0.44</v>
      </c>
      <c r="Q16" s="112">
        <v>4.6500000000000004</v>
      </c>
    </row>
    <row r="17" spans="1:17" customFormat="1">
      <c r="A17" s="80">
        <v>45554.09375</v>
      </c>
      <c r="B17" s="112">
        <v>9.26</v>
      </c>
      <c r="C17" s="112">
        <v>4.07</v>
      </c>
      <c r="D17" s="112">
        <v>14.01</v>
      </c>
      <c r="E17" s="112">
        <v>11.3</v>
      </c>
      <c r="F17" s="112">
        <v>3.95</v>
      </c>
      <c r="G17" s="112">
        <v>44.04</v>
      </c>
      <c r="H17" s="112">
        <v>15.16</v>
      </c>
      <c r="I17" s="112">
        <v>5.56</v>
      </c>
      <c r="J17" s="112">
        <v>0.11</v>
      </c>
      <c r="K17" s="112">
        <v>210.52</v>
      </c>
      <c r="L17" s="112">
        <v>24.62</v>
      </c>
      <c r="M17" s="112">
        <v>97.41</v>
      </c>
      <c r="N17" s="112">
        <v>2.1</v>
      </c>
      <c r="O17" s="112">
        <v>0</v>
      </c>
      <c r="P17" s="112">
        <v>0.45</v>
      </c>
      <c r="Q17" s="112">
        <v>4.66</v>
      </c>
    </row>
    <row r="18" spans="1:17" customFormat="1">
      <c r="A18" s="80">
        <v>45554.104166666664</v>
      </c>
      <c r="B18" s="112">
        <v>9.26</v>
      </c>
      <c r="C18" s="112">
        <v>4.08</v>
      </c>
      <c r="D18" s="112">
        <v>14.01</v>
      </c>
      <c r="E18" s="112">
        <v>12.74</v>
      </c>
      <c r="F18" s="112">
        <v>4.12</v>
      </c>
      <c r="G18" s="112">
        <v>43.37</v>
      </c>
      <c r="H18" s="112">
        <v>14.7</v>
      </c>
      <c r="I18" s="112">
        <v>5.58</v>
      </c>
      <c r="J18" s="112">
        <v>0.1</v>
      </c>
      <c r="K18" s="112">
        <v>192.67</v>
      </c>
      <c r="L18" s="112">
        <v>24.66</v>
      </c>
      <c r="M18" s="112">
        <v>97.94</v>
      </c>
      <c r="N18" s="112">
        <v>2.1</v>
      </c>
      <c r="O18" s="112">
        <v>0</v>
      </c>
      <c r="P18" s="112">
        <v>0.44</v>
      </c>
      <c r="Q18" s="112">
        <v>4.6500000000000004</v>
      </c>
    </row>
    <row r="19" spans="1:17" customFormat="1">
      <c r="A19" s="80">
        <v>45554.114583333336</v>
      </c>
      <c r="B19" s="112">
        <v>9.24</v>
      </c>
      <c r="C19" s="112">
        <v>4.0999999999999996</v>
      </c>
      <c r="D19" s="112">
        <v>14</v>
      </c>
      <c r="E19" s="112">
        <v>12.44</v>
      </c>
      <c r="F19" s="112">
        <v>4.68</v>
      </c>
      <c r="G19" s="112">
        <v>36.549999999999997</v>
      </c>
      <c r="H19" s="112">
        <v>10.82</v>
      </c>
      <c r="I19" s="112">
        <v>5.62</v>
      </c>
      <c r="J19" s="112">
        <v>0.1</v>
      </c>
      <c r="K19" s="112">
        <v>196.57</v>
      </c>
      <c r="L19" s="112">
        <v>24.59</v>
      </c>
      <c r="M19" s="112">
        <v>98.08</v>
      </c>
      <c r="N19" s="112">
        <v>2.1</v>
      </c>
      <c r="O19" s="112">
        <v>0</v>
      </c>
      <c r="P19" s="112">
        <v>0.43</v>
      </c>
      <c r="Q19" s="112">
        <v>4.6500000000000004</v>
      </c>
    </row>
    <row r="20" spans="1:17" customFormat="1">
      <c r="A20" s="80">
        <v>45554.125</v>
      </c>
      <c r="B20" s="112">
        <v>9.25</v>
      </c>
      <c r="C20" s="112">
        <v>4.08</v>
      </c>
      <c r="D20" s="112">
        <v>14</v>
      </c>
      <c r="E20" s="112">
        <v>12.36</v>
      </c>
      <c r="F20" s="112">
        <v>4.0999999999999996</v>
      </c>
      <c r="G20" s="112">
        <v>36.549999999999997</v>
      </c>
      <c r="H20" s="112">
        <v>10.82</v>
      </c>
      <c r="I20" s="112">
        <v>5.59</v>
      </c>
      <c r="J20" s="112">
        <v>0.14000000000000001</v>
      </c>
      <c r="K20" s="112">
        <v>175.06</v>
      </c>
      <c r="L20" s="112">
        <v>24.61</v>
      </c>
      <c r="M20" s="112">
        <v>98.11</v>
      </c>
      <c r="N20" s="112">
        <v>2</v>
      </c>
      <c r="O20" s="112">
        <v>0</v>
      </c>
      <c r="P20" s="112">
        <v>0.42</v>
      </c>
      <c r="Q20" s="112">
        <v>4.67</v>
      </c>
    </row>
    <row r="21" spans="1:17" customFormat="1">
      <c r="A21" s="80">
        <v>45554.135416666664</v>
      </c>
      <c r="B21" s="112">
        <v>9.2200000000000006</v>
      </c>
      <c r="C21" s="112">
        <v>4.13</v>
      </c>
      <c r="D21" s="112">
        <v>14</v>
      </c>
      <c r="E21" s="112">
        <v>12.65</v>
      </c>
      <c r="F21" s="112">
        <v>4.0199999999999996</v>
      </c>
      <c r="G21" s="112">
        <v>36.549999999999997</v>
      </c>
      <c r="H21" s="112">
        <v>10.82</v>
      </c>
      <c r="I21" s="112">
        <v>5.73</v>
      </c>
      <c r="J21" s="112">
        <v>0.11</v>
      </c>
      <c r="K21" s="112">
        <v>184.51</v>
      </c>
      <c r="L21" s="112">
        <v>24.62</v>
      </c>
      <c r="M21" s="112">
        <v>97.7</v>
      </c>
      <c r="N21" s="112">
        <v>2.1</v>
      </c>
      <c r="O21" s="112">
        <v>0</v>
      </c>
      <c r="P21" s="112">
        <v>0.42</v>
      </c>
      <c r="Q21" s="112">
        <v>4.67</v>
      </c>
    </row>
    <row r="22" spans="1:17" customFormat="1">
      <c r="A22" s="80">
        <v>45554.145833333336</v>
      </c>
      <c r="B22" s="112">
        <v>9.19</v>
      </c>
      <c r="C22" s="112">
        <v>4.17</v>
      </c>
      <c r="D22" s="112">
        <v>14</v>
      </c>
      <c r="E22" s="112">
        <v>12.69</v>
      </c>
      <c r="F22" s="112">
        <v>3.95</v>
      </c>
      <c r="G22" s="112">
        <v>36.020000000000003</v>
      </c>
      <c r="H22" s="112">
        <v>11.1</v>
      </c>
      <c r="I22" s="112">
        <v>5.43</v>
      </c>
      <c r="J22" s="112">
        <v>0.09</v>
      </c>
      <c r="K22" s="112">
        <v>183.2</v>
      </c>
      <c r="L22" s="112">
        <v>24.57</v>
      </c>
      <c r="M22" s="112">
        <v>97.52</v>
      </c>
      <c r="N22" s="112">
        <v>2.1</v>
      </c>
      <c r="O22" s="112">
        <v>0</v>
      </c>
      <c r="P22" s="112">
        <v>0.41</v>
      </c>
      <c r="Q22" s="112">
        <v>4.6399999999999997</v>
      </c>
    </row>
    <row r="23" spans="1:17" customFormat="1">
      <c r="A23" s="80">
        <v>45554.15625</v>
      </c>
      <c r="B23" s="112">
        <v>9.19</v>
      </c>
      <c r="C23" s="112">
        <v>4.18</v>
      </c>
      <c r="D23" s="112">
        <v>14</v>
      </c>
      <c r="E23" s="112">
        <v>12.73</v>
      </c>
      <c r="F23" s="112">
        <v>3.99</v>
      </c>
      <c r="G23" s="112">
        <v>30.55</v>
      </c>
      <c r="H23" s="112">
        <v>13.18</v>
      </c>
      <c r="I23" s="112">
        <v>5.59</v>
      </c>
      <c r="J23" s="112">
        <v>0.12</v>
      </c>
      <c r="K23" s="112">
        <v>161.69999999999999</v>
      </c>
      <c r="L23" s="112">
        <v>24.53</v>
      </c>
      <c r="M23" s="112">
        <v>97.67</v>
      </c>
      <c r="N23" s="112">
        <v>2.1</v>
      </c>
      <c r="O23" s="112">
        <v>0</v>
      </c>
      <c r="P23" s="112">
        <v>0.41</v>
      </c>
      <c r="Q23" s="112">
        <v>4.6500000000000004</v>
      </c>
    </row>
    <row r="24" spans="1:17" customFormat="1">
      <c r="A24" s="80">
        <v>45554.166666666664</v>
      </c>
      <c r="B24" s="112">
        <v>9.1999999999999993</v>
      </c>
      <c r="C24" s="112">
        <v>4.16</v>
      </c>
      <c r="D24" s="112">
        <v>14</v>
      </c>
      <c r="E24" s="112">
        <v>13.24</v>
      </c>
      <c r="F24" s="112">
        <v>3.63</v>
      </c>
      <c r="G24" s="112">
        <v>30.55</v>
      </c>
      <c r="H24" s="112">
        <v>13.18</v>
      </c>
      <c r="I24" s="112">
        <v>5.37</v>
      </c>
      <c r="J24" s="112">
        <v>0.04</v>
      </c>
      <c r="K24" s="112">
        <v>194.45</v>
      </c>
      <c r="L24" s="112">
        <v>24.44</v>
      </c>
      <c r="M24" s="112">
        <v>97.79</v>
      </c>
      <c r="N24" s="112">
        <v>2.1</v>
      </c>
      <c r="O24" s="112">
        <v>0</v>
      </c>
      <c r="P24" s="112">
        <v>0.41</v>
      </c>
      <c r="Q24" s="112">
        <v>4.6399999999999997</v>
      </c>
    </row>
    <row r="25" spans="1:17" customFormat="1">
      <c r="A25" s="80">
        <v>45554.177083333336</v>
      </c>
      <c r="B25" s="112">
        <v>9.19</v>
      </c>
      <c r="C25" s="112">
        <v>4.18</v>
      </c>
      <c r="D25" s="112">
        <v>14</v>
      </c>
      <c r="E25" s="112">
        <v>12.97</v>
      </c>
      <c r="F25" s="112">
        <v>3.46</v>
      </c>
      <c r="G25" s="112">
        <v>30.55</v>
      </c>
      <c r="H25" s="112">
        <v>13.18</v>
      </c>
      <c r="I25" s="112">
        <v>5.51</v>
      </c>
      <c r="J25" s="112">
        <v>0.11</v>
      </c>
      <c r="K25" s="112">
        <v>166.89</v>
      </c>
      <c r="L25" s="112">
        <v>24.47</v>
      </c>
      <c r="M25" s="112">
        <v>97.64</v>
      </c>
      <c r="N25" s="112">
        <v>2.1</v>
      </c>
      <c r="O25" s="112">
        <v>0</v>
      </c>
      <c r="P25" s="112">
        <v>0.4</v>
      </c>
      <c r="Q25" s="112">
        <v>4.66</v>
      </c>
    </row>
    <row r="26" spans="1:17" customFormat="1">
      <c r="A26" s="80">
        <v>45554.1875</v>
      </c>
      <c r="B26" s="112">
        <v>9.1999999999999993</v>
      </c>
      <c r="C26" s="112">
        <v>4.17</v>
      </c>
      <c r="D26" s="112">
        <v>14</v>
      </c>
      <c r="E26" s="112">
        <v>13.46</v>
      </c>
      <c r="F26" s="112">
        <v>3.32</v>
      </c>
      <c r="G26" s="112">
        <v>30.28</v>
      </c>
      <c r="H26" s="112">
        <v>12.83</v>
      </c>
      <c r="I26" s="112">
        <v>5.27</v>
      </c>
      <c r="J26" s="112">
        <v>7.0000000000000007E-2</v>
      </c>
      <c r="K26" s="112">
        <v>187.98</v>
      </c>
      <c r="L26" s="112">
        <v>24.39</v>
      </c>
      <c r="M26" s="112">
        <v>97.64</v>
      </c>
      <c r="N26" s="112">
        <v>2.1</v>
      </c>
      <c r="O26" s="112">
        <v>0</v>
      </c>
      <c r="P26" s="112">
        <v>0.39</v>
      </c>
      <c r="Q26" s="112">
        <v>4.6500000000000004</v>
      </c>
    </row>
    <row r="27" spans="1:17" customFormat="1">
      <c r="A27" s="80">
        <v>45554.197916666664</v>
      </c>
      <c r="B27" s="112">
        <v>9.2100000000000009</v>
      </c>
      <c r="C27" s="112">
        <v>4.1399999999999997</v>
      </c>
      <c r="D27" s="112">
        <v>14</v>
      </c>
      <c r="E27" s="112">
        <v>13.21</v>
      </c>
      <c r="F27" s="112">
        <v>3.26</v>
      </c>
      <c r="G27" s="112">
        <v>27.52</v>
      </c>
      <c r="H27" s="112">
        <v>9.8699999999999992</v>
      </c>
      <c r="I27" s="112">
        <v>5.22</v>
      </c>
      <c r="J27" s="112">
        <v>7.0000000000000007E-2</v>
      </c>
      <c r="K27" s="112">
        <v>164.81</v>
      </c>
      <c r="L27" s="112">
        <v>24.29</v>
      </c>
      <c r="M27" s="112">
        <v>97.79</v>
      </c>
      <c r="N27" s="112">
        <v>2.1</v>
      </c>
      <c r="O27" s="112">
        <v>0</v>
      </c>
      <c r="P27" s="112">
        <v>0.39</v>
      </c>
      <c r="Q27" s="112">
        <v>4.6399999999999997</v>
      </c>
    </row>
    <row r="28" spans="1:17" customFormat="1">
      <c r="A28" s="80">
        <v>45554.208333333336</v>
      </c>
      <c r="B28" s="112">
        <v>9.25</v>
      </c>
      <c r="C28" s="112">
        <v>4.08</v>
      </c>
      <c r="D28" s="112">
        <v>14</v>
      </c>
      <c r="E28" s="112">
        <v>13.74</v>
      </c>
      <c r="F28" s="112">
        <v>3.29</v>
      </c>
      <c r="G28" s="112">
        <v>27.52</v>
      </c>
      <c r="H28" s="112">
        <v>9.8699999999999992</v>
      </c>
      <c r="I28" s="112">
        <v>5.12</v>
      </c>
      <c r="J28" s="112">
        <v>7.0000000000000007E-2</v>
      </c>
      <c r="K28" s="112">
        <v>166.64</v>
      </c>
      <c r="L28" s="112">
        <v>24.37</v>
      </c>
      <c r="M28" s="112">
        <v>97.49</v>
      </c>
      <c r="N28" s="112">
        <v>2.1</v>
      </c>
      <c r="O28" s="112">
        <v>0</v>
      </c>
      <c r="P28" s="112">
        <v>0.4</v>
      </c>
      <c r="Q28" s="112">
        <v>4.6500000000000004</v>
      </c>
    </row>
    <row r="29" spans="1:17" customFormat="1">
      <c r="A29" s="80">
        <v>45554.21875</v>
      </c>
      <c r="B29" s="112">
        <v>9.26</v>
      </c>
      <c r="C29" s="112">
        <v>4.0599999999999996</v>
      </c>
      <c r="D29" s="112">
        <v>14</v>
      </c>
      <c r="E29" s="112">
        <v>13.69</v>
      </c>
      <c r="F29" s="112">
        <v>3.47</v>
      </c>
      <c r="G29" s="112">
        <v>27.52</v>
      </c>
      <c r="H29" s="112">
        <v>9.8699999999999992</v>
      </c>
      <c r="I29" s="112">
        <v>5.09</v>
      </c>
      <c r="J29" s="112">
        <v>0.12</v>
      </c>
      <c r="K29" s="112">
        <v>182.99</v>
      </c>
      <c r="L29" s="112">
        <v>24.3</v>
      </c>
      <c r="M29" s="112">
        <v>97.24</v>
      </c>
      <c r="N29" s="112">
        <v>2.1</v>
      </c>
      <c r="O29" s="112">
        <v>0</v>
      </c>
      <c r="P29" s="112">
        <v>0.39</v>
      </c>
      <c r="Q29" s="112">
        <v>4.66</v>
      </c>
    </row>
    <row r="30" spans="1:17" customFormat="1">
      <c r="A30" s="80">
        <v>45554.229166666664</v>
      </c>
      <c r="B30" s="112">
        <v>9.23</v>
      </c>
      <c r="C30" s="112">
        <v>4.12</v>
      </c>
      <c r="D30" s="112">
        <v>14</v>
      </c>
      <c r="E30" s="112">
        <v>13.7</v>
      </c>
      <c r="F30" s="112">
        <v>3.58</v>
      </c>
      <c r="G30" s="112">
        <v>27.48</v>
      </c>
      <c r="H30" s="112">
        <v>9.86</v>
      </c>
      <c r="I30" s="112">
        <v>5.09</v>
      </c>
      <c r="J30" s="112">
        <v>0.09</v>
      </c>
      <c r="K30" s="112">
        <v>176.62</v>
      </c>
      <c r="L30" s="112">
        <v>24.28</v>
      </c>
      <c r="M30" s="112">
        <v>97.28</v>
      </c>
      <c r="N30" s="112">
        <v>2.1</v>
      </c>
      <c r="O30" s="112">
        <v>0</v>
      </c>
      <c r="P30" s="112">
        <v>0.39</v>
      </c>
      <c r="Q30" s="112">
        <v>4.66</v>
      </c>
    </row>
    <row r="31" spans="1:17" customFormat="1">
      <c r="A31" s="80">
        <v>45554.239583333336</v>
      </c>
      <c r="B31" s="112">
        <v>9.24</v>
      </c>
      <c r="C31" s="112">
        <v>4.0999999999999996</v>
      </c>
      <c r="D31" s="112">
        <v>14</v>
      </c>
      <c r="E31" s="112">
        <v>14.06</v>
      </c>
      <c r="F31" s="112">
        <v>3.51</v>
      </c>
      <c r="G31" s="112">
        <v>27.07</v>
      </c>
      <c r="H31" s="112">
        <v>9.81</v>
      </c>
      <c r="I31" s="112">
        <v>5.03</v>
      </c>
      <c r="J31" s="112">
        <v>0.06</v>
      </c>
      <c r="K31" s="112">
        <v>191.8</v>
      </c>
      <c r="L31" s="112">
        <v>24.19</v>
      </c>
      <c r="M31" s="112">
        <v>97.5</v>
      </c>
      <c r="N31" s="112">
        <v>3.7</v>
      </c>
      <c r="O31" s="112">
        <v>0</v>
      </c>
      <c r="P31" s="112">
        <v>0.38</v>
      </c>
      <c r="Q31" s="112">
        <v>4.66</v>
      </c>
    </row>
    <row r="32" spans="1:17" customFormat="1">
      <c r="A32" s="80">
        <v>45554.25</v>
      </c>
      <c r="B32" s="112">
        <v>9.25</v>
      </c>
      <c r="C32" s="112">
        <v>4.08</v>
      </c>
      <c r="D32" s="112">
        <v>14</v>
      </c>
      <c r="E32" s="112">
        <v>13.63</v>
      </c>
      <c r="F32" s="112">
        <v>3.4</v>
      </c>
      <c r="G32" s="112">
        <v>27.07</v>
      </c>
      <c r="H32" s="112">
        <v>9.81</v>
      </c>
      <c r="I32" s="112">
        <v>4.96</v>
      </c>
      <c r="J32" s="112">
        <v>0.09</v>
      </c>
      <c r="K32" s="112">
        <v>216.93</v>
      </c>
      <c r="L32" s="112">
        <v>24.19</v>
      </c>
      <c r="M32" s="112">
        <v>97.91</v>
      </c>
      <c r="N32" s="112">
        <v>8</v>
      </c>
      <c r="O32" s="112">
        <v>0</v>
      </c>
      <c r="P32" s="112">
        <v>0.38</v>
      </c>
      <c r="Q32" s="112">
        <v>4.6500000000000004</v>
      </c>
    </row>
    <row r="33" spans="1:17" customFormat="1">
      <c r="A33" s="80">
        <v>45554.260416666664</v>
      </c>
      <c r="B33" s="112">
        <v>9.25</v>
      </c>
      <c r="C33" s="112">
        <v>4.08</v>
      </c>
      <c r="D33" s="112">
        <v>14</v>
      </c>
      <c r="E33" s="112">
        <v>13.77</v>
      </c>
      <c r="F33" s="112">
        <v>3.47</v>
      </c>
      <c r="G33" s="112">
        <v>27.07</v>
      </c>
      <c r="H33" s="112">
        <v>9.81</v>
      </c>
      <c r="I33" s="112">
        <v>4.9400000000000004</v>
      </c>
      <c r="J33" s="112">
        <v>0.09</v>
      </c>
      <c r="K33" s="112">
        <v>172.02</v>
      </c>
      <c r="L33" s="112">
        <v>24.4</v>
      </c>
      <c r="M33" s="112">
        <v>97.64</v>
      </c>
      <c r="N33" s="112">
        <v>18.5</v>
      </c>
      <c r="O33" s="112">
        <v>0</v>
      </c>
      <c r="P33" s="112">
        <v>0.38</v>
      </c>
      <c r="Q33" s="112">
        <v>4.6500000000000004</v>
      </c>
    </row>
    <row r="34" spans="1:17" customFormat="1">
      <c r="A34" s="80">
        <v>45554.270833333336</v>
      </c>
      <c r="B34" s="112">
        <v>9.25</v>
      </c>
      <c r="C34" s="112">
        <v>4.08</v>
      </c>
      <c r="D34" s="112">
        <v>14</v>
      </c>
      <c r="E34" s="112">
        <v>14.63</v>
      </c>
      <c r="F34" s="112">
        <v>3.36</v>
      </c>
      <c r="G34" s="112">
        <v>26.86</v>
      </c>
      <c r="H34" s="112">
        <v>10.06</v>
      </c>
      <c r="I34" s="112">
        <v>4.9400000000000004</v>
      </c>
      <c r="J34" s="112">
        <v>0.11</v>
      </c>
      <c r="K34" s="112">
        <v>179.72</v>
      </c>
      <c r="L34" s="112">
        <v>24.83</v>
      </c>
      <c r="M34" s="112">
        <v>96.48</v>
      </c>
      <c r="N34" s="112">
        <v>29.5</v>
      </c>
      <c r="O34" s="112">
        <v>0</v>
      </c>
      <c r="P34" s="112">
        <v>0.38</v>
      </c>
      <c r="Q34" s="112">
        <v>4.6500000000000004</v>
      </c>
    </row>
    <row r="35" spans="1:17" customFormat="1">
      <c r="A35" s="80">
        <v>45554.28125</v>
      </c>
      <c r="B35" s="112">
        <v>9.24</v>
      </c>
      <c r="C35" s="112">
        <v>4.0999999999999996</v>
      </c>
      <c r="D35" s="112">
        <v>14</v>
      </c>
      <c r="E35" s="112">
        <v>14.02</v>
      </c>
      <c r="F35" s="112">
        <v>3.33</v>
      </c>
      <c r="G35" s="112">
        <v>24.69</v>
      </c>
      <c r="H35" s="112">
        <v>12.14</v>
      </c>
      <c r="I35" s="112">
        <v>5.04</v>
      </c>
      <c r="J35" s="112">
        <v>0.09</v>
      </c>
      <c r="K35" s="112">
        <v>221.24</v>
      </c>
      <c r="L35" s="112">
        <v>25.13</v>
      </c>
      <c r="M35" s="112">
        <v>94.12</v>
      </c>
      <c r="N35" s="112">
        <v>36.5</v>
      </c>
      <c r="O35" s="112">
        <v>0</v>
      </c>
      <c r="P35" s="112">
        <v>0.38</v>
      </c>
      <c r="Q35" s="112">
        <v>4.63</v>
      </c>
    </row>
    <row r="36" spans="1:17" customFormat="1">
      <c r="A36" s="80">
        <v>45554.291666666664</v>
      </c>
      <c r="B36" s="112">
        <v>9.26</v>
      </c>
      <c r="C36" s="112">
        <v>4.07</v>
      </c>
      <c r="D36" s="112">
        <v>14</v>
      </c>
      <c r="E36" s="112">
        <v>14.3</v>
      </c>
      <c r="F36" s="112">
        <v>3.35</v>
      </c>
      <c r="G36" s="112">
        <v>24.69</v>
      </c>
      <c r="H36" s="112">
        <v>12.14</v>
      </c>
      <c r="I36" s="112">
        <v>5.1100000000000003</v>
      </c>
      <c r="J36" s="112">
        <v>0.12</v>
      </c>
      <c r="K36" s="112">
        <v>217.31</v>
      </c>
      <c r="L36" s="112">
        <v>25.74</v>
      </c>
      <c r="M36" s="112">
        <v>90.47</v>
      </c>
      <c r="N36" s="112">
        <v>44</v>
      </c>
      <c r="O36" s="112">
        <v>0</v>
      </c>
      <c r="P36" s="112">
        <v>0.39</v>
      </c>
      <c r="Q36" s="112">
        <v>4.6399999999999997</v>
      </c>
    </row>
    <row r="37" spans="1:17" customFormat="1">
      <c r="A37" s="80">
        <v>45554.302083333336</v>
      </c>
      <c r="B37" s="112">
        <v>9.26</v>
      </c>
      <c r="C37" s="112">
        <v>4.07</v>
      </c>
      <c r="D37" s="112">
        <v>14</v>
      </c>
      <c r="E37" s="112">
        <v>14.15</v>
      </c>
      <c r="F37" s="112">
        <v>3.6</v>
      </c>
      <c r="G37" s="112">
        <v>24.69</v>
      </c>
      <c r="H37" s="112">
        <v>12.14</v>
      </c>
      <c r="I37" s="112">
        <v>5.14</v>
      </c>
      <c r="J37" s="112">
        <v>0.11</v>
      </c>
      <c r="K37" s="112">
        <v>223.2</v>
      </c>
      <c r="L37" s="112">
        <v>26.02</v>
      </c>
      <c r="M37" s="112">
        <v>89.34</v>
      </c>
      <c r="N37" s="112">
        <v>54</v>
      </c>
      <c r="O37" s="112">
        <v>0</v>
      </c>
      <c r="P37" s="112">
        <v>0.38</v>
      </c>
      <c r="Q37" s="112">
        <v>4.66</v>
      </c>
    </row>
    <row r="38" spans="1:17" customFormat="1">
      <c r="A38" s="80">
        <v>45554.3125</v>
      </c>
      <c r="B38" s="112">
        <v>9.25</v>
      </c>
      <c r="C38" s="112">
        <v>4.09</v>
      </c>
      <c r="D38" s="112">
        <v>14</v>
      </c>
      <c r="E38" s="112">
        <v>14.62</v>
      </c>
      <c r="F38" s="112">
        <v>3.32</v>
      </c>
      <c r="G38" s="112">
        <v>25.54</v>
      </c>
      <c r="H38" s="112">
        <v>11.84</v>
      </c>
      <c r="I38" s="112">
        <v>5.15</v>
      </c>
      <c r="J38" s="112">
        <v>0.12</v>
      </c>
      <c r="K38" s="112">
        <v>215.55</v>
      </c>
      <c r="L38" s="112">
        <v>26.5</v>
      </c>
      <c r="M38" s="112">
        <v>86.6</v>
      </c>
      <c r="N38" s="112">
        <v>69.099999999999994</v>
      </c>
      <c r="O38" s="112">
        <v>0</v>
      </c>
      <c r="P38" s="112">
        <v>0.41</v>
      </c>
      <c r="Q38" s="112">
        <v>4.6399999999999997</v>
      </c>
    </row>
    <row r="39" spans="1:17" customFormat="1">
      <c r="A39" s="80">
        <v>45554.322916666664</v>
      </c>
      <c r="B39" s="112">
        <v>9.25</v>
      </c>
      <c r="C39" s="112">
        <v>4.08</v>
      </c>
      <c r="D39" s="112">
        <v>14</v>
      </c>
      <c r="E39" s="112">
        <v>15</v>
      </c>
      <c r="F39" s="112">
        <v>3.83</v>
      </c>
      <c r="G39" s="112">
        <v>34.22</v>
      </c>
      <c r="H39" s="112">
        <v>9.31</v>
      </c>
      <c r="I39" s="112">
        <v>5.24</v>
      </c>
      <c r="J39" s="112">
        <v>0.14000000000000001</v>
      </c>
      <c r="K39" s="112">
        <v>215.17</v>
      </c>
      <c r="L39" s="112">
        <v>27.12</v>
      </c>
      <c r="M39" s="112">
        <v>82.27</v>
      </c>
      <c r="N39" s="112">
        <v>159.1</v>
      </c>
      <c r="O39" s="112">
        <v>0</v>
      </c>
      <c r="P39" s="112">
        <v>0.41</v>
      </c>
      <c r="Q39" s="112">
        <v>4.6500000000000004</v>
      </c>
    </row>
    <row r="40" spans="1:17" customFormat="1">
      <c r="A40" s="80">
        <v>45554.333333333336</v>
      </c>
      <c r="B40" s="112">
        <v>9.26</v>
      </c>
      <c r="C40" s="112">
        <v>4.07</v>
      </c>
      <c r="D40" s="112">
        <v>14</v>
      </c>
      <c r="E40" s="112">
        <v>14.58</v>
      </c>
      <c r="F40" s="112">
        <v>4.0999999999999996</v>
      </c>
      <c r="G40" s="112">
        <v>34.22</v>
      </c>
      <c r="H40" s="112">
        <v>9.31</v>
      </c>
      <c r="I40" s="112">
        <v>5.32</v>
      </c>
      <c r="J40" s="112">
        <v>0.14000000000000001</v>
      </c>
      <c r="K40" s="112">
        <v>226.71</v>
      </c>
      <c r="L40" s="112">
        <v>27.83</v>
      </c>
      <c r="M40" s="112">
        <v>77.45</v>
      </c>
      <c r="N40" s="112">
        <v>201.9</v>
      </c>
      <c r="O40" s="112">
        <v>0</v>
      </c>
      <c r="P40" s="112">
        <v>0.4</v>
      </c>
      <c r="Q40" s="112">
        <v>4.6500000000000004</v>
      </c>
    </row>
    <row r="41" spans="1:17" customFormat="1">
      <c r="A41" s="80">
        <v>45554.34375</v>
      </c>
      <c r="B41" s="112">
        <v>9.27</v>
      </c>
      <c r="C41" s="112">
        <v>4.05</v>
      </c>
      <c r="D41" s="112">
        <v>14</v>
      </c>
      <c r="E41" s="112">
        <v>14.4</v>
      </c>
      <c r="F41" s="112">
        <v>4.22</v>
      </c>
      <c r="G41" s="112">
        <v>34.22</v>
      </c>
      <c r="H41" s="112">
        <v>9.31</v>
      </c>
      <c r="I41" s="112">
        <v>5.34</v>
      </c>
      <c r="J41" s="112">
        <v>0.1</v>
      </c>
      <c r="K41" s="112">
        <v>250.87</v>
      </c>
      <c r="L41" s="112">
        <v>28.79</v>
      </c>
      <c r="M41" s="112">
        <v>74.37</v>
      </c>
      <c r="N41" s="112">
        <v>132.19999999999999</v>
      </c>
      <c r="O41" s="112">
        <v>0</v>
      </c>
      <c r="P41" s="112">
        <v>0.41</v>
      </c>
      <c r="Q41" s="112">
        <v>4.66</v>
      </c>
    </row>
    <row r="42" spans="1:17" customFormat="1">
      <c r="A42" s="80">
        <v>45554.354166666664</v>
      </c>
      <c r="B42" s="112">
        <v>9.2799999999999994</v>
      </c>
      <c r="C42" s="112">
        <v>4.05</v>
      </c>
      <c r="D42" s="112">
        <v>14.01</v>
      </c>
      <c r="E42" s="112">
        <v>13.75</v>
      </c>
      <c r="F42" s="112">
        <v>5.18</v>
      </c>
      <c r="G42" s="112">
        <v>33.86</v>
      </c>
      <c r="H42" s="112">
        <v>9.1999999999999993</v>
      </c>
      <c r="I42" s="112">
        <v>5.39</v>
      </c>
      <c r="J42" s="112">
        <v>0.15</v>
      </c>
      <c r="K42" s="112">
        <v>301.54000000000002</v>
      </c>
      <c r="L42" s="112">
        <v>29.03</v>
      </c>
      <c r="M42" s="112">
        <v>72.900000000000006</v>
      </c>
      <c r="N42" s="112">
        <v>260.8</v>
      </c>
      <c r="O42" s="112">
        <v>0</v>
      </c>
      <c r="P42" s="112">
        <v>0.44</v>
      </c>
      <c r="Q42" s="112">
        <v>4.6500000000000004</v>
      </c>
    </row>
    <row r="43" spans="1:17" customFormat="1">
      <c r="A43" s="80">
        <v>45554.364583333336</v>
      </c>
      <c r="B43" s="112">
        <v>9.2899999999999991</v>
      </c>
      <c r="C43" s="112">
        <v>4.0599999999999996</v>
      </c>
      <c r="D43" s="112">
        <v>14.02</v>
      </c>
      <c r="E43" s="112">
        <v>13.99</v>
      </c>
      <c r="F43" s="112">
        <v>6.22</v>
      </c>
      <c r="G43" s="112">
        <v>30.13</v>
      </c>
      <c r="H43" s="112">
        <v>8.27</v>
      </c>
      <c r="I43" s="112">
        <v>5.42</v>
      </c>
      <c r="J43" s="112">
        <v>0.16</v>
      </c>
      <c r="K43" s="112">
        <v>28.38</v>
      </c>
      <c r="L43" s="112">
        <v>29.57</v>
      </c>
      <c r="M43" s="112">
        <v>70.73</v>
      </c>
      <c r="N43" s="112">
        <v>312.8</v>
      </c>
      <c r="O43" s="112">
        <v>0</v>
      </c>
      <c r="P43" s="112">
        <v>0.44</v>
      </c>
      <c r="Q43" s="112">
        <v>4.6500000000000004</v>
      </c>
    </row>
    <row r="44" spans="1:17" customFormat="1">
      <c r="A44" s="80">
        <v>45554.375</v>
      </c>
      <c r="B44" s="112">
        <v>9.25</v>
      </c>
      <c r="C44" s="112">
        <v>4.09</v>
      </c>
      <c r="D44" s="112">
        <v>14.01</v>
      </c>
      <c r="E44" s="112">
        <v>14.22</v>
      </c>
      <c r="F44" s="112">
        <v>5.3</v>
      </c>
      <c r="G44" s="112">
        <v>30.13</v>
      </c>
      <c r="H44" s="112">
        <v>8.27</v>
      </c>
      <c r="I44" s="112">
        <v>5.49</v>
      </c>
      <c r="J44" s="112">
        <v>0.24</v>
      </c>
      <c r="K44" s="112">
        <v>23.15</v>
      </c>
      <c r="L44" s="112">
        <v>30.09</v>
      </c>
      <c r="M44" s="112">
        <v>67.83</v>
      </c>
      <c r="N44" s="112">
        <v>212.7</v>
      </c>
      <c r="O44" s="112">
        <v>0</v>
      </c>
      <c r="P44" s="112">
        <v>0.52</v>
      </c>
      <c r="Q44" s="112">
        <v>4.6500000000000004</v>
      </c>
    </row>
    <row r="45" spans="1:17" customFormat="1">
      <c r="A45" s="80">
        <v>45554.385416666664</v>
      </c>
      <c r="B45" s="112">
        <v>9.2799999999999994</v>
      </c>
      <c r="C45" s="112">
        <v>4.0599999999999996</v>
      </c>
      <c r="D45" s="112">
        <v>14.02</v>
      </c>
      <c r="E45" s="112">
        <v>14.39</v>
      </c>
      <c r="F45" s="112">
        <v>5.19</v>
      </c>
      <c r="G45" s="112">
        <v>30.13</v>
      </c>
      <c r="H45" s="112">
        <v>8.27</v>
      </c>
      <c r="I45" s="112">
        <v>5.59</v>
      </c>
      <c r="J45" s="112">
        <v>0.13</v>
      </c>
      <c r="K45" s="112">
        <v>4.0599999999999996</v>
      </c>
      <c r="L45" s="112">
        <v>30.32</v>
      </c>
      <c r="M45" s="112">
        <v>65.92</v>
      </c>
      <c r="N45" s="112">
        <v>385.4</v>
      </c>
      <c r="O45" s="112">
        <v>0</v>
      </c>
      <c r="P45" s="112">
        <v>0.56000000000000005</v>
      </c>
      <c r="Q45" s="112">
        <v>4.63</v>
      </c>
    </row>
    <row r="46" spans="1:17" customFormat="1">
      <c r="A46" s="80">
        <v>45554.395833333336</v>
      </c>
      <c r="B46" s="112">
        <v>9.26</v>
      </c>
      <c r="C46" s="112">
        <v>4.07</v>
      </c>
      <c r="D46" s="112">
        <v>14</v>
      </c>
      <c r="E46" s="112">
        <v>14.52</v>
      </c>
      <c r="F46" s="112">
        <v>5.54</v>
      </c>
      <c r="G46" s="112">
        <v>32.020000000000003</v>
      </c>
      <c r="H46" s="112">
        <v>8.75</v>
      </c>
      <c r="I46" s="112">
        <v>5.84</v>
      </c>
      <c r="J46" s="112">
        <v>0.16</v>
      </c>
      <c r="K46" s="112">
        <v>66.42</v>
      </c>
      <c r="L46" s="112">
        <v>30.89</v>
      </c>
      <c r="M46" s="112">
        <v>63.93</v>
      </c>
      <c r="N46" s="112">
        <v>232</v>
      </c>
      <c r="O46" s="112">
        <v>0</v>
      </c>
      <c r="P46" s="112">
        <v>0.57999999999999996</v>
      </c>
      <c r="Q46" s="112">
        <v>4.63</v>
      </c>
    </row>
    <row r="47" spans="1:17" customFormat="1">
      <c r="A47" s="80">
        <v>45554.40625</v>
      </c>
      <c r="B47" s="112">
        <v>9.24</v>
      </c>
      <c r="C47" s="112">
        <v>4.0999999999999996</v>
      </c>
      <c r="D47" s="112">
        <v>14</v>
      </c>
      <c r="E47" s="112">
        <v>13.97</v>
      </c>
      <c r="F47" s="112">
        <v>5.26</v>
      </c>
      <c r="G47" s="112">
        <v>51.47</v>
      </c>
      <c r="H47" s="112">
        <v>12.83</v>
      </c>
      <c r="I47" s="112">
        <v>5.92</v>
      </c>
      <c r="J47" s="112">
        <v>0.17</v>
      </c>
      <c r="K47" s="112">
        <v>291.19</v>
      </c>
      <c r="L47" s="112">
        <v>30.62</v>
      </c>
      <c r="M47" s="112">
        <v>65.72</v>
      </c>
      <c r="N47" s="112">
        <v>221.7</v>
      </c>
      <c r="O47" s="112">
        <v>0</v>
      </c>
      <c r="P47" s="112">
        <v>0.6</v>
      </c>
      <c r="Q47" s="112">
        <v>4.63</v>
      </c>
    </row>
    <row r="48" spans="1:17" customFormat="1">
      <c r="A48" s="80">
        <v>45554.416666666664</v>
      </c>
      <c r="B48" s="112">
        <v>9.24</v>
      </c>
      <c r="C48" s="112">
        <v>4.09</v>
      </c>
      <c r="D48" s="112">
        <v>14</v>
      </c>
      <c r="E48" s="112">
        <v>13.62</v>
      </c>
      <c r="F48" s="112">
        <v>5.4</v>
      </c>
      <c r="G48" s="112">
        <v>51.47</v>
      </c>
      <c r="H48" s="112">
        <v>12.83</v>
      </c>
      <c r="I48" s="112">
        <v>6.02</v>
      </c>
      <c r="J48" s="112">
        <v>0.61</v>
      </c>
      <c r="K48" s="112">
        <v>62.23</v>
      </c>
      <c r="L48" s="112">
        <v>31.44</v>
      </c>
      <c r="M48" s="112">
        <v>62.71</v>
      </c>
      <c r="N48" s="112">
        <v>184</v>
      </c>
      <c r="O48" s="112">
        <v>0</v>
      </c>
      <c r="P48" s="112">
        <v>0.6</v>
      </c>
      <c r="Q48" s="112">
        <v>4.63</v>
      </c>
    </row>
    <row r="49" spans="1:17" customFormat="1">
      <c r="A49" s="80">
        <v>45554.427083333336</v>
      </c>
      <c r="B49" s="112">
        <v>9.27</v>
      </c>
      <c r="C49" s="112">
        <v>4.07</v>
      </c>
      <c r="D49" s="112">
        <v>14.01</v>
      </c>
      <c r="E49" s="112">
        <v>10.38</v>
      </c>
      <c r="F49" s="112">
        <v>7.62</v>
      </c>
      <c r="G49" s="112">
        <v>51.47</v>
      </c>
      <c r="H49" s="112">
        <v>12.83</v>
      </c>
      <c r="I49" s="112">
        <v>6.39</v>
      </c>
      <c r="J49" s="112">
        <v>0.44</v>
      </c>
      <c r="K49" s="112">
        <v>64.849999999999994</v>
      </c>
      <c r="L49" s="112">
        <v>31.79</v>
      </c>
      <c r="M49" s="112">
        <v>59.79</v>
      </c>
      <c r="N49" s="112">
        <v>217.6</v>
      </c>
      <c r="O49" s="112">
        <v>0</v>
      </c>
      <c r="P49" s="112">
        <v>0.62</v>
      </c>
      <c r="Q49" s="112">
        <v>4.62</v>
      </c>
    </row>
    <row r="50" spans="1:17" customFormat="1">
      <c r="A50" s="80">
        <v>45554.4375</v>
      </c>
      <c r="B50" s="112">
        <v>9.2799999999999994</v>
      </c>
      <c r="C50" s="112">
        <v>4.0599999999999996</v>
      </c>
      <c r="D50" s="112">
        <v>14.01</v>
      </c>
      <c r="E50" s="112">
        <v>12.2</v>
      </c>
      <c r="F50" s="112">
        <v>7.08</v>
      </c>
      <c r="G50" s="112">
        <v>51.85</v>
      </c>
      <c r="H50" s="112">
        <v>12.81</v>
      </c>
      <c r="I50" s="112">
        <v>6.5</v>
      </c>
      <c r="J50" s="112">
        <v>0.09</v>
      </c>
      <c r="K50" s="112">
        <v>30.98</v>
      </c>
      <c r="L50" s="112">
        <v>31.59</v>
      </c>
      <c r="M50" s="112">
        <v>58.62</v>
      </c>
      <c r="N50" s="112">
        <v>211.1</v>
      </c>
      <c r="O50" s="112">
        <v>0</v>
      </c>
      <c r="P50" s="112">
        <v>0.63</v>
      </c>
      <c r="Q50" s="112">
        <v>4.6100000000000003</v>
      </c>
    </row>
    <row r="51" spans="1:17" customFormat="1">
      <c r="A51" s="80">
        <v>45554.447916666664</v>
      </c>
      <c r="B51" s="112">
        <v>9.32</v>
      </c>
      <c r="C51" s="112">
        <v>4.0599999999999996</v>
      </c>
      <c r="D51" s="112">
        <v>14.05</v>
      </c>
      <c r="E51" s="112">
        <v>12.64</v>
      </c>
      <c r="F51" s="112">
        <v>4.91</v>
      </c>
      <c r="G51" s="112">
        <v>55.81</v>
      </c>
      <c r="H51" s="112">
        <v>12.6</v>
      </c>
      <c r="I51" s="112">
        <v>6.54</v>
      </c>
      <c r="J51" s="112">
        <v>0.28000000000000003</v>
      </c>
      <c r="K51" s="112">
        <v>261.66000000000003</v>
      </c>
      <c r="L51" s="112">
        <v>30.64</v>
      </c>
      <c r="M51" s="112">
        <v>64.89</v>
      </c>
      <c r="N51" s="112">
        <v>129.80000000000001</v>
      </c>
      <c r="O51" s="112">
        <v>0</v>
      </c>
      <c r="P51" s="112">
        <v>0.62</v>
      </c>
      <c r="Q51" s="112">
        <v>4.6100000000000003</v>
      </c>
    </row>
    <row r="52" spans="1:17" customFormat="1">
      <c r="A52" s="80">
        <v>45554.458333333336</v>
      </c>
      <c r="B52" s="112">
        <v>9.2899999999999991</v>
      </c>
      <c r="C52" s="112">
        <v>4.0999999999999996</v>
      </c>
      <c r="D52" s="112">
        <v>14.05</v>
      </c>
      <c r="E52" s="112">
        <v>12.1</v>
      </c>
      <c r="F52" s="112">
        <v>4.62</v>
      </c>
      <c r="G52" s="112">
        <v>55.81</v>
      </c>
      <c r="H52" s="112">
        <v>12.6</v>
      </c>
      <c r="I52" s="112">
        <v>6.56</v>
      </c>
      <c r="J52" s="112">
        <v>0.17</v>
      </c>
      <c r="K52" s="112">
        <v>252.32</v>
      </c>
      <c r="L52" s="112">
        <v>30.65</v>
      </c>
      <c r="M52" s="112">
        <v>65.05</v>
      </c>
      <c r="N52" s="112">
        <v>258.5</v>
      </c>
      <c r="O52" s="112">
        <v>0</v>
      </c>
      <c r="P52" s="112">
        <v>0.63</v>
      </c>
      <c r="Q52" s="112">
        <v>4.6399999999999997</v>
      </c>
    </row>
    <row r="53" spans="1:17" customFormat="1">
      <c r="A53" s="80">
        <v>45554.46875</v>
      </c>
      <c r="B53" s="112">
        <v>9.2899999999999991</v>
      </c>
      <c r="C53" s="112">
        <v>4.0599999999999996</v>
      </c>
      <c r="D53" s="112">
        <v>14.02</v>
      </c>
      <c r="E53" s="112">
        <v>12.55</v>
      </c>
      <c r="F53" s="112">
        <v>5.0599999999999996</v>
      </c>
      <c r="G53" s="112">
        <v>55.81</v>
      </c>
      <c r="H53" s="112">
        <v>12.6</v>
      </c>
      <c r="I53" s="112">
        <v>6.64</v>
      </c>
      <c r="J53" s="112">
        <v>0.17</v>
      </c>
      <c r="K53" s="112">
        <v>6.13</v>
      </c>
      <c r="L53" s="112">
        <v>31.4</v>
      </c>
      <c r="M53" s="112">
        <v>61.61</v>
      </c>
      <c r="N53" s="112">
        <v>465.2</v>
      </c>
      <c r="O53" s="112">
        <v>0</v>
      </c>
      <c r="P53" s="112">
        <v>0.64</v>
      </c>
      <c r="Q53" s="112">
        <v>4.63</v>
      </c>
    </row>
    <row r="54" spans="1:17" customFormat="1">
      <c r="A54" s="80">
        <v>45554.479166666664</v>
      </c>
      <c r="B54" s="112">
        <v>9.27</v>
      </c>
      <c r="C54" s="112">
        <v>4.05</v>
      </c>
      <c r="D54" s="112">
        <v>14</v>
      </c>
      <c r="E54" s="112">
        <v>12.39</v>
      </c>
      <c r="F54" s="112">
        <v>5.61</v>
      </c>
      <c r="G54" s="112">
        <v>56.29</v>
      </c>
      <c r="H54" s="112">
        <v>14.33</v>
      </c>
      <c r="I54" s="112">
        <v>6.68</v>
      </c>
      <c r="J54" s="112">
        <v>0.14000000000000001</v>
      </c>
      <c r="K54" s="112">
        <v>226.88</v>
      </c>
      <c r="L54" s="112">
        <v>31.77</v>
      </c>
      <c r="M54" s="112">
        <v>61.38</v>
      </c>
      <c r="N54" s="112">
        <v>448.1</v>
      </c>
      <c r="O54" s="112">
        <v>0</v>
      </c>
      <c r="P54" s="112">
        <v>0.64</v>
      </c>
      <c r="Q54" s="112">
        <v>4.63</v>
      </c>
    </row>
    <row r="55" spans="1:17" customFormat="1">
      <c r="A55" s="80">
        <v>45554.489583333336</v>
      </c>
      <c r="B55" s="112">
        <v>9.2799999999999994</v>
      </c>
      <c r="C55" s="112">
        <v>4.1100000000000003</v>
      </c>
      <c r="D55" s="112">
        <v>14.04</v>
      </c>
      <c r="E55" s="112">
        <v>12.96</v>
      </c>
      <c r="F55" s="112">
        <v>6.43</v>
      </c>
      <c r="G55" s="112">
        <v>61.15</v>
      </c>
      <c r="H55" s="112">
        <v>27.12</v>
      </c>
      <c r="I55" s="112">
        <v>6.72</v>
      </c>
      <c r="J55" s="112">
        <v>0.2</v>
      </c>
      <c r="K55" s="112">
        <v>340.5</v>
      </c>
      <c r="L55" s="112">
        <v>31.7</v>
      </c>
      <c r="M55" s="112">
        <v>58.62</v>
      </c>
      <c r="N55" s="112">
        <v>382.1</v>
      </c>
      <c r="O55" s="112">
        <v>0</v>
      </c>
      <c r="P55" s="112">
        <v>0.65</v>
      </c>
      <c r="Q55" s="112">
        <v>4.63</v>
      </c>
    </row>
    <row r="56" spans="1:17" customFormat="1">
      <c r="A56" s="80">
        <v>45554.5</v>
      </c>
      <c r="B56" s="112">
        <v>9.27</v>
      </c>
      <c r="C56" s="112">
        <v>4.0599999999999996</v>
      </c>
      <c r="D56" s="112">
        <v>14.01</v>
      </c>
      <c r="E56" s="112">
        <v>13.5</v>
      </c>
      <c r="F56" s="112">
        <v>9.56</v>
      </c>
      <c r="G56" s="112">
        <v>61.15</v>
      </c>
      <c r="H56" s="112">
        <v>27.12</v>
      </c>
      <c r="I56" s="112">
        <v>6.74</v>
      </c>
      <c r="J56" s="112">
        <v>0.2</v>
      </c>
      <c r="K56" s="112">
        <v>291.38</v>
      </c>
      <c r="L56" s="112">
        <v>30.97</v>
      </c>
      <c r="M56" s="112">
        <v>61.58</v>
      </c>
      <c r="N56" s="112">
        <v>131.9</v>
      </c>
      <c r="O56" s="112">
        <v>0</v>
      </c>
      <c r="P56" s="112">
        <v>0.65</v>
      </c>
      <c r="Q56" s="112">
        <v>4.6399999999999997</v>
      </c>
    </row>
    <row r="57" spans="1:17" customFormat="1">
      <c r="A57" s="80">
        <v>45554.510416666664</v>
      </c>
      <c r="B57" s="112">
        <v>9.31</v>
      </c>
      <c r="C57" s="112">
        <v>4.08</v>
      </c>
      <c r="D57" s="112">
        <v>14.05</v>
      </c>
      <c r="E57" s="112">
        <v>15.23</v>
      </c>
      <c r="F57" s="112">
        <v>14.02</v>
      </c>
      <c r="G57" s="112">
        <v>61.15</v>
      </c>
      <c r="H57" s="112">
        <v>27.12</v>
      </c>
      <c r="I57" s="112">
        <v>6.79</v>
      </c>
      <c r="J57" s="112">
        <v>0.67</v>
      </c>
      <c r="K57" s="112">
        <v>59.74</v>
      </c>
      <c r="L57" s="112">
        <v>31.11</v>
      </c>
      <c r="M57" s="112">
        <v>62.51</v>
      </c>
      <c r="N57" s="112">
        <v>283.60000000000002</v>
      </c>
      <c r="O57" s="112">
        <v>0</v>
      </c>
      <c r="P57" s="112">
        <v>0.62</v>
      </c>
      <c r="Q57" s="112">
        <v>4.67</v>
      </c>
    </row>
    <row r="58" spans="1:17" customFormat="1">
      <c r="A58" s="80">
        <v>45554.520833333336</v>
      </c>
      <c r="B58" s="112">
        <v>9.3800000000000008</v>
      </c>
      <c r="C58" s="112">
        <v>4.07</v>
      </c>
      <c r="D58" s="112">
        <v>14.09</v>
      </c>
      <c r="E58" s="112">
        <v>17</v>
      </c>
      <c r="F58" s="112">
        <v>12.85</v>
      </c>
      <c r="G58" s="112">
        <v>63.92</v>
      </c>
      <c r="H58" s="112">
        <v>27.61</v>
      </c>
      <c r="I58" s="112">
        <v>6.64</v>
      </c>
      <c r="J58" s="112">
        <v>0.47</v>
      </c>
      <c r="K58" s="112">
        <v>66.67</v>
      </c>
      <c r="L58" s="112">
        <v>31.68</v>
      </c>
      <c r="M58" s="112">
        <v>60.99</v>
      </c>
      <c r="N58" s="112">
        <v>379.7</v>
      </c>
      <c r="O58" s="112">
        <v>0</v>
      </c>
      <c r="P58" s="112">
        <v>0.6</v>
      </c>
      <c r="Q58" s="112">
        <v>4.67</v>
      </c>
    </row>
    <row r="59" spans="1:17" customFormat="1">
      <c r="A59" s="80">
        <v>45554.53125</v>
      </c>
      <c r="B59" s="112">
        <v>9.36</v>
      </c>
      <c r="C59" s="112">
        <v>4.0599999999999996</v>
      </c>
      <c r="D59" s="112">
        <v>14.08</v>
      </c>
      <c r="E59" s="112">
        <v>16.52</v>
      </c>
      <c r="F59" s="112">
        <v>12.38</v>
      </c>
      <c r="G59" s="112">
        <v>92.39</v>
      </c>
      <c r="H59" s="112">
        <v>31.21</v>
      </c>
      <c r="I59" s="112">
        <v>6.45</v>
      </c>
      <c r="J59" s="112">
        <v>0.28000000000000003</v>
      </c>
      <c r="K59" s="112">
        <v>62.52</v>
      </c>
      <c r="L59" s="112">
        <v>32.14</v>
      </c>
      <c r="M59" s="112">
        <v>57.56</v>
      </c>
      <c r="N59" s="112">
        <v>386.3</v>
      </c>
      <c r="O59" s="112">
        <v>0</v>
      </c>
      <c r="P59" s="112">
        <v>0.57999999999999996</v>
      </c>
      <c r="Q59" s="112">
        <v>4.67</v>
      </c>
    </row>
    <row r="60" spans="1:17" customFormat="1">
      <c r="A60" s="80">
        <v>45554.541666666664</v>
      </c>
      <c r="B60" s="112">
        <v>9.31</v>
      </c>
      <c r="C60" s="112">
        <v>4.08</v>
      </c>
      <c r="D60" s="112">
        <v>14.04</v>
      </c>
      <c r="E60" s="112">
        <v>19.11</v>
      </c>
      <c r="F60" s="112">
        <v>14.59</v>
      </c>
      <c r="G60" s="112">
        <v>92.39</v>
      </c>
      <c r="H60" s="112">
        <v>31.21</v>
      </c>
      <c r="I60" s="112">
        <v>6.39</v>
      </c>
      <c r="J60" s="112">
        <v>0.3</v>
      </c>
      <c r="K60" s="112">
        <v>30.39</v>
      </c>
      <c r="L60" s="112">
        <v>31.52</v>
      </c>
      <c r="M60" s="112">
        <v>59.69</v>
      </c>
      <c r="N60" s="112">
        <v>203.2</v>
      </c>
      <c r="O60" s="112">
        <v>0</v>
      </c>
      <c r="P60" s="112">
        <v>0.59</v>
      </c>
      <c r="Q60" s="112">
        <v>4.66</v>
      </c>
    </row>
    <row r="61" spans="1:17" customFormat="1">
      <c r="A61" s="80">
        <v>45554.552083333336</v>
      </c>
      <c r="B61" s="112">
        <v>9.25</v>
      </c>
      <c r="C61" s="112">
        <v>4.09</v>
      </c>
      <c r="D61" s="112">
        <v>14</v>
      </c>
      <c r="E61" s="112">
        <v>22.91</v>
      </c>
      <c r="F61" s="112">
        <v>12.67</v>
      </c>
      <c r="G61" s="112">
        <v>92.39</v>
      </c>
      <c r="H61" s="112">
        <v>31.21</v>
      </c>
      <c r="I61" s="112">
        <v>6.3</v>
      </c>
      <c r="J61" s="112">
        <v>0.28999999999999998</v>
      </c>
      <c r="K61" s="112">
        <v>42.61</v>
      </c>
      <c r="L61" s="112">
        <v>31.62</v>
      </c>
      <c r="M61" s="112">
        <v>58.54</v>
      </c>
      <c r="N61" s="112">
        <v>200.2</v>
      </c>
      <c r="O61" s="112">
        <v>0</v>
      </c>
      <c r="P61" s="112">
        <v>0.6</v>
      </c>
      <c r="Q61" s="112">
        <v>4.66</v>
      </c>
    </row>
    <row r="62" spans="1:17" customFormat="1">
      <c r="A62" s="80">
        <v>45554.5625</v>
      </c>
      <c r="B62" s="112">
        <v>9.2200000000000006</v>
      </c>
      <c r="C62" s="112">
        <v>4.13</v>
      </c>
      <c r="D62" s="112">
        <v>14</v>
      </c>
      <c r="E62" s="112">
        <v>20.74</v>
      </c>
      <c r="F62" s="112">
        <v>12.85</v>
      </c>
      <c r="G62" s="112">
        <v>93.34</v>
      </c>
      <c r="H62" s="112">
        <v>31.98</v>
      </c>
      <c r="I62" s="112">
        <v>6.14</v>
      </c>
      <c r="J62" s="112">
        <v>0.33</v>
      </c>
      <c r="K62" s="112">
        <v>39.92</v>
      </c>
      <c r="L62" s="112">
        <v>31.4</v>
      </c>
      <c r="M62" s="112">
        <v>58.62</v>
      </c>
      <c r="N62" s="112">
        <v>230</v>
      </c>
      <c r="O62" s="112">
        <v>0</v>
      </c>
      <c r="P62" s="112">
        <v>0.59</v>
      </c>
      <c r="Q62" s="112">
        <v>4.6399999999999997</v>
      </c>
    </row>
    <row r="63" spans="1:17" customFormat="1">
      <c r="A63" s="80">
        <v>45554.572916666664</v>
      </c>
      <c r="B63" s="112">
        <v>9.19</v>
      </c>
      <c r="C63" s="112">
        <v>4.17</v>
      </c>
      <c r="D63" s="112">
        <v>14</v>
      </c>
      <c r="E63" s="112">
        <v>19.96</v>
      </c>
      <c r="F63" s="112">
        <v>14.1</v>
      </c>
      <c r="G63" s="112">
        <v>101.93</v>
      </c>
      <c r="H63" s="112">
        <v>37.729999999999997</v>
      </c>
      <c r="I63" s="112">
        <v>5.98</v>
      </c>
      <c r="J63" s="112">
        <v>0.69</v>
      </c>
      <c r="K63" s="112">
        <v>52</v>
      </c>
      <c r="L63" s="112">
        <v>31.64</v>
      </c>
      <c r="M63" s="112">
        <v>59.74</v>
      </c>
      <c r="N63" s="112">
        <v>269.10000000000002</v>
      </c>
      <c r="O63" s="112">
        <v>0</v>
      </c>
      <c r="P63" s="112">
        <v>0.56999999999999995</v>
      </c>
      <c r="Q63" s="112">
        <v>4.66</v>
      </c>
    </row>
    <row r="64" spans="1:17" customFormat="1">
      <c r="A64" s="80">
        <v>45554.583333333336</v>
      </c>
      <c r="B64" s="112">
        <v>9.18</v>
      </c>
      <c r="C64" s="112">
        <v>4.2</v>
      </c>
      <c r="D64" s="112">
        <v>14</v>
      </c>
      <c r="E64" s="112">
        <v>19.059999999999999</v>
      </c>
      <c r="F64" s="112">
        <v>10.98</v>
      </c>
      <c r="G64" s="112">
        <v>101.93</v>
      </c>
      <c r="H64" s="112">
        <v>37.729999999999997</v>
      </c>
      <c r="I64" s="112">
        <v>5.9</v>
      </c>
      <c r="J64" s="112">
        <v>0.68</v>
      </c>
      <c r="K64" s="112">
        <v>51.29</v>
      </c>
      <c r="L64" s="112">
        <v>32.119999999999997</v>
      </c>
      <c r="M64" s="112">
        <v>56.58</v>
      </c>
      <c r="N64" s="112">
        <v>190.8</v>
      </c>
      <c r="O64" s="112">
        <v>0</v>
      </c>
      <c r="P64" s="112">
        <v>0.56999999999999995</v>
      </c>
      <c r="Q64" s="112">
        <v>4.67</v>
      </c>
    </row>
    <row r="65" spans="1:17" customFormat="1">
      <c r="A65" s="80">
        <v>45554.59375</v>
      </c>
      <c r="B65" s="112">
        <v>9.17</v>
      </c>
      <c r="C65" s="112">
        <v>4.21</v>
      </c>
      <c r="D65" s="112">
        <v>14</v>
      </c>
      <c r="E65" s="112">
        <v>19.29</v>
      </c>
      <c r="F65" s="112">
        <v>10.17</v>
      </c>
      <c r="G65" s="112">
        <v>101.93</v>
      </c>
      <c r="H65" s="112">
        <v>37.729999999999997</v>
      </c>
      <c r="I65" s="112">
        <v>6.06</v>
      </c>
      <c r="J65" s="112">
        <v>0.69</v>
      </c>
      <c r="K65" s="112">
        <v>54.06</v>
      </c>
      <c r="L65" s="112">
        <v>31.63</v>
      </c>
      <c r="M65" s="112">
        <v>58.13</v>
      </c>
      <c r="N65" s="112">
        <v>166.4</v>
      </c>
      <c r="O65" s="112">
        <v>0</v>
      </c>
      <c r="P65" s="112">
        <v>0.53</v>
      </c>
      <c r="Q65" s="112">
        <v>4.68</v>
      </c>
    </row>
    <row r="66" spans="1:17" customFormat="1">
      <c r="A66" s="80">
        <v>45554.604166666664</v>
      </c>
      <c r="B66" s="112">
        <v>9.19</v>
      </c>
      <c r="C66" s="112">
        <v>4.18</v>
      </c>
      <c r="D66" s="112">
        <v>14</v>
      </c>
      <c r="E66" s="112">
        <v>17.5</v>
      </c>
      <c r="F66" s="112">
        <v>11.48</v>
      </c>
      <c r="G66" s="112">
        <v>100.78</v>
      </c>
      <c r="H66" s="112">
        <v>36.99</v>
      </c>
      <c r="I66" s="112">
        <v>6.07</v>
      </c>
      <c r="J66" s="112">
        <v>0.52</v>
      </c>
      <c r="K66" s="112">
        <v>56.12</v>
      </c>
      <c r="L66" s="112">
        <v>31.77</v>
      </c>
      <c r="M66" s="112">
        <v>57.55</v>
      </c>
      <c r="N66" s="112">
        <v>154.30000000000001</v>
      </c>
      <c r="O66" s="112">
        <v>0</v>
      </c>
      <c r="P66" s="112">
        <v>0.54</v>
      </c>
      <c r="Q66" s="112">
        <v>4.66</v>
      </c>
    </row>
    <row r="67" spans="1:17" customFormat="1">
      <c r="A67" s="80">
        <v>45554.614583333336</v>
      </c>
      <c r="B67" s="112">
        <v>9.16</v>
      </c>
      <c r="C67" s="112">
        <v>4.22</v>
      </c>
      <c r="D67" s="112">
        <v>14</v>
      </c>
      <c r="E67" s="112">
        <v>16.510000000000002</v>
      </c>
      <c r="F67" s="112">
        <v>10.42</v>
      </c>
      <c r="G67" s="112">
        <v>89.01</v>
      </c>
      <c r="H67" s="112">
        <v>30.75</v>
      </c>
      <c r="I67" s="112">
        <v>5.84</v>
      </c>
      <c r="J67" s="112">
        <v>0.68</v>
      </c>
      <c r="K67" s="112">
        <v>53.84</v>
      </c>
      <c r="L67" s="112">
        <v>31.71</v>
      </c>
      <c r="M67" s="112">
        <v>59.24</v>
      </c>
      <c r="N67" s="112">
        <v>229.6</v>
      </c>
      <c r="O67" s="112">
        <v>0</v>
      </c>
      <c r="P67" s="112">
        <v>0.54</v>
      </c>
      <c r="Q67" s="112">
        <v>4.66</v>
      </c>
    </row>
    <row r="68" spans="1:17" customFormat="1">
      <c r="A68" s="80">
        <v>45554.625</v>
      </c>
      <c r="B68" s="112">
        <v>9.16</v>
      </c>
      <c r="C68" s="112">
        <v>4.21</v>
      </c>
      <c r="D68" s="112">
        <v>14</v>
      </c>
      <c r="E68" s="112">
        <v>16</v>
      </c>
      <c r="F68" s="112">
        <v>9.39</v>
      </c>
      <c r="G68" s="112">
        <v>89.01</v>
      </c>
      <c r="H68" s="112">
        <v>30.75</v>
      </c>
      <c r="I68" s="112">
        <v>5.58</v>
      </c>
      <c r="J68" s="112">
        <v>0.65</v>
      </c>
      <c r="K68" s="112">
        <v>55.18</v>
      </c>
      <c r="L68" s="112">
        <v>31.69</v>
      </c>
      <c r="M68" s="112">
        <v>58.29</v>
      </c>
      <c r="N68" s="112">
        <v>144.30000000000001</v>
      </c>
      <c r="O68" s="112">
        <v>0</v>
      </c>
      <c r="P68" s="112">
        <v>0.54</v>
      </c>
      <c r="Q68" s="112">
        <v>4.67</v>
      </c>
    </row>
    <row r="69" spans="1:17" customFormat="1">
      <c r="A69" s="80">
        <v>45554.635416666664</v>
      </c>
      <c r="B69" s="112">
        <v>9.18</v>
      </c>
      <c r="C69" s="112">
        <v>4.1900000000000004</v>
      </c>
      <c r="D69" s="112">
        <v>14</v>
      </c>
      <c r="E69" s="112">
        <v>15.32</v>
      </c>
      <c r="F69" s="112">
        <v>10.45</v>
      </c>
      <c r="G69" s="112">
        <v>89.01</v>
      </c>
      <c r="H69" s="112">
        <v>30.75</v>
      </c>
      <c r="I69" s="112">
        <v>5.69</v>
      </c>
      <c r="J69" s="112">
        <v>0.67</v>
      </c>
      <c r="K69" s="112">
        <v>55.01</v>
      </c>
      <c r="L69" s="112">
        <v>31.81</v>
      </c>
      <c r="M69" s="112">
        <v>55.56</v>
      </c>
      <c r="N69" s="112">
        <v>162</v>
      </c>
      <c r="O69" s="112">
        <v>0</v>
      </c>
      <c r="P69" s="112">
        <v>0.52</v>
      </c>
      <c r="Q69" s="112">
        <v>4.66</v>
      </c>
    </row>
    <row r="70" spans="1:17" customFormat="1">
      <c r="A70" s="80">
        <v>45554.645833333336</v>
      </c>
      <c r="B70" s="112">
        <v>9.19</v>
      </c>
      <c r="C70" s="112">
        <v>4.17</v>
      </c>
      <c r="D70" s="112">
        <v>14</v>
      </c>
      <c r="E70" s="112">
        <v>15.4</v>
      </c>
      <c r="F70" s="112">
        <v>11.74</v>
      </c>
      <c r="G70" s="112">
        <v>86.97</v>
      </c>
      <c r="H70" s="112">
        <v>29.91</v>
      </c>
      <c r="I70" s="112">
        <v>5.69</v>
      </c>
      <c r="J70" s="112">
        <v>0.84</v>
      </c>
      <c r="K70" s="112">
        <v>57.16</v>
      </c>
      <c r="L70" s="112">
        <v>31.75</v>
      </c>
      <c r="M70" s="112">
        <v>55.95</v>
      </c>
      <c r="N70" s="112">
        <v>254.9</v>
      </c>
      <c r="O70" s="112">
        <v>0</v>
      </c>
      <c r="P70" s="112">
        <v>0.52</v>
      </c>
      <c r="Q70" s="112">
        <v>4.67</v>
      </c>
    </row>
    <row r="71" spans="1:17" customFormat="1">
      <c r="A71" s="80">
        <v>45554.65625</v>
      </c>
      <c r="B71" s="112">
        <v>9.18</v>
      </c>
      <c r="C71" s="112">
        <v>4.2</v>
      </c>
      <c r="D71" s="112">
        <v>14</v>
      </c>
      <c r="E71" s="112">
        <v>15.16</v>
      </c>
      <c r="F71" s="112">
        <v>11.45</v>
      </c>
      <c r="G71" s="112">
        <v>68.56</v>
      </c>
      <c r="H71" s="112">
        <v>23.73</v>
      </c>
      <c r="I71" s="112">
        <v>5.75</v>
      </c>
      <c r="J71" s="112">
        <v>0.43</v>
      </c>
      <c r="K71" s="112">
        <v>48.33</v>
      </c>
      <c r="L71" s="112">
        <v>31.71</v>
      </c>
      <c r="M71" s="112">
        <v>57.55</v>
      </c>
      <c r="N71" s="112">
        <v>180.4</v>
      </c>
      <c r="O71" s="112">
        <v>0</v>
      </c>
      <c r="P71" s="112">
        <v>0.51</v>
      </c>
      <c r="Q71" s="112">
        <v>4.66</v>
      </c>
    </row>
    <row r="72" spans="1:17" customFormat="1">
      <c r="A72" s="80">
        <v>45554.666666666664</v>
      </c>
      <c r="B72" s="112">
        <v>9.18</v>
      </c>
      <c r="C72" s="112">
        <v>4.1900000000000004</v>
      </c>
      <c r="D72" s="112">
        <v>14</v>
      </c>
      <c r="E72" s="112">
        <v>15.5</v>
      </c>
      <c r="F72" s="112">
        <v>10.76</v>
      </c>
      <c r="G72" s="112">
        <v>68.56</v>
      </c>
      <c r="H72" s="112">
        <v>23.73</v>
      </c>
      <c r="I72" s="112">
        <v>5.94</v>
      </c>
      <c r="J72" s="112">
        <v>0.66</v>
      </c>
      <c r="K72" s="112">
        <v>52.86</v>
      </c>
      <c r="L72" s="112">
        <v>31.63</v>
      </c>
      <c r="M72" s="112">
        <v>57.64</v>
      </c>
      <c r="N72" s="112">
        <v>99.8</v>
      </c>
      <c r="O72" s="112">
        <v>0</v>
      </c>
      <c r="P72" s="112">
        <v>0.51</v>
      </c>
      <c r="Q72" s="112">
        <v>4.66</v>
      </c>
    </row>
    <row r="73" spans="1:17" customFormat="1">
      <c r="A73" s="80">
        <v>45554.677083333336</v>
      </c>
      <c r="B73" s="112">
        <v>9.17</v>
      </c>
      <c r="C73" s="112">
        <v>4.2</v>
      </c>
      <c r="D73" s="112">
        <v>14</v>
      </c>
      <c r="E73" s="112">
        <v>15.19</v>
      </c>
      <c r="F73" s="112">
        <v>11.83</v>
      </c>
      <c r="G73" s="112">
        <v>68.56</v>
      </c>
      <c r="H73" s="112">
        <v>23.73</v>
      </c>
      <c r="I73" s="112">
        <v>5.54</v>
      </c>
      <c r="J73" s="112">
        <v>0.95</v>
      </c>
      <c r="K73" s="112">
        <v>60.1</v>
      </c>
      <c r="L73" s="112">
        <v>31.24</v>
      </c>
      <c r="M73" s="112">
        <v>58.73</v>
      </c>
      <c r="N73" s="112">
        <v>64.8</v>
      </c>
      <c r="O73" s="112">
        <v>0</v>
      </c>
      <c r="P73" s="112">
        <v>0.49</v>
      </c>
      <c r="Q73" s="112">
        <v>4.67</v>
      </c>
    </row>
    <row r="74" spans="1:17" customFormat="1">
      <c r="A74" s="80">
        <v>45554.6875</v>
      </c>
      <c r="B74" s="112">
        <v>9.18</v>
      </c>
      <c r="C74" s="112">
        <v>4.1900000000000004</v>
      </c>
      <c r="D74" s="112">
        <v>14</v>
      </c>
      <c r="E74" s="112">
        <v>14.88</v>
      </c>
      <c r="F74" s="112">
        <v>11.83</v>
      </c>
      <c r="G74" s="112">
        <v>68.540000000000006</v>
      </c>
      <c r="H74" s="112">
        <v>24.03</v>
      </c>
      <c r="I74" s="112">
        <v>5.52</v>
      </c>
      <c r="J74" s="112">
        <v>0.85</v>
      </c>
      <c r="K74" s="112">
        <v>60.15</v>
      </c>
      <c r="L74" s="112">
        <v>31.04</v>
      </c>
      <c r="M74" s="112">
        <v>59.55</v>
      </c>
      <c r="N74" s="112">
        <v>62.5</v>
      </c>
      <c r="O74" s="112">
        <v>0</v>
      </c>
      <c r="P74" s="112">
        <v>0.49</v>
      </c>
      <c r="Q74" s="112">
        <v>4.67</v>
      </c>
    </row>
    <row r="75" spans="1:17" customFormat="1">
      <c r="A75" s="80">
        <v>45554.697916666664</v>
      </c>
      <c r="B75" s="112">
        <v>9.18</v>
      </c>
      <c r="C75" s="112">
        <v>4.1900000000000004</v>
      </c>
      <c r="D75" s="112">
        <v>14</v>
      </c>
      <c r="E75" s="112">
        <v>14.35</v>
      </c>
      <c r="F75" s="112">
        <v>11.32</v>
      </c>
      <c r="G75" s="112">
        <v>68.28</v>
      </c>
      <c r="H75" s="112">
        <v>26.27</v>
      </c>
      <c r="I75" s="112">
        <v>5.94</v>
      </c>
      <c r="J75" s="112">
        <v>0.76</v>
      </c>
      <c r="K75" s="112">
        <v>58.69</v>
      </c>
      <c r="L75" s="112">
        <v>31.13</v>
      </c>
      <c r="M75" s="112">
        <v>59.4</v>
      </c>
      <c r="N75" s="112">
        <v>60.1</v>
      </c>
      <c r="O75" s="112">
        <v>0</v>
      </c>
      <c r="P75" s="112">
        <v>0.49</v>
      </c>
      <c r="Q75" s="112">
        <v>4.66</v>
      </c>
    </row>
    <row r="76" spans="1:17" customFormat="1">
      <c r="A76" s="80">
        <v>45554.708333333336</v>
      </c>
      <c r="B76" s="112">
        <v>9.18</v>
      </c>
      <c r="C76" s="112">
        <v>4.1900000000000004</v>
      </c>
      <c r="D76" s="112">
        <v>14</v>
      </c>
      <c r="E76" s="112">
        <v>14.34</v>
      </c>
      <c r="F76" s="112">
        <v>11.89</v>
      </c>
      <c r="G76" s="112">
        <v>68.28</v>
      </c>
      <c r="H76" s="112">
        <v>26.27</v>
      </c>
      <c r="I76" s="112">
        <v>6.29</v>
      </c>
      <c r="J76" s="112">
        <v>0.65</v>
      </c>
      <c r="K76" s="112">
        <v>59.33</v>
      </c>
      <c r="L76" s="112">
        <v>31.05</v>
      </c>
      <c r="M76" s="112">
        <v>60.14</v>
      </c>
      <c r="N76" s="112">
        <v>43.2</v>
      </c>
      <c r="O76" s="112">
        <v>0</v>
      </c>
      <c r="P76" s="112">
        <v>0.53</v>
      </c>
      <c r="Q76" s="112">
        <v>4.6500000000000004</v>
      </c>
    </row>
    <row r="77" spans="1:17" customFormat="1">
      <c r="A77" s="80">
        <v>45554.71875</v>
      </c>
      <c r="B77" s="112">
        <v>9.17</v>
      </c>
      <c r="C77" s="112">
        <v>4.2</v>
      </c>
      <c r="D77" s="112">
        <v>14</v>
      </c>
      <c r="E77" s="112">
        <v>13.94</v>
      </c>
      <c r="F77" s="112">
        <v>10.9</v>
      </c>
      <c r="G77" s="112">
        <v>68.28</v>
      </c>
      <c r="H77" s="112">
        <v>26.27</v>
      </c>
      <c r="I77" s="112">
        <v>6.79</v>
      </c>
      <c r="J77" s="112">
        <v>0.52</v>
      </c>
      <c r="K77" s="112">
        <v>57.74</v>
      </c>
      <c r="L77" s="112">
        <v>30.89</v>
      </c>
      <c r="M77" s="112">
        <v>61.26</v>
      </c>
      <c r="N77" s="112">
        <v>30</v>
      </c>
      <c r="O77" s="112">
        <v>0</v>
      </c>
      <c r="P77" s="112">
        <v>0.54</v>
      </c>
      <c r="Q77" s="112">
        <v>4.6399999999999997</v>
      </c>
    </row>
    <row r="78" spans="1:17" customFormat="1">
      <c r="A78" s="80">
        <v>45554.729166666664</v>
      </c>
      <c r="B78" s="112">
        <v>9.17</v>
      </c>
      <c r="C78" s="112">
        <v>4.2</v>
      </c>
      <c r="D78" s="112">
        <v>14</v>
      </c>
      <c r="E78" s="112">
        <v>13.51</v>
      </c>
      <c r="F78" s="112">
        <v>12.23</v>
      </c>
      <c r="G78" s="112">
        <v>68.36</v>
      </c>
      <c r="H78" s="112">
        <v>26.02</v>
      </c>
      <c r="I78" s="112">
        <v>6.51</v>
      </c>
      <c r="J78" s="112">
        <v>0.52</v>
      </c>
      <c r="K78" s="112">
        <v>60.76</v>
      </c>
      <c r="L78" s="112">
        <v>30.59</v>
      </c>
      <c r="M78" s="112">
        <v>62.55</v>
      </c>
      <c r="N78" s="112">
        <v>18.3</v>
      </c>
      <c r="O78" s="112">
        <v>0</v>
      </c>
      <c r="P78" s="112">
        <v>0.56000000000000005</v>
      </c>
      <c r="Q78" s="112">
        <v>4.6500000000000004</v>
      </c>
    </row>
    <row r="79" spans="1:17" customFormat="1">
      <c r="A79" s="80">
        <v>45554.739583333336</v>
      </c>
      <c r="B79" s="112">
        <v>9.17</v>
      </c>
      <c r="C79" s="112">
        <v>4.2</v>
      </c>
      <c r="D79" s="112">
        <v>14</v>
      </c>
      <c r="E79" s="112">
        <v>13.51</v>
      </c>
      <c r="F79" s="112">
        <v>12.23</v>
      </c>
      <c r="G79" s="112">
        <v>68.36</v>
      </c>
      <c r="H79" s="112">
        <v>26.02</v>
      </c>
      <c r="I79" s="112">
        <v>6.51</v>
      </c>
      <c r="J79" s="112">
        <v>0.52</v>
      </c>
      <c r="K79" s="112">
        <v>60.76</v>
      </c>
      <c r="L79" s="112">
        <v>30.59</v>
      </c>
      <c r="M79" s="112">
        <v>62.55</v>
      </c>
      <c r="N79" s="112">
        <v>18.3</v>
      </c>
      <c r="O79" s="112">
        <v>0</v>
      </c>
      <c r="P79" s="112">
        <v>0.56000000000000005</v>
      </c>
      <c r="Q79" s="112">
        <v>4.6500000000000004</v>
      </c>
    </row>
    <row r="80" spans="1:17" customFormat="1">
      <c r="A80" s="80">
        <v>45554.75</v>
      </c>
      <c r="B80" s="112">
        <v>9.23</v>
      </c>
      <c r="C80" s="112">
        <v>4.1100000000000003</v>
      </c>
      <c r="D80" s="112">
        <v>14</v>
      </c>
      <c r="E80" s="112">
        <v>12.86</v>
      </c>
      <c r="F80" s="112">
        <v>9.2200000000000006</v>
      </c>
      <c r="G80" s="112">
        <v>69.209999999999994</v>
      </c>
      <c r="H80" s="112">
        <v>24.17</v>
      </c>
      <c r="I80" s="112">
        <v>6.07</v>
      </c>
      <c r="J80" s="112">
        <v>0.59</v>
      </c>
      <c r="K80" s="112">
        <v>60.01</v>
      </c>
      <c r="L80" s="112">
        <v>30.21</v>
      </c>
      <c r="M80" s="112">
        <v>63.93</v>
      </c>
      <c r="N80" s="112">
        <v>5.8</v>
      </c>
      <c r="O80" s="112">
        <v>0</v>
      </c>
      <c r="P80" s="112">
        <v>0.6</v>
      </c>
      <c r="Q80" s="112">
        <v>4.6399999999999997</v>
      </c>
    </row>
    <row r="81" spans="1:17" customFormat="1">
      <c r="A81" s="80">
        <v>45554.760416666664</v>
      </c>
      <c r="B81" s="112">
        <v>9.27</v>
      </c>
      <c r="C81" s="112">
        <v>4.07</v>
      </c>
      <c r="D81" s="112">
        <v>14.01</v>
      </c>
      <c r="E81" s="112">
        <v>8.2899999999999991</v>
      </c>
      <c r="F81" s="112">
        <v>8.07</v>
      </c>
      <c r="G81" s="112">
        <v>69.209999999999994</v>
      </c>
      <c r="H81" s="112">
        <v>24.17</v>
      </c>
      <c r="I81" s="112">
        <v>6.16</v>
      </c>
      <c r="J81" s="112">
        <v>0.57999999999999996</v>
      </c>
      <c r="K81" s="112">
        <v>67.83</v>
      </c>
      <c r="L81" s="112">
        <v>29.78</v>
      </c>
      <c r="M81" s="112">
        <v>66.09</v>
      </c>
      <c r="N81" s="112">
        <v>2.5</v>
      </c>
      <c r="O81" s="112">
        <v>0</v>
      </c>
      <c r="P81" s="112">
        <v>0.61</v>
      </c>
      <c r="Q81" s="112">
        <v>4.6500000000000004</v>
      </c>
    </row>
    <row r="82" spans="1:17" customFormat="1">
      <c r="A82" s="80">
        <v>45554.770833333336</v>
      </c>
      <c r="B82" s="112">
        <v>9.27</v>
      </c>
      <c r="C82" s="112">
        <v>4.0599999999999996</v>
      </c>
      <c r="D82" s="112">
        <v>14.01</v>
      </c>
      <c r="E82" s="112">
        <v>9.41</v>
      </c>
      <c r="F82" s="112">
        <v>7.33</v>
      </c>
      <c r="G82" s="112">
        <v>70.37</v>
      </c>
      <c r="H82" s="112">
        <v>23.36</v>
      </c>
      <c r="I82" s="112">
        <v>6.2</v>
      </c>
      <c r="J82" s="112">
        <v>0.44</v>
      </c>
      <c r="K82" s="112">
        <v>65.709999999999994</v>
      </c>
      <c r="L82" s="112">
        <v>29.56</v>
      </c>
      <c r="M82" s="112">
        <v>67.87</v>
      </c>
      <c r="N82" s="112">
        <v>2.4</v>
      </c>
      <c r="O82" s="112">
        <v>0</v>
      </c>
      <c r="P82" s="112">
        <v>0.63</v>
      </c>
      <c r="Q82" s="112">
        <v>4.63</v>
      </c>
    </row>
    <row r="83" spans="1:17" customFormat="1">
      <c r="A83" s="80">
        <v>45554.78125</v>
      </c>
      <c r="B83" s="112">
        <v>9.2200000000000006</v>
      </c>
      <c r="C83" s="112">
        <v>4.12</v>
      </c>
      <c r="D83" s="112">
        <v>14</v>
      </c>
      <c r="E83" s="112">
        <v>9.02</v>
      </c>
      <c r="F83" s="112">
        <v>7.2</v>
      </c>
      <c r="G83" s="112">
        <v>80.83</v>
      </c>
      <c r="H83" s="112">
        <v>17.41</v>
      </c>
      <c r="I83" s="112">
        <v>6.27</v>
      </c>
      <c r="J83" s="112">
        <v>0.51</v>
      </c>
      <c r="K83" s="112">
        <v>63.66</v>
      </c>
      <c r="L83" s="112">
        <v>29.45</v>
      </c>
      <c r="M83" s="112">
        <v>68.41</v>
      </c>
      <c r="N83" s="112">
        <v>2.2000000000000002</v>
      </c>
      <c r="O83" s="112">
        <v>0</v>
      </c>
      <c r="P83" s="112">
        <v>0.67</v>
      </c>
      <c r="Q83" s="112">
        <v>4.6399999999999997</v>
      </c>
    </row>
    <row r="84" spans="1:17" customFormat="1">
      <c r="A84" s="80">
        <v>45554.791666666664</v>
      </c>
      <c r="B84" s="112">
        <v>9.2100000000000009</v>
      </c>
      <c r="C84" s="112">
        <v>4.1399999999999997</v>
      </c>
      <c r="D84" s="112">
        <v>14</v>
      </c>
      <c r="E84" s="112">
        <v>9.39</v>
      </c>
      <c r="F84" s="112">
        <v>6.48</v>
      </c>
      <c r="G84" s="112">
        <v>80.83</v>
      </c>
      <c r="H84" s="112">
        <v>17.41</v>
      </c>
      <c r="I84" s="112">
        <v>6.39</v>
      </c>
      <c r="J84" s="112">
        <v>0.13</v>
      </c>
      <c r="K84" s="112">
        <v>86.93</v>
      </c>
      <c r="L84" s="112">
        <v>29.2</v>
      </c>
      <c r="M84" s="112">
        <v>72.19</v>
      </c>
      <c r="N84" s="112">
        <v>2.5</v>
      </c>
      <c r="O84" s="112">
        <v>0</v>
      </c>
      <c r="P84" s="112">
        <v>0.62</v>
      </c>
      <c r="Q84" s="112">
        <v>4.63</v>
      </c>
    </row>
    <row r="85" spans="1:17" customFormat="1">
      <c r="A85" s="80">
        <v>45554.802083333336</v>
      </c>
      <c r="B85" s="112">
        <v>9.2100000000000009</v>
      </c>
      <c r="C85" s="112">
        <v>4.1399999999999997</v>
      </c>
      <c r="D85" s="112">
        <v>14</v>
      </c>
      <c r="E85" s="112">
        <v>9.44</v>
      </c>
      <c r="F85" s="112">
        <v>6.14</v>
      </c>
      <c r="G85" s="112">
        <v>80.83</v>
      </c>
      <c r="H85" s="112">
        <v>17.41</v>
      </c>
      <c r="I85" s="112">
        <v>6.74</v>
      </c>
      <c r="J85" s="112">
        <v>0.18</v>
      </c>
      <c r="K85" s="112">
        <v>174.66</v>
      </c>
      <c r="L85" s="112">
        <v>28.36</v>
      </c>
      <c r="M85" s="112">
        <v>76.37</v>
      </c>
      <c r="N85" s="112">
        <v>2.6</v>
      </c>
      <c r="O85" s="112">
        <v>0</v>
      </c>
      <c r="P85" s="112">
        <v>0.6</v>
      </c>
      <c r="Q85" s="112">
        <v>4.63</v>
      </c>
    </row>
    <row r="86" spans="1:17" customFormat="1">
      <c r="A86" s="80">
        <v>45554.8125</v>
      </c>
      <c r="B86" s="112">
        <v>9.2200000000000006</v>
      </c>
      <c r="C86" s="112">
        <v>4.13</v>
      </c>
      <c r="D86" s="112">
        <v>14</v>
      </c>
      <c r="E86" s="112">
        <v>9.07</v>
      </c>
      <c r="F86" s="112">
        <v>5.76</v>
      </c>
      <c r="G86" s="112">
        <v>80.790000000000006</v>
      </c>
      <c r="H86" s="112">
        <v>17.88</v>
      </c>
      <c r="I86" s="112">
        <v>6.75</v>
      </c>
      <c r="J86" s="112">
        <v>0.17</v>
      </c>
      <c r="K86" s="112">
        <v>171.67</v>
      </c>
      <c r="L86" s="112">
        <v>28.09</v>
      </c>
      <c r="M86" s="112">
        <v>82.21</v>
      </c>
      <c r="N86" s="112">
        <v>2.5</v>
      </c>
      <c r="O86" s="112">
        <v>0</v>
      </c>
      <c r="P86" s="112">
        <v>0.62</v>
      </c>
      <c r="Q86" s="112">
        <v>4.62</v>
      </c>
    </row>
    <row r="87" spans="1:17" customFormat="1">
      <c r="A87" s="80">
        <v>45554.822916666664</v>
      </c>
      <c r="B87" s="112">
        <v>9.25</v>
      </c>
      <c r="C87" s="112">
        <v>4.08</v>
      </c>
      <c r="D87" s="112">
        <v>14</v>
      </c>
      <c r="E87" s="112">
        <v>9.08</v>
      </c>
      <c r="F87" s="112">
        <v>5.9</v>
      </c>
      <c r="G87" s="112">
        <v>80.47</v>
      </c>
      <c r="H87" s="112">
        <v>21.36</v>
      </c>
      <c r="I87" s="112">
        <v>6.82</v>
      </c>
      <c r="J87" s="112">
        <v>0.2</v>
      </c>
      <c r="K87" s="112">
        <v>166</v>
      </c>
      <c r="L87" s="112">
        <v>27.86</v>
      </c>
      <c r="M87" s="112">
        <v>83.6</v>
      </c>
      <c r="N87" s="112">
        <v>2.2000000000000002</v>
      </c>
      <c r="O87" s="112">
        <v>0</v>
      </c>
      <c r="P87" s="112">
        <v>0.63</v>
      </c>
      <c r="Q87" s="112">
        <v>4.62</v>
      </c>
    </row>
    <row r="88" spans="1:17" customFormat="1">
      <c r="A88" s="80">
        <v>45554.833333333336</v>
      </c>
      <c r="B88" s="112">
        <v>9.24</v>
      </c>
      <c r="C88" s="112">
        <v>4.09</v>
      </c>
      <c r="D88" s="112">
        <v>14</v>
      </c>
      <c r="E88" s="112">
        <v>9.34</v>
      </c>
      <c r="F88" s="112">
        <v>5.15</v>
      </c>
      <c r="G88" s="112">
        <v>80.47</v>
      </c>
      <c r="H88" s="112">
        <v>21.36</v>
      </c>
      <c r="I88" s="112">
        <v>6.92</v>
      </c>
      <c r="J88" s="112">
        <v>0.16</v>
      </c>
      <c r="K88" s="112">
        <v>192.87</v>
      </c>
      <c r="L88" s="112">
        <v>27.55</v>
      </c>
      <c r="M88" s="112">
        <v>84.74</v>
      </c>
      <c r="N88" s="112">
        <v>2.4</v>
      </c>
      <c r="O88" s="112">
        <v>0</v>
      </c>
      <c r="P88" s="112">
        <v>0.63</v>
      </c>
      <c r="Q88" s="112">
        <v>4.6399999999999997</v>
      </c>
    </row>
    <row r="89" spans="1:17" customFormat="1">
      <c r="A89" s="80">
        <v>45554.84375</v>
      </c>
      <c r="B89" s="112">
        <v>9.24</v>
      </c>
      <c r="C89" s="112">
        <v>4.09</v>
      </c>
      <c r="D89" s="112">
        <v>14</v>
      </c>
      <c r="E89" s="112">
        <v>9.1300000000000008</v>
      </c>
      <c r="F89" s="112">
        <v>4.43</v>
      </c>
      <c r="G89" s="112">
        <v>80.47</v>
      </c>
      <c r="H89" s="112">
        <v>21.36</v>
      </c>
      <c r="I89" s="112">
        <v>7.07</v>
      </c>
      <c r="J89" s="112">
        <v>0.18</v>
      </c>
      <c r="K89" s="112">
        <v>181.07</v>
      </c>
      <c r="L89" s="112">
        <v>27.25</v>
      </c>
      <c r="M89" s="112">
        <v>87.02</v>
      </c>
      <c r="N89" s="112">
        <v>2.2999999999999998</v>
      </c>
      <c r="O89" s="112">
        <v>0</v>
      </c>
      <c r="P89" s="112">
        <v>0.62</v>
      </c>
      <c r="Q89" s="112">
        <v>4.6500000000000004</v>
      </c>
    </row>
    <row r="90" spans="1:17" customFormat="1">
      <c r="A90" s="80">
        <v>45554.854166666664</v>
      </c>
      <c r="B90" s="112">
        <v>9.24</v>
      </c>
      <c r="C90" s="112">
        <v>4.0999999999999996</v>
      </c>
      <c r="D90" s="112">
        <v>14</v>
      </c>
      <c r="E90" s="112">
        <v>8.5299999999999994</v>
      </c>
      <c r="F90" s="112">
        <v>4.41</v>
      </c>
      <c r="G90" s="112">
        <v>80.11</v>
      </c>
      <c r="H90" s="112">
        <v>21.05</v>
      </c>
      <c r="I90" s="112">
        <v>7.09</v>
      </c>
      <c r="J90" s="112">
        <v>0.14000000000000001</v>
      </c>
      <c r="K90" s="112">
        <v>200.33</v>
      </c>
      <c r="L90" s="112">
        <v>26.98</v>
      </c>
      <c r="M90" s="112">
        <v>88.62</v>
      </c>
      <c r="N90" s="112">
        <v>2.1</v>
      </c>
      <c r="O90" s="112">
        <v>0</v>
      </c>
      <c r="P90" s="112">
        <v>0.63</v>
      </c>
      <c r="Q90" s="112">
        <v>4.6399999999999997</v>
      </c>
    </row>
    <row r="91" spans="1:17" customFormat="1">
      <c r="A91" s="80">
        <v>45554.864583333336</v>
      </c>
      <c r="B91" s="112">
        <v>9.25</v>
      </c>
      <c r="C91" s="112">
        <v>4.08</v>
      </c>
      <c r="D91" s="112">
        <v>14</v>
      </c>
      <c r="E91" s="112">
        <v>8.5500000000000007</v>
      </c>
      <c r="F91" s="112">
        <v>4.6100000000000003</v>
      </c>
      <c r="G91" s="112">
        <v>76.92</v>
      </c>
      <c r="H91" s="112">
        <v>18.739999999999998</v>
      </c>
      <c r="I91" s="112">
        <v>7.09</v>
      </c>
      <c r="J91" s="112">
        <v>0.09</v>
      </c>
      <c r="K91" s="112">
        <v>204.95</v>
      </c>
      <c r="L91" s="112">
        <v>26.81</v>
      </c>
      <c r="M91" s="112">
        <v>87.53</v>
      </c>
      <c r="N91" s="112">
        <v>2.1</v>
      </c>
      <c r="O91" s="112">
        <v>0</v>
      </c>
      <c r="P91" s="112">
        <v>0.62</v>
      </c>
      <c r="Q91" s="112">
        <v>4.6399999999999997</v>
      </c>
    </row>
    <row r="92" spans="1:17" customFormat="1">
      <c r="A92" s="80">
        <v>45554.875</v>
      </c>
      <c r="B92" s="112">
        <v>9.25</v>
      </c>
      <c r="C92" s="112">
        <v>4.09</v>
      </c>
      <c r="D92" s="112">
        <v>14</v>
      </c>
      <c r="E92" s="112">
        <v>8.85</v>
      </c>
      <c r="F92" s="112">
        <v>4.41</v>
      </c>
      <c r="G92" s="112">
        <v>76.92</v>
      </c>
      <c r="H92" s="112">
        <v>18.739999999999998</v>
      </c>
      <c r="I92" s="112">
        <v>7.01</v>
      </c>
      <c r="J92" s="112">
        <v>0.11</v>
      </c>
      <c r="K92" s="112">
        <v>199.64</v>
      </c>
      <c r="L92" s="112">
        <v>26.84</v>
      </c>
      <c r="M92" s="112">
        <v>87.66</v>
      </c>
      <c r="N92" s="112">
        <v>2</v>
      </c>
      <c r="O92" s="112">
        <v>0</v>
      </c>
      <c r="P92" s="112">
        <v>0.62</v>
      </c>
      <c r="Q92" s="112">
        <v>4.6500000000000004</v>
      </c>
    </row>
    <row r="93" spans="1:17" customFormat="1">
      <c r="A93" s="80">
        <v>45554.885416666664</v>
      </c>
      <c r="B93" s="112">
        <v>9.24</v>
      </c>
      <c r="C93" s="112">
        <v>4.09</v>
      </c>
      <c r="D93" s="112">
        <v>14</v>
      </c>
      <c r="E93" s="112">
        <v>8.65</v>
      </c>
      <c r="F93" s="112">
        <v>4.51</v>
      </c>
      <c r="G93" s="112">
        <v>76.92</v>
      </c>
      <c r="H93" s="112">
        <v>18.739999999999998</v>
      </c>
      <c r="I93" s="112">
        <v>7.07</v>
      </c>
      <c r="J93" s="112">
        <v>0.11</v>
      </c>
      <c r="K93" s="112">
        <v>195.58</v>
      </c>
      <c r="L93" s="112">
        <v>26.85</v>
      </c>
      <c r="M93" s="112">
        <v>88.84</v>
      </c>
      <c r="N93" s="112">
        <v>2.1</v>
      </c>
      <c r="O93" s="112">
        <v>0</v>
      </c>
      <c r="P93" s="112">
        <v>0.64</v>
      </c>
      <c r="Q93" s="112">
        <v>4.6500000000000004</v>
      </c>
    </row>
    <row r="94" spans="1:17" customFormat="1">
      <c r="A94" s="80">
        <v>45554.895833333336</v>
      </c>
      <c r="B94" s="112">
        <v>9.24</v>
      </c>
      <c r="C94" s="112">
        <v>4.09</v>
      </c>
      <c r="D94" s="112">
        <v>14</v>
      </c>
      <c r="E94" s="112">
        <v>8.7200000000000006</v>
      </c>
      <c r="F94" s="112">
        <v>5.08</v>
      </c>
      <c r="G94" s="112">
        <v>76.62</v>
      </c>
      <c r="H94" s="112">
        <v>18.86</v>
      </c>
      <c r="I94" s="112">
        <v>7.17</v>
      </c>
      <c r="J94" s="112">
        <v>0.14000000000000001</v>
      </c>
      <c r="K94" s="112">
        <v>182.7</v>
      </c>
      <c r="L94" s="112">
        <v>26.84</v>
      </c>
      <c r="M94" s="112">
        <v>90.26</v>
      </c>
      <c r="N94" s="112">
        <v>2.1</v>
      </c>
      <c r="O94" s="112">
        <v>0</v>
      </c>
      <c r="P94" s="112">
        <v>0.64</v>
      </c>
      <c r="Q94" s="112">
        <v>4.6500000000000004</v>
      </c>
    </row>
    <row r="95" spans="1:17" customFormat="1">
      <c r="A95" s="80">
        <v>45554.90625</v>
      </c>
      <c r="B95" s="112">
        <v>9.3000000000000007</v>
      </c>
      <c r="C95" s="112">
        <v>4.0599999999999996</v>
      </c>
      <c r="D95" s="112">
        <v>14.03</v>
      </c>
      <c r="E95" s="112">
        <v>8.51</v>
      </c>
      <c r="F95" s="112">
        <v>5.47</v>
      </c>
      <c r="G95" s="112">
        <v>73.53</v>
      </c>
      <c r="H95" s="112">
        <v>19.73</v>
      </c>
      <c r="I95" s="112">
        <v>7.31</v>
      </c>
      <c r="J95" s="112">
        <v>0.21</v>
      </c>
      <c r="K95" s="112">
        <v>170.2</v>
      </c>
      <c r="L95" s="112">
        <v>27.06</v>
      </c>
      <c r="M95" s="112">
        <v>89.81</v>
      </c>
      <c r="N95" s="112">
        <v>2.1</v>
      </c>
      <c r="O95" s="112">
        <v>0</v>
      </c>
      <c r="P95" s="112">
        <v>0.64</v>
      </c>
      <c r="Q95" s="112">
        <v>4.66</v>
      </c>
    </row>
    <row r="96" spans="1:17" customFormat="1">
      <c r="A96" s="80">
        <v>45554.916666666664</v>
      </c>
      <c r="B96" s="112">
        <v>9.2899999999999991</v>
      </c>
      <c r="C96" s="112">
        <v>4.07</v>
      </c>
      <c r="D96" s="112">
        <v>14.03</v>
      </c>
      <c r="E96" s="112">
        <v>8.9600000000000009</v>
      </c>
      <c r="F96" s="112">
        <v>7.62</v>
      </c>
      <c r="G96" s="112">
        <v>73.53</v>
      </c>
      <c r="H96" s="112">
        <v>19.73</v>
      </c>
      <c r="I96" s="112">
        <v>7.37</v>
      </c>
      <c r="J96" s="112">
        <v>0.13</v>
      </c>
      <c r="K96" s="112">
        <v>187.01</v>
      </c>
      <c r="L96" s="112">
        <v>26.86</v>
      </c>
      <c r="M96" s="112">
        <v>90.43</v>
      </c>
      <c r="N96" s="112">
        <v>2.1</v>
      </c>
      <c r="O96" s="112">
        <v>0</v>
      </c>
      <c r="P96" s="112">
        <v>0.62</v>
      </c>
      <c r="Q96" s="112">
        <v>4.67</v>
      </c>
    </row>
    <row r="97" spans="1:22" customFormat="1">
      <c r="A97" s="80">
        <v>45554.927083333336</v>
      </c>
      <c r="B97" s="112">
        <v>9.24</v>
      </c>
      <c r="C97" s="112">
        <v>4.0999999999999996</v>
      </c>
      <c r="D97" s="112">
        <v>14</v>
      </c>
      <c r="E97" s="112">
        <v>9.27</v>
      </c>
      <c r="F97" s="112">
        <v>7.84</v>
      </c>
      <c r="G97" s="112">
        <v>73.53</v>
      </c>
      <c r="H97" s="112">
        <v>19.73</v>
      </c>
      <c r="I97" s="112">
        <v>7.43</v>
      </c>
      <c r="J97" s="112">
        <v>0.16</v>
      </c>
      <c r="K97" s="112">
        <v>168.55</v>
      </c>
      <c r="L97" s="112">
        <v>26.68</v>
      </c>
      <c r="M97" s="112">
        <v>92.07</v>
      </c>
      <c r="N97" s="112">
        <v>2</v>
      </c>
      <c r="O97" s="112">
        <v>0</v>
      </c>
      <c r="P97" s="112">
        <v>0.62</v>
      </c>
      <c r="Q97" s="112">
        <v>4.67</v>
      </c>
    </row>
    <row r="98" spans="1:22" customFormat="1">
      <c r="A98" s="80">
        <v>45554.9375</v>
      </c>
      <c r="B98" s="112">
        <v>9.18</v>
      </c>
      <c r="C98" s="112">
        <v>4.18</v>
      </c>
      <c r="D98" s="112">
        <v>14</v>
      </c>
      <c r="E98" s="112">
        <v>9.11</v>
      </c>
      <c r="F98" s="112">
        <v>6.68</v>
      </c>
      <c r="G98" s="112">
        <v>73.239999999999995</v>
      </c>
      <c r="H98" s="112">
        <v>20</v>
      </c>
      <c r="I98" s="112">
        <v>7.4</v>
      </c>
      <c r="J98" s="112">
        <v>0.1</v>
      </c>
      <c r="K98" s="112">
        <v>179.81</v>
      </c>
      <c r="L98" s="112">
        <v>26.65</v>
      </c>
      <c r="M98" s="112">
        <v>92.32</v>
      </c>
      <c r="N98" s="112">
        <v>2.1</v>
      </c>
      <c r="O98" s="112">
        <v>0</v>
      </c>
      <c r="P98" s="112">
        <v>0.63</v>
      </c>
      <c r="Q98" s="112">
        <v>4.67</v>
      </c>
    </row>
    <row r="99" spans="1:22" customFormat="1">
      <c r="A99" s="80">
        <v>45554.947916666664</v>
      </c>
      <c r="B99" s="112">
        <v>9.18</v>
      </c>
      <c r="C99" s="112">
        <v>4.1900000000000004</v>
      </c>
      <c r="D99" s="112">
        <v>14</v>
      </c>
      <c r="E99" s="112">
        <v>9.57</v>
      </c>
      <c r="F99" s="112">
        <v>6.7</v>
      </c>
      <c r="G99" s="112">
        <v>70.58</v>
      </c>
      <c r="H99" s="112">
        <v>22</v>
      </c>
      <c r="I99" s="112">
        <v>7.36</v>
      </c>
      <c r="J99" s="112">
        <v>0.12</v>
      </c>
      <c r="K99" s="112">
        <v>174.16</v>
      </c>
      <c r="L99" s="112">
        <v>26.55</v>
      </c>
      <c r="M99" s="112">
        <v>93.16</v>
      </c>
      <c r="N99" s="112">
        <v>2.1</v>
      </c>
      <c r="O99" s="112">
        <v>0</v>
      </c>
      <c r="P99" s="112">
        <v>0.63</v>
      </c>
      <c r="Q99" s="112">
        <v>4.67</v>
      </c>
    </row>
    <row r="100" spans="1:22" customFormat="1">
      <c r="A100" s="80">
        <v>45554.958333333336</v>
      </c>
      <c r="B100" s="112">
        <v>9.1999999999999993</v>
      </c>
      <c r="C100" s="112">
        <v>4.16</v>
      </c>
      <c r="D100" s="112">
        <v>14</v>
      </c>
      <c r="E100" s="112">
        <v>9.44</v>
      </c>
      <c r="F100" s="112">
        <v>5.96</v>
      </c>
      <c r="G100" s="112">
        <v>70.58</v>
      </c>
      <c r="H100" s="112">
        <v>22</v>
      </c>
      <c r="I100" s="112">
        <v>7.31</v>
      </c>
      <c r="J100" s="112">
        <v>0.11</v>
      </c>
      <c r="K100" s="112">
        <v>207.54</v>
      </c>
      <c r="L100" s="112">
        <v>26.39</v>
      </c>
      <c r="M100" s="112">
        <v>94.23</v>
      </c>
      <c r="N100" s="112">
        <v>2.1</v>
      </c>
      <c r="O100" s="112">
        <v>0</v>
      </c>
      <c r="P100" s="112">
        <v>0.64</v>
      </c>
      <c r="Q100" s="112">
        <v>4.6500000000000004</v>
      </c>
    </row>
    <row r="101" spans="1:22" customFormat="1">
      <c r="A101" s="80">
        <v>45554.96875</v>
      </c>
      <c r="B101" s="112">
        <v>9.18</v>
      </c>
      <c r="C101" s="112">
        <v>4.18</v>
      </c>
      <c r="D101" s="112">
        <v>14</v>
      </c>
      <c r="E101" s="112">
        <v>9.24</v>
      </c>
      <c r="F101" s="112">
        <v>6.2</v>
      </c>
      <c r="G101" s="112">
        <v>70.58</v>
      </c>
      <c r="H101" s="112">
        <v>22</v>
      </c>
      <c r="I101" s="112">
        <v>7.38</v>
      </c>
      <c r="J101" s="112">
        <v>0.11</v>
      </c>
      <c r="K101" s="112">
        <v>200.12</v>
      </c>
      <c r="L101" s="112">
        <v>26.28</v>
      </c>
      <c r="M101" s="112">
        <v>94.08</v>
      </c>
      <c r="N101" s="112">
        <v>2.1</v>
      </c>
      <c r="O101" s="112">
        <v>0</v>
      </c>
      <c r="P101" s="112">
        <v>0.63</v>
      </c>
      <c r="Q101" s="112">
        <v>4.6500000000000004</v>
      </c>
    </row>
    <row r="102" spans="1:22" customFormat="1">
      <c r="A102" s="80">
        <v>45554.979166666664</v>
      </c>
      <c r="B102" s="112">
        <v>9.18</v>
      </c>
      <c r="C102" s="112">
        <v>4.1900000000000004</v>
      </c>
      <c r="D102" s="112">
        <v>14</v>
      </c>
      <c r="E102" s="112">
        <v>10.14</v>
      </c>
      <c r="F102" s="112">
        <v>5.91</v>
      </c>
      <c r="G102" s="112">
        <v>70.959999999999994</v>
      </c>
      <c r="H102" s="112">
        <v>22.53</v>
      </c>
      <c r="I102" s="112">
        <v>7.36</v>
      </c>
      <c r="J102" s="112">
        <v>0.11</v>
      </c>
      <c r="K102" s="112">
        <v>201.13</v>
      </c>
      <c r="L102" s="112">
        <v>26.25</v>
      </c>
      <c r="M102" s="112">
        <v>94.1</v>
      </c>
      <c r="N102" s="112">
        <v>2.1</v>
      </c>
      <c r="O102" s="112">
        <v>0</v>
      </c>
      <c r="P102" s="112">
        <v>0.64</v>
      </c>
      <c r="Q102" s="112">
        <v>4.66</v>
      </c>
    </row>
    <row r="103" spans="1:22" customFormat="1">
      <c r="A103" s="80">
        <v>45554.989583333336</v>
      </c>
      <c r="B103" s="112">
        <v>9.16</v>
      </c>
      <c r="C103" s="112">
        <v>4.22</v>
      </c>
      <c r="D103" s="112">
        <v>14</v>
      </c>
      <c r="E103" s="112">
        <v>9.9</v>
      </c>
      <c r="F103" s="112">
        <v>5.77</v>
      </c>
      <c r="G103" s="112">
        <v>74.33</v>
      </c>
      <c r="H103" s="112">
        <v>26.47</v>
      </c>
      <c r="I103" s="112">
        <v>7.33</v>
      </c>
      <c r="J103" s="112">
        <v>0.12</v>
      </c>
      <c r="K103" s="112">
        <v>187.5</v>
      </c>
      <c r="L103" s="112">
        <v>26.23</v>
      </c>
      <c r="M103" s="112">
        <v>94.43</v>
      </c>
      <c r="N103" s="112">
        <v>2.1</v>
      </c>
      <c r="O103" s="112">
        <v>0</v>
      </c>
      <c r="P103" s="112">
        <v>0.64</v>
      </c>
      <c r="Q103" s="112">
        <v>4.66</v>
      </c>
    </row>
    <row r="104" spans="1:22" customFormat="1">
      <c r="A104" s="80">
        <v>45555</v>
      </c>
      <c r="B104" s="112">
        <v>9.17</v>
      </c>
      <c r="C104" s="112">
        <v>4.2</v>
      </c>
      <c r="D104" s="112">
        <v>14</v>
      </c>
      <c r="E104" s="112">
        <v>10.11</v>
      </c>
      <c r="F104" s="112">
        <v>5.14</v>
      </c>
      <c r="G104" s="112">
        <v>74.33</v>
      </c>
      <c r="H104" s="112">
        <v>26.47</v>
      </c>
      <c r="I104" s="112">
        <v>7.37</v>
      </c>
      <c r="J104" s="112">
        <v>0.14000000000000001</v>
      </c>
      <c r="K104" s="112">
        <v>183.1</v>
      </c>
      <c r="L104" s="112">
        <v>26.3</v>
      </c>
      <c r="M104" s="112">
        <v>95.09</v>
      </c>
      <c r="N104" s="112">
        <v>2.1</v>
      </c>
      <c r="O104" s="112">
        <v>0</v>
      </c>
      <c r="P104" s="112">
        <v>0.65</v>
      </c>
      <c r="Q104" s="112">
        <v>4.6500000000000004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9.16</v>
      </c>
      <c r="C106" s="183">
        <f>MIN(C9:C104)</f>
        <v>4.0199999999999996</v>
      </c>
      <c r="D106" s="183">
        <f t="shared" ref="D106:Q106" si="0">MIN(D9:D104)</f>
        <v>14</v>
      </c>
      <c r="E106" s="183">
        <f t="shared" si="0"/>
        <v>8.2899999999999991</v>
      </c>
      <c r="F106" s="183">
        <f t="shared" si="0"/>
        <v>3.26</v>
      </c>
      <c r="G106" s="183">
        <f t="shared" si="0"/>
        <v>24.69</v>
      </c>
      <c r="H106" s="183">
        <f t="shared" si="0"/>
        <v>8.27</v>
      </c>
      <c r="I106" s="183">
        <f t="shared" si="0"/>
        <v>4.9400000000000004</v>
      </c>
      <c r="J106" s="183">
        <f t="shared" si="0"/>
        <v>0.04</v>
      </c>
      <c r="K106" s="183">
        <f t="shared" si="0"/>
        <v>4.0599999999999996</v>
      </c>
      <c r="L106" s="183">
        <f t="shared" si="0"/>
        <v>24.19</v>
      </c>
      <c r="M106" s="183">
        <f t="shared" si="0"/>
        <v>55.56</v>
      </c>
      <c r="N106" s="183">
        <f t="shared" si="0"/>
        <v>2</v>
      </c>
      <c r="O106" s="183">
        <f t="shared" si="0"/>
        <v>0</v>
      </c>
      <c r="P106" s="183">
        <f t="shared" si="0"/>
        <v>0.38</v>
      </c>
      <c r="Q106" s="183">
        <f t="shared" si="0"/>
        <v>4.6100000000000003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9.3800000000000008</v>
      </c>
      <c r="C107" s="184">
        <f t="shared" ref="C107:Q107" si="1">MAX(C9:C104)</f>
        <v>4.22</v>
      </c>
      <c r="D107" s="184">
        <f t="shared" si="1"/>
        <v>14.09</v>
      </c>
      <c r="E107" s="184">
        <f t="shared" si="1"/>
        <v>22.91</v>
      </c>
      <c r="F107" s="184">
        <f t="shared" si="1"/>
        <v>14.59</v>
      </c>
      <c r="G107" s="184">
        <f t="shared" si="1"/>
        <v>101.93</v>
      </c>
      <c r="H107" s="184">
        <f t="shared" si="1"/>
        <v>37.729999999999997</v>
      </c>
      <c r="I107" s="184">
        <f t="shared" si="1"/>
        <v>7.43</v>
      </c>
      <c r="J107" s="184">
        <f t="shared" si="1"/>
        <v>0.95</v>
      </c>
      <c r="K107" s="184">
        <f t="shared" si="1"/>
        <v>340.5</v>
      </c>
      <c r="L107" s="184">
        <f t="shared" si="1"/>
        <v>32.14</v>
      </c>
      <c r="M107" s="184">
        <f t="shared" si="1"/>
        <v>98.11</v>
      </c>
      <c r="N107" s="184">
        <f t="shared" si="1"/>
        <v>465.2</v>
      </c>
      <c r="O107" s="184">
        <f t="shared" si="1"/>
        <v>0</v>
      </c>
      <c r="P107" s="184">
        <f t="shared" si="1"/>
        <v>0.67</v>
      </c>
      <c r="Q107" s="184">
        <f t="shared" si="1"/>
        <v>4.68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9.2386458333333259</v>
      </c>
      <c r="C108" s="183">
        <f t="shared" ref="C108:Q108" si="2">AVERAGE(C9:C104)</f>
        <v>4.1139583333333318</v>
      </c>
      <c r="D108" s="183">
        <f t="shared" si="2"/>
        <v>14.008229166666665</v>
      </c>
      <c r="E108" s="183">
        <f t="shared" si="2"/>
        <v>12.756666666666668</v>
      </c>
      <c r="F108" s="183">
        <f t="shared" si="2"/>
        <v>6.651250000000001</v>
      </c>
      <c r="G108" s="183">
        <f t="shared" si="2"/>
        <v>58.480416666666677</v>
      </c>
      <c r="H108" s="183">
        <f t="shared" si="2"/>
        <v>18.617395833333337</v>
      </c>
      <c r="I108" s="183">
        <f t="shared" si="2"/>
        <v>6.1240624999999973</v>
      </c>
      <c r="J108" s="183">
        <f t="shared" si="2"/>
        <v>0.26645833333333335</v>
      </c>
      <c r="K108" s="183">
        <f t="shared" si="2"/>
        <v>145.95364583333335</v>
      </c>
      <c r="L108" s="183">
        <f t="shared" si="2"/>
        <v>28.114479166666683</v>
      </c>
      <c r="M108" s="183">
        <f t="shared" si="2"/>
        <v>78.850520833333334</v>
      </c>
      <c r="N108" s="183">
        <f t="shared" si="2"/>
        <v>91.110416666666694</v>
      </c>
      <c r="O108" s="183">
        <f t="shared" si="2"/>
        <v>0</v>
      </c>
      <c r="P108" s="183">
        <f t="shared" si="2"/>
        <v>0.52958333333333363</v>
      </c>
      <c r="Q108" s="183">
        <f t="shared" si="2"/>
        <v>4.6499999999999995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4.8026742367728248E-2</v>
      </c>
      <c r="C109" s="183">
        <f t="shared" ref="C109:Q109" si="3">STDEV(C9:C104)</f>
        <v>5.4896633329168755E-2</v>
      </c>
      <c r="D109" s="183">
        <f t="shared" si="3"/>
        <v>1.7228788127749285E-2</v>
      </c>
      <c r="E109" s="183">
        <f t="shared" si="3"/>
        <v>3.1257442622489786</v>
      </c>
      <c r="F109" s="183">
        <f t="shared" si="3"/>
        <v>3.2642962488107585</v>
      </c>
      <c r="G109" s="183">
        <f t="shared" si="3"/>
        <v>22.720392737370375</v>
      </c>
      <c r="H109" s="183">
        <f t="shared" si="3"/>
        <v>8.0430426613435948</v>
      </c>
      <c r="I109" s="183">
        <f t="shared" si="3"/>
        <v>0.72057079439627325</v>
      </c>
      <c r="J109" s="183">
        <f t="shared" si="3"/>
        <v>0.22890116997087437</v>
      </c>
      <c r="K109" s="183">
        <f t="shared" si="3"/>
        <v>78.898085789864396</v>
      </c>
      <c r="L109" s="183">
        <f t="shared" si="3"/>
        <v>2.8610796158061458</v>
      </c>
      <c r="M109" s="183">
        <f t="shared" si="3"/>
        <v>16.339811657085651</v>
      </c>
      <c r="N109" s="183">
        <f t="shared" si="3"/>
        <v>123.22955684341551</v>
      </c>
      <c r="O109" s="183">
        <f t="shared" si="3"/>
        <v>0</v>
      </c>
      <c r="P109" s="183">
        <f t="shared" si="3"/>
        <v>9.5629951998826734E-2</v>
      </c>
      <c r="Q109" s="183">
        <f t="shared" si="3"/>
        <v>1.4796870223836306E-2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45555.010416666664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45555.010416666664</v>
      </c>
      <c r="B9" s="112">
        <v>9.17</v>
      </c>
      <c r="C9" s="112">
        <v>4.2</v>
      </c>
      <c r="D9" s="112">
        <v>14</v>
      </c>
      <c r="E9" s="112">
        <v>10.42</v>
      </c>
      <c r="F9" s="112">
        <v>5</v>
      </c>
      <c r="G9" s="112">
        <v>74.33</v>
      </c>
      <c r="H9" s="112">
        <v>26.47</v>
      </c>
      <c r="I9" s="112">
        <v>7.39</v>
      </c>
      <c r="J9" s="112">
        <v>0.12</v>
      </c>
      <c r="K9" s="112">
        <v>195.37</v>
      </c>
      <c r="L9" s="112">
        <v>26.15</v>
      </c>
      <c r="M9" s="112">
        <v>95.43</v>
      </c>
      <c r="N9" s="112">
        <v>2.1</v>
      </c>
      <c r="O9" s="112">
        <v>0</v>
      </c>
      <c r="P9" s="112">
        <v>0.66</v>
      </c>
      <c r="Q9" s="112">
        <v>4.6500000000000004</v>
      </c>
    </row>
    <row r="10" spans="1:21" customFormat="1">
      <c r="A10" s="80">
        <v>45555.020833333336</v>
      </c>
      <c r="B10" s="112">
        <v>9.15</v>
      </c>
      <c r="C10" s="112">
        <v>4.2300000000000004</v>
      </c>
      <c r="D10" s="112">
        <v>14</v>
      </c>
      <c r="E10" s="112">
        <v>10.15</v>
      </c>
      <c r="F10" s="112">
        <v>5.66</v>
      </c>
      <c r="G10" s="112">
        <v>74.040000000000006</v>
      </c>
      <c r="H10" s="112">
        <v>26.22</v>
      </c>
      <c r="I10" s="112">
        <v>7.39</v>
      </c>
      <c r="J10" s="112">
        <v>0.13</v>
      </c>
      <c r="K10" s="112">
        <v>179.76</v>
      </c>
      <c r="L10" s="112">
        <v>26.07</v>
      </c>
      <c r="M10" s="112">
        <v>94.53</v>
      </c>
      <c r="N10" s="112">
        <v>2.1</v>
      </c>
      <c r="O10" s="112">
        <v>0</v>
      </c>
      <c r="P10" s="112">
        <v>0.66</v>
      </c>
      <c r="Q10" s="112">
        <v>4.66</v>
      </c>
    </row>
    <row r="11" spans="1:21" customFormat="1">
      <c r="A11" s="80">
        <v>45555.03125</v>
      </c>
      <c r="B11" s="112">
        <v>9.15</v>
      </c>
      <c r="C11" s="112">
        <v>4.24</v>
      </c>
      <c r="D11" s="112">
        <v>14</v>
      </c>
      <c r="E11" s="112">
        <v>9.94</v>
      </c>
      <c r="F11" s="112">
        <v>5.04</v>
      </c>
      <c r="G11" s="112">
        <v>71.39</v>
      </c>
      <c r="H11" s="112">
        <v>24.37</v>
      </c>
      <c r="I11" s="112">
        <v>7.4</v>
      </c>
      <c r="J11" s="112">
        <v>0.18</v>
      </c>
      <c r="K11" s="112">
        <v>167.36</v>
      </c>
      <c r="L11" s="112">
        <v>26.21</v>
      </c>
      <c r="M11" s="112">
        <v>93.94</v>
      </c>
      <c r="N11" s="112">
        <v>2.1</v>
      </c>
      <c r="O11" s="112">
        <v>0</v>
      </c>
      <c r="P11" s="112">
        <v>0.67</v>
      </c>
      <c r="Q11" s="112">
        <v>4.66</v>
      </c>
    </row>
    <row r="12" spans="1:21" customFormat="1">
      <c r="A12" s="80">
        <v>45555.041666666664</v>
      </c>
      <c r="B12" s="112">
        <v>9.16</v>
      </c>
      <c r="C12" s="112">
        <v>4.2300000000000004</v>
      </c>
      <c r="D12" s="112">
        <v>14</v>
      </c>
      <c r="E12" s="112">
        <v>10.4</v>
      </c>
      <c r="F12" s="112">
        <v>5.08</v>
      </c>
      <c r="G12" s="112">
        <v>71.39</v>
      </c>
      <c r="H12" s="112">
        <v>24.37</v>
      </c>
      <c r="I12" s="112">
        <v>7.38</v>
      </c>
      <c r="J12" s="112">
        <v>0.19</v>
      </c>
      <c r="K12" s="112">
        <v>178.41</v>
      </c>
      <c r="L12" s="112">
        <v>26.24</v>
      </c>
      <c r="M12" s="112">
        <v>93.64</v>
      </c>
      <c r="N12" s="112">
        <v>2</v>
      </c>
      <c r="O12" s="112">
        <v>0</v>
      </c>
      <c r="P12" s="112">
        <v>0.67</v>
      </c>
      <c r="Q12" s="112">
        <v>4.6399999999999997</v>
      </c>
    </row>
    <row r="13" spans="1:21" customFormat="1">
      <c r="A13" s="80">
        <v>45555.052083333336</v>
      </c>
      <c r="B13" s="112">
        <v>9.15</v>
      </c>
      <c r="C13" s="112">
        <v>4.24</v>
      </c>
      <c r="D13" s="112">
        <v>14</v>
      </c>
      <c r="E13" s="112">
        <v>10.210000000000001</v>
      </c>
      <c r="F13" s="112">
        <v>5.0599999999999996</v>
      </c>
      <c r="G13" s="112">
        <v>71.39</v>
      </c>
      <c r="H13" s="112">
        <v>24.37</v>
      </c>
      <c r="I13" s="112">
        <v>7.41</v>
      </c>
      <c r="J13" s="112">
        <v>0.13</v>
      </c>
      <c r="K13" s="112">
        <v>181.42</v>
      </c>
      <c r="L13" s="112">
        <v>26.09</v>
      </c>
      <c r="M13" s="112">
        <v>94.7</v>
      </c>
      <c r="N13" s="112">
        <v>2.1</v>
      </c>
      <c r="O13" s="112">
        <v>0</v>
      </c>
      <c r="P13" s="112">
        <v>0.67</v>
      </c>
      <c r="Q13" s="112">
        <v>4.6500000000000004</v>
      </c>
    </row>
    <row r="14" spans="1:21" customFormat="1">
      <c r="A14" s="80">
        <v>45555.0625</v>
      </c>
      <c r="B14" s="112">
        <v>9.16</v>
      </c>
      <c r="C14" s="112">
        <v>4.22</v>
      </c>
      <c r="D14" s="112">
        <v>14</v>
      </c>
      <c r="E14" s="112">
        <v>10.119999999999999</v>
      </c>
      <c r="F14" s="112">
        <v>5.0599999999999996</v>
      </c>
      <c r="G14" s="112">
        <v>70.73</v>
      </c>
      <c r="H14" s="112">
        <v>24.73</v>
      </c>
      <c r="I14" s="112">
        <v>7.4</v>
      </c>
      <c r="J14" s="112">
        <v>0.09</v>
      </c>
      <c r="K14" s="112">
        <v>196.29</v>
      </c>
      <c r="L14" s="112">
        <v>25.86</v>
      </c>
      <c r="M14" s="112">
        <v>95.96</v>
      </c>
      <c r="N14" s="112">
        <v>2.1</v>
      </c>
      <c r="O14" s="112">
        <v>0</v>
      </c>
      <c r="P14" s="112">
        <v>0.67</v>
      </c>
      <c r="Q14" s="112">
        <v>4.6399999999999997</v>
      </c>
    </row>
    <row r="15" spans="1:21" customFormat="1">
      <c r="A15" s="80">
        <v>45555.072916666664</v>
      </c>
      <c r="B15" s="112">
        <v>9.16</v>
      </c>
      <c r="C15" s="112">
        <v>4.22</v>
      </c>
      <c r="D15" s="112">
        <v>14</v>
      </c>
      <c r="E15" s="112">
        <v>10.24</v>
      </c>
      <c r="F15" s="112">
        <v>4.74</v>
      </c>
      <c r="G15" s="112">
        <v>63.9</v>
      </c>
      <c r="H15" s="112">
        <v>27.77</v>
      </c>
      <c r="I15" s="112">
        <v>7.44</v>
      </c>
      <c r="J15" s="112">
        <v>0.1</v>
      </c>
      <c r="K15" s="112">
        <v>179.31</v>
      </c>
      <c r="L15" s="112">
        <v>25.71</v>
      </c>
      <c r="M15" s="112">
        <v>96.57</v>
      </c>
      <c r="N15" s="112">
        <v>2.1</v>
      </c>
      <c r="O15" s="112">
        <v>0</v>
      </c>
      <c r="P15" s="112">
        <v>0.68</v>
      </c>
      <c r="Q15" s="112">
        <v>4.6500000000000004</v>
      </c>
    </row>
    <row r="16" spans="1:21" customFormat="1">
      <c r="A16" s="80">
        <v>45555.083333333336</v>
      </c>
      <c r="B16" s="112">
        <v>9.15</v>
      </c>
      <c r="C16" s="112">
        <v>4.2300000000000004</v>
      </c>
      <c r="D16" s="112">
        <v>14</v>
      </c>
      <c r="E16" s="112">
        <v>10.87</v>
      </c>
      <c r="F16" s="112">
        <v>4.4000000000000004</v>
      </c>
      <c r="G16" s="112">
        <v>63.9</v>
      </c>
      <c r="H16" s="112">
        <v>27.77</v>
      </c>
      <c r="I16" s="112">
        <v>7.41</v>
      </c>
      <c r="J16" s="112">
        <v>0.12</v>
      </c>
      <c r="K16" s="112">
        <v>162.88999999999999</v>
      </c>
      <c r="L16" s="112">
        <v>25.7</v>
      </c>
      <c r="M16" s="112">
        <v>96.74</v>
      </c>
      <c r="N16" s="112">
        <v>2.1</v>
      </c>
      <c r="O16" s="112">
        <v>0</v>
      </c>
      <c r="P16" s="112">
        <v>0.68</v>
      </c>
      <c r="Q16" s="112">
        <v>4.66</v>
      </c>
    </row>
    <row r="17" spans="1:17" customFormat="1">
      <c r="A17" s="80">
        <v>45555.09375</v>
      </c>
      <c r="B17" s="112">
        <v>9.15</v>
      </c>
      <c r="C17" s="112">
        <v>4.2300000000000004</v>
      </c>
      <c r="D17" s="112">
        <v>14</v>
      </c>
      <c r="E17" s="112">
        <v>8.82</v>
      </c>
      <c r="F17" s="112">
        <v>3.9</v>
      </c>
      <c r="G17" s="112">
        <v>63.9</v>
      </c>
      <c r="H17" s="112">
        <v>27.77</v>
      </c>
      <c r="I17" s="112">
        <v>7.44</v>
      </c>
      <c r="J17" s="112">
        <v>0.1</v>
      </c>
      <c r="K17" s="112">
        <v>198.36</v>
      </c>
      <c r="L17" s="112">
        <v>25.69</v>
      </c>
      <c r="M17" s="112">
        <v>96.32</v>
      </c>
      <c r="N17" s="112">
        <v>2.1</v>
      </c>
      <c r="O17" s="112">
        <v>0</v>
      </c>
      <c r="P17" s="112">
        <v>0.68</v>
      </c>
      <c r="Q17" s="112">
        <v>4.6500000000000004</v>
      </c>
    </row>
    <row r="18" spans="1:17" customFormat="1">
      <c r="A18" s="80">
        <v>45555.104166666664</v>
      </c>
      <c r="B18" s="112">
        <v>9.15</v>
      </c>
      <c r="C18" s="112">
        <v>4.2300000000000004</v>
      </c>
      <c r="D18" s="112">
        <v>14</v>
      </c>
      <c r="E18" s="112">
        <v>10.44</v>
      </c>
      <c r="F18" s="112">
        <v>3.78</v>
      </c>
      <c r="G18" s="112">
        <v>63.8</v>
      </c>
      <c r="H18" s="112">
        <v>27.48</v>
      </c>
      <c r="I18" s="112">
        <v>7.43</v>
      </c>
      <c r="J18" s="112">
        <v>0.1</v>
      </c>
      <c r="K18" s="112">
        <v>207.36</v>
      </c>
      <c r="L18" s="112">
        <v>25.62</v>
      </c>
      <c r="M18" s="112">
        <v>96.16</v>
      </c>
      <c r="N18" s="112">
        <v>2.1</v>
      </c>
      <c r="O18" s="112">
        <v>0</v>
      </c>
      <c r="P18" s="112">
        <v>0.69</v>
      </c>
      <c r="Q18" s="112">
        <v>4.66</v>
      </c>
    </row>
    <row r="19" spans="1:17" customFormat="1">
      <c r="A19" s="80">
        <v>45555.114583333336</v>
      </c>
      <c r="B19" s="112">
        <v>9.14</v>
      </c>
      <c r="C19" s="112">
        <v>4.24</v>
      </c>
      <c r="D19" s="112">
        <v>14</v>
      </c>
      <c r="E19" s="112">
        <v>10.210000000000001</v>
      </c>
      <c r="F19" s="112">
        <v>4.42</v>
      </c>
      <c r="G19" s="112">
        <v>62.75</v>
      </c>
      <c r="H19" s="112">
        <v>25.1</v>
      </c>
      <c r="I19" s="112">
        <v>7.45</v>
      </c>
      <c r="J19" s="112">
        <v>0.08</v>
      </c>
      <c r="K19" s="112">
        <v>196.81</v>
      </c>
      <c r="L19" s="112">
        <v>25.5</v>
      </c>
      <c r="M19" s="112">
        <v>96.84</v>
      </c>
      <c r="N19" s="112">
        <v>2.1</v>
      </c>
      <c r="O19" s="112">
        <v>0</v>
      </c>
      <c r="P19" s="112">
        <v>0.7</v>
      </c>
      <c r="Q19" s="112">
        <v>4.6500000000000004</v>
      </c>
    </row>
    <row r="20" spans="1:17" customFormat="1">
      <c r="A20" s="80">
        <v>45555.125</v>
      </c>
      <c r="B20" s="112">
        <v>9.19</v>
      </c>
      <c r="C20" s="112">
        <v>4.18</v>
      </c>
      <c r="D20" s="112">
        <v>14</v>
      </c>
      <c r="E20" s="112">
        <v>10</v>
      </c>
      <c r="F20" s="112">
        <v>4.3600000000000003</v>
      </c>
      <c r="G20" s="112">
        <v>62.75</v>
      </c>
      <c r="H20" s="112">
        <v>25.1</v>
      </c>
      <c r="I20" s="112">
        <v>7.46</v>
      </c>
      <c r="J20" s="112">
        <v>0.09</v>
      </c>
      <c r="K20" s="112">
        <v>187.54</v>
      </c>
      <c r="L20" s="112">
        <v>25.46</v>
      </c>
      <c r="M20" s="112">
        <v>97.37</v>
      </c>
      <c r="N20" s="112">
        <v>2.1</v>
      </c>
      <c r="O20" s="112">
        <v>0</v>
      </c>
      <c r="P20" s="112">
        <v>0.7</v>
      </c>
      <c r="Q20" s="112">
        <v>4.66</v>
      </c>
    </row>
    <row r="21" spans="1:17" customFormat="1">
      <c r="A21" s="80">
        <v>45555.135416666664</v>
      </c>
      <c r="B21" s="112">
        <v>9.17</v>
      </c>
      <c r="C21" s="112">
        <v>4.2</v>
      </c>
      <c r="D21" s="112">
        <v>14</v>
      </c>
      <c r="E21" s="112">
        <v>9.35</v>
      </c>
      <c r="F21" s="112">
        <v>4.4000000000000004</v>
      </c>
      <c r="G21" s="112">
        <v>62.75</v>
      </c>
      <c r="H21" s="112">
        <v>25.1</v>
      </c>
      <c r="I21" s="112">
        <v>7.53</v>
      </c>
      <c r="J21" s="112">
        <v>0.17</v>
      </c>
      <c r="K21" s="112">
        <v>174.51</v>
      </c>
      <c r="L21" s="112">
        <v>25.51</v>
      </c>
      <c r="M21" s="112">
        <v>97.7</v>
      </c>
      <c r="N21" s="112">
        <v>2.1</v>
      </c>
      <c r="O21" s="112">
        <v>0</v>
      </c>
      <c r="P21" s="112">
        <v>0.7</v>
      </c>
      <c r="Q21" s="112">
        <v>4.6500000000000004</v>
      </c>
    </row>
    <row r="22" spans="1:17" customFormat="1">
      <c r="A22" s="80">
        <v>45555.145833333336</v>
      </c>
      <c r="B22" s="112">
        <v>9.18</v>
      </c>
      <c r="C22" s="112">
        <v>4.1900000000000004</v>
      </c>
      <c r="D22" s="112">
        <v>14</v>
      </c>
      <c r="E22" s="112">
        <v>9.26</v>
      </c>
      <c r="F22" s="112">
        <v>4.78</v>
      </c>
      <c r="G22" s="112">
        <v>62.44</v>
      </c>
      <c r="H22" s="112">
        <v>25.73</v>
      </c>
      <c r="I22" s="112">
        <v>7.67</v>
      </c>
      <c r="J22" s="112">
        <v>0.15</v>
      </c>
      <c r="K22" s="112">
        <v>203.93</v>
      </c>
      <c r="L22" s="112">
        <v>25.45</v>
      </c>
      <c r="M22" s="112">
        <v>97.77</v>
      </c>
      <c r="N22" s="112">
        <v>2.1</v>
      </c>
      <c r="O22" s="112">
        <v>0</v>
      </c>
      <c r="P22" s="112">
        <v>0.7</v>
      </c>
      <c r="Q22" s="112">
        <v>4.6500000000000004</v>
      </c>
    </row>
    <row r="23" spans="1:17" customFormat="1">
      <c r="A23" s="80">
        <v>45555.15625</v>
      </c>
      <c r="B23" s="112">
        <v>9.15</v>
      </c>
      <c r="C23" s="112">
        <v>4.2300000000000004</v>
      </c>
      <c r="D23" s="112">
        <v>14</v>
      </c>
      <c r="E23" s="112">
        <v>8.64</v>
      </c>
      <c r="F23" s="112">
        <v>4.91</v>
      </c>
      <c r="G23" s="112">
        <v>59.22</v>
      </c>
      <c r="H23" s="112">
        <v>30.97</v>
      </c>
      <c r="I23" s="112">
        <v>7.69</v>
      </c>
      <c r="J23" s="112">
        <v>0.12</v>
      </c>
      <c r="K23" s="112">
        <v>184.89</v>
      </c>
      <c r="L23" s="112">
        <v>25.37</v>
      </c>
      <c r="M23" s="112">
        <v>98.39</v>
      </c>
      <c r="N23" s="112">
        <v>2.1</v>
      </c>
      <c r="O23" s="112">
        <v>0</v>
      </c>
      <c r="P23" s="112">
        <v>0.69</v>
      </c>
      <c r="Q23" s="112">
        <v>4.66</v>
      </c>
    </row>
    <row r="24" spans="1:17" customFormat="1">
      <c r="A24" s="80">
        <v>45555.166666666664</v>
      </c>
      <c r="B24" s="112">
        <v>9.16</v>
      </c>
      <c r="C24" s="112">
        <v>4.2300000000000004</v>
      </c>
      <c r="D24" s="112">
        <v>14</v>
      </c>
      <c r="E24" s="112">
        <v>8.9700000000000006</v>
      </c>
      <c r="F24" s="112">
        <v>4.46</v>
      </c>
      <c r="G24" s="112">
        <v>59.22</v>
      </c>
      <c r="H24" s="112">
        <v>30.97</v>
      </c>
      <c r="I24" s="112">
        <v>7.61</v>
      </c>
      <c r="J24" s="112">
        <v>0.1</v>
      </c>
      <c r="K24" s="112">
        <v>191.54</v>
      </c>
      <c r="L24" s="112">
        <v>25.28</v>
      </c>
      <c r="M24" s="112">
        <v>98.42</v>
      </c>
      <c r="N24" s="112">
        <v>2.1</v>
      </c>
      <c r="O24" s="112">
        <v>0</v>
      </c>
      <c r="P24" s="112">
        <v>0.7</v>
      </c>
      <c r="Q24" s="112">
        <v>4.6399999999999997</v>
      </c>
    </row>
    <row r="25" spans="1:17" customFormat="1">
      <c r="A25" s="80">
        <v>45555.177083333336</v>
      </c>
      <c r="B25" s="112">
        <v>9.15</v>
      </c>
      <c r="C25" s="112">
        <v>4.2300000000000004</v>
      </c>
      <c r="D25" s="112">
        <v>14</v>
      </c>
      <c r="E25" s="112">
        <v>9</v>
      </c>
      <c r="F25" s="112">
        <v>4.4000000000000004</v>
      </c>
      <c r="G25" s="112">
        <v>59.22</v>
      </c>
      <c r="H25" s="112">
        <v>30.97</v>
      </c>
      <c r="I25" s="112">
        <v>7.69</v>
      </c>
      <c r="J25" s="112">
        <v>0.11</v>
      </c>
      <c r="K25" s="112">
        <v>209.92</v>
      </c>
      <c r="L25" s="112">
        <v>25.29</v>
      </c>
      <c r="M25" s="112">
        <v>98.39</v>
      </c>
      <c r="N25" s="112">
        <v>2.1</v>
      </c>
      <c r="O25" s="112">
        <v>0</v>
      </c>
      <c r="P25" s="112">
        <v>0.7</v>
      </c>
      <c r="Q25" s="112">
        <v>4.6399999999999997</v>
      </c>
    </row>
    <row r="26" spans="1:17" customFormat="1">
      <c r="A26" s="80">
        <v>45555.1875</v>
      </c>
      <c r="B26" s="112">
        <v>9.15</v>
      </c>
      <c r="C26" s="112">
        <v>4.2300000000000004</v>
      </c>
      <c r="D26" s="112">
        <v>14</v>
      </c>
      <c r="E26" s="112">
        <v>8.3800000000000008</v>
      </c>
      <c r="F26" s="112">
        <v>4.55</v>
      </c>
      <c r="G26" s="112">
        <v>58.92</v>
      </c>
      <c r="H26" s="112">
        <v>30.51</v>
      </c>
      <c r="I26" s="112">
        <v>7.71</v>
      </c>
      <c r="J26" s="112">
        <v>0.14000000000000001</v>
      </c>
      <c r="K26" s="112">
        <v>184.49</v>
      </c>
      <c r="L26" s="112">
        <v>25.27</v>
      </c>
      <c r="M26" s="112">
        <v>98.73</v>
      </c>
      <c r="N26" s="112">
        <v>2.1</v>
      </c>
      <c r="O26" s="112">
        <v>0</v>
      </c>
      <c r="P26" s="112">
        <v>0.69</v>
      </c>
      <c r="Q26" s="112">
        <v>4.6500000000000004</v>
      </c>
    </row>
    <row r="27" spans="1:17" customFormat="1">
      <c r="A27" s="80">
        <v>45555.197916666664</v>
      </c>
      <c r="B27" s="112">
        <v>9.17</v>
      </c>
      <c r="C27" s="112">
        <v>4.2</v>
      </c>
      <c r="D27" s="112">
        <v>14</v>
      </c>
      <c r="E27" s="112">
        <v>8.74</v>
      </c>
      <c r="F27" s="112">
        <v>4.6900000000000004</v>
      </c>
      <c r="G27" s="112">
        <v>55.78</v>
      </c>
      <c r="H27" s="112">
        <v>26.61</v>
      </c>
      <c r="I27" s="112">
        <v>7.7</v>
      </c>
      <c r="J27" s="112">
        <v>0.09</v>
      </c>
      <c r="K27" s="112">
        <v>190.82</v>
      </c>
      <c r="L27" s="112">
        <v>25.22</v>
      </c>
      <c r="M27" s="112">
        <v>98.61</v>
      </c>
      <c r="N27" s="112">
        <v>2.1</v>
      </c>
      <c r="O27" s="112">
        <v>0</v>
      </c>
      <c r="P27" s="112">
        <v>0.69</v>
      </c>
      <c r="Q27" s="112">
        <v>4.6500000000000004</v>
      </c>
    </row>
    <row r="28" spans="1:17" customFormat="1">
      <c r="A28" s="80">
        <v>45555.208333333336</v>
      </c>
      <c r="B28" s="112">
        <v>9.15</v>
      </c>
      <c r="C28" s="112">
        <v>4.2300000000000004</v>
      </c>
      <c r="D28" s="112">
        <v>14</v>
      </c>
      <c r="E28" s="112">
        <v>8.66</v>
      </c>
      <c r="F28" s="112">
        <v>4.3</v>
      </c>
      <c r="G28" s="112">
        <v>55.78</v>
      </c>
      <c r="H28" s="112">
        <v>26.61</v>
      </c>
      <c r="I28" s="112">
        <v>7.59</v>
      </c>
      <c r="J28" s="112">
        <v>0.08</v>
      </c>
      <c r="K28" s="112">
        <v>175.69</v>
      </c>
      <c r="L28" s="112">
        <v>25.23</v>
      </c>
      <c r="M28" s="112">
        <v>98.65</v>
      </c>
      <c r="N28" s="112">
        <v>2.1</v>
      </c>
      <c r="O28" s="112">
        <v>0</v>
      </c>
      <c r="P28" s="112">
        <v>0.68</v>
      </c>
      <c r="Q28" s="112">
        <v>4.6500000000000004</v>
      </c>
    </row>
    <row r="29" spans="1:17" customFormat="1">
      <c r="A29" s="80">
        <v>45555.21875</v>
      </c>
      <c r="B29" s="112">
        <v>9.15</v>
      </c>
      <c r="C29" s="112">
        <v>4.2300000000000004</v>
      </c>
      <c r="D29" s="112">
        <v>14</v>
      </c>
      <c r="E29" s="112">
        <v>7.87</v>
      </c>
      <c r="F29" s="112">
        <v>4.18</v>
      </c>
      <c r="G29" s="112">
        <v>55.78</v>
      </c>
      <c r="H29" s="112">
        <v>26.61</v>
      </c>
      <c r="I29" s="112">
        <v>7.58</v>
      </c>
      <c r="J29" s="112">
        <v>0.06</v>
      </c>
      <c r="K29" s="112">
        <v>204.3</v>
      </c>
      <c r="L29" s="112">
        <v>25.17</v>
      </c>
      <c r="M29" s="112">
        <v>98.83</v>
      </c>
      <c r="N29" s="112">
        <v>2.1</v>
      </c>
      <c r="O29" s="112">
        <v>0</v>
      </c>
      <c r="P29" s="112">
        <v>0.69</v>
      </c>
      <c r="Q29" s="112">
        <v>4.6500000000000004</v>
      </c>
    </row>
    <row r="30" spans="1:17" customFormat="1">
      <c r="A30" s="80">
        <v>45555.229166666664</v>
      </c>
      <c r="B30" s="112">
        <v>9.15</v>
      </c>
      <c r="C30" s="112">
        <v>4.24</v>
      </c>
      <c r="D30" s="112">
        <v>14</v>
      </c>
      <c r="E30" s="112">
        <v>8.35</v>
      </c>
      <c r="F30" s="112">
        <v>4.3099999999999996</v>
      </c>
      <c r="G30" s="112">
        <v>55.74</v>
      </c>
      <c r="H30" s="112">
        <v>26.3</v>
      </c>
      <c r="I30" s="112">
        <v>7.37</v>
      </c>
      <c r="J30" s="112">
        <v>0.09</v>
      </c>
      <c r="K30" s="112">
        <v>207.85</v>
      </c>
      <c r="L30" s="112">
        <v>25.16</v>
      </c>
      <c r="M30" s="112">
        <v>99.08</v>
      </c>
      <c r="N30" s="112">
        <v>2.2000000000000002</v>
      </c>
      <c r="O30" s="112">
        <v>0</v>
      </c>
      <c r="P30" s="112">
        <v>0.68</v>
      </c>
      <c r="Q30" s="112">
        <v>4.6399999999999997</v>
      </c>
    </row>
    <row r="31" spans="1:17" customFormat="1">
      <c r="A31" s="80">
        <v>45555.239583333336</v>
      </c>
      <c r="B31" s="112">
        <v>9.17</v>
      </c>
      <c r="C31" s="112">
        <v>4.21</v>
      </c>
      <c r="D31" s="112">
        <v>14</v>
      </c>
      <c r="E31" s="112">
        <v>7.89</v>
      </c>
      <c r="F31" s="112">
        <v>4.59</v>
      </c>
      <c r="G31" s="112">
        <v>55.37</v>
      </c>
      <c r="H31" s="112">
        <v>24.02</v>
      </c>
      <c r="I31" s="112">
        <v>7.33</v>
      </c>
      <c r="J31" s="112">
        <v>0.12</v>
      </c>
      <c r="K31" s="112">
        <v>177.5</v>
      </c>
      <c r="L31" s="112">
        <v>25.2</v>
      </c>
      <c r="M31" s="112">
        <v>99.17</v>
      </c>
      <c r="N31" s="112">
        <v>3.6</v>
      </c>
      <c r="O31" s="112">
        <v>0</v>
      </c>
      <c r="P31" s="112">
        <v>0.68</v>
      </c>
      <c r="Q31" s="112">
        <v>4.6500000000000004</v>
      </c>
    </row>
    <row r="32" spans="1:17" customFormat="1">
      <c r="A32" s="80">
        <v>45555.25</v>
      </c>
      <c r="B32" s="112">
        <v>9.15</v>
      </c>
      <c r="C32" s="112">
        <v>4.2300000000000004</v>
      </c>
      <c r="D32" s="112">
        <v>14</v>
      </c>
      <c r="E32" s="112">
        <v>8.5299999999999994</v>
      </c>
      <c r="F32" s="112">
        <v>4.3899999999999997</v>
      </c>
      <c r="G32" s="112">
        <v>55.37</v>
      </c>
      <c r="H32" s="112">
        <v>24.02</v>
      </c>
      <c r="I32" s="112">
        <v>7.3</v>
      </c>
      <c r="J32" s="112">
        <v>0.11</v>
      </c>
      <c r="K32" s="112">
        <v>196.88</v>
      </c>
      <c r="L32" s="112">
        <v>25.25</v>
      </c>
      <c r="M32" s="112">
        <v>99.09</v>
      </c>
      <c r="N32" s="112">
        <v>7.6</v>
      </c>
      <c r="O32" s="112">
        <v>0</v>
      </c>
      <c r="P32" s="112">
        <v>0.67</v>
      </c>
      <c r="Q32" s="112">
        <v>4.6500000000000004</v>
      </c>
    </row>
    <row r="33" spans="1:17" customFormat="1">
      <c r="A33" s="80">
        <v>45555.260416666664</v>
      </c>
      <c r="B33" s="112">
        <v>9.15</v>
      </c>
      <c r="C33" s="112">
        <v>4.2300000000000004</v>
      </c>
      <c r="D33" s="112">
        <v>14</v>
      </c>
      <c r="E33" s="112">
        <v>8.32</v>
      </c>
      <c r="F33" s="112">
        <v>4.3600000000000003</v>
      </c>
      <c r="G33" s="112">
        <v>55.37</v>
      </c>
      <c r="H33" s="112">
        <v>24.02</v>
      </c>
      <c r="I33" s="112">
        <v>7.44</v>
      </c>
      <c r="J33" s="112">
        <v>0.1</v>
      </c>
      <c r="K33" s="112">
        <v>191.26</v>
      </c>
      <c r="L33" s="112">
        <v>25.44</v>
      </c>
      <c r="M33" s="112">
        <v>99.13</v>
      </c>
      <c r="N33" s="112">
        <v>17.899999999999999</v>
      </c>
      <c r="O33" s="112">
        <v>0</v>
      </c>
      <c r="P33" s="112">
        <v>0.69</v>
      </c>
      <c r="Q33" s="112">
        <v>4.6500000000000004</v>
      </c>
    </row>
    <row r="34" spans="1:17" customFormat="1">
      <c r="A34" s="80">
        <v>45555.270833333336</v>
      </c>
      <c r="B34" s="112">
        <v>9.17</v>
      </c>
      <c r="C34" s="112">
        <v>4.2</v>
      </c>
      <c r="D34" s="112">
        <v>14</v>
      </c>
      <c r="E34" s="112">
        <v>7.78</v>
      </c>
      <c r="F34" s="112">
        <v>4.42</v>
      </c>
      <c r="G34" s="112">
        <v>55.38</v>
      </c>
      <c r="H34" s="112">
        <v>23.93</v>
      </c>
      <c r="I34" s="112">
        <v>7.5</v>
      </c>
      <c r="J34" s="112">
        <v>0.09</v>
      </c>
      <c r="K34" s="112">
        <v>215.35</v>
      </c>
      <c r="L34" s="112">
        <v>25.67</v>
      </c>
      <c r="M34" s="112">
        <v>98.6</v>
      </c>
      <c r="N34" s="112">
        <v>27.8</v>
      </c>
      <c r="O34" s="112">
        <v>0</v>
      </c>
      <c r="P34" s="112">
        <v>0.7</v>
      </c>
      <c r="Q34" s="112">
        <v>4.6399999999999997</v>
      </c>
    </row>
    <row r="35" spans="1:17" customFormat="1">
      <c r="A35" s="80">
        <v>45555.28125</v>
      </c>
      <c r="B35" s="112">
        <v>9.17</v>
      </c>
      <c r="C35" s="112">
        <v>4.2</v>
      </c>
      <c r="D35" s="112">
        <v>14</v>
      </c>
      <c r="E35" s="112">
        <v>8.18</v>
      </c>
      <c r="F35" s="112">
        <v>4.5</v>
      </c>
      <c r="G35" s="112">
        <v>55.53</v>
      </c>
      <c r="H35" s="112">
        <v>23.2</v>
      </c>
      <c r="I35" s="112">
        <v>7.64</v>
      </c>
      <c r="J35" s="112">
        <v>0.12</v>
      </c>
      <c r="K35" s="112">
        <v>164.79</v>
      </c>
      <c r="L35" s="112">
        <v>26.12</v>
      </c>
      <c r="M35" s="112">
        <v>96.98</v>
      </c>
      <c r="N35" s="112">
        <v>37.5</v>
      </c>
      <c r="O35" s="112">
        <v>0</v>
      </c>
      <c r="P35" s="112">
        <v>0.7</v>
      </c>
      <c r="Q35" s="112">
        <v>4.6500000000000004</v>
      </c>
    </row>
    <row r="36" spans="1:17" customFormat="1">
      <c r="A36" s="80">
        <v>45555.291666666664</v>
      </c>
      <c r="B36" s="112">
        <v>9.18</v>
      </c>
      <c r="C36" s="112">
        <v>4.2</v>
      </c>
      <c r="D36" s="112">
        <v>14</v>
      </c>
      <c r="E36" s="112">
        <v>8.0299999999999994</v>
      </c>
      <c r="F36" s="112">
        <v>5.44</v>
      </c>
      <c r="G36" s="112">
        <v>55.53</v>
      </c>
      <c r="H36" s="112">
        <v>23.2</v>
      </c>
      <c r="I36" s="112">
        <v>7.95</v>
      </c>
      <c r="J36" s="112">
        <v>0.15</v>
      </c>
      <c r="K36" s="112">
        <v>168.71</v>
      </c>
      <c r="L36" s="112">
        <v>26.79</v>
      </c>
      <c r="M36" s="112">
        <v>93.61</v>
      </c>
      <c r="N36" s="112">
        <v>46.7</v>
      </c>
      <c r="O36" s="112">
        <v>0</v>
      </c>
      <c r="P36" s="112">
        <v>0.69</v>
      </c>
      <c r="Q36" s="112">
        <v>4.6500000000000004</v>
      </c>
    </row>
    <row r="37" spans="1:17" customFormat="1">
      <c r="A37" s="80">
        <v>45555.302083333336</v>
      </c>
      <c r="B37" s="112">
        <v>9.18</v>
      </c>
      <c r="C37" s="112">
        <v>4.1900000000000004</v>
      </c>
      <c r="D37" s="112">
        <v>14</v>
      </c>
      <c r="E37" s="112">
        <v>8.2200000000000006</v>
      </c>
      <c r="F37" s="112">
        <v>4.96</v>
      </c>
      <c r="G37" s="112">
        <v>55.53</v>
      </c>
      <c r="H37" s="112">
        <v>23.2</v>
      </c>
      <c r="I37" s="112">
        <v>7.87</v>
      </c>
      <c r="J37" s="112">
        <v>0.17</v>
      </c>
      <c r="K37" s="112">
        <v>191.91</v>
      </c>
      <c r="L37" s="112">
        <v>27.37</v>
      </c>
      <c r="M37" s="112">
        <v>90.47</v>
      </c>
      <c r="N37" s="112">
        <v>57.8</v>
      </c>
      <c r="O37" s="112">
        <v>0</v>
      </c>
      <c r="P37" s="112">
        <v>0.69</v>
      </c>
      <c r="Q37" s="112">
        <v>4.66</v>
      </c>
    </row>
    <row r="38" spans="1:17" customFormat="1">
      <c r="A38" s="80">
        <v>45555.3125</v>
      </c>
      <c r="B38" s="112">
        <v>9.15</v>
      </c>
      <c r="C38" s="112">
        <v>4.2300000000000004</v>
      </c>
      <c r="D38" s="112">
        <v>14</v>
      </c>
      <c r="E38" s="112">
        <v>8.43</v>
      </c>
      <c r="F38" s="112">
        <v>6.12</v>
      </c>
      <c r="G38" s="112">
        <v>55.84</v>
      </c>
      <c r="H38" s="112">
        <v>23.69</v>
      </c>
      <c r="I38" s="112">
        <v>8.07</v>
      </c>
      <c r="J38" s="112">
        <v>0.14000000000000001</v>
      </c>
      <c r="K38" s="112">
        <v>238.38</v>
      </c>
      <c r="L38" s="112">
        <v>27.89</v>
      </c>
      <c r="M38" s="112">
        <v>87.06</v>
      </c>
      <c r="N38" s="112">
        <v>72.900000000000006</v>
      </c>
      <c r="O38" s="112">
        <v>0</v>
      </c>
      <c r="P38" s="112">
        <v>0.7</v>
      </c>
      <c r="Q38" s="112">
        <v>4.6500000000000004</v>
      </c>
    </row>
    <row r="39" spans="1:17" customFormat="1">
      <c r="A39" s="80">
        <v>45555.322916666664</v>
      </c>
      <c r="B39" s="112">
        <v>9.1300000000000008</v>
      </c>
      <c r="C39" s="112">
        <v>4.26</v>
      </c>
      <c r="D39" s="112">
        <v>14</v>
      </c>
      <c r="E39" s="112">
        <v>8.93</v>
      </c>
      <c r="F39" s="112">
        <v>7.02</v>
      </c>
      <c r="G39" s="112">
        <v>59.04</v>
      </c>
      <c r="H39" s="112">
        <v>27.8</v>
      </c>
      <c r="I39" s="112">
        <v>7.83</v>
      </c>
      <c r="J39" s="112">
        <v>0.23</v>
      </c>
      <c r="K39" s="112">
        <v>12.74</v>
      </c>
      <c r="L39" s="112">
        <v>28.27</v>
      </c>
      <c r="M39" s="112">
        <v>82.34</v>
      </c>
      <c r="N39" s="112">
        <v>166.9</v>
      </c>
      <c r="O39" s="112">
        <v>0</v>
      </c>
      <c r="P39" s="112">
        <v>0.72</v>
      </c>
      <c r="Q39" s="112">
        <v>4.6500000000000004</v>
      </c>
    </row>
    <row r="40" spans="1:17" customFormat="1">
      <c r="A40" s="80">
        <v>45555.333333333336</v>
      </c>
      <c r="B40" s="112">
        <v>9.16</v>
      </c>
      <c r="C40" s="112">
        <v>4.22</v>
      </c>
      <c r="D40" s="112">
        <v>14</v>
      </c>
      <c r="E40" s="112">
        <v>11.3</v>
      </c>
      <c r="F40" s="112">
        <v>8.77</v>
      </c>
      <c r="G40" s="112">
        <v>59.04</v>
      </c>
      <c r="H40" s="112">
        <v>27.8</v>
      </c>
      <c r="I40" s="112">
        <v>8.2100000000000009</v>
      </c>
      <c r="J40" s="112">
        <v>0.12</v>
      </c>
      <c r="K40" s="112">
        <v>12.59</v>
      </c>
      <c r="L40" s="112">
        <v>29.12</v>
      </c>
      <c r="M40" s="112">
        <v>77.23</v>
      </c>
      <c r="N40" s="112">
        <v>175.3</v>
      </c>
      <c r="O40" s="112">
        <v>0</v>
      </c>
      <c r="P40" s="112">
        <v>0.72</v>
      </c>
      <c r="Q40" s="112">
        <v>4.66</v>
      </c>
    </row>
    <row r="41" spans="1:17" customFormat="1">
      <c r="A41" s="80">
        <v>45555.34375</v>
      </c>
      <c r="B41" s="112">
        <v>9.16</v>
      </c>
      <c r="C41" s="112">
        <v>4.22</v>
      </c>
      <c r="D41" s="112">
        <v>14</v>
      </c>
      <c r="E41" s="112">
        <v>11.46</v>
      </c>
      <c r="F41" s="112">
        <v>9.11</v>
      </c>
      <c r="G41" s="112">
        <v>59.04</v>
      </c>
      <c r="H41" s="112">
        <v>27.8</v>
      </c>
      <c r="I41" s="112">
        <v>8.25</v>
      </c>
      <c r="J41" s="112">
        <v>0.13</v>
      </c>
      <c r="K41" s="112">
        <v>308.64999999999998</v>
      </c>
      <c r="L41" s="112">
        <v>29.45</v>
      </c>
      <c r="M41" s="112">
        <v>75.650000000000006</v>
      </c>
      <c r="N41" s="112">
        <v>139.5</v>
      </c>
      <c r="O41" s="112">
        <v>0</v>
      </c>
      <c r="P41" s="112">
        <v>0.7</v>
      </c>
      <c r="Q41" s="112">
        <v>4.67</v>
      </c>
    </row>
    <row r="42" spans="1:17" customFormat="1">
      <c r="A42" s="80">
        <v>45555.354166666664</v>
      </c>
      <c r="B42" s="112">
        <v>9.17</v>
      </c>
      <c r="C42" s="112">
        <v>4.2</v>
      </c>
      <c r="D42" s="112">
        <v>14</v>
      </c>
      <c r="E42" s="112">
        <v>11.3</v>
      </c>
      <c r="F42" s="112">
        <v>10.19</v>
      </c>
      <c r="G42" s="112">
        <v>60.42</v>
      </c>
      <c r="H42" s="112">
        <v>28.37</v>
      </c>
      <c r="I42" s="112">
        <v>8.18</v>
      </c>
      <c r="J42" s="112">
        <v>0.13</v>
      </c>
      <c r="K42" s="112">
        <v>309.02999999999997</v>
      </c>
      <c r="L42" s="112">
        <v>30.03</v>
      </c>
      <c r="M42" s="112">
        <v>72.5</v>
      </c>
      <c r="N42" s="112">
        <v>268.8</v>
      </c>
      <c r="O42" s="112">
        <v>0</v>
      </c>
      <c r="P42" s="112">
        <v>0.71</v>
      </c>
      <c r="Q42" s="112">
        <v>4.66</v>
      </c>
    </row>
    <row r="43" spans="1:17" customFormat="1">
      <c r="A43" s="80">
        <v>45555.364583333336</v>
      </c>
      <c r="B43" s="112">
        <v>9.18</v>
      </c>
      <c r="C43" s="112">
        <v>4.18</v>
      </c>
      <c r="D43" s="112">
        <v>14</v>
      </c>
      <c r="E43" s="112">
        <v>11.01</v>
      </c>
      <c r="F43" s="112">
        <v>9</v>
      </c>
      <c r="G43" s="112">
        <v>74.53</v>
      </c>
      <c r="H43" s="112">
        <v>33.18</v>
      </c>
      <c r="I43" s="112">
        <v>8.0500000000000007</v>
      </c>
      <c r="J43" s="112">
        <v>0.33</v>
      </c>
      <c r="K43" s="112">
        <v>289.95999999999998</v>
      </c>
      <c r="L43" s="112">
        <v>30.34</v>
      </c>
      <c r="M43" s="112">
        <v>70.89</v>
      </c>
      <c r="N43" s="112">
        <v>288.5</v>
      </c>
      <c r="O43" s="112">
        <v>0</v>
      </c>
      <c r="P43" s="112">
        <v>0.69</v>
      </c>
      <c r="Q43" s="112">
        <v>4.6500000000000004</v>
      </c>
    </row>
    <row r="44" spans="1:17" customFormat="1">
      <c r="A44" s="80">
        <v>45555.375</v>
      </c>
      <c r="B44" s="112">
        <v>9.2100000000000009</v>
      </c>
      <c r="C44" s="112">
        <v>4.1500000000000004</v>
      </c>
      <c r="D44" s="112">
        <v>14</v>
      </c>
      <c r="E44" s="112">
        <v>11.3</v>
      </c>
      <c r="F44" s="112">
        <v>9.82</v>
      </c>
      <c r="G44" s="112">
        <v>74.53</v>
      </c>
      <c r="H44" s="112">
        <v>33.18</v>
      </c>
      <c r="I44" s="112">
        <v>7.99</v>
      </c>
      <c r="J44" s="112">
        <v>0.46</v>
      </c>
      <c r="K44" s="112">
        <v>58.37</v>
      </c>
      <c r="L44" s="112">
        <v>31.08</v>
      </c>
      <c r="M44" s="112">
        <v>67.59</v>
      </c>
      <c r="N44" s="112">
        <v>234.4</v>
      </c>
      <c r="O44" s="112">
        <v>0</v>
      </c>
      <c r="P44" s="112">
        <v>0.7</v>
      </c>
      <c r="Q44" s="112">
        <v>4.66</v>
      </c>
    </row>
    <row r="45" spans="1:17" customFormat="1">
      <c r="A45" s="80">
        <v>45555.385416666664</v>
      </c>
      <c r="B45" s="112">
        <v>9.19</v>
      </c>
      <c r="C45" s="112">
        <v>4.17</v>
      </c>
      <c r="D45" s="112">
        <v>14</v>
      </c>
      <c r="E45" s="112">
        <v>13.99</v>
      </c>
      <c r="F45" s="112">
        <v>9.9</v>
      </c>
      <c r="G45" s="112">
        <v>74.53</v>
      </c>
      <c r="H45" s="112">
        <v>33.18</v>
      </c>
      <c r="I45" s="112">
        <v>7.83</v>
      </c>
      <c r="J45" s="112">
        <v>0.2</v>
      </c>
      <c r="K45" s="112">
        <v>309.3</v>
      </c>
      <c r="L45" s="112">
        <v>31.07</v>
      </c>
      <c r="M45" s="112">
        <v>68.41</v>
      </c>
      <c r="N45" s="112">
        <v>288.3</v>
      </c>
      <c r="O45" s="112">
        <v>0</v>
      </c>
      <c r="P45" s="112">
        <v>0.71</v>
      </c>
      <c r="Q45" s="112">
        <v>4.67</v>
      </c>
    </row>
    <row r="46" spans="1:17" customFormat="1">
      <c r="A46" s="80">
        <v>45555.395833333336</v>
      </c>
      <c r="B46" s="112">
        <v>9.18</v>
      </c>
      <c r="C46" s="112">
        <v>4.1900000000000004</v>
      </c>
      <c r="D46" s="112">
        <v>14</v>
      </c>
      <c r="E46" s="112">
        <v>13.53</v>
      </c>
      <c r="F46" s="112">
        <v>12.3</v>
      </c>
      <c r="G46" s="112">
        <v>77.040000000000006</v>
      </c>
      <c r="H46" s="112">
        <v>33.92</v>
      </c>
      <c r="I46" s="112">
        <v>7.81</v>
      </c>
      <c r="J46" s="112">
        <v>0.27</v>
      </c>
      <c r="K46" s="112">
        <v>47</v>
      </c>
      <c r="L46" s="112">
        <v>31.48</v>
      </c>
      <c r="M46" s="112">
        <v>66.06</v>
      </c>
      <c r="N46" s="112">
        <v>331.5</v>
      </c>
      <c r="O46" s="112">
        <v>0</v>
      </c>
      <c r="P46" s="112">
        <v>0.71</v>
      </c>
      <c r="Q46" s="112">
        <v>4.6900000000000004</v>
      </c>
    </row>
    <row r="47" spans="1:17" customFormat="1">
      <c r="A47" s="80">
        <v>45555.40625</v>
      </c>
      <c r="B47" s="112">
        <v>9.17</v>
      </c>
      <c r="C47" s="112">
        <v>4.21</v>
      </c>
      <c r="D47" s="112">
        <v>14</v>
      </c>
      <c r="E47" s="112">
        <v>13.66</v>
      </c>
      <c r="F47" s="112">
        <v>11.83</v>
      </c>
      <c r="G47" s="112">
        <v>102.78</v>
      </c>
      <c r="H47" s="112">
        <v>39.35</v>
      </c>
      <c r="I47" s="112">
        <v>7.77</v>
      </c>
      <c r="J47" s="112">
        <v>0.33</v>
      </c>
      <c r="K47" s="112">
        <v>40.43</v>
      </c>
      <c r="L47" s="112">
        <v>31.86</v>
      </c>
      <c r="M47" s="112">
        <v>62.96</v>
      </c>
      <c r="N47" s="112">
        <v>413.3</v>
      </c>
      <c r="O47" s="112">
        <v>0</v>
      </c>
      <c r="P47" s="112">
        <v>0.7</v>
      </c>
      <c r="Q47" s="112">
        <v>4.68</v>
      </c>
    </row>
    <row r="48" spans="1:17" customFormat="1">
      <c r="A48" s="80">
        <v>45555.416666666664</v>
      </c>
      <c r="B48" s="112">
        <v>9.17</v>
      </c>
      <c r="C48" s="112">
        <v>4.2</v>
      </c>
      <c r="D48" s="112">
        <v>14</v>
      </c>
      <c r="E48" s="112">
        <v>12.96</v>
      </c>
      <c r="F48" s="112">
        <v>11.87</v>
      </c>
      <c r="G48" s="112">
        <v>102.78</v>
      </c>
      <c r="H48" s="112">
        <v>39.35</v>
      </c>
      <c r="I48" s="112">
        <v>7.7</v>
      </c>
      <c r="J48" s="112">
        <v>0.37</v>
      </c>
      <c r="K48" s="112">
        <v>28.55</v>
      </c>
      <c r="L48" s="112">
        <v>32.35</v>
      </c>
      <c r="M48" s="112">
        <v>60.11</v>
      </c>
      <c r="N48" s="112">
        <v>221.3</v>
      </c>
      <c r="O48" s="112">
        <v>0</v>
      </c>
      <c r="P48" s="112">
        <v>0.66</v>
      </c>
      <c r="Q48" s="112">
        <v>4.66</v>
      </c>
    </row>
    <row r="49" spans="1:17" customFormat="1">
      <c r="A49" s="80">
        <v>45555.427083333336</v>
      </c>
      <c r="B49" s="112">
        <v>9.16</v>
      </c>
      <c r="C49" s="112">
        <v>4.21</v>
      </c>
      <c r="D49" s="112">
        <v>14</v>
      </c>
      <c r="E49" s="112">
        <v>11.29</v>
      </c>
      <c r="F49" s="112">
        <v>9.18</v>
      </c>
      <c r="G49" s="112">
        <v>102.78</v>
      </c>
      <c r="H49" s="112">
        <v>39.35</v>
      </c>
      <c r="I49" s="112">
        <v>7.52</v>
      </c>
      <c r="J49" s="112">
        <v>0.19</v>
      </c>
      <c r="K49" s="112">
        <v>4.0999999999999996</v>
      </c>
      <c r="L49" s="112">
        <v>32.69</v>
      </c>
      <c r="M49" s="112">
        <v>58.95</v>
      </c>
      <c r="N49" s="112">
        <v>186.2</v>
      </c>
      <c r="O49" s="112">
        <v>0</v>
      </c>
      <c r="P49" s="112">
        <v>0.67</v>
      </c>
      <c r="Q49" s="112">
        <v>4.67</v>
      </c>
    </row>
    <row r="50" spans="1:17" customFormat="1">
      <c r="A50" s="80">
        <v>45555.4375</v>
      </c>
      <c r="B50" s="112">
        <v>9.17</v>
      </c>
      <c r="C50" s="112">
        <v>4.2</v>
      </c>
      <c r="D50" s="112">
        <v>14</v>
      </c>
      <c r="E50" s="112">
        <v>14.17</v>
      </c>
      <c r="F50" s="112">
        <v>10.62</v>
      </c>
      <c r="G50" s="112">
        <v>102.2</v>
      </c>
      <c r="H50" s="112">
        <v>38.549999999999997</v>
      </c>
      <c r="I50" s="112">
        <v>7.26</v>
      </c>
      <c r="J50" s="112">
        <v>0.68</v>
      </c>
      <c r="K50" s="112">
        <v>52.28</v>
      </c>
      <c r="L50" s="112">
        <v>31.66</v>
      </c>
      <c r="M50" s="112">
        <v>62.6</v>
      </c>
      <c r="N50" s="112">
        <v>104.5</v>
      </c>
      <c r="O50" s="112">
        <v>0</v>
      </c>
      <c r="P50" s="112">
        <v>0.66</v>
      </c>
      <c r="Q50" s="112">
        <v>4.67</v>
      </c>
    </row>
    <row r="51" spans="1:17" customFormat="1">
      <c r="A51" s="80">
        <v>45555.447916666664</v>
      </c>
      <c r="B51" s="112">
        <v>9.17</v>
      </c>
      <c r="C51" s="112">
        <v>4.2</v>
      </c>
      <c r="D51" s="112">
        <v>14</v>
      </c>
      <c r="E51" s="112">
        <v>21.52</v>
      </c>
      <c r="F51" s="112">
        <v>9.5</v>
      </c>
      <c r="G51" s="112">
        <v>96.2</v>
      </c>
      <c r="H51" s="112">
        <v>31.83</v>
      </c>
      <c r="I51" s="112">
        <v>7.37</v>
      </c>
      <c r="J51" s="112">
        <v>0.63</v>
      </c>
      <c r="K51" s="112">
        <v>54.75</v>
      </c>
      <c r="L51" s="112">
        <v>30.91</v>
      </c>
      <c r="M51" s="112">
        <v>68.650000000000006</v>
      </c>
      <c r="N51" s="112">
        <v>113.3</v>
      </c>
      <c r="O51" s="112">
        <v>0</v>
      </c>
      <c r="P51" s="112">
        <v>0.72</v>
      </c>
      <c r="Q51" s="112">
        <v>4.66</v>
      </c>
    </row>
    <row r="52" spans="1:17" customFormat="1">
      <c r="A52" s="80">
        <v>45555.458333333336</v>
      </c>
      <c r="B52" s="112">
        <v>9.16</v>
      </c>
      <c r="C52" s="112">
        <v>4.22</v>
      </c>
      <c r="D52" s="112">
        <v>14</v>
      </c>
      <c r="E52" s="112">
        <v>24.57</v>
      </c>
      <c r="F52" s="112">
        <v>9.49</v>
      </c>
      <c r="G52" s="112">
        <v>96.2</v>
      </c>
      <c r="H52" s="112">
        <v>31.83</v>
      </c>
      <c r="I52" s="112">
        <v>7.02</v>
      </c>
      <c r="J52" s="112">
        <v>0.65</v>
      </c>
      <c r="K52" s="112">
        <v>55.26</v>
      </c>
      <c r="L52" s="112">
        <v>30.92</v>
      </c>
      <c r="M52" s="112">
        <v>69.28</v>
      </c>
      <c r="N52" s="112">
        <v>220.8</v>
      </c>
      <c r="O52" s="112">
        <v>0</v>
      </c>
      <c r="P52" s="112">
        <v>0.71</v>
      </c>
      <c r="Q52" s="112">
        <v>4.66</v>
      </c>
    </row>
    <row r="53" spans="1:17" customFormat="1">
      <c r="A53" s="80">
        <v>45555.46875</v>
      </c>
      <c r="B53" s="112">
        <v>9.16</v>
      </c>
      <c r="C53" s="112">
        <v>4.21</v>
      </c>
      <c r="D53" s="112">
        <v>14</v>
      </c>
      <c r="E53" s="112">
        <v>20.85</v>
      </c>
      <c r="F53" s="112">
        <v>13.97</v>
      </c>
      <c r="G53" s="112">
        <v>96.2</v>
      </c>
      <c r="H53" s="112">
        <v>31.83</v>
      </c>
      <c r="I53" s="112">
        <v>7.31</v>
      </c>
      <c r="J53" s="112">
        <v>0.41</v>
      </c>
      <c r="K53" s="112">
        <v>35.64</v>
      </c>
      <c r="L53" s="112">
        <v>31.79</v>
      </c>
      <c r="M53" s="112">
        <v>65.760000000000005</v>
      </c>
      <c r="N53" s="112">
        <v>246.1</v>
      </c>
      <c r="O53" s="112">
        <v>0</v>
      </c>
      <c r="P53" s="112">
        <v>0.66</v>
      </c>
      <c r="Q53" s="112">
        <v>4.6500000000000004</v>
      </c>
    </row>
    <row r="54" spans="1:17" customFormat="1">
      <c r="A54" s="80">
        <v>45555.479166666664</v>
      </c>
      <c r="B54" s="112">
        <v>9.14</v>
      </c>
      <c r="C54" s="112">
        <v>4.25</v>
      </c>
      <c r="D54" s="112">
        <v>14</v>
      </c>
      <c r="E54" s="112">
        <v>17.63</v>
      </c>
      <c r="F54" s="112">
        <v>12.12</v>
      </c>
      <c r="G54" s="112">
        <v>98.38</v>
      </c>
      <c r="H54" s="112">
        <v>32.659999999999997</v>
      </c>
      <c r="I54" s="112">
        <v>7.21</v>
      </c>
      <c r="J54" s="112">
        <v>0.6</v>
      </c>
      <c r="K54" s="112">
        <v>52.06</v>
      </c>
      <c r="L54" s="112">
        <v>31.88</v>
      </c>
      <c r="M54" s="112">
        <v>63.92</v>
      </c>
      <c r="N54" s="112">
        <v>404.9</v>
      </c>
      <c r="O54" s="112">
        <v>0</v>
      </c>
      <c r="P54" s="112">
        <v>0.65</v>
      </c>
      <c r="Q54" s="112">
        <v>4.67</v>
      </c>
    </row>
    <row r="55" spans="1:17" customFormat="1">
      <c r="A55" s="80">
        <v>45555.489583333336</v>
      </c>
      <c r="B55" s="112">
        <v>9.1199999999999992</v>
      </c>
      <c r="C55" s="112">
        <v>4.29</v>
      </c>
      <c r="D55" s="112">
        <v>14</v>
      </c>
      <c r="E55" s="112">
        <v>16.260000000000002</v>
      </c>
      <c r="F55" s="112">
        <v>10.85</v>
      </c>
      <c r="G55" s="112">
        <v>117.96</v>
      </c>
      <c r="H55" s="112">
        <v>38.840000000000003</v>
      </c>
      <c r="I55" s="112">
        <v>6.87</v>
      </c>
      <c r="J55" s="112">
        <v>0.55000000000000004</v>
      </c>
      <c r="K55" s="112">
        <v>52.72</v>
      </c>
      <c r="L55" s="112">
        <v>31.73</v>
      </c>
      <c r="M55" s="112">
        <v>63.95</v>
      </c>
      <c r="N55" s="112">
        <v>486</v>
      </c>
      <c r="O55" s="112">
        <v>0</v>
      </c>
      <c r="P55" s="112">
        <v>0.65</v>
      </c>
      <c r="Q55" s="112">
        <v>4.66</v>
      </c>
    </row>
    <row r="56" spans="1:17" customFormat="1">
      <c r="A56" s="80">
        <v>45555.5</v>
      </c>
      <c r="B56" s="112">
        <v>9.1300000000000008</v>
      </c>
      <c r="C56" s="112">
        <v>4.2699999999999996</v>
      </c>
      <c r="D56" s="112">
        <v>14</v>
      </c>
      <c r="E56" s="112">
        <v>15.67</v>
      </c>
      <c r="F56" s="112">
        <v>12.03</v>
      </c>
      <c r="G56" s="112">
        <v>117.96</v>
      </c>
      <c r="H56" s="112">
        <v>38.840000000000003</v>
      </c>
      <c r="I56" s="112">
        <v>6.79</v>
      </c>
      <c r="J56" s="112">
        <v>0.56999999999999995</v>
      </c>
      <c r="K56" s="112">
        <v>52.07</v>
      </c>
      <c r="L56" s="112">
        <v>32.71</v>
      </c>
      <c r="M56" s="112">
        <v>59.61</v>
      </c>
      <c r="N56" s="112">
        <v>773.1</v>
      </c>
      <c r="O56" s="112">
        <v>0</v>
      </c>
      <c r="P56" s="112">
        <v>0.65</v>
      </c>
      <c r="Q56" s="112">
        <v>4.6399999999999997</v>
      </c>
    </row>
    <row r="57" spans="1:17" customFormat="1">
      <c r="A57" s="80">
        <v>45555.510416666664</v>
      </c>
      <c r="B57" s="112">
        <v>9.19</v>
      </c>
      <c r="C57" s="112">
        <v>4.18</v>
      </c>
      <c r="D57" s="112">
        <v>14</v>
      </c>
      <c r="E57" s="112">
        <v>14.56</v>
      </c>
      <c r="F57" s="112">
        <v>11.65</v>
      </c>
      <c r="G57" s="112">
        <v>117.96</v>
      </c>
      <c r="H57" s="112">
        <v>38.840000000000003</v>
      </c>
      <c r="I57" s="112">
        <v>6.65</v>
      </c>
      <c r="J57" s="112">
        <v>0.88</v>
      </c>
      <c r="K57" s="112">
        <v>55.06</v>
      </c>
      <c r="L57" s="112">
        <v>32.74</v>
      </c>
      <c r="M57" s="112">
        <v>58.68</v>
      </c>
      <c r="N57" s="112">
        <v>551.5</v>
      </c>
      <c r="O57" s="112">
        <v>0</v>
      </c>
      <c r="P57" s="112">
        <v>0.65</v>
      </c>
      <c r="Q57" s="112">
        <v>4.63</v>
      </c>
    </row>
    <row r="58" spans="1:17" customFormat="1">
      <c r="A58" s="80">
        <v>45555.520833333336</v>
      </c>
      <c r="B58" s="112">
        <v>9.24</v>
      </c>
      <c r="C58" s="112">
        <v>4.0999999999999996</v>
      </c>
      <c r="D58" s="112">
        <v>14</v>
      </c>
      <c r="E58" s="112">
        <v>13.25</v>
      </c>
      <c r="F58" s="112">
        <v>10.98</v>
      </c>
      <c r="G58" s="112">
        <v>122.99</v>
      </c>
      <c r="H58" s="112">
        <v>38.32</v>
      </c>
      <c r="I58" s="112">
        <v>6.58</v>
      </c>
      <c r="J58" s="112">
        <v>1</v>
      </c>
      <c r="K58" s="112">
        <v>55.22</v>
      </c>
      <c r="L58" s="112">
        <v>32.72</v>
      </c>
      <c r="M58" s="112">
        <v>58.46</v>
      </c>
      <c r="N58" s="112">
        <v>743.1</v>
      </c>
      <c r="O58" s="112">
        <v>0</v>
      </c>
      <c r="P58" s="112">
        <v>0.66</v>
      </c>
      <c r="Q58" s="112">
        <v>4.63</v>
      </c>
    </row>
    <row r="59" spans="1:17" customFormat="1">
      <c r="A59" s="80">
        <v>45555.53125</v>
      </c>
      <c r="B59" s="112">
        <v>9.24</v>
      </c>
      <c r="C59" s="112">
        <v>4.09</v>
      </c>
      <c r="D59" s="112">
        <v>14</v>
      </c>
      <c r="E59" s="112">
        <v>13</v>
      </c>
      <c r="F59" s="112">
        <v>11.21</v>
      </c>
      <c r="G59" s="112">
        <v>174.55</v>
      </c>
      <c r="H59" s="112">
        <v>34.479999999999997</v>
      </c>
      <c r="I59" s="112">
        <v>6.54</v>
      </c>
      <c r="J59" s="112">
        <v>0.96</v>
      </c>
      <c r="K59" s="112">
        <v>53.12</v>
      </c>
      <c r="L59" s="112">
        <v>32.83</v>
      </c>
      <c r="M59" s="112">
        <v>58.82</v>
      </c>
      <c r="N59" s="112">
        <v>345.1</v>
      </c>
      <c r="O59" s="112">
        <v>0</v>
      </c>
      <c r="P59" s="112">
        <v>0.66</v>
      </c>
      <c r="Q59" s="112">
        <v>4.6399999999999997</v>
      </c>
    </row>
    <row r="60" spans="1:17" customFormat="1">
      <c r="A60" s="80">
        <v>45555.541666666664</v>
      </c>
      <c r="B60" s="112">
        <v>9.2200000000000006</v>
      </c>
      <c r="C60" s="112">
        <v>4.13</v>
      </c>
      <c r="D60" s="112">
        <v>14</v>
      </c>
      <c r="E60" s="112">
        <v>12.47</v>
      </c>
      <c r="F60" s="112">
        <v>13.21</v>
      </c>
      <c r="G60" s="112">
        <v>174.55</v>
      </c>
      <c r="H60" s="112">
        <v>34.479999999999997</v>
      </c>
      <c r="I60" s="112">
        <v>6.58</v>
      </c>
      <c r="J60" s="112">
        <v>0.49</v>
      </c>
      <c r="K60" s="112">
        <v>32.950000000000003</v>
      </c>
      <c r="L60" s="112">
        <v>32.65</v>
      </c>
      <c r="M60" s="112">
        <v>57.96</v>
      </c>
      <c r="N60" s="112">
        <v>646.9</v>
      </c>
      <c r="O60" s="112">
        <v>0</v>
      </c>
      <c r="P60" s="112">
        <v>0.63</v>
      </c>
      <c r="Q60" s="112">
        <v>4.6399999999999997</v>
      </c>
    </row>
    <row r="61" spans="1:17" customFormat="1">
      <c r="A61" s="80">
        <v>45555.552083333336</v>
      </c>
      <c r="B61" s="112">
        <v>9.18</v>
      </c>
      <c r="C61" s="112">
        <v>4.2</v>
      </c>
      <c r="D61" s="112">
        <v>14</v>
      </c>
      <c r="E61" s="112">
        <v>12.28</v>
      </c>
      <c r="F61" s="112">
        <v>10.4</v>
      </c>
      <c r="G61" s="112">
        <v>174.55</v>
      </c>
      <c r="H61" s="112">
        <v>34.479999999999997</v>
      </c>
      <c r="I61" s="112">
        <v>6.57</v>
      </c>
      <c r="J61" s="112">
        <v>0.78</v>
      </c>
      <c r="K61" s="112">
        <v>52.45</v>
      </c>
      <c r="L61" s="112">
        <v>32.979999999999997</v>
      </c>
      <c r="M61" s="112">
        <v>57.52</v>
      </c>
      <c r="N61" s="112">
        <v>621.29999999999995</v>
      </c>
      <c r="O61" s="112">
        <v>0</v>
      </c>
      <c r="P61" s="112">
        <v>0.65</v>
      </c>
      <c r="Q61" s="112">
        <v>4.63</v>
      </c>
    </row>
    <row r="62" spans="1:17" customFormat="1">
      <c r="A62" s="80">
        <v>45555.5625</v>
      </c>
      <c r="B62" s="112">
        <v>9.14</v>
      </c>
      <c r="C62" s="112">
        <v>4.24</v>
      </c>
      <c r="D62" s="112">
        <v>14</v>
      </c>
      <c r="E62" s="112">
        <v>11.15</v>
      </c>
      <c r="F62" s="112">
        <v>10.33</v>
      </c>
      <c r="G62" s="112">
        <v>171.33</v>
      </c>
      <c r="H62" s="112">
        <v>34.44</v>
      </c>
      <c r="I62" s="112">
        <v>6.46</v>
      </c>
      <c r="J62" s="112">
        <v>0.7</v>
      </c>
      <c r="K62" s="112">
        <v>48.97</v>
      </c>
      <c r="L62" s="112">
        <v>33.21</v>
      </c>
      <c r="M62" s="112">
        <v>56.62</v>
      </c>
      <c r="N62" s="112">
        <v>617.9</v>
      </c>
      <c r="O62" s="112">
        <v>0</v>
      </c>
      <c r="P62" s="112">
        <v>0.65</v>
      </c>
      <c r="Q62" s="112">
        <v>4.6399999999999997</v>
      </c>
    </row>
    <row r="63" spans="1:17" customFormat="1">
      <c r="A63" s="80">
        <v>45555.572916666664</v>
      </c>
      <c r="B63" s="112">
        <v>9.14</v>
      </c>
      <c r="C63" s="112">
        <v>4.25</v>
      </c>
      <c r="D63" s="112">
        <v>14</v>
      </c>
      <c r="E63" s="112">
        <v>11.57</v>
      </c>
      <c r="F63" s="112">
        <v>12.08</v>
      </c>
      <c r="G63" s="112">
        <v>138.4</v>
      </c>
      <c r="H63" s="112">
        <v>34.18</v>
      </c>
      <c r="I63" s="112">
        <v>6.48</v>
      </c>
      <c r="J63" s="112">
        <v>0.74</v>
      </c>
      <c r="K63" s="112">
        <v>48.47</v>
      </c>
      <c r="L63" s="112">
        <v>33.19</v>
      </c>
      <c r="M63" s="112">
        <v>57.58</v>
      </c>
      <c r="N63" s="112">
        <v>373.5</v>
      </c>
      <c r="O63" s="112">
        <v>0</v>
      </c>
      <c r="P63" s="112">
        <v>0.63</v>
      </c>
      <c r="Q63" s="112">
        <v>4.6399999999999997</v>
      </c>
    </row>
    <row r="64" spans="1:17" customFormat="1">
      <c r="A64" s="80">
        <v>45555.583333333336</v>
      </c>
      <c r="B64" s="112">
        <v>9.16</v>
      </c>
      <c r="C64" s="112">
        <v>4.22</v>
      </c>
      <c r="D64" s="112">
        <v>14</v>
      </c>
      <c r="E64" s="112">
        <v>11.93</v>
      </c>
      <c r="F64" s="112">
        <v>11.2</v>
      </c>
      <c r="G64" s="112">
        <v>138.4</v>
      </c>
      <c r="H64" s="112">
        <v>34.18</v>
      </c>
      <c r="I64" s="112">
        <v>6.57</v>
      </c>
      <c r="J64" s="112">
        <v>0.67</v>
      </c>
      <c r="K64" s="112">
        <v>40.03</v>
      </c>
      <c r="L64" s="112">
        <v>33.14</v>
      </c>
      <c r="M64" s="112">
        <v>57.39</v>
      </c>
      <c r="N64" s="112">
        <v>180.6</v>
      </c>
      <c r="O64" s="112">
        <v>0</v>
      </c>
      <c r="P64" s="112">
        <v>0.63</v>
      </c>
      <c r="Q64" s="112">
        <v>4.6399999999999997</v>
      </c>
    </row>
    <row r="65" spans="1:17" customFormat="1">
      <c r="A65" s="80">
        <v>45555.59375</v>
      </c>
      <c r="B65" s="112">
        <v>9.14</v>
      </c>
      <c r="C65" s="112">
        <v>4.24</v>
      </c>
      <c r="D65" s="112">
        <v>14</v>
      </c>
      <c r="E65" s="112">
        <v>11.95</v>
      </c>
      <c r="F65" s="112">
        <v>9.33</v>
      </c>
      <c r="G65" s="112">
        <v>138.4</v>
      </c>
      <c r="H65" s="112">
        <v>34.18</v>
      </c>
      <c r="I65" s="112">
        <v>6.4</v>
      </c>
      <c r="J65" s="112">
        <v>0.62</v>
      </c>
      <c r="K65" s="112">
        <v>47.57</v>
      </c>
      <c r="L65" s="112">
        <v>33.26</v>
      </c>
      <c r="M65" s="112">
        <v>58.13</v>
      </c>
      <c r="N65" s="112">
        <v>154.9</v>
      </c>
      <c r="O65" s="112">
        <v>0</v>
      </c>
      <c r="P65" s="112">
        <v>0.55000000000000004</v>
      </c>
      <c r="Q65" s="112">
        <v>4.63</v>
      </c>
    </row>
    <row r="66" spans="1:17" customFormat="1">
      <c r="A66" s="80">
        <v>45555.604166666664</v>
      </c>
      <c r="B66" s="112">
        <v>9.1199999999999992</v>
      </c>
      <c r="C66" s="112">
        <v>4.28</v>
      </c>
      <c r="D66" s="112">
        <v>14</v>
      </c>
      <c r="E66" s="112">
        <v>11.83</v>
      </c>
      <c r="F66" s="112">
        <v>8.5299999999999994</v>
      </c>
      <c r="G66" s="112">
        <v>136.43</v>
      </c>
      <c r="H66" s="112">
        <v>33.479999999999997</v>
      </c>
      <c r="I66" s="112">
        <v>6.46</v>
      </c>
      <c r="J66" s="112">
        <v>0.81</v>
      </c>
      <c r="K66" s="112">
        <v>50.72</v>
      </c>
      <c r="L66" s="112">
        <v>33.24</v>
      </c>
      <c r="M66" s="112">
        <v>58.74</v>
      </c>
      <c r="N66" s="112">
        <v>143.1</v>
      </c>
      <c r="O66" s="112">
        <v>0</v>
      </c>
      <c r="P66" s="112">
        <v>0.57999999999999996</v>
      </c>
      <c r="Q66" s="112">
        <v>4.63</v>
      </c>
    </row>
    <row r="67" spans="1:17" customFormat="1">
      <c r="A67" s="80">
        <v>45555.614583333336</v>
      </c>
      <c r="B67" s="112">
        <v>9.1199999999999992</v>
      </c>
      <c r="C67" s="112">
        <v>4.28</v>
      </c>
      <c r="D67" s="112">
        <v>14</v>
      </c>
      <c r="E67" s="112">
        <v>11.69</v>
      </c>
      <c r="F67" s="112">
        <v>7.48</v>
      </c>
      <c r="G67" s="112">
        <v>116.25</v>
      </c>
      <c r="H67" s="112">
        <v>28.38</v>
      </c>
      <c r="I67" s="112">
        <v>6.57</v>
      </c>
      <c r="J67" s="112">
        <v>0.88</v>
      </c>
      <c r="K67" s="112">
        <v>57.71</v>
      </c>
      <c r="L67" s="112">
        <v>32.520000000000003</v>
      </c>
      <c r="M67" s="112">
        <v>60.79</v>
      </c>
      <c r="N67" s="112">
        <v>199.2</v>
      </c>
      <c r="O67" s="112">
        <v>0</v>
      </c>
      <c r="P67" s="112">
        <v>0.59</v>
      </c>
      <c r="Q67" s="112">
        <v>4.6399999999999997</v>
      </c>
    </row>
    <row r="68" spans="1:17" customFormat="1">
      <c r="A68" s="80">
        <v>45555.625</v>
      </c>
      <c r="B68" s="112">
        <v>9.16</v>
      </c>
      <c r="C68" s="112">
        <v>4.22</v>
      </c>
      <c r="D68" s="112">
        <v>14</v>
      </c>
      <c r="E68" s="112">
        <v>11.09</v>
      </c>
      <c r="F68" s="112">
        <v>7.28</v>
      </c>
      <c r="G68" s="112">
        <v>116.25</v>
      </c>
      <c r="H68" s="112">
        <v>28.38</v>
      </c>
      <c r="I68" s="112">
        <v>6.59</v>
      </c>
      <c r="J68" s="112">
        <v>1</v>
      </c>
      <c r="K68" s="112">
        <v>55.93</v>
      </c>
      <c r="L68" s="112">
        <v>32.840000000000003</v>
      </c>
      <c r="M68" s="112">
        <v>60.03</v>
      </c>
      <c r="N68" s="112">
        <v>179.4</v>
      </c>
      <c r="O68" s="112">
        <v>0</v>
      </c>
      <c r="P68" s="112">
        <v>0.57999999999999996</v>
      </c>
      <c r="Q68" s="112">
        <v>4.63</v>
      </c>
    </row>
    <row r="69" spans="1:17" customFormat="1">
      <c r="A69" s="80">
        <v>45555.635416666664</v>
      </c>
      <c r="B69" s="112">
        <v>9.2200000000000006</v>
      </c>
      <c r="C69" s="112">
        <v>4.12</v>
      </c>
      <c r="D69" s="112">
        <v>14</v>
      </c>
      <c r="E69" s="112">
        <v>10.95</v>
      </c>
      <c r="F69" s="112">
        <v>8.17</v>
      </c>
      <c r="G69" s="112">
        <v>116.25</v>
      </c>
      <c r="H69" s="112">
        <v>28.38</v>
      </c>
      <c r="I69" s="112">
        <v>6.71</v>
      </c>
      <c r="J69" s="112">
        <v>0.78</v>
      </c>
      <c r="K69" s="112">
        <v>53.04</v>
      </c>
      <c r="L69" s="112">
        <v>32.729999999999997</v>
      </c>
      <c r="M69" s="112">
        <v>59.8</v>
      </c>
      <c r="N69" s="112">
        <v>174.3</v>
      </c>
      <c r="O69" s="112">
        <v>0</v>
      </c>
      <c r="P69" s="112">
        <v>0.57999999999999996</v>
      </c>
      <c r="Q69" s="112">
        <v>4.6399999999999997</v>
      </c>
    </row>
    <row r="70" spans="1:17" customFormat="1">
      <c r="A70" s="80">
        <v>45555.645833333336</v>
      </c>
      <c r="B70" s="112">
        <v>9.24</v>
      </c>
      <c r="C70" s="112">
        <v>4.0999999999999996</v>
      </c>
      <c r="D70" s="112">
        <v>14</v>
      </c>
      <c r="E70" s="112">
        <v>10.48</v>
      </c>
      <c r="F70" s="112">
        <v>10.36</v>
      </c>
      <c r="G70" s="112">
        <v>112.24</v>
      </c>
      <c r="H70" s="112">
        <v>27.78</v>
      </c>
      <c r="I70" s="112">
        <v>6.66</v>
      </c>
      <c r="J70" s="112">
        <v>0.76</v>
      </c>
      <c r="K70" s="112">
        <v>47.37</v>
      </c>
      <c r="L70" s="112">
        <v>32.72</v>
      </c>
      <c r="M70" s="112">
        <v>58.87</v>
      </c>
      <c r="N70" s="112">
        <v>271.89999999999998</v>
      </c>
      <c r="O70" s="112">
        <v>0</v>
      </c>
      <c r="P70" s="112">
        <v>0.56000000000000005</v>
      </c>
      <c r="Q70" s="112">
        <v>4.63</v>
      </c>
    </row>
    <row r="71" spans="1:17" customFormat="1">
      <c r="A71" s="80">
        <v>45555.65625</v>
      </c>
      <c r="B71" s="112">
        <v>9.2899999999999991</v>
      </c>
      <c r="C71" s="112">
        <v>4.0599999999999996</v>
      </c>
      <c r="D71" s="112">
        <v>14.02</v>
      </c>
      <c r="E71" s="112">
        <v>11.11</v>
      </c>
      <c r="F71" s="112">
        <v>11.1</v>
      </c>
      <c r="G71" s="112">
        <v>71.209999999999994</v>
      </c>
      <c r="H71" s="112">
        <v>23.36</v>
      </c>
      <c r="I71" s="112">
        <v>6.6</v>
      </c>
      <c r="J71" s="112">
        <v>0.79</v>
      </c>
      <c r="K71" s="112">
        <v>50.36</v>
      </c>
      <c r="L71" s="112">
        <v>32.700000000000003</v>
      </c>
      <c r="M71" s="112">
        <v>60.38</v>
      </c>
      <c r="N71" s="112">
        <v>273.5</v>
      </c>
      <c r="O71" s="112">
        <v>0</v>
      </c>
      <c r="P71" s="112">
        <v>0.55000000000000004</v>
      </c>
      <c r="Q71" s="112">
        <v>4.62</v>
      </c>
    </row>
    <row r="72" spans="1:17" customFormat="1">
      <c r="A72" s="80">
        <v>45555.666666666664</v>
      </c>
      <c r="B72" s="112">
        <v>9.31</v>
      </c>
      <c r="C72" s="112">
        <v>4.05</v>
      </c>
      <c r="D72" s="112">
        <v>14.04</v>
      </c>
      <c r="E72" s="112">
        <v>11.32</v>
      </c>
      <c r="F72" s="112">
        <v>8.57</v>
      </c>
      <c r="G72" s="112">
        <v>71.209999999999994</v>
      </c>
      <c r="H72" s="112">
        <v>23.36</v>
      </c>
      <c r="I72" s="112">
        <v>6.42</v>
      </c>
      <c r="J72" s="112">
        <v>1.03</v>
      </c>
      <c r="K72" s="112">
        <v>56.8</v>
      </c>
      <c r="L72" s="112">
        <v>32.409999999999997</v>
      </c>
      <c r="M72" s="112">
        <v>61.29</v>
      </c>
      <c r="N72" s="112">
        <v>117.7</v>
      </c>
      <c r="O72" s="112">
        <v>0</v>
      </c>
      <c r="P72" s="112">
        <v>0.56000000000000005</v>
      </c>
      <c r="Q72" s="112">
        <v>4.62</v>
      </c>
    </row>
    <row r="73" spans="1:17" customFormat="1">
      <c r="A73" s="80">
        <v>45555.677083333336</v>
      </c>
      <c r="B73" s="112">
        <v>9.32</v>
      </c>
      <c r="C73" s="112">
        <v>4.07</v>
      </c>
      <c r="D73" s="112">
        <v>14.06</v>
      </c>
      <c r="E73" s="112">
        <v>10.77</v>
      </c>
      <c r="F73" s="112">
        <v>9.1</v>
      </c>
      <c r="G73" s="112">
        <v>71.209999999999994</v>
      </c>
      <c r="H73" s="112">
        <v>23.36</v>
      </c>
      <c r="I73" s="112">
        <v>6.29</v>
      </c>
      <c r="J73" s="112">
        <v>0.85</v>
      </c>
      <c r="K73" s="112">
        <v>49.49</v>
      </c>
      <c r="L73" s="112">
        <v>32.25</v>
      </c>
      <c r="M73" s="112">
        <v>61.09</v>
      </c>
      <c r="N73" s="112">
        <v>60.4</v>
      </c>
      <c r="O73" s="112">
        <v>0</v>
      </c>
      <c r="P73" s="112">
        <v>0.55000000000000004</v>
      </c>
      <c r="Q73" s="112">
        <v>4.63</v>
      </c>
    </row>
    <row r="74" spans="1:17" customFormat="1">
      <c r="A74" s="80">
        <v>45555.6875</v>
      </c>
      <c r="B74" s="112">
        <v>9.31</v>
      </c>
      <c r="C74" s="112">
        <v>4.09</v>
      </c>
      <c r="D74" s="112">
        <v>14.05</v>
      </c>
      <c r="E74" s="112">
        <v>12.05</v>
      </c>
      <c r="F74" s="112">
        <v>18.77</v>
      </c>
      <c r="G74" s="112">
        <v>71.349999999999994</v>
      </c>
      <c r="H74" s="112">
        <v>23.89</v>
      </c>
      <c r="I74" s="112">
        <v>6.43</v>
      </c>
      <c r="J74" s="112">
        <v>0.87</v>
      </c>
      <c r="K74" s="112">
        <v>52.85</v>
      </c>
      <c r="L74" s="112">
        <v>32.06</v>
      </c>
      <c r="M74" s="112">
        <v>61.47</v>
      </c>
      <c r="N74" s="112">
        <v>47.7</v>
      </c>
      <c r="O74" s="112">
        <v>0</v>
      </c>
      <c r="P74" s="112">
        <v>0.52</v>
      </c>
      <c r="Q74" s="112">
        <v>4.6399999999999997</v>
      </c>
    </row>
    <row r="75" spans="1:17" customFormat="1">
      <c r="A75" s="80">
        <v>45555.697916666664</v>
      </c>
      <c r="B75" s="112">
        <v>9.35</v>
      </c>
      <c r="C75" s="112">
        <v>4.08</v>
      </c>
      <c r="D75" s="112">
        <v>14.08</v>
      </c>
      <c r="E75" s="112">
        <v>11.16</v>
      </c>
      <c r="F75" s="112">
        <v>14.84</v>
      </c>
      <c r="G75" s="112">
        <v>72.790000000000006</v>
      </c>
      <c r="H75" s="112">
        <v>28.37</v>
      </c>
      <c r="I75" s="112">
        <v>6.25</v>
      </c>
      <c r="J75" s="112">
        <v>0.79</v>
      </c>
      <c r="K75" s="112">
        <v>61.07</v>
      </c>
      <c r="L75" s="112">
        <v>31.93</v>
      </c>
      <c r="M75" s="112">
        <v>62.93</v>
      </c>
      <c r="N75" s="112">
        <v>37.299999999999997</v>
      </c>
      <c r="O75" s="112">
        <v>0</v>
      </c>
      <c r="P75" s="112">
        <v>0.46</v>
      </c>
      <c r="Q75" s="112">
        <v>4.68</v>
      </c>
    </row>
    <row r="76" spans="1:17" customFormat="1">
      <c r="A76" s="80">
        <v>45555.708333333336</v>
      </c>
      <c r="B76" s="112">
        <v>9.4</v>
      </c>
      <c r="C76" s="112">
        <v>4.07</v>
      </c>
      <c r="D76" s="112">
        <v>14.12</v>
      </c>
      <c r="E76" s="112">
        <v>10.44</v>
      </c>
      <c r="F76" s="112">
        <v>16.010000000000002</v>
      </c>
      <c r="G76" s="112">
        <v>72.790000000000006</v>
      </c>
      <c r="H76" s="112">
        <v>28.37</v>
      </c>
      <c r="I76" s="112">
        <v>5.46</v>
      </c>
      <c r="J76" s="112">
        <v>0.65</v>
      </c>
      <c r="K76" s="112">
        <v>58.39</v>
      </c>
      <c r="L76" s="112">
        <v>31.84</v>
      </c>
      <c r="M76" s="112">
        <v>62.77</v>
      </c>
      <c r="N76" s="112">
        <v>28</v>
      </c>
      <c r="O76" s="112">
        <v>0</v>
      </c>
      <c r="P76" s="112">
        <v>0.42</v>
      </c>
      <c r="Q76" s="112">
        <v>4.67</v>
      </c>
    </row>
    <row r="77" spans="1:17" customFormat="1">
      <c r="A77" s="80">
        <v>45555.71875</v>
      </c>
      <c r="B77" s="112">
        <v>9.39</v>
      </c>
      <c r="C77" s="112">
        <v>4.05</v>
      </c>
      <c r="D77" s="112">
        <v>14.1</v>
      </c>
      <c r="E77" s="112">
        <v>10.81</v>
      </c>
      <c r="F77" s="112">
        <v>10.28</v>
      </c>
      <c r="G77" s="112">
        <v>72.790000000000006</v>
      </c>
      <c r="H77" s="112">
        <v>28.37</v>
      </c>
      <c r="I77" s="112">
        <v>5.23</v>
      </c>
      <c r="J77" s="112">
        <v>0.49</v>
      </c>
      <c r="K77" s="112">
        <v>54.58</v>
      </c>
      <c r="L77" s="112">
        <v>31.62</v>
      </c>
      <c r="M77" s="112">
        <v>64.3</v>
      </c>
      <c r="N77" s="112">
        <v>19.100000000000001</v>
      </c>
      <c r="O77" s="112">
        <v>0</v>
      </c>
      <c r="P77" s="112">
        <v>0.44</v>
      </c>
      <c r="Q77" s="112">
        <v>4.66</v>
      </c>
    </row>
    <row r="78" spans="1:17" customFormat="1">
      <c r="A78" s="80">
        <v>45555.729166666664</v>
      </c>
      <c r="B78" s="112">
        <v>9.31</v>
      </c>
      <c r="C78" s="112">
        <v>4.05</v>
      </c>
      <c r="D78" s="112">
        <v>14.04</v>
      </c>
      <c r="E78" s="112">
        <v>10.74</v>
      </c>
      <c r="F78" s="112">
        <v>12.76</v>
      </c>
      <c r="G78" s="112">
        <v>73.61</v>
      </c>
      <c r="H78" s="112">
        <v>27.62</v>
      </c>
      <c r="I78" s="112">
        <v>5.19</v>
      </c>
      <c r="J78" s="112">
        <v>0.27</v>
      </c>
      <c r="K78" s="112">
        <v>45.17</v>
      </c>
      <c r="L78" s="112">
        <v>31.28</v>
      </c>
      <c r="M78" s="112">
        <v>65.8</v>
      </c>
      <c r="N78" s="112">
        <v>11.5</v>
      </c>
      <c r="O78" s="112">
        <v>0</v>
      </c>
      <c r="P78" s="112">
        <v>0.46</v>
      </c>
      <c r="Q78" s="112">
        <v>4.67</v>
      </c>
    </row>
    <row r="79" spans="1:17" customFormat="1">
      <c r="A79" s="80">
        <v>45555.739583333336</v>
      </c>
      <c r="B79" s="112">
        <v>9.26</v>
      </c>
      <c r="C79" s="112">
        <v>4.07</v>
      </c>
      <c r="D79" s="112">
        <v>14</v>
      </c>
      <c r="E79" s="112">
        <v>11.12</v>
      </c>
      <c r="F79" s="112">
        <v>9.1199999999999992</v>
      </c>
      <c r="G79" s="112">
        <v>82.04</v>
      </c>
      <c r="H79" s="112">
        <v>22.13</v>
      </c>
      <c r="I79" s="112">
        <v>5.45</v>
      </c>
      <c r="J79" s="112">
        <v>0.32</v>
      </c>
      <c r="K79" s="112">
        <v>55.8</v>
      </c>
      <c r="L79" s="112">
        <v>31.03</v>
      </c>
      <c r="M79" s="112">
        <v>65.77</v>
      </c>
      <c r="N79" s="112">
        <v>6.1</v>
      </c>
      <c r="O79" s="112">
        <v>0</v>
      </c>
      <c r="P79" s="112">
        <v>0.49</v>
      </c>
      <c r="Q79" s="112">
        <v>4.67</v>
      </c>
    </row>
    <row r="80" spans="1:17" customFormat="1">
      <c r="A80" s="80">
        <v>45555.75</v>
      </c>
      <c r="B80" s="112">
        <v>9.24</v>
      </c>
      <c r="C80" s="112">
        <v>4.0999999999999996</v>
      </c>
      <c r="D80" s="112">
        <v>14</v>
      </c>
      <c r="E80" s="112">
        <v>11.29</v>
      </c>
      <c r="F80" s="112">
        <v>7.75</v>
      </c>
      <c r="G80" s="112">
        <v>82.04</v>
      </c>
      <c r="H80" s="112">
        <v>22.13</v>
      </c>
      <c r="I80" s="112">
        <v>5.46</v>
      </c>
      <c r="J80" s="112">
        <v>0.28999999999999998</v>
      </c>
      <c r="K80" s="112">
        <v>62.99</v>
      </c>
      <c r="L80" s="112">
        <v>30.87</v>
      </c>
      <c r="M80" s="112">
        <v>65.31</v>
      </c>
      <c r="N80" s="112">
        <v>2.8</v>
      </c>
      <c r="O80" s="112">
        <v>0</v>
      </c>
      <c r="P80" s="112">
        <v>0.5</v>
      </c>
      <c r="Q80" s="112">
        <v>4.67</v>
      </c>
    </row>
    <row r="81" spans="1:17" customFormat="1">
      <c r="A81" s="80">
        <v>45555.760416666664</v>
      </c>
      <c r="B81" s="112">
        <v>9.24</v>
      </c>
      <c r="C81" s="112">
        <v>4.0999999999999996</v>
      </c>
      <c r="D81" s="112">
        <v>14</v>
      </c>
      <c r="E81" s="112">
        <v>9.94</v>
      </c>
      <c r="F81" s="112">
        <v>8.67</v>
      </c>
      <c r="G81" s="112">
        <v>82.04</v>
      </c>
      <c r="H81" s="112">
        <v>22.13</v>
      </c>
      <c r="I81" s="112">
        <v>5.72</v>
      </c>
      <c r="J81" s="112">
        <v>0.16</v>
      </c>
      <c r="K81" s="112">
        <v>128.33000000000001</v>
      </c>
      <c r="L81" s="112">
        <v>30.66</v>
      </c>
      <c r="M81" s="112">
        <v>68.22</v>
      </c>
      <c r="N81" s="112">
        <v>2.6</v>
      </c>
      <c r="O81" s="112">
        <v>0</v>
      </c>
      <c r="P81" s="112">
        <v>0.5</v>
      </c>
      <c r="Q81" s="112">
        <v>4.6500000000000004</v>
      </c>
    </row>
    <row r="82" spans="1:17" customFormat="1">
      <c r="A82" s="80">
        <v>45555.770833333336</v>
      </c>
      <c r="B82" s="112">
        <v>9.25</v>
      </c>
      <c r="C82" s="112">
        <v>4.08</v>
      </c>
      <c r="D82" s="112">
        <v>14</v>
      </c>
      <c r="E82" s="112">
        <v>11.05</v>
      </c>
      <c r="F82" s="112">
        <v>8.61</v>
      </c>
      <c r="G82" s="112">
        <v>82.82</v>
      </c>
      <c r="H82" s="112">
        <v>22.67</v>
      </c>
      <c r="I82" s="112">
        <v>5.79</v>
      </c>
      <c r="J82" s="112">
        <v>0.25</v>
      </c>
      <c r="K82" s="112">
        <v>158.69</v>
      </c>
      <c r="L82" s="112">
        <v>30.1</v>
      </c>
      <c r="M82" s="112">
        <v>75.459999999999994</v>
      </c>
      <c r="N82" s="112">
        <v>2.6</v>
      </c>
      <c r="O82" s="112">
        <v>0</v>
      </c>
      <c r="P82" s="112">
        <v>0.48</v>
      </c>
      <c r="Q82" s="112">
        <v>4.67</v>
      </c>
    </row>
    <row r="83" spans="1:17" customFormat="1">
      <c r="A83" s="80">
        <v>45555.78125</v>
      </c>
      <c r="B83" s="112">
        <v>9.24</v>
      </c>
      <c r="C83" s="112">
        <v>4.0999999999999996</v>
      </c>
      <c r="D83" s="112">
        <v>14</v>
      </c>
      <c r="E83" s="112">
        <v>10.99</v>
      </c>
      <c r="F83" s="112">
        <v>7.58</v>
      </c>
      <c r="G83" s="112">
        <v>90.81</v>
      </c>
      <c r="H83" s="112">
        <v>26.61</v>
      </c>
      <c r="I83" s="112">
        <v>5.66</v>
      </c>
      <c r="J83" s="112">
        <v>0.16</v>
      </c>
      <c r="K83" s="112">
        <v>139.33000000000001</v>
      </c>
      <c r="L83" s="112">
        <v>29.93</v>
      </c>
      <c r="M83" s="112">
        <v>75.78</v>
      </c>
      <c r="N83" s="112">
        <v>2.2999999999999998</v>
      </c>
      <c r="O83" s="112">
        <v>0</v>
      </c>
      <c r="P83" s="112">
        <v>0.53</v>
      </c>
      <c r="Q83" s="112">
        <v>4.67</v>
      </c>
    </row>
    <row r="84" spans="1:17" customFormat="1">
      <c r="A84" s="80">
        <v>45555.791666666664</v>
      </c>
      <c r="B84" s="112">
        <v>9.25</v>
      </c>
      <c r="C84" s="112">
        <v>4.08</v>
      </c>
      <c r="D84" s="112">
        <v>14</v>
      </c>
      <c r="E84" s="112">
        <v>11.34</v>
      </c>
      <c r="F84" s="112">
        <v>5.93</v>
      </c>
      <c r="G84" s="112">
        <v>90.81</v>
      </c>
      <c r="H84" s="112">
        <v>26.61</v>
      </c>
      <c r="I84" s="112">
        <v>5.66</v>
      </c>
      <c r="J84" s="112">
        <v>0.28000000000000003</v>
      </c>
      <c r="K84" s="112">
        <v>179.11</v>
      </c>
      <c r="L84" s="112">
        <v>29.47</v>
      </c>
      <c r="M84" s="112">
        <v>81.23</v>
      </c>
      <c r="N84" s="112">
        <v>2.6</v>
      </c>
      <c r="O84" s="112">
        <v>0</v>
      </c>
      <c r="P84" s="112">
        <v>0.51</v>
      </c>
      <c r="Q84" s="112">
        <v>4.67</v>
      </c>
    </row>
    <row r="85" spans="1:17" customFormat="1">
      <c r="A85" s="80">
        <v>45555.802083333336</v>
      </c>
      <c r="B85" s="112">
        <v>9.25</v>
      </c>
      <c r="C85" s="112">
        <v>4.08</v>
      </c>
      <c r="D85" s="112">
        <v>14</v>
      </c>
      <c r="E85" s="112">
        <v>10.91</v>
      </c>
      <c r="F85" s="112">
        <v>5.44</v>
      </c>
      <c r="G85" s="112">
        <v>90.81</v>
      </c>
      <c r="H85" s="112">
        <v>26.61</v>
      </c>
      <c r="I85" s="112">
        <v>6.07</v>
      </c>
      <c r="J85" s="112">
        <v>0.21</v>
      </c>
      <c r="K85" s="112">
        <v>190.63</v>
      </c>
      <c r="L85" s="112">
        <v>29.09</v>
      </c>
      <c r="M85" s="112">
        <v>80.59</v>
      </c>
      <c r="N85" s="112">
        <v>2.4</v>
      </c>
      <c r="O85" s="112">
        <v>0</v>
      </c>
      <c r="P85" s="112">
        <v>0.52</v>
      </c>
      <c r="Q85" s="112">
        <v>4.68</v>
      </c>
    </row>
    <row r="86" spans="1:17" customFormat="1">
      <c r="A86" s="80">
        <v>45555.8125</v>
      </c>
      <c r="B86" s="112">
        <v>9.25</v>
      </c>
      <c r="C86" s="112">
        <v>4.09</v>
      </c>
      <c r="D86" s="112">
        <v>14</v>
      </c>
      <c r="E86" s="112">
        <v>11.24</v>
      </c>
      <c r="F86" s="112">
        <v>4.6100000000000003</v>
      </c>
      <c r="G86" s="112">
        <v>90.99</v>
      </c>
      <c r="H86" s="112">
        <v>26.48</v>
      </c>
      <c r="I86" s="112">
        <v>6</v>
      </c>
      <c r="J86" s="112">
        <v>0.2</v>
      </c>
      <c r="K86" s="112">
        <v>185.89</v>
      </c>
      <c r="L86" s="112">
        <v>28.84</v>
      </c>
      <c r="M86" s="112">
        <v>82.58</v>
      </c>
      <c r="N86" s="112">
        <v>2.2000000000000002</v>
      </c>
      <c r="O86" s="112">
        <v>0</v>
      </c>
      <c r="P86" s="112">
        <v>0.54</v>
      </c>
      <c r="Q86" s="112">
        <v>4.66</v>
      </c>
    </row>
    <row r="87" spans="1:17" customFormat="1">
      <c r="A87" s="80">
        <v>45555.822916666664</v>
      </c>
      <c r="B87" s="112">
        <v>9.25</v>
      </c>
      <c r="C87" s="112">
        <v>4.07</v>
      </c>
      <c r="D87" s="112">
        <v>14</v>
      </c>
      <c r="E87" s="112">
        <v>10.91</v>
      </c>
      <c r="F87" s="112">
        <v>5.05</v>
      </c>
      <c r="G87" s="112">
        <v>92.62</v>
      </c>
      <c r="H87" s="112">
        <v>25.56</v>
      </c>
      <c r="I87" s="112">
        <v>6.08</v>
      </c>
      <c r="J87" s="112">
        <v>0.24</v>
      </c>
      <c r="K87" s="112">
        <v>182.13</v>
      </c>
      <c r="L87" s="112">
        <v>28.64</v>
      </c>
      <c r="M87" s="112">
        <v>88.17</v>
      </c>
      <c r="N87" s="112">
        <v>2.1</v>
      </c>
      <c r="O87" s="112">
        <v>0</v>
      </c>
      <c r="P87" s="112">
        <v>0.53</v>
      </c>
      <c r="Q87" s="112">
        <v>4.66</v>
      </c>
    </row>
    <row r="88" spans="1:17" customFormat="1">
      <c r="A88" s="80">
        <v>45555.833333333336</v>
      </c>
      <c r="B88" s="112">
        <v>9.25</v>
      </c>
      <c r="C88" s="112">
        <v>4.08</v>
      </c>
      <c r="D88" s="112">
        <v>14</v>
      </c>
      <c r="E88" s="112">
        <v>10.59</v>
      </c>
      <c r="F88" s="112">
        <v>5.18</v>
      </c>
      <c r="G88" s="112">
        <v>92.62</v>
      </c>
      <c r="H88" s="112">
        <v>25.56</v>
      </c>
      <c r="I88" s="112">
        <v>6.14</v>
      </c>
      <c r="J88" s="112">
        <v>0.2</v>
      </c>
      <c r="K88" s="112">
        <v>181.71</v>
      </c>
      <c r="L88" s="112">
        <v>28.58</v>
      </c>
      <c r="M88" s="112">
        <v>85.02</v>
      </c>
      <c r="N88" s="112">
        <v>2.1</v>
      </c>
      <c r="O88" s="112">
        <v>0</v>
      </c>
      <c r="P88" s="112">
        <v>0.53</v>
      </c>
      <c r="Q88" s="112">
        <v>4.6500000000000004</v>
      </c>
    </row>
    <row r="89" spans="1:17" customFormat="1">
      <c r="A89" s="80">
        <v>45555.84375</v>
      </c>
      <c r="B89" s="112">
        <v>9.23</v>
      </c>
      <c r="C89" s="112">
        <v>4.1100000000000003</v>
      </c>
      <c r="D89" s="112">
        <v>14</v>
      </c>
      <c r="E89" s="112">
        <v>10.58</v>
      </c>
      <c r="F89" s="112">
        <v>4.46</v>
      </c>
      <c r="G89" s="112">
        <v>92.62</v>
      </c>
      <c r="H89" s="112">
        <v>25.56</v>
      </c>
      <c r="I89" s="112">
        <v>6.11</v>
      </c>
      <c r="J89" s="112">
        <v>0.21</v>
      </c>
      <c r="K89" s="112">
        <v>183.68</v>
      </c>
      <c r="L89" s="112">
        <v>28.64</v>
      </c>
      <c r="M89" s="112">
        <v>85.56</v>
      </c>
      <c r="N89" s="112">
        <v>2.1</v>
      </c>
      <c r="O89" s="112">
        <v>0</v>
      </c>
      <c r="P89" s="112">
        <v>0.55000000000000004</v>
      </c>
      <c r="Q89" s="112">
        <v>4.6500000000000004</v>
      </c>
    </row>
    <row r="90" spans="1:17" customFormat="1">
      <c r="A90" s="80">
        <v>45555.854166666664</v>
      </c>
      <c r="B90" s="112">
        <v>9.25</v>
      </c>
      <c r="C90" s="112">
        <v>4.08</v>
      </c>
      <c r="D90" s="112">
        <v>14</v>
      </c>
      <c r="E90" s="112">
        <v>10.9</v>
      </c>
      <c r="F90" s="112">
        <v>5.51</v>
      </c>
      <c r="G90" s="112">
        <v>92.31</v>
      </c>
      <c r="H90" s="112">
        <v>25.35</v>
      </c>
      <c r="I90" s="112">
        <v>6.21</v>
      </c>
      <c r="J90" s="112">
        <v>0.13</v>
      </c>
      <c r="K90" s="112">
        <v>187.5</v>
      </c>
      <c r="L90" s="112">
        <v>28.27</v>
      </c>
      <c r="M90" s="112">
        <v>87.57</v>
      </c>
      <c r="N90" s="112">
        <v>2.1</v>
      </c>
      <c r="O90" s="112">
        <v>0</v>
      </c>
      <c r="P90" s="112">
        <v>0.54</v>
      </c>
      <c r="Q90" s="112">
        <v>4.67</v>
      </c>
    </row>
    <row r="91" spans="1:17" customFormat="1">
      <c r="A91" s="80">
        <v>45555.864583333336</v>
      </c>
      <c r="B91" s="112">
        <v>9.24</v>
      </c>
      <c r="C91" s="112">
        <v>4.0999999999999996</v>
      </c>
      <c r="D91" s="112">
        <v>14</v>
      </c>
      <c r="E91" s="112">
        <v>11.15</v>
      </c>
      <c r="F91" s="112">
        <v>6.93</v>
      </c>
      <c r="G91" s="112">
        <v>89.58</v>
      </c>
      <c r="H91" s="112">
        <v>23.8</v>
      </c>
      <c r="I91" s="112">
        <v>6.43</v>
      </c>
      <c r="J91" s="112">
        <v>0.19</v>
      </c>
      <c r="K91" s="112">
        <v>169.5</v>
      </c>
      <c r="L91" s="112">
        <v>28.16</v>
      </c>
      <c r="M91" s="112">
        <v>91.14</v>
      </c>
      <c r="N91" s="112">
        <v>2.1</v>
      </c>
      <c r="O91" s="112">
        <v>0</v>
      </c>
      <c r="P91" s="112">
        <v>0.52</v>
      </c>
      <c r="Q91" s="112">
        <v>4.6500000000000004</v>
      </c>
    </row>
    <row r="92" spans="1:17" customFormat="1">
      <c r="A92" s="80">
        <v>45555.875</v>
      </c>
      <c r="B92" s="112">
        <v>9.23</v>
      </c>
      <c r="C92" s="112">
        <v>4.0999999999999996</v>
      </c>
      <c r="D92" s="112">
        <v>14</v>
      </c>
      <c r="E92" s="112">
        <v>10.54</v>
      </c>
      <c r="F92" s="112">
        <v>6.69</v>
      </c>
      <c r="G92" s="112">
        <v>89.58</v>
      </c>
      <c r="H92" s="112">
        <v>23.8</v>
      </c>
      <c r="I92" s="112">
        <v>6.64</v>
      </c>
      <c r="J92" s="112">
        <v>0.16</v>
      </c>
      <c r="K92" s="112">
        <v>175.99</v>
      </c>
      <c r="L92" s="112">
        <v>28.12</v>
      </c>
      <c r="M92" s="112">
        <v>91.82</v>
      </c>
      <c r="N92" s="112">
        <v>2.1</v>
      </c>
      <c r="O92" s="112">
        <v>0</v>
      </c>
      <c r="P92" s="112">
        <v>0.52</v>
      </c>
      <c r="Q92" s="112">
        <v>4.6500000000000004</v>
      </c>
    </row>
    <row r="93" spans="1:17" customFormat="1">
      <c r="A93" s="80">
        <v>45555.885416666664</v>
      </c>
      <c r="B93" s="112">
        <v>9.24</v>
      </c>
      <c r="C93" s="112">
        <v>4.0999999999999996</v>
      </c>
      <c r="D93" s="112">
        <v>14</v>
      </c>
      <c r="E93" s="112">
        <v>10.94</v>
      </c>
      <c r="F93" s="112">
        <v>4.26</v>
      </c>
      <c r="G93" s="112">
        <v>89.58</v>
      </c>
      <c r="H93" s="112">
        <v>23.8</v>
      </c>
      <c r="I93" s="112">
        <v>6.35</v>
      </c>
      <c r="J93" s="112">
        <v>0.21</v>
      </c>
      <c r="K93" s="112">
        <v>187.93</v>
      </c>
      <c r="L93" s="112">
        <v>28.14</v>
      </c>
      <c r="M93" s="112">
        <v>92.72</v>
      </c>
      <c r="N93" s="112">
        <v>2</v>
      </c>
      <c r="O93" s="112">
        <v>0</v>
      </c>
      <c r="P93" s="112">
        <v>0.53</v>
      </c>
      <c r="Q93" s="112">
        <v>4.66</v>
      </c>
    </row>
    <row r="94" spans="1:17" customFormat="1">
      <c r="A94" s="80">
        <v>45555.895833333336</v>
      </c>
      <c r="B94" s="112">
        <v>9.24</v>
      </c>
      <c r="C94" s="112">
        <v>4.0999999999999996</v>
      </c>
      <c r="D94" s="112">
        <v>14</v>
      </c>
      <c r="E94" s="112">
        <v>10.97</v>
      </c>
      <c r="F94" s="112">
        <v>7.22</v>
      </c>
      <c r="G94" s="112">
        <v>87.2</v>
      </c>
      <c r="H94" s="112">
        <v>23.34</v>
      </c>
      <c r="I94" s="112">
        <v>6.24</v>
      </c>
      <c r="J94" s="112">
        <v>0.18</v>
      </c>
      <c r="K94" s="112">
        <v>182.93</v>
      </c>
      <c r="L94" s="112">
        <v>27.72</v>
      </c>
      <c r="M94" s="112">
        <v>95.88</v>
      </c>
      <c r="N94" s="112">
        <v>2.1</v>
      </c>
      <c r="O94" s="112">
        <v>0</v>
      </c>
      <c r="P94" s="112">
        <v>0.52</v>
      </c>
      <c r="Q94" s="112">
        <v>4.6500000000000004</v>
      </c>
    </row>
    <row r="95" spans="1:17" customFormat="1">
      <c r="A95" s="80">
        <v>45555.90625</v>
      </c>
      <c r="B95" s="112">
        <v>9.23</v>
      </c>
      <c r="C95" s="112">
        <v>4.1100000000000003</v>
      </c>
      <c r="D95" s="112">
        <v>14</v>
      </c>
      <c r="E95" s="112">
        <v>11.35</v>
      </c>
      <c r="F95" s="112">
        <v>7.09</v>
      </c>
      <c r="G95" s="112">
        <v>65.81</v>
      </c>
      <c r="H95" s="112">
        <v>19.98</v>
      </c>
      <c r="I95" s="112">
        <v>6.27</v>
      </c>
      <c r="J95" s="112">
        <v>0.18</v>
      </c>
      <c r="K95" s="112">
        <v>190.3</v>
      </c>
      <c r="L95" s="112">
        <v>27.74</v>
      </c>
      <c r="M95" s="112">
        <v>96.58</v>
      </c>
      <c r="N95" s="112">
        <v>2.1</v>
      </c>
      <c r="O95" s="112">
        <v>0</v>
      </c>
      <c r="P95" s="112">
        <v>0.53</v>
      </c>
      <c r="Q95" s="112">
        <v>4.6500000000000004</v>
      </c>
    </row>
    <row r="96" spans="1:17" customFormat="1">
      <c r="A96" s="80">
        <v>45555.916666666664</v>
      </c>
      <c r="B96" s="112">
        <v>9.2200000000000006</v>
      </c>
      <c r="C96" s="112">
        <v>4.12</v>
      </c>
      <c r="D96" s="112">
        <v>14</v>
      </c>
      <c r="E96" s="112">
        <v>10.49</v>
      </c>
      <c r="F96" s="112">
        <v>6.95</v>
      </c>
      <c r="G96" s="112">
        <v>65.81</v>
      </c>
      <c r="H96" s="112">
        <v>19.98</v>
      </c>
      <c r="I96" s="112">
        <v>6.13</v>
      </c>
      <c r="J96" s="112">
        <v>0.16</v>
      </c>
      <c r="K96" s="112">
        <v>177.35</v>
      </c>
      <c r="L96" s="112">
        <v>27.51</v>
      </c>
      <c r="M96" s="112">
        <v>97.21</v>
      </c>
      <c r="N96" s="112">
        <v>2</v>
      </c>
      <c r="O96" s="112">
        <v>0</v>
      </c>
      <c r="P96" s="112">
        <v>0.53</v>
      </c>
      <c r="Q96" s="112">
        <v>4.62</v>
      </c>
    </row>
    <row r="97" spans="1:22" customFormat="1">
      <c r="A97" s="80">
        <v>45555.927083333336</v>
      </c>
      <c r="B97" s="112">
        <v>9.2200000000000006</v>
      </c>
      <c r="C97" s="112">
        <v>4.12</v>
      </c>
      <c r="D97" s="112">
        <v>14</v>
      </c>
      <c r="E97" s="112">
        <v>10.55</v>
      </c>
      <c r="F97" s="112">
        <v>6.51</v>
      </c>
      <c r="G97" s="112">
        <v>65.81</v>
      </c>
      <c r="H97" s="112">
        <v>19.98</v>
      </c>
      <c r="I97" s="112">
        <v>6.23</v>
      </c>
      <c r="J97" s="112">
        <v>0.13</v>
      </c>
      <c r="K97" s="112">
        <v>201.91</v>
      </c>
      <c r="L97" s="112">
        <v>27.53</v>
      </c>
      <c r="M97" s="112">
        <v>97.05</v>
      </c>
      <c r="N97" s="112">
        <v>2.1</v>
      </c>
      <c r="O97" s="112">
        <v>0</v>
      </c>
      <c r="P97" s="112">
        <v>0.53</v>
      </c>
      <c r="Q97" s="112">
        <v>4.63</v>
      </c>
    </row>
    <row r="98" spans="1:22" customFormat="1">
      <c r="A98" s="80">
        <v>45555.9375</v>
      </c>
      <c r="B98" s="112">
        <v>9.24</v>
      </c>
      <c r="C98" s="112">
        <v>4.0999999999999996</v>
      </c>
      <c r="D98" s="112">
        <v>14</v>
      </c>
      <c r="E98" s="112">
        <v>9.84</v>
      </c>
      <c r="F98" s="112">
        <v>6.17</v>
      </c>
      <c r="G98" s="112">
        <v>65.239999999999995</v>
      </c>
      <c r="H98" s="112">
        <v>20.21</v>
      </c>
      <c r="I98" s="112">
        <v>6.27</v>
      </c>
      <c r="J98" s="112">
        <v>0.15</v>
      </c>
      <c r="K98" s="112">
        <v>187.08</v>
      </c>
      <c r="L98" s="112">
        <v>27.4</v>
      </c>
      <c r="M98" s="112">
        <v>95.1</v>
      </c>
      <c r="N98" s="112">
        <v>2.1</v>
      </c>
      <c r="O98" s="112">
        <v>0</v>
      </c>
      <c r="P98" s="112">
        <v>0.53</v>
      </c>
      <c r="Q98" s="112">
        <v>4.6399999999999997</v>
      </c>
    </row>
    <row r="99" spans="1:22" customFormat="1">
      <c r="A99" s="80">
        <v>45555.947916666664</v>
      </c>
      <c r="B99" s="112">
        <v>9.2200000000000006</v>
      </c>
      <c r="C99" s="112">
        <v>4.13</v>
      </c>
      <c r="D99" s="112">
        <v>14</v>
      </c>
      <c r="E99" s="112">
        <v>9.68</v>
      </c>
      <c r="F99" s="112">
        <v>5.9</v>
      </c>
      <c r="G99" s="112">
        <v>59.43</v>
      </c>
      <c r="H99" s="112">
        <v>21.89</v>
      </c>
      <c r="I99" s="112">
        <v>6.26</v>
      </c>
      <c r="J99" s="112">
        <v>0.16</v>
      </c>
      <c r="K99" s="112">
        <v>205.08</v>
      </c>
      <c r="L99" s="112">
        <v>27.25</v>
      </c>
      <c r="M99" s="112">
        <v>95.61</v>
      </c>
      <c r="N99" s="112">
        <v>2.1</v>
      </c>
      <c r="O99" s="112">
        <v>0</v>
      </c>
      <c r="P99" s="112">
        <v>0.54</v>
      </c>
      <c r="Q99" s="112">
        <v>4.6399999999999997</v>
      </c>
    </row>
    <row r="100" spans="1:22" customFormat="1">
      <c r="A100" s="80">
        <v>45555.958333333336</v>
      </c>
      <c r="B100" s="112">
        <v>9.23</v>
      </c>
      <c r="C100" s="112">
        <v>4.1100000000000003</v>
      </c>
      <c r="D100" s="112">
        <v>14</v>
      </c>
      <c r="E100" s="112">
        <v>9.8000000000000007</v>
      </c>
      <c r="F100" s="112">
        <v>5.18</v>
      </c>
      <c r="G100" s="112">
        <v>59.43</v>
      </c>
      <c r="H100" s="112">
        <v>21.89</v>
      </c>
      <c r="I100" s="112">
        <v>6.27</v>
      </c>
      <c r="J100" s="112">
        <v>0.1</v>
      </c>
      <c r="K100" s="112">
        <v>207.62</v>
      </c>
      <c r="L100" s="112">
        <v>27.24</v>
      </c>
      <c r="M100" s="112">
        <v>96.08</v>
      </c>
      <c r="N100" s="112">
        <v>2.1</v>
      </c>
      <c r="O100" s="112">
        <v>0</v>
      </c>
      <c r="P100" s="112">
        <v>0.54</v>
      </c>
      <c r="Q100" s="112">
        <v>4.6500000000000004</v>
      </c>
    </row>
    <row r="101" spans="1:22" customFormat="1">
      <c r="A101" s="80">
        <v>45555.96875</v>
      </c>
      <c r="B101" s="112">
        <v>9.2200000000000006</v>
      </c>
      <c r="C101" s="112">
        <v>4.13</v>
      </c>
      <c r="D101" s="112">
        <v>14</v>
      </c>
      <c r="E101" s="112">
        <v>9.2799999999999994</v>
      </c>
      <c r="F101" s="112">
        <v>4.9400000000000004</v>
      </c>
      <c r="G101" s="112">
        <v>59.43</v>
      </c>
      <c r="H101" s="112">
        <v>21.89</v>
      </c>
      <c r="I101" s="112">
        <v>6.38</v>
      </c>
      <c r="J101" s="112">
        <v>0.19</v>
      </c>
      <c r="K101" s="112">
        <v>187.86</v>
      </c>
      <c r="L101" s="112">
        <v>27.16</v>
      </c>
      <c r="M101" s="112">
        <v>97.57</v>
      </c>
      <c r="N101" s="112">
        <v>2.1</v>
      </c>
      <c r="O101" s="112">
        <v>0</v>
      </c>
      <c r="P101" s="112">
        <v>0.54</v>
      </c>
      <c r="Q101" s="112">
        <v>4.6399999999999997</v>
      </c>
    </row>
    <row r="102" spans="1:22" customFormat="1">
      <c r="A102" s="80">
        <v>45555.979166666664</v>
      </c>
      <c r="B102" s="112">
        <v>9.2200000000000006</v>
      </c>
      <c r="C102" s="112">
        <v>4.13</v>
      </c>
      <c r="D102" s="112">
        <v>14</v>
      </c>
      <c r="E102" s="112">
        <v>9.7100000000000009</v>
      </c>
      <c r="F102" s="112">
        <v>5.2</v>
      </c>
      <c r="G102" s="112">
        <v>59.08</v>
      </c>
      <c r="H102" s="112">
        <v>21.7</v>
      </c>
      <c r="I102" s="112">
        <v>6.48</v>
      </c>
      <c r="J102" s="112">
        <v>0.17</v>
      </c>
      <c r="K102" s="112">
        <v>189.74</v>
      </c>
      <c r="L102" s="112">
        <v>27.18</v>
      </c>
      <c r="M102" s="112">
        <v>96.01</v>
      </c>
      <c r="N102" s="112">
        <v>2.1</v>
      </c>
      <c r="O102" s="112">
        <v>0</v>
      </c>
      <c r="P102" s="112">
        <v>0.53</v>
      </c>
      <c r="Q102" s="112">
        <v>4.6500000000000004</v>
      </c>
    </row>
    <row r="103" spans="1:22" customFormat="1">
      <c r="A103" s="80">
        <v>45555.989583333336</v>
      </c>
      <c r="B103" s="112">
        <v>9.25</v>
      </c>
      <c r="C103" s="112">
        <v>4.08</v>
      </c>
      <c r="D103" s="112">
        <v>14</v>
      </c>
      <c r="E103" s="112">
        <v>9.35</v>
      </c>
      <c r="F103" s="112">
        <v>5.35</v>
      </c>
      <c r="G103" s="112">
        <v>55.91</v>
      </c>
      <c r="H103" s="112">
        <v>20.3</v>
      </c>
      <c r="I103" s="112">
        <v>6.49</v>
      </c>
      <c r="J103" s="112">
        <v>0.21</v>
      </c>
      <c r="K103" s="112">
        <v>171.98</v>
      </c>
      <c r="L103" s="112">
        <v>27.1</v>
      </c>
      <c r="M103" s="112">
        <v>96.69</v>
      </c>
      <c r="N103" s="112">
        <v>2.1</v>
      </c>
      <c r="O103" s="112">
        <v>0</v>
      </c>
      <c r="P103" s="112">
        <v>0.53</v>
      </c>
      <c r="Q103" s="112">
        <v>4.6399999999999997</v>
      </c>
    </row>
    <row r="104" spans="1:22" customFormat="1">
      <c r="A104" s="80">
        <v>45556</v>
      </c>
      <c r="B104" s="112">
        <v>9.23</v>
      </c>
      <c r="C104" s="112">
        <v>4.1100000000000003</v>
      </c>
      <c r="D104" s="112">
        <v>14</v>
      </c>
      <c r="E104" s="112">
        <v>9.07</v>
      </c>
      <c r="F104" s="112">
        <v>4.74</v>
      </c>
      <c r="G104" s="112">
        <v>55.91</v>
      </c>
      <c r="H104" s="112">
        <v>20.3</v>
      </c>
      <c r="I104" s="112">
        <v>6.52</v>
      </c>
      <c r="J104" s="112">
        <v>0.12</v>
      </c>
      <c r="K104" s="112">
        <v>178.75</v>
      </c>
      <c r="L104" s="112">
        <v>27.1</v>
      </c>
      <c r="M104" s="112">
        <v>97.27</v>
      </c>
      <c r="N104" s="112">
        <v>2.1</v>
      </c>
      <c r="O104" s="112">
        <v>0</v>
      </c>
      <c r="P104" s="112">
        <v>0.53</v>
      </c>
      <c r="Q104" s="112">
        <v>4.6399999999999997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9.1199999999999992</v>
      </c>
      <c r="C106" s="183">
        <f>MIN(C9:C104)</f>
        <v>4.05</v>
      </c>
      <c r="D106" s="183">
        <f t="shared" ref="D106:Q106" si="0">MIN(D9:D104)</f>
        <v>14</v>
      </c>
      <c r="E106" s="183">
        <f t="shared" si="0"/>
        <v>7.78</v>
      </c>
      <c r="F106" s="183">
        <f t="shared" si="0"/>
        <v>3.78</v>
      </c>
      <c r="G106" s="183">
        <f t="shared" si="0"/>
        <v>55.37</v>
      </c>
      <c r="H106" s="183">
        <f t="shared" si="0"/>
        <v>19.98</v>
      </c>
      <c r="I106" s="183">
        <f t="shared" si="0"/>
        <v>5.19</v>
      </c>
      <c r="J106" s="183">
        <f t="shared" si="0"/>
        <v>0.06</v>
      </c>
      <c r="K106" s="183">
        <f t="shared" si="0"/>
        <v>4.0999999999999996</v>
      </c>
      <c r="L106" s="183">
        <f t="shared" si="0"/>
        <v>25.16</v>
      </c>
      <c r="M106" s="183">
        <f t="shared" si="0"/>
        <v>56.62</v>
      </c>
      <c r="N106" s="183">
        <f t="shared" si="0"/>
        <v>2</v>
      </c>
      <c r="O106" s="183">
        <f t="shared" si="0"/>
        <v>0</v>
      </c>
      <c r="P106" s="183">
        <f t="shared" si="0"/>
        <v>0.42</v>
      </c>
      <c r="Q106" s="183">
        <f t="shared" si="0"/>
        <v>4.62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9.4</v>
      </c>
      <c r="C107" s="184">
        <f t="shared" ref="C107:Q107" si="1">MAX(C9:C104)</f>
        <v>4.29</v>
      </c>
      <c r="D107" s="184">
        <f t="shared" si="1"/>
        <v>14.12</v>
      </c>
      <c r="E107" s="184">
        <f t="shared" si="1"/>
        <v>24.57</v>
      </c>
      <c r="F107" s="184">
        <f t="shared" si="1"/>
        <v>18.77</v>
      </c>
      <c r="G107" s="184">
        <f t="shared" si="1"/>
        <v>174.55</v>
      </c>
      <c r="H107" s="184">
        <f t="shared" si="1"/>
        <v>39.35</v>
      </c>
      <c r="I107" s="184">
        <f t="shared" si="1"/>
        <v>8.25</v>
      </c>
      <c r="J107" s="184">
        <f t="shared" si="1"/>
        <v>1.03</v>
      </c>
      <c r="K107" s="184">
        <f t="shared" si="1"/>
        <v>309.3</v>
      </c>
      <c r="L107" s="184">
        <f t="shared" si="1"/>
        <v>33.26</v>
      </c>
      <c r="M107" s="184">
        <f t="shared" si="1"/>
        <v>99.17</v>
      </c>
      <c r="N107" s="184">
        <f t="shared" si="1"/>
        <v>773.1</v>
      </c>
      <c r="O107" s="184">
        <f t="shared" si="1"/>
        <v>0</v>
      </c>
      <c r="P107" s="184">
        <f t="shared" si="1"/>
        <v>0.72</v>
      </c>
      <c r="Q107" s="184">
        <f t="shared" si="1"/>
        <v>4.6900000000000004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9.1988541666666688</v>
      </c>
      <c r="C108" s="183">
        <f t="shared" ref="C108:Q108" si="2">AVERAGE(C9:C104)</f>
        <v>4.1686458333333345</v>
      </c>
      <c r="D108" s="183">
        <f t="shared" si="2"/>
        <v>14.005312499999997</v>
      </c>
      <c r="E108" s="183">
        <f t="shared" si="2"/>
        <v>11.104166666666666</v>
      </c>
      <c r="F108" s="183">
        <f t="shared" si="2"/>
        <v>7.6303125000000014</v>
      </c>
      <c r="G108" s="183">
        <f t="shared" si="2"/>
        <v>83.025937500000012</v>
      </c>
      <c r="H108" s="183">
        <f t="shared" si="2"/>
        <v>27.706041666666675</v>
      </c>
      <c r="I108" s="183">
        <f t="shared" si="2"/>
        <v>6.8980208333333328</v>
      </c>
      <c r="J108" s="183">
        <f t="shared" si="2"/>
        <v>0.33499999999999996</v>
      </c>
      <c r="K108" s="183">
        <f t="shared" si="2"/>
        <v>136.00239583333334</v>
      </c>
      <c r="L108" s="183">
        <f t="shared" si="2"/>
        <v>29.048437499999991</v>
      </c>
      <c r="M108" s="183">
        <f t="shared" si="2"/>
        <v>80.320312500000043</v>
      </c>
      <c r="N108" s="183">
        <f t="shared" si="2"/>
        <v>117.08125000000007</v>
      </c>
      <c r="O108" s="183">
        <f t="shared" si="2"/>
        <v>0</v>
      </c>
      <c r="P108" s="183">
        <f t="shared" si="2"/>
        <v>0.61625000000000008</v>
      </c>
      <c r="Q108" s="183">
        <f t="shared" si="2"/>
        <v>4.6510416666666652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5.7944979196088195E-2</v>
      </c>
      <c r="C109" s="183">
        <f t="shared" ref="C109:Q109" si="3">STDEV(C9:C104)</f>
        <v>6.7537432765557071E-2</v>
      </c>
      <c r="D109" s="183">
        <f t="shared" si="3"/>
        <v>1.9944825209351317E-2</v>
      </c>
      <c r="E109" s="183">
        <f t="shared" si="3"/>
        <v>2.7217450542530384</v>
      </c>
      <c r="F109" s="183">
        <f t="shared" si="3"/>
        <v>3.21720063118789</v>
      </c>
      <c r="G109" s="183">
        <f t="shared" si="3"/>
        <v>29.195750757083403</v>
      </c>
      <c r="H109" s="183">
        <f t="shared" si="3"/>
        <v>5.1988657627696009</v>
      </c>
      <c r="I109" s="183">
        <f t="shared" si="3"/>
        <v>0.76113436090541464</v>
      </c>
      <c r="J109" s="183">
        <f t="shared" si="3"/>
        <v>0.28096450421997976</v>
      </c>
      <c r="K109" s="183">
        <f t="shared" si="3"/>
        <v>77.366715565270454</v>
      </c>
      <c r="L109" s="183">
        <f t="shared" si="3"/>
        <v>2.8360210555691365</v>
      </c>
      <c r="M109" s="183">
        <f t="shared" si="3"/>
        <v>16.237398576523681</v>
      </c>
      <c r="N109" s="183">
        <f t="shared" si="3"/>
        <v>183.99918095498487</v>
      </c>
      <c r="O109" s="183">
        <f t="shared" si="3"/>
        <v>0</v>
      </c>
      <c r="P109" s="183">
        <f t="shared" si="3"/>
        <v>8.2081474286546705E-2</v>
      </c>
      <c r="Q109" s="183">
        <f t="shared" si="3"/>
        <v>1.4325477243206087E-2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3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45556.010416666664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45556.010416666664</v>
      </c>
      <c r="B9" s="112">
        <v>9.24</v>
      </c>
      <c r="C9" s="112">
        <v>4.0999999999999996</v>
      </c>
      <c r="D9" s="112">
        <v>14</v>
      </c>
      <c r="E9" s="112">
        <v>9.4</v>
      </c>
      <c r="F9" s="112">
        <v>4.4000000000000004</v>
      </c>
      <c r="G9" s="112">
        <v>55.91</v>
      </c>
      <c r="H9" s="112">
        <v>20.3</v>
      </c>
      <c r="I9" s="112">
        <v>6.56</v>
      </c>
      <c r="J9" s="112">
        <v>0.14000000000000001</v>
      </c>
      <c r="K9" s="112">
        <v>175.36</v>
      </c>
      <c r="L9" s="112">
        <v>27.04</v>
      </c>
      <c r="M9" s="112">
        <v>96.9</v>
      </c>
      <c r="N9" s="112">
        <v>2</v>
      </c>
      <c r="O9" s="112">
        <v>0</v>
      </c>
      <c r="P9" s="112">
        <v>0.53</v>
      </c>
      <c r="Q9" s="112">
        <v>4.6500000000000004</v>
      </c>
    </row>
    <row r="10" spans="1:21" customFormat="1">
      <c r="A10" s="80">
        <v>45556.020833333336</v>
      </c>
      <c r="B10" s="112">
        <v>9.26</v>
      </c>
      <c r="C10" s="112">
        <v>4.07</v>
      </c>
      <c r="D10" s="112">
        <v>14</v>
      </c>
      <c r="E10" s="112">
        <v>8.8699999999999992</v>
      </c>
      <c r="F10" s="112">
        <v>4.24</v>
      </c>
      <c r="G10" s="112">
        <v>55.94</v>
      </c>
      <c r="H10" s="112">
        <v>19.940000000000001</v>
      </c>
      <c r="I10" s="112">
        <v>6.61</v>
      </c>
      <c r="J10" s="112">
        <v>0.16</v>
      </c>
      <c r="K10" s="112">
        <v>187.91</v>
      </c>
      <c r="L10" s="112">
        <v>26.97</v>
      </c>
      <c r="M10" s="112">
        <v>96.35</v>
      </c>
      <c r="N10" s="112">
        <v>2.1</v>
      </c>
      <c r="O10" s="112">
        <v>0</v>
      </c>
      <c r="P10" s="112">
        <v>0.53</v>
      </c>
      <c r="Q10" s="112">
        <v>4.6399999999999997</v>
      </c>
    </row>
    <row r="11" spans="1:21" customFormat="1">
      <c r="A11" s="80">
        <v>45556.03125</v>
      </c>
      <c r="B11" s="112">
        <v>9.26</v>
      </c>
      <c r="C11" s="112">
        <v>4.07</v>
      </c>
      <c r="D11" s="112">
        <v>14</v>
      </c>
      <c r="E11" s="112">
        <v>8.6300000000000008</v>
      </c>
      <c r="F11" s="112">
        <v>4.29</v>
      </c>
      <c r="G11" s="112">
        <v>56.27</v>
      </c>
      <c r="H11" s="112">
        <v>17.309999999999999</v>
      </c>
      <c r="I11" s="112">
        <v>6.64</v>
      </c>
      <c r="J11" s="112">
        <v>0.14000000000000001</v>
      </c>
      <c r="K11" s="112">
        <v>186.02</v>
      </c>
      <c r="L11" s="112">
        <v>27.03</v>
      </c>
      <c r="M11" s="112">
        <v>96.37</v>
      </c>
      <c r="N11" s="112">
        <v>2</v>
      </c>
      <c r="O11" s="112">
        <v>0</v>
      </c>
      <c r="P11" s="112">
        <v>0.52</v>
      </c>
      <c r="Q11" s="112">
        <v>4.67</v>
      </c>
    </row>
    <row r="12" spans="1:21" customFormat="1">
      <c r="A12" s="80">
        <v>45556.041666666664</v>
      </c>
      <c r="B12" s="112">
        <v>9.26</v>
      </c>
      <c r="C12" s="112">
        <v>4.07</v>
      </c>
      <c r="D12" s="112">
        <v>14</v>
      </c>
      <c r="E12" s="112">
        <v>8.8800000000000008</v>
      </c>
      <c r="F12" s="112">
        <v>4.45</v>
      </c>
      <c r="G12" s="112">
        <v>56.27</v>
      </c>
      <c r="H12" s="112">
        <v>17.309999999999999</v>
      </c>
      <c r="I12" s="112">
        <v>6.62</v>
      </c>
      <c r="J12" s="112">
        <v>0.17</v>
      </c>
      <c r="K12" s="112">
        <v>177.59</v>
      </c>
      <c r="L12" s="112">
        <v>26.89</v>
      </c>
      <c r="M12" s="112">
        <v>96.33</v>
      </c>
      <c r="N12" s="112">
        <v>2.1</v>
      </c>
      <c r="O12" s="112">
        <v>0</v>
      </c>
      <c r="P12" s="112">
        <v>0.53</v>
      </c>
      <c r="Q12" s="112">
        <v>4.6500000000000004</v>
      </c>
    </row>
    <row r="13" spans="1:21" customFormat="1">
      <c r="A13" s="80">
        <v>45556.052083333336</v>
      </c>
      <c r="B13" s="112">
        <v>9.25</v>
      </c>
      <c r="C13" s="112">
        <v>4.09</v>
      </c>
      <c r="D13" s="112">
        <v>14</v>
      </c>
      <c r="E13" s="112">
        <v>9.25</v>
      </c>
      <c r="F13" s="112">
        <v>4.62</v>
      </c>
      <c r="G13" s="112">
        <v>56.27</v>
      </c>
      <c r="H13" s="112">
        <v>17.309999999999999</v>
      </c>
      <c r="I13" s="112">
        <v>6.71</v>
      </c>
      <c r="J13" s="112">
        <v>0.15</v>
      </c>
      <c r="K13" s="112">
        <v>179.75</v>
      </c>
      <c r="L13" s="112">
        <v>26.9</v>
      </c>
      <c r="M13" s="112">
        <v>96.23</v>
      </c>
      <c r="N13" s="112">
        <v>2.1</v>
      </c>
      <c r="O13" s="112">
        <v>0</v>
      </c>
      <c r="P13" s="112">
        <v>0.53</v>
      </c>
      <c r="Q13" s="112">
        <v>4.6399999999999997</v>
      </c>
    </row>
    <row r="14" spans="1:21" customFormat="1">
      <c r="A14" s="80">
        <v>45556.0625</v>
      </c>
      <c r="B14" s="112">
        <v>9.25</v>
      </c>
      <c r="C14" s="112">
        <v>4.08</v>
      </c>
      <c r="D14" s="112">
        <v>14</v>
      </c>
      <c r="E14" s="112">
        <v>9.1300000000000008</v>
      </c>
      <c r="F14" s="112">
        <v>4.62</v>
      </c>
      <c r="G14" s="112">
        <v>56.41</v>
      </c>
      <c r="H14" s="112">
        <v>17.440000000000001</v>
      </c>
      <c r="I14" s="112">
        <v>6.9</v>
      </c>
      <c r="J14" s="112">
        <v>0.14000000000000001</v>
      </c>
      <c r="K14" s="112">
        <v>193.7</v>
      </c>
      <c r="L14" s="112">
        <v>26.76</v>
      </c>
      <c r="M14" s="112">
        <v>97.01</v>
      </c>
      <c r="N14" s="112">
        <v>2.1</v>
      </c>
      <c r="O14" s="112">
        <v>0</v>
      </c>
      <c r="P14" s="112">
        <v>0.52</v>
      </c>
      <c r="Q14" s="112">
        <v>4.6500000000000004</v>
      </c>
    </row>
    <row r="15" spans="1:21" customFormat="1">
      <c r="A15" s="80">
        <v>45556.072916666664</v>
      </c>
      <c r="B15" s="112">
        <v>9.25</v>
      </c>
      <c r="C15" s="112">
        <v>4.08</v>
      </c>
      <c r="D15" s="112">
        <v>14</v>
      </c>
      <c r="E15" s="112">
        <v>9.0299999999999994</v>
      </c>
      <c r="F15" s="112">
        <v>5.01</v>
      </c>
      <c r="G15" s="112">
        <v>57.78</v>
      </c>
      <c r="H15" s="112">
        <v>18.52</v>
      </c>
      <c r="I15" s="112">
        <v>6.83</v>
      </c>
      <c r="J15" s="112">
        <v>0.13</v>
      </c>
      <c r="K15" s="112">
        <v>199.03</v>
      </c>
      <c r="L15" s="112">
        <v>26.69</v>
      </c>
      <c r="M15" s="112">
        <v>97.32</v>
      </c>
      <c r="N15" s="112">
        <v>2.1</v>
      </c>
      <c r="O15" s="112">
        <v>0</v>
      </c>
      <c r="P15" s="112">
        <v>0.51</v>
      </c>
      <c r="Q15" s="112">
        <v>4.6500000000000004</v>
      </c>
    </row>
    <row r="16" spans="1:21" customFormat="1">
      <c r="A16" s="80">
        <v>45556.083333333336</v>
      </c>
      <c r="B16" s="112">
        <v>9.2799999999999994</v>
      </c>
      <c r="C16" s="112">
        <v>4.0599999999999996</v>
      </c>
      <c r="D16" s="112">
        <v>14.02</v>
      </c>
      <c r="E16" s="112">
        <v>8.52</v>
      </c>
      <c r="F16" s="112">
        <v>5.38</v>
      </c>
      <c r="G16" s="112">
        <v>57.78</v>
      </c>
      <c r="H16" s="112">
        <v>18.52</v>
      </c>
      <c r="I16" s="112">
        <v>6.73</v>
      </c>
      <c r="J16" s="112">
        <v>0.17</v>
      </c>
      <c r="K16" s="112">
        <v>183.79</v>
      </c>
      <c r="L16" s="112">
        <v>26.75</v>
      </c>
      <c r="M16" s="112">
        <v>96.96</v>
      </c>
      <c r="N16" s="112">
        <v>2.1</v>
      </c>
      <c r="O16" s="112">
        <v>0</v>
      </c>
      <c r="P16" s="112">
        <v>0.48</v>
      </c>
      <c r="Q16" s="112">
        <v>4.67</v>
      </c>
    </row>
    <row r="17" spans="1:17" customFormat="1">
      <c r="A17" s="80">
        <v>45556.09375</v>
      </c>
      <c r="B17" s="112">
        <v>9.2899999999999991</v>
      </c>
      <c r="C17" s="112">
        <v>4.04</v>
      </c>
      <c r="D17" s="112">
        <v>14.01</v>
      </c>
      <c r="E17" s="112">
        <v>8.75</v>
      </c>
      <c r="F17" s="112">
        <v>5.19</v>
      </c>
      <c r="G17" s="112">
        <v>57.78</v>
      </c>
      <c r="H17" s="112">
        <v>18.52</v>
      </c>
      <c r="I17" s="112">
        <v>6.65</v>
      </c>
      <c r="J17" s="112">
        <v>0.11</v>
      </c>
      <c r="K17" s="112">
        <v>160.13</v>
      </c>
      <c r="L17" s="112">
        <v>26.7</v>
      </c>
      <c r="M17" s="112">
        <v>96.48</v>
      </c>
      <c r="N17" s="112">
        <v>2.1</v>
      </c>
      <c r="O17" s="112">
        <v>0</v>
      </c>
      <c r="P17" s="112">
        <v>0.45</v>
      </c>
      <c r="Q17" s="112">
        <v>4.66</v>
      </c>
    </row>
    <row r="18" spans="1:17" customFormat="1">
      <c r="A18" s="80">
        <v>45556.104166666664</v>
      </c>
      <c r="B18" s="112">
        <v>9.25</v>
      </c>
      <c r="C18" s="112">
        <v>4.08</v>
      </c>
      <c r="D18" s="112">
        <v>14</v>
      </c>
      <c r="E18" s="112">
        <v>10.07</v>
      </c>
      <c r="F18" s="112">
        <v>4.7</v>
      </c>
      <c r="G18" s="112">
        <v>56.1</v>
      </c>
      <c r="H18" s="112">
        <v>18.100000000000001</v>
      </c>
      <c r="I18" s="112">
        <v>6.44</v>
      </c>
      <c r="J18" s="112">
        <v>0.13</v>
      </c>
      <c r="K18" s="112">
        <v>184.68</v>
      </c>
      <c r="L18" s="112">
        <v>26.75</v>
      </c>
      <c r="M18" s="112">
        <v>96.36</v>
      </c>
      <c r="N18" s="112">
        <v>2.1</v>
      </c>
      <c r="O18" s="112">
        <v>0</v>
      </c>
      <c r="P18" s="112">
        <v>0.44</v>
      </c>
      <c r="Q18" s="112">
        <v>4.6500000000000004</v>
      </c>
    </row>
    <row r="19" spans="1:17" customFormat="1">
      <c r="A19" s="80">
        <v>45556.114583333336</v>
      </c>
      <c r="B19" s="112">
        <v>9.2200000000000006</v>
      </c>
      <c r="C19" s="112">
        <v>4.1399999999999997</v>
      </c>
      <c r="D19" s="112">
        <v>14</v>
      </c>
      <c r="E19" s="112">
        <v>10.06</v>
      </c>
      <c r="F19" s="112">
        <v>4.9800000000000004</v>
      </c>
      <c r="G19" s="112">
        <v>38.909999999999997</v>
      </c>
      <c r="H19" s="112">
        <v>14.56</v>
      </c>
      <c r="I19" s="112">
        <v>6.25</v>
      </c>
      <c r="J19" s="112">
        <v>0.14000000000000001</v>
      </c>
      <c r="K19" s="112">
        <v>195.09</v>
      </c>
      <c r="L19" s="112">
        <v>26.68</v>
      </c>
      <c r="M19" s="112">
        <v>96.48</v>
      </c>
      <c r="N19" s="112">
        <v>2.1</v>
      </c>
      <c r="O19" s="112">
        <v>0</v>
      </c>
      <c r="P19" s="112">
        <v>0.43</v>
      </c>
      <c r="Q19" s="112">
        <v>4.66</v>
      </c>
    </row>
    <row r="20" spans="1:17" customFormat="1">
      <c r="A20" s="80">
        <v>45556.125</v>
      </c>
      <c r="B20" s="112">
        <v>9.23</v>
      </c>
      <c r="C20" s="112">
        <v>4.12</v>
      </c>
      <c r="D20" s="112">
        <v>14</v>
      </c>
      <c r="E20" s="112">
        <v>10.34</v>
      </c>
      <c r="F20" s="112">
        <v>4.7699999999999996</v>
      </c>
      <c r="G20" s="112">
        <v>38.909999999999997</v>
      </c>
      <c r="H20" s="112">
        <v>14.56</v>
      </c>
      <c r="I20" s="112">
        <v>6.21</v>
      </c>
      <c r="J20" s="112">
        <v>0.11</v>
      </c>
      <c r="K20" s="112">
        <v>201.09</v>
      </c>
      <c r="L20" s="112">
        <v>26.65</v>
      </c>
      <c r="M20" s="112">
        <v>96.67</v>
      </c>
      <c r="N20" s="112">
        <v>2.1</v>
      </c>
      <c r="O20" s="112">
        <v>0</v>
      </c>
      <c r="P20" s="112">
        <v>0.43</v>
      </c>
      <c r="Q20" s="112">
        <v>4.6500000000000004</v>
      </c>
    </row>
    <row r="21" spans="1:17" customFormat="1">
      <c r="A21" s="80">
        <v>45556.135416666664</v>
      </c>
      <c r="B21" s="112">
        <v>9.24</v>
      </c>
      <c r="C21" s="112">
        <v>4.09</v>
      </c>
      <c r="D21" s="112">
        <v>14</v>
      </c>
      <c r="E21" s="112">
        <v>10.43</v>
      </c>
      <c r="F21" s="112">
        <v>3.97</v>
      </c>
      <c r="G21" s="112">
        <v>38.909999999999997</v>
      </c>
      <c r="H21" s="112">
        <v>14.56</v>
      </c>
      <c r="I21" s="112">
        <v>6.25</v>
      </c>
      <c r="J21" s="112">
        <v>0.16</v>
      </c>
      <c r="K21" s="112">
        <v>201.28</v>
      </c>
      <c r="L21" s="112">
        <v>26.71</v>
      </c>
      <c r="M21" s="112">
        <v>96.99</v>
      </c>
      <c r="N21" s="112">
        <v>2</v>
      </c>
      <c r="O21" s="112">
        <v>0</v>
      </c>
      <c r="P21" s="112">
        <v>0.43</v>
      </c>
      <c r="Q21" s="112">
        <v>4.67</v>
      </c>
    </row>
    <row r="22" spans="1:17" customFormat="1">
      <c r="A22" s="80">
        <v>45556.145833333336</v>
      </c>
      <c r="B22" s="112">
        <v>9.23</v>
      </c>
      <c r="C22" s="112">
        <v>4.0999999999999996</v>
      </c>
      <c r="D22" s="112">
        <v>14</v>
      </c>
      <c r="E22" s="112">
        <v>10.18</v>
      </c>
      <c r="F22" s="112">
        <v>4.45</v>
      </c>
      <c r="G22" s="112">
        <v>39.65</v>
      </c>
      <c r="H22" s="112">
        <v>14.65</v>
      </c>
      <c r="I22" s="112">
        <v>6.23</v>
      </c>
      <c r="J22" s="112">
        <v>7.0000000000000007E-2</v>
      </c>
      <c r="K22" s="112">
        <v>175.24</v>
      </c>
      <c r="L22" s="112">
        <v>26.84</v>
      </c>
      <c r="M22" s="112">
        <v>95.38</v>
      </c>
      <c r="N22" s="112">
        <v>2.1</v>
      </c>
      <c r="O22" s="112">
        <v>0</v>
      </c>
      <c r="P22" s="112">
        <v>0.43</v>
      </c>
      <c r="Q22" s="112">
        <v>4.66</v>
      </c>
    </row>
    <row r="23" spans="1:17" customFormat="1">
      <c r="A23" s="80">
        <v>45556.15625</v>
      </c>
      <c r="B23" s="112">
        <v>9.2100000000000009</v>
      </c>
      <c r="C23" s="112">
        <v>4.1399999999999997</v>
      </c>
      <c r="D23" s="112">
        <v>14</v>
      </c>
      <c r="E23" s="112">
        <v>10.81</v>
      </c>
      <c r="F23" s="112">
        <v>3.08</v>
      </c>
      <c r="G23" s="112">
        <v>47.21</v>
      </c>
      <c r="H23" s="112">
        <v>15.43</v>
      </c>
      <c r="I23" s="112">
        <v>6.25</v>
      </c>
      <c r="J23" s="112">
        <v>0.23</v>
      </c>
      <c r="K23" s="112">
        <v>177.22</v>
      </c>
      <c r="L23" s="112">
        <v>26.97</v>
      </c>
      <c r="M23" s="112">
        <v>94.13</v>
      </c>
      <c r="N23" s="112">
        <v>2.1</v>
      </c>
      <c r="O23" s="112">
        <v>0</v>
      </c>
      <c r="P23" s="112">
        <v>0.43</v>
      </c>
      <c r="Q23" s="112">
        <v>4.6399999999999997</v>
      </c>
    </row>
    <row r="24" spans="1:17" customFormat="1">
      <c r="A24" s="80">
        <v>45556.166666666664</v>
      </c>
      <c r="B24" s="112">
        <v>9.2200000000000006</v>
      </c>
      <c r="C24" s="112">
        <v>4.13</v>
      </c>
      <c r="D24" s="112">
        <v>14</v>
      </c>
      <c r="E24" s="112">
        <v>10.51</v>
      </c>
      <c r="F24" s="112">
        <v>3.3</v>
      </c>
      <c r="G24" s="112">
        <v>47.21</v>
      </c>
      <c r="H24" s="112">
        <v>15.43</v>
      </c>
      <c r="I24" s="112">
        <v>6.32</v>
      </c>
      <c r="J24" s="112">
        <v>0.12</v>
      </c>
      <c r="K24" s="112">
        <v>136.97999999999999</v>
      </c>
      <c r="L24" s="112">
        <v>26.86</v>
      </c>
      <c r="M24" s="112">
        <v>94.56</v>
      </c>
      <c r="N24" s="112">
        <v>2.1</v>
      </c>
      <c r="O24" s="112">
        <v>0</v>
      </c>
      <c r="P24" s="112">
        <v>0.43</v>
      </c>
      <c r="Q24" s="112">
        <v>4.6399999999999997</v>
      </c>
    </row>
    <row r="25" spans="1:17" customFormat="1">
      <c r="A25" s="80">
        <v>45556.177083333336</v>
      </c>
      <c r="B25" s="112">
        <v>9.2200000000000006</v>
      </c>
      <c r="C25" s="112">
        <v>4.12</v>
      </c>
      <c r="D25" s="112">
        <v>14</v>
      </c>
      <c r="E25" s="112">
        <v>10.39</v>
      </c>
      <c r="F25" s="112">
        <v>3.39</v>
      </c>
      <c r="G25" s="112">
        <v>47.21</v>
      </c>
      <c r="H25" s="112">
        <v>15.43</v>
      </c>
      <c r="I25" s="112">
        <v>6.47</v>
      </c>
      <c r="J25" s="112">
        <v>0.15</v>
      </c>
      <c r="K25" s="112">
        <v>183.3</v>
      </c>
      <c r="L25" s="112">
        <v>26.77</v>
      </c>
      <c r="M25" s="112">
        <v>95.63</v>
      </c>
      <c r="N25" s="112">
        <v>2.1</v>
      </c>
      <c r="O25" s="112">
        <v>0</v>
      </c>
      <c r="P25" s="112">
        <v>0.44</v>
      </c>
      <c r="Q25" s="112">
        <v>4.6500000000000004</v>
      </c>
    </row>
    <row r="26" spans="1:17" customFormat="1">
      <c r="A26" s="80">
        <v>45556.1875</v>
      </c>
      <c r="B26" s="112">
        <v>9.23</v>
      </c>
      <c r="C26" s="112">
        <v>4.1100000000000003</v>
      </c>
      <c r="D26" s="112">
        <v>14</v>
      </c>
      <c r="E26" s="112">
        <v>10.95</v>
      </c>
      <c r="F26" s="112">
        <v>2.59</v>
      </c>
      <c r="G26" s="112">
        <v>47.4</v>
      </c>
      <c r="H26" s="112">
        <v>15.08</v>
      </c>
      <c r="I26" s="112">
        <v>6.47</v>
      </c>
      <c r="J26" s="112">
        <v>0.14000000000000001</v>
      </c>
      <c r="K26" s="112">
        <v>156.44999999999999</v>
      </c>
      <c r="L26" s="112">
        <v>27.03</v>
      </c>
      <c r="M26" s="112">
        <v>93.46</v>
      </c>
      <c r="N26" s="112">
        <v>2.1</v>
      </c>
      <c r="O26" s="112">
        <v>0</v>
      </c>
      <c r="P26" s="112">
        <v>0.44</v>
      </c>
      <c r="Q26" s="112">
        <v>4.6500000000000004</v>
      </c>
    </row>
    <row r="27" spans="1:17" customFormat="1">
      <c r="A27" s="80">
        <v>45556.197916666664</v>
      </c>
      <c r="B27" s="112">
        <v>9.23</v>
      </c>
      <c r="C27" s="112">
        <v>4.12</v>
      </c>
      <c r="D27" s="112">
        <v>14</v>
      </c>
      <c r="E27" s="112">
        <v>10.97</v>
      </c>
      <c r="F27" s="112">
        <v>2.71</v>
      </c>
      <c r="G27" s="112">
        <v>49.28</v>
      </c>
      <c r="H27" s="112">
        <v>12.13</v>
      </c>
      <c r="I27" s="112">
        <v>6.42</v>
      </c>
      <c r="J27" s="112">
        <v>0.15</v>
      </c>
      <c r="K27" s="112">
        <v>88.42</v>
      </c>
      <c r="L27" s="112">
        <v>26.94</v>
      </c>
      <c r="M27" s="112">
        <v>93.8</v>
      </c>
      <c r="N27" s="112">
        <v>2</v>
      </c>
      <c r="O27" s="112">
        <v>0</v>
      </c>
      <c r="P27" s="112">
        <v>0.45</v>
      </c>
      <c r="Q27" s="112">
        <v>4.6500000000000004</v>
      </c>
    </row>
    <row r="28" spans="1:17" customFormat="1">
      <c r="A28" s="80">
        <v>45556.208333333336</v>
      </c>
      <c r="B28" s="112">
        <v>9.24</v>
      </c>
      <c r="C28" s="112">
        <v>4.0999999999999996</v>
      </c>
      <c r="D28" s="112">
        <v>14</v>
      </c>
      <c r="E28" s="112">
        <v>11.54</v>
      </c>
      <c r="F28" s="112">
        <v>3.33</v>
      </c>
      <c r="G28" s="112">
        <v>49.28</v>
      </c>
      <c r="H28" s="112">
        <v>12.13</v>
      </c>
      <c r="I28" s="112">
        <v>6.46</v>
      </c>
      <c r="J28" s="112">
        <v>0.24</v>
      </c>
      <c r="K28" s="112">
        <v>165.19</v>
      </c>
      <c r="L28" s="112">
        <v>27.16</v>
      </c>
      <c r="M28" s="112">
        <v>92.69</v>
      </c>
      <c r="N28" s="112">
        <v>2.1</v>
      </c>
      <c r="O28" s="112">
        <v>0</v>
      </c>
      <c r="P28" s="112">
        <v>0.46</v>
      </c>
      <c r="Q28" s="112">
        <v>4.66</v>
      </c>
    </row>
    <row r="29" spans="1:17" customFormat="1">
      <c r="A29" s="80">
        <v>45556.21875</v>
      </c>
      <c r="B29" s="112">
        <v>9.25</v>
      </c>
      <c r="C29" s="112">
        <v>4.08</v>
      </c>
      <c r="D29" s="112">
        <v>14</v>
      </c>
      <c r="E29" s="112">
        <v>11.48</v>
      </c>
      <c r="F29" s="112">
        <v>3.58</v>
      </c>
      <c r="G29" s="112">
        <v>49.28</v>
      </c>
      <c r="H29" s="112">
        <v>12.13</v>
      </c>
      <c r="I29" s="112">
        <v>6.69</v>
      </c>
      <c r="J29" s="112">
        <v>0.11</v>
      </c>
      <c r="K29" s="112">
        <v>182.66</v>
      </c>
      <c r="L29" s="112">
        <v>26.79</v>
      </c>
      <c r="M29" s="112">
        <v>95.09</v>
      </c>
      <c r="N29" s="112">
        <v>2.2000000000000002</v>
      </c>
      <c r="O29" s="112">
        <v>0</v>
      </c>
      <c r="P29" s="112">
        <v>0.46</v>
      </c>
      <c r="Q29" s="112">
        <v>4.67</v>
      </c>
    </row>
    <row r="30" spans="1:17" customFormat="1">
      <c r="A30" s="80">
        <v>45556.229166666664</v>
      </c>
      <c r="B30" s="112">
        <v>9.26</v>
      </c>
      <c r="C30" s="112">
        <v>4.07</v>
      </c>
      <c r="D30" s="112">
        <v>14</v>
      </c>
      <c r="E30" s="112">
        <v>11.65</v>
      </c>
      <c r="F30" s="112">
        <v>4.0199999999999996</v>
      </c>
      <c r="G30" s="112">
        <v>50.77</v>
      </c>
      <c r="H30" s="112">
        <v>13.81</v>
      </c>
      <c r="I30" s="112">
        <v>6.78</v>
      </c>
      <c r="J30" s="112">
        <v>0.11</v>
      </c>
      <c r="K30" s="112">
        <v>93.77</v>
      </c>
      <c r="L30" s="112">
        <v>26.68</v>
      </c>
      <c r="M30" s="112">
        <v>96.03</v>
      </c>
      <c r="N30" s="112">
        <v>2.1</v>
      </c>
      <c r="O30" s="112">
        <v>0</v>
      </c>
      <c r="P30" s="112">
        <v>0.47</v>
      </c>
      <c r="Q30" s="112">
        <v>4.6500000000000004</v>
      </c>
    </row>
    <row r="31" spans="1:17" customFormat="1">
      <c r="A31" s="80">
        <v>45556.239583333336</v>
      </c>
      <c r="B31" s="112">
        <v>9.24</v>
      </c>
      <c r="C31" s="112">
        <v>4.0999999999999996</v>
      </c>
      <c r="D31" s="112">
        <v>14</v>
      </c>
      <c r="E31" s="112">
        <v>11.22</v>
      </c>
      <c r="F31" s="112">
        <v>2.34</v>
      </c>
      <c r="G31" s="112">
        <v>66.09</v>
      </c>
      <c r="H31" s="112">
        <v>27.94</v>
      </c>
      <c r="I31" s="112">
        <v>6.76</v>
      </c>
      <c r="J31" s="112">
        <v>0.13</v>
      </c>
      <c r="K31" s="112">
        <v>100.64</v>
      </c>
      <c r="L31" s="112">
        <v>26.9</v>
      </c>
      <c r="M31" s="112">
        <v>94.62</v>
      </c>
      <c r="N31" s="112">
        <v>2.9</v>
      </c>
      <c r="O31" s="112">
        <v>0</v>
      </c>
      <c r="P31" s="112">
        <v>0.49</v>
      </c>
      <c r="Q31" s="112">
        <v>4.6500000000000004</v>
      </c>
    </row>
    <row r="32" spans="1:17" customFormat="1">
      <c r="A32" s="80">
        <v>45556.25</v>
      </c>
      <c r="B32" s="112">
        <v>9.2200000000000006</v>
      </c>
      <c r="C32" s="112">
        <v>4.13</v>
      </c>
      <c r="D32" s="112">
        <v>14</v>
      </c>
      <c r="E32" s="112">
        <v>11.98</v>
      </c>
      <c r="F32" s="112">
        <v>3.27</v>
      </c>
      <c r="G32" s="112">
        <v>66.09</v>
      </c>
      <c r="H32" s="112">
        <v>27.94</v>
      </c>
      <c r="I32" s="112">
        <v>6.87</v>
      </c>
      <c r="J32" s="112">
        <v>0.13</v>
      </c>
      <c r="K32" s="112">
        <v>204.74</v>
      </c>
      <c r="L32" s="112">
        <v>26.75</v>
      </c>
      <c r="M32" s="112">
        <v>95.39</v>
      </c>
      <c r="N32" s="112">
        <v>6.7</v>
      </c>
      <c r="O32" s="112">
        <v>0</v>
      </c>
      <c r="P32" s="112">
        <v>0.5</v>
      </c>
      <c r="Q32" s="112">
        <v>4.6399999999999997</v>
      </c>
    </row>
    <row r="33" spans="1:17" customFormat="1">
      <c r="A33" s="80">
        <v>45556.260416666664</v>
      </c>
      <c r="B33" s="112">
        <v>9.2100000000000009</v>
      </c>
      <c r="C33" s="112">
        <v>4.1500000000000004</v>
      </c>
      <c r="D33" s="112">
        <v>14</v>
      </c>
      <c r="E33" s="112">
        <v>12.28</v>
      </c>
      <c r="F33" s="112">
        <v>2.73</v>
      </c>
      <c r="G33" s="112">
        <v>66.09</v>
      </c>
      <c r="H33" s="112">
        <v>27.94</v>
      </c>
      <c r="I33" s="112">
        <v>7.19</v>
      </c>
      <c r="J33" s="112">
        <v>0.15</v>
      </c>
      <c r="K33" s="112">
        <v>193.84</v>
      </c>
      <c r="L33" s="112">
        <v>26.71</v>
      </c>
      <c r="M33" s="112">
        <v>96.54</v>
      </c>
      <c r="N33" s="112">
        <v>12.3</v>
      </c>
      <c r="O33" s="112">
        <v>0</v>
      </c>
      <c r="P33" s="112">
        <v>0.5</v>
      </c>
      <c r="Q33" s="112">
        <v>4.66</v>
      </c>
    </row>
    <row r="34" spans="1:17" customFormat="1">
      <c r="A34" s="80">
        <v>45556.270833333336</v>
      </c>
      <c r="B34" s="112">
        <v>9.2100000000000009</v>
      </c>
      <c r="C34" s="112">
        <v>4.1500000000000004</v>
      </c>
      <c r="D34" s="112">
        <v>14</v>
      </c>
      <c r="E34" s="112">
        <v>12</v>
      </c>
      <c r="F34" s="112">
        <v>3.67</v>
      </c>
      <c r="G34" s="112">
        <v>66.819999999999993</v>
      </c>
      <c r="H34" s="112">
        <v>27.71</v>
      </c>
      <c r="I34" s="112">
        <v>7.22</v>
      </c>
      <c r="J34" s="112">
        <v>7.0000000000000007E-2</v>
      </c>
      <c r="K34" s="112">
        <v>163.55000000000001</v>
      </c>
      <c r="L34" s="112">
        <v>26.99</v>
      </c>
      <c r="M34" s="112">
        <v>96.51</v>
      </c>
      <c r="N34" s="112">
        <v>29.9</v>
      </c>
      <c r="O34" s="112">
        <v>0</v>
      </c>
      <c r="P34" s="112">
        <v>0.53</v>
      </c>
      <c r="Q34" s="112">
        <v>4.67</v>
      </c>
    </row>
    <row r="35" spans="1:17" customFormat="1">
      <c r="A35" s="80">
        <v>45556.28125</v>
      </c>
      <c r="B35" s="112">
        <v>9.18</v>
      </c>
      <c r="C35" s="112">
        <v>4.18</v>
      </c>
      <c r="D35" s="112">
        <v>14</v>
      </c>
      <c r="E35" s="112">
        <v>12.08</v>
      </c>
      <c r="F35" s="112">
        <v>3.72</v>
      </c>
      <c r="G35" s="112">
        <v>76.91</v>
      </c>
      <c r="H35" s="112">
        <v>25</v>
      </c>
      <c r="I35" s="112">
        <v>7.26</v>
      </c>
      <c r="J35" s="112">
        <v>0.21</v>
      </c>
      <c r="K35" s="112">
        <v>45.98</v>
      </c>
      <c r="L35" s="112">
        <v>27.51</v>
      </c>
      <c r="M35" s="112">
        <v>92.37</v>
      </c>
      <c r="N35" s="112">
        <v>39.6</v>
      </c>
      <c r="O35" s="112">
        <v>0</v>
      </c>
      <c r="P35" s="112">
        <v>0.53</v>
      </c>
      <c r="Q35" s="112">
        <v>0</v>
      </c>
    </row>
    <row r="36" spans="1:17" customFormat="1">
      <c r="A36" s="80">
        <v>45556.291666666664</v>
      </c>
      <c r="B36" s="112">
        <v>9.19</v>
      </c>
      <c r="C36" s="112">
        <v>4.18</v>
      </c>
      <c r="D36" s="112">
        <v>14</v>
      </c>
      <c r="E36" s="112">
        <v>11.92</v>
      </c>
      <c r="F36" s="112">
        <v>4.76</v>
      </c>
      <c r="G36" s="112">
        <v>76.91</v>
      </c>
      <c r="H36" s="112">
        <v>25</v>
      </c>
      <c r="I36" s="112">
        <v>7.39</v>
      </c>
      <c r="J36" s="112">
        <v>0.35</v>
      </c>
      <c r="K36" s="112">
        <v>68.33</v>
      </c>
      <c r="L36" s="112">
        <v>27.84</v>
      </c>
      <c r="M36" s="112">
        <v>89.38</v>
      </c>
      <c r="N36" s="112">
        <v>55.1</v>
      </c>
      <c r="O36" s="112">
        <v>0</v>
      </c>
      <c r="P36" s="112">
        <v>0.54</v>
      </c>
      <c r="Q36" s="112">
        <v>0</v>
      </c>
    </row>
    <row r="37" spans="1:17" customFormat="1">
      <c r="A37" s="80">
        <v>45556.302083333336</v>
      </c>
      <c r="B37" s="112">
        <v>9.2200000000000006</v>
      </c>
      <c r="C37" s="112">
        <v>4.12</v>
      </c>
      <c r="D37" s="112">
        <v>14</v>
      </c>
      <c r="E37" s="112">
        <v>11.42</v>
      </c>
      <c r="F37" s="112">
        <v>5.55</v>
      </c>
      <c r="G37" s="112">
        <v>76.91</v>
      </c>
      <c r="H37" s="112">
        <v>25</v>
      </c>
      <c r="I37" s="112">
        <v>7.54</v>
      </c>
      <c r="J37" s="112">
        <v>0.24</v>
      </c>
      <c r="K37" s="112">
        <v>47.64</v>
      </c>
      <c r="L37" s="112">
        <v>28.13</v>
      </c>
      <c r="M37" s="112">
        <v>86.84</v>
      </c>
      <c r="N37" s="112">
        <v>64.900000000000006</v>
      </c>
      <c r="O37" s="112">
        <v>0</v>
      </c>
      <c r="P37" s="112">
        <v>0.55000000000000004</v>
      </c>
      <c r="Q37" s="112">
        <v>4.6399999999999997</v>
      </c>
    </row>
    <row r="38" spans="1:17" customFormat="1">
      <c r="A38" s="80">
        <v>45556.3125</v>
      </c>
      <c r="B38" s="112">
        <v>9.23</v>
      </c>
      <c r="C38" s="112">
        <v>4.1100000000000003</v>
      </c>
      <c r="D38" s="112">
        <v>14</v>
      </c>
      <c r="E38" s="112">
        <v>11.57</v>
      </c>
      <c r="F38" s="112">
        <v>6.19</v>
      </c>
      <c r="G38" s="112">
        <v>78.19</v>
      </c>
      <c r="H38" s="112">
        <v>25.17</v>
      </c>
      <c r="I38" s="112">
        <v>7.58</v>
      </c>
      <c r="J38" s="112">
        <v>0.33</v>
      </c>
      <c r="K38" s="112">
        <v>56.9</v>
      </c>
      <c r="L38" s="112">
        <v>28.55</v>
      </c>
      <c r="M38" s="112">
        <v>85.29</v>
      </c>
      <c r="N38" s="112">
        <v>81.2</v>
      </c>
      <c r="O38" s="112">
        <v>0</v>
      </c>
      <c r="P38" s="112">
        <v>0.56000000000000005</v>
      </c>
      <c r="Q38" s="112">
        <v>4.6399999999999997</v>
      </c>
    </row>
    <row r="39" spans="1:17" customFormat="1">
      <c r="A39" s="80">
        <v>45556.322916666664</v>
      </c>
      <c r="B39" s="112">
        <v>9.23</v>
      </c>
      <c r="C39" s="112">
        <v>4.1100000000000003</v>
      </c>
      <c r="D39" s="112">
        <v>14</v>
      </c>
      <c r="E39" s="112">
        <v>12.71</v>
      </c>
      <c r="F39" s="112">
        <v>6.84</v>
      </c>
      <c r="G39" s="112">
        <v>91.27</v>
      </c>
      <c r="H39" s="112">
        <v>26.47</v>
      </c>
      <c r="I39" s="112">
        <v>7.47</v>
      </c>
      <c r="J39" s="112">
        <v>0.21</v>
      </c>
      <c r="K39" s="112">
        <v>31.13</v>
      </c>
      <c r="L39" s="112">
        <v>29.12</v>
      </c>
      <c r="M39" s="112">
        <v>82.67</v>
      </c>
      <c r="N39" s="112">
        <v>152.30000000000001</v>
      </c>
      <c r="O39" s="112">
        <v>0</v>
      </c>
      <c r="P39" s="112">
        <v>0.56000000000000005</v>
      </c>
      <c r="Q39" s="112">
        <v>4.6500000000000004</v>
      </c>
    </row>
    <row r="40" spans="1:17" customFormat="1">
      <c r="A40" s="80">
        <v>45556.333333333336</v>
      </c>
      <c r="B40" s="112">
        <v>9.23</v>
      </c>
      <c r="C40" s="112">
        <v>4.1100000000000003</v>
      </c>
      <c r="D40" s="112">
        <v>14</v>
      </c>
      <c r="E40" s="112">
        <v>13.62</v>
      </c>
      <c r="F40" s="112">
        <v>6.76</v>
      </c>
      <c r="G40" s="112">
        <v>91.27</v>
      </c>
      <c r="H40" s="112">
        <v>26.47</v>
      </c>
      <c r="I40" s="112">
        <v>7.52</v>
      </c>
      <c r="J40" s="112">
        <v>0.78</v>
      </c>
      <c r="K40" s="112">
        <v>65.819999999999993</v>
      </c>
      <c r="L40" s="112">
        <v>29.38</v>
      </c>
      <c r="M40" s="112">
        <v>81.25</v>
      </c>
      <c r="N40" s="112">
        <v>145.4</v>
      </c>
      <c r="O40" s="112">
        <v>0</v>
      </c>
      <c r="P40" s="112">
        <v>0.57999999999999996</v>
      </c>
      <c r="Q40" s="112">
        <v>4.6500000000000004</v>
      </c>
    </row>
    <row r="41" spans="1:17" customFormat="1">
      <c r="A41" s="80">
        <v>45556.34375</v>
      </c>
      <c r="B41" s="112">
        <v>9.2200000000000006</v>
      </c>
      <c r="C41" s="112">
        <v>4.12</v>
      </c>
      <c r="D41" s="112">
        <v>14</v>
      </c>
      <c r="E41" s="112">
        <v>19.100000000000001</v>
      </c>
      <c r="F41" s="112">
        <v>6.68</v>
      </c>
      <c r="G41" s="112">
        <v>91.27</v>
      </c>
      <c r="H41" s="112">
        <v>26.47</v>
      </c>
      <c r="I41" s="112">
        <v>7.5</v>
      </c>
      <c r="J41" s="112">
        <v>0.35</v>
      </c>
      <c r="K41" s="112">
        <v>62.01</v>
      </c>
      <c r="L41" s="112">
        <v>30.05</v>
      </c>
      <c r="M41" s="112">
        <v>79.73</v>
      </c>
      <c r="N41" s="112">
        <v>143</v>
      </c>
      <c r="O41" s="112">
        <v>0</v>
      </c>
      <c r="P41" s="112">
        <v>0.63</v>
      </c>
      <c r="Q41" s="112">
        <v>4.66</v>
      </c>
    </row>
    <row r="42" spans="1:17" customFormat="1">
      <c r="A42" s="80">
        <v>45556.354166666664</v>
      </c>
      <c r="B42" s="112">
        <v>9.25</v>
      </c>
      <c r="C42" s="112">
        <v>4.09</v>
      </c>
      <c r="D42" s="112">
        <v>14</v>
      </c>
      <c r="E42" s="112">
        <v>22.91</v>
      </c>
      <c r="F42" s="112">
        <v>6.39</v>
      </c>
      <c r="G42" s="112">
        <v>94.09</v>
      </c>
      <c r="H42" s="112">
        <v>26.58</v>
      </c>
      <c r="I42" s="112">
        <v>7.7</v>
      </c>
      <c r="J42" s="112">
        <v>0.17</v>
      </c>
      <c r="K42" s="112">
        <v>328.82</v>
      </c>
      <c r="L42" s="112">
        <v>30.68</v>
      </c>
      <c r="M42" s="112">
        <v>77.650000000000006</v>
      </c>
      <c r="N42" s="112">
        <v>229</v>
      </c>
      <c r="O42" s="112">
        <v>0</v>
      </c>
      <c r="P42" s="112">
        <v>0.65</v>
      </c>
      <c r="Q42" s="112">
        <v>4.6399999999999997</v>
      </c>
    </row>
    <row r="43" spans="1:17" customFormat="1">
      <c r="A43" s="80">
        <v>45556.364583333336</v>
      </c>
      <c r="B43" s="112">
        <v>9.26</v>
      </c>
      <c r="C43" s="112">
        <v>4.08</v>
      </c>
      <c r="D43" s="112">
        <v>14.01</v>
      </c>
      <c r="E43" s="112">
        <v>21.56</v>
      </c>
      <c r="F43" s="112">
        <v>6.02</v>
      </c>
      <c r="G43" s="112">
        <v>123.09</v>
      </c>
      <c r="H43" s="112">
        <v>27.53</v>
      </c>
      <c r="I43" s="112">
        <v>7.76</v>
      </c>
      <c r="J43" s="112">
        <v>0.2</v>
      </c>
      <c r="K43" s="112">
        <v>289.72000000000003</v>
      </c>
      <c r="L43" s="112">
        <v>30.68</v>
      </c>
      <c r="M43" s="112">
        <v>77.89</v>
      </c>
      <c r="N43" s="112">
        <v>159.4</v>
      </c>
      <c r="O43" s="112">
        <v>0</v>
      </c>
      <c r="P43" s="112">
        <v>0.67</v>
      </c>
      <c r="Q43" s="112">
        <v>4.6399999999999997</v>
      </c>
    </row>
    <row r="44" spans="1:17" customFormat="1">
      <c r="A44" s="80">
        <v>45556.375</v>
      </c>
      <c r="B44" s="112">
        <v>9.2799999999999994</v>
      </c>
      <c r="C44" s="112">
        <v>4.07</v>
      </c>
      <c r="D44" s="112">
        <v>14.01</v>
      </c>
      <c r="E44" s="112">
        <v>21.77</v>
      </c>
      <c r="F44" s="112">
        <v>6.35</v>
      </c>
      <c r="G44" s="112">
        <v>123.09</v>
      </c>
      <c r="H44" s="112">
        <v>27.53</v>
      </c>
      <c r="I44" s="112">
        <v>7.84</v>
      </c>
      <c r="J44" s="112">
        <v>0.56999999999999995</v>
      </c>
      <c r="K44" s="112">
        <v>56.11</v>
      </c>
      <c r="L44" s="112">
        <v>31.17</v>
      </c>
      <c r="M44" s="112">
        <v>75.11</v>
      </c>
      <c r="N44" s="112">
        <v>211.2</v>
      </c>
      <c r="O44" s="112">
        <v>0</v>
      </c>
      <c r="P44" s="112">
        <v>0.76</v>
      </c>
      <c r="Q44" s="112">
        <v>4.6500000000000004</v>
      </c>
    </row>
    <row r="45" spans="1:17" customFormat="1">
      <c r="A45" s="80">
        <v>45556.385416666664</v>
      </c>
      <c r="B45" s="112">
        <v>9.2899999999999991</v>
      </c>
      <c r="C45" s="112">
        <v>4.04</v>
      </c>
      <c r="D45" s="112">
        <v>14.01</v>
      </c>
      <c r="E45" s="112">
        <v>22.51</v>
      </c>
      <c r="F45" s="112">
        <v>7.91</v>
      </c>
      <c r="G45" s="112">
        <v>123.09</v>
      </c>
      <c r="H45" s="112">
        <v>27.53</v>
      </c>
      <c r="I45" s="112">
        <v>7.93</v>
      </c>
      <c r="J45" s="112">
        <v>0.61</v>
      </c>
      <c r="K45" s="112">
        <v>59.9</v>
      </c>
      <c r="L45" s="112">
        <v>31.65</v>
      </c>
      <c r="M45" s="112">
        <v>71.83</v>
      </c>
      <c r="N45" s="112">
        <v>267.3</v>
      </c>
      <c r="O45" s="112">
        <v>0</v>
      </c>
      <c r="P45" s="112">
        <v>0.78</v>
      </c>
      <c r="Q45" s="112">
        <v>4.63</v>
      </c>
    </row>
    <row r="46" spans="1:17" customFormat="1">
      <c r="A46" s="80">
        <v>45556.395833333336</v>
      </c>
      <c r="B46" s="112">
        <v>9.3000000000000007</v>
      </c>
      <c r="C46" s="112">
        <v>4.07</v>
      </c>
      <c r="D46" s="112">
        <v>14.03</v>
      </c>
      <c r="E46" s="112">
        <v>20.329999999999998</v>
      </c>
      <c r="F46" s="112">
        <v>7.92</v>
      </c>
      <c r="G46" s="112">
        <v>126.48</v>
      </c>
      <c r="H46" s="112">
        <v>28.35</v>
      </c>
      <c r="I46" s="112">
        <v>8.1199999999999992</v>
      </c>
      <c r="J46" s="112">
        <v>0.61</v>
      </c>
      <c r="K46" s="112">
        <v>61.29</v>
      </c>
      <c r="L46" s="112">
        <v>31.92</v>
      </c>
      <c r="M46" s="112">
        <v>68.91</v>
      </c>
      <c r="N46" s="112">
        <v>279.89999999999998</v>
      </c>
      <c r="O46" s="112">
        <v>0</v>
      </c>
      <c r="P46" s="112">
        <v>0.77</v>
      </c>
      <c r="Q46" s="112">
        <v>4.6399999999999997</v>
      </c>
    </row>
    <row r="47" spans="1:17" customFormat="1">
      <c r="A47" s="80">
        <v>45556.40625</v>
      </c>
      <c r="B47" s="112">
        <v>9.2899999999999991</v>
      </c>
      <c r="C47" s="112">
        <v>4.07</v>
      </c>
      <c r="D47" s="112">
        <v>14.03</v>
      </c>
      <c r="E47" s="112">
        <v>23.09</v>
      </c>
      <c r="F47" s="112">
        <v>9.1300000000000008</v>
      </c>
      <c r="G47" s="112">
        <v>161.32</v>
      </c>
      <c r="H47" s="112">
        <v>35.28</v>
      </c>
      <c r="I47" s="112">
        <v>8.0399999999999991</v>
      </c>
      <c r="J47" s="112">
        <v>0.62</v>
      </c>
      <c r="K47" s="112">
        <v>51.88</v>
      </c>
      <c r="L47" s="112">
        <v>31.94</v>
      </c>
      <c r="M47" s="112">
        <v>68.63</v>
      </c>
      <c r="N47" s="112">
        <v>254.2</v>
      </c>
      <c r="O47" s="112">
        <v>0</v>
      </c>
      <c r="P47" s="112">
        <v>0.77</v>
      </c>
      <c r="Q47" s="112">
        <v>4.6399999999999997</v>
      </c>
    </row>
    <row r="48" spans="1:17" customFormat="1">
      <c r="A48" s="80">
        <v>45556.416666666664</v>
      </c>
      <c r="B48" s="112">
        <v>9.2799999999999994</v>
      </c>
      <c r="C48" s="112">
        <v>4.07</v>
      </c>
      <c r="D48" s="112">
        <v>14.02</v>
      </c>
      <c r="E48" s="112">
        <v>22.48</v>
      </c>
      <c r="F48" s="112">
        <v>8.6</v>
      </c>
      <c r="G48" s="112">
        <v>161.32</v>
      </c>
      <c r="H48" s="112">
        <v>35.28</v>
      </c>
      <c r="I48" s="112">
        <v>8.02</v>
      </c>
      <c r="J48" s="112">
        <v>0.67</v>
      </c>
      <c r="K48" s="112">
        <v>51.37</v>
      </c>
      <c r="L48" s="112">
        <v>32.369999999999997</v>
      </c>
      <c r="M48" s="112">
        <v>66.47</v>
      </c>
      <c r="N48" s="112">
        <v>229.8</v>
      </c>
      <c r="O48" s="112">
        <v>0</v>
      </c>
      <c r="P48" s="112">
        <v>0.77</v>
      </c>
      <c r="Q48" s="112">
        <v>4.6399999999999997</v>
      </c>
    </row>
    <row r="49" spans="1:17" customFormat="1">
      <c r="A49" s="80">
        <v>45556.427083333336</v>
      </c>
      <c r="B49" s="112">
        <v>9.24</v>
      </c>
      <c r="C49" s="112">
        <v>4.0999999999999996</v>
      </c>
      <c r="D49" s="112">
        <v>14</v>
      </c>
      <c r="E49" s="112">
        <v>11.16</v>
      </c>
      <c r="F49" s="112">
        <v>9.81</v>
      </c>
      <c r="G49" s="112">
        <v>161.32</v>
      </c>
      <c r="H49" s="112">
        <v>35.28</v>
      </c>
      <c r="I49" s="112">
        <v>8.01</v>
      </c>
      <c r="J49" s="112">
        <v>0.63</v>
      </c>
      <c r="K49" s="112">
        <v>44.4</v>
      </c>
      <c r="L49" s="112">
        <v>32.33</v>
      </c>
      <c r="M49" s="112">
        <v>66.33</v>
      </c>
      <c r="N49" s="112">
        <v>191.4</v>
      </c>
      <c r="O49" s="112">
        <v>0</v>
      </c>
      <c r="P49" s="112">
        <v>0.76</v>
      </c>
      <c r="Q49" s="112">
        <v>4.62</v>
      </c>
    </row>
    <row r="50" spans="1:17" customFormat="1">
      <c r="A50" s="80">
        <v>45556.4375</v>
      </c>
      <c r="B50" s="112">
        <v>9.1999999999999993</v>
      </c>
      <c r="C50" s="112">
        <v>4.16</v>
      </c>
      <c r="D50" s="112">
        <v>14</v>
      </c>
      <c r="E50" s="112">
        <v>15.62</v>
      </c>
      <c r="F50" s="112">
        <v>9.98</v>
      </c>
      <c r="G50" s="112">
        <v>159.41999999999999</v>
      </c>
      <c r="H50" s="112">
        <v>35.28</v>
      </c>
      <c r="I50" s="112">
        <v>8.0399999999999991</v>
      </c>
      <c r="J50" s="112">
        <v>0.45</v>
      </c>
      <c r="K50" s="112">
        <v>39.42</v>
      </c>
      <c r="L50" s="112">
        <v>32.630000000000003</v>
      </c>
      <c r="M50" s="112">
        <v>65.650000000000006</v>
      </c>
      <c r="N50" s="112">
        <v>284.89999999999998</v>
      </c>
      <c r="O50" s="112">
        <v>0</v>
      </c>
      <c r="P50" s="112">
        <v>0.74</v>
      </c>
      <c r="Q50" s="112">
        <v>4.6399999999999997</v>
      </c>
    </row>
    <row r="51" spans="1:17" customFormat="1">
      <c r="A51" s="80">
        <v>45556.447916666664</v>
      </c>
      <c r="B51" s="112">
        <v>9.18</v>
      </c>
      <c r="C51" s="112">
        <v>4.1900000000000004</v>
      </c>
      <c r="D51" s="112">
        <v>14</v>
      </c>
      <c r="E51" s="112">
        <v>14.82</v>
      </c>
      <c r="F51" s="112">
        <v>9.0500000000000007</v>
      </c>
      <c r="G51" s="112">
        <v>139.94</v>
      </c>
      <c r="H51" s="112">
        <v>35.299999999999997</v>
      </c>
      <c r="I51" s="112">
        <v>7.91</v>
      </c>
      <c r="J51" s="112">
        <v>0.7</v>
      </c>
      <c r="K51" s="112">
        <v>52.07</v>
      </c>
      <c r="L51" s="112">
        <v>32.619999999999997</v>
      </c>
      <c r="M51" s="112">
        <v>66.06</v>
      </c>
      <c r="N51" s="112">
        <v>259.5</v>
      </c>
      <c r="O51" s="112">
        <v>0</v>
      </c>
      <c r="P51" s="112">
        <v>0.75</v>
      </c>
      <c r="Q51" s="112">
        <v>4.62</v>
      </c>
    </row>
    <row r="52" spans="1:17" customFormat="1">
      <c r="A52" s="80">
        <v>45556.458333333336</v>
      </c>
      <c r="B52" s="112">
        <v>9.17</v>
      </c>
      <c r="C52" s="112">
        <v>4.2</v>
      </c>
      <c r="D52" s="112">
        <v>14</v>
      </c>
      <c r="E52" s="112">
        <v>14.38</v>
      </c>
      <c r="F52" s="112">
        <v>9.1999999999999993</v>
      </c>
      <c r="G52" s="112">
        <v>139.94</v>
      </c>
      <c r="H52" s="112">
        <v>35.299999999999997</v>
      </c>
      <c r="I52" s="112">
        <v>7.86</v>
      </c>
      <c r="J52" s="112">
        <v>0.62</v>
      </c>
      <c r="K52" s="112">
        <v>46.75</v>
      </c>
      <c r="L52" s="112">
        <v>32.39</v>
      </c>
      <c r="M52" s="112">
        <v>67.2</v>
      </c>
      <c r="N52" s="112">
        <v>252.4</v>
      </c>
      <c r="O52" s="112">
        <v>0</v>
      </c>
      <c r="P52" s="112">
        <v>0.76</v>
      </c>
      <c r="Q52" s="112">
        <v>4.63</v>
      </c>
    </row>
    <row r="53" spans="1:17" customFormat="1">
      <c r="A53" s="80">
        <v>45556.46875</v>
      </c>
      <c r="B53" s="112">
        <v>9.1999999999999993</v>
      </c>
      <c r="C53" s="112">
        <v>4.16</v>
      </c>
      <c r="D53" s="112">
        <v>14</v>
      </c>
      <c r="E53" s="112">
        <v>14.57</v>
      </c>
      <c r="F53" s="112">
        <v>11.9</v>
      </c>
      <c r="G53" s="112">
        <v>139.94</v>
      </c>
      <c r="H53" s="112">
        <v>35.299999999999997</v>
      </c>
      <c r="I53" s="112">
        <v>7.91</v>
      </c>
      <c r="J53" s="112">
        <v>0.6</v>
      </c>
      <c r="K53" s="112">
        <v>50.55</v>
      </c>
      <c r="L53" s="112">
        <v>32.549999999999997</v>
      </c>
      <c r="M53" s="112">
        <v>65.989999999999995</v>
      </c>
      <c r="N53" s="112">
        <v>315.3</v>
      </c>
      <c r="O53" s="112">
        <v>0</v>
      </c>
      <c r="P53" s="112">
        <v>0.74</v>
      </c>
      <c r="Q53" s="112">
        <v>4.63</v>
      </c>
    </row>
    <row r="54" spans="1:17" customFormat="1">
      <c r="A54" s="80">
        <v>45556.479166666664</v>
      </c>
      <c r="B54" s="112">
        <v>9.2100000000000009</v>
      </c>
      <c r="C54" s="112">
        <v>4.1399999999999997</v>
      </c>
      <c r="D54" s="112">
        <v>14</v>
      </c>
      <c r="E54" s="112">
        <v>15.34</v>
      </c>
      <c r="F54" s="112">
        <v>16.649999999999999</v>
      </c>
      <c r="G54" s="112">
        <v>137.78</v>
      </c>
      <c r="H54" s="112">
        <v>35.11</v>
      </c>
      <c r="I54" s="112">
        <v>7.95</v>
      </c>
      <c r="J54" s="112">
        <v>0.96</v>
      </c>
      <c r="K54" s="112">
        <v>57.71</v>
      </c>
      <c r="L54" s="112">
        <v>32.770000000000003</v>
      </c>
      <c r="M54" s="112">
        <v>64.72</v>
      </c>
      <c r="N54" s="112">
        <v>448.2</v>
      </c>
      <c r="O54" s="112">
        <v>0</v>
      </c>
      <c r="P54" s="112">
        <v>0.66</v>
      </c>
      <c r="Q54" s="112">
        <v>4.6500000000000004</v>
      </c>
    </row>
    <row r="55" spans="1:17" customFormat="1">
      <c r="A55" s="80">
        <v>45556.489583333336</v>
      </c>
      <c r="B55" s="112">
        <v>9.35</v>
      </c>
      <c r="C55" s="112">
        <v>4.08</v>
      </c>
      <c r="D55" s="112">
        <v>14.08</v>
      </c>
      <c r="E55" s="112">
        <v>14.96</v>
      </c>
      <c r="F55" s="112">
        <v>15.87</v>
      </c>
      <c r="G55" s="112">
        <v>115.66</v>
      </c>
      <c r="H55" s="112">
        <v>33.729999999999997</v>
      </c>
      <c r="I55" s="112">
        <v>7.74</v>
      </c>
      <c r="J55" s="112">
        <v>1.04</v>
      </c>
      <c r="K55" s="112">
        <v>54.31</v>
      </c>
      <c r="L55" s="112">
        <v>32.729999999999997</v>
      </c>
      <c r="M55" s="112">
        <v>62.93</v>
      </c>
      <c r="N55" s="112">
        <v>481.4</v>
      </c>
      <c r="O55" s="112">
        <v>0</v>
      </c>
      <c r="P55" s="112">
        <v>0.6</v>
      </c>
      <c r="Q55" s="112">
        <v>4.67</v>
      </c>
    </row>
    <row r="56" spans="1:17" customFormat="1">
      <c r="A56" s="80">
        <v>45556.5</v>
      </c>
      <c r="B56" s="112">
        <v>9.4499999999999993</v>
      </c>
      <c r="C56" s="112">
        <v>4.08</v>
      </c>
      <c r="D56" s="112">
        <v>14.16</v>
      </c>
      <c r="E56" s="112">
        <v>14.99</v>
      </c>
      <c r="F56" s="112">
        <v>26.44</v>
      </c>
      <c r="G56" s="112">
        <v>115.66</v>
      </c>
      <c r="H56" s="112">
        <v>33.729999999999997</v>
      </c>
      <c r="I56" s="112">
        <v>7.24</v>
      </c>
      <c r="J56" s="112">
        <v>0.79</v>
      </c>
      <c r="K56" s="112">
        <v>45.8</v>
      </c>
      <c r="L56" s="112">
        <v>32.9</v>
      </c>
      <c r="M56" s="112">
        <v>64.39</v>
      </c>
      <c r="N56" s="112">
        <v>501.8</v>
      </c>
      <c r="O56" s="112">
        <v>0</v>
      </c>
      <c r="P56" s="112">
        <v>0.54</v>
      </c>
      <c r="Q56" s="112">
        <v>4.68</v>
      </c>
    </row>
    <row r="57" spans="1:17" customFormat="1">
      <c r="A57" s="80">
        <v>45556.510416666664</v>
      </c>
      <c r="B57" s="112">
        <v>9.3800000000000008</v>
      </c>
      <c r="C57" s="112">
        <v>4.07</v>
      </c>
      <c r="D57" s="112">
        <v>14.1</v>
      </c>
      <c r="E57" s="112">
        <v>15.56</v>
      </c>
      <c r="F57" s="112">
        <v>13.31</v>
      </c>
      <c r="G57" s="112">
        <v>115.66</v>
      </c>
      <c r="H57" s="112">
        <v>33.729999999999997</v>
      </c>
      <c r="I57" s="112">
        <v>7.02</v>
      </c>
      <c r="J57" s="112">
        <v>0.8</v>
      </c>
      <c r="K57" s="112">
        <v>53.54</v>
      </c>
      <c r="L57" s="112">
        <v>32.950000000000003</v>
      </c>
      <c r="M57" s="112">
        <v>64.510000000000005</v>
      </c>
      <c r="N57" s="112">
        <v>588.4</v>
      </c>
      <c r="O57" s="112">
        <v>0</v>
      </c>
      <c r="P57" s="112">
        <v>0.56999999999999995</v>
      </c>
      <c r="Q57" s="112">
        <v>4.68</v>
      </c>
    </row>
    <row r="58" spans="1:17" customFormat="1">
      <c r="A58" s="80">
        <v>45556.520833333336</v>
      </c>
      <c r="B58" s="112">
        <v>9.33</v>
      </c>
      <c r="C58" s="112">
        <v>4.05</v>
      </c>
      <c r="D58" s="112">
        <v>14.05</v>
      </c>
      <c r="E58" s="112">
        <v>17.73</v>
      </c>
      <c r="F58" s="112">
        <v>23.39</v>
      </c>
      <c r="G58" s="112">
        <v>113.83</v>
      </c>
      <c r="H58" s="112">
        <v>33.450000000000003</v>
      </c>
      <c r="I58" s="112">
        <v>6.68</v>
      </c>
      <c r="J58" s="112">
        <v>1.06</v>
      </c>
      <c r="K58" s="112">
        <v>57.64</v>
      </c>
      <c r="L58" s="112">
        <v>33.31</v>
      </c>
      <c r="M58" s="112">
        <v>61.44</v>
      </c>
      <c r="N58" s="112">
        <v>565.70000000000005</v>
      </c>
      <c r="O58" s="112">
        <v>0</v>
      </c>
      <c r="P58" s="112">
        <v>0.55000000000000004</v>
      </c>
      <c r="Q58" s="112">
        <v>4.66</v>
      </c>
    </row>
    <row r="59" spans="1:17" customFormat="1">
      <c r="A59" s="80">
        <v>45556.53125</v>
      </c>
      <c r="B59" s="112">
        <v>9.33</v>
      </c>
      <c r="C59" s="112">
        <v>4.0599999999999996</v>
      </c>
      <c r="D59" s="112">
        <v>14.06</v>
      </c>
      <c r="E59" s="112">
        <v>22.07</v>
      </c>
      <c r="F59" s="112">
        <v>17.79</v>
      </c>
      <c r="G59" s="112">
        <v>95.09</v>
      </c>
      <c r="H59" s="112">
        <v>31.06</v>
      </c>
      <c r="I59" s="112">
        <v>6.84</v>
      </c>
      <c r="J59" s="112">
        <v>0.79</v>
      </c>
      <c r="K59" s="112">
        <v>51.65</v>
      </c>
      <c r="L59" s="112">
        <v>33.090000000000003</v>
      </c>
      <c r="M59" s="112">
        <v>62.76</v>
      </c>
      <c r="N59" s="112">
        <v>324.39999999999998</v>
      </c>
      <c r="O59" s="112">
        <v>0</v>
      </c>
      <c r="P59" s="112">
        <v>0.54</v>
      </c>
      <c r="Q59" s="112">
        <v>4.67</v>
      </c>
    </row>
    <row r="60" spans="1:17" customFormat="1">
      <c r="A60" s="80">
        <v>45556.541666666664</v>
      </c>
      <c r="B60" s="112">
        <v>9.31</v>
      </c>
      <c r="C60" s="112">
        <v>4.05</v>
      </c>
      <c r="D60" s="112">
        <v>14.03</v>
      </c>
      <c r="E60" s="112">
        <v>18.899999999999999</v>
      </c>
      <c r="F60" s="112">
        <v>18.059999999999999</v>
      </c>
      <c r="G60" s="112">
        <v>95.09</v>
      </c>
      <c r="H60" s="112">
        <v>31.06</v>
      </c>
      <c r="I60" s="112">
        <v>6.51</v>
      </c>
      <c r="J60" s="112">
        <v>1</v>
      </c>
      <c r="K60" s="112">
        <v>54.1</v>
      </c>
      <c r="L60" s="112">
        <v>32.58</v>
      </c>
      <c r="M60" s="112">
        <v>66</v>
      </c>
      <c r="N60" s="112">
        <v>329.8</v>
      </c>
      <c r="O60" s="112">
        <v>0</v>
      </c>
      <c r="P60" s="112">
        <v>0.55000000000000004</v>
      </c>
      <c r="Q60" s="112">
        <v>4.66</v>
      </c>
    </row>
    <row r="61" spans="1:17" customFormat="1">
      <c r="A61" s="80">
        <v>45556.552083333336</v>
      </c>
      <c r="B61" s="112">
        <v>9.27</v>
      </c>
      <c r="C61" s="112">
        <v>4.09</v>
      </c>
      <c r="D61" s="112">
        <v>14.02</v>
      </c>
      <c r="E61" s="112">
        <v>24.13</v>
      </c>
      <c r="F61" s="112">
        <v>26.34</v>
      </c>
      <c r="G61" s="112">
        <v>95.09</v>
      </c>
      <c r="H61" s="112">
        <v>31.06</v>
      </c>
      <c r="I61" s="112">
        <v>6.55</v>
      </c>
      <c r="J61" s="112">
        <v>0.56999999999999995</v>
      </c>
      <c r="K61" s="112">
        <v>51.79</v>
      </c>
      <c r="L61" s="112">
        <v>33.47</v>
      </c>
      <c r="M61" s="112">
        <v>61.17</v>
      </c>
      <c r="N61" s="112">
        <v>424</v>
      </c>
      <c r="O61" s="112">
        <v>0</v>
      </c>
      <c r="P61" s="112">
        <v>0.49</v>
      </c>
      <c r="Q61" s="112">
        <v>4.68</v>
      </c>
    </row>
    <row r="62" spans="1:17" customFormat="1">
      <c r="A62" s="80">
        <v>45556.5625</v>
      </c>
      <c r="B62" s="112">
        <v>9.24</v>
      </c>
      <c r="C62" s="112">
        <v>4.0999999999999996</v>
      </c>
      <c r="D62" s="112">
        <v>14</v>
      </c>
      <c r="E62" s="112">
        <v>24.69</v>
      </c>
      <c r="F62" s="112">
        <v>15.75</v>
      </c>
      <c r="G62" s="112">
        <v>96.39</v>
      </c>
      <c r="H62" s="112">
        <v>31.5</v>
      </c>
      <c r="I62" s="112">
        <v>6.62</v>
      </c>
      <c r="J62" s="112">
        <v>1.1100000000000001</v>
      </c>
      <c r="K62" s="112">
        <v>56.58</v>
      </c>
      <c r="L62" s="112">
        <v>33.229999999999997</v>
      </c>
      <c r="M62" s="112">
        <v>60.75</v>
      </c>
      <c r="N62" s="112">
        <v>334.1</v>
      </c>
      <c r="O62" s="112">
        <v>0</v>
      </c>
      <c r="P62" s="112">
        <v>0.53</v>
      </c>
      <c r="Q62" s="112">
        <v>4.67</v>
      </c>
    </row>
    <row r="63" spans="1:17" customFormat="1">
      <c r="A63" s="80">
        <v>45556.572916666664</v>
      </c>
      <c r="B63" s="112">
        <v>9.23</v>
      </c>
      <c r="C63" s="112">
        <v>4.12</v>
      </c>
      <c r="D63" s="112">
        <v>14</v>
      </c>
      <c r="E63" s="112">
        <v>22.48</v>
      </c>
      <c r="F63" s="112">
        <v>25.43</v>
      </c>
      <c r="G63" s="112">
        <v>109.77</v>
      </c>
      <c r="H63" s="112">
        <v>35.22</v>
      </c>
      <c r="I63" s="112">
        <v>6.02</v>
      </c>
      <c r="J63" s="112">
        <v>0.86</v>
      </c>
      <c r="K63" s="112">
        <v>53.47</v>
      </c>
      <c r="L63" s="112">
        <v>32.880000000000003</v>
      </c>
      <c r="M63" s="112">
        <v>62.44</v>
      </c>
      <c r="N63" s="112">
        <v>238.4</v>
      </c>
      <c r="O63" s="112">
        <v>0</v>
      </c>
      <c r="P63" s="112">
        <v>0.51</v>
      </c>
      <c r="Q63" s="112">
        <v>4.6500000000000004</v>
      </c>
    </row>
    <row r="64" spans="1:17" customFormat="1">
      <c r="A64" s="80">
        <v>45556.583333333336</v>
      </c>
      <c r="B64" s="112">
        <v>9.25</v>
      </c>
      <c r="C64" s="112">
        <v>4.08</v>
      </c>
      <c r="D64" s="112">
        <v>14</v>
      </c>
      <c r="E64" s="112">
        <v>21.6</v>
      </c>
      <c r="F64" s="112">
        <v>21.25</v>
      </c>
      <c r="G64" s="112">
        <v>109.77</v>
      </c>
      <c r="H64" s="112">
        <v>35.22</v>
      </c>
      <c r="I64" s="112">
        <v>6.3</v>
      </c>
      <c r="J64" s="112">
        <v>1.01</v>
      </c>
      <c r="K64" s="112">
        <v>56.25</v>
      </c>
      <c r="L64" s="112">
        <v>33.29</v>
      </c>
      <c r="M64" s="112">
        <v>62.86</v>
      </c>
      <c r="N64" s="112">
        <v>236.2</v>
      </c>
      <c r="O64" s="112">
        <v>0</v>
      </c>
      <c r="P64" s="112">
        <v>0.51</v>
      </c>
      <c r="Q64" s="112">
        <v>4.6399999999999997</v>
      </c>
    </row>
    <row r="65" spans="1:17" customFormat="1">
      <c r="A65" s="80">
        <v>45556.59375</v>
      </c>
      <c r="B65" s="112">
        <v>9.23</v>
      </c>
      <c r="C65" s="112">
        <v>4.1100000000000003</v>
      </c>
      <c r="D65" s="112">
        <v>14</v>
      </c>
      <c r="E65" s="112">
        <v>18.53</v>
      </c>
      <c r="F65" s="112">
        <v>30.3</v>
      </c>
      <c r="G65" s="112">
        <v>109.77</v>
      </c>
      <c r="H65" s="112">
        <v>35.22</v>
      </c>
      <c r="I65" s="112">
        <v>6.02</v>
      </c>
      <c r="J65" s="112">
        <v>0.74</v>
      </c>
      <c r="K65" s="112">
        <v>44.96</v>
      </c>
      <c r="L65" s="112">
        <v>33.5</v>
      </c>
      <c r="M65" s="112">
        <v>62.18</v>
      </c>
      <c r="N65" s="112">
        <v>182.4</v>
      </c>
      <c r="O65" s="112">
        <v>0</v>
      </c>
      <c r="P65" s="112">
        <v>0.61</v>
      </c>
      <c r="Q65" s="112">
        <v>4.6500000000000004</v>
      </c>
    </row>
    <row r="66" spans="1:17" customFormat="1">
      <c r="A66" s="80">
        <v>45556.604166666664</v>
      </c>
      <c r="B66" s="112">
        <v>9.19</v>
      </c>
      <c r="C66" s="112">
        <v>4.18</v>
      </c>
      <c r="D66" s="112">
        <v>14</v>
      </c>
      <c r="E66" s="112">
        <v>22.86</v>
      </c>
      <c r="F66" s="112">
        <v>26.76</v>
      </c>
      <c r="G66" s="112">
        <v>109.69</v>
      </c>
      <c r="H66" s="112">
        <v>35.43</v>
      </c>
      <c r="I66" s="112">
        <v>6.22</v>
      </c>
      <c r="J66" s="112">
        <v>0.88</v>
      </c>
      <c r="K66" s="112">
        <v>56.22</v>
      </c>
      <c r="L66" s="112">
        <v>33.11</v>
      </c>
      <c r="M66" s="112">
        <v>63.42</v>
      </c>
      <c r="N66" s="112">
        <v>124.7</v>
      </c>
      <c r="O66" s="112">
        <v>0</v>
      </c>
      <c r="P66" s="112">
        <v>0.62</v>
      </c>
      <c r="Q66" s="112">
        <v>4.66</v>
      </c>
    </row>
    <row r="67" spans="1:17" customFormat="1">
      <c r="A67" s="80">
        <v>45556.614583333336</v>
      </c>
      <c r="B67" s="112">
        <v>9.17</v>
      </c>
      <c r="C67" s="112">
        <v>4.2</v>
      </c>
      <c r="D67" s="112">
        <v>14</v>
      </c>
      <c r="E67" s="112">
        <v>19.559999999999999</v>
      </c>
      <c r="F67" s="112">
        <v>22.91</v>
      </c>
      <c r="G67" s="112">
        <v>108.86</v>
      </c>
      <c r="H67" s="112">
        <v>37.18</v>
      </c>
      <c r="I67" s="112">
        <v>6.05</v>
      </c>
      <c r="J67" s="112">
        <v>0.68</v>
      </c>
      <c r="K67" s="112">
        <v>61.34</v>
      </c>
      <c r="L67" s="112">
        <v>33.159999999999997</v>
      </c>
      <c r="M67" s="112">
        <v>62.93</v>
      </c>
      <c r="N67" s="112">
        <v>153</v>
      </c>
      <c r="O67" s="112">
        <v>0</v>
      </c>
      <c r="P67" s="112">
        <v>0.63</v>
      </c>
      <c r="Q67" s="112">
        <v>4.66</v>
      </c>
    </row>
    <row r="68" spans="1:17" customFormat="1">
      <c r="A68" s="80">
        <v>45556.625</v>
      </c>
      <c r="B68" s="112">
        <v>9.1999999999999993</v>
      </c>
      <c r="C68" s="112">
        <v>4.17</v>
      </c>
      <c r="D68" s="112">
        <v>14</v>
      </c>
      <c r="E68" s="112">
        <v>21.6</v>
      </c>
      <c r="F68" s="112">
        <v>25.99</v>
      </c>
      <c r="G68" s="112">
        <v>108.86</v>
      </c>
      <c r="H68" s="112">
        <v>37.18</v>
      </c>
      <c r="I68" s="112">
        <v>6.07</v>
      </c>
      <c r="J68" s="112">
        <v>0.88</v>
      </c>
      <c r="K68" s="112">
        <v>65.209999999999994</v>
      </c>
      <c r="L68" s="112">
        <v>33.049999999999997</v>
      </c>
      <c r="M68" s="112">
        <v>61.57</v>
      </c>
      <c r="N68" s="112">
        <v>106.6</v>
      </c>
      <c r="O68" s="112">
        <v>0</v>
      </c>
      <c r="P68" s="112">
        <v>0.59</v>
      </c>
      <c r="Q68" s="112">
        <v>4.6500000000000004</v>
      </c>
    </row>
    <row r="69" spans="1:17" customFormat="1">
      <c r="A69" s="80">
        <v>45556.635416666664</v>
      </c>
      <c r="B69" s="112">
        <v>9.1999999999999993</v>
      </c>
      <c r="C69" s="112">
        <v>4.16</v>
      </c>
      <c r="D69" s="112">
        <v>14</v>
      </c>
      <c r="E69" s="112">
        <v>20.66</v>
      </c>
      <c r="F69" s="112">
        <v>18.2</v>
      </c>
      <c r="G69" s="112">
        <v>108.86</v>
      </c>
      <c r="H69" s="112">
        <v>37.18</v>
      </c>
      <c r="I69" s="112">
        <v>6.27</v>
      </c>
      <c r="J69" s="112">
        <v>0.91</v>
      </c>
      <c r="K69" s="112">
        <v>53.16</v>
      </c>
      <c r="L69" s="112">
        <v>32.6</v>
      </c>
      <c r="M69" s="112">
        <v>62.47</v>
      </c>
      <c r="N69" s="112">
        <v>73.3</v>
      </c>
      <c r="O69" s="112">
        <v>0</v>
      </c>
      <c r="P69" s="112">
        <v>0.6</v>
      </c>
      <c r="Q69" s="112">
        <v>4.6500000000000004</v>
      </c>
    </row>
    <row r="70" spans="1:17" customFormat="1">
      <c r="A70" s="80">
        <v>45556.645833333336</v>
      </c>
      <c r="B70" s="112">
        <v>9.19</v>
      </c>
      <c r="C70" s="112">
        <v>4.18</v>
      </c>
      <c r="D70" s="112">
        <v>14</v>
      </c>
      <c r="E70" s="112">
        <v>21.68</v>
      </c>
      <c r="F70" s="112">
        <v>25.86</v>
      </c>
      <c r="G70" s="112">
        <v>109.07</v>
      </c>
      <c r="H70" s="112">
        <v>37.33</v>
      </c>
      <c r="I70" s="112">
        <v>5.94</v>
      </c>
      <c r="J70" s="112">
        <v>0.64</v>
      </c>
      <c r="K70" s="112">
        <v>55.89</v>
      </c>
      <c r="L70" s="112">
        <v>32.659999999999997</v>
      </c>
      <c r="M70" s="112">
        <v>63.74</v>
      </c>
      <c r="N70" s="112">
        <v>110.6</v>
      </c>
      <c r="O70" s="112">
        <v>0</v>
      </c>
      <c r="P70" s="112">
        <v>0.6</v>
      </c>
      <c r="Q70" s="112">
        <v>4.66</v>
      </c>
    </row>
    <row r="71" spans="1:17" customFormat="1">
      <c r="A71" s="80">
        <v>45556.65625</v>
      </c>
      <c r="B71" s="112">
        <v>9.19</v>
      </c>
      <c r="C71" s="112">
        <v>4.17</v>
      </c>
      <c r="D71" s="112">
        <v>14</v>
      </c>
      <c r="E71" s="112">
        <v>23.06</v>
      </c>
      <c r="F71" s="112">
        <v>18.350000000000001</v>
      </c>
      <c r="G71" s="112">
        <v>111.13</v>
      </c>
      <c r="H71" s="112">
        <v>38.42</v>
      </c>
      <c r="I71" s="112">
        <v>5.87</v>
      </c>
      <c r="J71" s="112">
        <v>0.69</v>
      </c>
      <c r="K71" s="112">
        <v>62.78</v>
      </c>
      <c r="L71" s="112">
        <v>32.630000000000003</v>
      </c>
      <c r="M71" s="112">
        <v>64.2</v>
      </c>
      <c r="N71" s="112">
        <v>101.4</v>
      </c>
      <c r="O71" s="112">
        <v>0</v>
      </c>
      <c r="P71" s="112">
        <v>0.6</v>
      </c>
      <c r="Q71" s="112">
        <v>4.66</v>
      </c>
    </row>
    <row r="72" spans="1:17" customFormat="1">
      <c r="A72" s="80">
        <v>45556.666666666664</v>
      </c>
      <c r="B72" s="112">
        <v>9.2100000000000009</v>
      </c>
      <c r="C72" s="112">
        <v>4.1500000000000004</v>
      </c>
      <c r="D72" s="112">
        <v>14</v>
      </c>
      <c r="E72" s="112">
        <v>24.42</v>
      </c>
      <c r="F72" s="112">
        <v>24.68</v>
      </c>
      <c r="G72" s="112">
        <v>111.13</v>
      </c>
      <c r="H72" s="112">
        <v>38.42</v>
      </c>
      <c r="I72" s="112">
        <v>5.54</v>
      </c>
      <c r="J72" s="112">
        <v>0.97</v>
      </c>
      <c r="K72" s="112">
        <v>56.07</v>
      </c>
      <c r="L72" s="112">
        <v>32.44</v>
      </c>
      <c r="M72" s="112">
        <v>63.4</v>
      </c>
      <c r="N72" s="112">
        <v>60.3</v>
      </c>
      <c r="O72" s="112">
        <v>0</v>
      </c>
      <c r="P72" s="112">
        <v>0.59</v>
      </c>
      <c r="Q72" s="112">
        <v>4.68</v>
      </c>
    </row>
    <row r="73" spans="1:17" customFormat="1">
      <c r="A73" s="80">
        <v>45556.677083333336</v>
      </c>
      <c r="B73" s="112">
        <v>9.1999999999999993</v>
      </c>
      <c r="C73" s="112">
        <v>4.1500000000000004</v>
      </c>
      <c r="D73" s="112">
        <v>14</v>
      </c>
      <c r="E73" s="112">
        <v>25.31</v>
      </c>
      <c r="F73" s="112">
        <v>26.95</v>
      </c>
      <c r="G73" s="112">
        <v>111.13</v>
      </c>
      <c r="H73" s="112">
        <v>38.42</v>
      </c>
      <c r="I73" s="112">
        <v>5.74</v>
      </c>
      <c r="J73" s="112">
        <v>0.91</v>
      </c>
      <c r="K73" s="112">
        <v>57.12</v>
      </c>
      <c r="L73" s="112">
        <v>32.39</v>
      </c>
      <c r="M73" s="112">
        <v>64.53</v>
      </c>
      <c r="N73" s="112">
        <v>61.6</v>
      </c>
      <c r="O73" s="112">
        <v>0</v>
      </c>
      <c r="P73" s="112">
        <v>0.6</v>
      </c>
      <c r="Q73" s="112">
        <v>4.67</v>
      </c>
    </row>
    <row r="74" spans="1:17" customFormat="1">
      <c r="A74" s="80">
        <v>45556.6875</v>
      </c>
      <c r="B74" s="112">
        <v>9.1999999999999993</v>
      </c>
      <c r="C74" s="112">
        <v>4.16</v>
      </c>
      <c r="D74" s="112">
        <v>14</v>
      </c>
      <c r="E74" s="112">
        <v>25.98</v>
      </c>
      <c r="F74" s="112">
        <v>28.73</v>
      </c>
      <c r="G74" s="112">
        <v>111.33</v>
      </c>
      <c r="H74" s="112">
        <v>39.11</v>
      </c>
      <c r="I74" s="112">
        <v>5.47</v>
      </c>
      <c r="J74" s="112">
        <v>0.76</v>
      </c>
      <c r="K74" s="112">
        <v>56.67</v>
      </c>
      <c r="L74" s="112">
        <v>32.369999999999997</v>
      </c>
      <c r="M74" s="112">
        <v>65.2</v>
      </c>
      <c r="N74" s="112">
        <v>49.2</v>
      </c>
      <c r="O74" s="112">
        <v>0</v>
      </c>
      <c r="P74" s="112">
        <v>0.64</v>
      </c>
      <c r="Q74" s="112">
        <v>4.6500000000000004</v>
      </c>
    </row>
    <row r="75" spans="1:17" customFormat="1">
      <c r="A75" s="80">
        <v>45556.697916666664</v>
      </c>
      <c r="B75" s="112">
        <v>9.26</v>
      </c>
      <c r="C75" s="112">
        <v>4.07</v>
      </c>
      <c r="D75" s="112">
        <v>14</v>
      </c>
      <c r="E75" s="112">
        <v>24</v>
      </c>
      <c r="F75" s="112">
        <v>29.38</v>
      </c>
      <c r="G75" s="112">
        <v>113.39</v>
      </c>
      <c r="H75" s="112">
        <v>44.91</v>
      </c>
      <c r="I75" s="112">
        <v>5.59</v>
      </c>
      <c r="J75" s="112">
        <v>0.56999999999999995</v>
      </c>
      <c r="K75" s="112">
        <v>63.51</v>
      </c>
      <c r="L75" s="112">
        <v>32.28</v>
      </c>
      <c r="M75" s="112">
        <v>65.36</v>
      </c>
      <c r="N75" s="112">
        <v>40.299999999999997</v>
      </c>
      <c r="O75" s="112">
        <v>0</v>
      </c>
      <c r="P75" s="112">
        <v>0.64</v>
      </c>
      <c r="Q75" s="112">
        <v>4.6500000000000004</v>
      </c>
    </row>
    <row r="76" spans="1:17" customFormat="1">
      <c r="A76" s="80">
        <v>45556.708333333336</v>
      </c>
      <c r="B76" s="112">
        <v>9.2799999999999994</v>
      </c>
      <c r="C76" s="112">
        <v>4.08</v>
      </c>
      <c r="D76" s="112">
        <v>14.03</v>
      </c>
      <c r="E76" s="112">
        <v>20.68</v>
      </c>
      <c r="F76" s="112">
        <v>25.83</v>
      </c>
      <c r="G76" s="112">
        <v>113.39</v>
      </c>
      <c r="H76" s="112">
        <v>44.91</v>
      </c>
      <c r="I76" s="112">
        <v>5.63</v>
      </c>
      <c r="J76" s="112">
        <v>0.74</v>
      </c>
      <c r="K76" s="112">
        <v>61.17</v>
      </c>
      <c r="L76" s="112">
        <v>32.130000000000003</v>
      </c>
      <c r="M76" s="112">
        <v>65.83</v>
      </c>
      <c r="N76" s="112">
        <v>29.1</v>
      </c>
      <c r="O76" s="112">
        <v>0</v>
      </c>
      <c r="P76" s="112">
        <v>0.66</v>
      </c>
      <c r="Q76" s="112">
        <v>4.6399999999999997</v>
      </c>
    </row>
    <row r="77" spans="1:17" customFormat="1">
      <c r="A77" s="80">
        <v>45556.71875</v>
      </c>
      <c r="B77" s="112">
        <v>9.26</v>
      </c>
      <c r="C77" s="112">
        <v>4.08</v>
      </c>
      <c r="D77" s="112">
        <v>14.01</v>
      </c>
      <c r="E77" s="112">
        <v>20.74</v>
      </c>
      <c r="F77" s="112">
        <v>23.63</v>
      </c>
      <c r="G77" s="112">
        <v>113.39</v>
      </c>
      <c r="H77" s="112">
        <v>44.91</v>
      </c>
      <c r="I77" s="112">
        <v>5.63</v>
      </c>
      <c r="J77" s="112">
        <v>0.69</v>
      </c>
      <c r="K77" s="112">
        <v>58.88</v>
      </c>
      <c r="L77" s="112">
        <v>31.94</v>
      </c>
      <c r="M77" s="112">
        <v>66.8</v>
      </c>
      <c r="N77" s="112">
        <v>20.2</v>
      </c>
      <c r="O77" s="112">
        <v>0</v>
      </c>
      <c r="P77" s="112">
        <v>0.68</v>
      </c>
      <c r="Q77" s="112">
        <v>4.6399999999999997</v>
      </c>
    </row>
    <row r="78" spans="1:17" customFormat="1">
      <c r="A78" s="80">
        <v>45556.729166666664</v>
      </c>
      <c r="B78" s="112">
        <v>9.25</v>
      </c>
      <c r="C78" s="112">
        <v>4.08</v>
      </c>
      <c r="D78" s="112">
        <v>14</v>
      </c>
      <c r="E78" s="112">
        <v>19.97</v>
      </c>
      <c r="F78" s="112">
        <v>20.98</v>
      </c>
      <c r="G78" s="112">
        <v>112.96</v>
      </c>
      <c r="H78" s="112">
        <v>45.49</v>
      </c>
      <c r="I78" s="112">
        <v>5.84</v>
      </c>
      <c r="J78" s="112">
        <v>0.34</v>
      </c>
      <c r="K78" s="112">
        <v>70.06</v>
      </c>
      <c r="L78" s="112">
        <v>31.73</v>
      </c>
      <c r="M78" s="112">
        <v>69.37</v>
      </c>
      <c r="N78" s="112">
        <v>13.9</v>
      </c>
      <c r="O78" s="112">
        <v>0</v>
      </c>
      <c r="P78" s="112">
        <v>0.73</v>
      </c>
      <c r="Q78" s="112">
        <v>4.6399999999999997</v>
      </c>
    </row>
    <row r="79" spans="1:17" customFormat="1">
      <c r="A79" s="80">
        <v>45556.739583333336</v>
      </c>
      <c r="B79" s="112">
        <v>9.2899999999999991</v>
      </c>
      <c r="C79" s="112">
        <v>4.08</v>
      </c>
      <c r="D79" s="112">
        <v>14.03</v>
      </c>
      <c r="E79" s="112">
        <v>18.18</v>
      </c>
      <c r="F79" s="112">
        <v>23.43</v>
      </c>
      <c r="G79" s="112">
        <v>108.55</v>
      </c>
      <c r="H79" s="112">
        <v>49.75</v>
      </c>
      <c r="I79" s="112">
        <v>6.2</v>
      </c>
      <c r="J79" s="112">
        <v>0.16</v>
      </c>
      <c r="K79" s="112">
        <v>138.35</v>
      </c>
      <c r="L79" s="112">
        <v>31.26</v>
      </c>
      <c r="M79" s="112">
        <v>73.69</v>
      </c>
      <c r="N79" s="112">
        <v>6.6</v>
      </c>
      <c r="O79" s="112">
        <v>0</v>
      </c>
      <c r="P79" s="112">
        <v>0.68</v>
      </c>
      <c r="Q79" s="112">
        <v>4.6500000000000004</v>
      </c>
    </row>
    <row r="80" spans="1:17" customFormat="1">
      <c r="A80" s="80">
        <v>45556.75</v>
      </c>
      <c r="B80" s="112">
        <v>9.27</v>
      </c>
      <c r="C80" s="112">
        <v>4.07</v>
      </c>
      <c r="D80" s="112">
        <v>14.01</v>
      </c>
      <c r="E80" s="112">
        <v>16.62</v>
      </c>
      <c r="F80" s="112">
        <v>24.32</v>
      </c>
      <c r="G80" s="112">
        <v>108.55</v>
      </c>
      <c r="H80" s="112">
        <v>49.75</v>
      </c>
      <c r="I80" s="112">
        <v>6.49</v>
      </c>
      <c r="J80" s="112">
        <v>0.16</v>
      </c>
      <c r="K80" s="112">
        <v>175.37</v>
      </c>
      <c r="L80" s="112">
        <v>30.93</v>
      </c>
      <c r="M80" s="112">
        <v>76.03</v>
      </c>
      <c r="N80" s="112">
        <v>3.2</v>
      </c>
      <c r="O80" s="112">
        <v>0</v>
      </c>
      <c r="P80" s="112">
        <v>0.66</v>
      </c>
      <c r="Q80" s="112">
        <v>4.62</v>
      </c>
    </row>
    <row r="81" spans="1:17" customFormat="1">
      <c r="A81" s="80">
        <v>45556.760416666664</v>
      </c>
      <c r="B81" s="112">
        <v>9.1999999999999993</v>
      </c>
      <c r="C81" s="112">
        <v>4.16</v>
      </c>
      <c r="D81" s="112">
        <v>14</v>
      </c>
      <c r="E81" s="112">
        <v>11.22</v>
      </c>
      <c r="F81" s="112">
        <v>26.48</v>
      </c>
      <c r="G81" s="112">
        <v>108.55</v>
      </c>
      <c r="H81" s="112">
        <v>49.75</v>
      </c>
      <c r="I81" s="112">
        <v>6.14</v>
      </c>
      <c r="J81" s="112">
        <v>0.12</v>
      </c>
      <c r="K81" s="112">
        <v>133.33000000000001</v>
      </c>
      <c r="L81" s="112">
        <v>30.59</v>
      </c>
      <c r="M81" s="112">
        <v>77.48</v>
      </c>
      <c r="N81" s="112">
        <v>2.4</v>
      </c>
      <c r="O81" s="112">
        <v>0</v>
      </c>
      <c r="P81" s="112">
        <v>0.66</v>
      </c>
      <c r="Q81" s="112">
        <v>4.62</v>
      </c>
    </row>
    <row r="82" spans="1:17" customFormat="1">
      <c r="A82" s="80">
        <v>45556.770833333336</v>
      </c>
      <c r="B82" s="112">
        <v>9.18</v>
      </c>
      <c r="C82" s="112">
        <v>4.1900000000000004</v>
      </c>
      <c r="D82" s="112">
        <v>14</v>
      </c>
      <c r="E82" s="112">
        <v>13.16</v>
      </c>
      <c r="F82" s="112">
        <v>22.24</v>
      </c>
      <c r="G82" s="112">
        <v>110.37</v>
      </c>
      <c r="H82" s="112">
        <v>49.81</v>
      </c>
      <c r="I82" s="112">
        <v>5.97</v>
      </c>
      <c r="J82" s="112">
        <v>0.15</v>
      </c>
      <c r="K82" s="112">
        <v>161.08000000000001</v>
      </c>
      <c r="L82" s="112">
        <v>30.51</v>
      </c>
      <c r="M82" s="112">
        <v>77.94</v>
      </c>
      <c r="N82" s="112">
        <v>2.2000000000000002</v>
      </c>
      <c r="O82" s="112">
        <v>0</v>
      </c>
      <c r="P82" s="112">
        <v>0.69</v>
      </c>
      <c r="Q82" s="112">
        <v>4.63</v>
      </c>
    </row>
    <row r="83" spans="1:17" customFormat="1">
      <c r="A83" s="80">
        <v>45556.78125</v>
      </c>
      <c r="B83" s="112">
        <v>9.18</v>
      </c>
      <c r="C83" s="112">
        <v>4.2</v>
      </c>
      <c r="D83" s="112">
        <v>14</v>
      </c>
      <c r="E83" s="112">
        <v>13.63</v>
      </c>
      <c r="F83" s="112">
        <v>21.2</v>
      </c>
      <c r="G83" s="112">
        <v>126.76</v>
      </c>
      <c r="H83" s="112">
        <v>50.27</v>
      </c>
      <c r="I83" s="112">
        <v>5.87</v>
      </c>
      <c r="J83" s="112">
        <v>0.2</v>
      </c>
      <c r="K83" s="112">
        <v>177.8</v>
      </c>
      <c r="L83" s="112">
        <v>30.34</v>
      </c>
      <c r="M83" s="112">
        <v>78.88</v>
      </c>
      <c r="N83" s="112">
        <v>2.2999999999999998</v>
      </c>
      <c r="O83" s="112">
        <v>0</v>
      </c>
      <c r="P83" s="112">
        <v>0.66</v>
      </c>
      <c r="Q83" s="112">
        <v>4.63</v>
      </c>
    </row>
    <row r="84" spans="1:17" customFormat="1">
      <c r="A84" s="80">
        <v>45556.791666666664</v>
      </c>
      <c r="B84" s="112">
        <v>9.18</v>
      </c>
      <c r="C84" s="112">
        <v>4.1900000000000004</v>
      </c>
      <c r="D84" s="112">
        <v>14</v>
      </c>
      <c r="E84" s="112">
        <v>13.21</v>
      </c>
      <c r="F84" s="112">
        <v>21.04</v>
      </c>
      <c r="G84" s="112">
        <v>126.76</v>
      </c>
      <c r="H84" s="112">
        <v>50.27</v>
      </c>
      <c r="I84" s="112">
        <v>6.11</v>
      </c>
      <c r="J84" s="112">
        <v>0.14000000000000001</v>
      </c>
      <c r="K84" s="112">
        <v>218.65</v>
      </c>
      <c r="L84" s="112">
        <v>29.91</v>
      </c>
      <c r="M84" s="112">
        <v>81.56</v>
      </c>
      <c r="N84" s="112">
        <v>2.5</v>
      </c>
      <c r="O84" s="112">
        <v>0</v>
      </c>
      <c r="P84" s="112">
        <v>0.65</v>
      </c>
      <c r="Q84" s="112">
        <v>4.63</v>
      </c>
    </row>
    <row r="85" spans="1:17" customFormat="1">
      <c r="A85" s="80">
        <v>45556.802083333336</v>
      </c>
      <c r="B85" s="112">
        <v>9.18</v>
      </c>
      <c r="C85" s="112">
        <v>4.1900000000000004</v>
      </c>
      <c r="D85" s="112">
        <v>14</v>
      </c>
      <c r="E85" s="112">
        <v>12.21</v>
      </c>
      <c r="F85" s="112">
        <v>18.02</v>
      </c>
      <c r="G85" s="112">
        <v>126.76</v>
      </c>
      <c r="H85" s="112">
        <v>50.27</v>
      </c>
      <c r="I85" s="112">
        <v>6.09</v>
      </c>
      <c r="J85" s="112">
        <v>0.14000000000000001</v>
      </c>
      <c r="K85" s="112">
        <v>212.7</v>
      </c>
      <c r="L85" s="112">
        <v>29.58</v>
      </c>
      <c r="M85" s="112">
        <v>83.85</v>
      </c>
      <c r="N85" s="112">
        <v>2.2999999999999998</v>
      </c>
      <c r="O85" s="112">
        <v>0</v>
      </c>
      <c r="P85" s="112">
        <v>0.66</v>
      </c>
      <c r="Q85" s="112">
        <v>4.63</v>
      </c>
    </row>
    <row r="86" spans="1:17" customFormat="1">
      <c r="A86" s="80">
        <v>45556.8125</v>
      </c>
      <c r="B86" s="112">
        <v>9.17</v>
      </c>
      <c r="C86" s="112">
        <v>4.21</v>
      </c>
      <c r="D86" s="112">
        <v>14</v>
      </c>
      <c r="E86" s="112">
        <v>11.98</v>
      </c>
      <c r="F86" s="112">
        <v>18.8</v>
      </c>
      <c r="G86" s="112">
        <v>125.57</v>
      </c>
      <c r="H86" s="112">
        <v>50.2</v>
      </c>
      <c r="I86" s="112">
        <v>6.16</v>
      </c>
      <c r="J86" s="112">
        <v>0.13</v>
      </c>
      <c r="K86" s="112">
        <v>198.78</v>
      </c>
      <c r="L86" s="112">
        <v>29.24</v>
      </c>
      <c r="M86" s="112">
        <v>84.95</v>
      </c>
      <c r="N86" s="112">
        <v>2.2999999999999998</v>
      </c>
      <c r="O86" s="112">
        <v>0</v>
      </c>
      <c r="P86" s="112">
        <v>0.65</v>
      </c>
      <c r="Q86" s="112">
        <v>4.6399999999999997</v>
      </c>
    </row>
    <row r="87" spans="1:17" customFormat="1">
      <c r="A87" s="80">
        <v>45556.822916666664</v>
      </c>
      <c r="B87" s="112">
        <v>9.18</v>
      </c>
      <c r="C87" s="112">
        <v>4.2</v>
      </c>
      <c r="D87" s="112">
        <v>14</v>
      </c>
      <c r="E87" s="112">
        <v>12.31</v>
      </c>
      <c r="F87" s="112">
        <v>18.649999999999999</v>
      </c>
      <c r="G87" s="112">
        <v>113.35</v>
      </c>
      <c r="H87" s="112">
        <v>49.69</v>
      </c>
      <c r="I87" s="112">
        <v>6.13</v>
      </c>
      <c r="J87" s="112">
        <v>0.13</v>
      </c>
      <c r="K87" s="112">
        <v>200.49</v>
      </c>
      <c r="L87" s="112">
        <v>29.19</v>
      </c>
      <c r="M87" s="112">
        <v>84.72</v>
      </c>
      <c r="N87" s="112">
        <v>2.1</v>
      </c>
      <c r="O87" s="112">
        <v>0</v>
      </c>
      <c r="P87" s="112">
        <v>0.66</v>
      </c>
      <c r="Q87" s="112">
        <v>4.6500000000000004</v>
      </c>
    </row>
    <row r="88" spans="1:17" customFormat="1">
      <c r="A88" s="80">
        <v>45556.833333333336</v>
      </c>
      <c r="B88" s="112">
        <v>9.19</v>
      </c>
      <c r="C88" s="112">
        <v>4.18</v>
      </c>
      <c r="D88" s="112">
        <v>14</v>
      </c>
      <c r="E88" s="112">
        <v>11.06</v>
      </c>
      <c r="F88" s="112">
        <v>14.21</v>
      </c>
      <c r="G88" s="112">
        <v>113.35</v>
      </c>
      <c r="H88" s="112">
        <v>49.69</v>
      </c>
      <c r="I88" s="112">
        <v>5.91</v>
      </c>
      <c r="J88" s="112">
        <v>0.11</v>
      </c>
      <c r="K88" s="112">
        <v>162.04</v>
      </c>
      <c r="L88" s="112">
        <v>29.06</v>
      </c>
      <c r="M88" s="112">
        <v>87.74</v>
      </c>
      <c r="N88" s="112">
        <v>2.1</v>
      </c>
      <c r="O88" s="112">
        <v>0</v>
      </c>
      <c r="P88" s="112">
        <v>0.65</v>
      </c>
      <c r="Q88" s="112">
        <v>4.63</v>
      </c>
    </row>
    <row r="89" spans="1:17" customFormat="1">
      <c r="A89" s="80">
        <v>45556.84375</v>
      </c>
      <c r="B89" s="112">
        <v>9.19</v>
      </c>
      <c r="C89" s="112">
        <v>4.18</v>
      </c>
      <c r="D89" s="112">
        <v>14</v>
      </c>
      <c r="E89" s="112">
        <v>10.58</v>
      </c>
      <c r="F89" s="112">
        <v>12.86</v>
      </c>
      <c r="G89" s="112">
        <v>113.35</v>
      </c>
      <c r="H89" s="112">
        <v>49.69</v>
      </c>
      <c r="I89" s="112">
        <v>5.99</v>
      </c>
      <c r="J89" s="112">
        <v>0.13</v>
      </c>
      <c r="K89" s="112">
        <v>196.75</v>
      </c>
      <c r="L89" s="112">
        <v>29.02</v>
      </c>
      <c r="M89" s="112">
        <v>87.19</v>
      </c>
      <c r="N89" s="112">
        <v>2.1</v>
      </c>
      <c r="O89" s="112">
        <v>0</v>
      </c>
      <c r="P89" s="112">
        <v>0.65</v>
      </c>
      <c r="Q89" s="112">
        <v>4.63</v>
      </c>
    </row>
    <row r="90" spans="1:17" customFormat="1">
      <c r="A90" s="80">
        <v>45556.854166666664</v>
      </c>
      <c r="B90" s="112">
        <v>9.1999999999999993</v>
      </c>
      <c r="C90" s="112">
        <v>4.16</v>
      </c>
      <c r="D90" s="112">
        <v>14</v>
      </c>
      <c r="E90" s="112">
        <v>10.14</v>
      </c>
      <c r="F90" s="112">
        <v>12.12</v>
      </c>
      <c r="G90" s="112">
        <v>113.88</v>
      </c>
      <c r="H90" s="112">
        <v>49.62</v>
      </c>
      <c r="I90" s="112">
        <v>6.13</v>
      </c>
      <c r="J90" s="112">
        <v>0.12</v>
      </c>
      <c r="K90" s="112">
        <v>172.14</v>
      </c>
      <c r="L90" s="112">
        <v>28.84</v>
      </c>
      <c r="M90" s="112">
        <v>89.81</v>
      </c>
      <c r="N90" s="112">
        <v>2.1</v>
      </c>
      <c r="O90" s="112">
        <v>0</v>
      </c>
      <c r="P90" s="112">
        <v>0.66</v>
      </c>
      <c r="Q90" s="112">
        <v>4.63</v>
      </c>
    </row>
    <row r="91" spans="1:17" customFormat="1">
      <c r="A91" s="80">
        <v>45556.864583333336</v>
      </c>
      <c r="B91" s="112">
        <v>9.2100000000000009</v>
      </c>
      <c r="C91" s="112">
        <v>4.1500000000000004</v>
      </c>
      <c r="D91" s="112">
        <v>14</v>
      </c>
      <c r="E91" s="112">
        <v>10.32</v>
      </c>
      <c r="F91" s="112">
        <v>12.69</v>
      </c>
      <c r="G91" s="112">
        <v>119.32</v>
      </c>
      <c r="H91" s="112">
        <v>49.11</v>
      </c>
      <c r="I91" s="112">
        <v>6.14</v>
      </c>
      <c r="J91" s="112">
        <v>0.1</v>
      </c>
      <c r="K91" s="112">
        <v>200.73</v>
      </c>
      <c r="L91" s="112">
        <v>28.81</v>
      </c>
      <c r="M91" s="112">
        <v>89.22</v>
      </c>
      <c r="N91" s="112">
        <v>2.1</v>
      </c>
      <c r="O91" s="112">
        <v>0</v>
      </c>
      <c r="P91" s="112">
        <v>0.65</v>
      </c>
      <c r="Q91" s="112">
        <v>4.6399999999999997</v>
      </c>
    </row>
    <row r="92" spans="1:17" customFormat="1">
      <c r="A92" s="80">
        <v>45556.875</v>
      </c>
      <c r="B92" s="112">
        <v>9.25</v>
      </c>
      <c r="C92" s="112">
        <v>4.09</v>
      </c>
      <c r="D92" s="112">
        <v>14.01</v>
      </c>
      <c r="E92" s="112">
        <v>10.18</v>
      </c>
      <c r="F92" s="112">
        <v>14.26</v>
      </c>
      <c r="G92" s="112">
        <v>119.32</v>
      </c>
      <c r="H92" s="112">
        <v>49.11</v>
      </c>
      <c r="I92" s="112">
        <v>6.12</v>
      </c>
      <c r="J92" s="112">
        <v>0.12</v>
      </c>
      <c r="K92" s="112">
        <v>201.04</v>
      </c>
      <c r="L92" s="112">
        <v>28.74</v>
      </c>
      <c r="M92" s="112">
        <v>89.86</v>
      </c>
      <c r="N92" s="112">
        <v>2.1</v>
      </c>
      <c r="O92" s="112">
        <v>0</v>
      </c>
      <c r="P92" s="112">
        <v>0.61</v>
      </c>
      <c r="Q92" s="112">
        <v>4.67</v>
      </c>
    </row>
    <row r="93" spans="1:17" customFormat="1">
      <c r="A93" s="80">
        <v>45556.885416666664</v>
      </c>
      <c r="B93" s="112">
        <v>9.36</v>
      </c>
      <c r="C93" s="112">
        <v>4.07</v>
      </c>
      <c r="D93" s="112">
        <v>14.08</v>
      </c>
      <c r="E93" s="112">
        <v>9.76</v>
      </c>
      <c r="F93" s="112">
        <v>10.68</v>
      </c>
      <c r="G93" s="112">
        <v>119.32</v>
      </c>
      <c r="H93" s="112">
        <v>49.11</v>
      </c>
      <c r="I93" s="112">
        <v>6.09</v>
      </c>
      <c r="J93" s="112">
        <v>0.13</v>
      </c>
      <c r="K93" s="112">
        <v>206.21</v>
      </c>
      <c r="L93" s="112">
        <v>28.78</v>
      </c>
      <c r="M93" s="112">
        <v>89.69</v>
      </c>
      <c r="N93" s="112">
        <v>2.1</v>
      </c>
      <c r="O93" s="112">
        <v>0</v>
      </c>
      <c r="P93" s="112">
        <v>0.59</v>
      </c>
      <c r="Q93" s="112">
        <v>4.67</v>
      </c>
    </row>
    <row r="94" spans="1:17" customFormat="1">
      <c r="A94" s="80">
        <v>45556.895833333336</v>
      </c>
      <c r="B94" s="112">
        <v>9.32</v>
      </c>
      <c r="C94" s="112">
        <v>4.08</v>
      </c>
      <c r="D94" s="112">
        <v>14.06</v>
      </c>
      <c r="E94" s="112">
        <v>10.62</v>
      </c>
      <c r="F94" s="112">
        <v>12.78</v>
      </c>
      <c r="G94" s="112">
        <v>118.03</v>
      </c>
      <c r="H94" s="112">
        <v>48.89</v>
      </c>
      <c r="I94" s="112">
        <v>5.94</v>
      </c>
      <c r="J94" s="112">
        <v>0.17</v>
      </c>
      <c r="K94" s="112">
        <v>223.32</v>
      </c>
      <c r="L94" s="112">
        <v>28.74</v>
      </c>
      <c r="M94" s="112">
        <v>90.16</v>
      </c>
      <c r="N94" s="112">
        <v>2.1</v>
      </c>
      <c r="O94" s="112">
        <v>0</v>
      </c>
      <c r="P94" s="112">
        <v>0.59</v>
      </c>
      <c r="Q94" s="112">
        <v>4.68</v>
      </c>
    </row>
    <row r="95" spans="1:17" customFormat="1">
      <c r="A95" s="80">
        <v>45556.90625</v>
      </c>
      <c r="B95" s="112">
        <v>9.2899999999999991</v>
      </c>
      <c r="C95" s="112">
        <v>4.05</v>
      </c>
      <c r="D95" s="112">
        <v>14.01</v>
      </c>
      <c r="E95" s="112">
        <v>11.02</v>
      </c>
      <c r="F95" s="112">
        <v>9.91</v>
      </c>
      <c r="G95" s="112">
        <v>104.82</v>
      </c>
      <c r="H95" s="112">
        <v>47.22</v>
      </c>
      <c r="I95" s="112">
        <v>6.07</v>
      </c>
      <c r="J95" s="112">
        <v>0.1</v>
      </c>
      <c r="K95" s="112">
        <v>206.19</v>
      </c>
      <c r="L95" s="112">
        <v>28.6</v>
      </c>
      <c r="M95" s="112">
        <v>91.41</v>
      </c>
      <c r="N95" s="112">
        <v>2.1</v>
      </c>
      <c r="O95" s="112">
        <v>0</v>
      </c>
      <c r="P95" s="112">
        <v>0.61</v>
      </c>
      <c r="Q95" s="112">
        <v>4.67</v>
      </c>
    </row>
    <row r="96" spans="1:17" customFormat="1">
      <c r="A96" s="80">
        <v>45556.916666666664</v>
      </c>
      <c r="B96" s="112">
        <v>9.2799999999999994</v>
      </c>
      <c r="C96" s="112">
        <v>4.0599999999999996</v>
      </c>
      <c r="D96" s="112">
        <v>14.01</v>
      </c>
      <c r="E96" s="112">
        <v>11.23</v>
      </c>
      <c r="F96" s="112">
        <v>9</v>
      </c>
      <c r="G96" s="112">
        <v>104.82</v>
      </c>
      <c r="H96" s="112">
        <v>47.22</v>
      </c>
      <c r="I96" s="112">
        <v>6.18</v>
      </c>
      <c r="J96" s="112">
        <v>0.15</v>
      </c>
      <c r="K96" s="112">
        <v>172.18</v>
      </c>
      <c r="L96" s="112">
        <v>28.67</v>
      </c>
      <c r="M96" s="112">
        <v>89.36</v>
      </c>
      <c r="N96" s="112">
        <v>2.1</v>
      </c>
      <c r="O96" s="112">
        <v>0</v>
      </c>
      <c r="P96" s="112">
        <v>0.6</v>
      </c>
      <c r="Q96" s="112">
        <v>4.66</v>
      </c>
    </row>
    <row r="97" spans="1:22" customFormat="1">
      <c r="A97" s="80">
        <v>45556.927083333336</v>
      </c>
      <c r="B97" s="112">
        <v>9.25</v>
      </c>
      <c r="C97" s="112">
        <v>4.08</v>
      </c>
      <c r="D97" s="112">
        <v>14</v>
      </c>
      <c r="E97" s="112">
        <v>10.65</v>
      </c>
      <c r="F97" s="112">
        <v>9.17</v>
      </c>
      <c r="G97" s="112">
        <v>104.82</v>
      </c>
      <c r="H97" s="112">
        <v>47.22</v>
      </c>
      <c r="I97" s="112">
        <v>6.27</v>
      </c>
      <c r="J97" s="112">
        <v>0.14000000000000001</v>
      </c>
      <c r="K97" s="112">
        <v>218.45</v>
      </c>
      <c r="L97" s="112">
        <v>28.64</v>
      </c>
      <c r="M97" s="112">
        <v>89.12</v>
      </c>
      <c r="N97" s="112">
        <v>2.1</v>
      </c>
      <c r="O97" s="112">
        <v>0</v>
      </c>
      <c r="P97" s="112">
        <v>0.59</v>
      </c>
      <c r="Q97" s="112">
        <v>4.66</v>
      </c>
    </row>
    <row r="98" spans="1:22" customFormat="1">
      <c r="A98" s="80">
        <v>45556.9375</v>
      </c>
      <c r="B98" s="112">
        <v>9.23</v>
      </c>
      <c r="C98" s="112">
        <v>4.1100000000000003</v>
      </c>
      <c r="D98" s="112">
        <v>14</v>
      </c>
      <c r="E98" s="112">
        <v>10.99</v>
      </c>
      <c r="F98" s="112">
        <v>7.59</v>
      </c>
      <c r="G98" s="112">
        <v>103.96</v>
      </c>
      <c r="H98" s="112">
        <v>47.18</v>
      </c>
      <c r="I98" s="112">
        <v>6.15</v>
      </c>
      <c r="J98" s="112">
        <v>0.13</v>
      </c>
      <c r="K98" s="112">
        <v>174.93</v>
      </c>
      <c r="L98" s="112">
        <v>28.43</v>
      </c>
      <c r="M98" s="112">
        <v>91.79</v>
      </c>
      <c r="N98" s="112">
        <v>2.1</v>
      </c>
      <c r="O98" s="112">
        <v>0</v>
      </c>
      <c r="P98" s="112">
        <v>0.61</v>
      </c>
      <c r="Q98" s="112">
        <v>4.6500000000000004</v>
      </c>
    </row>
    <row r="99" spans="1:22" customFormat="1">
      <c r="A99" s="80">
        <v>45556.947916666664</v>
      </c>
      <c r="B99" s="112">
        <v>9.2200000000000006</v>
      </c>
      <c r="C99" s="112">
        <v>4.12</v>
      </c>
      <c r="D99" s="112">
        <v>14</v>
      </c>
      <c r="E99" s="112">
        <v>11.2</v>
      </c>
      <c r="F99" s="112">
        <v>7.42</v>
      </c>
      <c r="G99" s="112">
        <v>95.12</v>
      </c>
      <c r="H99" s="112">
        <v>46.84</v>
      </c>
      <c r="I99" s="112">
        <v>5.94</v>
      </c>
      <c r="J99" s="112">
        <v>0.1</v>
      </c>
      <c r="K99" s="112">
        <v>195.65</v>
      </c>
      <c r="L99" s="112">
        <v>28.33</v>
      </c>
      <c r="M99" s="112">
        <v>92.55</v>
      </c>
      <c r="N99" s="112">
        <v>2.1</v>
      </c>
      <c r="O99" s="112">
        <v>0</v>
      </c>
      <c r="P99" s="112">
        <v>0.62</v>
      </c>
      <c r="Q99" s="112">
        <v>4.6500000000000004</v>
      </c>
    </row>
    <row r="100" spans="1:22" customFormat="1">
      <c r="A100" s="80">
        <v>45556.958333333336</v>
      </c>
      <c r="B100" s="112">
        <v>9.25</v>
      </c>
      <c r="C100" s="112">
        <v>4.08</v>
      </c>
      <c r="D100" s="112">
        <v>14</v>
      </c>
      <c r="E100" s="112">
        <v>10.92</v>
      </c>
      <c r="F100" s="112">
        <v>7.41</v>
      </c>
      <c r="G100" s="112">
        <v>95.12</v>
      </c>
      <c r="H100" s="112">
        <v>46.84</v>
      </c>
      <c r="I100" s="112">
        <v>6.1</v>
      </c>
      <c r="J100" s="112">
        <v>0.1</v>
      </c>
      <c r="K100" s="112">
        <v>180.98</v>
      </c>
      <c r="L100" s="112">
        <v>28.26</v>
      </c>
      <c r="M100" s="112">
        <v>91.59</v>
      </c>
      <c r="N100" s="112">
        <v>2.1</v>
      </c>
      <c r="O100" s="112">
        <v>0</v>
      </c>
      <c r="P100" s="112">
        <v>0.6</v>
      </c>
      <c r="Q100" s="112">
        <v>4.6399999999999997</v>
      </c>
    </row>
    <row r="101" spans="1:22" customFormat="1">
      <c r="A101" s="80">
        <v>45556.96875</v>
      </c>
      <c r="B101" s="112">
        <v>9.25</v>
      </c>
      <c r="C101" s="112">
        <v>4.09</v>
      </c>
      <c r="D101" s="112">
        <v>14</v>
      </c>
      <c r="E101" s="112">
        <v>11.24</v>
      </c>
      <c r="F101" s="112">
        <v>9.27</v>
      </c>
      <c r="G101" s="112">
        <v>95.12</v>
      </c>
      <c r="H101" s="112">
        <v>46.84</v>
      </c>
      <c r="I101" s="112">
        <v>6.29</v>
      </c>
      <c r="J101" s="112">
        <v>0.12</v>
      </c>
      <c r="K101" s="112">
        <v>184.55</v>
      </c>
      <c r="L101" s="112">
        <v>28.32</v>
      </c>
      <c r="M101" s="112">
        <v>90.58</v>
      </c>
      <c r="N101" s="112">
        <v>2.1</v>
      </c>
      <c r="O101" s="112">
        <v>0</v>
      </c>
      <c r="P101" s="112">
        <v>0.59</v>
      </c>
      <c r="Q101" s="112">
        <v>4.66</v>
      </c>
    </row>
    <row r="102" spans="1:22" customFormat="1">
      <c r="A102" s="80">
        <v>45556.979166666664</v>
      </c>
      <c r="B102" s="112">
        <v>9.25</v>
      </c>
      <c r="C102" s="112">
        <v>4.09</v>
      </c>
      <c r="D102" s="112">
        <v>14.01</v>
      </c>
      <c r="E102" s="112">
        <v>11.57</v>
      </c>
      <c r="F102" s="112">
        <v>7.99</v>
      </c>
      <c r="G102" s="112">
        <v>94.68</v>
      </c>
      <c r="H102" s="112">
        <v>46.21</v>
      </c>
      <c r="I102" s="112">
        <v>6.26</v>
      </c>
      <c r="J102" s="112">
        <v>0.15</v>
      </c>
      <c r="K102" s="112">
        <v>244.6</v>
      </c>
      <c r="L102" s="112">
        <v>28.25</v>
      </c>
      <c r="M102" s="112">
        <v>90.87</v>
      </c>
      <c r="N102" s="112">
        <v>2.1</v>
      </c>
      <c r="O102" s="112">
        <v>0</v>
      </c>
      <c r="P102" s="112">
        <v>0.61</v>
      </c>
      <c r="Q102" s="112">
        <v>4.66</v>
      </c>
    </row>
    <row r="103" spans="1:22" customFormat="1">
      <c r="A103" s="80">
        <v>45556.989583333336</v>
      </c>
      <c r="B103" s="112">
        <v>9.26</v>
      </c>
      <c r="C103" s="112">
        <v>4.0599999999999996</v>
      </c>
      <c r="D103" s="112">
        <v>14</v>
      </c>
      <c r="E103" s="112">
        <v>11.5</v>
      </c>
      <c r="F103" s="112">
        <v>6.08</v>
      </c>
      <c r="G103" s="112">
        <v>90.16</v>
      </c>
      <c r="H103" s="112">
        <v>41.62</v>
      </c>
      <c r="I103" s="112">
        <v>6.23</v>
      </c>
      <c r="J103" s="112">
        <v>0.12</v>
      </c>
      <c r="K103" s="112">
        <v>172.38</v>
      </c>
      <c r="L103" s="112">
        <v>28.12</v>
      </c>
      <c r="M103" s="112">
        <v>92.33</v>
      </c>
      <c r="N103" s="112">
        <v>2.1</v>
      </c>
      <c r="O103" s="112">
        <v>0</v>
      </c>
      <c r="P103" s="112">
        <v>0.62</v>
      </c>
      <c r="Q103" s="112">
        <v>4.6500000000000004</v>
      </c>
    </row>
    <row r="104" spans="1:22" customFormat="1">
      <c r="A104" s="80">
        <v>45557</v>
      </c>
      <c r="B104" s="112">
        <v>9.27</v>
      </c>
      <c r="C104" s="112">
        <v>4.07</v>
      </c>
      <c r="D104" s="112">
        <v>14.01</v>
      </c>
      <c r="E104" s="112">
        <v>10.64</v>
      </c>
      <c r="F104" s="112">
        <v>7.31</v>
      </c>
      <c r="G104" s="112">
        <v>90.16</v>
      </c>
      <c r="H104" s="112">
        <v>41.62</v>
      </c>
      <c r="I104" s="112">
        <v>6.4</v>
      </c>
      <c r="J104" s="112">
        <v>0.16</v>
      </c>
      <c r="K104" s="112">
        <v>185.22</v>
      </c>
      <c r="L104" s="112">
        <v>28.29</v>
      </c>
      <c r="M104" s="112">
        <v>90.65</v>
      </c>
      <c r="N104" s="112">
        <v>2.1</v>
      </c>
      <c r="O104" s="112">
        <v>0</v>
      </c>
      <c r="P104" s="112">
        <v>0.62</v>
      </c>
      <c r="Q104" s="112">
        <v>4.6500000000000004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9.17</v>
      </c>
      <c r="C106" s="183">
        <f>MIN(C9:C104)</f>
        <v>4.04</v>
      </c>
      <c r="D106" s="183">
        <f t="shared" ref="D106:Q106" si="0">MIN(D9:D104)</f>
        <v>14</v>
      </c>
      <c r="E106" s="183">
        <f t="shared" si="0"/>
        <v>8.52</v>
      </c>
      <c r="F106" s="183">
        <f t="shared" si="0"/>
        <v>2.34</v>
      </c>
      <c r="G106" s="183">
        <f t="shared" si="0"/>
        <v>38.909999999999997</v>
      </c>
      <c r="H106" s="183">
        <f t="shared" si="0"/>
        <v>12.13</v>
      </c>
      <c r="I106" s="183">
        <f t="shared" si="0"/>
        <v>5.47</v>
      </c>
      <c r="J106" s="183">
        <f t="shared" si="0"/>
        <v>7.0000000000000007E-2</v>
      </c>
      <c r="K106" s="183">
        <f t="shared" si="0"/>
        <v>31.13</v>
      </c>
      <c r="L106" s="183">
        <f t="shared" si="0"/>
        <v>26.65</v>
      </c>
      <c r="M106" s="183">
        <f t="shared" si="0"/>
        <v>60.75</v>
      </c>
      <c r="N106" s="183">
        <f t="shared" si="0"/>
        <v>2</v>
      </c>
      <c r="O106" s="183">
        <f t="shared" si="0"/>
        <v>0</v>
      </c>
      <c r="P106" s="183">
        <f t="shared" si="0"/>
        <v>0.43</v>
      </c>
      <c r="Q106" s="183">
        <f t="shared" si="0"/>
        <v>0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9.4499999999999993</v>
      </c>
      <c r="C107" s="184">
        <f t="shared" ref="C107:Q107" si="1">MAX(C9:C104)</f>
        <v>4.21</v>
      </c>
      <c r="D107" s="184">
        <f t="shared" si="1"/>
        <v>14.16</v>
      </c>
      <c r="E107" s="184">
        <f t="shared" si="1"/>
        <v>25.98</v>
      </c>
      <c r="F107" s="184">
        <f t="shared" si="1"/>
        <v>30.3</v>
      </c>
      <c r="G107" s="184">
        <f t="shared" si="1"/>
        <v>161.32</v>
      </c>
      <c r="H107" s="184">
        <f t="shared" si="1"/>
        <v>50.27</v>
      </c>
      <c r="I107" s="184">
        <f t="shared" si="1"/>
        <v>8.1199999999999992</v>
      </c>
      <c r="J107" s="184">
        <f t="shared" si="1"/>
        <v>1.1100000000000001</v>
      </c>
      <c r="K107" s="184">
        <f t="shared" si="1"/>
        <v>328.82</v>
      </c>
      <c r="L107" s="184">
        <f t="shared" si="1"/>
        <v>33.5</v>
      </c>
      <c r="M107" s="184">
        <f t="shared" si="1"/>
        <v>97.32</v>
      </c>
      <c r="N107" s="184">
        <f t="shared" si="1"/>
        <v>588.4</v>
      </c>
      <c r="O107" s="184">
        <f t="shared" si="1"/>
        <v>0</v>
      </c>
      <c r="P107" s="184">
        <f t="shared" si="1"/>
        <v>0.78</v>
      </c>
      <c r="Q107" s="184">
        <f t="shared" si="1"/>
        <v>4.68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9.2413541666666692</v>
      </c>
      <c r="C108" s="183">
        <f t="shared" ref="C108:Q108" si="2">AVERAGE(C9:C104)</f>
        <v>4.1134374999999981</v>
      </c>
      <c r="D108" s="183">
        <f t="shared" si="2"/>
        <v>14.009479166666663</v>
      </c>
      <c r="E108" s="183">
        <f t="shared" si="2"/>
        <v>14.714375000000002</v>
      </c>
      <c r="F108" s="183">
        <f t="shared" si="2"/>
        <v>12.287500000000001</v>
      </c>
      <c r="G108" s="183">
        <f t="shared" si="2"/>
        <v>95.986562500000048</v>
      </c>
      <c r="H108" s="183">
        <f t="shared" si="2"/>
        <v>33.349895833333328</v>
      </c>
      <c r="I108" s="183">
        <f t="shared" si="2"/>
        <v>6.6213541666666664</v>
      </c>
      <c r="J108" s="183">
        <f t="shared" si="2"/>
        <v>0.37958333333333322</v>
      </c>
      <c r="K108" s="183">
        <f t="shared" si="2"/>
        <v>127.99270833333334</v>
      </c>
      <c r="L108" s="183">
        <f t="shared" si="2"/>
        <v>29.771458333333328</v>
      </c>
      <c r="M108" s="183">
        <f t="shared" si="2"/>
        <v>80.974166666666619</v>
      </c>
      <c r="N108" s="183">
        <f t="shared" si="2"/>
        <v>97.646875000000065</v>
      </c>
      <c r="O108" s="183">
        <f t="shared" si="2"/>
        <v>0</v>
      </c>
      <c r="P108" s="183">
        <f t="shared" si="2"/>
        <v>0.5886458333333332</v>
      </c>
      <c r="Q108" s="183">
        <f t="shared" si="2"/>
        <v>4.5534374999999985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4.8744657826952316E-2</v>
      </c>
      <c r="C109" s="183">
        <f t="shared" ref="C109:Q109" si="3">STDEV(C9:C104)</f>
        <v>4.5764342014280104E-2</v>
      </c>
      <c r="D109" s="183">
        <f t="shared" si="3"/>
        <v>2.4338394691112056E-2</v>
      </c>
      <c r="E109" s="183">
        <f t="shared" si="3"/>
        <v>5.1552482838774045</v>
      </c>
      <c r="F109" s="183">
        <f t="shared" si="3"/>
        <v>8.3712262825516888</v>
      </c>
      <c r="G109" s="183">
        <f t="shared" si="3"/>
        <v>31.147722864410991</v>
      </c>
      <c r="H109" s="183">
        <f t="shared" si="3"/>
        <v>12.177629749044968</v>
      </c>
      <c r="I109" s="183">
        <f t="shared" si="3"/>
        <v>0.70905217652517438</v>
      </c>
      <c r="J109" s="183">
        <f t="shared" si="3"/>
        <v>0.31663665601099411</v>
      </c>
      <c r="K109" s="183">
        <f t="shared" si="3"/>
        <v>71.113415263805607</v>
      </c>
      <c r="L109" s="183">
        <f t="shared" si="3"/>
        <v>2.4248515870664606</v>
      </c>
      <c r="M109" s="183">
        <f t="shared" si="3"/>
        <v>13.309694659526533</v>
      </c>
      <c r="N109" s="183">
        <f t="shared" si="3"/>
        <v>144.99486085493555</v>
      </c>
      <c r="O109" s="183">
        <f t="shared" si="3"/>
        <v>0</v>
      </c>
      <c r="P109" s="183">
        <f t="shared" si="3"/>
        <v>9.422950472863334E-2</v>
      </c>
      <c r="Q109" s="183">
        <f t="shared" si="3"/>
        <v>0.667835195751323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5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45557.010416666664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45557.010416666664</v>
      </c>
      <c r="B9" s="112">
        <v>9.25</v>
      </c>
      <c r="C9" s="112">
        <v>4.1500000000000004</v>
      </c>
      <c r="D9" s="112">
        <v>14.04</v>
      </c>
      <c r="E9" s="112">
        <v>11</v>
      </c>
      <c r="F9" s="112">
        <v>7.24</v>
      </c>
      <c r="G9" s="112">
        <v>90.16</v>
      </c>
      <c r="H9" s="112">
        <v>41.62</v>
      </c>
      <c r="I9" s="112">
        <v>6.71</v>
      </c>
      <c r="J9" s="112">
        <v>0.19</v>
      </c>
      <c r="K9" s="112">
        <v>190.55</v>
      </c>
      <c r="L9" s="112">
        <v>28.39</v>
      </c>
      <c r="M9" s="112">
        <v>92.1</v>
      </c>
      <c r="N9" s="112">
        <v>2.1</v>
      </c>
      <c r="O9" s="112">
        <v>0</v>
      </c>
      <c r="P9" s="112">
        <v>0.61</v>
      </c>
      <c r="Q9" s="112">
        <v>4.66</v>
      </c>
    </row>
    <row r="10" spans="1:21" customFormat="1">
      <c r="A10" s="80">
        <v>45557.020833333336</v>
      </c>
      <c r="B10" s="112">
        <v>9.27</v>
      </c>
      <c r="C10" s="112">
        <v>4.08</v>
      </c>
      <c r="D10" s="112">
        <v>14.01</v>
      </c>
      <c r="E10" s="112">
        <v>10.9</v>
      </c>
      <c r="F10" s="112">
        <v>7.11</v>
      </c>
      <c r="G10" s="112">
        <v>89.96</v>
      </c>
      <c r="H10" s="112">
        <v>41.85</v>
      </c>
      <c r="I10" s="112">
        <v>6.84</v>
      </c>
      <c r="J10" s="112">
        <v>0.11</v>
      </c>
      <c r="K10" s="112">
        <v>188.09</v>
      </c>
      <c r="L10" s="112">
        <v>28.21</v>
      </c>
      <c r="M10" s="112">
        <v>92.4</v>
      </c>
      <c r="N10" s="112">
        <v>2.2000000000000002</v>
      </c>
      <c r="O10" s="112">
        <v>0</v>
      </c>
      <c r="P10" s="112">
        <v>0.62</v>
      </c>
      <c r="Q10" s="112">
        <v>4.66</v>
      </c>
    </row>
    <row r="11" spans="1:21" customFormat="1">
      <c r="A11" s="80">
        <v>45557.03125</v>
      </c>
      <c r="B11" s="112">
        <v>9.25</v>
      </c>
      <c r="C11" s="112">
        <v>4.09</v>
      </c>
      <c r="D11" s="112">
        <v>14.01</v>
      </c>
      <c r="E11" s="112">
        <v>11.02</v>
      </c>
      <c r="F11" s="112">
        <v>7.39</v>
      </c>
      <c r="G11" s="112">
        <v>87.9</v>
      </c>
      <c r="H11" s="112">
        <v>43.54</v>
      </c>
      <c r="I11" s="112">
        <v>6.92</v>
      </c>
      <c r="J11" s="112">
        <v>7.0000000000000007E-2</v>
      </c>
      <c r="K11" s="112">
        <v>136.63999999999999</v>
      </c>
      <c r="L11" s="112">
        <v>28.05</v>
      </c>
      <c r="M11" s="112">
        <v>91.63</v>
      </c>
      <c r="N11" s="112">
        <v>2.1</v>
      </c>
      <c r="O11" s="112">
        <v>0</v>
      </c>
      <c r="P11" s="112">
        <v>0.6</v>
      </c>
      <c r="Q11" s="112">
        <v>4.6500000000000004</v>
      </c>
    </row>
    <row r="12" spans="1:21" customFormat="1">
      <c r="A12" s="80">
        <v>45557.041666666664</v>
      </c>
      <c r="B12" s="112">
        <v>9.26</v>
      </c>
      <c r="C12" s="112">
        <v>4.08</v>
      </c>
      <c r="D12" s="112">
        <v>14</v>
      </c>
      <c r="E12" s="112">
        <v>12.67</v>
      </c>
      <c r="F12" s="112">
        <v>7.63</v>
      </c>
      <c r="G12" s="112">
        <v>87.9</v>
      </c>
      <c r="H12" s="112">
        <v>43.54</v>
      </c>
      <c r="I12" s="112">
        <v>6.76</v>
      </c>
      <c r="J12" s="112">
        <v>1.02</v>
      </c>
      <c r="K12" s="112">
        <v>35.549999999999997</v>
      </c>
      <c r="L12" s="112">
        <v>27.43</v>
      </c>
      <c r="M12" s="112">
        <v>82.92</v>
      </c>
      <c r="N12" s="112">
        <v>3.8</v>
      </c>
      <c r="O12" s="112">
        <v>0</v>
      </c>
      <c r="P12" s="112">
        <v>0.61</v>
      </c>
      <c r="Q12" s="112">
        <v>4.66</v>
      </c>
    </row>
    <row r="13" spans="1:21" customFormat="1">
      <c r="A13" s="80">
        <v>45557.052083333336</v>
      </c>
      <c r="B13" s="112">
        <v>9.23</v>
      </c>
      <c r="C13" s="112">
        <v>4.1100000000000003</v>
      </c>
      <c r="D13" s="112">
        <v>14</v>
      </c>
      <c r="E13" s="112">
        <v>13.73</v>
      </c>
      <c r="F13" s="112">
        <v>7.7</v>
      </c>
      <c r="G13" s="112">
        <v>87.9</v>
      </c>
      <c r="H13" s="112">
        <v>43.54</v>
      </c>
      <c r="I13" s="112">
        <v>6.6</v>
      </c>
      <c r="J13" s="112">
        <v>1.28</v>
      </c>
      <c r="K13" s="112">
        <v>54.38</v>
      </c>
      <c r="L13" s="112">
        <v>26.04</v>
      </c>
      <c r="M13" s="112">
        <v>81.349999999999994</v>
      </c>
      <c r="N13" s="112">
        <v>3.8</v>
      </c>
      <c r="O13" s="112">
        <v>0</v>
      </c>
      <c r="P13" s="112">
        <v>0.61</v>
      </c>
      <c r="Q13" s="112">
        <v>4.67</v>
      </c>
    </row>
    <row r="14" spans="1:21" customFormat="1">
      <c r="A14" s="80">
        <v>45557.0625</v>
      </c>
      <c r="B14" s="112">
        <v>9.24</v>
      </c>
      <c r="C14" s="112">
        <v>4.0999999999999996</v>
      </c>
      <c r="D14" s="112">
        <v>14</v>
      </c>
      <c r="E14" s="112">
        <v>15.67</v>
      </c>
      <c r="F14" s="112">
        <v>7.79</v>
      </c>
      <c r="G14" s="112">
        <v>86.97</v>
      </c>
      <c r="H14" s="112">
        <v>42.83</v>
      </c>
      <c r="I14" s="112">
        <v>6.6</v>
      </c>
      <c r="J14" s="112">
        <v>0.97</v>
      </c>
      <c r="K14" s="112">
        <v>45.25</v>
      </c>
      <c r="L14" s="112">
        <v>25.69</v>
      </c>
      <c r="M14" s="112">
        <v>85.68</v>
      </c>
      <c r="N14" s="112">
        <v>3.1</v>
      </c>
      <c r="O14" s="112">
        <v>0</v>
      </c>
      <c r="P14" s="112">
        <v>0.6</v>
      </c>
      <c r="Q14" s="112">
        <v>4.68</v>
      </c>
    </row>
    <row r="15" spans="1:21" customFormat="1">
      <c r="A15" s="80">
        <v>45557.072916666664</v>
      </c>
      <c r="B15" s="112">
        <v>9.23</v>
      </c>
      <c r="C15" s="112">
        <v>4.1100000000000003</v>
      </c>
      <c r="D15" s="112">
        <v>14</v>
      </c>
      <c r="E15" s="112">
        <v>13.73</v>
      </c>
      <c r="F15" s="112">
        <v>6.18</v>
      </c>
      <c r="G15" s="112">
        <v>77.47</v>
      </c>
      <c r="H15" s="112">
        <v>36.93</v>
      </c>
      <c r="I15" s="112">
        <v>6.46</v>
      </c>
      <c r="J15" s="112">
        <v>0.32</v>
      </c>
      <c r="K15" s="112">
        <v>0.59</v>
      </c>
      <c r="L15" s="112">
        <v>25.24</v>
      </c>
      <c r="M15" s="112">
        <v>90.29</v>
      </c>
      <c r="N15" s="112">
        <v>2.8</v>
      </c>
      <c r="O15" s="112">
        <v>0</v>
      </c>
      <c r="P15" s="112">
        <v>0.61</v>
      </c>
      <c r="Q15" s="112">
        <v>4.66</v>
      </c>
    </row>
    <row r="16" spans="1:21" customFormat="1">
      <c r="A16" s="80">
        <v>45557.083333333336</v>
      </c>
      <c r="B16" s="112">
        <v>9.23</v>
      </c>
      <c r="C16" s="112">
        <v>4.0999999999999996</v>
      </c>
      <c r="D16" s="112">
        <v>14</v>
      </c>
      <c r="E16" s="112">
        <v>12.33</v>
      </c>
      <c r="F16" s="112">
        <v>5.4</v>
      </c>
      <c r="G16" s="112">
        <v>77.47</v>
      </c>
      <c r="H16" s="112">
        <v>36.93</v>
      </c>
      <c r="I16" s="112">
        <v>6.24</v>
      </c>
      <c r="J16" s="112">
        <v>0.25</v>
      </c>
      <c r="K16" s="112">
        <v>14.49</v>
      </c>
      <c r="L16" s="112">
        <v>25.26</v>
      </c>
      <c r="M16" s="112">
        <v>89.06</v>
      </c>
      <c r="N16" s="112">
        <v>2.1</v>
      </c>
      <c r="O16" s="112">
        <v>0</v>
      </c>
      <c r="P16" s="112">
        <v>0.61</v>
      </c>
      <c r="Q16" s="112">
        <v>4.66</v>
      </c>
    </row>
    <row r="17" spans="1:17" customFormat="1">
      <c r="A17" s="80">
        <v>45557.09375</v>
      </c>
      <c r="B17" s="112">
        <v>9.24</v>
      </c>
      <c r="C17" s="112">
        <v>4.09</v>
      </c>
      <c r="D17" s="112">
        <v>14</v>
      </c>
      <c r="E17" s="112">
        <v>11.07</v>
      </c>
      <c r="F17" s="112">
        <v>5.84</v>
      </c>
      <c r="G17" s="112">
        <v>77.47</v>
      </c>
      <c r="H17" s="112">
        <v>36.93</v>
      </c>
      <c r="I17" s="112">
        <v>6.38</v>
      </c>
      <c r="J17" s="112">
        <v>0.39</v>
      </c>
      <c r="K17" s="112">
        <v>52.61</v>
      </c>
      <c r="L17" s="112">
        <v>25.32</v>
      </c>
      <c r="M17" s="112">
        <v>86.95</v>
      </c>
      <c r="N17" s="112">
        <v>2.1</v>
      </c>
      <c r="O17" s="112">
        <v>0</v>
      </c>
      <c r="P17" s="112">
        <v>0.6</v>
      </c>
      <c r="Q17" s="112">
        <v>4.6500000000000004</v>
      </c>
    </row>
    <row r="18" spans="1:17" customFormat="1">
      <c r="A18" s="80">
        <v>45557.104166666664</v>
      </c>
      <c r="B18" s="112">
        <v>9.24</v>
      </c>
      <c r="C18" s="112">
        <v>4.0999999999999996</v>
      </c>
      <c r="D18" s="112">
        <v>14</v>
      </c>
      <c r="E18" s="112">
        <v>12.11</v>
      </c>
      <c r="F18" s="112">
        <v>5.41</v>
      </c>
      <c r="G18" s="112">
        <v>75.73</v>
      </c>
      <c r="H18" s="112">
        <v>36.07</v>
      </c>
      <c r="I18" s="112">
        <v>6.36</v>
      </c>
      <c r="J18" s="112">
        <v>0.18</v>
      </c>
      <c r="K18" s="112">
        <v>311.75</v>
      </c>
      <c r="L18" s="112">
        <v>25.37</v>
      </c>
      <c r="M18" s="112">
        <v>87.32</v>
      </c>
      <c r="N18" s="112">
        <v>2.1</v>
      </c>
      <c r="O18" s="112">
        <v>0</v>
      </c>
      <c r="P18" s="112">
        <v>0.6</v>
      </c>
      <c r="Q18" s="112">
        <v>4.6500000000000004</v>
      </c>
    </row>
    <row r="19" spans="1:17" customFormat="1">
      <c r="A19" s="80">
        <v>45557.114583333336</v>
      </c>
      <c r="B19" s="112">
        <v>9.2100000000000009</v>
      </c>
      <c r="C19" s="112">
        <v>4.1399999999999997</v>
      </c>
      <c r="D19" s="112">
        <v>14</v>
      </c>
      <c r="E19" s="112">
        <v>11.63</v>
      </c>
      <c r="F19" s="112">
        <v>5.14</v>
      </c>
      <c r="G19" s="112">
        <v>57.88</v>
      </c>
      <c r="H19" s="112">
        <v>28.86</v>
      </c>
      <c r="I19" s="112">
        <v>6.32</v>
      </c>
      <c r="J19" s="112">
        <v>7.0000000000000007E-2</v>
      </c>
      <c r="K19" s="112">
        <v>260.73</v>
      </c>
      <c r="L19" s="112">
        <v>25.43</v>
      </c>
      <c r="M19" s="112">
        <v>87.87</v>
      </c>
      <c r="N19" s="112">
        <v>2.1</v>
      </c>
      <c r="O19" s="112">
        <v>0</v>
      </c>
      <c r="P19" s="112">
        <v>0.59</v>
      </c>
      <c r="Q19" s="112">
        <v>4.6500000000000004</v>
      </c>
    </row>
    <row r="20" spans="1:17" customFormat="1">
      <c r="A20" s="80">
        <v>45557.125</v>
      </c>
      <c r="B20" s="112">
        <v>9.19</v>
      </c>
      <c r="C20" s="112">
        <v>4.17</v>
      </c>
      <c r="D20" s="112">
        <v>14</v>
      </c>
      <c r="E20" s="112">
        <v>11.61</v>
      </c>
      <c r="F20" s="112">
        <v>4.93</v>
      </c>
      <c r="G20" s="112">
        <v>57.88</v>
      </c>
      <c r="H20" s="112">
        <v>28.86</v>
      </c>
      <c r="I20" s="112">
        <v>6.35</v>
      </c>
      <c r="J20" s="112">
        <v>0.01</v>
      </c>
      <c r="K20" s="112">
        <v>250.23</v>
      </c>
      <c r="L20" s="112">
        <v>25.39</v>
      </c>
      <c r="M20" s="112">
        <v>87.84</v>
      </c>
      <c r="N20" s="112">
        <v>2.1</v>
      </c>
      <c r="O20" s="112">
        <v>0</v>
      </c>
      <c r="P20" s="112">
        <v>0.59</v>
      </c>
      <c r="Q20" s="112">
        <v>4.6500000000000004</v>
      </c>
    </row>
    <row r="21" spans="1:17" customFormat="1">
      <c r="A21" s="80">
        <v>45557.135416666664</v>
      </c>
      <c r="B21" s="112">
        <v>9.18</v>
      </c>
      <c r="C21" s="112">
        <v>4.1900000000000004</v>
      </c>
      <c r="D21" s="112">
        <v>14</v>
      </c>
      <c r="E21" s="112">
        <v>11.02</v>
      </c>
      <c r="F21" s="112">
        <v>4.53</v>
      </c>
      <c r="G21" s="112">
        <v>57.88</v>
      </c>
      <c r="H21" s="112">
        <v>28.86</v>
      </c>
      <c r="I21" s="112">
        <v>6.34</v>
      </c>
      <c r="J21" s="112">
        <v>0.14000000000000001</v>
      </c>
      <c r="K21" s="112">
        <v>172.87</v>
      </c>
      <c r="L21" s="112">
        <v>25.35</v>
      </c>
      <c r="M21" s="112">
        <v>88.74</v>
      </c>
      <c r="N21" s="112">
        <v>2.1</v>
      </c>
      <c r="O21" s="112">
        <v>0</v>
      </c>
      <c r="P21" s="112">
        <v>0.59</v>
      </c>
      <c r="Q21" s="112">
        <v>4.66</v>
      </c>
    </row>
    <row r="22" spans="1:17" customFormat="1">
      <c r="A22" s="80">
        <v>45557.145833333336</v>
      </c>
      <c r="B22" s="112">
        <v>9.1999999999999993</v>
      </c>
      <c r="C22" s="112">
        <v>4.17</v>
      </c>
      <c r="D22" s="112">
        <v>14</v>
      </c>
      <c r="E22" s="112">
        <v>10.62</v>
      </c>
      <c r="F22" s="112">
        <v>4.5</v>
      </c>
      <c r="G22" s="112">
        <v>57.75</v>
      </c>
      <c r="H22" s="112">
        <v>28.65</v>
      </c>
      <c r="I22" s="112">
        <v>6.25</v>
      </c>
      <c r="J22" s="112">
        <v>0.13</v>
      </c>
      <c r="K22" s="112">
        <v>197.68</v>
      </c>
      <c r="L22" s="112">
        <v>25.34</v>
      </c>
      <c r="M22" s="112">
        <v>89.76</v>
      </c>
      <c r="N22" s="112">
        <v>2.1</v>
      </c>
      <c r="O22" s="112">
        <v>0</v>
      </c>
      <c r="P22" s="112">
        <v>0.57999999999999996</v>
      </c>
      <c r="Q22" s="112">
        <v>4.6500000000000004</v>
      </c>
    </row>
    <row r="23" spans="1:17" customFormat="1">
      <c r="A23" s="80">
        <v>45557.15625</v>
      </c>
      <c r="B23" s="112">
        <v>9.1999999999999993</v>
      </c>
      <c r="C23" s="112">
        <v>4.16</v>
      </c>
      <c r="D23" s="112">
        <v>14</v>
      </c>
      <c r="E23" s="112">
        <v>10.17</v>
      </c>
      <c r="F23" s="112">
        <v>4.3099999999999996</v>
      </c>
      <c r="G23" s="112">
        <v>56.5</v>
      </c>
      <c r="H23" s="112">
        <v>26.84</v>
      </c>
      <c r="I23" s="112">
        <v>6.23</v>
      </c>
      <c r="J23" s="112">
        <v>7.0000000000000007E-2</v>
      </c>
      <c r="K23" s="112">
        <v>148.18</v>
      </c>
      <c r="L23" s="112">
        <v>25.35</v>
      </c>
      <c r="M23" s="112">
        <v>89.17</v>
      </c>
      <c r="N23" s="112">
        <v>2</v>
      </c>
      <c r="O23" s="112">
        <v>0</v>
      </c>
      <c r="P23" s="112">
        <v>0.59</v>
      </c>
      <c r="Q23" s="112">
        <v>4.6500000000000004</v>
      </c>
    </row>
    <row r="24" spans="1:17" customFormat="1">
      <c r="A24" s="80">
        <v>45557.166666666664</v>
      </c>
      <c r="B24" s="112">
        <v>9.18</v>
      </c>
      <c r="C24" s="112">
        <v>4.1900000000000004</v>
      </c>
      <c r="D24" s="112">
        <v>14</v>
      </c>
      <c r="E24" s="112">
        <v>9.93</v>
      </c>
      <c r="F24" s="112">
        <v>4.07</v>
      </c>
      <c r="G24" s="112">
        <v>56.5</v>
      </c>
      <c r="H24" s="112">
        <v>26.84</v>
      </c>
      <c r="I24" s="112">
        <v>6.06</v>
      </c>
      <c r="J24" s="112">
        <v>0.2</v>
      </c>
      <c r="K24" s="112">
        <v>161.66999999999999</v>
      </c>
      <c r="L24" s="112">
        <v>25.57</v>
      </c>
      <c r="M24" s="112">
        <v>89.52</v>
      </c>
      <c r="N24" s="112">
        <v>1.8</v>
      </c>
      <c r="O24" s="112">
        <v>0</v>
      </c>
      <c r="P24" s="112">
        <v>0.59</v>
      </c>
      <c r="Q24" s="112">
        <v>4.66</v>
      </c>
    </row>
    <row r="25" spans="1:17" customFormat="1">
      <c r="A25" s="80">
        <v>45557.177083333336</v>
      </c>
      <c r="B25" s="112">
        <v>9.19</v>
      </c>
      <c r="C25" s="112">
        <v>4.18</v>
      </c>
      <c r="D25" s="112">
        <v>14</v>
      </c>
      <c r="E25" s="112">
        <v>9.9700000000000006</v>
      </c>
      <c r="F25" s="112">
        <v>3.96</v>
      </c>
      <c r="G25" s="112">
        <v>56.5</v>
      </c>
      <c r="H25" s="112">
        <v>26.84</v>
      </c>
      <c r="I25" s="112">
        <v>5.82</v>
      </c>
      <c r="J25" s="112">
        <v>0.28999999999999998</v>
      </c>
      <c r="K25" s="112">
        <v>68.69</v>
      </c>
      <c r="L25" s="112">
        <v>25.61</v>
      </c>
      <c r="M25" s="112">
        <v>88.38</v>
      </c>
      <c r="N25" s="112">
        <v>2.1</v>
      </c>
      <c r="O25" s="112">
        <v>0</v>
      </c>
      <c r="P25" s="112">
        <v>0.59</v>
      </c>
      <c r="Q25" s="112">
        <v>4.6500000000000004</v>
      </c>
    </row>
    <row r="26" spans="1:17" customFormat="1">
      <c r="A26" s="80">
        <v>45557.1875</v>
      </c>
      <c r="B26" s="112">
        <v>9.17</v>
      </c>
      <c r="C26" s="112">
        <v>4.21</v>
      </c>
      <c r="D26" s="112">
        <v>14</v>
      </c>
      <c r="E26" s="112">
        <v>9.68</v>
      </c>
      <c r="F26" s="112">
        <v>4.16</v>
      </c>
      <c r="G26" s="112">
        <v>56.83</v>
      </c>
      <c r="H26" s="112">
        <v>27.01</v>
      </c>
      <c r="I26" s="112">
        <v>5.85</v>
      </c>
      <c r="J26" s="112">
        <v>0.1</v>
      </c>
      <c r="K26" s="112">
        <v>152.59</v>
      </c>
      <c r="L26" s="112">
        <v>25.55</v>
      </c>
      <c r="M26" s="112">
        <v>89.53</v>
      </c>
      <c r="N26" s="112">
        <v>2.1</v>
      </c>
      <c r="O26" s="112">
        <v>0</v>
      </c>
      <c r="P26" s="112">
        <v>0.59</v>
      </c>
      <c r="Q26" s="112">
        <v>4.6399999999999997</v>
      </c>
    </row>
    <row r="27" spans="1:17" customFormat="1">
      <c r="A27" s="80">
        <v>45557.197916666664</v>
      </c>
      <c r="B27" s="112">
        <v>9.19</v>
      </c>
      <c r="C27" s="112">
        <v>4.18</v>
      </c>
      <c r="D27" s="112">
        <v>14</v>
      </c>
      <c r="E27" s="112">
        <v>9.52</v>
      </c>
      <c r="F27" s="112">
        <v>4.21</v>
      </c>
      <c r="G27" s="112">
        <v>60.24</v>
      </c>
      <c r="H27" s="112">
        <v>28.43</v>
      </c>
      <c r="I27" s="112">
        <v>5.78</v>
      </c>
      <c r="J27" s="112">
        <v>0.13</v>
      </c>
      <c r="K27" s="112">
        <v>197.5</v>
      </c>
      <c r="L27" s="112">
        <v>25.38</v>
      </c>
      <c r="M27" s="112">
        <v>91.26</v>
      </c>
      <c r="N27" s="112">
        <v>2.1</v>
      </c>
      <c r="O27" s="112">
        <v>0</v>
      </c>
      <c r="P27" s="112">
        <v>0.57999999999999996</v>
      </c>
      <c r="Q27" s="112">
        <v>4.6500000000000004</v>
      </c>
    </row>
    <row r="28" spans="1:17" customFormat="1">
      <c r="A28" s="80">
        <v>45557.208333333336</v>
      </c>
      <c r="B28" s="112">
        <v>9.17</v>
      </c>
      <c r="C28" s="112">
        <v>4.2</v>
      </c>
      <c r="D28" s="112">
        <v>14</v>
      </c>
      <c r="E28" s="112">
        <v>9.7899999999999991</v>
      </c>
      <c r="F28" s="112">
        <v>3.93</v>
      </c>
      <c r="G28" s="112">
        <v>60.24</v>
      </c>
      <c r="H28" s="112">
        <v>28.43</v>
      </c>
      <c r="I28" s="112">
        <v>5.66</v>
      </c>
      <c r="J28" s="112">
        <v>0.12</v>
      </c>
      <c r="K28" s="112">
        <v>192.82</v>
      </c>
      <c r="L28" s="112">
        <v>25.26</v>
      </c>
      <c r="M28" s="112">
        <v>92.4</v>
      </c>
      <c r="N28" s="112">
        <v>2.1</v>
      </c>
      <c r="O28" s="112">
        <v>0</v>
      </c>
      <c r="P28" s="112">
        <v>0.57999999999999996</v>
      </c>
      <c r="Q28" s="112">
        <v>4.6500000000000004</v>
      </c>
    </row>
    <row r="29" spans="1:17" customFormat="1">
      <c r="A29" s="80">
        <v>45557.21875</v>
      </c>
      <c r="B29" s="112">
        <v>9.18</v>
      </c>
      <c r="C29" s="112">
        <v>4.1900000000000004</v>
      </c>
      <c r="D29" s="112">
        <v>14</v>
      </c>
      <c r="E29" s="112">
        <v>9.41</v>
      </c>
      <c r="F29" s="112">
        <v>3.8</v>
      </c>
      <c r="G29" s="112">
        <v>60.24</v>
      </c>
      <c r="H29" s="112">
        <v>28.43</v>
      </c>
      <c r="I29" s="112">
        <v>5.69</v>
      </c>
      <c r="J29" s="112">
        <v>0.12</v>
      </c>
      <c r="K29" s="112">
        <v>167.15</v>
      </c>
      <c r="L29" s="112">
        <v>25.18</v>
      </c>
      <c r="M29" s="112">
        <v>93.16</v>
      </c>
      <c r="N29" s="112">
        <v>2.1</v>
      </c>
      <c r="O29" s="112">
        <v>0</v>
      </c>
      <c r="P29" s="112">
        <v>0.57999999999999996</v>
      </c>
      <c r="Q29" s="112">
        <v>4.66</v>
      </c>
    </row>
    <row r="30" spans="1:17" customFormat="1">
      <c r="A30" s="80">
        <v>45557.229166666664</v>
      </c>
      <c r="B30" s="112">
        <v>9.1999999999999993</v>
      </c>
      <c r="C30" s="112">
        <v>4.16</v>
      </c>
      <c r="D30" s="112">
        <v>14</v>
      </c>
      <c r="E30" s="112">
        <v>9.15</v>
      </c>
      <c r="F30" s="112">
        <v>4.26</v>
      </c>
      <c r="G30" s="112">
        <v>60.92</v>
      </c>
      <c r="H30" s="112">
        <v>28.5</v>
      </c>
      <c r="I30" s="112">
        <v>5.75</v>
      </c>
      <c r="J30" s="112">
        <v>0.13</v>
      </c>
      <c r="K30" s="112">
        <v>238.59</v>
      </c>
      <c r="L30" s="112">
        <v>25.18</v>
      </c>
      <c r="M30" s="112">
        <v>93.13</v>
      </c>
      <c r="N30" s="112">
        <v>2.1</v>
      </c>
      <c r="O30" s="112">
        <v>0</v>
      </c>
      <c r="P30" s="112">
        <v>0.57999999999999996</v>
      </c>
      <c r="Q30" s="112">
        <v>4.67</v>
      </c>
    </row>
    <row r="31" spans="1:17" customFormat="1">
      <c r="A31" s="80">
        <v>45557.239583333336</v>
      </c>
      <c r="B31" s="112">
        <v>9.2100000000000009</v>
      </c>
      <c r="C31" s="112">
        <v>4.1399999999999997</v>
      </c>
      <c r="D31" s="112">
        <v>14</v>
      </c>
      <c r="E31" s="112">
        <v>8.7899999999999991</v>
      </c>
      <c r="F31" s="112">
        <v>4.3</v>
      </c>
      <c r="G31" s="112">
        <v>67.89</v>
      </c>
      <c r="H31" s="112">
        <v>29.02</v>
      </c>
      <c r="I31" s="112">
        <v>5.68</v>
      </c>
      <c r="J31" s="112">
        <v>0.28000000000000003</v>
      </c>
      <c r="K31" s="112">
        <v>301.2</v>
      </c>
      <c r="L31" s="112">
        <v>25.49</v>
      </c>
      <c r="M31" s="112">
        <v>88.75</v>
      </c>
      <c r="N31" s="112">
        <v>3.1</v>
      </c>
      <c r="O31" s="112">
        <v>0</v>
      </c>
      <c r="P31" s="112">
        <v>0.56999999999999995</v>
      </c>
      <c r="Q31" s="112">
        <v>4.6500000000000004</v>
      </c>
    </row>
    <row r="32" spans="1:17" customFormat="1">
      <c r="A32" s="80">
        <v>45557.25</v>
      </c>
      <c r="B32" s="112">
        <v>9.1999999999999993</v>
      </c>
      <c r="C32" s="112">
        <v>4.16</v>
      </c>
      <c r="D32" s="112">
        <v>14</v>
      </c>
      <c r="E32" s="112">
        <v>9.23</v>
      </c>
      <c r="F32" s="112">
        <v>4.82</v>
      </c>
      <c r="G32" s="112">
        <v>67.89</v>
      </c>
      <c r="H32" s="112">
        <v>29.02</v>
      </c>
      <c r="I32" s="112">
        <v>5.56</v>
      </c>
      <c r="J32" s="112">
        <v>0.27</v>
      </c>
      <c r="K32" s="112">
        <v>290.06</v>
      </c>
      <c r="L32" s="112">
        <v>25.82</v>
      </c>
      <c r="M32" s="112">
        <v>83.82</v>
      </c>
      <c r="N32" s="112">
        <v>9.1999999999999993</v>
      </c>
      <c r="O32" s="112">
        <v>0</v>
      </c>
      <c r="P32" s="112">
        <v>0.57999999999999996</v>
      </c>
      <c r="Q32" s="112">
        <v>4.6399999999999997</v>
      </c>
    </row>
    <row r="33" spans="1:17" customFormat="1">
      <c r="A33" s="80">
        <v>45557.260416666664</v>
      </c>
      <c r="B33" s="112">
        <v>9.19</v>
      </c>
      <c r="C33" s="112">
        <v>4.17</v>
      </c>
      <c r="D33" s="112">
        <v>14</v>
      </c>
      <c r="E33" s="112">
        <v>9.3800000000000008</v>
      </c>
      <c r="F33" s="112">
        <v>4.46</v>
      </c>
      <c r="G33" s="112">
        <v>67.89</v>
      </c>
      <c r="H33" s="112">
        <v>29.02</v>
      </c>
      <c r="I33" s="112">
        <v>5.73</v>
      </c>
      <c r="J33" s="112">
        <v>0.12</v>
      </c>
      <c r="K33" s="112">
        <v>185.1</v>
      </c>
      <c r="L33" s="112">
        <v>25.87</v>
      </c>
      <c r="M33" s="112">
        <v>86.38</v>
      </c>
      <c r="N33" s="112">
        <v>20.3</v>
      </c>
      <c r="O33" s="112">
        <v>0</v>
      </c>
      <c r="P33" s="112">
        <v>0.57999999999999996</v>
      </c>
      <c r="Q33" s="112">
        <v>4.6500000000000004</v>
      </c>
    </row>
    <row r="34" spans="1:17" customFormat="1">
      <c r="A34" s="80">
        <v>45557.270833333336</v>
      </c>
      <c r="B34" s="112">
        <v>9.19</v>
      </c>
      <c r="C34" s="112">
        <v>4.17</v>
      </c>
      <c r="D34" s="112">
        <v>14</v>
      </c>
      <c r="E34" s="112">
        <v>9.43</v>
      </c>
      <c r="F34" s="112">
        <v>5.04</v>
      </c>
      <c r="G34" s="112">
        <v>67.7</v>
      </c>
      <c r="H34" s="112">
        <v>28.4</v>
      </c>
      <c r="I34" s="112">
        <v>6.23</v>
      </c>
      <c r="J34" s="112">
        <v>0.11</v>
      </c>
      <c r="K34" s="112">
        <v>340.51</v>
      </c>
      <c r="L34" s="112">
        <v>25.97</v>
      </c>
      <c r="M34" s="112">
        <v>85.67</v>
      </c>
      <c r="N34" s="112">
        <v>33.4</v>
      </c>
      <c r="O34" s="112">
        <v>0</v>
      </c>
      <c r="P34" s="112">
        <v>0.57999999999999996</v>
      </c>
      <c r="Q34" s="112">
        <v>4.6500000000000004</v>
      </c>
    </row>
    <row r="35" spans="1:17" customFormat="1">
      <c r="A35" s="80">
        <v>45557.28125</v>
      </c>
      <c r="B35" s="112">
        <v>9.2100000000000009</v>
      </c>
      <c r="C35" s="112">
        <v>4.1500000000000004</v>
      </c>
      <c r="D35" s="112">
        <v>14</v>
      </c>
      <c r="E35" s="112">
        <v>9.6999999999999993</v>
      </c>
      <c r="F35" s="112">
        <v>3.88</v>
      </c>
      <c r="G35" s="112">
        <v>65.75</v>
      </c>
      <c r="H35" s="112">
        <v>23.83</v>
      </c>
      <c r="I35" s="112">
        <v>6.33</v>
      </c>
      <c r="J35" s="112">
        <v>0.2</v>
      </c>
      <c r="K35" s="112">
        <v>301.14999999999998</v>
      </c>
      <c r="L35" s="112">
        <v>26.24</v>
      </c>
      <c r="M35" s="112">
        <v>85.34</v>
      </c>
      <c r="N35" s="112">
        <v>42.4</v>
      </c>
      <c r="O35" s="112">
        <v>0</v>
      </c>
      <c r="P35" s="112">
        <v>0.59</v>
      </c>
      <c r="Q35" s="112">
        <v>4.6500000000000004</v>
      </c>
    </row>
    <row r="36" spans="1:17" customFormat="1">
      <c r="A36" s="80">
        <v>45557.291666666664</v>
      </c>
      <c r="B36" s="112">
        <v>9.2200000000000006</v>
      </c>
      <c r="C36" s="112">
        <v>4.12</v>
      </c>
      <c r="D36" s="112">
        <v>14</v>
      </c>
      <c r="E36" s="112">
        <v>10.26</v>
      </c>
      <c r="F36" s="112">
        <v>4.22</v>
      </c>
      <c r="G36" s="112">
        <v>65.75</v>
      </c>
      <c r="H36" s="112">
        <v>23.83</v>
      </c>
      <c r="I36" s="112">
        <v>6.49</v>
      </c>
      <c r="J36" s="112">
        <v>0.17</v>
      </c>
      <c r="K36" s="112">
        <v>303.02999999999997</v>
      </c>
      <c r="L36" s="112">
        <v>26.5</v>
      </c>
      <c r="M36" s="112">
        <v>85.08</v>
      </c>
      <c r="N36" s="112">
        <v>55</v>
      </c>
      <c r="O36" s="112">
        <v>0</v>
      </c>
      <c r="P36" s="112">
        <v>0.59</v>
      </c>
      <c r="Q36" s="112">
        <v>4.6500000000000004</v>
      </c>
    </row>
    <row r="37" spans="1:17" customFormat="1">
      <c r="A37" s="80">
        <v>45557.302083333336</v>
      </c>
      <c r="B37" s="112">
        <v>9.23</v>
      </c>
      <c r="C37" s="112">
        <v>4.1100000000000003</v>
      </c>
      <c r="D37" s="112">
        <v>14</v>
      </c>
      <c r="E37" s="112">
        <v>9.98</v>
      </c>
      <c r="F37" s="112">
        <v>4.43</v>
      </c>
      <c r="G37" s="112">
        <v>65.75</v>
      </c>
      <c r="H37" s="112">
        <v>23.83</v>
      </c>
      <c r="I37" s="112">
        <v>6.66</v>
      </c>
      <c r="J37" s="112">
        <v>0.21</v>
      </c>
      <c r="K37" s="112">
        <v>341.83</v>
      </c>
      <c r="L37" s="112">
        <v>26.79</v>
      </c>
      <c r="M37" s="112">
        <v>83.33</v>
      </c>
      <c r="N37" s="112">
        <v>71.900000000000006</v>
      </c>
      <c r="O37" s="112">
        <v>0</v>
      </c>
      <c r="P37" s="112">
        <v>0.6</v>
      </c>
      <c r="Q37" s="112">
        <v>4.67</v>
      </c>
    </row>
    <row r="38" spans="1:17" customFormat="1">
      <c r="A38" s="80">
        <v>45557.3125</v>
      </c>
      <c r="B38" s="112">
        <v>9.24</v>
      </c>
      <c r="C38" s="112">
        <v>4.0999999999999996</v>
      </c>
      <c r="D38" s="112">
        <v>14</v>
      </c>
      <c r="E38" s="112">
        <v>10.71</v>
      </c>
      <c r="F38" s="112">
        <v>4.8899999999999997</v>
      </c>
      <c r="G38" s="112">
        <v>66.569999999999993</v>
      </c>
      <c r="H38" s="112">
        <v>25.3</v>
      </c>
      <c r="I38" s="112">
        <v>6.63</v>
      </c>
      <c r="J38" s="112">
        <v>0.12</v>
      </c>
      <c r="K38" s="112">
        <v>6.13</v>
      </c>
      <c r="L38" s="112">
        <v>27.22</v>
      </c>
      <c r="M38" s="112">
        <v>81.099999999999994</v>
      </c>
      <c r="N38" s="112">
        <v>93.7</v>
      </c>
      <c r="O38" s="112">
        <v>0</v>
      </c>
      <c r="P38" s="112">
        <v>0.6</v>
      </c>
      <c r="Q38" s="112">
        <v>4.67</v>
      </c>
    </row>
    <row r="39" spans="1:17" customFormat="1">
      <c r="A39" s="80">
        <v>45557.322916666664</v>
      </c>
      <c r="B39" s="112">
        <v>9.25</v>
      </c>
      <c r="C39" s="112">
        <v>4.09</v>
      </c>
      <c r="D39" s="112">
        <v>14</v>
      </c>
      <c r="E39" s="112">
        <v>12.58</v>
      </c>
      <c r="F39" s="112">
        <v>5.77</v>
      </c>
      <c r="G39" s="112">
        <v>74.97</v>
      </c>
      <c r="H39" s="112">
        <v>37.630000000000003</v>
      </c>
      <c r="I39" s="112">
        <v>6.64</v>
      </c>
      <c r="J39" s="112">
        <v>0.19</v>
      </c>
      <c r="K39" s="112">
        <v>340.82</v>
      </c>
      <c r="L39" s="112">
        <v>27.58</v>
      </c>
      <c r="M39" s="112">
        <v>77.239999999999995</v>
      </c>
      <c r="N39" s="112">
        <v>147.6</v>
      </c>
      <c r="O39" s="112">
        <v>0</v>
      </c>
      <c r="P39" s="112">
        <v>0.61</v>
      </c>
      <c r="Q39" s="112">
        <v>4.66</v>
      </c>
    </row>
    <row r="40" spans="1:17" customFormat="1">
      <c r="A40" s="80">
        <v>45557.333333333336</v>
      </c>
      <c r="B40" s="112">
        <v>9.26</v>
      </c>
      <c r="C40" s="112">
        <v>4.07</v>
      </c>
      <c r="D40" s="112">
        <v>14</v>
      </c>
      <c r="E40" s="112">
        <v>13.19</v>
      </c>
      <c r="F40" s="112">
        <v>4.87</v>
      </c>
      <c r="G40" s="112">
        <v>74.97</v>
      </c>
      <c r="H40" s="112">
        <v>37.630000000000003</v>
      </c>
      <c r="I40" s="112">
        <v>6.64</v>
      </c>
      <c r="J40" s="112">
        <v>0.33</v>
      </c>
      <c r="K40" s="112">
        <v>38.17</v>
      </c>
      <c r="L40" s="112">
        <v>28.21</v>
      </c>
      <c r="M40" s="112">
        <v>75.47</v>
      </c>
      <c r="N40" s="112">
        <v>137.5</v>
      </c>
      <c r="O40" s="112">
        <v>0</v>
      </c>
      <c r="P40" s="112">
        <v>0.62</v>
      </c>
      <c r="Q40" s="112">
        <v>4.66</v>
      </c>
    </row>
    <row r="41" spans="1:17" customFormat="1">
      <c r="A41" s="80">
        <v>45557.34375</v>
      </c>
      <c r="B41" s="112">
        <v>9.27</v>
      </c>
      <c r="C41" s="112">
        <v>4.0599999999999996</v>
      </c>
      <c r="D41" s="112">
        <v>14.01</v>
      </c>
      <c r="E41" s="112">
        <v>14.08</v>
      </c>
      <c r="F41" s="112">
        <v>6.05</v>
      </c>
      <c r="G41" s="112">
        <v>74.97</v>
      </c>
      <c r="H41" s="112">
        <v>37.630000000000003</v>
      </c>
      <c r="I41" s="112">
        <v>6.63</v>
      </c>
      <c r="J41" s="112">
        <v>0.69</v>
      </c>
      <c r="K41" s="112">
        <v>60.45</v>
      </c>
      <c r="L41" s="112">
        <v>28.56</v>
      </c>
      <c r="M41" s="112">
        <v>74.88</v>
      </c>
      <c r="N41" s="112">
        <v>135.5</v>
      </c>
      <c r="O41" s="112">
        <v>0</v>
      </c>
      <c r="P41" s="112">
        <v>0.65</v>
      </c>
      <c r="Q41" s="112">
        <v>4.66</v>
      </c>
    </row>
    <row r="42" spans="1:17" customFormat="1">
      <c r="A42" s="80">
        <v>45557.354166666664</v>
      </c>
      <c r="B42" s="112">
        <v>9.27</v>
      </c>
      <c r="C42" s="112">
        <v>4.08</v>
      </c>
      <c r="D42" s="112">
        <v>14.02</v>
      </c>
      <c r="E42" s="112">
        <v>18.38</v>
      </c>
      <c r="F42" s="112">
        <v>5.57</v>
      </c>
      <c r="G42" s="112">
        <v>77.14</v>
      </c>
      <c r="H42" s="112">
        <v>38.64</v>
      </c>
      <c r="I42" s="112">
        <v>6.69</v>
      </c>
      <c r="J42" s="112">
        <v>0.23</v>
      </c>
      <c r="K42" s="112">
        <v>16.079999999999998</v>
      </c>
      <c r="L42" s="112">
        <v>28.96</v>
      </c>
      <c r="M42" s="112">
        <v>74.67</v>
      </c>
      <c r="N42" s="112">
        <v>201.4</v>
      </c>
      <c r="O42" s="112">
        <v>0</v>
      </c>
      <c r="P42" s="112">
        <v>0.7</v>
      </c>
      <c r="Q42" s="112">
        <v>4.66</v>
      </c>
    </row>
    <row r="43" spans="1:17" customFormat="1">
      <c r="A43" s="80">
        <v>45557.364583333336</v>
      </c>
      <c r="B43" s="112">
        <v>9.2899999999999991</v>
      </c>
      <c r="C43" s="112">
        <v>4.05</v>
      </c>
      <c r="D43" s="112">
        <v>14.02</v>
      </c>
      <c r="E43" s="112">
        <v>25.72</v>
      </c>
      <c r="F43" s="112">
        <v>4.88</v>
      </c>
      <c r="G43" s="112">
        <v>99.39</v>
      </c>
      <c r="H43" s="112">
        <v>46.1</v>
      </c>
      <c r="I43" s="112">
        <v>6.83</v>
      </c>
      <c r="J43" s="112">
        <v>0.62</v>
      </c>
      <c r="K43" s="112">
        <v>52.81</v>
      </c>
      <c r="L43" s="112">
        <v>29.46</v>
      </c>
      <c r="M43" s="112">
        <v>73.760000000000005</v>
      </c>
      <c r="N43" s="112">
        <v>184.4</v>
      </c>
      <c r="O43" s="112">
        <v>0</v>
      </c>
      <c r="P43" s="112">
        <v>0.71</v>
      </c>
      <c r="Q43" s="112">
        <v>4.66</v>
      </c>
    </row>
    <row r="44" spans="1:17" customFormat="1">
      <c r="A44" s="80">
        <v>45557.375</v>
      </c>
      <c r="B44" s="112">
        <v>9.2799999999999994</v>
      </c>
      <c r="C44" s="112">
        <v>4.05</v>
      </c>
      <c r="D44" s="112">
        <v>14.01</v>
      </c>
      <c r="E44" s="112">
        <v>23.95</v>
      </c>
      <c r="F44" s="112">
        <v>6.87</v>
      </c>
      <c r="G44" s="112">
        <v>99.39</v>
      </c>
      <c r="H44" s="112">
        <v>46.1</v>
      </c>
      <c r="I44" s="112">
        <v>7.18</v>
      </c>
      <c r="J44" s="112">
        <v>0.64</v>
      </c>
      <c r="K44" s="112">
        <v>49.39</v>
      </c>
      <c r="L44" s="112">
        <v>29.67</v>
      </c>
      <c r="M44" s="112">
        <v>73.44</v>
      </c>
      <c r="N44" s="112">
        <v>170.3</v>
      </c>
      <c r="O44" s="112">
        <v>0</v>
      </c>
      <c r="P44" s="112">
        <v>0.73</v>
      </c>
      <c r="Q44" s="112">
        <v>4.66</v>
      </c>
    </row>
    <row r="45" spans="1:17" customFormat="1">
      <c r="A45" s="80">
        <v>45557.385416666664</v>
      </c>
      <c r="B45" s="112">
        <v>9.27</v>
      </c>
      <c r="C45" s="112">
        <v>4.05</v>
      </c>
      <c r="D45" s="112">
        <v>14</v>
      </c>
      <c r="E45" s="112">
        <v>21.26</v>
      </c>
      <c r="F45" s="112">
        <v>9.4600000000000009</v>
      </c>
      <c r="G45" s="112">
        <v>99.39</v>
      </c>
      <c r="H45" s="112">
        <v>46.1</v>
      </c>
      <c r="I45" s="112">
        <v>7.17</v>
      </c>
      <c r="J45" s="112">
        <v>0.56999999999999995</v>
      </c>
      <c r="K45" s="112">
        <v>47.08</v>
      </c>
      <c r="L45" s="112">
        <v>30.11</v>
      </c>
      <c r="M45" s="112">
        <v>73.430000000000007</v>
      </c>
      <c r="N45" s="112">
        <v>223.7</v>
      </c>
      <c r="O45" s="112">
        <v>0</v>
      </c>
      <c r="P45" s="112">
        <v>0.75</v>
      </c>
      <c r="Q45" s="112">
        <v>4.6500000000000004</v>
      </c>
    </row>
    <row r="46" spans="1:17" customFormat="1">
      <c r="A46" s="80">
        <v>45557.395833333336</v>
      </c>
      <c r="B46" s="112">
        <v>9.27</v>
      </c>
      <c r="C46" s="112">
        <v>4.07</v>
      </c>
      <c r="D46" s="112">
        <v>14.01</v>
      </c>
      <c r="E46" s="112">
        <v>16.47</v>
      </c>
      <c r="F46" s="112">
        <v>9.5</v>
      </c>
      <c r="G46" s="112">
        <v>102.66</v>
      </c>
      <c r="H46" s="112">
        <v>46.23</v>
      </c>
      <c r="I46" s="112">
        <v>6.97</v>
      </c>
      <c r="J46" s="112">
        <v>0.97</v>
      </c>
      <c r="K46" s="112">
        <v>58.64</v>
      </c>
      <c r="L46" s="112">
        <v>30.54</v>
      </c>
      <c r="M46" s="112">
        <v>71.959999999999994</v>
      </c>
      <c r="N46" s="112">
        <v>233</v>
      </c>
      <c r="O46" s="112">
        <v>0</v>
      </c>
      <c r="P46" s="112">
        <v>0.72</v>
      </c>
      <c r="Q46" s="112">
        <v>4.6500000000000004</v>
      </c>
    </row>
    <row r="47" spans="1:17" customFormat="1">
      <c r="A47" s="80">
        <v>45557.40625</v>
      </c>
      <c r="B47" s="112">
        <v>9.2799999999999994</v>
      </c>
      <c r="C47" s="112">
        <v>4.09</v>
      </c>
      <c r="D47" s="112">
        <v>14.03</v>
      </c>
      <c r="E47" s="112">
        <v>15.1</v>
      </c>
      <c r="F47" s="112">
        <v>8.6199999999999992</v>
      </c>
      <c r="G47" s="112">
        <v>136.24</v>
      </c>
      <c r="H47" s="112">
        <v>47.18</v>
      </c>
      <c r="I47" s="112">
        <v>7.3</v>
      </c>
      <c r="J47" s="112">
        <v>0.82</v>
      </c>
      <c r="K47" s="112">
        <v>53.71</v>
      </c>
      <c r="L47" s="112">
        <v>30.87</v>
      </c>
      <c r="M47" s="112">
        <v>72.290000000000006</v>
      </c>
      <c r="N47" s="112">
        <v>219.3</v>
      </c>
      <c r="O47" s="112">
        <v>0</v>
      </c>
      <c r="P47" s="112">
        <v>0.72</v>
      </c>
      <c r="Q47" s="112">
        <v>4.66</v>
      </c>
    </row>
    <row r="48" spans="1:17" customFormat="1">
      <c r="A48" s="80">
        <v>45557.416666666664</v>
      </c>
      <c r="B48" s="112">
        <v>9.26</v>
      </c>
      <c r="C48" s="112">
        <v>4.0999999999999996</v>
      </c>
      <c r="D48" s="112">
        <v>14.02</v>
      </c>
      <c r="E48" s="112">
        <v>14.82</v>
      </c>
      <c r="F48" s="112">
        <v>10.68</v>
      </c>
      <c r="G48" s="112">
        <v>136.24</v>
      </c>
      <c r="H48" s="112">
        <v>47.18</v>
      </c>
      <c r="I48" s="112">
        <v>7.14</v>
      </c>
      <c r="J48" s="112">
        <v>0.82</v>
      </c>
      <c r="K48" s="112">
        <v>53.26</v>
      </c>
      <c r="L48" s="112">
        <v>30.8</v>
      </c>
      <c r="M48" s="112">
        <v>72</v>
      </c>
      <c r="N48" s="112">
        <v>229.4</v>
      </c>
      <c r="O48" s="112">
        <v>0</v>
      </c>
      <c r="P48" s="112">
        <v>0.69</v>
      </c>
      <c r="Q48" s="112">
        <v>4.6500000000000004</v>
      </c>
    </row>
    <row r="49" spans="1:17" customFormat="1">
      <c r="A49" s="80">
        <v>45557.427083333336</v>
      </c>
      <c r="B49" s="112">
        <v>9.2799999999999994</v>
      </c>
      <c r="C49" s="112">
        <v>4.0599999999999996</v>
      </c>
      <c r="D49" s="112">
        <v>14.01</v>
      </c>
      <c r="E49" s="112">
        <v>11.77</v>
      </c>
      <c r="F49" s="112">
        <v>10.32</v>
      </c>
      <c r="G49" s="112">
        <v>136.24</v>
      </c>
      <c r="H49" s="112">
        <v>47.18</v>
      </c>
      <c r="I49" s="112">
        <v>7.16</v>
      </c>
      <c r="J49" s="112">
        <v>0.71</v>
      </c>
      <c r="K49" s="112">
        <v>54.3</v>
      </c>
      <c r="L49" s="112">
        <v>31.15</v>
      </c>
      <c r="M49" s="112">
        <v>71.97</v>
      </c>
      <c r="N49" s="112">
        <v>210.4</v>
      </c>
      <c r="O49" s="112">
        <v>0</v>
      </c>
      <c r="P49" s="112">
        <v>0.69</v>
      </c>
      <c r="Q49" s="112">
        <v>4.6399999999999997</v>
      </c>
    </row>
    <row r="50" spans="1:17" customFormat="1">
      <c r="A50" s="80">
        <v>45557.4375</v>
      </c>
      <c r="B50" s="112">
        <v>9.26</v>
      </c>
      <c r="C50" s="112">
        <v>4.07</v>
      </c>
      <c r="D50" s="112">
        <v>14.01</v>
      </c>
      <c r="E50" s="112">
        <v>13.43</v>
      </c>
      <c r="F50" s="112">
        <v>10.95</v>
      </c>
      <c r="G50" s="112">
        <v>133.99</v>
      </c>
      <c r="H50" s="112">
        <v>46.18</v>
      </c>
      <c r="I50" s="112">
        <v>6.81</v>
      </c>
      <c r="J50" s="112">
        <v>0.91</v>
      </c>
      <c r="K50" s="112">
        <v>53.54</v>
      </c>
      <c r="L50" s="112">
        <v>31.7</v>
      </c>
      <c r="M50" s="112">
        <v>70.77</v>
      </c>
      <c r="N50" s="112">
        <v>219.3</v>
      </c>
      <c r="O50" s="112">
        <v>0</v>
      </c>
      <c r="P50" s="112">
        <v>0.67</v>
      </c>
      <c r="Q50" s="112">
        <v>4.67</v>
      </c>
    </row>
    <row r="51" spans="1:17" customFormat="1">
      <c r="A51" s="80">
        <v>45557.447916666664</v>
      </c>
      <c r="B51" s="112">
        <v>9.25</v>
      </c>
      <c r="C51" s="112">
        <v>4.08</v>
      </c>
      <c r="D51" s="112">
        <v>14</v>
      </c>
      <c r="E51" s="112">
        <v>15.1</v>
      </c>
      <c r="F51" s="112">
        <v>13.37</v>
      </c>
      <c r="G51" s="112">
        <v>110.85</v>
      </c>
      <c r="H51" s="112">
        <v>38.79</v>
      </c>
      <c r="I51" s="112">
        <v>6.74</v>
      </c>
      <c r="J51" s="112">
        <v>0.86</v>
      </c>
      <c r="K51" s="112">
        <v>55.65</v>
      </c>
      <c r="L51" s="112">
        <v>31.42</v>
      </c>
      <c r="M51" s="112">
        <v>70.66</v>
      </c>
      <c r="N51" s="112">
        <v>281.3</v>
      </c>
      <c r="O51" s="112">
        <v>0</v>
      </c>
      <c r="P51" s="112">
        <v>0.66</v>
      </c>
      <c r="Q51" s="112">
        <v>4.66</v>
      </c>
    </row>
    <row r="52" spans="1:17" customFormat="1">
      <c r="A52" s="80">
        <v>45557.458333333336</v>
      </c>
      <c r="B52" s="112">
        <v>9.26</v>
      </c>
      <c r="C52" s="112">
        <v>4.0599999999999996</v>
      </c>
      <c r="D52" s="112">
        <v>14</v>
      </c>
      <c r="E52" s="112">
        <v>16.940000000000001</v>
      </c>
      <c r="F52" s="112">
        <v>11.05</v>
      </c>
      <c r="G52" s="112">
        <v>110.85</v>
      </c>
      <c r="H52" s="112">
        <v>38.79</v>
      </c>
      <c r="I52" s="112">
        <v>6.65</v>
      </c>
      <c r="J52" s="112">
        <v>0.72</v>
      </c>
      <c r="K52" s="112">
        <v>53.06</v>
      </c>
      <c r="L52" s="112">
        <v>31.95</v>
      </c>
      <c r="M52" s="112">
        <v>69.900000000000006</v>
      </c>
      <c r="N52" s="112">
        <v>385.2</v>
      </c>
      <c r="O52" s="112">
        <v>0</v>
      </c>
      <c r="P52" s="112">
        <v>0.67</v>
      </c>
      <c r="Q52" s="112">
        <v>4.66</v>
      </c>
    </row>
    <row r="53" spans="1:17" customFormat="1">
      <c r="A53" s="80">
        <v>45557.46875</v>
      </c>
      <c r="B53" s="112">
        <v>9.25</v>
      </c>
      <c r="C53" s="112">
        <v>4.09</v>
      </c>
      <c r="D53" s="112">
        <v>14</v>
      </c>
      <c r="E53" s="112">
        <v>19.899999999999999</v>
      </c>
      <c r="F53" s="112">
        <v>9.36</v>
      </c>
      <c r="G53" s="112">
        <v>110.85</v>
      </c>
      <c r="H53" s="112">
        <v>38.79</v>
      </c>
      <c r="I53" s="112">
        <v>6.48</v>
      </c>
      <c r="J53" s="112">
        <v>1.04</v>
      </c>
      <c r="K53" s="112">
        <v>55.4</v>
      </c>
      <c r="L53" s="112">
        <v>31.82</v>
      </c>
      <c r="M53" s="112">
        <v>69.08</v>
      </c>
      <c r="N53" s="112">
        <v>362.5</v>
      </c>
      <c r="O53" s="112">
        <v>0</v>
      </c>
      <c r="P53" s="112">
        <v>0.68</v>
      </c>
      <c r="Q53" s="112">
        <v>4.6399999999999997</v>
      </c>
    </row>
    <row r="54" spans="1:17" customFormat="1">
      <c r="A54" s="80">
        <v>45557.479166666664</v>
      </c>
      <c r="B54" s="112">
        <v>9.26</v>
      </c>
      <c r="C54" s="112">
        <v>4.08</v>
      </c>
      <c r="D54" s="112">
        <v>14</v>
      </c>
      <c r="E54" s="112">
        <v>29.07</v>
      </c>
      <c r="F54" s="112">
        <v>10.71</v>
      </c>
      <c r="G54" s="112">
        <v>109.96</v>
      </c>
      <c r="H54" s="112">
        <v>39.54</v>
      </c>
      <c r="I54" s="112">
        <v>6.58</v>
      </c>
      <c r="J54" s="112">
        <v>0.64</v>
      </c>
      <c r="K54" s="112">
        <v>51.24</v>
      </c>
      <c r="L54" s="112">
        <v>32.11</v>
      </c>
      <c r="M54" s="112">
        <v>67.849999999999994</v>
      </c>
      <c r="N54" s="112">
        <v>309.89999999999998</v>
      </c>
      <c r="O54" s="112">
        <v>0</v>
      </c>
      <c r="P54" s="112">
        <v>0.69</v>
      </c>
      <c r="Q54" s="112">
        <v>4.6399999999999997</v>
      </c>
    </row>
    <row r="55" spans="1:17" customFormat="1">
      <c r="A55" s="80">
        <v>45557.489583333336</v>
      </c>
      <c r="B55" s="112">
        <v>9.25</v>
      </c>
      <c r="C55" s="112">
        <v>4.09</v>
      </c>
      <c r="D55" s="112">
        <v>14</v>
      </c>
      <c r="E55" s="112">
        <v>44.65</v>
      </c>
      <c r="F55" s="112">
        <v>9.08</v>
      </c>
      <c r="G55" s="112">
        <v>100.8</v>
      </c>
      <c r="H55" s="112">
        <v>45.02</v>
      </c>
      <c r="I55" s="112">
        <v>6.48</v>
      </c>
      <c r="J55" s="112">
        <v>0.8</v>
      </c>
      <c r="K55" s="112">
        <v>48.42</v>
      </c>
      <c r="L55" s="112">
        <v>32.28</v>
      </c>
      <c r="M55" s="112">
        <v>67.41</v>
      </c>
      <c r="N55" s="112">
        <v>324.39999999999998</v>
      </c>
      <c r="O55" s="112">
        <v>0</v>
      </c>
      <c r="P55" s="112">
        <v>0.7</v>
      </c>
      <c r="Q55" s="112">
        <v>4.6399999999999997</v>
      </c>
    </row>
    <row r="56" spans="1:17" customFormat="1">
      <c r="A56" s="80">
        <v>45557.5</v>
      </c>
      <c r="B56" s="112">
        <v>9.2100000000000009</v>
      </c>
      <c r="C56" s="112">
        <v>4.1399999999999997</v>
      </c>
      <c r="D56" s="112">
        <v>14</v>
      </c>
      <c r="E56" s="112">
        <v>37.6</v>
      </c>
      <c r="F56" s="112">
        <v>9.24</v>
      </c>
      <c r="G56" s="112">
        <v>100.8</v>
      </c>
      <c r="H56" s="112">
        <v>45.02</v>
      </c>
      <c r="I56" s="112">
        <v>6.4</v>
      </c>
      <c r="J56" s="112">
        <v>0.45</v>
      </c>
      <c r="K56" s="112">
        <v>43.88</v>
      </c>
      <c r="L56" s="112">
        <v>32.29</v>
      </c>
      <c r="M56" s="112">
        <v>67.27</v>
      </c>
      <c r="N56" s="112">
        <v>315.10000000000002</v>
      </c>
      <c r="O56" s="112">
        <v>0</v>
      </c>
      <c r="P56" s="112">
        <v>0.7</v>
      </c>
      <c r="Q56" s="112">
        <v>4.6399999999999997</v>
      </c>
    </row>
    <row r="57" spans="1:17" customFormat="1">
      <c r="A57" s="80">
        <v>45557.510416666664</v>
      </c>
      <c r="B57" s="112">
        <v>9.19</v>
      </c>
      <c r="C57" s="112">
        <v>4.17</v>
      </c>
      <c r="D57" s="112">
        <v>14</v>
      </c>
      <c r="E57" s="112">
        <v>30.78</v>
      </c>
      <c r="F57" s="112">
        <v>10.37</v>
      </c>
      <c r="G57" s="112">
        <v>100.8</v>
      </c>
      <c r="H57" s="112">
        <v>45.02</v>
      </c>
      <c r="I57" s="112">
        <v>6.41</v>
      </c>
      <c r="J57" s="112">
        <v>0.63</v>
      </c>
      <c r="K57" s="112">
        <v>45.98</v>
      </c>
      <c r="L57" s="112">
        <v>32.44</v>
      </c>
      <c r="M57" s="112">
        <v>66.06</v>
      </c>
      <c r="N57" s="112">
        <v>320</v>
      </c>
      <c r="O57" s="112">
        <v>0</v>
      </c>
      <c r="P57" s="112">
        <v>0.71</v>
      </c>
      <c r="Q57" s="112">
        <v>4.6399999999999997</v>
      </c>
    </row>
    <row r="58" spans="1:17" customFormat="1">
      <c r="A58" s="80">
        <v>45557.520833333336</v>
      </c>
      <c r="B58" s="112">
        <v>9.18</v>
      </c>
      <c r="C58" s="112">
        <v>4.1900000000000004</v>
      </c>
      <c r="D58" s="112">
        <v>14</v>
      </c>
      <c r="E58" s="112">
        <v>26.43</v>
      </c>
      <c r="F58" s="112">
        <v>15.1</v>
      </c>
      <c r="G58" s="112">
        <v>100.74</v>
      </c>
      <c r="H58" s="112">
        <v>44.31</v>
      </c>
      <c r="I58" s="112">
        <v>6.53</v>
      </c>
      <c r="J58" s="112">
        <v>0.57999999999999996</v>
      </c>
      <c r="K58" s="112">
        <v>34.200000000000003</v>
      </c>
      <c r="L58" s="112">
        <v>32.700000000000003</v>
      </c>
      <c r="M58" s="112">
        <v>66.34</v>
      </c>
      <c r="N58" s="112">
        <v>493.4</v>
      </c>
      <c r="O58" s="112">
        <v>0</v>
      </c>
      <c r="P58" s="112">
        <v>0.69</v>
      </c>
      <c r="Q58" s="112">
        <v>4.62</v>
      </c>
    </row>
    <row r="59" spans="1:17" customFormat="1">
      <c r="A59" s="80">
        <v>45557.53125</v>
      </c>
      <c r="B59" s="112">
        <v>9.17</v>
      </c>
      <c r="C59" s="112">
        <v>4.2</v>
      </c>
      <c r="D59" s="112">
        <v>14</v>
      </c>
      <c r="E59" s="112">
        <v>22.98</v>
      </c>
      <c r="F59" s="112">
        <v>11.89</v>
      </c>
      <c r="G59" s="112">
        <v>100.09</v>
      </c>
      <c r="H59" s="112">
        <v>38.31</v>
      </c>
      <c r="I59" s="112">
        <v>6.48</v>
      </c>
      <c r="J59" s="112">
        <v>1.03</v>
      </c>
      <c r="K59" s="112">
        <v>53.83</v>
      </c>
      <c r="L59" s="112">
        <v>32.729999999999997</v>
      </c>
      <c r="M59" s="112">
        <v>65.81</v>
      </c>
      <c r="N59" s="112">
        <v>453.3</v>
      </c>
      <c r="O59" s="112">
        <v>0</v>
      </c>
      <c r="P59" s="112">
        <v>0.69</v>
      </c>
      <c r="Q59" s="112">
        <v>4.6100000000000003</v>
      </c>
    </row>
    <row r="60" spans="1:17" customFormat="1">
      <c r="A60" s="80">
        <v>45557.541666666664</v>
      </c>
      <c r="B60" s="112">
        <v>9.17</v>
      </c>
      <c r="C60" s="112">
        <v>4.2</v>
      </c>
      <c r="D60" s="112">
        <v>14</v>
      </c>
      <c r="E60" s="112">
        <v>17.75</v>
      </c>
      <c r="F60" s="112">
        <v>10.57</v>
      </c>
      <c r="G60" s="112">
        <v>100.09</v>
      </c>
      <c r="H60" s="112">
        <v>38.31</v>
      </c>
      <c r="I60" s="112">
        <v>6.35</v>
      </c>
      <c r="J60" s="112">
        <v>0.66</v>
      </c>
      <c r="K60" s="112">
        <v>54.7</v>
      </c>
      <c r="L60" s="112">
        <v>32.75</v>
      </c>
      <c r="M60" s="112">
        <v>65.63</v>
      </c>
      <c r="N60" s="112">
        <v>364.1</v>
      </c>
      <c r="O60" s="112">
        <v>0</v>
      </c>
      <c r="P60" s="112">
        <v>0.7</v>
      </c>
      <c r="Q60" s="112">
        <v>4.62</v>
      </c>
    </row>
    <row r="61" spans="1:17" customFormat="1">
      <c r="A61" s="80">
        <v>45557.552083333336</v>
      </c>
      <c r="B61" s="112">
        <v>9.1999999999999993</v>
      </c>
      <c r="C61" s="112">
        <v>4.1500000000000004</v>
      </c>
      <c r="D61" s="112">
        <v>14</v>
      </c>
      <c r="E61" s="112">
        <v>16.52</v>
      </c>
      <c r="F61" s="112">
        <v>9.77</v>
      </c>
      <c r="G61" s="112">
        <v>100.09</v>
      </c>
      <c r="H61" s="112">
        <v>38.31</v>
      </c>
      <c r="I61" s="112">
        <v>6.49</v>
      </c>
      <c r="J61" s="112">
        <v>1.1599999999999999</v>
      </c>
      <c r="K61" s="112">
        <v>60.28</v>
      </c>
      <c r="L61" s="112">
        <v>32.64</v>
      </c>
      <c r="M61" s="112">
        <v>64.47</v>
      </c>
      <c r="N61" s="112">
        <v>310.10000000000002</v>
      </c>
      <c r="O61" s="112">
        <v>0</v>
      </c>
      <c r="P61" s="112">
        <v>0.7</v>
      </c>
      <c r="Q61" s="112">
        <v>4.63</v>
      </c>
    </row>
    <row r="62" spans="1:17" customFormat="1">
      <c r="A62" s="80">
        <v>45557.5625</v>
      </c>
      <c r="B62" s="112">
        <v>9.26</v>
      </c>
      <c r="C62" s="112">
        <v>4.08</v>
      </c>
      <c r="D62" s="112">
        <v>14.01</v>
      </c>
      <c r="E62" s="112">
        <v>16.02</v>
      </c>
      <c r="F62" s="112">
        <v>12.1</v>
      </c>
      <c r="G62" s="112">
        <v>99.23</v>
      </c>
      <c r="H62" s="112">
        <v>38.409999999999997</v>
      </c>
      <c r="I62" s="112">
        <v>6.63</v>
      </c>
      <c r="J62" s="112">
        <v>0.96</v>
      </c>
      <c r="K62" s="112">
        <v>54.71</v>
      </c>
      <c r="L62" s="112">
        <v>32.49</v>
      </c>
      <c r="M62" s="112">
        <v>64.13</v>
      </c>
      <c r="N62" s="112">
        <v>307.2</v>
      </c>
      <c r="O62" s="112">
        <v>0</v>
      </c>
      <c r="P62" s="112">
        <v>0.69</v>
      </c>
      <c r="Q62" s="112">
        <v>4.62</v>
      </c>
    </row>
    <row r="63" spans="1:17" customFormat="1">
      <c r="A63" s="80">
        <v>45557.572916666664</v>
      </c>
      <c r="B63" s="112">
        <v>9.27</v>
      </c>
      <c r="C63" s="112">
        <v>4.08</v>
      </c>
      <c r="D63" s="112">
        <v>14.01</v>
      </c>
      <c r="E63" s="112">
        <v>20.14</v>
      </c>
      <c r="F63" s="112">
        <v>13.19</v>
      </c>
      <c r="G63" s="112">
        <v>90.42</v>
      </c>
      <c r="H63" s="112">
        <v>39.25</v>
      </c>
      <c r="I63" s="112">
        <v>6.64</v>
      </c>
      <c r="J63" s="112">
        <v>0.56000000000000005</v>
      </c>
      <c r="K63" s="112">
        <v>54.95</v>
      </c>
      <c r="L63" s="112">
        <v>32.93</v>
      </c>
      <c r="M63" s="112">
        <v>63.41</v>
      </c>
      <c r="N63" s="112">
        <v>308.60000000000002</v>
      </c>
      <c r="O63" s="112">
        <v>0</v>
      </c>
      <c r="P63" s="112">
        <v>0.68</v>
      </c>
      <c r="Q63" s="112">
        <v>4.62</v>
      </c>
    </row>
    <row r="64" spans="1:17" customFormat="1">
      <c r="A64" s="80">
        <v>45557.583333333336</v>
      </c>
      <c r="B64" s="112">
        <v>9.27</v>
      </c>
      <c r="C64" s="112">
        <v>4.05</v>
      </c>
      <c r="D64" s="112">
        <v>14</v>
      </c>
      <c r="E64" s="112">
        <v>15.58</v>
      </c>
      <c r="F64" s="112">
        <v>8.77</v>
      </c>
      <c r="G64" s="112">
        <v>90.42</v>
      </c>
      <c r="H64" s="112">
        <v>39.25</v>
      </c>
      <c r="I64" s="112">
        <v>6.6</v>
      </c>
      <c r="J64" s="112">
        <v>0.85</v>
      </c>
      <c r="K64" s="112">
        <v>54.24</v>
      </c>
      <c r="L64" s="112">
        <v>33.1</v>
      </c>
      <c r="M64" s="112">
        <v>64.290000000000006</v>
      </c>
      <c r="N64" s="112">
        <v>251.3</v>
      </c>
      <c r="O64" s="112">
        <v>0</v>
      </c>
      <c r="P64" s="112">
        <v>0.69</v>
      </c>
      <c r="Q64" s="112">
        <v>4.63</v>
      </c>
    </row>
    <row r="65" spans="1:17" customFormat="1">
      <c r="A65" s="80">
        <v>45557.59375</v>
      </c>
      <c r="B65" s="112">
        <v>9.26</v>
      </c>
      <c r="C65" s="112">
        <v>4.07</v>
      </c>
      <c r="D65" s="112">
        <v>14</v>
      </c>
      <c r="E65" s="112">
        <v>16.88</v>
      </c>
      <c r="F65" s="112">
        <v>11.26</v>
      </c>
      <c r="G65" s="112">
        <v>90.42</v>
      </c>
      <c r="H65" s="112">
        <v>39.25</v>
      </c>
      <c r="I65" s="112">
        <v>6.52</v>
      </c>
      <c r="J65" s="112">
        <v>0.98</v>
      </c>
      <c r="K65" s="112">
        <v>53.84</v>
      </c>
      <c r="L65" s="112">
        <v>32.630000000000003</v>
      </c>
      <c r="M65" s="112">
        <v>65.430000000000007</v>
      </c>
      <c r="N65" s="112">
        <v>116.7</v>
      </c>
      <c r="O65" s="112">
        <v>0</v>
      </c>
      <c r="P65" s="112">
        <v>0.51</v>
      </c>
      <c r="Q65" s="112">
        <v>4.63</v>
      </c>
    </row>
    <row r="66" spans="1:17" customFormat="1">
      <c r="A66" s="80">
        <v>45557.604166666664</v>
      </c>
      <c r="B66" s="112">
        <v>9.2799999999999994</v>
      </c>
      <c r="C66" s="112">
        <v>4.09</v>
      </c>
      <c r="D66" s="112">
        <v>14.03</v>
      </c>
      <c r="E66" s="112">
        <v>15.59</v>
      </c>
      <c r="F66" s="112">
        <v>9.6999999999999993</v>
      </c>
      <c r="G66" s="112">
        <v>90</v>
      </c>
      <c r="H66" s="112">
        <v>39.03</v>
      </c>
      <c r="I66" s="112">
        <v>6.74</v>
      </c>
      <c r="J66" s="112">
        <v>0.77</v>
      </c>
      <c r="K66" s="112">
        <v>61.24</v>
      </c>
      <c r="L66" s="112">
        <v>32.130000000000003</v>
      </c>
      <c r="M66" s="112">
        <v>67.95</v>
      </c>
      <c r="N66" s="112">
        <v>86.5</v>
      </c>
      <c r="O66" s="112">
        <v>0</v>
      </c>
      <c r="P66" s="112">
        <v>0.53</v>
      </c>
      <c r="Q66" s="112">
        <v>4.63</v>
      </c>
    </row>
    <row r="67" spans="1:17" customFormat="1">
      <c r="A67" s="80">
        <v>45557.614583333336</v>
      </c>
      <c r="B67" s="112">
        <v>9.34</v>
      </c>
      <c r="C67" s="112">
        <v>4.08</v>
      </c>
      <c r="D67" s="112">
        <v>14.07</v>
      </c>
      <c r="E67" s="112">
        <v>13.37</v>
      </c>
      <c r="F67" s="112">
        <v>6.94</v>
      </c>
      <c r="G67" s="112">
        <v>85.66</v>
      </c>
      <c r="H67" s="112">
        <v>37.479999999999997</v>
      </c>
      <c r="I67" s="112">
        <v>6.86</v>
      </c>
      <c r="J67" s="112">
        <v>0.51</v>
      </c>
      <c r="K67" s="112">
        <v>71.36</v>
      </c>
      <c r="L67" s="112">
        <v>31.54</v>
      </c>
      <c r="M67" s="112">
        <v>69.11</v>
      </c>
      <c r="N67" s="112">
        <v>72.3</v>
      </c>
      <c r="O67" s="112">
        <v>0</v>
      </c>
      <c r="P67" s="112">
        <v>0.54</v>
      </c>
      <c r="Q67" s="112">
        <v>4.62</v>
      </c>
    </row>
    <row r="68" spans="1:17" customFormat="1">
      <c r="A68" s="80">
        <v>45557.625</v>
      </c>
      <c r="B68" s="112">
        <v>9.35</v>
      </c>
      <c r="C68" s="112">
        <v>4.05</v>
      </c>
      <c r="D68" s="112">
        <v>14.06</v>
      </c>
      <c r="E68" s="112">
        <v>11.07</v>
      </c>
      <c r="F68" s="112">
        <v>5.12</v>
      </c>
      <c r="G68" s="112">
        <v>85.66</v>
      </c>
      <c r="H68" s="112">
        <v>37.479999999999997</v>
      </c>
      <c r="I68" s="112">
        <v>6.75</v>
      </c>
      <c r="J68" s="112">
        <v>0.19</v>
      </c>
      <c r="K68" s="112">
        <v>101.98</v>
      </c>
      <c r="L68" s="112">
        <v>31.21</v>
      </c>
      <c r="M68" s="112">
        <v>70.41</v>
      </c>
      <c r="N68" s="112">
        <v>72.3</v>
      </c>
      <c r="O68" s="112">
        <v>0</v>
      </c>
      <c r="P68" s="112">
        <v>0.53</v>
      </c>
      <c r="Q68" s="112">
        <v>4.63</v>
      </c>
    </row>
    <row r="69" spans="1:17" customFormat="1">
      <c r="A69" s="80">
        <v>45557.635416666664</v>
      </c>
      <c r="B69" s="112">
        <v>9.3000000000000007</v>
      </c>
      <c r="C69" s="112">
        <v>4.1100000000000003</v>
      </c>
      <c r="D69" s="112">
        <v>14.05</v>
      </c>
      <c r="E69" s="112">
        <v>11.98</v>
      </c>
      <c r="F69" s="112">
        <v>5.53</v>
      </c>
      <c r="G69" s="112">
        <v>85.66</v>
      </c>
      <c r="H69" s="112">
        <v>37.479999999999997</v>
      </c>
      <c r="I69" s="112">
        <v>6.87</v>
      </c>
      <c r="J69" s="112">
        <v>0.72</v>
      </c>
      <c r="K69" s="112">
        <v>63.51</v>
      </c>
      <c r="L69" s="112">
        <v>31.43</v>
      </c>
      <c r="M69" s="112">
        <v>70.39</v>
      </c>
      <c r="N69" s="112">
        <v>129.30000000000001</v>
      </c>
      <c r="O69" s="112">
        <v>0</v>
      </c>
      <c r="P69" s="112">
        <v>0.53</v>
      </c>
      <c r="Q69" s="112">
        <v>4.62</v>
      </c>
    </row>
    <row r="70" spans="1:17" customFormat="1">
      <c r="A70" s="80">
        <v>45557.645833333336</v>
      </c>
      <c r="B70" s="112">
        <v>9.3000000000000007</v>
      </c>
      <c r="C70" s="112">
        <v>4.1100000000000003</v>
      </c>
      <c r="D70" s="112">
        <v>14.05</v>
      </c>
      <c r="E70" s="112">
        <v>14.22</v>
      </c>
      <c r="F70" s="112">
        <v>9.52</v>
      </c>
      <c r="G70" s="112">
        <v>86.12</v>
      </c>
      <c r="H70" s="112">
        <v>37.880000000000003</v>
      </c>
      <c r="I70" s="112">
        <v>6.88</v>
      </c>
      <c r="J70" s="112">
        <v>0.68</v>
      </c>
      <c r="K70" s="112">
        <v>53.18</v>
      </c>
      <c r="L70" s="112">
        <v>31.9</v>
      </c>
      <c r="M70" s="112">
        <v>69.75</v>
      </c>
      <c r="N70" s="112">
        <v>212.1</v>
      </c>
      <c r="O70" s="112">
        <v>0</v>
      </c>
      <c r="P70" s="112">
        <v>0.55000000000000004</v>
      </c>
      <c r="Q70" s="112">
        <v>4.62</v>
      </c>
    </row>
    <row r="71" spans="1:17" customFormat="1">
      <c r="A71" s="80">
        <v>45557.65625</v>
      </c>
      <c r="B71" s="112">
        <v>9.31</v>
      </c>
      <c r="C71" s="112">
        <v>4.07</v>
      </c>
      <c r="D71" s="112">
        <v>14.04</v>
      </c>
      <c r="E71" s="112">
        <v>12.21</v>
      </c>
      <c r="F71" s="112">
        <v>7.36</v>
      </c>
      <c r="G71" s="112">
        <v>90.34</v>
      </c>
      <c r="H71" s="112">
        <v>41.18</v>
      </c>
      <c r="I71" s="112">
        <v>6.8</v>
      </c>
      <c r="J71" s="112">
        <v>1.08</v>
      </c>
      <c r="K71" s="112">
        <v>66.78</v>
      </c>
      <c r="L71" s="112">
        <v>31.14</v>
      </c>
      <c r="M71" s="112">
        <v>68.94</v>
      </c>
      <c r="N71" s="112">
        <v>88.9</v>
      </c>
      <c r="O71" s="112">
        <v>0</v>
      </c>
      <c r="P71" s="112">
        <v>0.54</v>
      </c>
      <c r="Q71" s="112">
        <v>4.6399999999999997</v>
      </c>
    </row>
    <row r="72" spans="1:17" customFormat="1">
      <c r="A72" s="80">
        <v>45557.666666666664</v>
      </c>
      <c r="B72" s="112">
        <v>9.32</v>
      </c>
      <c r="C72" s="112">
        <v>4.04</v>
      </c>
      <c r="D72" s="112">
        <v>14.03</v>
      </c>
      <c r="E72" s="112">
        <v>9.73</v>
      </c>
      <c r="F72" s="112">
        <v>10.15</v>
      </c>
      <c r="G72" s="112">
        <v>90.34</v>
      </c>
      <c r="H72" s="112">
        <v>41.18</v>
      </c>
      <c r="I72" s="112">
        <v>6.55</v>
      </c>
      <c r="J72" s="112">
        <v>1.07</v>
      </c>
      <c r="K72" s="112">
        <v>59.48</v>
      </c>
      <c r="L72" s="112">
        <v>26.41</v>
      </c>
      <c r="M72" s="112">
        <v>83.24</v>
      </c>
      <c r="N72" s="112">
        <v>26.2</v>
      </c>
      <c r="O72" s="112">
        <v>4.8</v>
      </c>
      <c r="P72" s="112">
        <v>0.45</v>
      </c>
      <c r="Q72" s="112">
        <v>4.6500000000000004</v>
      </c>
    </row>
    <row r="73" spans="1:17" customFormat="1">
      <c r="A73" s="80">
        <v>45557.677083333336</v>
      </c>
      <c r="B73" s="112">
        <v>9.39</v>
      </c>
      <c r="C73" s="112">
        <v>4.07</v>
      </c>
      <c r="D73" s="112">
        <v>14.1</v>
      </c>
      <c r="E73" s="112">
        <v>9.09</v>
      </c>
      <c r="F73" s="112">
        <v>5.73</v>
      </c>
      <c r="G73" s="112">
        <v>90.34</v>
      </c>
      <c r="H73" s="112">
        <v>41.18</v>
      </c>
      <c r="I73" s="112">
        <v>6.22</v>
      </c>
      <c r="J73" s="112">
        <v>0.28000000000000003</v>
      </c>
      <c r="K73" s="112">
        <v>176.87</v>
      </c>
      <c r="L73" s="112">
        <v>24.36</v>
      </c>
      <c r="M73" s="112">
        <v>96.29</v>
      </c>
      <c r="N73" s="112">
        <v>16.8</v>
      </c>
      <c r="O73" s="112">
        <v>2</v>
      </c>
      <c r="P73" s="112">
        <v>0.4</v>
      </c>
      <c r="Q73" s="112">
        <v>4.66</v>
      </c>
    </row>
    <row r="74" spans="1:17" customFormat="1">
      <c r="A74" s="80">
        <v>45557.6875</v>
      </c>
      <c r="B74" s="112">
        <v>9.39</v>
      </c>
      <c r="C74" s="112">
        <v>4.08</v>
      </c>
      <c r="D74" s="112">
        <v>14.11</v>
      </c>
      <c r="E74" s="112">
        <v>9.23</v>
      </c>
      <c r="F74" s="112">
        <v>5.23</v>
      </c>
      <c r="G74" s="112">
        <v>88.67</v>
      </c>
      <c r="H74" s="112">
        <v>40.020000000000003</v>
      </c>
      <c r="I74" s="112">
        <v>6.01</v>
      </c>
      <c r="J74" s="112">
        <v>0.17</v>
      </c>
      <c r="K74" s="112">
        <v>200.44</v>
      </c>
      <c r="L74" s="112">
        <v>24.66</v>
      </c>
      <c r="M74" s="112">
        <v>96.12</v>
      </c>
      <c r="N74" s="112">
        <v>14</v>
      </c>
      <c r="O74" s="112">
        <v>0</v>
      </c>
      <c r="P74" s="112">
        <v>0.37</v>
      </c>
      <c r="Q74" s="112">
        <v>4.66</v>
      </c>
    </row>
    <row r="75" spans="1:17" customFormat="1">
      <c r="A75" s="80">
        <v>45557.697916666664</v>
      </c>
      <c r="B75" s="112">
        <v>9.31</v>
      </c>
      <c r="C75" s="112">
        <v>4.0599999999999996</v>
      </c>
      <c r="D75" s="112">
        <v>14.03</v>
      </c>
      <c r="E75" s="112">
        <v>9.61</v>
      </c>
      <c r="F75" s="112">
        <v>5.05</v>
      </c>
      <c r="G75" s="112">
        <v>73.680000000000007</v>
      </c>
      <c r="H75" s="112">
        <v>31.46</v>
      </c>
      <c r="I75" s="112">
        <v>5.83</v>
      </c>
      <c r="J75" s="112">
        <v>0.22</v>
      </c>
      <c r="K75" s="112">
        <v>164.79</v>
      </c>
      <c r="L75" s="112">
        <v>25.35</v>
      </c>
      <c r="M75" s="112">
        <v>97.28</v>
      </c>
      <c r="N75" s="112">
        <v>13.8</v>
      </c>
      <c r="O75" s="112">
        <v>0</v>
      </c>
      <c r="P75" s="112">
        <v>0.38</v>
      </c>
      <c r="Q75" s="112">
        <v>4.66</v>
      </c>
    </row>
    <row r="76" spans="1:17" customFormat="1">
      <c r="A76" s="80">
        <v>45557.708333333336</v>
      </c>
      <c r="B76" s="112">
        <v>9.24</v>
      </c>
      <c r="C76" s="112">
        <v>4.09</v>
      </c>
      <c r="D76" s="112">
        <v>14</v>
      </c>
      <c r="E76" s="112">
        <v>10.19</v>
      </c>
      <c r="F76" s="112">
        <v>4.22</v>
      </c>
      <c r="G76" s="112">
        <v>73.680000000000007</v>
      </c>
      <c r="H76" s="112">
        <v>31.46</v>
      </c>
      <c r="I76" s="112">
        <v>5.51</v>
      </c>
      <c r="J76" s="112">
        <v>0.25</v>
      </c>
      <c r="K76" s="112">
        <v>171.86</v>
      </c>
      <c r="L76" s="112">
        <v>25.72</v>
      </c>
      <c r="M76" s="112">
        <v>93.68</v>
      </c>
      <c r="N76" s="112">
        <v>12.5</v>
      </c>
      <c r="O76" s="112">
        <v>0</v>
      </c>
      <c r="P76" s="112">
        <v>0.37</v>
      </c>
      <c r="Q76" s="112">
        <v>4.66</v>
      </c>
    </row>
    <row r="77" spans="1:17" customFormat="1">
      <c r="A77" s="80">
        <v>45557.71875</v>
      </c>
      <c r="B77" s="112">
        <v>9.2100000000000009</v>
      </c>
      <c r="C77" s="112">
        <v>4.1500000000000004</v>
      </c>
      <c r="D77" s="112">
        <v>14</v>
      </c>
      <c r="E77" s="112">
        <v>10.36</v>
      </c>
      <c r="F77" s="112">
        <v>4.59</v>
      </c>
      <c r="G77" s="112">
        <v>73.680000000000007</v>
      </c>
      <c r="H77" s="112">
        <v>31.46</v>
      </c>
      <c r="I77" s="112">
        <v>5.24</v>
      </c>
      <c r="J77" s="112">
        <v>0.17</v>
      </c>
      <c r="K77" s="112">
        <v>142.44</v>
      </c>
      <c r="L77" s="112">
        <v>26.03</v>
      </c>
      <c r="M77" s="112">
        <v>87.36</v>
      </c>
      <c r="N77" s="112">
        <v>9.3000000000000007</v>
      </c>
      <c r="O77" s="112">
        <v>0</v>
      </c>
      <c r="P77" s="112">
        <v>0.37</v>
      </c>
      <c r="Q77" s="112">
        <v>4.68</v>
      </c>
    </row>
    <row r="78" spans="1:17" customFormat="1">
      <c r="A78" s="80">
        <v>45557.729166666664</v>
      </c>
      <c r="B78" s="112">
        <v>9.2200000000000006</v>
      </c>
      <c r="C78" s="112">
        <v>4.12</v>
      </c>
      <c r="D78" s="112">
        <v>14</v>
      </c>
      <c r="E78" s="112">
        <v>10.28</v>
      </c>
      <c r="F78" s="112">
        <v>5.54</v>
      </c>
      <c r="G78" s="112">
        <v>71.97</v>
      </c>
      <c r="H78" s="112">
        <v>30.57</v>
      </c>
      <c r="I78" s="112">
        <v>5.39</v>
      </c>
      <c r="J78" s="112">
        <v>0.13</v>
      </c>
      <c r="K78" s="112">
        <v>144.38</v>
      </c>
      <c r="L78" s="112">
        <v>25.75</v>
      </c>
      <c r="M78" s="112">
        <v>90.27</v>
      </c>
      <c r="N78" s="112">
        <v>6.1</v>
      </c>
      <c r="O78" s="112">
        <v>0</v>
      </c>
      <c r="P78" s="112">
        <v>0.37</v>
      </c>
      <c r="Q78" s="112">
        <v>4.66</v>
      </c>
    </row>
    <row r="79" spans="1:17" customFormat="1">
      <c r="A79" s="80">
        <v>45557.739583333336</v>
      </c>
      <c r="B79" s="112">
        <v>9.2100000000000009</v>
      </c>
      <c r="C79" s="112">
        <v>4.1399999999999997</v>
      </c>
      <c r="D79" s="112">
        <v>14</v>
      </c>
      <c r="E79" s="112">
        <v>10.59</v>
      </c>
      <c r="F79" s="112">
        <v>5.14</v>
      </c>
      <c r="G79" s="112">
        <v>56.57</v>
      </c>
      <c r="H79" s="112">
        <v>23.09</v>
      </c>
      <c r="I79" s="112">
        <v>5.32</v>
      </c>
      <c r="J79" s="112">
        <v>0.17</v>
      </c>
      <c r="K79" s="112">
        <v>237.28</v>
      </c>
      <c r="L79" s="112">
        <v>25.66</v>
      </c>
      <c r="M79" s="112">
        <v>93.25</v>
      </c>
      <c r="N79" s="112">
        <v>3.2</v>
      </c>
      <c r="O79" s="112">
        <v>0</v>
      </c>
      <c r="P79" s="112">
        <v>0.36</v>
      </c>
      <c r="Q79" s="112">
        <v>4.6399999999999997</v>
      </c>
    </row>
    <row r="80" spans="1:17" customFormat="1">
      <c r="A80" s="80">
        <v>45557.75</v>
      </c>
      <c r="B80" s="112">
        <v>9.19</v>
      </c>
      <c r="C80" s="112">
        <v>4.17</v>
      </c>
      <c r="D80" s="112">
        <v>14</v>
      </c>
      <c r="E80" s="112">
        <v>10.76</v>
      </c>
      <c r="F80" s="112">
        <v>5.24</v>
      </c>
      <c r="G80" s="112">
        <v>56.57</v>
      </c>
      <c r="H80" s="112">
        <v>23.09</v>
      </c>
      <c r="I80" s="112">
        <v>5.17</v>
      </c>
      <c r="J80" s="112">
        <v>0.08</v>
      </c>
      <c r="K80" s="112">
        <v>176.85</v>
      </c>
      <c r="L80" s="112">
        <v>25.59</v>
      </c>
      <c r="M80" s="112">
        <v>94.09</v>
      </c>
      <c r="N80" s="112">
        <v>2.7</v>
      </c>
      <c r="O80" s="112">
        <v>0</v>
      </c>
      <c r="P80" s="112">
        <v>0.36</v>
      </c>
      <c r="Q80" s="112">
        <v>4.6500000000000004</v>
      </c>
    </row>
    <row r="81" spans="1:17" customFormat="1">
      <c r="A81" s="80">
        <v>45557.760416666664</v>
      </c>
      <c r="B81" s="112">
        <v>9.19</v>
      </c>
      <c r="C81" s="112">
        <v>4.18</v>
      </c>
      <c r="D81" s="112">
        <v>14</v>
      </c>
      <c r="E81" s="112">
        <v>8.51</v>
      </c>
      <c r="F81" s="112">
        <v>4.8499999999999996</v>
      </c>
      <c r="G81" s="112">
        <v>56.57</v>
      </c>
      <c r="H81" s="112">
        <v>23.09</v>
      </c>
      <c r="I81" s="112">
        <v>5.04</v>
      </c>
      <c r="J81" s="112">
        <v>0.11</v>
      </c>
      <c r="K81" s="112">
        <v>191.14</v>
      </c>
      <c r="L81" s="112">
        <v>25.68</v>
      </c>
      <c r="M81" s="112">
        <v>93.94</v>
      </c>
      <c r="N81" s="112">
        <v>2.8</v>
      </c>
      <c r="O81" s="112">
        <v>0</v>
      </c>
      <c r="P81" s="112">
        <v>0.35</v>
      </c>
      <c r="Q81" s="112">
        <v>4.66</v>
      </c>
    </row>
    <row r="82" spans="1:17" customFormat="1">
      <c r="A82" s="80">
        <v>45557.770833333336</v>
      </c>
      <c r="B82" s="112">
        <v>9.1999999999999993</v>
      </c>
      <c r="C82" s="112">
        <v>4.16</v>
      </c>
      <c r="D82" s="112">
        <v>14</v>
      </c>
      <c r="E82" s="112">
        <v>10.14</v>
      </c>
      <c r="F82" s="112">
        <v>5.04</v>
      </c>
      <c r="G82" s="112">
        <v>54.71</v>
      </c>
      <c r="H82" s="112">
        <v>23.31</v>
      </c>
      <c r="I82" s="112">
        <v>4.8099999999999996</v>
      </c>
      <c r="J82" s="112">
        <v>0.15</v>
      </c>
      <c r="K82" s="112">
        <v>236.19</v>
      </c>
      <c r="L82" s="112">
        <v>25.6</v>
      </c>
      <c r="M82" s="112">
        <v>95.01</v>
      </c>
      <c r="N82" s="112">
        <v>2.4</v>
      </c>
      <c r="O82" s="112">
        <v>0</v>
      </c>
      <c r="P82" s="112">
        <v>0.35</v>
      </c>
      <c r="Q82" s="112">
        <v>4.67</v>
      </c>
    </row>
    <row r="83" spans="1:17" customFormat="1">
      <c r="A83" s="80">
        <v>45557.78125</v>
      </c>
      <c r="B83" s="112">
        <v>9.2100000000000009</v>
      </c>
      <c r="C83" s="112">
        <v>4.1500000000000004</v>
      </c>
      <c r="D83" s="112">
        <v>14</v>
      </c>
      <c r="E83" s="112">
        <v>10.26</v>
      </c>
      <c r="F83" s="112">
        <v>4.5</v>
      </c>
      <c r="G83" s="112">
        <v>35.68</v>
      </c>
      <c r="H83" s="112">
        <v>24.92</v>
      </c>
      <c r="I83" s="112">
        <v>4.99</v>
      </c>
      <c r="J83" s="112">
        <v>0.15</v>
      </c>
      <c r="K83" s="112">
        <v>189.98</v>
      </c>
      <c r="L83" s="112">
        <v>25.71</v>
      </c>
      <c r="M83" s="112">
        <v>95.46</v>
      </c>
      <c r="N83" s="112">
        <v>2.6</v>
      </c>
      <c r="O83" s="112">
        <v>0</v>
      </c>
      <c r="P83" s="112">
        <v>0.36</v>
      </c>
      <c r="Q83" s="112">
        <v>4.66</v>
      </c>
    </row>
    <row r="84" spans="1:17" customFormat="1">
      <c r="A84" s="80">
        <v>45557.791666666664</v>
      </c>
      <c r="B84" s="112">
        <v>9.2200000000000006</v>
      </c>
      <c r="C84" s="112">
        <v>4.13</v>
      </c>
      <c r="D84" s="112">
        <v>14</v>
      </c>
      <c r="E84" s="112">
        <v>10.36</v>
      </c>
      <c r="F84" s="112">
        <v>4.37</v>
      </c>
      <c r="G84" s="112">
        <v>35.68</v>
      </c>
      <c r="H84" s="112">
        <v>24.92</v>
      </c>
      <c r="I84" s="112">
        <v>4.74</v>
      </c>
      <c r="J84" s="112">
        <v>0.14000000000000001</v>
      </c>
      <c r="K84" s="112">
        <v>166.5</v>
      </c>
      <c r="L84" s="112">
        <v>25.6</v>
      </c>
      <c r="M84" s="112">
        <v>94.98</v>
      </c>
      <c r="N84" s="112">
        <v>2.8</v>
      </c>
      <c r="O84" s="112">
        <v>0</v>
      </c>
      <c r="P84" s="112">
        <v>0.35</v>
      </c>
      <c r="Q84" s="112">
        <v>4.6500000000000004</v>
      </c>
    </row>
    <row r="85" spans="1:17" customFormat="1">
      <c r="A85" s="80">
        <v>45557.802083333336</v>
      </c>
      <c r="B85" s="112">
        <v>9.23</v>
      </c>
      <c r="C85" s="112">
        <v>4.12</v>
      </c>
      <c r="D85" s="112">
        <v>14</v>
      </c>
      <c r="E85" s="112">
        <v>9.94</v>
      </c>
      <c r="F85" s="112">
        <v>4.5</v>
      </c>
      <c r="G85" s="112">
        <v>35.68</v>
      </c>
      <c r="H85" s="112">
        <v>24.92</v>
      </c>
      <c r="I85" s="112">
        <v>4.8099999999999996</v>
      </c>
      <c r="J85" s="112">
        <v>0.18</v>
      </c>
      <c r="K85" s="112">
        <v>85.57</v>
      </c>
      <c r="L85" s="112">
        <v>25.64</v>
      </c>
      <c r="M85" s="112">
        <v>94.48</v>
      </c>
      <c r="N85" s="112">
        <v>2.7</v>
      </c>
      <c r="O85" s="112">
        <v>0</v>
      </c>
      <c r="P85" s="112">
        <v>0.34</v>
      </c>
      <c r="Q85" s="112">
        <v>4.66</v>
      </c>
    </row>
    <row r="86" spans="1:17" customFormat="1">
      <c r="A86" s="80">
        <v>45557.8125</v>
      </c>
      <c r="B86" s="112">
        <v>9.1999999999999993</v>
      </c>
      <c r="C86" s="112">
        <v>4.16</v>
      </c>
      <c r="D86" s="112">
        <v>14</v>
      </c>
      <c r="E86" s="112">
        <v>10.34</v>
      </c>
      <c r="F86" s="112">
        <v>4.8099999999999996</v>
      </c>
      <c r="G86" s="112">
        <v>36.729999999999997</v>
      </c>
      <c r="H86" s="112">
        <v>24.26</v>
      </c>
      <c r="I86" s="112">
        <v>4.79</v>
      </c>
      <c r="J86" s="112">
        <v>0.13</v>
      </c>
      <c r="K86" s="112">
        <v>203.58</v>
      </c>
      <c r="L86" s="112">
        <v>25.83</v>
      </c>
      <c r="M86" s="112">
        <v>92.74</v>
      </c>
      <c r="N86" s="112">
        <v>2.9</v>
      </c>
      <c r="O86" s="112">
        <v>0</v>
      </c>
      <c r="P86" s="112">
        <v>0.35</v>
      </c>
      <c r="Q86" s="112">
        <v>4.66</v>
      </c>
    </row>
    <row r="87" spans="1:17" customFormat="1">
      <c r="A87" s="80">
        <v>45557.822916666664</v>
      </c>
      <c r="B87" s="112">
        <v>9.1999999999999993</v>
      </c>
      <c r="C87" s="112">
        <v>4.16</v>
      </c>
      <c r="D87" s="112">
        <v>14</v>
      </c>
      <c r="E87" s="112">
        <v>10.199999999999999</v>
      </c>
      <c r="F87" s="112">
        <v>5.78</v>
      </c>
      <c r="G87" s="112">
        <v>47.55</v>
      </c>
      <c r="H87" s="112">
        <v>19.37</v>
      </c>
      <c r="I87" s="112">
        <v>4.88</v>
      </c>
      <c r="J87" s="112">
        <v>0.19</v>
      </c>
      <c r="K87" s="112">
        <v>209.61</v>
      </c>
      <c r="L87" s="112">
        <v>25.81</v>
      </c>
      <c r="M87" s="112">
        <v>93.81</v>
      </c>
      <c r="N87" s="112">
        <v>2.5</v>
      </c>
      <c r="O87" s="112">
        <v>0</v>
      </c>
      <c r="P87" s="112">
        <v>0.35</v>
      </c>
      <c r="Q87" s="112">
        <v>4.6500000000000004</v>
      </c>
    </row>
    <row r="88" spans="1:17" customFormat="1">
      <c r="A88" s="80">
        <v>45557.833333333336</v>
      </c>
      <c r="B88" s="112">
        <v>9.2100000000000009</v>
      </c>
      <c r="C88" s="112">
        <v>4.1500000000000004</v>
      </c>
      <c r="D88" s="112">
        <v>14</v>
      </c>
      <c r="E88" s="112">
        <v>10.68</v>
      </c>
      <c r="F88" s="112">
        <v>4.76</v>
      </c>
      <c r="G88" s="112">
        <v>47.55</v>
      </c>
      <c r="H88" s="112">
        <v>19.37</v>
      </c>
      <c r="I88" s="112">
        <v>4.8</v>
      </c>
      <c r="J88" s="112">
        <v>0.15</v>
      </c>
      <c r="K88" s="112">
        <v>166.09</v>
      </c>
      <c r="L88" s="112">
        <v>25.93</v>
      </c>
      <c r="M88" s="112">
        <v>94.05</v>
      </c>
      <c r="N88" s="112">
        <v>2.4</v>
      </c>
      <c r="O88" s="112">
        <v>0</v>
      </c>
      <c r="P88" s="112">
        <v>0.34</v>
      </c>
      <c r="Q88" s="112">
        <v>4.6399999999999997</v>
      </c>
    </row>
    <row r="89" spans="1:17" customFormat="1">
      <c r="A89" s="80">
        <v>45557.84375</v>
      </c>
      <c r="B89" s="112">
        <v>9.19</v>
      </c>
      <c r="C89" s="112">
        <v>4.18</v>
      </c>
      <c r="D89" s="112">
        <v>14</v>
      </c>
      <c r="E89" s="112">
        <v>11.07</v>
      </c>
      <c r="F89" s="112">
        <v>4.5999999999999996</v>
      </c>
      <c r="G89" s="112">
        <v>47.55</v>
      </c>
      <c r="H89" s="112">
        <v>19.37</v>
      </c>
      <c r="I89" s="112">
        <v>4.7699999999999996</v>
      </c>
      <c r="J89" s="112">
        <v>0.14000000000000001</v>
      </c>
      <c r="K89" s="112">
        <v>167.79</v>
      </c>
      <c r="L89" s="112">
        <v>25.83</v>
      </c>
      <c r="M89" s="112">
        <v>94.5</v>
      </c>
      <c r="N89" s="112">
        <v>2.5</v>
      </c>
      <c r="O89" s="112">
        <v>0</v>
      </c>
      <c r="P89" s="112">
        <v>0.35</v>
      </c>
      <c r="Q89" s="112">
        <v>4.6500000000000004</v>
      </c>
    </row>
    <row r="90" spans="1:17" customFormat="1">
      <c r="A90" s="80">
        <v>45557.854166666664</v>
      </c>
      <c r="B90" s="112">
        <v>9.18</v>
      </c>
      <c r="C90" s="112">
        <v>4.1900000000000004</v>
      </c>
      <c r="D90" s="112">
        <v>14</v>
      </c>
      <c r="E90" s="112">
        <v>10.25</v>
      </c>
      <c r="F90" s="112">
        <v>4.8099999999999996</v>
      </c>
      <c r="G90" s="112">
        <v>46.93</v>
      </c>
      <c r="H90" s="112">
        <v>19.05</v>
      </c>
      <c r="I90" s="112">
        <v>4.6900000000000004</v>
      </c>
      <c r="J90" s="112">
        <v>7.0000000000000007E-2</v>
      </c>
      <c r="K90" s="112">
        <v>188.87</v>
      </c>
      <c r="L90" s="112">
        <v>25.79</v>
      </c>
      <c r="M90" s="112">
        <v>94.1</v>
      </c>
      <c r="N90" s="112">
        <v>2.6</v>
      </c>
      <c r="O90" s="112">
        <v>0</v>
      </c>
      <c r="P90" s="112">
        <v>0.35</v>
      </c>
      <c r="Q90" s="112">
        <v>4.66</v>
      </c>
    </row>
    <row r="91" spans="1:17" customFormat="1">
      <c r="A91" s="80">
        <v>45557.864583333336</v>
      </c>
      <c r="B91" s="112">
        <v>9.18</v>
      </c>
      <c r="C91" s="112">
        <v>4.1900000000000004</v>
      </c>
      <c r="D91" s="112">
        <v>14</v>
      </c>
      <c r="E91" s="112">
        <v>11.54</v>
      </c>
      <c r="F91" s="112">
        <v>3.74</v>
      </c>
      <c r="G91" s="112">
        <v>41.37</v>
      </c>
      <c r="H91" s="112">
        <v>16.7</v>
      </c>
      <c r="I91" s="112">
        <v>4.72</v>
      </c>
      <c r="J91" s="112">
        <v>0.11</v>
      </c>
      <c r="K91" s="112">
        <v>201.11</v>
      </c>
      <c r="L91" s="112">
        <v>25.74</v>
      </c>
      <c r="M91" s="112">
        <v>95.27</v>
      </c>
      <c r="N91" s="112">
        <v>2.4</v>
      </c>
      <c r="O91" s="112">
        <v>0</v>
      </c>
      <c r="P91" s="112">
        <v>0.38</v>
      </c>
      <c r="Q91" s="112">
        <v>4.66</v>
      </c>
    </row>
    <row r="92" spans="1:17" customFormat="1">
      <c r="A92" s="80">
        <v>45557.875</v>
      </c>
      <c r="B92" s="112">
        <v>9.19</v>
      </c>
      <c r="C92" s="112">
        <v>4.17</v>
      </c>
      <c r="D92" s="112">
        <v>14</v>
      </c>
      <c r="E92" s="112">
        <v>10.87</v>
      </c>
      <c r="F92" s="112">
        <v>3.91</v>
      </c>
      <c r="G92" s="112">
        <v>41.37</v>
      </c>
      <c r="H92" s="112">
        <v>16.7</v>
      </c>
      <c r="I92" s="112">
        <v>4.6500000000000004</v>
      </c>
      <c r="J92" s="112">
        <v>0.11</v>
      </c>
      <c r="K92" s="112">
        <v>213.54</v>
      </c>
      <c r="L92" s="112">
        <v>25.67</v>
      </c>
      <c r="M92" s="112">
        <v>96.98</v>
      </c>
      <c r="N92" s="112">
        <v>2.2000000000000002</v>
      </c>
      <c r="O92" s="112">
        <v>0</v>
      </c>
      <c r="P92" s="112">
        <v>0.37</v>
      </c>
      <c r="Q92" s="112">
        <v>4.66</v>
      </c>
    </row>
    <row r="93" spans="1:17" customFormat="1">
      <c r="A93" s="80">
        <v>45557.885416666664</v>
      </c>
      <c r="B93" s="112">
        <v>9.19</v>
      </c>
      <c r="C93" s="112">
        <v>4.18</v>
      </c>
      <c r="D93" s="112">
        <v>14</v>
      </c>
      <c r="E93" s="112">
        <v>10.95</v>
      </c>
      <c r="F93" s="112">
        <v>4.0199999999999996</v>
      </c>
      <c r="G93" s="112">
        <v>41.37</v>
      </c>
      <c r="H93" s="112">
        <v>16.7</v>
      </c>
      <c r="I93" s="112">
        <v>4.7699999999999996</v>
      </c>
      <c r="J93" s="112">
        <v>0.12</v>
      </c>
      <c r="K93" s="112">
        <v>171.83</v>
      </c>
      <c r="L93" s="112">
        <v>25.69</v>
      </c>
      <c r="M93" s="112">
        <v>96.55</v>
      </c>
      <c r="N93" s="112">
        <v>2.4</v>
      </c>
      <c r="O93" s="112">
        <v>0</v>
      </c>
      <c r="P93" s="112">
        <v>0.37</v>
      </c>
      <c r="Q93" s="112">
        <v>4.6500000000000004</v>
      </c>
    </row>
    <row r="94" spans="1:17" customFormat="1">
      <c r="A94" s="80">
        <v>45557.895833333336</v>
      </c>
      <c r="B94" s="112">
        <v>9.19</v>
      </c>
      <c r="C94" s="112">
        <v>4.18</v>
      </c>
      <c r="D94" s="112">
        <v>14</v>
      </c>
      <c r="E94" s="112">
        <v>9.4600000000000009</v>
      </c>
      <c r="F94" s="112">
        <v>4.5599999999999996</v>
      </c>
      <c r="G94" s="112">
        <v>40.32</v>
      </c>
      <c r="H94" s="112">
        <v>16.36</v>
      </c>
      <c r="I94" s="112">
        <v>4.84</v>
      </c>
      <c r="J94" s="112">
        <v>0.13</v>
      </c>
      <c r="K94" s="112">
        <v>183.78</v>
      </c>
      <c r="L94" s="112">
        <v>25.71</v>
      </c>
      <c r="M94" s="112">
        <v>96.95</v>
      </c>
      <c r="N94" s="112">
        <v>2.2000000000000002</v>
      </c>
      <c r="O94" s="112">
        <v>0</v>
      </c>
      <c r="P94" s="112">
        <v>0.38</v>
      </c>
      <c r="Q94" s="112">
        <v>4.66</v>
      </c>
    </row>
    <row r="95" spans="1:17" customFormat="1">
      <c r="A95" s="80">
        <v>45557.90625</v>
      </c>
      <c r="B95" s="112">
        <v>9.2100000000000009</v>
      </c>
      <c r="C95" s="112">
        <v>4.1399999999999997</v>
      </c>
      <c r="D95" s="112">
        <v>14</v>
      </c>
      <c r="E95" s="112">
        <v>9.76</v>
      </c>
      <c r="F95" s="112">
        <v>4.74</v>
      </c>
      <c r="G95" s="112">
        <v>30.85</v>
      </c>
      <c r="H95" s="112">
        <v>13.84</v>
      </c>
      <c r="I95" s="112">
        <v>4.92</v>
      </c>
      <c r="J95" s="112">
        <v>7.0000000000000007E-2</v>
      </c>
      <c r="K95" s="112">
        <v>144.57</v>
      </c>
      <c r="L95" s="112">
        <v>25.73</v>
      </c>
      <c r="M95" s="112">
        <v>96.31</v>
      </c>
      <c r="N95" s="112">
        <v>2.2999999999999998</v>
      </c>
      <c r="O95" s="112">
        <v>0</v>
      </c>
      <c r="P95" s="112">
        <v>0.38</v>
      </c>
      <c r="Q95" s="112">
        <v>4.6500000000000004</v>
      </c>
    </row>
    <row r="96" spans="1:17" customFormat="1">
      <c r="A96" s="80">
        <v>45557.916666666664</v>
      </c>
      <c r="B96" s="112">
        <v>9.2100000000000009</v>
      </c>
      <c r="C96" s="112">
        <v>4.1500000000000004</v>
      </c>
      <c r="D96" s="112">
        <v>14</v>
      </c>
      <c r="E96" s="112">
        <v>9.36</v>
      </c>
      <c r="F96" s="112">
        <v>4.42</v>
      </c>
      <c r="G96" s="112">
        <v>30.85</v>
      </c>
      <c r="H96" s="112">
        <v>13.84</v>
      </c>
      <c r="I96" s="112">
        <v>4.9400000000000004</v>
      </c>
      <c r="J96" s="112">
        <v>0.12</v>
      </c>
      <c r="K96" s="112">
        <v>184.92</v>
      </c>
      <c r="L96" s="112">
        <v>25.69</v>
      </c>
      <c r="M96" s="112">
        <v>97.15</v>
      </c>
      <c r="N96" s="112">
        <v>2.2000000000000002</v>
      </c>
      <c r="O96" s="112">
        <v>0</v>
      </c>
      <c r="P96" s="112">
        <v>0.38</v>
      </c>
      <c r="Q96" s="112">
        <v>4.6500000000000004</v>
      </c>
    </row>
    <row r="97" spans="1:22" customFormat="1">
      <c r="A97" s="80">
        <v>45557.927083333336</v>
      </c>
      <c r="B97" s="112">
        <v>9.2100000000000009</v>
      </c>
      <c r="C97" s="112">
        <v>4.1399999999999997</v>
      </c>
      <c r="D97" s="112">
        <v>14</v>
      </c>
      <c r="E97" s="112">
        <v>8.4700000000000006</v>
      </c>
      <c r="F97" s="112">
        <v>4.4400000000000004</v>
      </c>
      <c r="G97" s="112">
        <v>30.85</v>
      </c>
      <c r="H97" s="112">
        <v>13.84</v>
      </c>
      <c r="I97" s="112">
        <v>4.97</v>
      </c>
      <c r="J97" s="112">
        <v>0.1</v>
      </c>
      <c r="K97" s="112">
        <v>230.36</v>
      </c>
      <c r="L97" s="112">
        <v>25.49</v>
      </c>
      <c r="M97" s="112">
        <v>97.21</v>
      </c>
      <c r="N97" s="112">
        <v>2.5</v>
      </c>
      <c r="O97" s="112">
        <v>0</v>
      </c>
      <c r="P97" s="112">
        <v>0.38</v>
      </c>
      <c r="Q97" s="112">
        <v>4.6399999999999997</v>
      </c>
    </row>
    <row r="98" spans="1:22" customFormat="1">
      <c r="A98" s="80">
        <v>45557.9375</v>
      </c>
      <c r="B98" s="112">
        <v>9.23</v>
      </c>
      <c r="C98" s="112">
        <v>4.1100000000000003</v>
      </c>
      <c r="D98" s="112">
        <v>14</v>
      </c>
      <c r="E98" s="112">
        <v>8.8800000000000008</v>
      </c>
      <c r="F98" s="112">
        <v>4.32</v>
      </c>
      <c r="G98" s="112">
        <v>32.01</v>
      </c>
      <c r="H98" s="112">
        <v>13.91</v>
      </c>
      <c r="I98" s="112">
        <v>5.0199999999999996</v>
      </c>
      <c r="J98" s="112">
        <v>0.11</v>
      </c>
      <c r="K98" s="112">
        <v>234.38</v>
      </c>
      <c r="L98" s="112">
        <v>25.45</v>
      </c>
      <c r="M98" s="112">
        <v>97.5</v>
      </c>
      <c r="N98" s="112">
        <v>2.1</v>
      </c>
      <c r="O98" s="112">
        <v>0</v>
      </c>
      <c r="P98" s="112">
        <v>0.38</v>
      </c>
      <c r="Q98" s="112">
        <v>4.6399999999999997</v>
      </c>
    </row>
    <row r="99" spans="1:22" customFormat="1">
      <c r="A99" s="80">
        <v>45557.947916666664</v>
      </c>
      <c r="B99" s="112">
        <v>9.23</v>
      </c>
      <c r="C99" s="112">
        <v>4.1100000000000003</v>
      </c>
      <c r="D99" s="112">
        <v>14</v>
      </c>
      <c r="E99" s="112">
        <v>8.5399999999999991</v>
      </c>
      <c r="F99" s="112">
        <v>4.49</v>
      </c>
      <c r="G99" s="112">
        <v>42.41</v>
      </c>
      <c r="H99" s="112">
        <v>14.44</v>
      </c>
      <c r="I99" s="112">
        <v>5.0199999999999996</v>
      </c>
      <c r="J99" s="112">
        <v>0.12</v>
      </c>
      <c r="K99" s="112">
        <v>221.42</v>
      </c>
      <c r="L99" s="112">
        <v>25.42</v>
      </c>
      <c r="M99" s="112">
        <v>97.88</v>
      </c>
      <c r="N99" s="112">
        <v>2.2000000000000002</v>
      </c>
      <c r="O99" s="112">
        <v>0</v>
      </c>
      <c r="P99" s="112">
        <v>0.38</v>
      </c>
      <c r="Q99" s="112">
        <v>4.6500000000000004</v>
      </c>
    </row>
    <row r="100" spans="1:22" customFormat="1">
      <c r="A100" s="80">
        <v>45557.958333333336</v>
      </c>
      <c r="B100" s="112">
        <v>9.26</v>
      </c>
      <c r="C100" s="112">
        <v>4.08</v>
      </c>
      <c r="D100" s="112">
        <v>14.01</v>
      </c>
      <c r="E100" s="112">
        <v>8.5500000000000007</v>
      </c>
      <c r="F100" s="112">
        <v>4.3099999999999996</v>
      </c>
      <c r="G100" s="112">
        <v>42.41</v>
      </c>
      <c r="H100" s="112">
        <v>14.44</v>
      </c>
      <c r="I100" s="112">
        <v>4.97</v>
      </c>
      <c r="J100" s="112">
        <v>0.28999999999999998</v>
      </c>
      <c r="K100" s="112">
        <v>264.33</v>
      </c>
      <c r="L100" s="112">
        <v>25.44</v>
      </c>
      <c r="M100" s="112">
        <v>97.31</v>
      </c>
      <c r="N100" s="112">
        <v>2.6</v>
      </c>
      <c r="O100" s="112">
        <v>0</v>
      </c>
      <c r="P100" s="112">
        <v>0.37</v>
      </c>
      <c r="Q100" s="112">
        <v>4.6500000000000004</v>
      </c>
    </row>
    <row r="101" spans="1:22" customFormat="1">
      <c r="A101" s="80">
        <v>45557.96875</v>
      </c>
      <c r="B101" s="112">
        <v>9.2799999999999994</v>
      </c>
      <c r="C101" s="112">
        <v>4.0599999999999996</v>
      </c>
      <c r="D101" s="112">
        <v>14.01</v>
      </c>
      <c r="E101" s="112">
        <v>8.58</v>
      </c>
      <c r="F101" s="112">
        <v>4.29</v>
      </c>
      <c r="G101" s="112">
        <v>42.41</v>
      </c>
      <c r="H101" s="112">
        <v>14.44</v>
      </c>
      <c r="I101" s="112">
        <v>5.01</v>
      </c>
      <c r="J101" s="112">
        <v>0.08</v>
      </c>
      <c r="K101" s="112">
        <v>229.1</v>
      </c>
      <c r="L101" s="112">
        <v>25.5</v>
      </c>
      <c r="M101" s="112">
        <v>96.88</v>
      </c>
      <c r="N101" s="112">
        <v>2.2999999999999998</v>
      </c>
      <c r="O101" s="112">
        <v>0</v>
      </c>
      <c r="P101" s="112">
        <v>0.37</v>
      </c>
      <c r="Q101" s="112">
        <v>4.6500000000000004</v>
      </c>
    </row>
    <row r="102" spans="1:22" customFormat="1">
      <c r="A102" s="80">
        <v>45557.979166666664</v>
      </c>
      <c r="B102" s="112">
        <v>9.2799999999999994</v>
      </c>
      <c r="C102" s="112">
        <v>4.08</v>
      </c>
      <c r="D102" s="112">
        <v>14.02</v>
      </c>
      <c r="E102" s="112">
        <v>8.2100000000000009</v>
      </c>
      <c r="F102" s="112">
        <v>4.6100000000000003</v>
      </c>
      <c r="G102" s="112">
        <v>41.67</v>
      </c>
      <c r="H102" s="112">
        <v>14.62</v>
      </c>
      <c r="I102" s="112">
        <v>5.05</v>
      </c>
      <c r="J102" s="112">
        <v>0.12</v>
      </c>
      <c r="K102" s="112">
        <v>185.8</v>
      </c>
      <c r="L102" s="112">
        <v>25.35</v>
      </c>
      <c r="M102" s="112">
        <v>97.12</v>
      </c>
      <c r="N102" s="112">
        <v>2.4</v>
      </c>
      <c r="O102" s="112">
        <v>0</v>
      </c>
      <c r="P102" s="112">
        <v>0.36</v>
      </c>
      <c r="Q102" s="112">
        <v>4.6500000000000004</v>
      </c>
    </row>
    <row r="103" spans="1:22" customFormat="1">
      <c r="A103" s="80">
        <v>45557.989583333336</v>
      </c>
      <c r="B103" s="112">
        <v>9.3000000000000007</v>
      </c>
      <c r="C103" s="112">
        <v>4.0599999999999996</v>
      </c>
      <c r="D103" s="112">
        <v>14.02</v>
      </c>
      <c r="E103" s="112">
        <v>7.84</v>
      </c>
      <c r="F103" s="112">
        <v>4.72</v>
      </c>
      <c r="G103" s="112">
        <v>35</v>
      </c>
      <c r="H103" s="112">
        <v>16.100000000000001</v>
      </c>
      <c r="I103" s="112">
        <v>5.0199999999999996</v>
      </c>
      <c r="J103" s="112">
        <v>0.08</v>
      </c>
      <c r="K103" s="112">
        <v>208.85</v>
      </c>
      <c r="L103" s="112">
        <v>25.35</v>
      </c>
      <c r="M103" s="112">
        <v>97.23</v>
      </c>
      <c r="N103" s="112">
        <v>2.2999999999999998</v>
      </c>
      <c r="O103" s="112">
        <v>0</v>
      </c>
      <c r="P103" s="112">
        <v>0.35</v>
      </c>
      <c r="Q103" s="112">
        <v>4.6399999999999997</v>
      </c>
    </row>
    <row r="104" spans="1:22" customFormat="1">
      <c r="A104" s="80">
        <v>45558</v>
      </c>
      <c r="B104" s="112">
        <v>9.2799999999999994</v>
      </c>
      <c r="C104" s="112">
        <v>4.09</v>
      </c>
      <c r="D104" s="112">
        <v>14.03</v>
      </c>
      <c r="E104" s="112">
        <v>7.58</v>
      </c>
      <c r="F104" s="112">
        <v>4.21</v>
      </c>
      <c r="G104" s="112">
        <v>35</v>
      </c>
      <c r="H104" s="112">
        <v>16.100000000000001</v>
      </c>
      <c r="I104" s="112">
        <v>4.93</v>
      </c>
      <c r="J104" s="112">
        <v>0.11</v>
      </c>
      <c r="K104" s="112">
        <v>208.42</v>
      </c>
      <c r="L104" s="112">
        <v>25.37</v>
      </c>
      <c r="M104" s="112">
        <v>97.58</v>
      </c>
      <c r="N104" s="112">
        <v>2.2000000000000002</v>
      </c>
      <c r="O104" s="112">
        <v>0</v>
      </c>
      <c r="P104" s="112">
        <v>0.36</v>
      </c>
      <c r="Q104" s="112">
        <v>4.66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9.17</v>
      </c>
      <c r="C106" s="183">
        <f>MIN(C9:C104)</f>
        <v>4.04</v>
      </c>
      <c r="D106" s="183">
        <f t="shared" ref="D106:Q106" si="0">MIN(D9:D104)</f>
        <v>14</v>
      </c>
      <c r="E106" s="183">
        <f t="shared" si="0"/>
        <v>7.58</v>
      </c>
      <c r="F106" s="183">
        <f t="shared" si="0"/>
        <v>3.74</v>
      </c>
      <c r="G106" s="183">
        <f t="shared" si="0"/>
        <v>30.85</v>
      </c>
      <c r="H106" s="183">
        <f t="shared" si="0"/>
        <v>13.84</v>
      </c>
      <c r="I106" s="183">
        <f t="shared" si="0"/>
        <v>4.6500000000000004</v>
      </c>
      <c r="J106" s="183">
        <f t="shared" si="0"/>
        <v>0.01</v>
      </c>
      <c r="K106" s="183">
        <f t="shared" si="0"/>
        <v>0.59</v>
      </c>
      <c r="L106" s="183">
        <f t="shared" si="0"/>
        <v>24.36</v>
      </c>
      <c r="M106" s="183">
        <f t="shared" si="0"/>
        <v>63.41</v>
      </c>
      <c r="N106" s="183">
        <f t="shared" si="0"/>
        <v>1.8</v>
      </c>
      <c r="O106" s="183">
        <f t="shared" si="0"/>
        <v>0</v>
      </c>
      <c r="P106" s="183">
        <f t="shared" si="0"/>
        <v>0.34</v>
      </c>
      <c r="Q106" s="183">
        <f t="shared" si="0"/>
        <v>4.6100000000000003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9.39</v>
      </c>
      <c r="C107" s="184">
        <f t="shared" ref="C107:Q107" si="1">MAX(C9:C104)</f>
        <v>4.21</v>
      </c>
      <c r="D107" s="184">
        <f t="shared" si="1"/>
        <v>14.11</v>
      </c>
      <c r="E107" s="184">
        <f t="shared" si="1"/>
        <v>44.65</v>
      </c>
      <c r="F107" s="184">
        <f t="shared" si="1"/>
        <v>15.1</v>
      </c>
      <c r="G107" s="184">
        <f t="shared" si="1"/>
        <v>136.24</v>
      </c>
      <c r="H107" s="184">
        <f t="shared" si="1"/>
        <v>47.18</v>
      </c>
      <c r="I107" s="184">
        <f t="shared" si="1"/>
        <v>7.3</v>
      </c>
      <c r="J107" s="184">
        <f t="shared" si="1"/>
        <v>1.28</v>
      </c>
      <c r="K107" s="184">
        <f t="shared" si="1"/>
        <v>341.83</v>
      </c>
      <c r="L107" s="184">
        <f t="shared" si="1"/>
        <v>33.1</v>
      </c>
      <c r="M107" s="184">
        <f t="shared" si="1"/>
        <v>97.88</v>
      </c>
      <c r="N107" s="184">
        <f t="shared" si="1"/>
        <v>493.4</v>
      </c>
      <c r="O107" s="184">
        <f t="shared" si="1"/>
        <v>4.8</v>
      </c>
      <c r="P107" s="184">
        <f t="shared" si="1"/>
        <v>0.75</v>
      </c>
      <c r="Q107" s="184">
        <f t="shared" si="1"/>
        <v>4.68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9.2365625000000033</v>
      </c>
      <c r="C108" s="183">
        <f t="shared" ref="C108:Q108" si="2">AVERAGE(C9:C104)</f>
        <v>4.120729166666667</v>
      </c>
      <c r="D108" s="183">
        <f t="shared" si="2"/>
        <v>14.00916666666666</v>
      </c>
      <c r="E108" s="183">
        <f t="shared" si="2"/>
        <v>13.228333333333332</v>
      </c>
      <c r="F108" s="183">
        <f t="shared" si="2"/>
        <v>6.4454166666666639</v>
      </c>
      <c r="G108" s="183">
        <f t="shared" si="2"/>
        <v>72.988958333333343</v>
      </c>
      <c r="H108" s="183">
        <f t="shared" si="2"/>
        <v>31.681041666666669</v>
      </c>
      <c r="I108" s="183">
        <f t="shared" si="2"/>
        <v>6.0178125000000007</v>
      </c>
      <c r="J108" s="183">
        <f t="shared" si="2"/>
        <v>0.38291666666666657</v>
      </c>
      <c r="K108" s="183">
        <f t="shared" si="2"/>
        <v>141.04593750000001</v>
      </c>
      <c r="L108" s="183">
        <f t="shared" si="2"/>
        <v>27.679999999999993</v>
      </c>
      <c r="M108" s="183">
        <f t="shared" si="2"/>
        <v>84.048645833333325</v>
      </c>
      <c r="N108" s="183">
        <f t="shared" si="2"/>
        <v>87.702083333333363</v>
      </c>
      <c r="O108" s="183">
        <f t="shared" si="2"/>
        <v>7.0833333333333331E-2</v>
      </c>
      <c r="P108" s="183">
        <f t="shared" si="2"/>
        <v>0.53708333333333358</v>
      </c>
      <c r="Q108" s="183">
        <f t="shared" si="2"/>
        <v>4.6499999999999995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4.7347052928906126E-2</v>
      </c>
      <c r="C109" s="183">
        <f t="shared" ref="C109:Q109" si="3">STDEV(C9:C104)</f>
        <v>4.7021714841833165E-2</v>
      </c>
      <c r="D109" s="183">
        <f t="shared" si="3"/>
        <v>2.0087527770480399E-2</v>
      </c>
      <c r="E109" s="183">
        <f t="shared" si="3"/>
        <v>6.2108790235854858</v>
      </c>
      <c r="F109" s="183">
        <f t="shared" si="3"/>
        <v>2.694047206504965</v>
      </c>
      <c r="G109" s="183">
        <f t="shared" si="3"/>
        <v>26.121921605754526</v>
      </c>
      <c r="H109" s="183">
        <f t="shared" si="3"/>
        <v>10.224550586357481</v>
      </c>
      <c r="I109" s="183">
        <f t="shared" si="3"/>
        <v>0.78752403889792888</v>
      </c>
      <c r="J109" s="183">
        <f t="shared" si="3"/>
        <v>0.33895789729751236</v>
      </c>
      <c r="K109" s="183">
        <f t="shared" si="3"/>
        <v>89.985282253653779</v>
      </c>
      <c r="L109" s="183">
        <f t="shared" si="3"/>
        <v>2.8346595451380825</v>
      </c>
      <c r="M109" s="183">
        <f t="shared" si="3"/>
        <v>11.402574928016829</v>
      </c>
      <c r="N109" s="183">
        <f t="shared" si="3"/>
        <v>127.2129048230122</v>
      </c>
      <c r="O109" s="183">
        <f t="shared" si="3"/>
        <v>0.52873566506220471</v>
      </c>
      <c r="P109" s="183">
        <f t="shared" si="3"/>
        <v>0.13309210634718113</v>
      </c>
      <c r="Q109" s="183">
        <f t="shared" si="3"/>
        <v>1.399247918291149E-2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45558.010416666664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45558.010416666664</v>
      </c>
      <c r="B9" s="112">
        <v>9.26</v>
      </c>
      <c r="C9" s="112">
        <v>4.0999999999999996</v>
      </c>
      <c r="D9" s="112">
        <v>14.02</v>
      </c>
      <c r="E9" s="112">
        <v>7.88</v>
      </c>
      <c r="F9" s="112">
        <v>4.45</v>
      </c>
      <c r="G9" s="112">
        <v>35</v>
      </c>
      <c r="H9" s="112">
        <v>16.100000000000001</v>
      </c>
      <c r="I9" s="112">
        <v>4.99</v>
      </c>
      <c r="J9" s="112">
        <v>0.34</v>
      </c>
      <c r="K9" s="112">
        <v>64.599999999999994</v>
      </c>
      <c r="L9" s="112">
        <v>25.35</v>
      </c>
      <c r="M9" s="112">
        <v>96.69</v>
      </c>
      <c r="N9" s="112">
        <v>2.4</v>
      </c>
      <c r="O9" s="112">
        <v>0</v>
      </c>
      <c r="P9" s="112">
        <v>0.35</v>
      </c>
      <c r="Q9" s="112">
        <v>4.6500000000000004</v>
      </c>
    </row>
    <row r="10" spans="1:21" customFormat="1">
      <c r="A10" s="80">
        <v>45558.020833333336</v>
      </c>
      <c r="B10" s="112">
        <v>9.27</v>
      </c>
      <c r="C10" s="112">
        <v>4.0599999999999996</v>
      </c>
      <c r="D10" s="112">
        <v>14.01</v>
      </c>
      <c r="E10" s="112">
        <v>7.48</v>
      </c>
      <c r="F10" s="112">
        <v>5.14</v>
      </c>
      <c r="G10" s="112">
        <v>35.04</v>
      </c>
      <c r="H10" s="112">
        <v>16.3</v>
      </c>
      <c r="I10" s="112">
        <v>5.0199999999999996</v>
      </c>
      <c r="J10" s="112">
        <v>7.0000000000000007E-2</v>
      </c>
      <c r="K10" s="112">
        <v>238.67</v>
      </c>
      <c r="L10" s="112">
        <v>25.5</v>
      </c>
      <c r="M10" s="112">
        <v>95</v>
      </c>
      <c r="N10" s="112">
        <v>2.4</v>
      </c>
      <c r="O10" s="112">
        <v>0</v>
      </c>
      <c r="P10" s="112">
        <v>0.35</v>
      </c>
      <c r="Q10" s="112">
        <v>4.6399999999999997</v>
      </c>
    </row>
    <row r="11" spans="1:21" customFormat="1">
      <c r="A11" s="80">
        <v>45558.03125</v>
      </c>
      <c r="B11" s="112">
        <v>9.26</v>
      </c>
      <c r="C11" s="112">
        <v>4.0599999999999996</v>
      </c>
      <c r="D11" s="112">
        <v>14</v>
      </c>
      <c r="E11" s="112">
        <v>7.6</v>
      </c>
      <c r="F11" s="112">
        <v>5.35</v>
      </c>
      <c r="G11" s="112">
        <v>35.47</v>
      </c>
      <c r="H11" s="112">
        <v>17.79</v>
      </c>
      <c r="I11" s="112">
        <v>4.91</v>
      </c>
      <c r="J11" s="112">
        <v>0.03</v>
      </c>
      <c r="K11" s="112">
        <v>350.05</v>
      </c>
      <c r="L11" s="112">
        <v>25.39</v>
      </c>
      <c r="M11" s="112">
        <v>95.8</v>
      </c>
      <c r="N11" s="112">
        <v>2.2999999999999998</v>
      </c>
      <c r="O11" s="112">
        <v>0</v>
      </c>
      <c r="P11" s="112">
        <v>0.35</v>
      </c>
      <c r="Q11" s="112">
        <v>4.6399999999999997</v>
      </c>
    </row>
    <row r="12" spans="1:21" customFormat="1">
      <c r="A12" s="80">
        <v>45558.041666666664</v>
      </c>
      <c r="B12" s="112">
        <v>9.25</v>
      </c>
      <c r="C12" s="112">
        <v>4.08</v>
      </c>
      <c r="D12" s="112">
        <v>14</v>
      </c>
      <c r="E12" s="112">
        <v>7.63</v>
      </c>
      <c r="F12" s="112">
        <v>4.7699999999999996</v>
      </c>
      <c r="G12" s="112">
        <v>35.47</v>
      </c>
      <c r="H12" s="112">
        <v>17.79</v>
      </c>
      <c r="I12" s="112">
        <v>4.8</v>
      </c>
      <c r="J12" s="112">
        <v>0.01</v>
      </c>
      <c r="K12" s="112">
        <v>140.47999999999999</v>
      </c>
      <c r="L12" s="112">
        <v>25.47</v>
      </c>
      <c r="M12" s="112">
        <v>95.71</v>
      </c>
      <c r="N12" s="112">
        <v>2.2999999999999998</v>
      </c>
      <c r="O12" s="112">
        <v>0</v>
      </c>
      <c r="P12" s="112">
        <v>0.35</v>
      </c>
      <c r="Q12" s="112">
        <v>4.6399999999999997</v>
      </c>
    </row>
    <row r="13" spans="1:21" customFormat="1">
      <c r="A13" s="80">
        <v>45558.052083333336</v>
      </c>
      <c r="B13" s="112">
        <v>9.25</v>
      </c>
      <c r="C13" s="112">
        <v>4.08</v>
      </c>
      <c r="D13" s="112">
        <v>14</v>
      </c>
      <c r="E13" s="112">
        <v>7.49</v>
      </c>
      <c r="F13" s="112">
        <v>4.4800000000000004</v>
      </c>
      <c r="G13" s="112">
        <v>35.47</v>
      </c>
      <c r="H13" s="112">
        <v>17.79</v>
      </c>
      <c r="I13" s="112">
        <v>4.8600000000000003</v>
      </c>
      <c r="J13" s="112">
        <v>0.14000000000000001</v>
      </c>
      <c r="K13" s="112">
        <v>173.34</v>
      </c>
      <c r="L13" s="112">
        <v>25.62</v>
      </c>
      <c r="M13" s="112">
        <v>96.48</v>
      </c>
      <c r="N13" s="112">
        <v>2.1</v>
      </c>
      <c r="O13" s="112">
        <v>0</v>
      </c>
      <c r="P13" s="112">
        <v>0.35</v>
      </c>
      <c r="Q13" s="112">
        <v>4.6500000000000004</v>
      </c>
    </row>
    <row r="14" spans="1:21" customFormat="1">
      <c r="A14" s="80">
        <v>45558.0625</v>
      </c>
      <c r="B14" s="112">
        <v>9.26</v>
      </c>
      <c r="C14" s="112">
        <v>4.08</v>
      </c>
      <c r="D14" s="112">
        <v>14</v>
      </c>
      <c r="E14" s="112">
        <v>7.53</v>
      </c>
      <c r="F14" s="112">
        <v>4.97</v>
      </c>
      <c r="G14" s="112">
        <v>36.04</v>
      </c>
      <c r="H14" s="112">
        <v>18.05</v>
      </c>
      <c r="I14" s="112">
        <v>4.9000000000000004</v>
      </c>
      <c r="J14" s="112">
        <v>0.11</v>
      </c>
      <c r="K14" s="112">
        <v>189.86</v>
      </c>
      <c r="L14" s="112">
        <v>25.67</v>
      </c>
      <c r="M14" s="112">
        <v>95.92</v>
      </c>
      <c r="N14" s="112">
        <v>2.2000000000000002</v>
      </c>
      <c r="O14" s="112">
        <v>0</v>
      </c>
      <c r="P14" s="112">
        <v>0.34</v>
      </c>
      <c r="Q14" s="112">
        <v>4.66</v>
      </c>
    </row>
    <row r="15" spans="1:21" customFormat="1">
      <c r="A15" s="80">
        <v>45558.072916666664</v>
      </c>
      <c r="B15" s="112">
        <v>9.25</v>
      </c>
      <c r="C15" s="112">
        <v>4.09</v>
      </c>
      <c r="D15" s="112">
        <v>14</v>
      </c>
      <c r="E15" s="112">
        <v>7.65</v>
      </c>
      <c r="F15" s="112">
        <v>5.54</v>
      </c>
      <c r="G15" s="112">
        <v>41.95</v>
      </c>
      <c r="H15" s="112">
        <v>20.22</v>
      </c>
      <c r="I15" s="112">
        <v>4.91</v>
      </c>
      <c r="J15" s="112">
        <v>0.1</v>
      </c>
      <c r="K15" s="112">
        <v>44.12</v>
      </c>
      <c r="L15" s="112">
        <v>25.63</v>
      </c>
      <c r="M15" s="112">
        <v>96</v>
      </c>
      <c r="N15" s="112">
        <v>2.2000000000000002</v>
      </c>
      <c r="O15" s="112">
        <v>0</v>
      </c>
      <c r="P15" s="112">
        <v>0.33</v>
      </c>
      <c r="Q15" s="112">
        <v>4.66</v>
      </c>
    </row>
    <row r="16" spans="1:21" customFormat="1">
      <c r="A16" s="80">
        <v>45558.083333333336</v>
      </c>
      <c r="B16" s="112">
        <v>9.23</v>
      </c>
      <c r="C16" s="112">
        <v>4.12</v>
      </c>
      <c r="D16" s="112">
        <v>14</v>
      </c>
      <c r="E16" s="112">
        <v>7.89</v>
      </c>
      <c r="F16" s="112">
        <v>4.55</v>
      </c>
      <c r="G16" s="112">
        <v>41.95</v>
      </c>
      <c r="H16" s="112">
        <v>20.22</v>
      </c>
      <c r="I16" s="112">
        <v>4.79</v>
      </c>
      <c r="J16" s="112">
        <v>0.19</v>
      </c>
      <c r="K16" s="112">
        <v>56.96</v>
      </c>
      <c r="L16" s="112">
        <v>25.62</v>
      </c>
      <c r="M16" s="112">
        <v>94.84</v>
      </c>
      <c r="N16" s="112">
        <v>2.1</v>
      </c>
      <c r="O16" s="112">
        <v>0</v>
      </c>
      <c r="P16" s="112">
        <v>0.34</v>
      </c>
      <c r="Q16" s="112">
        <v>4.66</v>
      </c>
    </row>
    <row r="17" spans="1:17" customFormat="1">
      <c r="A17" s="80">
        <v>45558.09375</v>
      </c>
      <c r="B17" s="112">
        <v>9.2100000000000009</v>
      </c>
      <c r="C17" s="112">
        <v>4.1399999999999997</v>
      </c>
      <c r="D17" s="112">
        <v>14</v>
      </c>
      <c r="E17" s="112">
        <v>9.1</v>
      </c>
      <c r="F17" s="112">
        <v>4.3</v>
      </c>
      <c r="G17" s="112">
        <v>41.95</v>
      </c>
      <c r="H17" s="112">
        <v>20.22</v>
      </c>
      <c r="I17" s="112">
        <v>4.7699999999999996</v>
      </c>
      <c r="J17" s="112">
        <v>0.15</v>
      </c>
      <c r="K17" s="112">
        <v>27.67</v>
      </c>
      <c r="L17" s="112">
        <v>25.6</v>
      </c>
      <c r="M17" s="112">
        <v>95.06</v>
      </c>
      <c r="N17" s="112">
        <v>2.2000000000000002</v>
      </c>
      <c r="O17" s="112">
        <v>0</v>
      </c>
      <c r="P17" s="112">
        <v>0.35</v>
      </c>
      <c r="Q17" s="112">
        <v>4.66</v>
      </c>
    </row>
    <row r="18" spans="1:17" customFormat="1">
      <c r="A18" s="80">
        <v>45558.104166666664</v>
      </c>
      <c r="B18" s="112">
        <v>9.1999999999999993</v>
      </c>
      <c r="C18" s="112">
        <v>4.16</v>
      </c>
      <c r="D18" s="112">
        <v>14</v>
      </c>
      <c r="E18" s="112">
        <v>11.06</v>
      </c>
      <c r="F18" s="112">
        <v>4.49</v>
      </c>
      <c r="G18" s="112">
        <v>42.46</v>
      </c>
      <c r="H18" s="112">
        <v>20.73</v>
      </c>
      <c r="I18" s="112">
        <v>4.84</v>
      </c>
      <c r="J18" s="112">
        <v>0.18</v>
      </c>
      <c r="K18" s="112">
        <v>61.8</v>
      </c>
      <c r="L18" s="112">
        <v>25.66</v>
      </c>
      <c r="M18" s="112">
        <v>95.54</v>
      </c>
      <c r="N18" s="112">
        <v>2.1</v>
      </c>
      <c r="O18" s="112">
        <v>0</v>
      </c>
      <c r="P18" s="112">
        <v>0.36</v>
      </c>
      <c r="Q18" s="112">
        <v>4.6500000000000004</v>
      </c>
    </row>
    <row r="19" spans="1:17" customFormat="1">
      <c r="A19" s="80">
        <v>45558.114583333336</v>
      </c>
      <c r="B19" s="112">
        <v>9.17</v>
      </c>
      <c r="C19" s="112">
        <v>4.2</v>
      </c>
      <c r="D19" s="112">
        <v>14</v>
      </c>
      <c r="E19" s="112">
        <v>12.1</v>
      </c>
      <c r="F19" s="112">
        <v>4.7699999999999996</v>
      </c>
      <c r="G19" s="112">
        <v>47.67</v>
      </c>
      <c r="H19" s="112">
        <v>24.96</v>
      </c>
      <c r="I19" s="112">
        <v>4.8600000000000003</v>
      </c>
      <c r="J19" s="112">
        <v>0.25</v>
      </c>
      <c r="K19" s="112">
        <v>52.39</v>
      </c>
      <c r="L19" s="112">
        <v>25.69</v>
      </c>
      <c r="M19" s="112">
        <v>94.55</v>
      </c>
      <c r="N19" s="112">
        <v>2.4</v>
      </c>
      <c r="O19" s="112">
        <v>0</v>
      </c>
      <c r="P19" s="112">
        <v>0.37</v>
      </c>
      <c r="Q19" s="112">
        <v>4.66</v>
      </c>
    </row>
    <row r="20" spans="1:17" customFormat="1">
      <c r="A20" s="80">
        <v>45558.125</v>
      </c>
      <c r="B20" s="112">
        <v>9.17</v>
      </c>
      <c r="C20" s="112">
        <v>4.21</v>
      </c>
      <c r="D20" s="112">
        <v>14</v>
      </c>
      <c r="E20" s="112">
        <v>11.89</v>
      </c>
      <c r="F20" s="112">
        <v>4.84</v>
      </c>
      <c r="G20" s="112">
        <v>47.67</v>
      </c>
      <c r="H20" s="112">
        <v>24.96</v>
      </c>
      <c r="I20" s="112">
        <v>4.92</v>
      </c>
      <c r="J20" s="112">
        <v>0.25</v>
      </c>
      <c r="K20" s="112">
        <v>60.8</v>
      </c>
      <c r="L20" s="112">
        <v>25.71</v>
      </c>
      <c r="M20" s="112">
        <v>93.44</v>
      </c>
      <c r="N20" s="112">
        <v>2.4</v>
      </c>
      <c r="O20" s="112">
        <v>0</v>
      </c>
      <c r="P20" s="112">
        <v>0.38</v>
      </c>
      <c r="Q20" s="112">
        <v>4.66</v>
      </c>
    </row>
    <row r="21" spans="1:17" customFormat="1">
      <c r="A21" s="80">
        <v>45558.135416666664</v>
      </c>
      <c r="B21" s="112">
        <v>9.18</v>
      </c>
      <c r="C21" s="112">
        <v>4.18</v>
      </c>
      <c r="D21" s="112">
        <v>14</v>
      </c>
      <c r="E21" s="112">
        <v>11.59</v>
      </c>
      <c r="F21" s="112">
        <v>4.71</v>
      </c>
      <c r="G21" s="112">
        <v>47.67</v>
      </c>
      <c r="H21" s="112">
        <v>24.96</v>
      </c>
      <c r="I21" s="112">
        <v>5.04</v>
      </c>
      <c r="J21" s="112">
        <v>0.35</v>
      </c>
      <c r="K21" s="112">
        <v>62.17</v>
      </c>
      <c r="L21" s="112">
        <v>25.76</v>
      </c>
      <c r="M21" s="112">
        <v>93.53</v>
      </c>
      <c r="N21" s="112">
        <v>2.2000000000000002</v>
      </c>
      <c r="O21" s="112">
        <v>0</v>
      </c>
      <c r="P21" s="112">
        <v>0.39</v>
      </c>
      <c r="Q21" s="112">
        <v>4.66</v>
      </c>
    </row>
    <row r="22" spans="1:17" customFormat="1">
      <c r="A22" s="80">
        <v>45558.145833333336</v>
      </c>
      <c r="B22" s="112">
        <v>9.18</v>
      </c>
      <c r="C22" s="112">
        <v>4.1900000000000004</v>
      </c>
      <c r="D22" s="112">
        <v>14</v>
      </c>
      <c r="E22" s="112">
        <v>11.54</v>
      </c>
      <c r="F22" s="112">
        <v>4.17</v>
      </c>
      <c r="G22" s="112">
        <v>49.92</v>
      </c>
      <c r="H22" s="112">
        <v>25.26</v>
      </c>
      <c r="I22" s="112">
        <v>5.23</v>
      </c>
      <c r="J22" s="112">
        <v>0.34</v>
      </c>
      <c r="K22" s="112">
        <v>52.05</v>
      </c>
      <c r="L22" s="112">
        <v>25.8</v>
      </c>
      <c r="M22" s="112">
        <v>93.84</v>
      </c>
      <c r="N22" s="112">
        <v>2.4</v>
      </c>
      <c r="O22" s="112">
        <v>0</v>
      </c>
      <c r="P22" s="112">
        <v>0.4</v>
      </c>
      <c r="Q22" s="112">
        <v>4.66</v>
      </c>
    </row>
    <row r="23" spans="1:17" customFormat="1">
      <c r="A23" s="80">
        <v>45558.15625</v>
      </c>
      <c r="B23" s="112">
        <v>9.17</v>
      </c>
      <c r="C23" s="112">
        <v>4.2</v>
      </c>
      <c r="D23" s="112">
        <v>14</v>
      </c>
      <c r="E23" s="112">
        <v>12.22</v>
      </c>
      <c r="F23" s="112">
        <v>3.4</v>
      </c>
      <c r="G23" s="112">
        <v>72.92</v>
      </c>
      <c r="H23" s="112">
        <v>27.72</v>
      </c>
      <c r="I23" s="112">
        <v>5.24</v>
      </c>
      <c r="J23" s="112">
        <v>0.26</v>
      </c>
      <c r="K23" s="112">
        <v>58.21</v>
      </c>
      <c r="L23" s="112">
        <v>25.81</v>
      </c>
      <c r="M23" s="112">
        <v>94.91</v>
      </c>
      <c r="N23" s="112">
        <v>2.2999999999999998</v>
      </c>
      <c r="O23" s="112">
        <v>0</v>
      </c>
      <c r="P23" s="112">
        <v>0.4</v>
      </c>
      <c r="Q23" s="112">
        <v>4.6500000000000004</v>
      </c>
    </row>
    <row r="24" spans="1:17" customFormat="1">
      <c r="A24" s="80">
        <v>45558.166666666664</v>
      </c>
      <c r="B24" s="112">
        <v>9.18</v>
      </c>
      <c r="C24" s="112">
        <v>4.2</v>
      </c>
      <c r="D24" s="112">
        <v>14</v>
      </c>
      <c r="E24" s="112">
        <v>12.07</v>
      </c>
      <c r="F24" s="112">
        <v>3.93</v>
      </c>
      <c r="G24" s="112">
        <v>72.92</v>
      </c>
      <c r="H24" s="112">
        <v>27.72</v>
      </c>
      <c r="I24" s="112">
        <v>5.33</v>
      </c>
      <c r="J24" s="112">
        <v>0.28999999999999998</v>
      </c>
      <c r="K24" s="112">
        <v>55.55</v>
      </c>
      <c r="L24" s="112">
        <v>25.79</v>
      </c>
      <c r="M24" s="112">
        <v>95.05</v>
      </c>
      <c r="N24" s="112">
        <v>2.4</v>
      </c>
      <c r="O24" s="112">
        <v>0</v>
      </c>
      <c r="P24" s="112">
        <v>0.4</v>
      </c>
      <c r="Q24" s="112">
        <v>4.6500000000000004</v>
      </c>
    </row>
    <row r="25" spans="1:17" customFormat="1">
      <c r="A25" s="80">
        <v>45558.177083333336</v>
      </c>
      <c r="B25" s="112">
        <v>9.1999999999999993</v>
      </c>
      <c r="C25" s="112">
        <v>4.1500000000000004</v>
      </c>
      <c r="D25" s="112">
        <v>14</v>
      </c>
      <c r="E25" s="112">
        <v>11.67</v>
      </c>
      <c r="F25" s="112">
        <v>3.84</v>
      </c>
      <c r="G25" s="112">
        <v>72.92</v>
      </c>
      <c r="H25" s="112">
        <v>27.72</v>
      </c>
      <c r="I25" s="112">
        <v>5.36</v>
      </c>
      <c r="J25" s="112">
        <v>0.16</v>
      </c>
      <c r="K25" s="112">
        <v>61.56</v>
      </c>
      <c r="L25" s="112">
        <v>25.72</v>
      </c>
      <c r="M25" s="112">
        <v>95.49</v>
      </c>
      <c r="N25" s="112">
        <v>2.2999999999999998</v>
      </c>
      <c r="O25" s="112">
        <v>0</v>
      </c>
      <c r="P25" s="112">
        <v>0.42</v>
      </c>
      <c r="Q25" s="112">
        <v>4.6500000000000004</v>
      </c>
    </row>
    <row r="26" spans="1:17" customFormat="1">
      <c r="A26" s="80">
        <v>45558.1875</v>
      </c>
      <c r="B26" s="112">
        <v>9.19</v>
      </c>
      <c r="C26" s="112">
        <v>4.17</v>
      </c>
      <c r="D26" s="112">
        <v>14</v>
      </c>
      <c r="E26" s="112">
        <v>12.17</v>
      </c>
      <c r="F26" s="112">
        <v>3.98</v>
      </c>
      <c r="G26" s="112">
        <v>74.77</v>
      </c>
      <c r="H26" s="112">
        <v>28.2</v>
      </c>
      <c r="I26" s="112">
        <v>5.4</v>
      </c>
      <c r="J26" s="112">
        <v>0.14000000000000001</v>
      </c>
      <c r="K26" s="112">
        <v>81.260000000000005</v>
      </c>
      <c r="L26" s="112">
        <v>25.67</v>
      </c>
      <c r="M26" s="112">
        <v>95.75</v>
      </c>
      <c r="N26" s="112">
        <v>2.1</v>
      </c>
      <c r="O26" s="112">
        <v>0</v>
      </c>
      <c r="P26" s="112">
        <v>0.43</v>
      </c>
      <c r="Q26" s="112">
        <v>4.6500000000000004</v>
      </c>
    </row>
    <row r="27" spans="1:17" customFormat="1">
      <c r="A27" s="80">
        <v>45558.197916666664</v>
      </c>
      <c r="B27" s="112">
        <v>9.19</v>
      </c>
      <c r="C27" s="112">
        <v>4.18</v>
      </c>
      <c r="D27" s="112">
        <v>14</v>
      </c>
      <c r="E27" s="112">
        <v>12.58</v>
      </c>
      <c r="F27" s="112">
        <v>3.59</v>
      </c>
      <c r="G27" s="112">
        <v>93.77</v>
      </c>
      <c r="H27" s="112">
        <v>32.159999999999997</v>
      </c>
      <c r="I27" s="112">
        <v>5.44</v>
      </c>
      <c r="J27" s="112">
        <v>0.19</v>
      </c>
      <c r="K27" s="112">
        <v>58.7</v>
      </c>
      <c r="L27" s="112">
        <v>25.67</v>
      </c>
      <c r="M27" s="112">
        <v>95.28</v>
      </c>
      <c r="N27" s="112">
        <v>2.1</v>
      </c>
      <c r="O27" s="112">
        <v>0</v>
      </c>
      <c r="P27" s="112">
        <v>0.43</v>
      </c>
      <c r="Q27" s="112">
        <v>4.67</v>
      </c>
    </row>
    <row r="28" spans="1:17" customFormat="1">
      <c r="A28" s="80">
        <v>45558.208333333336</v>
      </c>
      <c r="B28" s="112">
        <v>9.1999999999999993</v>
      </c>
      <c r="C28" s="112">
        <v>4.16</v>
      </c>
      <c r="D28" s="112">
        <v>14</v>
      </c>
      <c r="E28" s="112">
        <v>12.04</v>
      </c>
      <c r="F28" s="112">
        <v>3.36</v>
      </c>
      <c r="G28" s="112">
        <v>93.77</v>
      </c>
      <c r="H28" s="112">
        <v>32.159999999999997</v>
      </c>
      <c r="I28" s="112">
        <v>5.48</v>
      </c>
      <c r="J28" s="112">
        <v>0.19</v>
      </c>
      <c r="K28" s="112">
        <v>52.74</v>
      </c>
      <c r="L28" s="112">
        <v>25.67</v>
      </c>
      <c r="M28" s="112">
        <v>95.21</v>
      </c>
      <c r="N28" s="112">
        <v>2.1</v>
      </c>
      <c r="O28" s="112">
        <v>0</v>
      </c>
      <c r="P28" s="112">
        <v>0.43</v>
      </c>
      <c r="Q28" s="112">
        <v>4.6500000000000004</v>
      </c>
    </row>
    <row r="29" spans="1:17" customFormat="1">
      <c r="A29" s="80">
        <v>45558.21875</v>
      </c>
      <c r="B29" s="112">
        <v>9.17</v>
      </c>
      <c r="C29" s="112">
        <v>4.2</v>
      </c>
      <c r="D29" s="112">
        <v>14</v>
      </c>
      <c r="E29" s="112">
        <v>12.85</v>
      </c>
      <c r="F29" s="112">
        <v>3.38</v>
      </c>
      <c r="G29" s="112">
        <v>93.77</v>
      </c>
      <c r="H29" s="112">
        <v>32.159999999999997</v>
      </c>
      <c r="I29" s="112">
        <v>5.54</v>
      </c>
      <c r="J29" s="112">
        <v>0.18</v>
      </c>
      <c r="K29" s="112">
        <v>69.64</v>
      </c>
      <c r="L29" s="112">
        <v>25.67</v>
      </c>
      <c r="M29" s="112">
        <v>95.29</v>
      </c>
      <c r="N29" s="112">
        <v>2.1</v>
      </c>
      <c r="O29" s="112">
        <v>0</v>
      </c>
      <c r="P29" s="112">
        <v>0.45</v>
      </c>
      <c r="Q29" s="112">
        <v>4.66</v>
      </c>
    </row>
    <row r="30" spans="1:17" customFormat="1">
      <c r="A30" s="80">
        <v>45558.229166666664</v>
      </c>
      <c r="B30" s="112">
        <v>9.1999999999999993</v>
      </c>
      <c r="C30" s="112">
        <v>4.16</v>
      </c>
      <c r="D30" s="112">
        <v>14</v>
      </c>
      <c r="E30" s="112">
        <v>12.61</v>
      </c>
      <c r="F30" s="112">
        <v>3.51</v>
      </c>
      <c r="G30" s="112">
        <v>94.1</v>
      </c>
      <c r="H30" s="112">
        <v>31.94</v>
      </c>
      <c r="I30" s="112">
        <v>5.6</v>
      </c>
      <c r="J30" s="112">
        <v>0.1</v>
      </c>
      <c r="K30" s="112">
        <v>90.94</v>
      </c>
      <c r="L30" s="112">
        <v>25.75</v>
      </c>
      <c r="M30" s="112">
        <v>95.01</v>
      </c>
      <c r="N30" s="112">
        <v>2.2000000000000002</v>
      </c>
      <c r="O30" s="112">
        <v>0</v>
      </c>
      <c r="P30" s="112">
        <v>0.46</v>
      </c>
      <c r="Q30" s="112">
        <v>4.6500000000000004</v>
      </c>
    </row>
    <row r="31" spans="1:17" customFormat="1">
      <c r="A31" s="80">
        <v>45558.239583333336</v>
      </c>
      <c r="B31" s="112">
        <v>9.2100000000000009</v>
      </c>
      <c r="C31" s="112">
        <v>4.1500000000000004</v>
      </c>
      <c r="D31" s="112">
        <v>14</v>
      </c>
      <c r="E31" s="112">
        <v>12.65</v>
      </c>
      <c r="F31" s="112">
        <v>2.99</v>
      </c>
      <c r="G31" s="112">
        <v>97.51</v>
      </c>
      <c r="H31" s="112">
        <v>30.11</v>
      </c>
      <c r="I31" s="112">
        <v>5.64</v>
      </c>
      <c r="J31" s="112">
        <v>0.38</v>
      </c>
      <c r="K31" s="112">
        <v>64.06</v>
      </c>
      <c r="L31" s="112">
        <v>25.65</v>
      </c>
      <c r="M31" s="112">
        <v>95.64</v>
      </c>
      <c r="N31" s="112">
        <v>3.5</v>
      </c>
      <c r="O31" s="112">
        <v>0</v>
      </c>
      <c r="P31" s="112">
        <v>0.46</v>
      </c>
      <c r="Q31" s="112">
        <v>4.63</v>
      </c>
    </row>
    <row r="32" spans="1:17" customFormat="1">
      <c r="A32" s="80">
        <v>45558.25</v>
      </c>
      <c r="B32" s="112">
        <v>9.2100000000000009</v>
      </c>
      <c r="C32" s="112">
        <v>4.1500000000000004</v>
      </c>
      <c r="D32" s="112">
        <v>14</v>
      </c>
      <c r="E32" s="112">
        <v>12.58</v>
      </c>
      <c r="F32" s="112">
        <v>3.44</v>
      </c>
      <c r="G32" s="112">
        <v>97.51</v>
      </c>
      <c r="H32" s="112">
        <v>30.11</v>
      </c>
      <c r="I32" s="112">
        <v>5.69</v>
      </c>
      <c r="J32" s="112">
        <v>0.16</v>
      </c>
      <c r="K32" s="112">
        <v>41.47</v>
      </c>
      <c r="L32" s="112">
        <v>25.62</v>
      </c>
      <c r="M32" s="112">
        <v>96.02</v>
      </c>
      <c r="N32" s="112">
        <v>9.1999999999999993</v>
      </c>
      <c r="O32" s="112">
        <v>0</v>
      </c>
      <c r="P32" s="112">
        <v>0.47</v>
      </c>
      <c r="Q32" s="112">
        <v>4.63</v>
      </c>
    </row>
    <row r="33" spans="1:17" customFormat="1">
      <c r="A33" s="80">
        <v>45558.260416666664</v>
      </c>
      <c r="B33" s="112">
        <v>9.19</v>
      </c>
      <c r="C33" s="112">
        <v>4.18</v>
      </c>
      <c r="D33" s="112">
        <v>14</v>
      </c>
      <c r="E33" s="112">
        <v>12.93</v>
      </c>
      <c r="F33" s="112">
        <v>3.46</v>
      </c>
      <c r="G33" s="112">
        <v>97.51</v>
      </c>
      <c r="H33" s="112">
        <v>30.11</v>
      </c>
      <c r="I33" s="112">
        <v>5.78</v>
      </c>
      <c r="J33" s="112">
        <v>0.55000000000000004</v>
      </c>
      <c r="K33" s="112">
        <v>60.32</v>
      </c>
      <c r="L33" s="112">
        <v>25.68</v>
      </c>
      <c r="M33" s="112">
        <v>95.68</v>
      </c>
      <c r="N33" s="112">
        <v>17.600000000000001</v>
      </c>
      <c r="O33" s="112">
        <v>0</v>
      </c>
      <c r="P33" s="112">
        <v>0.49</v>
      </c>
      <c r="Q33" s="112">
        <v>4.6399999999999997</v>
      </c>
    </row>
    <row r="34" spans="1:17" customFormat="1">
      <c r="A34" s="80">
        <v>45558.270833333336</v>
      </c>
      <c r="B34" s="112">
        <v>9.1999999999999993</v>
      </c>
      <c r="C34" s="112">
        <v>4.16</v>
      </c>
      <c r="D34" s="112">
        <v>14</v>
      </c>
      <c r="E34" s="112">
        <v>12.81</v>
      </c>
      <c r="F34" s="112">
        <v>3.93</v>
      </c>
      <c r="G34" s="112">
        <v>98.78</v>
      </c>
      <c r="H34" s="112">
        <v>30.34</v>
      </c>
      <c r="I34" s="112">
        <v>5.87</v>
      </c>
      <c r="J34" s="112">
        <v>0.69</v>
      </c>
      <c r="K34" s="112">
        <v>59.43</v>
      </c>
      <c r="L34" s="112">
        <v>25.88</v>
      </c>
      <c r="M34" s="112">
        <v>94.02</v>
      </c>
      <c r="N34" s="112">
        <v>26.3</v>
      </c>
      <c r="O34" s="112">
        <v>0</v>
      </c>
      <c r="P34" s="112">
        <v>0.51</v>
      </c>
      <c r="Q34" s="112">
        <v>4.6399999999999997</v>
      </c>
    </row>
    <row r="35" spans="1:17" customFormat="1">
      <c r="A35" s="80">
        <v>45558.28125</v>
      </c>
      <c r="B35" s="112">
        <v>9.1999999999999993</v>
      </c>
      <c r="C35" s="112">
        <v>4.1500000000000004</v>
      </c>
      <c r="D35" s="112">
        <v>14</v>
      </c>
      <c r="E35" s="112">
        <v>12.66</v>
      </c>
      <c r="F35" s="112">
        <v>4.66</v>
      </c>
      <c r="G35" s="112">
        <v>111.83</v>
      </c>
      <c r="H35" s="112">
        <v>32.21</v>
      </c>
      <c r="I35" s="112">
        <v>6.02</v>
      </c>
      <c r="J35" s="112">
        <v>0.74</v>
      </c>
      <c r="K35" s="112">
        <v>55</v>
      </c>
      <c r="L35" s="112">
        <v>26.14</v>
      </c>
      <c r="M35" s="112">
        <v>92.57</v>
      </c>
      <c r="N35" s="112">
        <v>35</v>
      </c>
      <c r="O35" s="112">
        <v>0</v>
      </c>
      <c r="P35" s="112">
        <v>0.5</v>
      </c>
      <c r="Q35" s="112">
        <v>4.6399999999999997</v>
      </c>
    </row>
    <row r="36" spans="1:17" customFormat="1">
      <c r="A36" s="80">
        <v>45558.291666666664</v>
      </c>
      <c r="B36" s="112">
        <v>9.1999999999999993</v>
      </c>
      <c r="C36" s="112">
        <v>4.1500000000000004</v>
      </c>
      <c r="D36" s="112">
        <v>14</v>
      </c>
      <c r="E36" s="112">
        <v>12.25</v>
      </c>
      <c r="F36" s="112">
        <v>5.19</v>
      </c>
      <c r="G36" s="112">
        <v>111.83</v>
      </c>
      <c r="H36" s="112">
        <v>32.21</v>
      </c>
      <c r="I36" s="112">
        <v>6.1</v>
      </c>
      <c r="J36" s="112">
        <v>0.72</v>
      </c>
      <c r="K36" s="112">
        <v>54.64</v>
      </c>
      <c r="L36" s="112">
        <v>26.41</v>
      </c>
      <c r="M36" s="112">
        <v>91.54</v>
      </c>
      <c r="N36" s="112">
        <v>44.4</v>
      </c>
      <c r="O36" s="112">
        <v>0</v>
      </c>
      <c r="P36" s="112">
        <v>0.49</v>
      </c>
      <c r="Q36" s="112">
        <v>4.6500000000000004</v>
      </c>
    </row>
    <row r="37" spans="1:17" customFormat="1">
      <c r="A37" s="80">
        <v>45558.302083333336</v>
      </c>
      <c r="B37" s="112">
        <v>9.1999999999999993</v>
      </c>
      <c r="C37" s="112">
        <v>4.16</v>
      </c>
      <c r="D37" s="112">
        <v>14</v>
      </c>
      <c r="E37" s="112">
        <v>12.44</v>
      </c>
      <c r="F37" s="112">
        <v>5.0599999999999996</v>
      </c>
      <c r="G37" s="112">
        <v>111.83</v>
      </c>
      <c r="H37" s="112">
        <v>32.21</v>
      </c>
      <c r="I37" s="112">
        <v>6.19</v>
      </c>
      <c r="J37" s="112">
        <v>0.76</v>
      </c>
      <c r="K37" s="112">
        <v>55.96</v>
      </c>
      <c r="L37" s="112">
        <v>26.72</v>
      </c>
      <c r="M37" s="112">
        <v>89.78</v>
      </c>
      <c r="N37" s="112">
        <v>56</v>
      </c>
      <c r="O37" s="112">
        <v>0</v>
      </c>
      <c r="P37" s="112">
        <v>0.5</v>
      </c>
      <c r="Q37" s="112">
        <v>4.6399999999999997</v>
      </c>
    </row>
    <row r="38" spans="1:17" customFormat="1">
      <c r="A38" s="80">
        <v>45558.3125</v>
      </c>
      <c r="B38" s="112">
        <v>9.1999999999999993</v>
      </c>
      <c r="C38" s="112">
        <v>4.16</v>
      </c>
      <c r="D38" s="112">
        <v>14</v>
      </c>
      <c r="E38" s="112">
        <v>11.69</v>
      </c>
      <c r="F38" s="112">
        <v>5.29</v>
      </c>
      <c r="G38" s="112">
        <v>110.21</v>
      </c>
      <c r="H38" s="112">
        <v>32.03</v>
      </c>
      <c r="I38" s="112">
        <v>6.16</v>
      </c>
      <c r="J38" s="112">
        <v>0.87</v>
      </c>
      <c r="K38" s="112">
        <v>57.32</v>
      </c>
      <c r="L38" s="112">
        <v>27.01</v>
      </c>
      <c r="M38" s="112">
        <v>87.63</v>
      </c>
      <c r="N38" s="112">
        <v>88.5</v>
      </c>
      <c r="O38" s="112">
        <v>0</v>
      </c>
      <c r="P38" s="112">
        <v>0.49</v>
      </c>
      <c r="Q38" s="112">
        <v>4.6500000000000004</v>
      </c>
    </row>
    <row r="39" spans="1:17" customFormat="1">
      <c r="A39" s="80">
        <v>45558.322916666664</v>
      </c>
      <c r="B39" s="112">
        <v>9.2100000000000009</v>
      </c>
      <c r="C39" s="112">
        <v>4.1399999999999997</v>
      </c>
      <c r="D39" s="112">
        <v>14</v>
      </c>
      <c r="E39" s="112">
        <v>11.87</v>
      </c>
      <c r="F39" s="112">
        <v>6.93</v>
      </c>
      <c r="G39" s="112">
        <v>93.55</v>
      </c>
      <c r="H39" s="112">
        <v>30.53</v>
      </c>
      <c r="I39" s="112">
        <v>6.17</v>
      </c>
      <c r="J39" s="112">
        <v>0.52</v>
      </c>
      <c r="K39" s="112">
        <v>43.93</v>
      </c>
      <c r="L39" s="112">
        <v>27.52</v>
      </c>
      <c r="M39" s="112">
        <v>84.96</v>
      </c>
      <c r="N39" s="112">
        <v>184.3</v>
      </c>
      <c r="O39" s="112">
        <v>0</v>
      </c>
      <c r="P39" s="112">
        <v>0.48</v>
      </c>
      <c r="Q39" s="112">
        <v>4.66</v>
      </c>
    </row>
    <row r="40" spans="1:17" customFormat="1">
      <c r="A40" s="80">
        <v>45558.333333333336</v>
      </c>
      <c r="B40" s="112">
        <v>9.24</v>
      </c>
      <c r="C40" s="112">
        <v>4.0999999999999996</v>
      </c>
      <c r="D40" s="112">
        <v>14</v>
      </c>
      <c r="E40" s="112">
        <v>12.6</v>
      </c>
      <c r="F40" s="112">
        <v>6.27</v>
      </c>
      <c r="G40" s="112">
        <v>93.55</v>
      </c>
      <c r="H40" s="112">
        <v>30.53</v>
      </c>
      <c r="I40" s="112">
        <v>6.09</v>
      </c>
      <c r="J40" s="112">
        <v>0.66</v>
      </c>
      <c r="K40" s="112">
        <v>56.82</v>
      </c>
      <c r="L40" s="112">
        <v>27.97</v>
      </c>
      <c r="M40" s="112">
        <v>82.95</v>
      </c>
      <c r="N40" s="112">
        <v>137.1</v>
      </c>
      <c r="O40" s="112">
        <v>0</v>
      </c>
      <c r="P40" s="112">
        <v>0.48</v>
      </c>
      <c r="Q40" s="112">
        <v>4.66</v>
      </c>
    </row>
    <row r="41" spans="1:17" customFormat="1">
      <c r="A41" s="80">
        <v>45558.34375</v>
      </c>
      <c r="B41" s="112">
        <v>9.25</v>
      </c>
      <c r="C41" s="112">
        <v>4.08</v>
      </c>
      <c r="D41" s="112">
        <v>14</v>
      </c>
      <c r="E41" s="112">
        <v>12.56</v>
      </c>
      <c r="F41" s="112">
        <v>5.27</v>
      </c>
      <c r="G41" s="112">
        <v>93.55</v>
      </c>
      <c r="H41" s="112">
        <v>30.53</v>
      </c>
      <c r="I41" s="112">
        <v>5.96</v>
      </c>
      <c r="J41" s="112">
        <v>0.39</v>
      </c>
      <c r="K41" s="112">
        <v>69.97</v>
      </c>
      <c r="L41" s="112">
        <v>28.76</v>
      </c>
      <c r="M41" s="112">
        <v>80.56</v>
      </c>
      <c r="N41" s="112">
        <v>155.5</v>
      </c>
      <c r="O41" s="112">
        <v>0</v>
      </c>
      <c r="P41" s="112">
        <v>0.49</v>
      </c>
      <c r="Q41" s="112">
        <v>4.6500000000000004</v>
      </c>
    </row>
    <row r="42" spans="1:17" customFormat="1">
      <c r="A42" s="80">
        <v>45558.354166666664</v>
      </c>
      <c r="B42" s="112">
        <v>9.25</v>
      </c>
      <c r="C42" s="112">
        <v>4.08</v>
      </c>
      <c r="D42" s="112">
        <v>14</v>
      </c>
      <c r="E42" s="112">
        <v>12.11</v>
      </c>
      <c r="F42" s="112">
        <v>4.88</v>
      </c>
      <c r="G42" s="112">
        <v>92.43</v>
      </c>
      <c r="H42" s="112">
        <v>29.92</v>
      </c>
      <c r="I42" s="112">
        <v>6.04</v>
      </c>
      <c r="J42" s="112">
        <v>0.49</v>
      </c>
      <c r="K42" s="112">
        <v>59.36</v>
      </c>
      <c r="L42" s="112">
        <v>29.27</v>
      </c>
      <c r="M42" s="112">
        <v>77.98</v>
      </c>
      <c r="N42" s="112">
        <v>269.89999999999998</v>
      </c>
      <c r="O42" s="112">
        <v>0</v>
      </c>
      <c r="P42" s="112">
        <v>0.49</v>
      </c>
      <c r="Q42" s="112">
        <v>4.6399999999999997</v>
      </c>
    </row>
    <row r="43" spans="1:17" customFormat="1">
      <c r="A43" s="80">
        <v>45558.364583333336</v>
      </c>
      <c r="B43" s="112">
        <v>9.25</v>
      </c>
      <c r="C43" s="112">
        <v>4.0999999999999996</v>
      </c>
      <c r="D43" s="112">
        <v>14.01</v>
      </c>
      <c r="E43" s="112">
        <v>11.95</v>
      </c>
      <c r="F43" s="112">
        <v>4.67</v>
      </c>
      <c r="G43" s="112">
        <v>80.91</v>
      </c>
      <c r="H43" s="112">
        <v>24.78</v>
      </c>
      <c r="I43" s="112">
        <v>6.14</v>
      </c>
      <c r="J43" s="112">
        <v>0.46</v>
      </c>
      <c r="K43" s="112">
        <v>72.180000000000007</v>
      </c>
      <c r="L43" s="112">
        <v>29.82</v>
      </c>
      <c r="M43" s="112">
        <v>76.31</v>
      </c>
      <c r="N43" s="112">
        <v>129.1</v>
      </c>
      <c r="O43" s="112">
        <v>0</v>
      </c>
      <c r="P43" s="112">
        <v>0.49</v>
      </c>
      <c r="Q43" s="112">
        <v>4.63</v>
      </c>
    </row>
    <row r="44" spans="1:17" customFormat="1">
      <c r="A44" s="80">
        <v>45558.375</v>
      </c>
      <c r="B44" s="112">
        <v>9.24</v>
      </c>
      <c r="C44" s="112">
        <v>4.09</v>
      </c>
      <c r="D44" s="112">
        <v>14</v>
      </c>
      <c r="E44" s="112">
        <v>11.8</v>
      </c>
      <c r="F44" s="112">
        <v>4.66</v>
      </c>
      <c r="G44" s="112">
        <v>80.91</v>
      </c>
      <c r="H44" s="112">
        <v>24.78</v>
      </c>
      <c r="I44" s="112">
        <v>6.08</v>
      </c>
      <c r="J44" s="112">
        <v>0.51</v>
      </c>
      <c r="K44" s="112">
        <v>70.95</v>
      </c>
      <c r="L44" s="112">
        <v>29.9</v>
      </c>
      <c r="M44" s="112">
        <v>74.430000000000007</v>
      </c>
      <c r="N44" s="112">
        <v>192.6</v>
      </c>
      <c r="O44" s="112">
        <v>0</v>
      </c>
      <c r="P44" s="112">
        <v>0.49</v>
      </c>
      <c r="Q44" s="112">
        <v>4.63</v>
      </c>
    </row>
    <row r="45" spans="1:17" customFormat="1">
      <c r="A45" s="80">
        <v>45558.385416666664</v>
      </c>
      <c r="B45" s="112">
        <v>9.2799999999999994</v>
      </c>
      <c r="C45" s="112">
        <v>4.0599999999999996</v>
      </c>
      <c r="D45" s="112">
        <v>14.01</v>
      </c>
      <c r="E45" s="112">
        <v>11.77</v>
      </c>
      <c r="F45" s="112">
        <v>4.25</v>
      </c>
      <c r="G45" s="112">
        <v>80.91</v>
      </c>
      <c r="H45" s="112">
        <v>24.78</v>
      </c>
      <c r="I45" s="112">
        <v>6.12</v>
      </c>
      <c r="J45" s="112">
        <v>0.56000000000000005</v>
      </c>
      <c r="K45" s="112">
        <v>65.11</v>
      </c>
      <c r="L45" s="112">
        <v>30.38</v>
      </c>
      <c r="M45" s="112">
        <v>72.5</v>
      </c>
      <c r="N45" s="112">
        <v>253.8</v>
      </c>
      <c r="O45" s="112">
        <v>0</v>
      </c>
      <c r="P45" s="112">
        <v>0.49</v>
      </c>
      <c r="Q45" s="112">
        <v>4.63</v>
      </c>
    </row>
    <row r="46" spans="1:17" customFormat="1">
      <c r="A46" s="80">
        <v>45558.395833333336</v>
      </c>
      <c r="B46" s="112">
        <v>9.2799999999999994</v>
      </c>
      <c r="C46" s="112">
        <v>4.09</v>
      </c>
      <c r="D46" s="112">
        <v>14.03</v>
      </c>
      <c r="E46" s="112">
        <v>12.05</v>
      </c>
      <c r="F46" s="112">
        <v>4.28</v>
      </c>
      <c r="G46" s="112">
        <v>80.180000000000007</v>
      </c>
      <c r="H46" s="112">
        <v>24.82</v>
      </c>
      <c r="I46" s="112">
        <v>6.13</v>
      </c>
      <c r="J46" s="112">
        <v>0.53</v>
      </c>
      <c r="K46" s="112">
        <v>63.86</v>
      </c>
      <c r="L46" s="112">
        <v>30.59</v>
      </c>
      <c r="M46" s="112">
        <v>72.53</v>
      </c>
      <c r="N46" s="112">
        <v>238.8</v>
      </c>
      <c r="O46" s="112">
        <v>0</v>
      </c>
      <c r="P46" s="112">
        <v>0.49</v>
      </c>
      <c r="Q46" s="112">
        <v>4.63</v>
      </c>
    </row>
    <row r="47" spans="1:17" customFormat="1">
      <c r="A47" s="80">
        <v>45558.40625</v>
      </c>
      <c r="B47" s="112">
        <v>9.32</v>
      </c>
      <c r="C47" s="112">
        <v>4.09</v>
      </c>
      <c r="D47" s="112">
        <v>14.06</v>
      </c>
      <c r="E47" s="112">
        <v>12.86</v>
      </c>
      <c r="F47" s="112">
        <v>4.71</v>
      </c>
      <c r="G47" s="112">
        <v>72.790000000000006</v>
      </c>
      <c r="H47" s="112">
        <v>25.16</v>
      </c>
      <c r="I47" s="112">
        <v>6.07</v>
      </c>
      <c r="J47" s="112">
        <v>0.61</v>
      </c>
      <c r="K47" s="112">
        <v>55.22</v>
      </c>
      <c r="L47" s="112">
        <v>30.89</v>
      </c>
      <c r="M47" s="112">
        <v>71.78</v>
      </c>
      <c r="N47" s="112">
        <v>215.9</v>
      </c>
      <c r="O47" s="112">
        <v>0</v>
      </c>
      <c r="P47" s="112">
        <v>0.5</v>
      </c>
      <c r="Q47" s="112">
        <v>4.62</v>
      </c>
    </row>
    <row r="48" spans="1:17" customFormat="1">
      <c r="A48" s="80">
        <v>45558.416666666664</v>
      </c>
      <c r="B48" s="112">
        <v>9.32</v>
      </c>
      <c r="C48" s="112">
        <v>4.09</v>
      </c>
      <c r="D48" s="112">
        <v>14.06</v>
      </c>
      <c r="E48" s="112">
        <v>12.25</v>
      </c>
      <c r="F48" s="112">
        <v>5.09</v>
      </c>
      <c r="G48" s="112">
        <v>72.790000000000006</v>
      </c>
      <c r="H48" s="112">
        <v>25.16</v>
      </c>
      <c r="I48" s="112">
        <v>6.02</v>
      </c>
      <c r="J48" s="112">
        <v>0.68</v>
      </c>
      <c r="K48" s="112">
        <v>59.41</v>
      </c>
      <c r="L48" s="112">
        <v>31.06</v>
      </c>
      <c r="M48" s="112">
        <v>71.489999999999995</v>
      </c>
      <c r="N48" s="112">
        <v>236.7</v>
      </c>
      <c r="O48" s="112">
        <v>0</v>
      </c>
      <c r="P48" s="112">
        <v>0.5</v>
      </c>
      <c r="Q48" s="112">
        <v>4.6100000000000003</v>
      </c>
    </row>
    <row r="49" spans="1:17" customFormat="1">
      <c r="A49" s="80">
        <v>45558.427083333336</v>
      </c>
      <c r="B49" s="112">
        <v>9.2799999999999994</v>
      </c>
      <c r="C49" s="112">
        <v>4.08</v>
      </c>
      <c r="D49" s="112">
        <v>14.02</v>
      </c>
      <c r="E49" s="112">
        <v>10.88</v>
      </c>
      <c r="F49" s="112">
        <v>5.58</v>
      </c>
      <c r="G49" s="112">
        <v>72.790000000000006</v>
      </c>
      <c r="H49" s="112">
        <v>25.16</v>
      </c>
      <c r="I49" s="112">
        <v>6.05</v>
      </c>
      <c r="J49" s="112">
        <v>0.4</v>
      </c>
      <c r="K49" s="112">
        <v>70.400000000000006</v>
      </c>
      <c r="L49" s="112">
        <v>31.45</v>
      </c>
      <c r="M49" s="112">
        <v>69.52</v>
      </c>
      <c r="N49" s="112">
        <v>163.30000000000001</v>
      </c>
      <c r="O49" s="112">
        <v>0</v>
      </c>
      <c r="P49" s="112">
        <v>0.5</v>
      </c>
      <c r="Q49" s="112">
        <v>4.63</v>
      </c>
    </row>
    <row r="50" spans="1:17" customFormat="1">
      <c r="A50" s="80">
        <v>45558.4375</v>
      </c>
      <c r="B50" s="112">
        <v>9.26</v>
      </c>
      <c r="C50" s="112">
        <v>4.08</v>
      </c>
      <c r="D50" s="112">
        <v>14</v>
      </c>
      <c r="E50" s="112">
        <v>13.06</v>
      </c>
      <c r="F50" s="112">
        <v>6.31</v>
      </c>
      <c r="G50" s="112">
        <v>72.55</v>
      </c>
      <c r="H50" s="112">
        <v>24.95</v>
      </c>
      <c r="I50" s="112">
        <v>6.11</v>
      </c>
      <c r="J50" s="112">
        <v>0.53</v>
      </c>
      <c r="K50" s="112">
        <v>56.77</v>
      </c>
      <c r="L50" s="112">
        <v>31.89</v>
      </c>
      <c r="M50" s="112">
        <v>68.31</v>
      </c>
      <c r="N50" s="112">
        <v>309.8</v>
      </c>
      <c r="O50" s="112">
        <v>0</v>
      </c>
      <c r="P50" s="112">
        <v>0.5</v>
      </c>
      <c r="Q50" s="112">
        <v>4.6399999999999997</v>
      </c>
    </row>
    <row r="51" spans="1:17" customFormat="1">
      <c r="A51" s="80">
        <v>45558.447916666664</v>
      </c>
      <c r="B51" s="112">
        <v>9.26</v>
      </c>
      <c r="C51" s="112">
        <v>4.07</v>
      </c>
      <c r="D51" s="112">
        <v>14</v>
      </c>
      <c r="E51" s="112">
        <v>15.41</v>
      </c>
      <c r="F51" s="112">
        <v>9.11</v>
      </c>
      <c r="G51" s="112">
        <v>70.44</v>
      </c>
      <c r="H51" s="112">
        <v>23.36</v>
      </c>
      <c r="I51" s="112">
        <v>6.13</v>
      </c>
      <c r="J51" s="112">
        <v>0.56000000000000005</v>
      </c>
      <c r="K51" s="112">
        <v>53.75</v>
      </c>
      <c r="L51" s="112">
        <v>32.049999999999997</v>
      </c>
      <c r="M51" s="112">
        <v>68.08</v>
      </c>
      <c r="N51" s="112">
        <v>327.7</v>
      </c>
      <c r="O51" s="112">
        <v>0</v>
      </c>
      <c r="P51" s="112">
        <v>0.5</v>
      </c>
      <c r="Q51" s="112">
        <v>4.66</v>
      </c>
    </row>
    <row r="52" spans="1:17" customFormat="1">
      <c r="A52" s="80">
        <v>45558.458333333336</v>
      </c>
      <c r="B52" s="112">
        <v>9.33</v>
      </c>
      <c r="C52" s="112">
        <v>4.09</v>
      </c>
      <c r="D52" s="112">
        <v>14.07</v>
      </c>
      <c r="E52" s="112">
        <v>14.56</v>
      </c>
      <c r="F52" s="112">
        <v>8.9600000000000009</v>
      </c>
      <c r="G52" s="112">
        <v>70.44</v>
      </c>
      <c r="H52" s="112">
        <v>23.36</v>
      </c>
      <c r="I52" s="112">
        <v>6.04</v>
      </c>
      <c r="J52" s="112">
        <v>0.63</v>
      </c>
      <c r="K52" s="112">
        <v>60.21</v>
      </c>
      <c r="L52" s="112">
        <v>32.369999999999997</v>
      </c>
      <c r="M52" s="112">
        <v>65.12</v>
      </c>
      <c r="N52" s="112">
        <v>578.29999999999995</v>
      </c>
      <c r="O52" s="112">
        <v>0</v>
      </c>
      <c r="P52" s="112">
        <v>0.44</v>
      </c>
      <c r="Q52" s="112">
        <v>4.68</v>
      </c>
    </row>
    <row r="53" spans="1:17" customFormat="1">
      <c r="A53" s="80">
        <v>45558.46875</v>
      </c>
      <c r="B53" s="112">
        <v>9.3699999999999992</v>
      </c>
      <c r="C53" s="112">
        <v>4.0599999999999996</v>
      </c>
      <c r="D53" s="112">
        <v>14.08</v>
      </c>
      <c r="E53" s="112">
        <v>13.62</v>
      </c>
      <c r="F53" s="112">
        <v>10.74</v>
      </c>
      <c r="G53" s="112">
        <v>70.44</v>
      </c>
      <c r="H53" s="112">
        <v>23.36</v>
      </c>
      <c r="I53" s="112">
        <v>5.81</v>
      </c>
      <c r="J53" s="112">
        <v>0.49</v>
      </c>
      <c r="K53" s="112">
        <v>62.63</v>
      </c>
      <c r="L53" s="112">
        <v>32.619999999999997</v>
      </c>
      <c r="M53" s="112">
        <v>64</v>
      </c>
      <c r="N53" s="112">
        <v>491.5</v>
      </c>
      <c r="O53" s="112">
        <v>0</v>
      </c>
      <c r="P53" s="112">
        <v>0.4</v>
      </c>
      <c r="Q53" s="112">
        <v>4.68</v>
      </c>
    </row>
    <row r="54" spans="1:17" customFormat="1">
      <c r="A54" s="80">
        <v>45558.479166666664</v>
      </c>
      <c r="B54" s="112">
        <v>9.3000000000000007</v>
      </c>
      <c r="C54" s="112">
        <v>4.04</v>
      </c>
      <c r="D54" s="112">
        <v>14.02</v>
      </c>
      <c r="E54" s="112">
        <v>14.34</v>
      </c>
      <c r="F54" s="112">
        <v>9.67</v>
      </c>
      <c r="G54" s="112">
        <v>70.44</v>
      </c>
      <c r="H54" s="112">
        <v>23.36</v>
      </c>
      <c r="I54" s="112">
        <v>5.81</v>
      </c>
      <c r="J54" s="112">
        <v>0.37</v>
      </c>
      <c r="K54" s="112">
        <v>71.459999999999994</v>
      </c>
      <c r="L54" s="112">
        <v>32.57</v>
      </c>
      <c r="M54" s="112">
        <v>66.08</v>
      </c>
      <c r="N54" s="112">
        <v>598.20000000000005</v>
      </c>
      <c r="O54" s="112">
        <v>0</v>
      </c>
      <c r="P54" s="112">
        <v>0.4</v>
      </c>
      <c r="Q54" s="112">
        <v>4.67</v>
      </c>
    </row>
    <row r="55" spans="1:17" customFormat="1">
      <c r="A55" s="80">
        <v>45558.489583333336</v>
      </c>
      <c r="B55" s="112">
        <v>9.27</v>
      </c>
      <c r="C55" s="112">
        <v>4.07</v>
      </c>
      <c r="D55" s="112">
        <v>14.01</v>
      </c>
      <c r="E55" s="112">
        <v>15.18</v>
      </c>
      <c r="F55" s="112">
        <v>10.53</v>
      </c>
      <c r="G55" s="112">
        <v>70.42</v>
      </c>
      <c r="H55" s="112">
        <v>23.35</v>
      </c>
      <c r="I55" s="112">
        <v>5.53</v>
      </c>
      <c r="J55" s="112">
        <v>0.34</v>
      </c>
      <c r="K55" s="112">
        <v>74.66</v>
      </c>
      <c r="L55" s="112">
        <v>33.08</v>
      </c>
      <c r="M55" s="112">
        <v>63.93</v>
      </c>
      <c r="N55" s="112">
        <v>684.7</v>
      </c>
      <c r="O55" s="112">
        <v>0</v>
      </c>
      <c r="P55" s="112">
        <v>0.39</v>
      </c>
      <c r="Q55" s="112">
        <v>4.68</v>
      </c>
    </row>
    <row r="56" spans="1:17" customFormat="1">
      <c r="A56" s="80">
        <v>45558.5</v>
      </c>
      <c r="B56" s="112">
        <v>9.25</v>
      </c>
      <c r="C56" s="112">
        <v>4.1100000000000003</v>
      </c>
      <c r="D56" s="112">
        <v>14.02</v>
      </c>
      <c r="E56" s="112">
        <v>15.52</v>
      </c>
      <c r="F56" s="112">
        <v>15.81</v>
      </c>
      <c r="G56" s="112">
        <v>70.42</v>
      </c>
      <c r="H56" s="112">
        <v>23.35</v>
      </c>
      <c r="I56" s="112">
        <v>5.66</v>
      </c>
      <c r="J56" s="112">
        <v>0.89</v>
      </c>
      <c r="K56" s="112">
        <v>54.98</v>
      </c>
      <c r="L56" s="112">
        <v>32.54</v>
      </c>
      <c r="M56" s="112">
        <v>65.430000000000007</v>
      </c>
      <c r="N56" s="112">
        <v>710.9</v>
      </c>
      <c r="O56" s="112">
        <v>0</v>
      </c>
      <c r="P56" s="112">
        <v>0.4</v>
      </c>
      <c r="Q56" s="112">
        <v>4.67</v>
      </c>
    </row>
    <row r="57" spans="1:17" customFormat="1">
      <c r="A57" s="80">
        <v>45558.510416666664</v>
      </c>
      <c r="B57" s="112">
        <v>9.24</v>
      </c>
      <c r="C57" s="112">
        <v>4.09</v>
      </c>
      <c r="D57" s="112">
        <v>14</v>
      </c>
      <c r="E57" s="112">
        <v>15.57</v>
      </c>
      <c r="F57" s="112">
        <v>9.5399999999999991</v>
      </c>
      <c r="G57" s="112">
        <v>70.42</v>
      </c>
      <c r="H57" s="112">
        <v>23.35</v>
      </c>
      <c r="I57" s="112">
        <v>5.49</v>
      </c>
      <c r="J57" s="112">
        <v>0.2</v>
      </c>
      <c r="K57" s="112">
        <v>113.79</v>
      </c>
      <c r="L57" s="112">
        <v>33.340000000000003</v>
      </c>
      <c r="M57" s="112">
        <v>63.73</v>
      </c>
      <c r="N57" s="112">
        <v>742.6</v>
      </c>
      <c r="O57" s="112">
        <v>0</v>
      </c>
      <c r="P57" s="112">
        <v>0.4</v>
      </c>
      <c r="Q57" s="112">
        <v>4.66</v>
      </c>
    </row>
    <row r="58" spans="1:17" customFormat="1">
      <c r="A58" s="80">
        <v>45558.520833333336</v>
      </c>
      <c r="B58" s="112">
        <v>9.25</v>
      </c>
      <c r="C58" s="112">
        <v>4.08</v>
      </c>
      <c r="D58" s="112">
        <v>14</v>
      </c>
      <c r="E58" s="112">
        <v>14.81</v>
      </c>
      <c r="F58" s="112">
        <v>11.29</v>
      </c>
      <c r="G58" s="112">
        <v>70.09</v>
      </c>
      <c r="H58" s="112">
        <v>23.38</v>
      </c>
      <c r="I58" s="112">
        <v>5.46</v>
      </c>
      <c r="J58" s="112">
        <v>0.34</v>
      </c>
      <c r="K58" s="112">
        <v>74.13</v>
      </c>
      <c r="L58" s="112">
        <v>33.799999999999997</v>
      </c>
      <c r="M58" s="112">
        <v>61.77</v>
      </c>
      <c r="N58" s="112">
        <v>614</v>
      </c>
      <c r="O58" s="112">
        <v>0</v>
      </c>
      <c r="P58" s="112">
        <v>0.4</v>
      </c>
      <c r="Q58" s="112">
        <v>4.6500000000000004</v>
      </c>
    </row>
    <row r="59" spans="1:17" customFormat="1">
      <c r="A59" s="80">
        <v>45558.53125</v>
      </c>
      <c r="B59" s="112">
        <v>9.25</v>
      </c>
      <c r="C59" s="112">
        <v>4.08</v>
      </c>
      <c r="D59" s="112">
        <v>14</v>
      </c>
      <c r="E59" s="112">
        <v>15.09</v>
      </c>
      <c r="F59" s="112">
        <v>9.82</v>
      </c>
      <c r="G59" s="112">
        <v>66.680000000000007</v>
      </c>
      <c r="H59" s="112">
        <v>23.72</v>
      </c>
      <c r="I59" s="112">
        <v>5.45</v>
      </c>
      <c r="J59" s="112">
        <v>0.35</v>
      </c>
      <c r="K59" s="112">
        <v>64.069999999999993</v>
      </c>
      <c r="L59" s="112">
        <v>33.79</v>
      </c>
      <c r="M59" s="112">
        <v>61.29</v>
      </c>
      <c r="N59" s="112">
        <v>665.2</v>
      </c>
      <c r="O59" s="112">
        <v>0</v>
      </c>
      <c r="P59" s="112">
        <v>0.39</v>
      </c>
      <c r="Q59" s="112">
        <v>4.67</v>
      </c>
    </row>
    <row r="60" spans="1:17" customFormat="1">
      <c r="A60" s="80">
        <v>45558.541666666664</v>
      </c>
      <c r="B60" s="112">
        <v>9.2200000000000006</v>
      </c>
      <c r="C60" s="112">
        <v>4.13</v>
      </c>
      <c r="D60" s="112">
        <v>14</v>
      </c>
      <c r="E60" s="112">
        <v>14.3</v>
      </c>
      <c r="F60" s="112">
        <v>12.85</v>
      </c>
      <c r="G60" s="112">
        <v>66.680000000000007</v>
      </c>
      <c r="H60" s="112">
        <v>23.72</v>
      </c>
      <c r="I60" s="112">
        <v>5.33</v>
      </c>
      <c r="J60" s="112">
        <v>0.27</v>
      </c>
      <c r="K60" s="112">
        <v>66.23</v>
      </c>
      <c r="L60" s="112">
        <v>33.32</v>
      </c>
      <c r="M60" s="112">
        <v>62.55</v>
      </c>
      <c r="N60" s="112">
        <v>561.79999999999995</v>
      </c>
      <c r="O60" s="112">
        <v>0</v>
      </c>
      <c r="P60" s="112">
        <v>0.39</v>
      </c>
      <c r="Q60" s="112">
        <v>4.66</v>
      </c>
    </row>
    <row r="61" spans="1:17" customFormat="1">
      <c r="A61" s="80">
        <v>45558.552083333336</v>
      </c>
      <c r="B61" s="112">
        <v>9.19</v>
      </c>
      <c r="C61" s="112">
        <v>4.17</v>
      </c>
      <c r="D61" s="112">
        <v>14</v>
      </c>
      <c r="E61" s="112">
        <v>13.52</v>
      </c>
      <c r="F61" s="112">
        <v>12.7</v>
      </c>
      <c r="G61" s="112">
        <v>66.680000000000007</v>
      </c>
      <c r="H61" s="112">
        <v>23.72</v>
      </c>
      <c r="I61" s="112">
        <v>5.29</v>
      </c>
      <c r="J61" s="112">
        <v>0.24</v>
      </c>
      <c r="K61" s="112">
        <v>94.2</v>
      </c>
      <c r="L61" s="112">
        <v>34.03</v>
      </c>
      <c r="M61" s="112">
        <v>59.87</v>
      </c>
      <c r="N61" s="112">
        <v>586</v>
      </c>
      <c r="O61" s="112">
        <v>0</v>
      </c>
      <c r="P61" s="112">
        <v>0.38</v>
      </c>
      <c r="Q61" s="112">
        <v>4.67</v>
      </c>
    </row>
    <row r="62" spans="1:17" customFormat="1">
      <c r="A62" s="80">
        <v>45558.5625</v>
      </c>
      <c r="B62" s="112">
        <v>9.19</v>
      </c>
      <c r="C62" s="112">
        <v>4.17</v>
      </c>
      <c r="D62" s="112">
        <v>14</v>
      </c>
      <c r="E62" s="112">
        <v>13.23</v>
      </c>
      <c r="F62" s="112">
        <v>14.73</v>
      </c>
      <c r="G62" s="112">
        <v>66.48</v>
      </c>
      <c r="H62" s="112">
        <v>24.03</v>
      </c>
      <c r="I62" s="112">
        <v>5.21</v>
      </c>
      <c r="J62" s="112">
        <v>0.36</v>
      </c>
      <c r="K62" s="112">
        <v>51.62</v>
      </c>
      <c r="L62" s="112">
        <v>33.229999999999997</v>
      </c>
      <c r="M62" s="112">
        <v>63.12</v>
      </c>
      <c r="N62" s="112">
        <v>235.8</v>
      </c>
      <c r="O62" s="112">
        <v>0</v>
      </c>
      <c r="P62" s="112">
        <v>0.38</v>
      </c>
      <c r="Q62" s="112">
        <v>4.66</v>
      </c>
    </row>
    <row r="63" spans="1:17" customFormat="1">
      <c r="A63" s="80">
        <v>45558.572916666664</v>
      </c>
      <c r="B63" s="112">
        <v>9.2100000000000009</v>
      </c>
      <c r="C63" s="112">
        <v>4.1500000000000004</v>
      </c>
      <c r="D63" s="112">
        <v>14</v>
      </c>
      <c r="E63" s="112">
        <v>12.81</v>
      </c>
      <c r="F63" s="112">
        <v>15.98</v>
      </c>
      <c r="G63" s="112">
        <v>64.67</v>
      </c>
      <c r="H63" s="112">
        <v>26.32</v>
      </c>
      <c r="I63" s="112">
        <v>5.2</v>
      </c>
      <c r="J63" s="112">
        <v>0.33</v>
      </c>
      <c r="K63" s="112">
        <v>77.31</v>
      </c>
      <c r="L63" s="112">
        <v>33.86</v>
      </c>
      <c r="M63" s="112">
        <v>60.76</v>
      </c>
      <c r="N63" s="112">
        <v>662.9</v>
      </c>
      <c r="O63" s="112">
        <v>0</v>
      </c>
      <c r="P63" s="112">
        <v>0.36</v>
      </c>
      <c r="Q63" s="112">
        <v>4.66</v>
      </c>
    </row>
    <row r="64" spans="1:17" customFormat="1">
      <c r="A64" s="80">
        <v>45558.583333333336</v>
      </c>
      <c r="B64" s="112">
        <v>9.23</v>
      </c>
      <c r="C64" s="112">
        <v>4.1100000000000003</v>
      </c>
      <c r="D64" s="112">
        <v>14</v>
      </c>
      <c r="E64" s="112">
        <v>12.54</v>
      </c>
      <c r="F64" s="112">
        <v>16.7</v>
      </c>
      <c r="G64" s="112">
        <v>64.67</v>
      </c>
      <c r="H64" s="112">
        <v>26.32</v>
      </c>
      <c r="I64" s="112">
        <v>5.04</v>
      </c>
      <c r="J64" s="112">
        <v>0.32</v>
      </c>
      <c r="K64" s="112">
        <v>61.17</v>
      </c>
      <c r="L64" s="112">
        <v>34.049999999999997</v>
      </c>
      <c r="M64" s="112">
        <v>59.77</v>
      </c>
      <c r="N64" s="112">
        <v>339</v>
      </c>
      <c r="O64" s="112">
        <v>0</v>
      </c>
      <c r="P64" s="112">
        <v>0.36</v>
      </c>
      <c r="Q64" s="112">
        <v>4.66</v>
      </c>
    </row>
    <row r="65" spans="1:17" customFormat="1">
      <c r="A65" s="80">
        <v>45558.59375</v>
      </c>
      <c r="B65" s="112">
        <v>9.23</v>
      </c>
      <c r="C65" s="112">
        <v>4.12</v>
      </c>
      <c r="D65" s="112">
        <v>14</v>
      </c>
      <c r="E65" s="112">
        <v>13.18</v>
      </c>
      <c r="F65" s="112">
        <v>8.27</v>
      </c>
      <c r="G65" s="112">
        <v>64.67</v>
      </c>
      <c r="H65" s="112">
        <v>26.32</v>
      </c>
      <c r="I65" s="112">
        <v>4.8</v>
      </c>
      <c r="J65" s="112">
        <v>0.22</v>
      </c>
      <c r="K65" s="112">
        <v>123.92</v>
      </c>
      <c r="L65" s="112">
        <v>34.03</v>
      </c>
      <c r="M65" s="112">
        <v>60.74</v>
      </c>
      <c r="N65" s="112">
        <v>144.4</v>
      </c>
      <c r="O65" s="112">
        <v>0</v>
      </c>
      <c r="P65" s="112">
        <v>0.49</v>
      </c>
      <c r="Q65" s="112">
        <v>4.66</v>
      </c>
    </row>
    <row r="66" spans="1:17" customFormat="1">
      <c r="A66" s="80">
        <v>45558.604166666664</v>
      </c>
      <c r="B66" s="112">
        <v>9.17</v>
      </c>
      <c r="C66" s="112">
        <v>4.2</v>
      </c>
      <c r="D66" s="112">
        <v>14</v>
      </c>
      <c r="E66" s="112">
        <v>13.34</v>
      </c>
      <c r="F66" s="112">
        <v>19.82</v>
      </c>
      <c r="G66" s="112">
        <v>64.239999999999995</v>
      </c>
      <c r="H66" s="112">
        <v>26.18</v>
      </c>
      <c r="I66" s="112">
        <v>4.87</v>
      </c>
      <c r="J66" s="112">
        <v>0.15</v>
      </c>
      <c r="K66" s="112">
        <v>74.94</v>
      </c>
      <c r="L66" s="112">
        <v>33.69</v>
      </c>
      <c r="M66" s="112">
        <v>59.93</v>
      </c>
      <c r="N66" s="112">
        <v>131</v>
      </c>
      <c r="O66" s="112">
        <v>0</v>
      </c>
      <c r="P66" s="112">
        <v>0.49</v>
      </c>
      <c r="Q66" s="112">
        <v>4.6500000000000004</v>
      </c>
    </row>
    <row r="67" spans="1:17" customFormat="1">
      <c r="A67" s="80">
        <v>45558.614583333336</v>
      </c>
      <c r="B67" s="112">
        <v>9.18</v>
      </c>
      <c r="C67" s="112">
        <v>4.2</v>
      </c>
      <c r="D67" s="112">
        <v>14</v>
      </c>
      <c r="E67" s="112">
        <v>13.43</v>
      </c>
      <c r="F67" s="112">
        <v>11.36</v>
      </c>
      <c r="G67" s="112">
        <v>59.8</v>
      </c>
      <c r="H67" s="112">
        <v>25.03</v>
      </c>
      <c r="I67" s="112">
        <v>5.04</v>
      </c>
      <c r="J67" s="112">
        <v>0.37</v>
      </c>
      <c r="K67" s="112">
        <v>57.76</v>
      </c>
      <c r="L67" s="112">
        <v>33.340000000000003</v>
      </c>
      <c r="M67" s="112">
        <v>61.8</v>
      </c>
      <c r="N67" s="112">
        <v>128.1</v>
      </c>
      <c r="O67" s="112">
        <v>0</v>
      </c>
      <c r="P67" s="112">
        <v>0.51</v>
      </c>
      <c r="Q67" s="112">
        <v>4.6500000000000004</v>
      </c>
    </row>
    <row r="68" spans="1:17" customFormat="1">
      <c r="A68" s="80">
        <v>45558.625</v>
      </c>
      <c r="B68" s="112">
        <v>9.16</v>
      </c>
      <c r="C68" s="112">
        <v>4.22</v>
      </c>
      <c r="D68" s="112">
        <v>14</v>
      </c>
      <c r="E68" s="112">
        <v>13.28</v>
      </c>
      <c r="F68" s="112">
        <v>18.97</v>
      </c>
      <c r="G68" s="112">
        <v>59.8</v>
      </c>
      <c r="H68" s="112">
        <v>25.03</v>
      </c>
      <c r="I68" s="112">
        <v>4.75</v>
      </c>
      <c r="J68" s="112">
        <v>0.79</v>
      </c>
      <c r="K68" s="112">
        <v>54.58</v>
      </c>
      <c r="L68" s="112">
        <v>33.19</v>
      </c>
      <c r="M68" s="112">
        <v>59.3</v>
      </c>
      <c r="N68" s="112">
        <v>135.80000000000001</v>
      </c>
      <c r="O68" s="112">
        <v>0</v>
      </c>
      <c r="P68" s="112">
        <v>0.51</v>
      </c>
      <c r="Q68" s="112">
        <v>4.67</v>
      </c>
    </row>
    <row r="69" spans="1:17" customFormat="1">
      <c r="A69" s="80">
        <v>45558.635416666664</v>
      </c>
      <c r="B69" s="112">
        <v>9.17</v>
      </c>
      <c r="C69" s="112">
        <v>4.2</v>
      </c>
      <c r="D69" s="112">
        <v>14</v>
      </c>
      <c r="E69" s="112">
        <v>14.01</v>
      </c>
      <c r="F69" s="112">
        <v>16.489999999999998</v>
      </c>
      <c r="G69" s="112">
        <v>59.8</v>
      </c>
      <c r="H69" s="112">
        <v>25.03</v>
      </c>
      <c r="I69" s="112">
        <v>4.8600000000000003</v>
      </c>
      <c r="J69" s="112">
        <v>0.59</v>
      </c>
      <c r="K69" s="112">
        <v>56.96</v>
      </c>
      <c r="L69" s="112">
        <v>33.130000000000003</v>
      </c>
      <c r="M69" s="112">
        <v>60.58</v>
      </c>
      <c r="N69" s="112">
        <v>159</v>
      </c>
      <c r="O69" s="112">
        <v>0</v>
      </c>
      <c r="P69" s="112">
        <v>0.49</v>
      </c>
      <c r="Q69" s="112">
        <v>4.67</v>
      </c>
    </row>
    <row r="70" spans="1:17" customFormat="1">
      <c r="A70" s="80">
        <v>45558.645833333336</v>
      </c>
      <c r="B70" s="112">
        <v>9.18</v>
      </c>
      <c r="C70" s="112">
        <v>4.1900000000000004</v>
      </c>
      <c r="D70" s="112">
        <v>14</v>
      </c>
      <c r="E70" s="112">
        <v>14.05</v>
      </c>
      <c r="F70" s="112">
        <v>21.79</v>
      </c>
      <c r="G70" s="112">
        <v>59.73</v>
      </c>
      <c r="H70" s="112">
        <v>25.07</v>
      </c>
      <c r="I70" s="112">
        <v>4.76</v>
      </c>
      <c r="J70" s="112">
        <v>0.48</v>
      </c>
      <c r="K70" s="112">
        <v>54.65</v>
      </c>
      <c r="L70" s="112">
        <v>33.24</v>
      </c>
      <c r="M70" s="112">
        <v>60.53</v>
      </c>
      <c r="N70" s="112">
        <v>284.89999999999998</v>
      </c>
      <c r="O70" s="112">
        <v>0</v>
      </c>
      <c r="P70" s="112">
        <v>0.51</v>
      </c>
      <c r="Q70" s="112">
        <v>4.6500000000000004</v>
      </c>
    </row>
    <row r="71" spans="1:17" customFormat="1">
      <c r="A71" s="80">
        <v>45558.65625</v>
      </c>
      <c r="B71" s="112">
        <v>9.2200000000000006</v>
      </c>
      <c r="C71" s="112">
        <v>4.12</v>
      </c>
      <c r="D71" s="112">
        <v>14</v>
      </c>
      <c r="E71" s="112">
        <v>16.93</v>
      </c>
      <c r="F71" s="112">
        <v>22</v>
      </c>
      <c r="G71" s="112">
        <v>59.04</v>
      </c>
      <c r="H71" s="112">
        <v>25.36</v>
      </c>
      <c r="I71" s="112">
        <v>4.7699999999999996</v>
      </c>
      <c r="J71" s="112">
        <v>0.79</v>
      </c>
      <c r="K71" s="112">
        <v>51.26</v>
      </c>
      <c r="L71" s="112">
        <v>33.51</v>
      </c>
      <c r="M71" s="112">
        <v>59.74</v>
      </c>
      <c r="N71" s="112">
        <v>195.9</v>
      </c>
      <c r="O71" s="112">
        <v>0</v>
      </c>
      <c r="P71" s="112">
        <v>0.56000000000000005</v>
      </c>
      <c r="Q71" s="112">
        <v>4.6399999999999997</v>
      </c>
    </row>
    <row r="72" spans="1:17" customFormat="1">
      <c r="A72" s="80">
        <v>45558.666666666664</v>
      </c>
      <c r="B72" s="112">
        <v>9.1999999999999993</v>
      </c>
      <c r="C72" s="112">
        <v>4.16</v>
      </c>
      <c r="D72" s="112">
        <v>14</v>
      </c>
      <c r="E72" s="112">
        <v>18.260000000000002</v>
      </c>
      <c r="F72" s="112">
        <v>18.73</v>
      </c>
      <c r="G72" s="112">
        <v>59.04</v>
      </c>
      <c r="H72" s="112">
        <v>25.36</v>
      </c>
      <c r="I72" s="112">
        <v>4.75</v>
      </c>
      <c r="J72" s="112">
        <v>0.47</v>
      </c>
      <c r="K72" s="112">
        <v>54.75</v>
      </c>
      <c r="L72" s="112">
        <v>33.14</v>
      </c>
      <c r="M72" s="112">
        <v>61.92</v>
      </c>
      <c r="N72" s="112">
        <v>94.3</v>
      </c>
      <c r="O72" s="112">
        <v>0</v>
      </c>
      <c r="P72" s="112">
        <v>0.56000000000000005</v>
      </c>
      <c r="Q72" s="112">
        <v>4.6399999999999997</v>
      </c>
    </row>
    <row r="73" spans="1:17" customFormat="1">
      <c r="A73" s="80">
        <v>45558.677083333336</v>
      </c>
      <c r="B73" s="112">
        <v>9.23</v>
      </c>
      <c r="C73" s="112">
        <v>4.12</v>
      </c>
      <c r="D73" s="112">
        <v>14</v>
      </c>
      <c r="E73" s="112">
        <v>18.3</v>
      </c>
      <c r="F73" s="112">
        <v>19.399999999999999</v>
      </c>
      <c r="G73" s="112">
        <v>59.04</v>
      </c>
      <c r="H73" s="112">
        <v>25.36</v>
      </c>
      <c r="I73" s="112">
        <v>4.71</v>
      </c>
      <c r="J73" s="112">
        <v>0.5</v>
      </c>
      <c r="K73" s="112">
        <v>57.44</v>
      </c>
      <c r="L73" s="112">
        <v>32.75</v>
      </c>
      <c r="M73" s="112">
        <v>62.4</v>
      </c>
      <c r="N73" s="112">
        <v>60.1</v>
      </c>
      <c r="O73" s="112">
        <v>0</v>
      </c>
      <c r="P73" s="112">
        <v>0.57999999999999996</v>
      </c>
      <c r="Q73" s="112">
        <v>4.6399999999999997</v>
      </c>
    </row>
    <row r="74" spans="1:17" customFormat="1">
      <c r="A74" s="80">
        <v>45558.6875</v>
      </c>
      <c r="B74" s="112">
        <v>9.27</v>
      </c>
      <c r="C74" s="112">
        <v>4.1100000000000003</v>
      </c>
      <c r="D74" s="112">
        <v>14.03</v>
      </c>
      <c r="E74" s="112">
        <v>19.440000000000001</v>
      </c>
      <c r="F74" s="112">
        <v>24.38</v>
      </c>
      <c r="G74" s="112">
        <v>59.88</v>
      </c>
      <c r="H74" s="112">
        <v>25.5</v>
      </c>
      <c r="I74" s="112">
        <v>4.8600000000000003</v>
      </c>
      <c r="J74" s="112">
        <v>0.56999999999999995</v>
      </c>
      <c r="K74" s="112">
        <v>52.28</v>
      </c>
      <c r="L74" s="112">
        <v>32.51</v>
      </c>
      <c r="M74" s="112">
        <v>63.2</v>
      </c>
      <c r="N74" s="112">
        <v>47.9</v>
      </c>
      <c r="O74" s="112">
        <v>0</v>
      </c>
      <c r="P74" s="112">
        <v>0.59</v>
      </c>
      <c r="Q74" s="112">
        <v>4.6399999999999997</v>
      </c>
    </row>
    <row r="75" spans="1:17" customFormat="1">
      <c r="A75" s="80">
        <v>45558.697916666664</v>
      </c>
      <c r="B75" s="112">
        <v>9.26</v>
      </c>
      <c r="C75" s="112">
        <v>4.0999999999999996</v>
      </c>
      <c r="D75" s="112">
        <v>14.02</v>
      </c>
      <c r="E75" s="112">
        <v>18.78</v>
      </c>
      <c r="F75" s="112">
        <v>20.22</v>
      </c>
      <c r="G75" s="112">
        <v>68.42</v>
      </c>
      <c r="H75" s="112">
        <v>26.52</v>
      </c>
      <c r="I75" s="112">
        <v>4.96</v>
      </c>
      <c r="J75" s="112">
        <v>0.6</v>
      </c>
      <c r="K75" s="112">
        <v>66.319999999999993</v>
      </c>
      <c r="L75" s="112">
        <v>32.4</v>
      </c>
      <c r="M75" s="112">
        <v>64.22</v>
      </c>
      <c r="N75" s="112">
        <v>40.1</v>
      </c>
      <c r="O75" s="112">
        <v>0</v>
      </c>
      <c r="P75" s="112">
        <v>0.6</v>
      </c>
      <c r="Q75" s="112">
        <v>4.63</v>
      </c>
    </row>
    <row r="76" spans="1:17" customFormat="1">
      <c r="A76" s="80">
        <v>45558.708333333336</v>
      </c>
      <c r="B76" s="112">
        <v>9.23</v>
      </c>
      <c r="C76" s="112">
        <v>4.1100000000000003</v>
      </c>
      <c r="D76" s="112">
        <v>14</v>
      </c>
      <c r="E76" s="112">
        <v>17.04</v>
      </c>
      <c r="F76" s="112">
        <v>14.1</v>
      </c>
      <c r="G76" s="112">
        <v>68.42</v>
      </c>
      <c r="H76" s="112">
        <v>26.52</v>
      </c>
      <c r="I76" s="112">
        <v>5.26</v>
      </c>
      <c r="J76" s="112">
        <v>0.16</v>
      </c>
      <c r="K76" s="112">
        <v>119.43</v>
      </c>
      <c r="L76" s="112">
        <v>32.15</v>
      </c>
      <c r="M76" s="112">
        <v>67.33</v>
      </c>
      <c r="N76" s="112">
        <v>29.3</v>
      </c>
      <c r="O76" s="112">
        <v>0</v>
      </c>
      <c r="P76" s="112">
        <v>0.6</v>
      </c>
      <c r="Q76" s="112">
        <v>4.6500000000000004</v>
      </c>
    </row>
    <row r="77" spans="1:17" customFormat="1">
      <c r="A77" s="80">
        <v>45558.71875</v>
      </c>
      <c r="B77" s="112">
        <v>9.2200000000000006</v>
      </c>
      <c r="C77" s="112">
        <v>4.13</v>
      </c>
      <c r="D77" s="112">
        <v>14</v>
      </c>
      <c r="E77" s="112">
        <v>16.670000000000002</v>
      </c>
      <c r="F77" s="112">
        <v>16.559999999999999</v>
      </c>
      <c r="G77" s="112">
        <v>68.42</v>
      </c>
      <c r="H77" s="112">
        <v>26.52</v>
      </c>
      <c r="I77" s="112">
        <v>5.18</v>
      </c>
      <c r="J77" s="112">
        <v>0.21</v>
      </c>
      <c r="K77" s="112">
        <v>136.59</v>
      </c>
      <c r="L77" s="112">
        <v>31.61</v>
      </c>
      <c r="M77" s="112">
        <v>71.25</v>
      </c>
      <c r="N77" s="112">
        <v>17.899999999999999</v>
      </c>
      <c r="O77" s="112">
        <v>0</v>
      </c>
      <c r="P77" s="112">
        <v>0.59</v>
      </c>
      <c r="Q77" s="112">
        <v>4.63</v>
      </c>
    </row>
    <row r="78" spans="1:17" customFormat="1">
      <c r="A78" s="80">
        <v>45558.729166666664</v>
      </c>
      <c r="B78" s="112">
        <v>9.1999999999999993</v>
      </c>
      <c r="C78" s="112">
        <v>4.1500000000000004</v>
      </c>
      <c r="D78" s="112">
        <v>14</v>
      </c>
      <c r="E78" s="112">
        <v>14.87</v>
      </c>
      <c r="F78" s="112">
        <v>15.1</v>
      </c>
      <c r="G78" s="112">
        <v>68.31</v>
      </c>
      <c r="H78" s="112">
        <v>27.33</v>
      </c>
      <c r="I78" s="112">
        <v>5.25</v>
      </c>
      <c r="J78" s="112">
        <v>0.16</v>
      </c>
      <c r="K78" s="112">
        <v>178.79</v>
      </c>
      <c r="L78" s="112">
        <v>31.4</v>
      </c>
      <c r="M78" s="112">
        <v>73.2</v>
      </c>
      <c r="N78" s="112">
        <v>10.5</v>
      </c>
      <c r="O78" s="112">
        <v>0</v>
      </c>
      <c r="P78" s="112">
        <v>0.6</v>
      </c>
      <c r="Q78" s="112">
        <v>4.63</v>
      </c>
    </row>
    <row r="79" spans="1:17" customFormat="1">
      <c r="A79" s="80">
        <v>45558.739583333336</v>
      </c>
      <c r="B79" s="112">
        <v>9.2200000000000006</v>
      </c>
      <c r="C79" s="112">
        <v>4.12</v>
      </c>
      <c r="D79" s="112">
        <v>14</v>
      </c>
      <c r="E79" s="112">
        <v>14.44</v>
      </c>
      <c r="F79" s="112">
        <v>15.78</v>
      </c>
      <c r="G79" s="112">
        <v>67.239999999999995</v>
      </c>
      <c r="H79" s="112">
        <v>34.1</v>
      </c>
      <c r="I79" s="112">
        <v>5.18</v>
      </c>
      <c r="J79" s="112">
        <v>0.14000000000000001</v>
      </c>
      <c r="K79" s="112">
        <v>203.28</v>
      </c>
      <c r="L79" s="112">
        <v>30.64</v>
      </c>
      <c r="M79" s="112">
        <v>77.3</v>
      </c>
      <c r="N79" s="112">
        <v>5.2</v>
      </c>
      <c r="O79" s="112">
        <v>0</v>
      </c>
      <c r="P79" s="112">
        <v>0.59</v>
      </c>
      <c r="Q79" s="112">
        <v>4.62</v>
      </c>
    </row>
    <row r="80" spans="1:17" customFormat="1">
      <c r="A80" s="80">
        <v>45558.75</v>
      </c>
      <c r="B80" s="112">
        <v>9.1999999999999993</v>
      </c>
      <c r="C80" s="112">
        <v>4.1500000000000004</v>
      </c>
      <c r="D80" s="112">
        <v>14</v>
      </c>
      <c r="E80" s="112">
        <v>13.94</v>
      </c>
      <c r="F80" s="112">
        <v>10.52</v>
      </c>
      <c r="G80" s="112">
        <v>67.239999999999995</v>
      </c>
      <c r="H80" s="112">
        <v>34.1</v>
      </c>
      <c r="I80" s="112">
        <v>5.24</v>
      </c>
      <c r="J80" s="112">
        <v>0.18</v>
      </c>
      <c r="K80" s="112">
        <v>178.21</v>
      </c>
      <c r="L80" s="112">
        <v>30.46</v>
      </c>
      <c r="M80" s="112">
        <v>80.59</v>
      </c>
      <c r="N80" s="112">
        <v>2.7</v>
      </c>
      <c r="O80" s="112">
        <v>0</v>
      </c>
      <c r="P80" s="112">
        <v>0.59</v>
      </c>
      <c r="Q80" s="112">
        <v>4.63</v>
      </c>
    </row>
    <row r="81" spans="1:17" customFormat="1">
      <c r="A81" s="80">
        <v>45558.760416666664</v>
      </c>
      <c r="B81" s="112">
        <v>9.18</v>
      </c>
      <c r="C81" s="112">
        <v>4.18</v>
      </c>
      <c r="D81" s="112">
        <v>14</v>
      </c>
      <c r="E81" s="112">
        <v>10.16</v>
      </c>
      <c r="F81" s="112">
        <v>10.050000000000001</v>
      </c>
      <c r="G81" s="112">
        <v>67.239999999999995</v>
      </c>
      <c r="H81" s="112">
        <v>34.1</v>
      </c>
      <c r="I81" s="112">
        <v>5.22</v>
      </c>
      <c r="J81" s="112">
        <v>0.21</v>
      </c>
      <c r="K81" s="112">
        <v>53.58</v>
      </c>
      <c r="L81" s="112">
        <v>30.12</v>
      </c>
      <c r="M81" s="112">
        <v>81.64</v>
      </c>
      <c r="N81" s="112">
        <v>2.2999999999999998</v>
      </c>
      <c r="O81" s="112">
        <v>0</v>
      </c>
      <c r="P81" s="112">
        <v>0.6</v>
      </c>
      <c r="Q81" s="112">
        <v>4.63</v>
      </c>
    </row>
    <row r="82" spans="1:17" customFormat="1">
      <c r="A82" s="80">
        <v>45558.770833333336</v>
      </c>
      <c r="B82" s="112">
        <v>9.16</v>
      </c>
      <c r="C82" s="112">
        <v>4.22</v>
      </c>
      <c r="D82" s="112">
        <v>14</v>
      </c>
      <c r="E82" s="112">
        <v>12.93</v>
      </c>
      <c r="F82" s="112">
        <v>13.14</v>
      </c>
      <c r="G82" s="112">
        <v>67.959999999999994</v>
      </c>
      <c r="H82" s="112">
        <v>34.06</v>
      </c>
      <c r="I82" s="112">
        <v>5.37</v>
      </c>
      <c r="J82" s="112">
        <v>0.32</v>
      </c>
      <c r="K82" s="112">
        <v>41.01</v>
      </c>
      <c r="L82" s="112">
        <v>30.09</v>
      </c>
      <c r="M82" s="112">
        <v>79.59</v>
      </c>
      <c r="N82" s="112">
        <v>2.6</v>
      </c>
      <c r="O82" s="112">
        <v>0</v>
      </c>
      <c r="P82" s="112">
        <v>0.62</v>
      </c>
      <c r="Q82" s="112">
        <v>4.6399999999999997</v>
      </c>
    </row>
    <row r="83" spans="1:17" customFormat="1">
      <c r="A83" s="80">
        <v>45558.78125</v>
      </c>
      <c r="B83" s="112">
        <v>9.1300000000000008</v>
      </c>
      <c r="C83" s="112">
        <v>4.26</v>
      </c>
      <c r="D83" s="112">
        <v>14</v>
      </c>
      <c r="E83" s="112">
        <v>13.68</v>
      </c>
      <c r="F83" s="112">
        <v>12.15</v>
      </c>
      <c r="G83" s="112">
        <v>75.37</v>
      </c>
      <c r="H83" s="112">
        <v>33.69</v>
      </c>
      <c r="I83" s="112">
        <v>5.36</v>
      </c>
      <c r="J83" s="112">
        <v>0.23</v>
      </c>
      <c r="K83" s="112">
        <v>52.15</v>
      </c>
      <c r="L83" s="112">
        <v>29.82</v>
      </c>
      <c r="M83" s="112">
        <v>80.47</v>
      </c>
      <c r="N83" s="112">
        <v>2.4</v>
      </c>
      <c r="O83" s="112">
        <v>0</v>
      </c>
      <c r="P83" s="112">
        <v>0.65</v>
      </c>
      <c r="Q83" s="112">
        <v>4.6500000000000004</v>
      </c>
    </row>
    <row r="84" spans="1:17" customFormat="1">
      <c r="A84" s="80">
        <v>45558.791666666664</v>
      </c>
      <c r="B84" s="112">
        <v>9.11</v>
      </c>
      <c r="C84" s="112">
        <v>4.29</v>
      </c>
      <c r="D84" s="112">
        <v>14</v>
      </c>
      <c r="E84" s="112">
        <v>12.25</v>
      </c>
      <c r="F84" s="112">
        <v>8.8800000000000008</v>
      </c>
      <c r="G84" s="112">
        <v>75.37</v>
      </c>
      <c r="H84" s="112">
        <v>33.69</v>
      </c>
      <c r="I84" s="112">
        <v>5.44</v>
      </c>
      <c r="J84" s="112">
        <v>0.13</v>
      </c>
      <c r="K84" s="112">
        <v>206.07</v>
      </c>
      <c r="L84" s="112">
        <v>29.44</v>
      </c>
      <c r="M84" s="112">
        <v>83.63</v>
      </c>
      <c r="N84" s="112">
        <v>2.7</v>
      </c>
      <c r="O84" s="112">
        <v>0</v>
      </c>
      <c r="P84" s="112">
        <v>0.62</v>
      </c>
      <c r="Q84" s="112">
        <v>4.6399999999999997</v>
      </c>
    </row>
    <row r="85" spans="1:17" customFormat="1">
      <c r="A85" s="80">
        <v>45558.802083333336</v>
      </c>
      <c r="B85" s="112">
        <v>9.11</v>
      </c>
      <c r="C85" s="112">
        <v>4.3</v>
      </c>
      <c r="D85" s="112">
        <v>14</v>
      </c>
      <c r="E85" s="112">
        <v>12.23</v>
      </c>
      <c r="F85" s="112">
        <v>9.02</v>
      </c>
      <c r="G85" s="112">
        <v>75.37</v>
      </c>
      <c r="H85" s="112">
        <v>33.69</v>
      </c>
      <c r="I85" s="112">
        <v>5.64</v>
      </c>
      <c r="J85" s="112">
        <v>0.15</v>
      </c>
      <c r="K85" s="112">
        <v>176.32</v>
      </c>
      <c r="L85" s="112">
        <v>29.18</v>
      </c>
      <c r="M85" s="112">
        <v>85.99</v>
      </c>
      <c r="N85" s="112">
        <v>2.4</v>
      </c>
      <c r="O85" s="112">
        <v>0</v>
      </c>
      <c r="P85" s="112">
        <v>0.61</v>
      </c>
      <c r="Q85" s="112">
        <v>4.63</v>
      </c>
    </row>
    <row r="86" spans="1:17" customFormat="1">
      <c r="A86" s="80">
        <v>45558.8125</v>
      </c>
      <c r="B86" s="112">
        <v>9.1199999999999992</v>
      </c>
      <c r="C86" s="112">
        <v>4.28</v>
      </c>
      <c r="D86" s="112">
        <v>14</v>
      </c>
      <c r="E86" s="112">
        <v>12.03</v>
      </c>
      <c r="F86" s="112">
        <v>8.0299999999999994</v>
      </c>
      <c r="G86" s="112">
        <v>75.930000000000007</v>
      </c>
      <c r="H86" s="112">
        <v>33.71</v>
      </c>
      <c r="I86" s="112">
        <v>5.66</v>
      </c>
      <c r="J86" s="112">
        <v>0.24</v>
      </c>
      <c r="K86" s="112">
        <v>260.27999999999997</v>
      </c>
      <c r="L86" s="112">
        <v>29.05</v>
      </c>
      <c r="M86" s="112">
        <v>88.19</v>
      </c>
      <c r="N86" s="112">
        <v>2.2000000000000002</v>
      </c>
      <c r="O86" s="112">
        <v>0</v>
      </c>
      <c r="P86" s="112">
        <v>0.63</v>
      </c>
      <c r="Q86" s="112">
        <v>4.62</v>
      </c>
    </row>
    <row r="87" spans="1:17" customFormat="1">
      <c r="A87" s="80">
        <v>45558.822916666664</v>
      </c>
      <c r="B87" s="112">
        <v>9.1300000000000008</v>
      </c>
      <c r="C87" s="112">
        <v>4.26</v>
      </c>
      <c r="D87" s="112">
        <v>14</v>
      </c>
      <c r="E87" s="112">
        <v>12.14</v>
      </c>
      <c r="F87" s="112">
        <v>5.73</v>
      </c>
      <c r="G87" s="112">
        <v>81.66</v>
      </c>
      <c r="H87" s="112">
        <v>33.92</v>
      </c>
      <c r="I87" s="112">
        <v>5.73</v>
      </c>
      <c r="J87" s="112">
        <v>0.21</v>
      </c>
      <c r="K87" s="112">
        <v>256</v>
      </c>
      <c r="L87" s="112">
        <v>29.04</v>
      </c>
      <c r="M87" s="112">
        <v>87.79</v>
      </c>
      <c r="N87" s="112">
        <v>2.2000000000000002</v>
      </c>
      <c r="O87" s="112">
        <v>0</v>
      </c>
      <c r="P87" s="112">
        <v>0.69</v>
      </c>
      <c r="Q87" s="112">
        <v>4.63</v>
      </c>
    </row>
    <row r="88" spans="1:17" customFormat="1">
      <c r="A88" s="80">
        <v>45558.833333333336</v>
      </c>
      <c r="B88" s="112">
        <v>9.1300000000000008</v>
      </c>
      <c r="C88" s="112">
        <v>4.26</v>
      </c>
      <c r="D88" s="112">
        <v>14</v>
      </c>
      <c r="E88" s="112">
        <v>12.48</v>
      </c>
      <c r="F88" s="112">
        <v>6.32</v>
      </c>
      <c r="G88" s="112">
        <v>81.66</v>
      </c>
      <c r="H88" s="112">
        <v>33.92</v>
      </c>
      <c r="I88" s="112">
        <v>5.88</v>
      </c>
      <c r="J88" s="112">
        <v>0.02</v>
      </c>
      <c r="K88" s="112">
        <v>52.5</v>
      </c>
      <c r="L88" s="112">
        <v>29</v>
      </c>
      <c r="M88" s="112">
        <v>85.27</v>
      </c>
      <c r="N88" s="112">
        <v>2.2999999999999998</v>
      </c>
      <c r="O88" s="112">
        <v>0</v>
      </c>
      <c r="P88" s="112">
        <v>0.71</v>
      </c>
      <c r="Q88" s="112">
        <v>4.6399999999999997</v>
      </c>
    </row>
    <row r="89" spans="1:17" customFormat="1">
      <c r="A89" s="80">
        <v>45558.84375</v>
      </c>
      <c r="B89" s="112">
        <v>9.16</v>
      </c>
      <c r="C89" s="112">
        <v>4.22</v>
      </c>
      <c r="D89" s="112">
        <v>14</v>
      </c>
      <c r="E89" s="112">
        <v>11.46</v>
      </c>
      <c r="F89" s="112">
        <v>9.48</v>
      </c>
      <c r="G89" s="112">
        <v>81.66</v>
      </c>
      <c r="H89" s="112">
        <v>33.92</v>
      </c>
      <c r="I89" s="112">
        <v>6.36</v>
      </c>
      <c r="J89" s="112">
        <v>0.06</v>
      </c>
      <c r="K89" s="112">
        <v>60.58</v>
      </c>
      <c r="L89" s="112">
        <v>28.74</v>
      </c>
      <c r="M89" s="112">
        <v>86.09</v>
      </c>
      <c r="N89" s="112">
        <v>2.2999999999999998</v>
      </c>
      <c r="O89" s="112">
        <v>0</v>
      </c>
      <c r="P89" s="112">
        <v>0.7</v>
      </c>
      <c r="Q89" s="112">
        <v>4.66</v>
      </c>
    </row>
    <row r="90" spans="1:17" customFormat="1">
      <c r="A90" s="80">
        <v>45558.854166666664</v>
      </c>
      <c r="B90" s="112">
        <v>9.2799999999999994</v>
      </c>
      <c r="C90" s="112">
        <v>4.0999999999999996</v>
      </c>
      <c r="D90" s="112">
        <v>14.03</v>
      </c>
      <c r="E90" s="112">
        <v>11.2</v>
      </c>
      <c r="F90" s="112">
        <v>9.4499999999999993</v>
      </c>
      <c r="G90" s="112">
        <v>82.38</v>
      </c>
      <c r="H90" s="112">
        <v>33.78</v>
      </c>
      <c r="I90" s="112">
        <v>6.42</v>
      </c>
      <c r="J90" s="112">
        <v>0.2</v>
      </c>
      <c r="K90" s="112">
        <v>204.69</v>
      </c>
      <c r="L90" s="112">
        <v>28.68</v>
      </c>
      <c r="M90" s="112">
        <v>86.07</v>
      </c>
      <c r="N90" s="112">
        <v>2.2999999999999998</v>
      </c>
      <c r="O90" s="112">
        <v>0</v>
      </c>
      <c r="P90" s="112">
        <v>0.66</v>
      </c>
      <c r="Q90" s="112">
        <v>4.68</v>
      </c>
    </row>
    <row r="91" spans="1:17" customFormat="1">
      <c r="A91" s="80">
        <v>45558.864583333336</v>
      </c>
      <c r="B91" s="112">
        <v>9.34</v>
      </c>
      <c r="C91" s="112">
        <v>4.09</v>
      </c>
      <c r="D91" s="112">
        <v>14.08</v>
      </c>
      <c r="E91" s="112">
        <v>11.76</v>
      </c>
      <c r="F91" s="112">
        <v>10.16</v>
      </c>
      <c r="G91" s="112">
        <v>89.68</v>
      </c>
      <c r="H91" s="112">
        <v>32.729999999999997</v>
      </c>
      <c r="I91" s="112">
        <v>6.29</v>
      </c>
      <c r="J91" s="112">
        <v>0.11</v>
      </c>
      <c r="K91" s="112">
        <v>212.88</v>
      </c>
      <c r="L91" s="112">
        <v>28.39</v>
      </c>
      <c r="M91" s="112">
        <v>88.46</v>
      </c>
      <c r="N91" s="112">
        <v>2.2999999999999998</v>
      </c>
      <c r="O91" s="112">
        <v>0</v>
      </c>
      <c r="P91" s="112">
        <v>0.62</v>
      </c>
      <c r="Q91" s="112">
        <v>4.67</v>
      </c>
    </row>
    <row r="92" spans="1:17" customFormat="1">
      <c r="A92" s="80">
        <v>45558.875</v>
      </c>
      <c r="B92" s="112">
        <v>9.33</v>
      </c>
      <c r="C92" s="112">
        <v>4.05</v>
      </c>
      <c r="D92" s="112">
        <v>14.04</v>
      </c>
      <c r="E92" s="112">
        <v>11.44</v>
      </c>
      <c r="F92" s="112">
        <v>8.67</v>
      </c>
      <c r="G92" s="112">
        <v>89.68</v>
      </c>
      <c r="H92" s="112">
        <v>32.729999999999997</v>
      </c>
      <c r="I92" s="112">
        <v>6.28</v>
      </c>
      <c r="J92" s="112">
        <v>0.12</v>
      </c>
      <c r="K92" s="112">
        <v>184.16</v>
      </c>
      <c r="L92" s="112">
        <v>28.25</v>
      </c>
      <c r="M92" s="112">
        <v>88.58</v>
      </c>
      <c r="N92" s="112">
        <v>2.1</v>
      </c>
      <c r="O92" s="112">
        <v>0</v>
      </c>
      <c r="P92" s="112">
        <v>0.61</v>
      </c>
      <c r="Q92" s="112">
        <v>4.67</v>
      </c>
    </row>
    <row r="93" spans="1:17" customFormat="1">
      <c r="A93" s="80">
        <v>45558.885416666664</v>
      </c>
      <c r="B93" s="112">
        <v>9.2899999999999991</v>
      </c>
      <c r="C93" s="112">
        <v>4.0599999999999996</v>
      </c>
      <c r="D93" s="112">
        <v>14.02</v>
      </c>
      <c r="E93" s="112">
        <v>11.77</v>
      </c>
      <c r="F93" s="112">
        <v>8</v>
      </c>
      <c r="G93" s="112">
        <v>89.68</v>
      </c>
      <c r="H93" s="112">
        <v>32.729999999999997</v>
      </c>
      <c r="I93" s="112">
        <v>6.14</v>
      </c>
      <c r="J93" s="112">
        <v>0.1</v>
      </c>
      <c r="K93" s="112">
        <v>29.94</v>
      </c>
      <c r="L93" s="112">
        <v>28.54</v>
      </c>
      <c r="M93" s="112">
        <v>86.08</v>
      </c>
      <c r="N93" s="112">
        <v>2.1</v>
      </c>
      <c r="O93" s="112">
        <v>0</v>
      </c>
      <c r="P93" s="112">
        <v>0.67</v>
      </c>
      <c r="Q93" s="112">
        <v>4.66</v>
      </c>
    </row>
    <row r="94" spans="1:17" customFormat="1">
      <c r="A94" s="80">
        <v>45558.895833333336</v>
      </c>
      <c r="B94" s="112">
        <v>9.27</v>
      </c>
      <c r="C94" s="112">
        <v>4.07</v>
      </c>
      <c r="D94" s="112">
        <v>14.01</v>
      </c>
      <c r="E94" s="112">
        <v>11.99</v>
      </c>
      <c r="F94" s="112">
        <v>5.43</v>
      </c>
      <c r="G94" s="112">
        <v>89.9</v>
      </c>
      <c r="H94" s="112">
        <v>32.97</v>
      </c>
      <c r="I94" s="112">
        <v>6.12</v>
      </c>
      <c r="J94" s="112">
        <v>0.13</v>
      </c>
      <c r="K94" s="112">
        <v>253.04</v>
      </c>
      <c r="L94" s="112">
        <v>28.56</v>
      </c>
      <c r="M94" s="112">
        <v>87.32</v>
      </c>
      <c r="N94" s="112">
        <v>2.1</v>
      </c>
      <c r="O94" s="112">
        <v>0</v>
      </c>
      <c r="P94" s="112">
        <v>0.71</v>
      </c>
      <c r="Q94" s="112">
        <v>4.66</v>
      </c>
    </row>
    <row r="95" spans="1:17" customFormat="1">
      <c r="A95" s="80">
        <v>45558.90625</v>
      </c>
      <c r="B95" s="112">
        <v>9.25</v>
      </c>
      <c r="C95" s="112">
        <v>4.08</v>
      </c>
      <c r="D95" s="112">
        <v>14</v>
      </c>
      <c r="E95" s="112">
        <v>11.96</v>
      </c>
      <c r="F95" s="112">
        <v>7.21</v>
      </c>
      <c r="G95" s="112">
        <v>91.91</v>
      </c>
      <c r="H95" s="112">
        <v>34.72</v>
      </c>
      <c r="I95" s="112">
        <v>6.3</v>
      </c>
      <c r="J95" s="112">
        <v>0.1</v>
      </c>
      <c r="K95" s="112">
        <v>94.35</v>
      </c>
      <c r="L95" s="112">
        <v>28.67</v>
      </c>
      <c r="M95" s="112">
        <v>85.1</v>
      </c>
      <c r="N95" s="112">
        <v>2.1</v>
      </c>
      <c r="O95" s="112">
        <v>0</v>
      </c>
      <c r="P95" s="112">
        <v>0.72</v>
      </c>
      <c r="Q95" s="112">
        <v>4.6500000000000004</v>
      </c>
    </row>
    <row r="96" spans="1:17" customFormat="1">
      <c r="A96" s="80">
        <v>45558.916666666664</v>
      </c>
      <c r="B96" s="112">
        <v>9.27</v>
      </c>
      <c r="C96" s="112">
        <v>4.0599999999999996</v>
      </c>
      <c r="D96" s="112">
        <v>14.01</v>
      </c>
      <c r="E96" s="112">
        <v>12.91</v>
      </c>
      <c r="F96" s="112">
        <v>7.05</v>
      </c>
      <c r="G96" s="112">
        <v>91.91</v>
      </c>
      <c r="H96" s="112">
        <v>34.72</v>
      </c>
      <c r="I96" s="112">
        <v>6.62</v>
      </c>
      <c r="J96" s="112">
        <v>0.19</v>
      </c>
      <c r="K96" s="112">
        <v>199.48</v>
      </c>
      <c r="L96" s="112">
        <v>28.42</v>
      </c>
      <c r="M96" s="112">
        <v>85.22</v>
      </c>
      <c r="N96" s="112">
        <v>2.4</v>
      </c>
      <c r="O96" s="112">
        <v>0</v>
      </c>
      <c r="P96" s="112">
        <v>0.7</v>
      </c>
      <c r="Q96" s="112">
        <v>4.6500000000000004</v>
      </c>
    </row>
    <row r="97" spans="1:22" customFormat="1">
      <c r="A97" s="80">
        <v>45558.927083333336</v>
      </c>
      <c r="B97" s="112">
        <v>9.27</v>
      </c>
      <c r="C97" s="112">
        <v>4.07</v>
      </c>
      <c r="D97" s="112">
        <v>14.01</v>
      </c>
      <c r="E97" s="112">
        <v>13.4</v>
      </c>
      <c r="F97" s="112">
        <v>6.37</v>
      </c>
      <c r="G97" s="112">
        <v>91.91</v>
      </c>
      <c r="H97" s="112">
        <v>34.72</v>
      </c>
      <c r="I97" s="112">
        <v>6.75</v>
      </c>
      <c r="J97" s="112">
        <v>0.15</v>
      </c>
      <c r="K97" s="112">
        <v>208.21</v>
      </c>
      <c r="L97" s="112">
        <v>28.18</v>
      </c>
      <c r="M97" s="112">
        <v>85.37</v>
      </c>
      <c r="N97" s="112">
        <v>2.2999999999999998</v>
      </c>
      <c r="O97" s="112">
        <v>0</v>
      </c>
      <c r="P97" s="112">
        <v>0.71</v>
      </c>
      <c r="Q97" s="112">
        <v>4.6500000000000004</v>
      </c>
    </row>
    <row r="98" spans="1:22" customFormat="1">
      <c r="A98" s="80">
        <v>45558.9375</v>
      </c>
      <c r="B98" s="112">
        <v>9.23</v>
      </c>
      <c r="C98" s="112">
        <v>4.1100000000000003</v>
      </c>
      <c r="D98" s="112">
        <v>14</v>
      </c>
      <c r="E98" s="112">
        <v>13.34</v>
      </c>
      <c r="F98" s="112">
        <v>5.64</v>
      </c>
      <c r="G98" s="112">
        <v>92.59</v>
      </c>
      <c r="H98" s="112">
        <v>35.1</v>
      </c>
      <c r="I98" s="112">
        <v>6.62</v>
      </c>
      <c r="J98" s="112">
        <v>0.14000000000000001</v>
      </c>
      <c r="K98" s="112">
        <v>227.95</v>
      </c>
      <c r="L98" s="112">
        <v>28.01</v>
      </c>
      <c r="M98" s="112">
        <v>88.71</v>
      </c>
      <c r="N98" s="112">
        <v>2.4</v>
      </c>
      <c r="O98" s="112">
        <v>0</v>
      </c>
      <c r="P98" s="112">
        <v>0.74</v>
      </c>
      <c r="Q98" s="112">
        <v>4.6500000000000004</v>
      </c>
    </row>
    <row r="99" spans="1:22" customFormat="1">
      <c r="A99" s="80">
        <v>45558.947916666664</v>
      </c>
      <c r="B99" s="112">
        <v>9.1999999999999993</v>
      </c>
      <c r="C99" s="112">
        <v>4.1500000000000004</v>
      </c>
      <c r="D99" s="112">
        <v>14</v>
      </c>
      <c r="E99" s="112">
        <v>12.73</v>
      </c>
      <c r="F99" s="112">
        <v>6.17</v>
      </c>
      <c r="G99" s="112">
        <v>98.77</v>
      </c>
      <c r="H99" s="112">
        <v>37.93</v>
      </c>
      <c r="I99" s="112">
        <v>6.66</v>
      </c>
      <c r="J99" s="112">
        <v>0.19</v>
      </c>
      <c r="K99" s="112">
        <v>253.52</v>
      </c>
      <c r="L99" s="112">
        <v>27.71</v>
      </c>
      <c r="M99" s="112">
        <v>90.7</v>
      </c>
      <c r="N99" s="112">
        <v>2.2000000000000002</v>
      </c>
      <c r="O99" s="112">
        <v>0</v>
      </c>
      <c r="P99" s="112">
        <v>0.73</v>
      </c>
      <c r="Q99" s="112">
        <v>4.66</v>
      </c>
    </row>
    <row r="100" spans="1:22" customFormat="1">
      <c r="A100" s="80">
        <v>45558.958333333336</v>
      </c>
      <c r="B100" s="112">
        <v>9.2100000000000009</v>
      </c>
      <c r="C100" s="112">
        <v>4.1399999999999997</v>
      </c>
      <c r="D100" s="112">
        <v>14</v>
      </c>
      <c r="E100" s="112">
        <v>12.6</v>
      </c>
      <c r="F100" s="112">
        <v>5.93</v>
      </c>
      <c r="G100" s="112">
        <v>98.77</v>
      </c>
      <c r="H100" s="112">
        <v>37.93</v>
      </c>
      <c r="I100" s="112">
        <v>6.85</v>
      </c>
      <c r="J100" s="112">
        <v>0.14000000000000001</v>
      </c>
      <c r="K100" s="112">
        <v>186.95</v>
      </c>
      <c r="L100" s="112">
        <v>27.82</v>
      </c>
      <c r="M100" s="112">
        <v>88.91</v>
      </c>
      <c r="N100" s="112">
        <v>2.1</v>
      </c>
      <c r="O100" s="112">
        <v>0</v>
      </c>
      <c r="P100" s="112">
        <v>0.72</v>
      </c>
      <c r="Q100" s="112">
        <v>4.66</v>
      </c>
    </row>
    <row r="101" spans="1:22" customFormat="1">
      <c r="A101" s="80">
        <v>45558.96875</v>
      </c>
      <c r="B101" s="112">
        <v>9.2200000000000006</v>
      </c>
      <c r="C101" s="112">
        <v>4.12</v>
      </c>
      <c r="D101" s="112">
        <v>14</v>
      </c>
      <c r="E101" s="112">
        <v>12.38</v>
      </c>
      <c r="F101" s="112">
        <v>6.19</v>
      </c>
      <c r="G101" s="112">
        <v>98.77</v>
      </c>
      <c r="H101" s="112">
        <v>37.93</v>
      </c>
      <c r="I101" s="112">
        <v>6.81</v>
      </c>
      <c r="J101" s="112">
        <v>0.15</v>
      </c>
      <c r="K101" s="112">
        <v>181.54</v>
      </c>
      <c r="L101" s="112">
        <v>27.66</v>
      </c>
      <c r="M101" s="112">
        <v>88.76</v>
      </c>
      <c r="N101" s="112">
        <v>2.2000000000000002</v>
      </c>
      <c r="O101" s="112">
        <v>0</v>
      </c>
      <c r="P101" s="112">
        <v>0.71</v>
      </c>
      <c r="Q101" s="112">
        <v>4.6500000000000004</v>
      </c>
    </row>
    <row r="102" spans="1:22" customFormat="1">
      <c r="A102" s="80">
        <v>45558.979166666664</v>
      </c>
      <c r="B102" s="112">
        <v>9.2200000000000006</v>
      </c>
      <c r="C102" s="112">
        <v>4.13</v>
      </c>
      <c r="D102" s="112">
        <v>14</v>
      </c>
      <c r="E102" s="112">
        <v>12.08</v>
      </c>
      <c r="F102" s="112">
        <v>6.08</v>
      </c>
      <c r="G102" s="112">
        <v>97</v>
      </c>
      <c r="H102" s="112">
        <v>37.68</v>
      </c>
      <c r="I102" s="112">
        <v>6.76</v>
      </c>
      <c r="J102" s="112">
        <v>0.18</v>
      </c>
      <c r="K102" s="112">
        <v>248.6</v>
      </c>
      <c r="L102" s="112">
        <v>27.4</v>
      </c>
      <c r="M102" s="112">
        <v>88.03</v>
      </c>
      <c r="N102" s="112">
        <v>2.2999999999999998</v>
      </c>
      <c r="O102" s="112">
        <v>0</v>
      </c>
      <c r="P102" s="112">
        <v>0.68</v>
      </c>
      <c r="Q102" s="112">
        <v>4.6500000000000004</v>
      </c>
    </row>
    <row r="103" spans="1:22" customFormat="1">
      <c r="A103" s="80">
        <v>45558.989583333336</v>
      </c>
      <c r="B103" s="112">
        <v>9.2100000000000009</v>
      </c>
      <c r="C103" s="112">
        <v>4.1500000000000004</v>
      </c>
      <c r="D103" s="112">
        <v>14</v>
      </c>
      <c r="E103" s="112">
        <v>12.43</v>
      </c>
      <c r="F103" s="112">
        <v>5.36</v>
      </c>
      <c r="G103" s="112">
        <v>81.06</v>
      </c>
      <c r="H103" s="112">
        <v>35.82</v>
      </c>
      <c r="I103" s="112">
        <v>6.66</v>
      </c>
      <c r="J103" s="112">
        <v>0.11</v>
      </c>
      <c r="K103" s="112">
        <v>222.9</v>
      </c>
      <c r="L103" s="112">
        <v>27.1</v>
      </c>
      <c r="M103" s="112">
        <v>87.94</v>
      </c>
      <c r="N103" s="112">
        <v>2.2999999999999998</v>
      </c>
      <c r="O103" s="112">
        <v>0</v>
      </c>
      <c r="P103" s="112">
        <v>0.68</v>
      </c>
      <c r="Q103" s="112">
        <v>4.6500000000000004</v>
      </c>
    </row>
    <row r="104" spans="1:22" customFormat="1">
      <c r="A104" s="80">
        <v>45559</v>
      </c>
      <c r="B104" s="112">
        <v>9.2100000000000009</v>
      </c>
      <c r="C104" s="112">
        <v>4.1500000000000004</v>
      </c>
      <c r="D104" s="112">
        <v>14</v>
      </c>
      <c r="E104" s="112">
        <v>12.49</v>
      </c>
      <c r="F104" s="112">
        <v>5.68</v>
      </c>
      <c r="G104" s="112">
        <v>81.06</v>
      </c>
      <c r="H104" s="112">
        <v>35.82</v>
      </c>
      <c r="I104" s="112">
        <v>6.46</v>
      </c>
      <c r="J104" s="112">
        <v>0.06</v>
      </c>
      <c r="K104" s="112">
        <v>185.16</v>
      </c>
      <c r="L104" s="112">
        <v>27.08</v>
      </c>
      <c r="M104" s="112">
        <v>88.32</v>
      </c>
      <c r="N104" s="112">
        <v>2.1</v>
      </c>
      <c r="O104" s="112">
        <v>0</v>
      </c>
      <c r="P104" s="112">
        <v>0.68</v>
      </c>
      <c r="Q104" s="112">
        <v>4.6399999999999997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9.11</v>
      </c>
      <c r="C106" s="183">
        <f>MIN(C9:C104)</f>
        <v>4.04</v>
      </c>
      <c r="D106" s="183">
        <f t="shared" ref="D106:Q106" si="0">MIN(D9:D104)</f>
        <v>14</v>
      </c>
      <c r="E106" s="183">
        <f t="shared" si="0"/>
        <v>7.48</v>
      </c>
      <c r="F106" s="183">
        <f t="shared" si="0"/>
        <v>2.99</v>
      </c>
      <c r="G106" s="183">
        <f t="shared" si="0"/>
        <v>35</v>
      </c>
      <c r="H106" s="183">
        <f t="shared" si="0"/>
        <v>16.100000000000001</v>
      </c>
      <c r="I106" s="183">
        <f t="shared" si="0"/>
        <v>4.71</v>
      </c>
      <c r="J106" s="183">
        <f t="shared" si="0"/>
        <v>0.01</v>
      </c>
      <c r="K106" s="183">
        <f t="shared" si="0"/>
        <v>27.67</v>
      </c>
      <c r="L106" s="183">
        <f t="shared" si="0"/>
        <v>25.35</v>
      </c>
      <c r="M106" s="183">
        <f t="shared" si="0"/>
        <v>59.3</v>
      </c>
      <c r="N106" s="183">
        <f t="shared" si="0"/>
        <v>2.1</v>
      </c>
      <c r="O106" s="183">
        <f t="shared" si="0"/>
        <v>0</v>
      </c>
      <c r="P106" s="183">
        <f t="shared" si="0"/>
        <v>0.33</v>
      </c>
      <c r="Q106" s="183">
        <f t="shared" si="0"/>
        <v>4.6100000000000003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9.3699999999999992</v>
      </c>
      <c r="C107" s="184">
        <f t="shared" ref="C107:Q107" si="1">MAX(C9:C104)</f>
        <v>4.3</v>
      </c>
      <c r="D107" s="184">
        <f t="shared" si="1"/>
        <v>14.08</v>
      </c>
      <c r="E107" s="184">
        <f t="shared" si="1"/>
        <v>19.440000000000001</v>
      </c>
      <c r="F107" s="184">
        <f t="shared" si="1"/>
        <v>24.38</v>
      </c>
      <c r="G107" s="184">
        <f t="shared" si="1"/>
        <v>111.83</v>
      </c>
      <c r="H107" s="184">
        <f t="shared" si="1"/>
        <v>37.93</v>
      </c>
      <c r="I107" s="184">
        <f t="shared" si="1"/>
        <v>6.85</v>
      </c>
      <c r="J107" s="184">
        <f t="shared" si="1"/>
        <v>0.89</v>
      </c>
      <c r="K107" s="184">
        <f t="shared" si="1"/>
        <v>350.05</v>
      </c>
      <c r="L107" s="184">
        <f t="shared" si="1"/>
        <v>34.049999999999997</v>
      </c>
      <c r="M107" s="184">
        <f t="shared" si="1"/>
        <v>96.69</v>
      </c>
      <c r="N107" s="184">
        <f t="shared" si="1"/>
        <v>742.6</v>
      </c>
      <c r="O107" s="184">
        <f t="shared" si="1"/>
        <v>0</v>
      </c>
      <c r="P107" s="184">
        <f t="shared" si="1"/>
        <v>0.74</v>
      </c>
      <c r="Q107" s="184">
        <f t="shared" si="1"/>
        <v>4.68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9.2224999999999984</v>
      </c>
      <c r="C108" s="183">
        <f t="shared" ref="C108:Q108" si="2">AVERAGE(C9:C104)</f>
        <v>4.1367708333333342</v>
      </c>
      <c r="D108" s="183">
        <f t="shared" si="2"/>
        <v>14.006979166666662</v>
      </c>
      <c r="E108" s="183">
        <f t="shared" si="2"/>
        <v>12.674062499999998</v>
      </c>
      <c r="F108" s="183">
        <f t="shared" si="2"/>
        <v>8.5473958333333329</v>
      </c>
      <c r="G108" s="183">
        <f t="shared" si="2"/>
        <v>73.811875000000015</v>
      </c>
      <c r="H108" s="183">
        <f t="shared" si="2"/>
        <v>28.03749999999998</v>
      </c>
      <c r="I108" s="183">
        <f t="shared" si="2"/>
        <v>5.6015625000000009</v>
      </c>
      <c r="J108" s="183">
        <f t="shared" si="2"/>
        <v>0.32229166666666659</v>
      </c>
      <c r="K108" s="183">
        <f t="shared" si="2"/>
        <v>102.59343749999999</v>
      </c>
      <c r="L108" s="183">
        <f t="shared" si="2"/>
        <v>29.204374999999988</v>
      </c>
      <c r="M108" s="183">
        <f t="shared" si="2"/>
        <v>80.649479166666666</v>
      </c>
      <c r="N108" s="183">
        <f t="shared" si="2"/>
        <v>126.63541666666661</v>
      </c>
      <c r="O108" s="183">
        <f t="shared" si="2"/>
        <v>0</v>
      </c>
      <c r="P108" s="183">
        <f t="shared" si="2"/>
        <v>0.50895833333333329</v>
      </c>
      <c r="Q108" s="183">
        <f t="shared" si="2"/>
        <v>4.6494791666666639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5.0886871432723441E-2</v>
      </c>
      <c r="C109" s="183">
        <f t="shared" ref="C109:Q109" si="3">STDEV(C9:C104)</f>
        <v>5.8444661935645868E-2</v>
      </c>
      <c r="D109" s="183">
        <f t="shared" si="3"/>
        <v>1.7052228850561721E-2</v>
      </c>
      <c r="E109" s="183">
        <f t="shared" si="3"/>
        <v>2.3292481633735425</v>
      </c>
      <c r="F109" s="183">
        <f t="shared" si="3"/>
        <v>5.1802410520608122</v>
      </c>
      <c r="G109" s="183">
        <f t="shared" si="3"/>
        <v>19.050567739156911</v>
      </c>
      <c r="H109" s="183">
        <f t="shared" si="3"/>
        <v>5.3739623723048782</v>
      </c>
      <c r="I109" s="183">
        <f t="shared" si="3"/>
        <v>0.60032154213166933</v>
      </c>
      <c r="J109" s="183">
        <f t="shared" si="3"/>
        <v>0.21717554949451784</v>
      </c>
      <c r="K109" s="183">
        <f t="shared" si="3"/>
        <v>70.993340574690151</v>
      </c>
      <c r="L109" s="183">
        <f t="shared" si="3"/>
        <v>2.9687217921098186</v>
      </c>
      <c r="M109" s="183">
        <f t="shared" si="3"/>
        <v>13.112062856677237</v>
      </c>
      <c r="N109" s="183">
        <f t="shared" si="3"/>
        <v>203.0563297418862</v>
      </c>
      <c r="O109" s="183">
        <f t="shared" si="3"/>
        <v>0</v>
      </c>
      <c r="P109" s="183">
        <f t="shared" si="3"/>
        <v>0.11844145048496528</v>
      </c>
      <c r="Q109" s="183">
        <f t="shared" si="3"/>
        <v>1.4893996789004563E-2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45559.010416666664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45559.010416666664</v>
      </c>
      <c r="B9" s="112">
        <v>9.33</v>
      </c>
      <c r="C9" s="112">
        <v>4.05</v>
      </c>
      <c r="D9" s="112">
        <v>14.04</v>
      </c>
      <c r="E9" s="112">
        <v>12.3</v>
      </c>
      <c r="F9" s="112">
        <v>6.04</v>
      </c>
      <c r="G9" s="112">
        <v>81.06</v>
      </c>
      <c r="H9" s="112">
        <v>35.82</v>
      </c>
      <c r="I9" s="112">
        <v>6.45</v>
      </c>
      <c r="J9" s="112">
        <v>0.36</v>
      </c>
      <c r="K9" s="112">
        <v>86.66</v>
      </c>
      <c r="L9" s="112">
        <v>27.15</v>
      </c>
      <c r="M9" s="112">
        <v>84.96</v>
      </c>
      <c r="N9" s="112">
        <v>2.9</v>
      </c>
      <c r="O9" s="112">
        <v>0</v>
      </c>
      <c r="P9" s="112">
        <v>0.67</v>
      </c>
      <c r="Q9" s="112">
        <v>4.6399999999999997</v>
      </c>
    </row>
    <row r="10" spans="1:21" customFormat="1">
      <c r="A10" s="80">
        <v>45559.020833333336</v>
      </c>
      <c r="B10" s="112">
        <v>9.31</v>
      </c>
      <c r="C10" s="112">
        <v>4.05</v>
      </c>
      <c r="D10" s="112">
        <v>14.03</v>
      </c>
      <c r="E10" s="112">
        <v>12.44</v>
      </c>
      <c r="F10" s="112">
        <v>4.8600000000000003</v>
      </c>
      <c r="G10" s="112">
        <v>78.84</v>
      </c>
      <c r="H10" s="112">
        <v>34.32</v>
      </c>
      <c r="I10" s="112">
        <v>6.32</v>
      </c>
      <c r="J10" s="112">
        <v>0.31</v>
      </c>
      <c r="K10" s="112">
        <v>135.04</v>
      </c>
      <c r="L10" s="112">
        <v>24.91</v>
      </c>
      <c r="M10" s="112">
        <v>89.05</v>
      </c>
      <c r="N10" s="112">
        <v>6.6</v>
      </c>
      <c r="O10" s="112">
        <v>5.8</v>
      </c>
      <c r="P10" s="112">
        <v>0.64</v>
      </c>
      <c r="Q10" s="112">
        <v>4.6500000000000004</v>
      </c>
    </row>
    <row r="11" spans="1:21" customFormat="1">
      <c r="A11" s="80">
        <v>45559.03125</v>
      </c>
      <c r="B11" s="112">
        <v>9.2899999999999991</v>
      </c>
      <c r="C11" s="112">
        <v>4.07</v>
      </c>
      <c r="D11" s="112">
        <v>14.03</v>
      </c>
      <c r="E11" s="112">
        <v>11.56</v>
      </c>
      <c r="F11" s="112">
        <v>6.43</v>
      </c>
      <c r="G11" s="112">
        <v>58.88</v>
      </c>
      <c r="H11" s="112">
        <v>23.28</v>
      </c>
      <c r="I11" s="112">
        <v>6.17</v>
      </c>
      <c r="J11" s="112">
        <v>0.28999999999999998</v>
      </c>
      <c r="K11" s="112">
        <v>138.26</v>
      </c>
      <c r="L11" s="112">
        <v>23.28</v>
      </c>
      <c r="M11" s="112">
        <v>98.48</v>
      </c>
      <c r="N11" s="112">
        <v>3.8</v>
      </c>
      <c r="O11" s="112">
        <v>4.4000000000000004</v>
      </c>
      <c r="P11" s="112">
        <v>0.62</v>
      </c>
      <c r="Q11" s="112">
        <v>4.67</v>
      </c>
    </row>
    <row r="12" spans="1:21" customFormat="1">
      <c r="A12" s="80">
        <v>45559.041666666664</v>
      </c>
      <c r="B12" s="112">
        <v>9.3000000000000007</v>
      </c>
      <c r="C12" s="112">
        <v>4.0599999999999996</v>
      </c>
      <c r="D12" s="112">
        <v>14.03</v>
      </c>
      <c r="E12" s="112">
        <v>12.19</v>
      </c>
      <c r="F12" s="112">
        <v>5.67</v>
      </c>
      <c r="G12" s="112">
        <v>58.88</v>
      </c>
      <c r="H12" s="112">
        <v>23.28</v>
      </c>
      <c r="I12" s="112">
        <v>6.08</v>
      </c>
      <c r="J12" s="112">
        <v>0.21</v>
      </c>
      <c r="K12" s="112">
        <v>83.49</v>
      </c>
      <c r="L12" s="112">
        <v>23</v>
      </c>
      <c r="M12" s="112">
        <v>99.83</v>
      </c>
      <c r="N12" s="112">
        <v>2.7</v>
      </c>
      <c r="O12" s="112">
        <v>0</v>
      </c>
      <c r="P12" s="112">
        <v>0.62</v>
      </c>
      <c r="Q12" s="112">
        <v>4.67</v>
      </c>
    </row>
    <row r="13" spans="1:21" customFormat="1">
      <c r="A13" s="80">
        <v>45559.052083333336</v>
      </c>
      <c r="B13" s="112">
        <v>9.2899999999999991</v>
      </c>
      <c r="C13" s="112">
        <v>4.0599999999999996</v>
      </c>
      <c r="D13" s="112">
        <v>14.02</v>
      </c>
      <c r="E13" s="112">
        <v>12.57</v>
      </c>
      <c r="F13" s="112">
        <v>4.24</v>
      </c>
      <c r="G13" s="112">
        <v>58.88</v>
      </c>
      <c r="H13" s="112">
        <v>23.28</v>
      </c>
      <c r="I13" s="112">
        <v>5.87</v>
      </c>
      <c r="J13" s="112">
        <v>0.13</v>
      </c>
      <c r="K13" s="112">
        <v>163.6</v>
      </c>
      <c r="L13" s="112">
        <v>23.05</v>
      </c>
      <c r="M13" s="112">
        <v>100.06</v>
      </c>
      <c r="N13" s="112">
        <v>2.1</v>
      </c>
      <c r="O13" s="112">
        <v>0.2</v>
      </c>
      <c r="P13" s="112">
        <v>0.63</v>
      </c>
      <c r="Q13" s="112">
        <v>4.6500000000000004</v>
      </c>
    </row>
    <row r="14" spans="1:21" customFormat="1">
      <c r="A14" s="80">
        <v>45559.0625</v>
      </c>
      <c r="B14" s="112">
        <v>9.2799999999999994</v>
      </c>
      <c r="C14" s="112">
        <v>4.0999999999999996</v>
      </c>
      <c r="D14" s="112">
        <v>14.04</v>
      </c>
      <c r="E14" s="112">
        <v>11.84</v>
      </c>
      <c r="F14" s="112">
        <v>4.34</v>
      </c>
      <c r="G14" s="112">
        <v>56.56</v>
      </c>
      <c r="H14" s="112">
        <v>22.48</v>
      </c>
      <c r="I14" s="112">
        <v>5.86</v>
      </c>
      <c r="J14" s="112">
        <v>0.16</v>
      </c>
      <c r="K14" s="112">
        <v>101.63</v>
      </c>
      <c r="L14" s="112">
        <v>23.34</v>
      </c>
      <c r="M14" s="112">
        <v>100.11</v>
      </c>
      <c r="N14" s="112">
        <v>2.1</v>
      </c>
      <c r="O14" s="112">
        <v>0</v>
      </c>
      <c r="P14" s="112">
        <v>0.62</v>
      </c>
      <c r="Q14" s="112">
        <v>4.6399999999999997</v>
      </c>
    </row>
    <row r="15" spans="1:21" customFormat="1">
      <c r="A15" s="80">
        <v>45559.072916666664</v>
      </c>
      <c r="B15" s="112">
        <v>9.2799999999999994</v>
      </c>
      <c r="C15" s="112">
        <v>4.08</v>
      </c>
      <c r="D15" s="112">
        <v>14.02</v>
      </c>
      <c r="E15" s="112">
        <v>11.96</v>
      </c>
      <c r="F15" s="112">
        <v>4.28</v>
      </c>
      <c r="G15" s="112">
        <v>32.75</v>
      </c>
      <c r="H15" s="112">
        <v>15.73</v>
      </c>
      <c r="I15" s="112">
        <v>5.83</v>
      </c>
      <c r="J15" s="112">
        <v>0.1</v>
      </c>
      <c r="K15" s="112">
        <v>159.54</v>
      </c>
      <c r="L15" s="112">
        <v>23.35</v>
      </c>
      <c r="M15" s="112">
        <v>100.13</v>
      </c>
      <c r="N15" s="112">
        <v>2.2000000000000002</v>
      </c>
      <c r="O15" s="112">
        <v>0.6</v>
      </c>
      <c r="P15" s="112">
        <v>0.62</v>
      </c>
      <c r="Q15" s="112">
        <v>4.6500000000000004</v>
      </c>
    </row>
    <row r="16" spans="1:21" customFormat="1">
      <c r="A16" s="80">
        <v>45559.083333333336</v>
      </c>
      <c r="B16" s="112">
        <v>9.2899999999999991</v>
      </c>
      <c r="C16" s="112">
        <v>4.09</v>
      </c>
      <c r="D16" s="112">
        <v>14.03</v>
      </c>
      <c r="E16" s="112">
        <v>11.58</v>
      </c>
      <c r="F16" s="112">
        <v>4.1100000000000003</v>
      </c>
      <c r="G16" s="112">
        <v>32.75</v>
      </c>
      <c r="H16" s="112">
        <v>15.73</v>
      </c>
      <c r="I16" s="112">
        <v>5.8</v>
      </c>
      <c r="J16" s="112">
        <v>7.0000000000000007E-2</v>
      </c>
      <c r="K16" s="112">
        <v>240.96</v>
      </c>
      <c r="L16" s="112">
        <v>23.51</v>
      </c>
      <c r="M16" s="112">
        <v>100.1</v>
      </c>
      <c r="N16" s="112">
        <v>2</v>
      </c>
      <c r="O16" s="112">
        <v>0.2</v>
      </c>
      <c r="P16" s="112">
        <v>0.61</v>
      </c>
      <c r="Q16" s="112">
        <v>4.6500000000000004</v>
      </c>
    </row>
    <row r="17" spans="1:17" customFormat="1">
      <c r="A17" s="80">
        <v>45559.09375</v>
      </c>
      <c r="B17" s="112">
        <v>9.2899999999999991</v>
      </c>
      <c r="C17" s="112">
        <v>4.0599999999999996</v>
      </c>
      <c r="D17" s="112">
        <v>14.02</v>
      </c>
      <c r="E17" s="112">
        <v>9.82</v>
      </c>
      <c r="F17" s="112">
        <v>4.16</v>
      </c>
      <c r="G17" s="112">
        <v>32.75</v>
      </c>
      <c r="H17" s="112">
        <v>15.73</v>
      </c>
      <c r="I17" s="112">
        <v>5.8</v>
      </c>
      <c r="J17" s="112">
        <v>0.01</v>
      </c>
      <c r="K17" s="112">
        <v>121.84</v>
      </c>
      <c r="L17" s="112">
        <v>23.51</v>
      </c>
      <c r="M17" s="112">
        <v>100.09</v>
      </c>
      <c r="N17" s="112">
        <v>2.4</v>
      </c>
      <c r="O17" s="112">
        <v>0.4</v>
      </c>
      <c r="P17" s="112">
        <v>0.6</v>
      </c>
      <c r="Q17" s="112">
        <v>4.6500000000000004</v>
      </c>
    </row>
    <row r="18" spans="1:17" customFormat="1">
      <c r="A18" s="80">
        <v>45559.104166666664</v>
      </c>
      <c r="B18" s="112">
        <v>9.3000000000000007</v>
      </c>
      <c r="C18" s="112">
        <v>4.04</v>
      </c>
      <c r="D18" s="112">
        <v>14.02</v>
      </c>
      <c r="E18" s="112">
        <v>11.04</v>
      </c>
      <c r="F18" s="112">
        <v>4.05</v>
      </c>
      <c r="G18" s="112">
        <v>31.53</v>
      </c>
      <c r="H18" s="112">
        <v>15.27</v>
      </c>
      <c r="I18" s="112">
        <v>5.79</v>
      </c>
      <c r="J18" s="112">
        <v>0.1</v>
      </c>
      <c r="K18" s="112">
        <v>207.23</v>
      </c>
      <c r="L18" s="112">
        <v>23.41</v>
      </c>
      <c r="M18" s="112">
        <v>100.13</v>
      </c>
      <c r="N18" s="112">
        <v>2.4</v>
      </c>
      <c r="O18" s="112">
        <v>0</v>
      </c>
      <c r="P18" s="112">
        <v>0.6</v>
      </c>
      <c r="Q18" s="112">
        <v>4.6500000000000004</v>
      </c>
    </row>
    <row r="19" spans="1:17" customFormat="1">
      <c r="A19" s="80">
        <v>45559.114583333336</v>
      </c>
      <c r="B19" s="112">
        <v>9.3000000000000007</v>
      </c>
      <c r="C19" s="112">
        <v>4.05</v>
      </c>
      <c r="D19" s="112">
        <v>14.03</v>
      </c>
      <c r="E19" s="112">
        <v>10.68</v>
      </c>
      <c r="F19" s="112">
        <v>3.93</v>
      </c>
      <c r="G19" s="112">
        <v>19.04</v>
      </c>
      <c r="H19" s="112">
        <v>11.33</v>
      </c>
      <c r="I19" s="112">
        <v>5.8</v>
      </c>
      <c r="J19" s="112">
        <v>0.05</v>
      </c>
      <c r="K19" s="112">
        <v>213.12</v>
      </c>
      <c r="L19" s="112">
        <v>23.5</v>
      </c>
      <c r="M19" s="112">
        <v>100.27</v>
      </c>
      <c r="N19" s="112">
        <v>2.2000000000000002</v>
      </c>
      <c r="O19" s="112">
        <v>0</v>
      </c>
      <c r="P19" s="112">
        <v>0.59</v>
      </c>
      <c r="Q19" s="112">
        <v>4.6500000000000004</v>
      </c>
    </row>
    <row r="20" spans="1:17" customFormat="1">
      <c r="A20" s="80">
        <v>45559.125</v>
      </c>
      <c r="B20" s="112">
        <v>9.2899999999999991</v>
      </c>
      <c r="C20" s="112">
        <v>4.09</v>
      </c>
      <c r="D20" s="112">
        <v>14.04</v>
      </c>
      <c r="E20" s="112">
        <v>10.68</v>
      </c>
      <c r="F20" s="112">
        <v>3.82</v>
      </c>
      <c r="G20" s="112">
        <v>19.04</v>
      </c>
      <c r="H20" s="112">
        <v>11.33</v>
      </c>
      <c r="I20" s="112">
        <v>5.77</v>
      </c>
      <c r="J20" s="112">
        <v>0.12</v>
      </c>
      <c r="K20" s="112">
        <v>249.53</v>
      </c>
      <c r="L20" s="112">
        <v>23.62</v>
      </c>
      <c r="M20" s="112">
        <v>100.16</v>
      </c>
      <c r="N20" s="112">
        <v>2</v>
      </c>
      <c r="O20" s="112">
        <v>0</v>
      </c>
      <c r="P20" s="112">
        <v>0.57999999999999996</v>
      </c>
      <c r="Q20" s="112">
        <v>4.6500000000000004</v>
      </c>
    </row>
    <row r="21" spans="1:17" customFormat="1">
      <c r="A21" s="80">
        <v>45559.135416666664</v>
      </c>
      <c r="B21" s="112">
        <v>9.2899999999999991</v>
      </c>
      <c r="C21" s="112">
        <v>4.09</v>
      </c>
      <c r="D21" s="112">
        <v>14.04</v>
      </c>
      <c r="E21" s="112">
        <v>10.38</v>
      </c>
      <c r="F21" s="112">
        <v>3.81</v>
      </c>
      <c r="G21" s="112">
        <v>19.04</v>
      </c>
      <c r="H21" s="112">
        <v>11.33</v>
      </c>
      <c r="I21" s="112">
        <v>5.4</v>
      </c>
      <c r="J21" s="112">
        <v>0.11</v>
      </c>
      <c r="K21" s="112">
        <v>233.96</v>
      </c>
      <c r="L21" s="112">
        <v>23.59</v>
      </c>
      <c r="M21" s="112">
        <v>100.11</v>
      </c>
      <c r="N21" s="112">
        <v>2.2999999999999998</v>
      </c>
      <c r="O21" s="112">
        <v>0</v>
      </c>
      <c r="P21" s="112">
        <v>0.56999999999999995</v>
      </c>
      <c r="Q21" s="112">
        <v>4.6500000000000004</v>
      </c>
    </row>
    <row r="22" spans="1:17" customFormat="1">
      <c r="A22" s="80">
        <v>45559.145833333336</v>
      </c>
      <c r="B22" s="112">
        <v>9.3000000000000007</v>
      </c>
      <c r="C22" s="112">
        <v>4.08</v>
      </c>
      <c r="D22" s="112">
        <v>14.04</v>
      </c>
      <c r="E22" s="112">
        <v>10.17</v>
      </c>
      <c r="F22" s="112">
        <v>3.71</v>
      </c>
      <c r="G22" s="112">
        <v>18.43</v>
      </c>
      <c r="H22" s="112">
        <v>11.06</v>
      </c>
      <c r="I22" s="112">
        <v>5.39</v>
      </c>
      <c r="J22" s="112">
        <v>0.05</v>
      </c>
      <c r="K22" s="112">
        <v>184.05</v>
      </c>
      <c r="L22" s="112">
        <v>23.72</v>
      </c>
      <c r="M22" s="112">
        <v>100.19</v>
      </c>
      <c r="N22" s="112">
        <v>2.2999999999999998</v>
      </c>
      <c r="O22" s="112">
        <v>0</v>
      </c>
      <c r="P22" s="112">
        <v>0.56000000000000005</v>
      </c>
      <c r="Q22" s="112">
        <v>4.6500000000000004</v>
      </c>
    </row>
    <row r="23" spans="1:17" customFormat="1">
      <c r="A23" s="80">
        <v>45559.15625</v>
      </c>
      <c r="B23" s="112">
        <v>9.31</v>
      </c>
      <c r="C23" s="112">
        <v>4.08</v>
      </c>
      <c r="D23" s="112">
        <v>14.05</v>
      </c>
      <c r="E23" s="112">
        <v>9.91</v>
      </c>
      <c r="F23" s="112">
        <v>3.77</v>
      </c>
      <c r="G23" s="112">
        <v>12.14</v>
      </c>
      <c r="H23" s="112">
        <v>8.7100000000000009</v>
      </c>
      <c r="I23" s="112">
        <v>5.33</v>
      </c>
      <c r="J23" s="112">
        <v>0.14000000000000001</v>
      </c>
      <c r="K23" s="112">
        <v>246.09</v>
      </c>
      <c r="L23" s="112">
        <v>23.68</v>
      </c>
      <c r="M23" s="112">
        <v>100.03</v>
      </c>
      <c r="N23" s="112">
        <v>2.5</v>
      </c>
      <c r="O23" s="112">
        <v>0</v>
      </c>
      <c r="P23" s="112">
        <v>0.56000000000000005</v>
      </c>
      <c r="Q23" s="112">
        <v>4.6500000000000004</v>
      </c>
    </row>
    <row r="24" spans="1:17" customFormat="1">
      <c r="A24" s="80">
        <v>45559.166666666664</v>
      </c>
      <c r="B24" s="112">
        <v>9.2899999999999991</v>
      </c>
      <c r="C24" s="112">
        <v>4.0599999999999996</v>
      </c>
      <c r="D24" s="112">
        <v>14.02</v>
      </c>
      <c r="E24" s="112">
        <v>10.050000000000001</v>
      </c>
      <c r="F24" s="112">
        <v>3.85</v>
      </c>
      <c r="G24" s="112">
        <v>12.14</v>
      </c>
      <c r="H24" s="112">
        <v>8.7100000000000009</v>
      </c>
      <c r="I24" s="112">
        <v>5.3</v>
      </c>
      <c r="J24" s="112">
        <v>0.09</v>
      </c>
      <c r="K24" s="112">
        <v>219.2</v>
      </c>
      <c r="L24" s="112">
        <v>23.79</v>
      </c>
      <c r="M24" s="112">
        <v>100.03</v>
      </c>
      <c r="N24" s="112">
        <v>2.2000000000000002</v>
      </c>
      <c r="O24" s="112">
        <v>0</v>
      </c>
      <c r="P24" s="112">
        <v>0.55000000000000004</v>
      </c>
      <c r="Q24" s="112">
        <v>4.6399999999999997</v>
      </c>
    </row>
    <row r="25" spans="1:17" customFormat="1">
      <c r="A25" s="80">
        <v>45559.177083333336</v>
      </c>
      <c r="B25" s="112">
        <v>9.27</v>
      </c>
      <c r="C25" s="112">
        <v>4.07</v>
      </c>
      <c r="D25" s="112">
        <v>14.01</v>
      </c>
      <c r="E25" s="112">
        <v>9.81</v>
      </c>
      <c r="F25" s="112">
        <v>3.86</v>
      </c>
      <c r="G25" s="112">
        <v>12.14</v>
      </c>
      <c r="H25" s="112">
        <v>8.7100000000000009</v>
      </c>
      <c r="I25" s="112">
        <v>5.28</v>
      </c>
      <c r="J25" s="112">
        <v>0.13</v>
      </c>
      <c r="K25" s="112">
        <v>185.17</v>
      </c>
      <c r="L25" s="112">
        <v>23.69</v>
      </c>
      <c r="M25" s="112">
        <v>100.08</v>
      </c>
      <c r="N25" s="112">
        <v>2.6</v>
      </c>
      <c r="O25" s="112">
        <v>0</v>
      </c>
      <c r="P25" s="112">
        <v>0.54</v>
      </c>
      <c r="Q25" s="112">
        <v>4.6399999999999997</v>
      </c>
    </row>
    <row r="26" spans="1:17" customFormat="1">
      <c r="A26" s="80">
        <v>45559.1875</v>
      </c>
      <c r="B26" s="112">
        <v>9.26</v>
      </c>
      <c r="C26" s="112">
        <v>4.07</v>
      </c>
      <c r="D26" s="112">
        <v>14.01</v>
      </c>
      <c r="E26" s="112">
        <v>9.64</v>
      </c>
      <c r="F26" s="112">
        <v>3.87</v>
      </c>
      <c r="G26" s="112">
        <v>11.74</v>
      </c>
      <c r="H26" s="112">
        <v>8.48</v>
      </c>
      <c r="I26" s="112">
        <v>5.23</v>
      </c>
      <c r="J26" s="112">
        <v>0.1</v>
      </c>
      <c r="K26" s="112">
        <v>229.53</v>
      </c>
      <c r="L26" s="112">
        <v>23.8</v>
      </c>
      <c r="M26" s="112">
        <v>100.2</v>
      </c>
      <c r="N26" s="112">
        <v>2.2999999999999998</v>
      </c>
      <c r="O26" s="112">
        <v>0</v>
      </c>
      <c r="P26" s="112">
        <v>0.54</v>
      </c>
      <c r="Q26" s="112">
        <v>4.6500000000000004</v>
      </c>
    </row>
    <row r="27" spans="1:17" customFormat="1">
      <c r="A27" s="80">
        <v>45559.197916666664</v>
      </c>
      <c r="B27" s="112">
        <v>9.26</v>
      </c>
      <c r="C27" s="112">
        <v>4.07</v>
      </c>
      <c r="D27" s="112">
        <v>14</v>
      </c>
      <c r="E27" s="112">
        <v>9.4499999999999993</v>
      </c>
      <c r="F27" s="112">
        <v>3.78</v>
      </c>
      <c r="G27" s="112">
        <v>7.6</v>
      </c>
      <c r="H27" s="112">
        <v>6.51</v>
      </c>
      <c r="I27" s="112">
        <v>5.19</v>
      </c>
      <c r="J27" s="112">
        <v>0.13</v>
      </c>
      <c r="K27" s="112">
        <v>249.47</v>
      </c>
      <c r="L27" s="112">
        <v>23.89</v>
      </c>
      <c r="M27" s="112">
        <v>100.15</v>
      </c>
      <c r="N27" s="112">
        <v>2.4</v>
      </c>
      <c r="O27" s="112">
        <v>0</v>
      </c>
      <c r="P27" s="112">
        <v>0.53</v>
      </c>
      <c r="Q27" s="112">
        <v>4.6500000000000004</v>
      </c>
    </row>
    <row r="28" spans="1:17" customFormat="1">
      <c r="A28" s="80">
        <v>45559.208333333336</v>
      </c>
      <c r="B28" s="112">
        <v>9.26</v>
      </c>
      <c r="C28" s="112">
        <v>4.07</v>
      </c>
      <c r="D28" s="112">
        <v>14</v>
      </c>
      <c r="E28" s="112">
        <v>9.2100000000000009</v>
      </c>
      <c r="F28" s="112">
        <v>3.82</v>
      </c>
      <c r="G28" s="112">
        <v>7.6</v>
      </c>
      <c r="H28" s="112">
        <v>6.51</v>
      </c>
      <c r="I28" s="112">
        <v>5.14</v>
      </c>
      <c r="J28" s="112">
        <v>0.11</v>
      </c>
      <c r="K28" s="112">
        <v>260.98</v>
      </c>
      <c r="L28" s="112">
        <v>23.98</v>
      </c>
      <c r="M28" s="112">
        <v>100.15</v>
      </c>
      <c r="N28" s="112">
        <v>2.5</v>
      </c>
      <c r="O28" s="112">
        <v>0</v>
      </c>
      <c r="P28" s="112">
        <v>0.52</v>
      </c>
      <c r="Q28" s="112">
        <v>4.66</v>
      </c>
    </row>
    <row r="29" spans="1:17" customFormat="1">
      <c r="A29" s="80">
        <v>45559.21875</v>
      </c>
      <c r="B29" s="112">
        <v>9.25</v>
      </c>
      <c r="C29" s="112">
        <v>4.08</v>
      </c>
      <c r="D29" s="112">
        <v>14</v>
      </c>
      <c r="E29" s="112">
        <v>9.36</v>
      </c>
      <c r="F29" s="112">
        <v>3.85</v>
      </c>
      <c r="G29" s="112">
        <v>7.6</v>
      </c>
      <c r="H29" s="112">
        <v>6.51</v>
      </c>
      <c r="I29" s="112">
        <v>5.12</v>
      </c>
      <c r="J29" s="112">
        <v>0.12</v>
      </c>
      <c r="K29" s="112">
        <v>229.65</v>
      </c>
      <c r="L29" s="112">
        <v>23.99</v>
      </c>
      <c r="M29" s="112">
        <v>100.18</v>
      </c>
      <c r="N29" s="112">
        <v>2.6</v>
      </c>
      <c r="O29" s="112">
        <v>0</v>
      </c>
      <c r="P29" s="112">
        <v>0.52</v>
      </c>
      <c r="Q29" s="112">
        <v>4.6500000000000004</v>
      </c>
    </row>
    <row r="30" spans="1:17" customFormat="1">
      <c r="A30" s="80">
        <v>45559.229166666664</v>
      </c>
      <c r="B30" s="112">
        <v>9.25</v>
      </c>
      <c r="C30" s="112">
        <v>4.09</v>
      </c>
      <c r="D30" s="112">
        <v>14</v>
      </c>
      <c r="E30" s="112">
        <v>8.86</v>
      </c>
      <c r="F30" s="112">
        <v>3.7</v>
      </c>
      <c r="G30" s="112">
        <v>7.39</v>
      </c>
      <c r="H30" s="112">
        <v>6.34</v>
      </c>
      <c r="I30" s="112">
        <v>5.0999999999999996</v>
      </c>
      <c r="J30" s="112">
        <v>0.09</v>
      </c>
      <c r="K30" s="112">
        <v>197.2</v>
      </c>
      <c r="L30" s="112">
        <v>24.02</v>
      </c>
      <c r="M30" s="112">
        <v>100.3</v>
      </c>
      <c r="N30" s="112">
        <v>2.5</v>
      </c>
      <c r="O30" s="112">
        <v>0</v>
      </c>
      <c r="P30" s="112">
        <v>0.52</v>
      </c>
      <c r="Q30" s="112">
        <v>4.6500000000000004</v>
      </c>
    </row>
    <row r="31" spans="1:17" customFormat="1">
      <c r="A31" s="80">
        <v>45559.239583333336</v>
      </c>
      <c r="B31" s="112">
        <v>9.26</v>
      </c>
      <c r="C31" s="112">
        <v>4.07</v>
      </c>
      <c r="D31" s="112">
        <v>14.01</v>
      </c>
      <c r="E31" s="112">
        <v>8.5</v>
      </c>
      <c r="F31" s="112">
        <v>4.3</v>
      </c>
      <c r="G31" s="112">
        <v>5.19</v>
      </c>
      <c r="H31" s="112">
        <v>4.88</v>
      </c>
      <c r="I31" s="112">
        <v>5.07</v>
      </c>
      <c r="J31" s="112">
        <v>0.1</v>
      </c>
      <c r="K31" s="112">
        <v>157.13</v>
      </c>
      <c r="L31" s="112">
        <v>24.1</v>
      </c>
      <c r="M31" s="112">
        <v>100.22</v>
      </c>
      <c r="N31" s="112">
        <v>3.1</v>
      </c>
      <c r="O31" s="112">
        <v>0</v>
      </c>
      <c r="P31" s="112">
        <v>0.5</v>
      </c>
      <c r="Q31" s="112">
        <v>4.6500000000000004</v>
      </c>
    </row>
    <row r="32" spans="1:17" customFormat="1">
      <c r="A32" s="80">
        <v>45559.25</v>
      </c>
      <c r="B32" s="112">
        <v>9.2799999999999994</v>
      </c>
      <c r="C32" s="112">
        <v>4.07</v>
      </c>
      <c r="D32" s="112">
        <v>14.02</v>
      </c>
      <c r="E32" s="112">
        <v>9.19</v>
      </c>
      <c r="F32" s="112">
        <v>3.85</v>
      </c>
      <c r="G32" s="112">
        <v>5.19</v>
      </c>
      <c r="H32" s="112">
        <v>4.88</v>
      </c>
      <c r="I32" s="112">
        <v>5</v>
      </c>
      <c r="J32" s="112">
        <v>0.16</v>
      </c>
      <c r="K32" s="112">
        <v>195.3</v>
      </c>
      <c r="L32" s="112">
        <v>24.13</v>
      </c>
      <c r="M32" s="112">
        <v>100.16</v>
      </c>
      <c r="N32" s="112">
        <v>5</v>
      </c>
      <c r="O32" s="112">
        <v>0</v>
      </c>
      <c r="P32" s="112">
        <v>0.49</v>
      </c>
      <c r="Q32" s="112">
        <v>4.66</v>
      </c>
    </row>
    <row r="33" spans="1:17" customFormat="1">
      <c r="A33" s="80">
        <v>45559.260416666664</v>
      </c>
      <c r="B33" s="112">
        <v>9.2799999999999994</v>
      </c>
      <c r="C33" s="112">
        <v>4.0599999999999996</v>
      </c>
      <c r="D33" s="112">
        <v>14.01</v>
      </c>
      <c r="E33" s="112">
        <v>9.5500000000000007</v>
      </c>
      <c r="F33" s="112">
        <v>4.03</v>
      </c>
      <c r="G33" s="112">
        <v>5.19</v>
      </c>
      <c r="H33" s="112">
        <v>4.88</v>
      </c>
      <c r="I33" s="112">
        <v>4.8600000000000003</v>
      </c>
      <c r="J33" s="112">
        <v>0.14000000000000001</v>
      </c>
      <c r="K33" s="112">
        <v>165.76</v>
      </c>
      <c r="L33" s="112">
        <v>24.19</v>
      </c>
      <c r="M33" s="112">
        <v>100.16</v>
      </c>
      <c r="N33" s="112">
        <v>8.4</v>
      </c>
      <c r="O33" s="112">
        <v>0</v>
      </c>
      <c r="P33" s="112">
        <v>0.47</v>
      </c>
      <c r="Q33" s="112">
        <v>4.66</v>
      </c>
    </row>
    <row r="34" spans="1:17" customFormat="1">
      <c r="A34" s="80">
        <v>45559.270833333336</v>
      </c>
      <c r="B34" s="112">
        <v>9.25</v>
      </c>
      <c r="C34" s="112">
        <v>4.09</v>
      </c>
      <c r="D34" s="112">
        <v>14</v>
      </c>
      <c r="E34" s="112">
        <v>8.9600000000000009</v>
      </c>
      <c r="F34" s="112">
        <v>4.24</v>
      </c>
      <c r="G34" s="112">
        <v>5.54</v>
      </c>
      <c r="H34" s="112">
        <v>4.75</v>
      </c>
      <c r="I34" s="112">
        <v>4.8099999999999996</v>
      </c>
      <c r="J34" s="112">
        <v>0.12</v>
      </c>
      <c r="K34" s="112">
        <v>196.73</v>
      </c>
      <c r="L34" s="112">
        <v>24.26</v>
      </c>
      <c r="M34" s="112">
        <v>100.21</v>
      </c>
      <c r="N34" s="112">
        <v>9.9</v>
      </c>
      <c r="O34" s="112">
        <v>0</v>
      </c>
      <c r="P34" s="112">
        <v>0.47</v>
      </c>
      <c r="Q34" s="112">
        <v>4.6500000000000004</v>
      </c>
    </row>
    <row r="35" spans="1:17" customFormat="1">
      <c r="A35" s="80">
        <v>45559.28125</v>
      </c>
      <c r="B35" s="112">
        <v>9.23</v>
      </c>
      <c r="C35" s="112">
        <v>4.1100000000000003</v>
      </c>
      <c r="D35" s="112">
        <v>14</v>
      </c>
      <c r="E35" s="112">
        <v>9.42</v>
      </c>
      <c r="F35" s="112">
        <v>4.33</v>
      </c>
      <c r="G35" s="112">
        <v>9.19</v>
      </c>
      <c r="H35" s="112">
        <v>3.74</v>
      </c>
      <c r="I35" s="112">
        <v>4.72</v>
      </c>
      <c r="J35" s="112">
        <v>0.12</v>
      </c>
      <c r="K35" s="112">
        <v>226.17</v>
      </c>
      <c r="L35" s="112">
        <v>24.28</v>
      </c>
      <c r="M35" s="112">
        <v>100.24</v>
      </c>
      <c r="N35" s="112">
        <v>13.6</v>
      </c>
      <c r="O35" s="112">
        <v>0</v>
      </c>
      <c r="P35" s="112">
        <v>0.47</v>
      </c>
      <c r="Q35" s="112">
        <v>4.66</v>
      </c>
    </row>
    <row r="36" spans="1:17" customFormat="1">
      <c r="A36" s="80">
        <v>45559.291666666664</v>
      </c>
      <c r="B36" s="112">
        <v>9.23</v>
      </c>
      <c r="C36" s="112">
        <v>4.1100000000000003</v>
      </c>
      <c r="D36" s="112">
        <v>14</v>
      </c>
      <c r="E36" s="112">
        <v>9.64</v>
      </c>
      <c r="F36" s="112">
        <v>3.85</v>
      </c>
      <c r="G36" s="112">
        <v>9.19</v>
      </c>
      <c r="H36" s="112">
        <v>3.74</v>
      </c>
      <c r="I36" s="112">
        <v>4.6500000000000004</v>
      </c>
      <c r="J36" s="112">
        <v>0.1</v>
      </c>
      <c r="K36" s="112">
        <v>177.9</v>
      </c>
      <c r="L36" s="112">
        <v>24.52</v>
      </c>
      <c r="M36" s="112">
        <v>100.28</v>
      </c>
      <c r="N36" s="112">
        <v>21</v>
      </c>
      <c r="O36" s="112">
        <v>0</v>
      </c>
      <c r="P36" s="112">
        <v>0.47</v>
      </c>
      <c r="Q36" s="112">
        <v>4.6500000000000004</v>
      </c>
    </row>
    <row r="37" spans="1:17" customFormat="1">
      <c r="A37" s="80">
        <v>45559.302083333336</v>
      </c>
      <c r="B37" s="112">
        <v>9.2200000000000006</v>
      </c>
      <c r="C37" s="112">
        <v>4.12</v>
      </c>
      <c r="D37" s="112">
        <v>14</v>
      </c>
      <c r="E37" s="112">
        <v>10.16</v>
      </c>
      <c r="F37" s="112">
        <v>4.03</v>
      </c>
      <c r="G37" s="112">
        <v>9.19</v>
      </c>
      <c r="H37" s="112">
        <v>3.74</v>
      </c>
      <c r="I37" s="112">
        <v>4.6100000000000003</v>
      </c>
      <c r="J37" s="112">
        <v>0.13</v>
      </c>
      <c r="K37" s="112">
        <v>41.73</v>
      </c>
      <c r="L37" s="112">
        <v>24.6</v>
      </c>
      <c r="M37" s="112">
        <v>99.98</v>
      </c>
      <c r="N37" s="112">
        <v>24.7</v>
      </c>
      <c r="O37" s="112">
        <v>0</v>
      </c>
      <c r="P37" s="112">
        <v>0.47</v>
      </c>
      <c r="Q37" s="112">
        <v>4.6500000000000004</v>
      </c>
    </row>
    <row r="38" spans="1:17" customFormat="1">
      <c r="A38" s="80">
        <v>45559.3125</v>
      </c>
      <c r="B38" s="112">
        <v>9.23</v>
      </c>
      <c r="C38" s="112">
        <v>4.1100000000000003</v>
      </c>
      <c r="D38" s="112">
        <v>14</v>
      </c>
      <c r="E38" s="112">
        <v>10.14</v>
      </c>
      <c r="F38" s="112">
        <v>4.8499999999999996</v>
      </c>
      <c r="G38" s="112">
        <v>9.8000000000000007</v>
      </c>
      <c r="H38" s="112">
        <v>3.7</v>
      </c>
      <c r="I38" s="112">
        <v>4.58</v>
      </c>
      <c r="J38" s="112">
        <v>0.37</v>
      </c>
      <c r="K38" s="112">
        <v>46.62</v>
      </c>
      <c r="L38" s="112">
        <v>24.81</v>
      </c>
      <c r="M38" s="112">
        <v>97.88</v>
      </c>
      <c r="N38" s="112">
        <v>33.6</v>
      </c>
      <c r="O38" s="112">
        <v>0</v>
      </c>
      <c r="P38" s="112">
        <v>0.47</v>
      </c>
      <c r="Q38" s="112">
        <v>4.66</v>
      </c>
    </row>
    <row r="39" spans="1:17" customFormat="1">
      <c r="A39" s="80">
        <v>45559.322916666664</v>
      </c>
      <c r="B39" s="112">
        <v>9.1999999999999993</v>
      </c>
      <c r="C39" s="112">
        <v>4.16</v>
      </c>
      <c r="D39" s="112">
        <v>14</v>
      </c>
      <c r="E39" s="112">
        <v>10.33</v>
      </c>
      <c r="F39" s="112">
        <v>5.63</v>
      </c>
      <c r="G39" s="112">
        <v>16.07</v>
      </c>
      <c r="H39" s="112">
        <v>3.36</v>
      </c>
      <c r="I39" s="112">
        <v>4.5999999999999996</v>
      </c>
      <c r="J39" s="112">
        <v>0.28999999999999998</v>
      </c>
      <c r="K39" s="112">
        <v>54.1</v>
      </c>
      <c r="L39" s="112">
        <v>25.05</v>
      </c>
      <c r="M39" s="112">
        <v>94.66</v>
      </c>
      <c r="N39" s="112">
        <v>50.2</v>
      </c>
      <c r="O39" s="112">
        <v>0</v>
      </c>
      <c r="P39" s="112">
        <v>0.5</v>
      </c>
      <c r="Q39" s="112">
        <v>4.66</v>
      </c>
    </row>
    <row r="40" spans="1:17" customFormat="1">
      <c r="A40" s="80">
        <v>45559.333333333336</v>
      </c>
      <c r="B40" s="112">
        <v>9.2200000000000006</v>
      </c>
      <c r="C40" s="112">
        <v>4.12</v>
      </c>
      <c r="D40" s="112">
        <v>14</v>
      </c>
      <c r="E40" s="112">
        <v>10.76</v>
      </c>
      <c r="F40" s="112">
        <v>4.17</v>
      </c>
      <c r="G40" s="112">
        <v>16.07</v>
      </c>
      <c r="H40" s="112">
        <v>3.36</v>
      </c>
      <c r="I40" s="112">
        <v>4.6900000000000004</v>
      </c>
      <c r="J40" s="112">
        <v>0.33</v>
      </c>
      <c r="K40" s="112">
        <v>49.48</v>
      </c>
      <c r="L40" s="112">
        <v>25.25</v>
      </c>
      <c r="M40" s="112">
        <v>93.59</v>
      </c>
      <c r="N40" s="112">
        <v>50.5</v>
      </c>
      <c r="O40" s="112">
        <v>0</v>
      </c>
      <c r="P40" s="112">
        <v>0.51</v>
      </c>
      <c r="Q40" s="112">
        <v>4.67</v>
      </c>
    </row>
    <row r="41" spans="1:17" customFormat="1">
      <c r="A41" s="80">
        <v>45559.34375</v>
      </c>
      <c r="B41" s="112">
        <v>9.23</v>
      </c>
      <c r="C41" s="112">
        <v>4.12</v>
      </c>
      <c r="D41" s="112">
        <v>14</v>
      </c>
      <c r="E41" s="112">
        <v>11.25</v>
      </c>
      <c r="F41" s="112">
        <v>4.2</v>
      </c>
      <c r="G41" s="112">
        <v>16.07</v>
      </c>
      <c r="H41" s="112">
        <v>3.36</v>
      </c>
      <c r="I41" s="112">
        <v>4.8</v>
      </c>
      <c r="J41" s="112">
        <v>0.35</v>
      </c>
      <c r="K41" s="112">
        <v>51.51</v>
      </c>
      <c r="L41" s="112">
        <v>25.32</v>
      </c>
      <c r="M41" s="112">
        <v>92.32</v>
      </c>
      <c r="N41" s="112">
        <v>45.5</v>
      </c>
      <c r="O41" s="112">
        <v>0</v>
      </c>
      <c r="P41" s="112">
        <v>0.54</v>
      </c>
      <c r="Q41" s="112">
        <v>4.67</v>
      </c>
    </row>
    <row r="42" spans="1:17" customFormat="1">
      <c r="A42" s="80">
        <v>45559.354166666664</v>
      </c>
      <c r="B42" s="112">
        <v>9.2200000000000006</v>
      </c>
      <c r="C42" s="112">
        <v>4.12</v>
      </c>
      <c r="D42" s="112">
        <v>14</v>
      </c>
      <c r="E42" s="112">
        <v>11.04</v>
      </c>
      <c r="F42" s="112">
        <v>4.43</v>
      </c>
      <c r="G42" s="112">
        <v>18.68</v>
      </c>
      <c r="H42" s="112">
        <v>4.07</v>
      </c>
      <c r="I42" s="112">
        <v>4.99</v>
      </c>
      <c r="J42" s="112">
        <v>0.21</v>
      </c>
      <c r="K42" s="112">
        <v>48.79</v>
      </c>
      <c r="L42" s="112">
        <v>25.44</v>
      </c>
      <c r="M42" s="112">
        <v>92.78</v>
      </c>
      <c r="N42" s="112">
        <v>40.700000000000003</v>
      </c>
      <c r="O42" s="112">
        <v>0</v>
      </c>
      <c r="P42" s="112">
        <v>0.56999999999999995</v>
      </c>
      <c r="Q42" s="112">
        <v>4.67</v>
      </c>
    </row>
    <row r="43" spans="1:17" customFormat="1">
      <c r="A43" s="80">
        <v>45559.364583333336</v>
      </c>
      <c r="B43" s="112">
        <v>9.2200000000000006</v>
      </c>
      <c r="C43" s="112">
        <v>4.13</v>
      </c>
      <c r="D43" s="112">
        <v>14</v>
      </c>
      <c r="E43" s="112">
        <v>11.89</v>
      </c>
      <c r="F43" s="112">
        <v>4.07</v>
      </c>
      <c r="G43" s="112">
        <v>45.45</v>
      </c>
      <c r="H43" s="112">
        <v>9.2899999999999991</v>
      </c>
      <c r="I43" s="112">
        <v>5.25</v>
      </c>
      <c r="J43" s="112">
        <v>0.19</v>
      </c>
      <c r="K43" s="112">
        <v>41.26</v>
      </c>
      <c r="L43" s="112">
        <v>25.64</v>
      </c>
      <c r="M43" s="112">
        <v>92.5</v>
      </c>
      <c r="N43" s="112">
        <v>70.2</v>
      </c>
      <c r="O43" s="112">
        <v>0</v>
      </c>
      <c r="P43" s="112">
        <v>0.56999999999999995</v>
      </c>
      <c r="Q43" s="112">
        <v>4.6500000000000004</v>
      </c>
    </row>
    <row r="44" spans="1:17" customFormat="1">
      <c r="A44" s="80">
        <v>45559.375</v>
      </c>
      <c r="B44" s="112">
        <v>9.2200000000000006</v>
      </c>
      <c r="C44" s="112">
        <v>4.13</v>
      </c>
      <c r="D44" s="112">
        <v>14</v>
      </c>
      <c r="E44" s="112">
        <v>11.71</v>
      </c>
      <c r="F44" s="112">
        <v>4.63</v>
      </c>
      <c r="G44" s="112">
        <v>45.45</v>
      </c>
      <c r="H44" s="112">
        <v>9.2899999999999991</v>
      </c>
      <c r="I44" s="112">
        <v>5.59</v>
      </c>
      <c r="J44" s="112">
        <v>0.5</v>
      </c>
      <c r="K44" s="112">
        <v>52.81</v>
      </c>
      <c r="L44" s="112">
        <v>26.03</v>
      </c>
      <c r="M44" s="112">
        <v>90.78</v>
      </c>
      <c r="N44" s="112">
        <v>114.2</v>
      </c>
      <c r="O44" s="112">
        <v>0</v>
      </c>
      <c r="P44" s="112">
        <v>0.61</v>
      </c>
      <c r="Q44" s="112">
        <v>4.66</v>
      </c>
    </row>
    <row r="45" spans="1:17" customFormat="1">
      <c r="A45" s="80">
        <v>45559.385416666664</v>
      </c>
      <c r="B45" s="112">
        <v>9.2100000000000009</v>
      </c>
      <c r="C45" s="112">
        <v>4.1399999999999997</v>
      </c>
      <c r="D45" s="112">
        <v>14</v>
      </c>
      <c r="E45" s="112">
        <v>11.78</v>
      </c>
      <c r="F45" s="112">
        <v>4.22</v>
      </c>
      <c r="G45" s="112">
        <v>45.45</v>
      </c>
      <c r="H45" s="112">
        <v>9.2899999999999991</v>
      </c>
      <c r="I45" s="112">
        <v>5.68</v>
      </c>
      <c r="J45" s="112">
        <v>0.13</v>
      </c>
      <c r="K45" s="112">
        <v>350</v>
      </c>
      <c r="L45" s="112">
        <v>26.49</v>
      </c>
      <c r="M45" s="112">
        <v>89.04</v>
      </c>
      <c r="N45" s="112">
        <v>115.9</v>
      </c>
      <c r="O45" s="112">
        <v>0</v>
      </c>
      <c r="P45" s="112">
        <v>0.62</v>
      </c>
      <c r="Q45" s="112">
        <v>4.6500000000000004</v>
      </c>
    </row>
    <row r="46" spans="1:17" customFormat="1">
      <c r="A46" s="80">
        <v>45559.395833333336</v>
      </c>
      <c r="B46" s="112">
        <v>9.1999999999999993</v>
      </c>
      <c r="C46" s="112">
        <v>4.1500000000000004</v>
      </c>
      <c r="D46" s="112">
        <v>14</v>
      </c>
      <c r="E46" s="112">
        <v>11.75</v>
      </c>
      <c r="F46" s="112">
        <v>4.18</v>
      </c>
      <c r="G46" s="112">
        <v>48.7</v>
      </c>
      <c r="H46" s="112">
        <v>10.65</v>
      </c>
      <c r="I46" s="112">
        <v>6.05</v>
      </c>
      <c r="J46" s="112">
        <v>0.14000000000000001</v>
      </c>
      <c r="K46" s="112">
        <v>334.85</v>
      </c>
      <c r="L46" s="112">
        <v>26.65</v>
      </c>
      <c r="M46" s="112">
        <v>87.52</v>
      </c>
      <c r="N46" s="112">
        <v>140.9</v>
      </c>
      <c r="O46" s="112">
        <v>0</v>
      </c>
      <c r="P46" s="112">
        <v>0.64</v>
      </c>
      <c r="Q46" s="112">
        <v>4.6500000000000004</v>
      </c>
    </row>
    <row r="47" spans="1:17" customFormat="1">
      <c r="A47" s="80">
        <v>45559.40625</v>
      </c>
      <c r="B47" s="112">
        <v>9.2100000000000009</v>
      </c>
      <c r="C47" s="112">
        <v>4.1500000000000004</v>
      </c>
      <c r="D47" s="112">
        <v>14</v>
      </c>
      <c r="E47" s="112">
        <v>12.04</v>
      </c>
      <c r="F47" s="112">
        <v>4.18</v>
      </c>
      <c r="G47" s="112">
        <v>82</v>
      </c>
      <c r="H47" s="112">
        <v>22.15</v>
      </c>
      <c r="I47" s="112">
        <v>6.16</v>
      </c>
      <c r="J47" s="112">
        <v>0.33</v>
      </c>
      <c r="K47" s="112">
        <v>35.130000000000003</v>
      </c>
      <c r="L47" s="112">
        <v>27.11</v>
      </c>
      <c r="M47" s="112">
        <v>84.52</v>
      </c>
      <c r="N47" s="112">
        <v>161.1</v>
      </c>
      <c r="O47" s="112">
        <v>0</v>
      </c>
      <c r="P47" s="112">
        <v>0.65</v>
      </c>
      <c r="Q47" s="112">
        <v>4.6399999999999997</v>
      </c>
    </row>
    <row r="48" spans="1:17" customFormat="1">
      <c r="A48" s="80">
        <v>45559.416666666664</v>
      </c>
      <c r="B48" s="112">
        <v>9.2200000000000006</v>
      </c>
      <c r="C48" s="112">
        <v>4.13</v>
      </c>
      <c r="D48" s="112">
        <v>14</v>
      </c>
      <c r="E48" s="112">
        <v>12.43</v>
      </c>
      <c r="F48" s="112">
        <v>4.68</v>
      </c>
      <c r="G48" s="112">
        <v>82</v>
      </c>
      <c r="H48" s="112">
        <v>22.15</v>
      </c>
      <c r="I48" s="112">
        <v>6.33</v>
      </c>
      <c r="J48" s="112">
        <v>0.39</v>
      </c>
      <c r="K48" s="112">
        <v>62.72</v>
      </c>
      <c r="L48" s="112">
        <v>27.45</v>
      </c>
      <c r="M48" s="112">
        <v>82.02</v>
      </c>
      <c r="N48" s="112">
        <v>163.6</v>
      </c>
      <c r="O48" s="112">
        <v>0</v>
      </c>
      <c r="P48" s="112">
        <v>0.68</v>
      </c>
      <c r="Q48" s="112">
        <v>4.66</v>
      </c>
    </row>
    <row r="49" spans="1:17" customFormat="1">
      <c r="A49" s="80">
        <v>45559.427083333336</v>
      </c>
      <c r="B49" s="112">
        <v>9.23</v>
      </c>
      <c r="C49" s="112">
        <v>4.12</v>
      </c>
      <c r="D49" s="112">
        <v>14</v>
      </c>
      <c r="E49" s="112">
        <v>10.85</v>
      </c>
      <c r="F49" s="112">
        <v>4.4800000000000004</v>
      </c>
      <c r="G49" s="112">
        <v>82</v>
      </c>
      <c r="H49" s="112">
        <v>22.15</v>
      </c>
      <c r="I49" s="112">
        <v>6.44</v>
      </c>
      <c r="J49" s="112">
        <v>0.15</v>
      </c>
      <c r="K49" s="112">
        <v>46.64</v>
      </c>
      <c r="L49" s="112">
        <v>27.86</v>
      </c>
      <c r="M49" s="112">
        <v>82.59</v>
      </c>
      <c r="N49" s="112">
        <v>160.1</v>
      </c>
      <c r="O49" s="112">
        <v>0</v>
      </c>
      <c r="P49" s="112">
        <v>0.7</v>
      </c>
      <c r="Q49" s="112">
        <v>4.6500000000000004</v>
      </c>
    </row>
    <row r="50" spans="1:17" customFormat="1">
      <c r="A50" s="80">
        <v>45559.4375</v>
      </c>
      <c r="B50" s="112">
        <v>9.2200000000000006</v>
      </c>
      <c r="C50" s="112">
        <v>4.13</v>
      </c>
      <c r="D50" s="112">
        <v>14</v>
      </c>
      <c r="E50" s="112">
        <v>12.58</v>
      </c>
      <c r="F50" s="112">
        <v>4.0199999999999996</v>
      </c>
      <c r="G50" s="112">
        <v>84.31</v>
      </c>
      <c r="H50" s="112">
        <v>23.65</v>
      </c>
      <c r="I50" s="112">
        <v>6.59</v>
      </c>
      <c r="J50" s="112">
        <v>0.11</v>
      </c>
      <c r="K50" s="112">
        <v>357.95</v>
      </c>
      <c r="L50" s="112">
        <v>28.09</v>
      </c>
      <c r="M50" s="112">
        <v>80.47</v>
      </c>
      <c r="N50" s="112">
        <v>196.6</v>
      </c>
      <c r="O50" s="112">
        <v>0</v>
      </c>
      <c r="P50" s="112">
        <v>0.7</v>
      </c>
      <c r="Q50" s="112">
        <v>4.66</v>
      </c>
    </row>
    <row r="51" spans="1:17" customFormat="1">
      <c r="A51" s="80">
        <v>45559.447916666664</v>
      </c>
      <c r="B51" s="112">
        <v>9.2100000000000009</v>
      </c>
      <c r="C51" s="112">
        <v>4.1399999999999997</v>
      </c>
      <c r="D51" s="112">
        <v>14</v>
      </c>
      <c r="E51" s="112">
        <v>13.04</v>
      </c>
      <c r="F51" s="112">
        <v>4.1100000000000003</v>
      </c>
      <c r="G51" s="112">
        <v>107.96</v>
      </c>
      <c r="H51" s="112">
        <v>36.26</v>
      </c>
      <c r="I51" s="112">
        <v>6.69</v>
      </c>
      <c r="J51" s="112">
        <v>0.49</v>
      </c>
      <c r="K51" s="112">
        <v>71.260000000000005</v>
      </c>
      <c r="L51" s="112">
        <v>28.45</v>
      </c>
      <c r="M51" s="112">
        <v>77.66</v>
      </c>
      <c r="N51" s="112">
        <v>236.1</v>
      </c>
      <c r="O51" s="112">
        <v>0</v>
      </c>
      <c r="P51" s="112">
        <v>0.72</v>
      </c>
      <c r="Q51" s="112">
        <v>4.6500000000000004</v>
      </c>
    </row>
    <row r="52" spans="1:17" customFormat="1">
      <c r="A52" s="80">
        <v>45559.458333333336</v>
      </c>
      <c r="B52" s="112">
        <v>9.23</v>
      </c>
      <c r="C52" s="112">
        <v>4.1100000000000003</v>
      </c>
      <c r="D52" s="112">
        <v>14</v>
      </c>
      <c r="E52" s="112">
        <v>13</v>
      </c>
      <c r="F52" s="112">
        <v>4.97</v>
      </c>
      <c r="G52" s="112">
        <v>107.96</v>
      </c>
      <c r="H52" s="112">
        <v>36.26</v>
      </c>
      <c r="I52" s="112">
        <v>6.73</v>
      </c>
      <c r="J52" s="112">
        <v>0.5</v>
      </c>
      <c r="K52" s="112">
        <v>49.67</v>
      </c>
      <c r="L52" s="112">
        <v>28.63</v>
      </c>
      <c r="M52" s="112">
        <v>75.86</v>
      </c>
      <c r="N52" s="112">
        <v>262.89999999999998</v>
      </c>
      <c r="O52" s="112">
        <v>0</v>
      </c>
      <c r="P52" s="112">
        <v>0.74</v>
      </c>
      <c r="Q52" s="112">
        <v>4.6399999999999997</v>
      </c>
    </row>
    <row r="53" spans="1:17" customFormat="1">
      <c r="A53" s="80">
        <v>45559.46875</v>
      </c>
      <c r="B53" s="112">
        <v>9.26</v>
      </c>
      <c r="C53" s="112">
        <v>4.07</v>
      </c>
      <c r="D53" s="112">
        <v>14</v>
      </c>
      <c r="E53" s="112">
        <v>14.01</v>
      </c>
      <c r="F53" s="112">
        <v>5.42</v>
      </c>
      <c r="G53" s="112">
        <v>107.96</v>
      </c>
      <c r="H53" s="112">
        <v>36.26</v>
      </c>
      <c r="I53" s="112">
        <v>6.77</v>
      </c>
      <c r="J53" s="112">
        <v>0.38</v>
      </c>
      <c r="K53" s="112">
        <v>40.35</v>
      </c>
      <c r="L53" s="112">
        <v>29</v>
      </c>
      <c r="M53" s="112">
        <v>73.569999999999993</v>
      </c>
      <c r="N53" s="112">
        <v>366</v>
      </c>
      <c r="O53" s="112">
        <v>0</v>
      </c>
      <c r="P53" s="112">
        <v>0.74</v>
      </c>
      <c r="Q53" s="112">
        <v>4.63</v>
      </c>
    </row>
    <row r="54" spans="1:17" customFormat="1">
      <c r="A54" s="80">
        <v>45559.479166666664</v>
      </c>
      <c r="B54" s="112">
        <v>9.2899999999999991</v>
      </c>
      <c r="C54" s="112">
        <v>4.0599999999999996</v>
      </c>
      <c r="D54" s="112">
        <v>14.02</v>
      </c>
      <c r="E54" s="112">
        <v>13.36</v>
      </c>
      <c r="F54" s="112">
        <v>5.03</v>
      </c>
      <c r="G54" s="112">
        <v>108.4</v>
      </c>
      <c r="H54" s="112">
        <v>36.26</v>
      </c>
      <c r="I54" s="112">
        <v>6.84</v>
      </c>
      <c r="J54" s="112">
        <v>0.26</v>
      </c>
      <c r="K54" s="112">
        <v>29.31</v>
      </c>
      <c r="L54" s="112">
        <v>29.15</v>
      </c>
      <c r="M54" s="112">
        <v>74</v>
      </c>
      <c r="N54" s="112">
        <v>240.1</v>
      </c>
      <c r="O54" s="112">
        <v>0</v>
      </c>
      <c r="P54" s="112">
        <v>0.76</v>
      </c>
      <c r="Q54" s="112">
        <v>4.6399999999999997</v>
      </c>
    </row>
    <row r="55" spans="1:17" customFormat="1">
      <c r="A55" s="80">
        <v>45559.489583333336</v>
      </c>
      <c r="B55" s="112">
        <v>9.27</v>
      </c>
      <c r="C55" s="112">
        <v>4.0999999999999996</v>
      </c>
      <c r="D55" s="112">
        <v>14.03</v>
      </c>
      <c r="E55" s="112">
        <v>13.44</v>
      </c>
      <c r="F55" s="112">
        <v>4.88</v>
      </c>
      <c r="G55" s="112">
        <v>112.89</v>
      </c>
      <c r="H55" s="112">
        <v>36.25</v>
      </c>
      <c r="I55" s="112">
        <v>6.91</v>
      </c>
      <c r="J55" s="112">
        <v>0.25</v>
      </c>
      <c r="K55" s="112">
        <v>64.94</v>
      </c>
      <c r="L55" s="112">
        <v>29.35</v>
      </c>
      <c r="M55" s="112">
        <v>72.45</v>
      </c>
      <c r="N55" s="112">
        <v>299.5</v>
      </c>
      <c r="O55" s="112">
        <v>0</v>
      </c>
      <c r="P55" s="112">
        <v>0.76</v>
      </c>
      <c r="Q55" s="112">
        <v>4.63</v>
      </c>
    </row>
    <row r="56" spans="1:17" customFormat="1">
      <c r="A56" s="80">
        <v>45559.5</v>
      </c>
      <c r="B56" s="112">
        <v>9.2899999999999991</v>
      </c>
      <c r="C56" s="112">
        <v>4.0999999999999996</v>
      </c>
      <c r="D56" s="112">
        <v>14.04</v>
      </c>
      <c r="E56" s="112">
        <v>12.72</v>
      </c>
      <c r="F56" s="112">
        <v>4.46</v>
      </c>
      <c r="G56" s="112">
        <v>112.89</v>
      </c>
      <c r="H56" s="112">
        <v>36.25</v>
      </c>
      <c r="I56" s="112">
        <v>6.97</v>
      </c>
      <c r="J56" s="112">
        <v>0.23</v>
      </c>
      <c r="K56" s="112">
        <v>57.59</v>
      </c>
      <c r="L56" s="112">
        <v>29.88</v>
      </c>
      <c r="M56" s="112">
        <v>72.92</v>
      </c>
      <c r="N56" s="112">
        <v>329.6</v>
      </c>
      <c r="O56" s="112">
        <v>0</v>
      </c>
      <c r="P56" s="112">
        <v>0.76</v>
      </c>
      <c r="Q56" s="112">
        <v>4.63</v>
      </c>
    </row>
    <row r="57" spans="1:17" customFormat="1">
      <c r="A57" s="80">
        <v>45559.510416666664</v>
      </c>
      <c r="B57" s="112">
        <v>9.2899999999999991</v>
      </c>
      <c r="C57" s="112">
        <v>4.0599999999999996</v>
      </c>
      <c r="D57" s="112">
        <v>14.02</v>
      </c>
      <c r="E57" s="112">
        <v>12.75</v>
      </c>
      <c r="F57" s="112">
        <v>4.2</v>
      </c>
      <c r="G57" s="112">
        <v>112.89</v>
      </c>
      <c r="H57" s="112">
        <v>36.25</v>
      </c>
      <c r="I57" s="112">
        <v>7.01</v>
      </c>
      <c r="J57" s="112">
        <v>0.06</v>
      </c>
      <c r="K57" s="112">
        <v>47.15</v>
      </c>
      <c r="L57" s="112">
        <v>30.41</v>
      </c>
      <c r="M57" s="112">
        <v>71.61</v>
      </c>
      <c r="N57" s="112">
        <v>454.3</v>
      </c>
      <c r="O57" s="112">
        <v>0</v>
      </c>
      <c r="P57" s="112">
        <v>0.76</v>
      </c>
      <c r="Q57" s="112">
        <v>4.66</v>
      </c>
    </row>
    <row r="58" spans="1:17" customFormat="1">
      <c r="A58" s="80">
        <v>45559.520833333336</v>
      </c>
      <c r="B58" s="112">
        <v>9.3000000000000007</v>
      </c>
      <c r="C58" s="112">
        <v>4.0599999999999996</v>
      </c>
      <c r="D58" s="112">
        <v>14.03</v>
      </c>
      <c r="E58" s="112">
        <v>12</v>
      </c>
      <c r="F58" s="112">
        <v>4.18</v>
      </c>
      <c r="G58" s="112">
        <v>113.66</v>
      </c>
      <c r="H58" s="112">
        <v>36.9</v>
      </c>
      <c r="I58" s="112">
        <v>7.05</v>
      </c>
      <c r="J58" s="112">
        <v>0.15</v>
      </c>
      <c r="K58" s="112">
        <v>95.59</v>
      </c>
      <c r="L58" s="112">
        <v>30.98</v>
      </c>
      <c r="M58" s="112">
        <v>72.180000000000007</v>
      </c>
      <c r="N58" s="112">
        <v>466.4</v>
      </c>
      <c r="O58" s="112">
        <v>0</v>
      </c>
      <c r="P58" s="112">
        <v>0.76</v>
      </c>
      <c r="Q58" s="112">
        <v>4.6399999999999997</v>
      </c>
    </row>
    <row r="59" spans="1:17" customFormat="1">
      <c r="A59" s="80">
        <v>45559.53125</v>
      </c>
      <c r="B59" s="112">
        <v>9.2799999999999994</v>
      </c>
      <c r="C59" s="112">
        <v>4.07</v>
      </c>
      <c r="D59" s="112">
        <v>14.02</v>
      </c>
      <c r="E59" s="112">
        <v>12.35</v>
      </c>
      <c r="F59" s="112">
        <v>4.4400000000000004</v>
      </c>
      <c r="G59" s="112">
        <v>120.6</v>
      </c>
      <c r="H59" s="112">
        <v>41.71</v>
      </c>
      <c r="I59" s="112">
        <v>7.05</v>
      </c>
      <c r="J59" s="112">
        <v>0.54</v>
      </c>
      <c r="K59" s="112">
        <v>68.69</v>
      </c>
      <c r="L59" s="112">
        <v>30.14</v>
      </c>
      <c r="M59" s="112">
        <v>72.55</v>
      </c>
      <c r="N59" s="112">
        <v>202.6</v>
      </c>
      <c r="O59" s="112">
        <v>0</v>
      </c>
      <c r="P59" s="112">
        <v>0.77</v>
      </c>
      <c r="Q59" s="112">
        <v>4.6399999999999997</v>
      </c>
    </row>
    <row r="60" spans="1:17" customFormat="1">
      <c r="A60" s="80">
        <v>45559.541666666664</v>
      </c>
      <c r="B60" s="112">
        <v>9.27</v>
      </c>
      <c r="C60" s="112">
        <v>4.07</v>
      </c>
      <c r="D60" s="112">
        <v>14.01</v>
      </c>
      <c r="E60" s="112">
        <v>11.41</v>
      </c>
      <c r="F60" s="112">
        <v>4.2699999999999996</v>
      </c>
      <c r="G60" s="112">
        <v>120.6</v>
      </c>
      <c r="H60" s="112">
        <v>41.71</v>
      </c>
      <c r="I60" s="112">
        <v>7.04</v>
      </c>
      <c r="J60" s="112">
        <v>0.11</v>
      </c>
      <c r="K60" s="112">
        <v>86.78</v>
      </c>
      <c r="L60" s="112">
        <v>30.03</v>
      </c>
      <c r="M60" s="112">
        <v>73.08</v>
      </c>
      <c r="N60" s="112">
        <v>330</v>
      </c>
      <c r="O60" s="112">
        <v>0</v>
      </c>
      <c r="P60" s="112">
        <v>0.77</v>
      </c>
      <c r="Q60" s="112">
        <v>4.6399999999999997</v>
      </c>
    </row>
    <row r="61" spans="1:17" customFormat="1">
      <c r="A61" s="80">
        <v>45559.552083333336</v>
      </c>
      <c r="B61" s="112">
        <v>9.3000000000000007</v>
      </c>
      <c r="C61" s="112">
        <v>4.0599999999999996</v>
      </c>
      <c r="D61" s="112">
        <v>14.03</v>
      </c>
      <c r="E61" s="112">
        <v>12.32</v>
      </c>
      <c r="F61" s="112">
        <v>4.59</v>
      </c>
      <c r="G61" s="112">
        <v>120.6</v>
      </c>
      <c r="H61" s="112">
        <v>41.71</v>
      </c>
      <c r="I61" s="112">
        <v>7.06</v>
      </c>
      <c r="J61" s="112">
        <v>0.25</v>
      </c>
      <c r="K61" s="112">
        <v>71.739999999999995</v>
      </c>
      <c r="L61" s="112">
        <v>30.98</v>
      </c>
      <c r="M61" s="112">
        <v>67.72</v>
      </c>
      <c r="N61" s="112">
        <v>512.9</v>
      </c>
      <c r="O61" s="112">
        <v>0</v>
      </c>
      <c r="P61" s="112">
        <v>0.76</v>
      </c>
      <c r="Q61" s="112">
        <v>4.6399999999999997</v>
      </c>
    </row>
    <row r="62" spans="1:17" customFormat="1">
      <c r="A62" s="80">
        <v>45559.5625</v>
      </c>
      <c r="B62" s="112">
        <v>9.2799999999999994</v>
      </c>
      <c r="C62" s="112">
        <v>4.0599999999999996</v>
      </c>
      <c r="D62" s="112">
        <v>14.02</v>
      </c>
      <c r="E62" s="112">
        <v>12.96</v>
      </c>
      <c r="F62" s="112">
        <v>5.52</v>
      </c>
      <c r="G62" s="112">
        <v>119.82</v>
      </c>
      <c r="H62" s="112">
        <v>40.67</v>
      </c>
      <c r="I62" s="112">
        <v>7.07</v>
      </c>
      <c r="J62" s="112">
        <v>0.13</v>
      </c>
      <c r="K62" s="112">
        <v>4.0199999999999996</v>
      </c>
      <c r="L62" s="112">
        <v>31.06</v>
      </c>
      <c r="M62" s="112">
        <v>67.650000000000006</v>
      </c>
      <c r="N62" s="112">
        <v>508.5</v>
      </c>
      <c r="O62" s="112">
        <v>0</v>
      </c>
      <c r="P62" s="112">
        <v>0.76</v>
      </c>
      <c r="Q62" s="112">
        <v>4.6399999999999997</v>
      </c>
    </row>
    <row r="63" spans="1:17" customFormat="1">
      <c r="A63" s="80">
        <v>45559.572916666664</v>
      </c>
      <c r="B63" s="112">
        <v>9.34</v>
      </c>
      <c r="C63" s="112">
        <v>4.07</v>
      </c>
      <c r="D63" s="112">
        <v>14.06</v>
      </c>
      <c r="E63" s="112">
        <v>12.4</v>
      </c>
      <c r="F63" s="112">
        <v>5.39</v>
      </c>
      <c r="G63" s="112">
        <v>112.84</v>
      </c>
      <c r="H63" s="112">
        <v>31.94</v>
      </c>
      <c r="I63" s="112">
        <v>7.02</v>
      </c>
      <c r="J63" s="112">
        <v>0.18</v>
      </c>
      <c r="K63" s="112">
        <v>150.05000000000001</v>
      </c>
      <c r="L63" s="112">
        <v>31.57</v>
      </c>
      <c r="M63" s="112">
        <v>67.17</v>
      </c>
      <c r="N63" s="112">
        <v>395.5</v>
      </c>
      <c r="O63" s="112">
        <v>0</v>
      </c>
      <c r="P63" s="112">
        <v>0.76</v>
      </c>
      <c r="Q63" s="112">
        <v>4.6399999999999997</v>
      </c>
    </row>
    <row r="64" spans="1:17" customFormat="1">
      <c r="A64" s="80">
        <v>45559.583333333336</v>
      </c>
      <c r="B64" s="112">
        <v>9.32</v>
      </c>
      <c r="C64" s="112">
        <v>4.0599999999999996</v>
      </c>
      <c r="D64" s="112">
        <v>14.04</v>
      </c>
      <c r="E64" s="112">
        <v>11.42</v>
      </c>
      <c r="F64" s="112">
        <v>4.28</v>
      </c>
      <c r="G64" s="112">
        <v>112.84</v>
      </c>
      <c r="H64" s="112">
        <v>31.94</v>
      </c>
      <c r="I64" s="112">
        <v>6.96</v>
      </c>
      <c r="J64" s="112">
        <v>0.2</v>
      </c>
      <c r="K64" s="112">
        <v>186.12</v>
      </c>
      <c r="L64" s="112">
        <v>31.64</v>
      </c>
      <c r="M64" s="112">
        <v>66.11</v>
      </c>
      <c r="N64" s="112">
        <v>369.8</v>
      </c>
      <c r="O64" s="112">
        <v>0</v>
      </c>
      <c r="P64" s="112">
        <v>0.75</v>
      </c>
      <c r="Q64" s="112">
        <v>4.63</v>
      </c>
    </row>
    <row r="65" spans="1:17" customFormat="1">
      <c r="A65" s="80">
        <v>45559.59375</v>
      </c>
      <c r="B65" s="112">
        <v>9.3000000000000007</v>
      </c>
      <c r="C65" s="112">
        <v>4.05</v>
      </c>
      <c r="D65" s="112">
        <v>14.02</v>
      </c>
      <c r="E65" s="112">
        <v>11.16</v>
      </c>
      <c r="F65" s="112">
        <v>4.13</v>
      </c>
      <c r="G65" s="112">
        <v>112.84</v>
      </c>
      <c r="H65" s="112">
        <v>31.94</v>
      </c>
      <c r="I65" s="112">
        <v>6.98</v>
      </c>
      <c r="J65" s="112">
        <v>0.14000000000000001</v>
      </c>
      <c r="K65" s="112">
        <v>167.04</v>
      </c>
      <c r="L65" s="112">
        <v>30.92</v>
      </c>
      <c r="M65" s="112">
        <v>68.95</v>
      </c>
      <c r="N65" s="112">
        <v>165.5</v>
      </c>
      <c r="O65" s="112">
        <v>0</v>
      </c>
      <c r="P65" s="112">
        <v>0.57999999999999996</v>
      </c>
      <c r="Q65" s="112">
        <v>4.6399999999999997</v>
      </c>
    </row>
    <row r="66" spans="1:17" customFormat="1">
      <c r="A66" s="80">
        <v>45559.604166666664</v>
      </c>
      <c r="B66" s="112">
        <v>9.3000000000000007</v>
      </c>
      <c r="C66" s="112">
        <v>4.0599999999999996</v>
      </c>
      <c r="D66" s="112">
        <v>14.03</v>
      </c>
      <c r="E66" s="112">
        <v>11.19</v>
      </c>
      <c r="F66" s="112">
        <v>4.17</v>
      </c>
      <c r="G66" s="112">
        <v>112.5</v>
      </c>
      <c r="H66" s="112">
        <v>31.34</v>
      </c>
      <c r="I66" s="112">
        <v>7.02</v>
      </c>
      <c r="J66" s="112">
        <v>0.3</v>
      </c>
      <c r="K66" s="112">
        <v>80.86</v>
      </c>
      <c r="L66" s="112">
        <v>30.24</v>
      </c>
      <c r="M66" s="112">
        <v>73.38</v>
      </c>
      <c r="N66" s="112">
        <v>104.1</v>
      </c>
      <c r="O66" s="112">
        <v>0</v>
      </c>
      <c r="P66" s="112">
        <v>0.61</v>
      </c>
      <c r="Q66" s="112">
        <v>4.63</v>
      </c>
    </row>
    <row r="67" spans="1:17" customFormat="1">
      <c r="A67" s="80">
        <v>45559.614583333336</v>
      </c>
      <c r="B67" s="112">
        <v>9.2799999999999994</v>
      </c>
      <c r="C67" s="112">
        <v>4.08</v>
      </c>
      <c r="D67" s="112">
        <v>14.02</v>
      </c>
      <c r="E67" s="112">
        <v>11.34</v>
      </c>
      <c r="F67" s="112">
        <v>3.98</v>
      </c>
      <c r="G67" s="112">
        <v>109.04</v>
      </c>
      <c r="H67" s="112">
        <v>26.93</v>
      </c>
      <c r="I67" s="112">
        <v>7.01</v>
      </c>
      <c r="J67" s="112">
        <v>0.17</v>
      </c>
      <c r="K67" s="112">
        <v>168.19</v>
      </c>
      <c r="L67" s="112">
        <v>30.18</v>
      </c>
      <c r="M67" s="112">
        <v>74.87</v>
      </c>
      <c r="N67" s="112">
        <v>133.19999999999999</v>
      </c>
      <c r="O67" s="112">
        <v>0</v>
      </c>
      <c r="P67" s="112">
        <v>0.61</v>
      </c>
      <c r="Q67" s="112">
        <v>4.63</v>
      </c>
    </row>
    <row r="68" spans="1:17" customFormat="1">
      <c r="A68" s="80">
        <v>45559.625</v>
      </c>
      <c r="B68" s="112">
        <v>9.2799999999999994</v>
      </c>
      <c r="C68" s="112">
        <v>4.09</v>
      </c>
      <c r="D68" s="112">
        <v>14.03</v>
      </c>
      <c r="E68" s="112">
        <v>11.08</v>
      </c>
      <c r="F68" s="112">
        <v>5.42</v>
      </c>
      <c r="G68" s="112">
        <v>109.04</v>
      </c>
      <c r="H68" s="112">
        <v>26.93</v>
      </c>
      <c r="I68" s="112">
        <v>7</v>
      </c>
      <c r="J68" s="112">
        <v>0.17</v>
      </c>
      <c r="K68" s="112">
        <v>189.62</v>
      </c>
      <c r="L68" s="112">
        <v>29.94</v>
      </c>
      <c r="M68" s="112">
        <v>74.94</v>
      </c>
      <c r="N68" s="112">
        <v>107.4</v>
      </c>
      <c r="O68" s="112">
        <v>0</v>
      </c>
      <c r="P68" s="112">
        <v>0.61</v>
      </c>
      <c r="Q68" s="112">
        <v>4.6100000000000003</v>
      </c>
    </row>
    <row r="69" spans="1:17" customFormat="1">
      <c r="A69" s="80">
        <v>45559.635416666664</v>
      </c>
      <c r="B69" s="112">
        <v>9.31</v>
      </c>
      <c r="C69" s="112">
        <v>4.07</v>
      </c>
      <c r="D69" s="112">
        <v>14.05</v>
      </c>
      <c r="E69" s="112">
        <v>13.5</v>
      </c>
      <c r="F69" s="112">
        <v>9.2799999999999994</v>
      </c>
      <c r="G69" s="112">
        <v>109.04</v>
      </c>
      <c r="H69" s="112">
        <v>26.93</v>
      </c>
      <c r="I69" s="112">
        <v>6.98</v>
      </c>
      <c r="J69" s="112">
        <v>0.12</v>
      </c>
      <c r="K69" s="112">
        <v>148.75</v>
      </c>
      <c r="L69" s="112">
        <v>30.27</v>
      </c>
      <c r="M69" s="112">
        <v>73.790000000000006</v>
      </c>
      <c r="N69" s="112">
        <v>82.3</v>
      </c>
      <c r="O69" s="112">
        <v>0</v>
      </c>
      <c r="P69" s="112">
        <v>0.56000000000000005</v>
      </c>
      <c r="Q69" s="112">
        <v>4.6399999999999997</v>
      </c>
    </row>
    <row r="70" spans="1:17" customFormat="1">
      <c r="A70" s="80">
        <v>45559.645833333336</v>
      </c>
      <c r="B70" s="112">
        <v>9.4499999999999993</v>
      </c>
      <c r="C70" s="112">
        <v>4.08</v>
      </c>
      <c r="D70" s="112">
        <v>14.16</v>
      </c>
      <c r="E70" s="112">
        <v>13.2</v>
      </c>
      <c r="F70" s="112">
        <v>9.86</v>
      </c>
      <c r="G70" s="112">
        <v>107.55</v>
      </c>
      <c r="H70" s="112">
        <v>27.36</v>
      </c>
      <c r="I70" s="112">
        <v>6.88</v>
      </c>
      <c r="J70" s="112">
        <v>0.14000000000000001</v>
      </c>
      <c r="K70" s="112">
        <v>174.68</v>
      </c>
      <c r="L70" s="112">
        <v>30.32</v>
      </c>
      <c r="M70" s="112">
        <v>74.290000000000006</v>
      </c>
      <c r="N70" s="112">
        <v>166.1</v>
      </c>
      <c r="O70" s="112">
        <v>0</v>
      </c>
      <c r="P70" s="112">
        <v>0.5</v>
      </c>
      <c r="Q70" s="112">
        <v>4.6900000000000004</v>
      </c>
    </row>
    <row r="71" spans="1:17" customFormat="1">
      <c r="A71" s="80">
        <v>45559.65625</v>
      </c>
      <c r="B71" s="112">
        <v>9.4499999999999993</v>
      </c>
      <c r="C71" s="112">
        <v>4.0999999999999996</v>
      </c>
      <c r="D71" s="112">
        <v>14.17</v>
      </c>
      <c r="E71" s="112">
        <v>13.62</v>
      </c>
      <c r="F71" s="112">
        <v>11.42</v>
      </c>
      <c r="G71" s="112">
        <v>92.34</v>
      </c>
      <c r="H71" s="112">
        <v>30.55</v>
      </c>
      <c r="I71" s="112">
        <v>6.4</v>
      </c>
      <c r="J71" s="112">
        <v>0.34</v>
      </c>
      <c r="K71" s="112">
        <v>178.53</v>
      </c>
      <c r="L71" s="112">
        <v>30.69</v>
      </c>
      <c r="M71" s="112">
        <v>72.88</v>
      </c>
      <c r="N71" s="112">
        <v>165.9</v>
      </c>
      <c r="O71" s="112">
        <v>0</v>
      </c>
      <c r="P71" s="112">
        <v>0.47</v>
      </c>
      <c r="Q71" s="112">
        <v>4.67</v>
      </c>
    </row>
    <row r="72" spans="1:17" customFormat="1">
      <c r="A72" s="80">
        <v>45559.666666666664</v>
      </c>
      <c r="B72" s="112">
        <v>9.31</v>
      </c>
      <c r="C72" s="112">
        <v>4.09</v>
      </c>
      <c r="D72" s="112">
        <v>14.05</v>
      </c>
      <c r="E72" s="112">
        <v>14.5</v>
      </c>
      <c r="F72" s="112">
        <v>13.23</v>
      </c>
      <c r="G72" s="112">
        <v>92.34</v>
      </c>
      <c r="H72" s="112">
        <v>30.55</v>
      </c>
      <c r="I72" s="112">
        <v>6.47</v>
      </c>
      <c r="J72" s="112">
        <v>0.28000000000000003</v>
      </c>
      <c r="K72" s="112">
        <v>165.54</v>
      </c>
      <c r="L72" s="112">
        <v>30.82</v>
      </c>
      <c r="M72" s="112">
        <v>72.680000000000007</v>
      </c>
      <c r="N72" s="112">
        <v>70.599999999999994</v>
      </c>
      <c r="O72" s="112">
        <v>0</v>
      </c>
      <c r="P72" s="112">
        <v>0.46</v>
      </c>
      <c r="Q72" s="112">
        <v>4.67</v>
      </c>
    </row>
    <row r="73" spans="1:17" customFormat="1">
      <c r="A73" s="80">
        <v>45559.677083333336</v>
      </c>
      <c r="B73" s="112">
        <v>9.31</v>
      </c>
      <c r="C73" s="112">
        <v>4.08</v>
      </c>
      <c r="D73" s="112">
        <v>14.04</v>
      </c>
      <c r="E73" s="112">
        <v>14.46</v>
      </c>
      <c r="F73" s="112">
        <v>11.85</v>
      </c>
      <c r="G73" s="112">
        <v>92.34</v>
      </c>
      <c r="H73" s="112">
        <v>30.55</v>
      </c>
      <c r="I73" s="112">
        <v>6.3</v>
      </c>
      <c r="J73" s="112">
        <v>0.16</v>
      </c>
      <c r="K73" s="112">
        <v>163.46</v>
      </c>
      <c r="L73" s="112">
        <v>30.44</v>
      </c>
      <c r="M73" s="112">
        <v>74.290000000000006</v>
      </c>
      <c r="N73" s="112">
        <v>53.2</v>
      </c>
      <c r="O73" s="112">
        <v>0</v>
      </c>
      <c r="P73" s="112">
        <v>0.46</v>
      </c>
      <c r="Q73" s="112">
        <v>4.68</v>
      </c>
    </row>
    <row r="74" spans="1:17" customFormat="1">
      <c r="A74" s="80">
        <v>45559.6875</v>
      </c>
      <c r="B74" s="112">
        <v>9.33</v>
      </c>
      <c r="C74" s="112">
        <v>4.0599999999999996</v>
      </c>
      <c r="D74" s="112">
        <v>14.06</v>
      </c>
      <c r="E74" s="112">
        <v>15.01</v>
      </c>
      <c r="F74" s="112">
        <v>17.95</v>
      </c>
      <c r="G74" s="112">
        <v>91.87</v>
      </c>
      <c r="H74" s="112">
        <v>30.32</v>
      </c>
      <c r="I74" s="112">
        <v>6.19</v>
      </c>
      <c r="J74" s="112">
        <v>0.2</v>
      </c>
      <c r="K74" s="112">
        <v>149.41</v>
      </c>
      <c r="L74" s="112">
        <v>30.24</v>
      </c>
      <c r="M74" s="112">
        <v>78.599999999999994</v>
      </c>
      <c r="N74" s="112">
        <v>42.2</v>
      </c>
      <c r="O74" s="112">
        <v>0</v>
      </c>
      <c r="P74" s="112">
        <v>0.45</v>
      </c>
      <c r="Q74" s="112">
        <v>4.67</v>
      </c>
    </row>
    <row r="75" spans="1:17" customFormat="1">
      <c r="A75" s="80">
        <v>45559.697916666664</v>
      </c>
      <c r="B75" s="112">
        <v>9.34</v>
      </c>
      <c r="C75" s="112">
        <v>4.05</v>
      </c>
      <c r="D75" s="112">
        <v>14.06</v>
      </c>
      <c r="E75" s="112">
        <v>15.92</v>
      </c>
      <c r="F75" s="112">
        <v>11.66</v>
      </c>
      <c r="G75" s="112">
        <v>87.59</v>
      </c>
      <c r="H75" s="112">
        <v>28.64</v>
      </c>
      <c r="I75" s="112">
        <v>6.16</v>
      </c>
      <c r="J75" s="112">
        <v>0.27</v>
      </c>
      <c r="K75" s="112">
        <v>79.58</v>
      </c>
      <c r="L75" s="112">
        <v>29.92</v>
      </c>
      <c r="M75" s="112">
        <v>78.17</v>
      </c>
      <c r="N75" s="112">
        <v>26.8</v>
      </c>
      <c r="O75" s="112">
        <v>0</v>
      </c>
      <c r="P75" s="112">
        <v>0.49</v>
      </c>
      <c r="Q75" s="112">
        <v>4.66</v>
      </c>
    </row>
    <row r="76" spans="1:17" customFormat="1">
      <c r="A76" s="80">
        <v>45559.708333333336</v>
      </c>
      <c r="B76" s="112">
        <v>9.32</v>
      </c>
      <c r="C76" s="112">
        <v>4.07</v>
      </c>
      <c r="D76" s="112">
        <v>14.05</v>
      </c>
      <c r="E76" s="112">
        <v>15.34</v>
      </c>
      <c r="F76" s="112">
        <v>8.8800000000000008</v>
      </c>
      <c r="G76" s="112">
        <v>87.59</v>
      </c>
      <c r="H76" s="112">
        <v>28.64</v>
      </c>
      <c r="I76" s="112">
        <v>5.91</v>
      </c>
      <c r="J76" s="112">
        <v>0.08</v>
      </c>
      <c r="K76" s="112">
        <v>70.67</v>
      </c>
      <c r="L76" s="112">
        <v>29.6</v>
      </c>
      <c r="M76" s="112">
        <v>79.7</v>
      </c>
      <c r="N76" s="112">
        <v>21.4</v>
      </c>
      <c r="O76" s="112">
        <v>0</v>
      </c>
      <c r="P76" s="112">
        <v>0.49</v>
      </c>
      <c r="Q76" s="112">
        <v>4.6500000000000004</v>
      </c>
    </row>
    <row r="77" spans="1:17" customFormat="1">
      <c r="A77" s="80">
        <v>45559.71875</v>
      </c>
      <c r="B77" s="112">
        <v>9.3000000000000007</v>
      </c>
      <c r="C77" s="112">
        <v>4.09</v>
      </c>
      <c r="D77" s="112">
        <v>14.05</v>
      </c>
      <c r="E77" s="112">
        <v>14.84</v>
      </c>
      <c r="F77" s="112">
        <v>10.8</v>
      </c>
      <c r="G77" s="112">
        <v>87.59</v>
      </c>
      <c r="H77" s="112">
        <v>28.64</v>
      </c>
      <c r="I77" s="112">
        <v>5.99</v>
      </c>
      <c r="J77" s="112">
        <v>0.21</v>
      </c>
      <c r="K77" s="112">
        <v>154.63999999999999</v>
      </c>
      <c r="L77" s="112">
        <v>29.5</v>
      </c>
      <c r="M77" s="112">
        <v>80.819999999999993</v>
      </c>
      <c r="N77" s="112">
        <v>12.2</v>
      </c>
      <c r="O77" s="112">
        <v>0</v>
      </c>
      <c r="P77" s="112">
        <v>0.48</v>
      </c>
      <c r="Q77" s="112">
        <v>4.67</v>
      </c>
    </row>
    <row r="78" spans="1:17" customFormat="1">
      <c r="A78" s="80">
        <v>45559.729166666664</v>
      </c>
      <c r="B78" s="112">
        <v>9.3000000000000007</v>
      </c>
      <c r="C78" s="112">
        <v>4.09</v>
      </c>
      <c r="D78" s="112">
        <v>14.04</v>
      </c>
      <c r="E78" s="112">
        <v>14.87</v>
      </c>
      <c r="F78" s="112">
        <v>11.32</v>
      </c>
      <c r="G78" s="112">
        <v>87.83</v>
      </c>
      <c r="H78" s="112">
        <v>29.15</v>
      </c>
      <c r="I78" s="112">
        <v>6.09</v>
      </c>
      <c r="J78" s="112">
        <v>0.24</v>
      </c>
      <c r="K78" s="112">
        <v>81.99</v>
      </c>
      <c r="L78" s="112">
        <v>29.3</v>
      </c>
      <c r="M78" s="112">
        <v>80.31</v>
      </c>
      <c r="N78" s="112">
        <v>7</v>
      </c>
      <c r="O78" s="112">
        <v>0</v>
      </c>
      <c r="P78" s="112">
        <v>0.52</v>
      </c>
      <c r="Q78" s="112">
        <v>4.67</v>
      </c>
    </row>
    <row r="79" spans="1:17" customFormat="1">
      <c r="A79" s="80">
        <v>45559.739583333336</v>
      </c>
      <c r="B79" s="112">
        <v>9.31</v>
      </c>
      <c r="C79" s="112">
        <v>4.05</v>
      </c>
      <c r="D79" s="112">
        <v>14.03</v>
      </c>
      <c r="E79" s="112">
        <v>14.6</v>
      </c>
      <c r="F79" s="112">
        <v>10.41</v>
      </c>
      <c r="G79" s="112">
        <v>90.05</v>
      </c>
      <c r="H79" s="112">
        <v>33.4</v>
      </c>
      <c r="I79" s="112">
        <v>5.99</v>
      </c>
      <c r="J79" s="112">
        <v>0.23</v>
      </c>
      <c r="K79" s="112">
        <v>170.92</v>
      </c>
      <c r="L79" s="112">
        <v>29.06</v>
      </c>
      <c r="M79" s="112">
        <v>83.67</v>
      </c>
      <c r="N79" s="112">
        <v>3.9</v>
      </c>
      <c r="O79" s="112">
        <v>0</v>
      </c>
      <c r="P79" s="112">
        <v>0.5</v>
      </c>
      <c r="Q79" s="112">
        <v>4.67</v>
      </c>
    </row>
    <row r="80" spans="1:17" customFormat="1">
      <c r="A80" s="80">
        <v>45559.75</v>
      </c>
      <c r="B80" s="112">
        <v>9.3000000000000007</v>
      </c>
      <c r="C80" s="112">
        <v>4.07</v>
      </c>
      <c r="D80" s="112">
        <v>14.03</v>
      </c>
      <c r="E80" s="112">
        <v>14.29</v>
      </c>
      <c r="F80" s="112">
        <v>9.66</v>
      </c>
      <c r="G80" s="112">
        <v>90.05</v>
      </c>
      <c r="H80" s="112">
        <v>33.4</v>
      </c>
      <c r="I80" s="112">
        <v>5.98</v>
      </c>
      <c r="J80" s="112">
        <v>0.09</v>
      </c>
      <c r="K80" s="112">
        <v>139.63999999999999</v>
      </c>
      <c r="L80" s="112">
        <v>28.86</v>
      </c>
      <c r="M80" s="112">
        <v>83.38</v>
      </c>
      <c r="N80" s="112">
        <v>2.7</v>
      </c>
      <c r="O80" s="112">
        <v>0</v>
      </c>
      <c r="P80" s="112">
        <v>0.5</v>
      </c>
      <c r="Q80" s="112">
        <v>4.67</v>
      </c>
    </row>
    <row r="81" spans="1:17" customFormat="1">
      <c r="A81" s="80">
        <v>45559.760416666664</v>
      </c>
      <c r="B81" s="112">
        <v>9.31</v>
      </c>
      <c r="C81" s="112">
        <v>4.0599999999999996</v>
      </c>
      <c r="D81" s="112">
        <v>14.04</v>
      </c>
      <c r="E81" s="112">
        <v>11.02</v>
      </c>
      <c r="F81" s="112">
        <v>8.75</v>
      </c>
      <c r="G81" s="112">
        <v>90.05</v>
      </c>
      <c r="H81" s="112">
        <v>33.4</v>
      </c>
      <c r="I81" s="112">
        <v>5.97</v>
      </c>
      <c r="J81" s="112">
        <v>0.24</v>
      </c>
      <c r="K81" s="112">
        <v>82.32</v>
      </c>
      <c r="L81" s="112">
        <v>28.93</v>
      </c>
      <c r="M81" s="112">
        <v>81.23</v>
      </c>
      <c r="N81" s="112">
        <v>2.2999999999999998</v>
      </c>
      <c r="O81" s="112">
        <v>0</v>
      </c>
      <c r="P81" s="112">
        <v>0.56999999999999995</v>
      </c>
      <c r="Q81" s="112">
        <v>4.67</v>
      </c>
    </row>
    <row r="82" spans="1:17" customFormat="1">
      <c r="A82" s="80">
        <v>45559.770833333336</v>
      </c>
      <c r="B82" s="112">
        <v>9.33</v>
      </c>
      <c r="C82" s="112">
        <v>4.05</v>
      </c>
      <c r="D82" s="112">
        <v>14.05</v>
      </c>
      <c r="E82" s="112">
        <v>12.84</v>
      </c>
      <c r="F82" s="112">
        <v>7.08</v>
      </c>
      <c r="G82" s="112">
        <v>90.64</v>
      </c>
      <c r="H82" s="112">
        <v>33.06</v>
      </c>
      <c r="I82" s="112">
        <v>5.99</v>
      </c>
      <c r="J82" s="112">
        <v>0.27</v>
      </c>
      <c r="K82" s="112">
        <v>63.29</v>
      </c>
      <c r="L82" s="112">
        <v>29</v>
      </c>
      <c r="M82" s="112">
        <v>80.44</v>
      </c>
      <c r="N82" s="112">
        <v>2.2000000000000002</v>
      </c>
      <c r="O82" s="112">
        <v>0</v>
      </c>
      <c r="P82" s="112">
        <v>0.57999999999999996</v>
      </c>
      <c r="Q82" s="112">
        <v>4.67</v>
      </c>
    </row>
    <row r="83" spans="1:17" customFormat="1">
      <c r="A83" s="80">
        <v>45559.78125</v>
      </c>
      <c r="B83" s="112">
        <v>9.34</v>
      </c>
      <c r="C83" s="112">
        <v>4.05</v>
      </c>
      <c r="D83" s="112">
        <v>14.06</v>
      </c>
      <c r="E83" s="112">
        <v>13</v>
      </c>
      <c r="F83" s="112">
        <v>8.66</v>
      </c>
      <c r="G83" s="112">
        <v>96.68</v>
      </c>
      <c r="H83" s="112">
        <v>30.14</v>
      </c>
      <c r="I83" s="112">
        <v>6.3</v>
      </c>
      <c r="J83" s="112">
        <v>0.14000000000000001</v>
      </c>
      <c r="K83" s="112">
        <v>129.26</v>
      </c>
      <c r="L83" s="112">
        <v>28.93</v>
      </c>
      <c r="M83" s="112">
        <v>82.2</v>
      </c>
      <c r="N83" s="112">
        <v>2.5</v>
      </c>
      <c r="O83" s="112">
        <v>0</v>
      </c>
      <c r="P83" s="112">
        <v>0.54</v>
      </c>
      <c r="Q83" s="112">
        <v>4.6500000000000004</v>
      </c>
    </row>
    <row r="84" spans="1:17" customFormat="1">
      <c r="A84" s="80">
        <v>45559.791666666664</v>
      </c>
      <c r="B84" s="112">
        <v>9.34</v>
      </c>
      <c r="C84" s="112">
        <v>4.0599999999999996</v>
      </c>
      <c r="D84" s="112">
        <v>14.06</v>
      </c>
      <c r="E84" s="112">
        <v>12.89</v>
      </c>
      <c r="F84" s="112">
        <v>6.67</v>
      </c>
      <c r="G84" s="112">
        <v>96.68</v>
      </c>
      <c r="H84" s="112">
        <v>30.14</v>
      </c>
      <c r="I84" s="112">
        <v>6.48</v>
      </c>
      <c r="J84" s="112">
        <v>0.15</v>
      </c>
      <c r="K84" s="112">
        <v>71.78</v>
      </c>
      <c r="L84" s="112">
        <v>28.75</v>
      </c>
      <c r="M84" s="112">
        <v>82.56</v>
      </c>
      <c r="N84" s="112">
        <v>2.5</v>
      </c>
      <c r="O84" s="112">
        <v>0</v>
      </c>
      <c r="P84" s="112">
        <v>0.56000000000000005</v>
      </c>
      <c r="Q84" s="112">
        <v>4.6500000000000004</v>
      </c>
    </row>
    <row r="85" spans="1:17" customFormat="1">
      <c r="A85" s="80">
        <v>45559.802083333336</v>
      </c>
      <c r="B85" s="112">
        <v>9.32</v>
      </c>
      <c r="C85" s="112">
        <v>4.09</v>
      </c>
      <c r="D85" s="112">
        <v>14.06</v>
      </c>
      <c r="E85" s="112">
        <v>13.11</v>
      </c>
      <c r="F85" s="112">
        <v>7.49</v>
      </c>
      <c r="G85" s="112">
        <v>96.68</v>
      </c>
      <c r="H85" s="112">
        <v>30.14</v>
      </c>
      <c r="I85" s="112">
        <v>6.38</v>
      </c>
      <c r="J85" s="112">
        <v>1.32</v>
      </c>
      <c r="K85" s="112">
        <v>55.57</v>
      </c>
      <c r="L85" s="112">
        <v>28.1</v>
      </c>
      <c r="M85" s="112">
        <v>82.92</v>
      </c>
      <c r="N85" s="112">
        <v>3.7</v>
      </c>
      <c r="O85" s="112">
        <v>0</v>
      </c>
      <c r="P85" s="112">
        <v>0.56999999999999995</v>
      </c>
      <c r="Q85" s="112">
        <v>4.66</v>
      </c>
    </row>
    <row r="86" spans="1:17" customFormat="1">
      <c r="A86" s="80">
        <v>45559.8125</v>
      </c>
      <c r="B86" s="112">
        <v>9.31</v>
      </c>
      <c r="C86" s="112">
        <v>4.07</v>
      </c>
      <c r="D86" s="112">
        <v>14.05</v>
      </c>
      <c r="E86" s="112">
        <v>12.15</v>
      </c>
      <c r="F86" s="112">
        <v>6.62</v>
      </c>
      <c r="G86" s="112">
        <v>96.41</v>
      </c>
      <c r="H86" s="112">
        <v>29.91</v>
      </c>
      <c r="I86" s="112">
        <v>6.55</v>
      </c>
      <c r="J86" s="112">
        <v>1.02</v>
      </c>
      <c r="K86" s="112">
        <v>55.91</v>
      </c>
      <c r="L86" s="112">
        <v>27.03</v>
      </c>
      <c r="M86" s="112">
        <v>87.68</v>
      </c>
      <c r="N86" s="112">
        <v>3.7</v>
      </c>
      <c r="O86" s="112">
        <v>0</v>
      </c>
      <c r="P86" s="112">
        <v>0.53</v>
      </c>
      <c r="Q86" s="112">
        <v>4.6500000000000004</v>
      </c>
    </row>
    <row r="87" spans="1:17" customFormat="1">
      <c r="A87" s="80">
        <v>45559.822916666664</v>
      </c>
      <c r="B87" s="112">
        <v>9.31</v>
      </c>
      <c r="C87" s="112">
        <v>4.08</v>
      </c>
      <c r="D87" s="112">
        <v>14.04</v>
      </c>
      <c r="E87" s="112">
        <v>12.15</v>
      </c>
      <c r="F87" s="112">
        <v>5.96</v>
      </c>
      <c r="G87" s="112">
        <v>93.94</v>
      </c>
      <c r="H87" s="112">
        <v>28.2</v>
      </c>
      <c r="I87" s="112">
        <v>6.63</v>
      </c>
      <c r="J87" s="112">
        <v>0.54</v>
      </c>
      <c r="K87" s="112">
        <v>60.28</v>
      </c>
      <c r="L87" s="112">
        <v>26.1</v>
      </c>
      <c r="M87" s="112">
        <v>95.18</v>
      </c>
      <c r="N87" s="112">
        <v>4.5999999999999996</v>
      </c>
      <c r="O87" s="112">
        <v>0.8</v>
      </c>
      <c r="P87" s="112">
        <v>0.53</v>
      </c>
      <c r="Q87" s="112">
        <v>4.67</v>
      </c>
    </row>
    <row r="88" spans="1:17" customFormat="1">
      <c r="A88" s="80">
        <v>45559.833333333336</v>
      </c>
      <c r="B88" s="112">
        <v>9.31</v>
      </c>
      <c r="C88" s="112">
        <v>4.0599999999999996</v>
      </c>
      <c r="D88" s="112">
        <v>14.03</v>
      </c>
      <c r="E88" s="112">
        <v>11.81</v>
      </c>
      <c r="F88" s="112">
        <v>5.67</v>
      </c>
      <c r="G88" s="112">
        <v>93.94</v>
      </c>
      <c r="H88" s="112">
        <v>28.2</v>
      </c>
      <c r="I88" s="112">
        <v>6.37</v>
      </c>
      <c r="J88" s="112">
        <v>0.43</v>
      </c>
      <c r="K88" s="112">
        <v>61.43</v>
      </c>
      <c r="L88" s="112">
        <v>25.62</v>
      </c>
      <c r="M88" s="112">
        <v>97.2</v>
      </c>
      <c r="N88" s="112">
        <v>2.6</v>
      </c>
      <c r="O88" s="112">
        <v>0</v>
      </c>
      <c r="P88" s="112">
        <v>0.52</v>
      </c>
      <c r="Q88" s="112">
        <v>4.6500000000000004</v>
      </c>
    </row>
    <row r="89" spans="1:17" customFormat="1">
      <c r="A89" s="80">
        <v>45559.84375</v>
      </c>
      <c r="B89" s="112">
        <v>9.2899999999999991</v>
      </c>
      <c r="C89" s="112">
        <v>4.08</v>
      </c>
      <c r="D89" s="112">
        <v>14.03</v>
      </c>
      <c r="E89" s="112">
        <v>11.58</v>
      </c>
      <c r="F89" s="112">
        <v>4.6100000000000003</v>
      </c>
      <c r="G89" s="112">
        <v>93.94</v>
      </c>
      <c r="H89" s="112">
        <v>28.2</v>
      </c>
      <c r="I89" s="112">
        <v>6.38</v>
      </c>
      <c r="J89" s="112">
        <v>0.16</v>
      </c>
      <c r="K89" s="112">
        <v>152.33000000000001</v>
      </c>
      <c r="L89" s="112">
        <v>25.73</v>
      </c>
      <c r="M89" s="112">
        <v>99.64</v>
      </c>
      <c r="N89" s="112">
        <v>2.1</v>
      </c>
      <c r="O89" s="112">
        <v>0</v>
      </c>
      <c r="P89" s="112">
        <v>0.53</v>
      </c>
      <c r="Q89" s="112">
        <v>4.6399999999999997</v>
      </c>
    </row>
    <row r="90" spans="1:17" customFormat="1">
      <c r="A90" s="80">
        <v>45559.854166666664</v>
      </c>
      <c r="B90" s="112">
        <v>9.3000000000000007</v>
      </c>
      <c r="C90" s="112">
        <v>4.07</v>
      </c>
      <c r="D90" s="112">
        <v>14.03</v>
      </c>
      <c r="E90" s="112">
        <v>11.42</v>
      </c>
      <c r="F90" s="112">
        <v>4.8</v>
      </c>
      <c r="G90" s="112">
        <v>91.58</v>
      </c>
      <c r="H90" s="112">
        <v>27.58</v>
      </c>
      <c r="I90" s="112">
        <v>6.29</v>
      </c>
      <c r="J90" s="112">
        <v>0.11</v>
      </c>
      <c r="K90" s="112">
        <v>110.92</v>
      </c>
      <c r="L90" s="112">
        <v>25.76</v>
      </c>
      <c r="M90" s="112">
        <v>100.41</v>
      </c>
      <c r="N90" s="112">
        <v>2.2000000000000002</v>
      </c>
      <c r="O90" s="112">
        <v>0</v>
      </c>
      <c r="P90" s="112">
        <v>0.54</v>
      </c>
      <c r="Q90" s="112">
        <v>4.6399999999999997</v>
      </c>
    </row>
    <row r="91" spans="1:17" customFormat="1">
      <c r="A91" s="80">
        <v>45559.864583333336</v>
      </c>
      <c r="B91" s="112">
        <v>9.2799999999999994</v>
      </c>
      <c r="C91" s="112">
        <v>4.0599999999999996</v>
      </c>
      <c r="D91" s="112">
        <v>14.02</v>
      </c>
      <c r="E91" s="112">
        <v>10.16</v>
      </c>
      <c r="F91" s="112">
        <v>5.47</v>
      </c>
      <c r="G91" s="112">
        <v>70.319999999999993</v>
      </c>
      <c r="H91" s="112">
        <v>23.03</v>
      </c>
      <c r="I91" s="112">
        <v>6.37</v>
      </c>
      <c r="J91" s="112">
        <v>0.34</v>
      </c>
      <c r="K91" s="112">
        <v>67.56</v>
      </c>
      <c r="L91" s="112">
        <v>25.78</v>
      </c>
      <c r="M91" s="112">
        <v>102.57</v>
      </c>
      <c r="N91" s="112">
        <v>2.6</v>
      </c>
      <c r="O91" s="112">
        <v>0</v>
      </c>
      <c r="P91" s="112">
        <v>0.54</v>
      </c>
      <c r="Q91" s="112">
        <v>4.66</v>
      </c>
    </row>
    <row r="92" spans="1:17" customFormat="1">
      <c r="A92" s="80">
        <v>45559.875</v>
      </c>
      <c r="B92" s="112">
        <v>9.27</v>
      </c>
      <c r="C92" s="112">
        <v>4.0999999999999996</v>
      </c>
      <c r="D92" s="112">
        <v>14.03</v>
      </c>
      <c r="E92" s="112">
        <v>10.37</v>
      </c>
      <c r="F92" s="112">
        <v>5.08</v>
      </c>
      <c r="G92" s="112">
        <v>70.319999999999993</v>
      </c>
      <c r="H92" s="112">
        <v>23.03</v>
      </c>
      <c r="I92" s="112">
        <v>6.1</v>
      </c>
      <c r="J92" s="112">
        <v>0.51</v>
      </c>
      <c r="K92" s="112">
        <v>60.05</v>
      </c>
      <c r="L92" s="112">
        <v>25.81</v>
      </c>
      <c r="M92" s="112">
        <v>100.65</v>
      </c>
      <c r="N92" s="112">
        <v>2.8</v>
      </c>
      <c r="O92" s="112">
        <v>0</v>
      </c>
      <c r="P92" s="112">
        <v>0.53</v>
      </c>
      <c r="Q92" s="112">
        <v>4.6500000000000004</v>
      </c>
    </row>
    <row r="93" spans="1:17" customFormat="1">
      <c r="A93" s="80">
        <v>45559.885416666664</v>
      </c>
      <c r="B93" s="112">
        <v>9.27</v>
      </c>
      <c r="C93" s="112">
        <v>4.08</v>
      </c>
      <c r="D93" s="112">
        <v>14.02</v>
      </c>
      <c r="E93" s="112">
        <v>10.220000000000001</v>
      </c>
      <c r="F93" s="112">
        <v>4.76</v>
      </c>
      <c r="G93" s="112">
        <v>70.319999999999993</v>
      </c>
      <c r="H93" s="112">
        <v>23.03</v>
      </c>
      <c r="I93" s="112">
        <v>6.26</v>
      </c>
      <c r="J93" s="112">
        <v>0.27</v>
      </c>
      <c r="K93" s="112">
        <v>63.2</v>
      </c>
      <c r="L93" s="112">
        <v>25.78</v>
      </c>
      <c r="M93" s="112">
        <v>101.82</v>
      </c>
      <c r="N93" s="112">
        <v>3</v>
      </c>
      <c r="O93" s="112">
        <v>0</v>
      </c>
      <c r="P93" s="112">
        <v>0.53</v>
      </c>
      <c r="Q93" s="112">
        <v>4.6500000000000004</v>
      </c>
    </row>
    <row r="94" spans="1:17" customFormat="1">
      <c r="A94" s="80">
        <v>45559.895833333336</v>
      </c>
      <c r="B94" s="112">
        <v>9.2899999999999991</v>
      </c>
      <c r="C94" s="112">
        <v>4.08</v>
      </c>
      <c r="D94" s="112">
        <v>14.04</v>
      </c>
      <c r="E94" s="112">
        <v>9.82</v>
      </c>
      <c r="F94" s="112">
        <v>4.47</v>
      </c>
      <c r="G94" s="112">
        <v>70.25</v>
      </c>
      <c r="H94" s="112">
        <v>22.62</v>
      </c>
      <c r="I94" s="112">
        <v>6.01</v>
      </c>
      <c r="J94" s="112">
        <v>0.21</v>
      </c>
      <c r="K94" s="112">
        <v>79.790000000000006</v>
      </c>
      <c r="L94" s="112">
        <v>25.7</v>
      </c>
      <c r="M94" s="112">
        <v>99.14</v>
      </c>
      <c r="N94" s="112">
        <v>2.6</v>
      </c>
      <c r="O94" s="112">
        <v>0</v>
      </c>
      <c r="P94" s="112">
        <v>0.53</v>
      </c>
      <c r="Q94" s="112">
        <v>4.66</v>
      </c>
    </row>
    <row r="95" spans="1:17" customFormat="1">
      <c r="A95" s="80">
        <v>45559.90625</v>
      </c>
      <c r="B95" s="112">
        <v>9.2899999999999991</v>
      </c>
      <c r="C95" s="112">
        <v>4.09</v>
      </c>
      <c r="D95" s="112">
        <v>14.04</v>
      </c>
      <c r="E95" s="112">
        <v>9.51</v>
      </c>
      <c r="F95" s="112">
        <v>4.6100000000000003</v>
      </c>
      <c r="G95" s="112">
        <v>69.56</v>
      </c>
      <c r="H95" s="112">
        <v>19.600000000000001</v>
      </c>
      <c r="I95" s="112">
        <v>6.01</v>
      </c>
      <c r="J95" s="112">
        <v>0.14000000000000001</v>
      </c>
      <c r="K95" s="112">
        <v>153.91</v>
      </c>
      <c r="L95" s="112">
        <v>25.8</v>
      </c>
      <c r="M95" s="112">
        <v>100.4</v>
      </c>
      <c r="N95" s="112">
        <v>2.5</v>
      </c>
      <c r="O95" s="112">
        <v>0</v>
      </c>
      <c r="P95" s="112">
        <v>0.53</v>
      </c>
      <c r="Q95" s="112">
        <v>4.6500000000000004</v>
      </c>
    </row>
    <row r="96" spans="1:17" customFormat="1">
      <c r="A96" s="80">
        <v>45559.916666666664</v>
      </c>
      <c r="B96" s="112">
        <v>9.3000000000000007</v>
      </c>
      <c r="C96" s="112">
        <v>4.0999999999999996</v>
      </c>
      <c r="D96" s="112">
        <v>14.05</v>
      </c>
      <c r="E96" s="112">
        <v>10.220000000000001</v>
      </c>
      <c r="F96" s="112">
        <v>4.5999999999999996</v>
      </c>
      <c r="G96" s="112">
        <v>69.56</v>
      </c>
      <c r="H96" s="112">
        <v>19.600000000000001</v>
      </c>
      <c r="I96" s="112">
        <v>5.94</v>
      </c>
      <c r="J96" s="112">
        <v>0.11</v>
      </c>
      <c r="K96" s="112">
        <v>181.59</v>
      </c>
      <c r="L96" s="112">
        <v>25.65</v>
      </c>
      <c r="M96" s="112">
        <v>97.03</v>
      </c>
      <c r="N96" s="112">
        <v>2.6</v>
      </c>
      <c r="O96" s="112">
        <v>0</v>
      </c>
      <c r="P96" s="112">
        <v>0.51</v>
      </c>
      <c r="Q96" s="112">
        <v>4.66</v>
      </c>
    </row>
    <row r="97" spans="1:22" customFormat="1">
      <c r="A97" s="80">
        <v>45559.927083333336</v>
      </c>
      <c r="B97" s="112">
        <v>9.3000000000000007</v>
      </c>
      <c r="C97" s="112">
        <v>4.07</v>
      </c>
      <c r="D97" s="112">
        <v>14.04</v>
      </c>
      <c r="E97" s="112">
        <v>9.74</v>
      </c>
      <c r="F97" s="112">
        <v>4.4000000000000004</v>
      </c>
      <c r="G97" s="112">
        <v>69.56</v>
      </c>
      <c r="H97" s="112">
        <v>19.600000000000001</v>
      </c>
      <c r="I97" s="112">
        <v>5.94</v>
      </c>
      <c r="J97" s="112">
        <v>0.08</v>
      </c>
      <c r="K97" s="112">
        <v>103.82</v>
      </c>
      <c r="L97" s="112">
        <v>25.63</v>
      </c>
      <c r="M97" s="112">
        <v>97.23</v>
      </c>
      <c r="N97" s="112">
        <v>2.6</v>
      </c>
      <c r="O97" s="112">
        <v>0</v>
      </c>
      <c r="P97" s="112">
        <v>0.52</v>
      </c>
      <c r="Q97" s="112">
        <v>4.67</v>
      </c>
    </row>
    <row r="98" spans="1:22" customFormat="1">
      <c r="A98" s="80">
        <v>45559.9375</v>
      </c>
      <c r="B98" s="112">
        <v>9.2899999999999991</v>
      </c>
      <c r="C98" s="112">
        <v>4.0999999999999996</v>
      </c>
      <c r="D98" s="112">
        <v>14.04</v>
      </c>
      <c r="E98" s="112">
        <v>9.91</v>
      </c>
      <c r="F98" s="112">
        <v>4.6900000000000004</v>
      </c>
      <c r="G98" s="112">
        <v>68.38</v>
      </c>
      <c r="H98" s="112">
        <v>19.09</v>
      </c>
      <c r="I98" s="112">
        <v>5.87</v>
      </c>
      <c r="J98" s="112">
        <v>0.09</v>
      </c>
      <c r="K98" s="112">
        <v>135.62</v>
      </c>
      <c r="L98" s="112">
        <v>25.62</v>
      </c>
      <c r="M98" s="112">
        <v>96.76</v>
      </c>
      <c r="N98" s="112">
        <v>2.4</v>
      </c>
      <c r="O98" s="112">
        <v>0</v>
      </c>
      <c r="P98" s="112">
        <v>0.5</v>
      </c>
      <c r="Q98" s="112">
        <v>4.6500000000000004</v>
      </c>
    </row>
    <row r="99" spans="1:22" customFormat="1">
      <c r="A99" s="80">
        <v>45559.947916666664</v>
      </c>
      <c r="B99" s="112">
        <v>9.2899999999999991</v>
      </c>
      <c r="C99" s="112">
        <v>4.0999999999999996</v>
      </c>
      <c r="D99" s="112">
        <v>14.04</v>
      </c>
      <c r="E99" s="112">
        <v>9.3000000000000007</v>
      </c>
      <c r="F99" s="112">
        <v>4.96</v>
      </c>
      <c r="G99" s="112">
        <v>57.82</v>
      </c>
      <c r="H99" s="112">
        <v>15.3</v>
      </c>
      <c r="I99" s="112">
        <v>5.83</v>
      </c>
      <c r="J99" s="112">
        <v>0.09</v>
      </c>
      <c r="K99" s="112">
        <v>172.66</v>
      </c>
      <c r="L99" s="112">
        <v>25.54</v>
      </c>
      <c r="M99" s="112">
        <v>96.92</v>
      </c>
      <c r="N99" s="112">
        <v>2.5</v>
      </c>
      <c r="O99" s="112">
        <v>0</v>
      </c>
      <c r="P99" s="112">
        <v>0.5</v>
      </c>
      <c r="Q99" s="112">
        <v>4.6399999999999997</v>
      </c>
    </row>
    <row r="100" spans="1:22" customFormat="1">
      <c r="A100" s="80">
        <v>45559.958333333336</v>
      </c>
      <c r="B100" s="112">
        <v>9.2899999999999991</v>
      </c>
      <c r="C100" s="112">
        <v>4.09</v>
      </c>
      <c r="D100" s="112">
        <v>14.03</v>
      </c>
      <c r="E100" s="112">
        <v>9.15</v>
      </c>
      <c r="F100" s="112">
        <v>4.1399999999999997</v>
      </c>
      <c r="G100" s="112">
        <v>57.82</v>
      </c>
      <c r="H100" s="112">
        <v>15.3</v>
      </c>
      <c r="I100" s="112">
        <v>5.74</v>
      </c>
      <c r="J100" s="112">
        <v>0.12</v>
      </c>
      <c r="K100" s="112">
        <v>132.77000000000001</v>
      </c>
      <c r="L100" s="112">
        <v>25.73</v>
      </c>
      <c r="M100" s="112">
        <v>94.89</v>
      </c>
      <c r="N100" s="112">
        <v>2.8</v>
      </c>
      <c r="O100" s="112">
        <v>0</v>
      </c>
      <c r="P100" s="112">
        <v>0.49</v>
      </c>
      <c r="Q100" s="112">
        <v>4.6399999999999997</v>
      </c>
    </row>
    <row r="101" spans="1:22" customFormat="1">
      <c r="A101" s="80">
        <v>45559.96875</v>
      </c>
      <c r="B101" s="112">
        <v>9.2899999999999991</v>
      </c>
      <c r="C101" s="112">
        <v>4.07</v>
      </c>
      <c r="D101" s="112">
        <v>14.02</v>
      </c>
      <c r="E101" s="112">
        <v>9.44</v>
      </c>
      <c r="F101" s="112">
        <v>4.12</v>
      </c>
      <c r="G101" s="112">
        <v>57.82</v>
      </c>
      <c r="H101" s="112">
        <v>15.3</v>
      </c>
      <c r="I101" s="112">
        <v>5.7</v>
      </c>
      <c r="J101" s="112">
        <v>0.09</v>
      </c>
      <c r="K101" s="112">
        <v>127.72</v>
      </c>
      <c r="L101" s="112">
        <v>25.65</v>
      </c>
      <c r="M101" s="112">
        <v>93.55</v>
      </c>
      <c r="N101" s="112">
        <v>2.7</v>
      </c>
      <c r="O101" s="112">
        <v>0</v>
      </c>
      <c r="P101" s="112">
        <v>0.49</v>
      </c>
      <c r="Q101" s="112">
        <v>4.6500000000000004</v>
      </c>
    </row>
    <row r="102" spans="1:22" customFormat="1">
      <c r="A102" s="80">
        <v>45559.979166666664</v>
      </c>
      <c r="B102" s="112">
        <v>9.3000000000000007</v>
      </c>
      <c r="C102" s="112">
        <v>4.08</v>
      </c>
      <c r="D102" s="112">
        <v>14.04</v>
      </c>
      <c r="E102" s="112">
        <v>9.56</v>
      </c>
      <c r="F102" s="112">
        <v>4.3099999999999996</v>
      </c>
      <c r="G102" s="112">
        <v>57.04</v>
      </c>
      <c r="H102" s="112">
        <v>15.59</v>
      </c>
      <c r="I102" s="112">
        <v>5.75</v>
      </c>
      <c r="J102" s="112">
        <v>0.1</v>
      </c>
      <c r="K102" s="112">
        <v>161.13999999999999</v>
      </c>
      <c r="L102" s="112">
        <v>25.69</v>
      </c>
      <c r="M102" s="112">
        <v>93.49</v>
      </c>
      <c r="N102" s="112">
        <v>2.5</v>
      </c>
      <c r="O102" s="112">
        <v>0</v>
      </c>
      <c r="P102" s="112">
        <v>0.49</v>
      </c>
      <c r="Q102" s="112">
        <v>4.6399999999999997</v>
      </c>
    </row>
    <row r="103" spans="1:22" customFormat="1">
      <c r="A103" s="80">
        <v>45559.989583333336</v>
      </c>
      <c r="B103" s="112">
        <v>9.3000000000000007</v>
      </c>
      <c r="C103" s="112">
        <v>4.05</v>
      </c>
      <c r="D103" s="112">
        <v>14.02</v>
      </c>
      <c r="E103" s="112">
        <v>9.8699999999999992</v>
      </c>
      <c r="F103" s="112">
        <v>4.7</v>
      </c>
      <c r="G103" s="112">
        <v>50.06</v>
      </c>
      <c r="H103" s="112">
        <v>17.739999999999998</v>
      </c>
      <c r="I103" s="112">
        <v>5.7</v>
      </c>
      <c r="J103" s="112">
        <v>0.12</v>
      </c>
      <c r="K103" s="112">
        <v>138.53</v>
      </c>
      <c r="L103" s="112">
        <v>25.74</v>
      </c>
      <c r="M103" s="112">
        <v>93.76</v>
      </c>
      <c r="N103" s="112">
        <v>2.4</v>
      </c>
      <c r="O103" s="112">
        <v>0</v>
      </c>
      <c r="P103" s="112">
        <v>0.48</v>
      </c>
      <c r="Q103" s="112">
        <v>4.6500000000000004</v>
      </c>
    </row>
    <row r="104" spans="1:22" customFormat="1">
      <c r="A104" s="80">
        <v>45560</v>
      </c>
      <c r="B104" s="112">
        <v>9.2899999999999991</v>
      </c>
      <c r="C104" s="112">
        <v>4.09</v>
      </c>
      <c r="D104" s="112">
        <v>14.03</v>
      </c>
      <c r="E104" s="112">
        <v>10.26</v>
      </c>
      <c r="F104" s="112">
        <v>4.78</v>
      </c>
      <c r="G104" s="112">
        <v>50.06</v>
      </c>
      <c r="H104" s="112">
        <v>17.739999999999998</v>
      </c>
      <c r="I104" s="112">
        <v>5.6</v>
      </c>
      <c r="J104" s="112">
        <v>0.09</v>
      </c>
      <c r="K104" s="112">
        <v>187.24</v>
      </c>
      <c r="L104" s="112">
        <v>25.67</v>
      </c>
      <c r="M104" s="112">
        <v>95.03</v>
      </c>
      <c r="N104" s="112">
        <v>2.4</v>
      </c>
      <c r="O104" s="112">
        <v>0</v>
      </c>
      <c r="P104" s="112">
        <v>0.47</v>
      </c>
      <c r="Q104" s="112">
        <v>4.6500000000000004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9.1999999999999993</v>
      </c>
      <c r="C106" s="183">
        <f>MIN(C9:C104)</f>
        <v>4.04</v>
      </c>
      <c r="D106" s="183">
        <f t="shared" ref="D106:Q106" si="0">MIN(D9:D104)</f>
        <v>14</v>
      </c>
      <c r="E106" s="183">
        <f t="shared" si="0"/>
        <v>8.5</v>
      </c>
      <c r="F106" s="183">
        <f t="shared" si="0"/>
        <v>3.7</v>
      </c>
      <c r="G106" s="183">
        <f t="shared" si="0"/>
        <v>5.19</v>
      </c>
      <c r="H106" s="183">
        <f t="shared" si="0"/>
        <v>3.36</v>
      </c>
      <c r="I106" s="183">
        <f t="shared" si="0"/>
        <v>4.58</v>
      </c>
      <c r="J106" s="183">
        <f t="shared" si="0"/>
        <v>0.01</v>
      </c>
      <c r="K106" s="183">
        <f t="shared" si="0"/>
        <v>4.0199999999999996</v>
      </c>
      <c r="L106" s="183">
        <f t="shared" si="0"/>
        <v>23</v>
      </c>
      <c r="M106" s="183">
        <f t="shared" si="0"/>
        <v>66.11</v>
      </c>
      <c r="N106" s="183">
        <f t="shared" si="0"/>
        <v>2</v>
      </c>
      <c r="O106" s="183">
        <f t="shared" si="0"/>
        <v>0</v>
      </c>
      <c r="P106" s="183">
        <f t="shared" si="0"/>
        <v>0.45</v>
      </c>
      <c r="Q106" s="183">
        <f t="shared" si="0"/>
        <v>4.6100000000000003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9.4499999999999993</v>
      </c>
      <c r="C107" s="184">
        <f t="shared" ref="C107:Q107" si="1">MAX(C9:C104)</f>
        <v>4.16</v>
      </c>
      <c r="D107" s="184">
        <f t="shared" si="1"/>
        <v>14.17</v>
      </c>
      <c r="E107" s="184">
        <f t="shared" si="1"/>
        <v>15.92</v>
      </c>
      <c r="F107" s="184">
        <f t="shared" si="1"/>
        <v>17.95</v>
      </c>
      <c r="G107" s="184">
        <f t="shared" si="1"/>
        <v>120.6</v>
      </c>
      <c r="H107" s="184">
        <f t="shared" si="1"/>
        <v>41.71</v>
      </c>
      <c r="I107" s="184">
        <f t="shared" si="1"/>
        <v>7.07</v>
      </c>
      <c r="J107" s="184">
        <f t="shared" si="1"/>
        <v>1.32</v>
      </c>
      <c r="K107" s="184">
        <f t="shared" si="1"/>
        <v>357.95</v>
      </c>
      <c r="L107" s="184">
        <f t="shared" si="1"/>
        <v>31.64</v>
      </c>
      <c r="M107" s="184">
        <f t="shared" si="1"/>
        <v>102.57</v>
      </c>
      <c r="N107" s="184">
        <f t="shared" si="1"/>
        <v>512.9</v>
      </c>
      <c r="O107" s="184">
        <f t="shared" si="1"/>
        <v>5.8</v>
      </c>
      <c r="P107" s="184">
        <f t="shared" si="1"/>
        <v>0.77</v>
      </c>
      <c r="Q107" s="184">
        <f t="shared" si="1"/>
        <v>4.6900000000000004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9.2833333333333243</v>
      </c>
      <c r="C108" s="183">
        <f t="shared" ref="C108:Q108" si="2">AVERAGE(C9:C104)</f>
        <v>4.0833333333333313</v>
      </c>
      <c r="D108" s="183">
        <f t="shared" si="2"/>
        <v>14.027916666666648</v>
      </c>
      <c r="E108" s="183">
        <f t="shared" si="2"/>
        <v>11.511145833333336</v>
      </c>
      <c r="F108" s="183">
        <f t="shared" si="2"/>
        <v>5.5362500000000017</v>
      </c>
      <c r="G108" s="183">
        <f t="shared" si="2"/>
        <v>65.608854166666688</v>
      </c>
      <c r="H108" s="183">
        <f t="shared" si="2"/>
        <v>21.549062500000002</v>
      </c>
      <c r="I108" s="183">
        <f t="shared" si="2"/>
        <v>6.0017708333333397</v>
      </c>
      <c r="J108" s="183">
        <f t="shared" si="2"/>
        <v>0.2182291666666667</v>
      </c>
      <c r="K108" s="183">
        <f t="shared" si="2"/>
        <v>132.75260416666671</v>
      </c>
      <c r="L108" s="183">
        <f t="shared" si="2"/>
        <v>26.774583333333343</v>
      </c>
      <c r="M108" s="183">
        <f t="shared" si="2"/>
        <v>88.736041666666665</v>
      </c>
      <c r="N108" s="183">
        <f t="shared" si="2"/>
        <v>80.103124999999991</v>
      </c>
      <c r="O108" s="183">
        <f t="shared" si="2"/>
        <v>0.12916666666666665</v>
      </c>
      <c r="P108" s="183">
        <f t="shared" si="2"/>
        <v>0.5765625000000002</v>
      </c>
      <c r="Q108" s="183">
        <f t="shared" si="2"/>
        <v>4.6518749999999978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4.2739521132865485E-2</v>
      </c>
      <c r="C109" s="183">
        <f t="shared" ref="C109:Q109" si="3">STDEV(C9:C104)</f>
        <v>2.6503889155195328E-2</v>
      </c>
      <c r="D109" s="183">
        <f t="shared" si="3"/>
        <v>2.7450114242564192E-2</v>
      </c>
      <c r="E109" s="183">
        <f t="shared" si="3"/>
        <v>1.7077210851964213</v>
      </c>
      <c r="F109" s="183">
        <f t="shared" si="3"/>
        <v>2.543035587639308</v>
      </c>
      <c r="G109" s="183">
        <f t="shared" si="3"/>
        <v>38.075738175649541</v>
      </c>
      <c r="H109" s="183">
        <f t="shared" si="3"/>
        <v>11.424753004643259</v>
      </c>
      <c r="I109" s="183">
        <f t="shared" si="3"/>
        <v>0.70494343900267442</v>
      </c>
      <c r="J109" s="183">
        <f t="shared" si="3"/>
        <v>0.1859937451787399</v>
      </c>
      <c r="K109" s="183">
        <f t="shared" si="3"/>
        <v>75.176216819231982</v>
      </c>
      <c r="L109" s="183">
        <f t="shared" si="3"/>
        <v>2.6218386142738983</v>
      </c>
      <c r="M109" s="183">
        <f t="shared" si="3"/>
        <v>11.452802321212642</v>
      </c>
      <c r="N109" s="183">
        <f t="shared" si="3"/>
        <v>130.09496406218835</v>
      </c>
      <c r="O109" s="183">
        <f t="shared" si="3"/>
        <v>0.7443706867537474</v>
      </c>
      <c r="P109" s="183">
        <f t="shared" si="3"/>
        <v>9.3175873599619902E-2</v>
      </c>
      <c r="Q109" s="183">
        <f t="shared" si="3"/>
        <v>1.300303608271631E-2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45560.010416666664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45560.010416666664</v>
      </c>
      <c r="B9" s="112">
        <v>9.1999999999999993</v>
      </c>
      <c r="C9" s="112">
        <v>4.18</v>
      </c>
      <c r="D9" s="112">
        <v>14.01</v>
      </c>
      <c r="E9" s="112">
        <v>9.57</v>
      </c>
      <c r="F9" s="112">
        <v>4.29</v>
      </c>
      <c r="G9" s="112">
        <v>50.06</v>
      </c>
      <c r="H9" s="112">
        <v>17.739999999999998</v>
      </c>
      <c r="I9" s="112">
        <v>5.54</v>
      </c>
      <c r="J9" s="112">
        <v>0.02</v>
      </c>
      <c r="K9" s="112">
        <v>178.73</v>
      </c>
      <c r="L9" s="112">
        <v>25.64</v>
      </c>
      <c r="M9" s="112">
        <v>95.62</v>
      </c>
      <c r="N9" s="112">
        <v>2.5</v>
      </c>
      <c r="O9" s="112">
        <v>0</v>
      </c>
      <c r="P9" s="112">
        <v>0.47</v>
      </c>
      <c r="Q9" s="112">
        <v>4.66</v>
      </c>
    </row>
    <row r="10" spans="1:21" customFormat="1">
      <c r="A10" s="80">
        <v>45560.020833333336</v>
      </c>
      <c r="B10" s="112">
        <v>9.1999999999999993</v>
      </c>
      <c r="C10" s="112">
        <v>4.16</v>
      </c>
      <c r="D10" s="112">
        <v>14</v>
      </c>
      <c r="E10" s="112">
        <v>9.5399999999999991</v>
      </c>
      <c r="F10" s="112">
        <v>5.21</v>
      </c>
      <c r="G10" s="112">
        <v>49.49</v>
      </c>
      <c r="H10" s="112">
        <v>17.18</v>
      </c>
      <c r="I10" s="112">
        <v>5.5</v>
      </c>
      <c r="J10" s="112">
        <v>0.02</v>
      </c>
      <c r="K10" s="112">
        <v>194.99</v>
      </c>
      <c r="L10" s="112">
        <v>25.54</v>
      </c>
      <c r="M10" s="112">
        <v>96.68</v>
      </c>
      <c r="N10" s="112">
        <v>2.4</v>
      </c>
      <c r="O10" s="112">
        <v>0</v>
      </c>
      <c r="P10" s="112">
        <v>0.46</v>
      </c>
      <c r="Q10" s="112">
        <v>4.6500000000000004</v>
      </c>
    </row>
    <row r="11" spans="1:21" customFormat="1">
      <c r="A11" s="80">
        <v>45560.03125</v>
      </c>
      <c r="B11" s="112">
        <v>9.2100000000000009</v>
      </c>
      <c r="C11" s="112">
        <v>4.1399999999999997</v>
      </c>
      <c r="D11" s="112">
        <v>14</v>
      </c>
      <c r="E11" s="112">
        <v>9.41</v>
      </c>
      <c r="F11" s="112">
        <v>5.36</v>
      </c>
      <c r="G11" s="112">
        <v>44.41</v>
      </c>
      <c r="H11" s="112">
        <v>13.08</v>
      </c>
      <c r="I11" s="112">
        <v>5.5</v>
      </c>
      <c r="J11" s="112">
        <v>0.13</v>
      </c>
      <c r="K11" s="112">
        <v>73.75</v>
      </c>
      <c r="L11" s="112">
        <v>25.66</v>
      </c>
      <c r="M11" s="112">
        <v>96.52</v>
      </c>
      <c r="N11" s="112">
        <v>2.2999999999999998</v>
      </c>
      <c r="O11" s="112">
        <v>0</v>
      </c>
      <c r="P11" s="112">
        <v>0.44</v>
      </c>
      <c r="Q11" s="112">
        <v>4.66</v>
      </c>
    </row>
    <row r="12" spans="1:21" customFormat="1">
      <c r="A12" s="80">
        <v>45560.041666666664</v>
      </c>
      <c r="B12" s="112">
        <v>9.18</v>
      </c>
      <c r="C12" s="112">
        <v>4.1900000000000004</v>
      </c>
      <c r="D12" s="112">
        <v>14</v>
      </c>
      <c r="E12" s="112">
        <v>9.56</v>
      </c>
      <c r="F12" s="112">
        <v>5.47</v>
      </c>
      <c r="G12" s="112">
        <v>44.41</v>
      </c>
      <c r="H12" s="112">
        <v>13.08</v>
      </c>
      <c r="I12" s="112">
        <v>5.35</v>
      </c>
      <c r="J12" s="112">
        <v>0.09</v>
      </c>
      <c r="K12" s="112">
        <v>137.22999999999999</v>
      </c>
      <c r="L12" s="112">
        <v>26</v>
      </c>
      <c r="M12" s="112">
        <v>95.25</v>
      </c>
      <c r="N12" s="112">
        <v>2.2999999999999998</v>
      </c>
      <c r="O12" s="112">
        <v>0</v>
      </c>
      <c r="P12" s="112">
        <v>0.43</v>
      </c>
      <c r="Q12" s="112">
        <v>4.6500000000000004</v>
      </c>
    </row>
    <row r="13" spans="1:21" customFormat="1">
      <c r="A13" s="80">
        <v>45560.052083333336</v>
      </c>
      <c r="B13" s="112">
        <v>9.17</v>
      </c>
      <c r="C13" s="112">
        <v>4.2</v>
      </c>
      <c r="D13" s="112">
        <v>14</v>
      </c>
      <c r="E13" s="112">
        <v>10.039999999999999</v>
      </c>
      <c r="F13" s="112">
        <v>6.64</v>
      </c>
      <c r="G13" s="112">
        <v>44.41</v>
      </c>
      <c r="H13" s="112">
        <v>13.08</v>
      </c>
      <c r="I13" s="112">
        <v>5.17</v>
      </c>
      <c r="J13" s="112">
        <v>0.14000000000000001</v>
      </c>
      <c r="K13" s="112">
        <v>83.59</v>
      </c>
      <c r="L13" s="112">
        <v>25.88</v>
      </c>
      <c r="M13" s="112">
        <v>95.04</v>
      </c>
      <c r="N13" s="112">
        <v>2.5</v>
      </c>
      <c r="O13" s="112">
        <v>0</v>
      </c>
      <c r="P13" s="112">
        <v>0.41</v>
      </c>
      <c r="Q13" s="112">
        <v>4.66</v>
      </c>
    </row>
    <row r="14" spans="1:21" customFormat="1">
      <c r="A14" s="80">
        <v>45560.0625</v>
      </c>
      <c r="B14" s="112">
        <v>9.16</v>
      </c>
      <c r="C14" s="112">
        <v>4.22</v>
      </c>
      <c r="D14" s="112">
        <v>14</v>
      </c>
      <c r="E14" s="112">
        <v>9.33</v>
      </c>
      <c r="F14" s="112">
        <v>6.28</v>
      </c>
      <c r="G14" s="112">
        <v>44.8</v>
      </c>
      <c r="H14" s="112">
        <v>13.6</v>
      </c>
      <c r="I14" s="112">
        <v>5.12</v>
      </c>
      <c r="J14" s="112">
        <v>0.32</v>
      </c>
      <c r="K14" s="112">
        <v>63.29</v>
      </c>
      <c r="L14" s="112">
        <v>25.78</v>
      </c>
      <c r="M14" s="112">
        <v>95.72</v>
      </c>
      <c r="N14" s="112">
        <v>2.4</v>
      </c>
      <c r="O14" s="112">
        <v>0</v>
      </c>
      <c r="P14" s="112">
        <v>0.41</v>
      </c>
      <c r="Q14" s="112">
        <v>4.6500000000000004</v>
      </c>
    </row>
    <row r="15" spans="1:21" customFormat="1">
      <c r="A15" s="80">
        <v>45560.072916666664</v>
      </c>
      <c r="B15" s="112">
        <v>9.17</v>
      </c>
      <c r="C15" s="112">
        <v>4.2</v>
      </c>
      <c r="D15" s="112">
        <v>14</v>
      </c>
      <c r="E15" s="112">
        <v>9.7799999999999994</v>
      </c>
      <c r="F15" s="112">
        <v>6.31</v>
      </c>
      <c r="G15" s="112">
        <v>48.77</v>
      </c>
      <c r="H15" s="112">
        <v>17.989999999999998</v>
      </c>
      <c r="I15" s="112">
        <v>5.0199999999999996</v>
      </c>
      <c r="J15" s="112">
        <v>0.38</v>
      </c>
      <c r="K15" s="112">
        <v>62.04</v>
      </c>
      <c r="L15" s="112">
        <v>25.73</v>
      </c>
      <c r="M15" s="112">
        <v>96.24</v>
      </c>
      <c r="N15" s="112">
        <v>2.4</v>
      </c>
      <c r="O15" s="112">
        <v>0</v>
      </c>
      <c r="P15" s="112">
        <v>0.39</v>
      </c>
      <c r="Q15" s="112">
        <v>4.66</v>
      </c>
    </row>
    <row r="16" spans="1:21" customFormat="1">
      <c r="A16" s="80">
        <v>45560.083333333336</v>
      </c>
      <c r="B16" s="112">
        <v>9.16</v>
      </c>
      <c r="C16" s="112">
        <v>4.2300000000000004</v>
      </c>
      <c r="D16" s="112">
        <v>14</v>
      </c>
      <c r="E16" s="112">
        <v>9.81</v>
      </c>
      <c r="F16" s="112">
        <v>4.71</v>
      </c>
      <c r="G16" s="112">
        <v>48.77</v>
      </c>
      <c r="H16" s="112">
        <v>17.989999999999998</v>
      </c>
      <c r="I16" s="112">
        <v>4.95</v>
      </c>
      <c r="J16" s="112">
        <v>0.32</v>
      </c>
      <c r="K16" s="112">
        <v>64.3</v>
      </c>
      <c r="L16" s="112">
        <v>25.7</v>
      </c>
      <c r="M16" s="112">
        <v>96.67</v>
      </c>
      <c r="N16" s="112">
        <v>2.4</v>
      </c>
      <c r="O16" s="112">
        <v>0</v>
      </c>
      <c r="P16" s="112">
        <v>0.4</v>
      </c>
      <c r="Q16" s="112">
        <v>4.6500000000000004</v>
      </c>
    </row>
    <row r="17" spans="1:17" customFormat="1">
      <c r="A17" s="80">
        <v>45560.09375</v>
      </c>
      <c r="B17" s="112">
        <v>9.16</v>
      </c>
      <c r="C17" s="112">
        <v>4.21</v>
      </c>
      <c r="D17" s="112">
        <v>14</v>
      </c>
      <c r="E17" s="112">
        <v>9.26</v>
      </c>
      <c r="F17" s="112">
        <v>5.21</v>
      </c>
      <c r="G17" s="112">
        <v>48.77</v>
      </c>
      <c r="H17" s="112">
        <v>17.989999999999998</v>
      </c>
      <c r="I17" s="112">
        <v>4.82</v>
      </c>
      <c r="J17" s="112">
        <v>0.17</v>
      </c>
      <c r="K17" s="112">
        <v>90.15</v>
      </c>
      <c r="L17" s="112">
        <v>25.83</v>
      </c>
      <c r="M17" s="112">
        <v>95.71</v>
      </c>
      <c r="N17" s="112">
        <v>2.4</v>
      </c>
      <c r="O17" s="112">
        <v>0</v>
      </c>
      <c r="P17" s="112">
        <v>0.39</v>
      </c>
      <c r="Q17" s="112">
        <v>4.6500000000000004</v>
      </c>
    </row>
    <row r="18" spans="1:17" customFormat="1">
      <c r="A18" s="80">
        <v>45560.104166666664</v>
      </c>
      <c r="B18" s="112">
        <v>9.16</v>
      </c>
      <c r="C18" s="112">
        <v>4.22</v>
      </c>
      <c r="D18" s="112">
        <v>14</v>
      </c>
      <c r="E18" s="112">
        <v>10.55</v>
      </c>
      <c r="F18" s="112">
        <v>5.38</v>
      </c>
      <c r="G18" s="112">
        <v>48.69</v>
      </c>
      <c r="H18" s="112">
        <v>17.43</v>
      </c>
      <c r="I18" s="112">
        <v>4.9400000000000004</v>
      </c>
      <c r="J18" s="112">
        <v>0.5</v>
      </c>
      <c r="K18" s="112">
        <v>58.85</v>
      </c>
      <c r="L18" s="112">
        <v>25.56</v>
      </c>
      <c r="M18" s="112">
        <v>95.88</v>
      </c>
      <c r="N18" s="112">
        <v>2.5</v>
      </c>
      <c r="O18" s="112">
        <v>0</v>
      </c>
      <c r="P18" s="112">
        <v>0.38</v>
      </c>
      <c r="Q18" s="112">
        <v>4.67</v>
      </c>
    </row>
    <row r="19" spans="1:17" customFormat="1">
      <c r="A19" s="80">
        <v>45560.114583333336</v>
      </c>
      <c r="B19" s="112">
        <v>9.17</v>
      </c>
      <c r="C19" s="112">
        <v>4.21</v>
      </c>
      <c r="D19" s="112">
        <v>14</v>
      </c>
      <c r="E19" s="112">
        <v>10.95</v>
      </c>
      <c r="F19" s="112">
        <v>5.0199999999999996</v>
      </c>
      <c r="G19" s="112">
        <v>47.86</v>
      </c>
      <c r="H19" s="112">
        <v>12.65</v>
      </c>
      <c r="I19" s="112">
        <v>4.84</v>
      </c>
      <c r="J19" s="112">
        <v>0.42</v>
      </c>
      <c r="K19" s="112">
        <v>58.2</v>
      </c>
      <c r="L19" s="112">
        <v>25.37</v>
      </c>
      <c r="M19" s="112">
        <v>97.09</v>
      </c>
      <c r="N19" s="112">
        <v>2.4</v>
      </c>
      <c r="O19" s="112">
        <v>0</v>
      </c>
      <c r="P19" s="112">
        <v>0.38</v>
      </c>
      <c r="Q19" s="112">
        <v>4.67</v>
      </c>
    </row>
    <row r="20" spans="1:17" customFormat="1">
      <c r="A20" s="80">
        <v>45560.125</v>
      </c>
      <c r="B20" s="112">
        <v>9.17</v>
      </c>
      <c r="C20" s="112">
        <v>4.2</v>
      </c>
      <c r="D20" s="112">
        <v>14</v>
      </c>
      <c r="E20" s="112">
        <v>10.9</v>
      </c>
      <c r="F20" s="112">
        <v>4.13</v>
      </c>
      <c r="G20" s="112">
        <v>47.86</v>
      </c>
      <c r="H20" s="112">
        <v>12.65</v>
      </c>
      <c r="I20" s="112">
        <v>4.72</v>
      </c>
      <c r="J20" s="112">
        <v>0.36</v>
      </c>
      <c r="K20" s="112">
        <v>65.680000000000007</v>
      </c>
      <c r="L20" s="112">
        <v>25.45</v>
      </c>
      <c r="M20" s="112">
        <v>97.12</v>
      </c>
      <c r="N20" s="112">
        <v>2.2999999999999998</v>
      </c>
      <c r="O20" s="112">
        <v>0</v>
      </c>
      <c r="P20" s="112">
        <v>0.37</v>
      </c>
      <c r="Q20" s="112">
        <v>4.68</v>
      </c>
    </row>
    <row r="21" spans="1:17" customFormat="1">
      <c r="A21" s="80">
        <v>45560.135416666664</v>
      </c>
      <c r="B21" s="112">
        <v>9.15</v>
      </c>
      <c r="C21" s="112">
        <v>4.24</v>
      </c>
      <c r="D21" s="112">
        <v>14</v>
      </c>
      <c r="E21" s="112">
        <v>10.81</v>
      </c>
      <c r="F21" s="112">
        <v>4.7699999999999996</v>
      </c>
      <c r="G21" s="112">
        <v>47.86</v>
      </c>
      <c r="H21" s="112">
        <v>12.65</v>
      </c>
      <c r="I21" s="112">
        <v>4.7300000000000004</v>
      </c>
      <c r="J21" s="112">
        <v>0.03</v>
      </c>
      <c r="K21" s="112">
        <v>161.16999999999999</v>
      </c>
      <c r="L21" s="112">
        <v>25.41</v>
      </c>
      <c r="M21" s="112">
        <v>96.96</v>
      </c>
      <c r="N21" s="112">
        <v>2.1</v>
      </c>
      <c r="O21" s="112">
        <v>0</v>
      </c>
      <c r="P21" s="112">
        <v>0.37</v>
      </c>
      <c r="Q21" s="112">
        <v>4.68</v>
      </c>
    </row>
    <row r="22" spans="1:17" customFormat="1">
      <c r="A22" s="80">
        <v>45560.145833333336</v>
      </c>
      <c r="B22" s="112">
        <v>9.17</v>
      </c>
      <c r="C22" s="112">
        <v>4.21</v>
      </c>
      <c r="D22" s="112">
        <v>14</v>
      </c>
      <c r="E22" s="112">
        <v>11.58</v>
      </c>
      <c r="F22" s="112">
        <v>4.53</v>
      </c>
      <c r="G22" s="112">
        <v>47.26</v>
      </c>
      <c r="H22" s="112">
        <v>12.95</v>
      </c>
      <c r="I22" s="112">
        <v>4.68</v>
      </c>
      <c r="J22" s="112">
        <v>0.25</v>
      </c>
      <c r="K22" s="112">
        <v>61.19</v>
      </c>
      <c r="L22" s="112">
        <v>25.38</v>
      </c>
      <c r="M22" s="112">
        <v>97.31</v>
      </c>
      <c r="N22" s="112">
        <v>2.1</v>
      </c>
      <c r="O22" s="112">
        <v>0</v>
      </c>
      <c r="P22" s="112">
        <v>0.37</v>
      </c>
      <c r="Q22" s="112">
        <v>4.6500000000000004</v>
      </c>
    </row>
    <row r="23" spans="1:17" customFormat="1">
      <c r="A23" s="80">
        <v>45560.15625</v>
      </c>
      <c r="B23" s="112">
        <v>9.19</v>
      </c>
      <c r="C23" s="112">
        <v>4.17</v>
      </c>
      <c r="D23" s="112">
        <v>14</v>
      </c>
      <c r="E23" s="112">
        <v>10.87</v>
      </c>
      <c r="F23" s="112">
        <v>5.4</v>
      </c>
      <c r="G23" s="112">
        <v>41.17</v>
      </c>
      <c r="H23" s="112">
        <v>15.49</v>
      </c>
      <c r="I23" s="112">
        <v>4.57</v>
      </c>
      <c r="J23" s="112">
        <v>0.22</v>
      </c>
      <c r="K23" s="112">
        <v>63.4</v>
      </c>
      <c r="L23" s="112">
        <v>25.41</v>
      </c>
      <c r="M23" s="112">
        <v>97.11</v>
      </c>
      <c r="N23" s="112">
        <v>2.1</v>
      </c>
      <c r="O23" s="112">
        <v>0</v>
      </c>
      <c r="P23" s="112">
        <v>0.37</v>
      </c>
      <c r="Q23" s="112">
        <v>4.66</v>
      </c>
    </row>
    <row r="24" spans="1:17" customFormat="1">
      <c r="A24" s="80">
        <v>45560.166666666664</v>
      </c>
      <c r="B24" s="112">
        <v>9.1999999999999993</v>
      </c>
      <c r="C24" s="112">
        <v>4.1500000000000004</v>
      </c>
      <c r="D24" s="112">
        <v>14</v>
      </c>
      <c r="E24" s="112">
        <v>11.35</v>
      </c>
      <c r="F24" s="112">
        <v>4.58</v>
      </c>
      <c r="G24" s="112">
        <v>41.17</v>
      </c>
      <c r="H24" s="112">
        <v>15.49</v>
      </c>
      <c r="I24" s="112">
        <v>4.5599999999999996</v>
      </c>
      <c r="J24" s="112">
        <v>0.18</v>
      </c>
      <c r="K24" s="112">
        <v>72.239999999999995</v>
      </c>
      <c r="L24" s="112">
        <v>25.54</v>
      </c>
      <c r="M24" s="112">
        <v>96.82</v>
      </c>
      <c r="N24" s="112">
        <v>2.2000000000000002</v>
      </c>
      <c r="O24" s="112">
        <v>0</v>
      </c>
      <c r="P24" s="112">
        <v>0.36</v>
      </c>
      <c r="Q24" s="112">
        <v>4.6500000000000004</v>
      </c>
    </row>
    <row r="25" spans="1:17" customFormat="1">
      <c r="A25" s="80">
        <v>45560.177083333336</v>
      </c>
      <c r="B25" s="112">
        <v>9.2200000000000006</v>
      </c>
      <c r="C25" s="112">
        <v>4.13</v>
      </c>
      <c r="D25" s="112">
        <v>14</v>
      </c>
      <c r="E25" s="112">
        <v>11.04</v>
      </c>
      <c r="F25" s="112">
        <v>4.33</v>
      </c>
      <c r="G25" s="112">
        <v>41.17</v>
      </c>
      <c r="H25" s="112">
        <v>15.49</v>
      </c>
      <c r="I25" s="112">
        <v>4.5199999999999996</v>
      </c>
      <c r="J25" s="112">
        <v>0.44</v>
      </c>
      <c r="K25" s="112">
        <v>62.43</v>
      </c>
      <c r="L25" s="112">
        <v>25.5</v>
      </c>
      <c r="M25" s="112">
        <v>96.47</v>
      </c>
      <c r="N25" s="112">
        <v>2.2000000000000002</v>
      </c>
      <c r="O25" s="112">
        <v>0</v>
      </c>
      <c r="P25" s="112">
        <v>0.35</v>
      </c>
      <c r="Q25" s="112">
        <v>4.6500000000000004</v>
      </c>
    </row>
    <row r="26" spans="1:17" customFormat="1">
      <c r="A26" s="80">
        <v>45560.1875</v>
      </c>
      <c r="B26" s="112">
        <v>9.2200000000000006</v>
      </c>
      <c r="C26" s="112">
        <v>4.13</v>
      </c>
      <c r="D26" s="112">
        <v>14</v>
      </c>
      <c r="E26" s="112">
        <v>11.32</v>
      </c>
      <c r="F26" s="112">
        <v>4.1399999999999997</v>
      </c>
      <c r="G26" s="112">
        <v>40.799999999999997</v>
      </c>
      <c r="H26" s="112">
        <v>15.36</v>
      </c>
      <c r="I26" s="112">
        <v>4.51</v>
      </c>
      <c r="J26" s="112">
        <v>0.41</v>
      </c>
      <c r="K26" s="112">
        <v>60.17</v>
      </c>
      <c r="L26" s="112">
        <v>25.49</v>
      </c>
      <c r="M26" s="112">
        <v>96.29</v>
      </c>
      <c r="N26" s="112">
        <v>2.2000000000000002</v>
      </c>
      <c r="O26" s="112">
        <v>0</v>
      </c>
      <c r="P26" s="112">
        <v>0.36</v>
      </c>
      <c r="Q26" s="112">
        <v>4.66</v>
      </c>
    </row>
    <row r="27" spans="1:17" customFormat="1">
      <c r="A27" s="80">
        <v>45560.197916666664</v>
      </c>
      <c r="B27" s="112">
        <v>9.2100000000000009</v>
      </c>
      <c r="C27" s="112">
        <v>4.1399999999999997</v>
      </c>
      <c r="D27" s="112">
        <v>14</v>
      </c>
      <c r="E27" s="112">
        <v>11.16</v>
      </c>
      <c r="F27" s="112">
        <v>4.33</v>
      </c>
      <c r="G27" s="112">
        <v>36.94</v>
      </c>
      <c r="H27" s="112">
        <v>14.29</v>
      </c>
      <c r="I27" s="112">
        <v>4.45</v>
      </c>
      <c r="J27" s="112">
        <v>0.13</v>
      </c>
      <c r="K27" s="112">
        <v>88.51</v>
      </c>
      <c r="L27" s="112">
        <v>25.54</v>
      </c>
      <c r="M27" s="112">
        <v>96.87</v>
      </c>
      <c r="N27" s="112">
        <v>2.1</v>
      </c>
      <c r="O27" s="112">
        <v>0</v>
      </c>
      <c r="P27" s="112">
        <v>0.36</v>
      </c>
      <c r="Q27" s="112">
        <v>4.66</v>
      </c>
    </row>
    <row r="28" spans="1:17" customFormat="1">
      <c r="A28" s="80">
        <v>45560.208333333336</v>
      </c>
      <c r="B28" s="112">
        <v>9.1999999999999993</v>
      </c>
      <c r="C28" s="112">
        <v>4.1500000000000004</v>
      </c>
      <c r="D28" s="112">
        <v>14</v>
      </c>
      <c r="E28" s="112">
        <v>11.33</v>
      </c>
      <c r="F28" s="112">
        <v>4.83</v>
      </c>
      <c r="G28" s="112">
        <v>36.94</v>
      </c>
      <c r="H28" s="112">
        <v>14.29</v>
      </c>
      <c r="I28" s="112">
        <v>4.46</v>
      </c>
      <c r="J28" s="112">
        <v>0.09</v>
      </c>
      <c r="K28" s="112">
        <v>148.01</v>
      </c>
      <c r="L28" s="112">
        <v>25.51</v>
      </c>
      <c r="M28" s="112">
        <v>97.08</v>
      </c>
      <c r="N28" s="112">
        <v>2.1</v>
      </c>
      <c r="O28" s="112">
        <v>0</v>
      </c>
      <c r="P28" s="112">
        <v>0.35</v>
      </c>
      <c r="Q28" s="112">
        <v>4.66</v>
      </c>
    </row>
    <row r="29" spans="1:17" customFormat="1">
      <c r="A29" s="80">
        <v>45560.21875</v>
      </c>
      <c r="B29" s="112">
        <v>9.2100000000000009</v>
      </c>
      <c r="C29" s="112">
        <v>4.1500000000000004</v>
      </c>
      <c r="D29" s="112">
        <v>14</v>
      </c>
      <c r="E29" s="112">
        <v>11.58</v>
      </c>
      <c r="F29" s="112">
        <v>4.25</v>
      </c>
      <c r="G29" s="112">
        <v>36.94</v>
      </c>
      <c r="H29" s="112">
        <v>14.29</v>
      </c>
      <c r="I29" s="112">
        <v>4.62</v>
      </c>
      <c r="J29" s="112">
        <v>0.13</v>
      </c>
      <c r="K29" s="112">
        <v>151.34</v>
      </c>
      <c r="L29" s="112">
        <v>25.76</v>
      </c>
      <c r="M29" s="112">
        <v>95.93</v>
      </c>
      <c r="N29" s="112">
        <v>2.1</v>
      </c>
      <c r="O29" s="112">
        <v>0</v>
      </c>
      <c r="P29" s="112">
        <v>0.35</v>
      </c>
      <c r="Q29" s="112">
        <v>4.6500000000000004</v>
      </c>
    </row>
    <row r="30" spans="1:17" customFormat="1">
      <c r="A30" s="80">
        <v>45560.229166666664</v>
      </c>
      <c r="B30" s="112">
        <v>9.2100000000000009</v>
      </c>
      <c r="C30" s="112">
        <v>4.1500000000000004</v>
      </c>
      <c r="D30" s="112">
        <v>14</v>
      </c>
      <c r="E30" s="112">
        <v>11.98</v>
      </c>
      <c r="F30" s="112">
        <v>3.79</v>
      </c>
      <c r="G30" s="112">
        <v>36.76</v>
      </c>
      <c r="H30" s="112">
        <v>14.66</v>
      </c>
      <c r="I30" s="112">
        <v>4.3899999999999997</v>
      </c>
      <c r="J30" s="112">
        <v>0.39</v>
      </c>
      <c r="K30" s="112">
        <v>61.64</v>
      </c>
      <c r="L30" s="112">
        <v>25.56</v>
      </c>
      <c r="M30" s="112">
        <v>96.16</v>
      </c>
      <c r="N30" s="112">
        <v>2.4</v>
      </c>
      <c r="O30" s="112">
        <v>0</v>
      </c>
      <c r="P30" s="112">
        <v>0.36</v>
      </c>
      <c r="Q30" s="112">
        <v>4.6399999999999997</v>
      </c>
    </row>
    <row r="31" spans="1:17" customFormat="1">
      <c r="A31" s="80">
        <v>45560.239583333336</v>
      </c>
      <c r="B31" s="112">
        <v>9.23</v>
      </c>
      <c r="C31" s="112">
        <v>4.12</v>
      </c>
      <c r="D31" s="112">
        <v>14</v>
      </c>
      <c r="E31" s="112">
        <v>12.08</v>
      </c>
      <c r="F31" s="112">
        <v>3.87</v>
      </c>
      <c r="G31" s="112">
        <v>34.89</v>
      </c>
      <c r="H31" s="112">
        <v>17.34</v>
      </c>
      <c r="I31" s="112">
        <v>4.49</v>
      </c>
      <c r="J31" s="112">
        <v>0.37</v>
      </c>
      <c r="K31" s="112">
        <v>55.92</v>
      </c>
      <c r="L31" s="112">
        <v>25.43</v>
      </c>
      <c r="M31" s="112">
        <v>96.5</v>
      </c>
      <c r="N31" s="112">
        <v>3.5</v>
      </c>
      <c r="O31" s="112">
        <v>0</v>
      </c>
      <c r="P31" s="112">
        <v>0.37</v>
      </c>
      <c r="Q31" s="112">
        <v>4.6500000000000004</v>
      </c>
    </row>
    <row r="32" spans="1:17" customFormat="1">
      <c r="A32" s="80">
        <v>45560.25</v>
      </c>
      <c r="B32" s="112">
        <v>9.1999999999999993</v>
      </c>
      <c r="C32" s="112">
        <v>4.16</v>
      </c>
      <c r="D32" s="112">
        <v>14</v>
      </c>
      <c r="E32" s="112">
        <v>11.56</v>
      </c>
      <c r="F32" s="112">
        <v>3.87</v>
      </c>
      <c r="G32" s="112">
        <v>34.89</v>
      </c>
      <c r="H32" s="112">
        <v>17.34</v>
      </c>
      <c r="I32" s="112">
        <v>4.6900000000000004</v>
      </c>
      <c r="J32" s="112">
        <v>0.18</v>
      </c>
      <c r="K32" s="112">
        <v>87.05</v>
      </c>
      <c r="L32" s="112">
        <v>25.44</v>
      </c>
      <c r="M32" s="112">
        <v>96.93</v>
      </c>
      <c r="N32" s="112">
        <v>10.5</v>
      </c>
      <c r="O32" s="112">
        <v>0</v>
      </c>
      <c r="P32" s="112">
        <v>0.37</v>
      </c>
      <c r="Q32" s="112">
        <v>4.6500000000000004</v>
      </c>
    </row>
    <row r="33" spans="1:17" customFormat="1">
      <c r="A33" s="80">
        <v>45560.260416666664</v>
      </c>
      <c r="B33" s="112">
        <v>9.18</v>
      </c>
      <c r="C33" s="112">
        <v>4.1900000000000004</v>
      </c>
      <c r="D33" s="112">
        <v>14</v>
      </c>
      <c r="E33" s="112">
        <v>10.65</v>
      </c>
      <c r="F33" s="112">
        <v>4.0199999999999996</v>
      </c>
      <c r="G33" s="112">
        <v>34.89</v>
      </c>
      <c r="H33" s="112">
        <v>17.34</v>
      </c>
      <c r="I33" s="112">
        <v>4.53</v>
      </c>
      <c r="J33" s="112">
        <v>0.27</v>
      </c>
      <c r="K33" s="112">
        <v>60.87</v>
      </c>
      <c r="L33" s="112">
        <v>25.53</v>
      </c>
      <c r="M33" s="112">
        <v>97.34</v>
      </c>
      <c r="N33" s="112">
        <v>21.3</v>
      </c>
      <c r="O33" s="112">
        <v>0</v>
      </c>
      <c r="P33" s="112">
        <v>0.38</v>
      </c>
      <c r="Q33" s="112">
        <v>4.63</v>
      </c>
    </row>
    <row r="34" spans="1:17" customFormat="1">
      <c r="A34" s="80">
        <v>45560.270833333336</v>
      </c>
      <c r="B34" s="112">
        <v>9.19</v>
      </c>
      <c r="C34" s="112">
        <v>4.17</v>
      </c>
      <c r="D34" s="112">
        <v>14</v>
      </c>
      <c r="E34" s="112">
        <v>10.71</v>
      </c>
      <c r="F34" s="112">
        <v>4.63</v>
      </c>
      <c r="G34" s="112">
        <v>35.67</v>
      </c>
      <c r="H34" s="112">
        <v>17.3</v>
      </c>
      <c r="I34" s="112">
        <v>4.5999999999999996</v>
      </c>
      <c r="J34" s="112">
        <v>0.46</v>
      </c>
      <c r="K34" s="112">
        <v>54.83</v>
      </c>
      <c r="L34" s="112">
        <v>25.69</v>
      </c>
      <c r="M34" s="112">
        <v>96.2</v>
      </c>
      <c r="N34" s="112">
        <v>26.8</v>
      </c>
      <c r="O34" s="112">
        <v>0</v>
      </c>
      <c r="P34" s="112">
        <v>0.38</v>
      </c>
      <c r="Q34" s="112">
        <v>4.6399999999999997</v>
      </c>
    </row>
    <row r="35" spans="1:17" customFormat="1">
      <c r="A35" s="80">
        <v>45560.28125</v>
      </c>
      <c r="B35" s="112">
        <v>9.1999999999999993</v>
      </c>
      <c r="C35" s="112">
        <v>4.16</v>
      </c>
      <c r="D35" s="112">
        <v>14</v>
      </c>
      <c r="E35" s="112">
        <v>10.37</v>
      </c>
      <c r="F35" s="112">
        <v>4.96</v>
      </c>
      <c r="G35" s="112">
        <v>43.59</v>
      </c>
      <c r="H35" s="112">
        <v>16.96</v>
      </c>
      <c r="I35" s="112">
        <v>4.7699999999999996</v>
      </c>
      <c r="J35" s="112">
        <v>0.38</v>
      </c>
      <c r="K35" s="112">
        <v>57.87</v>
      </c>
      <c r="L35" s="112">
        <v>25.84</v>
      </c>
      <c r="M35" s="112">
        <v>95.48</v>
      </c>
      <c r="N35" s="112">
        <v>24</v>
      </c>
      <c r="O35" s="112">
        <v>0</v>
      </c>
      <c r="P35" s="112">
        <v>0.38</v>
      </c>
      <c r="Q35" s="112">
        <v>4.6399999999999997</v>
      </c>
    </row>
    <row r="36" spans="1:17" customFormat="1">
      <c r="A36" s="80">
        <v>45560.291666666664</v>
      </c>
      <c r="B36" s="112">
        <v>9.1999999999999993</v>
      </c>
      <c r="C36" s="112">
        <v>4.16</v>
      </c>
      <c r="D36" s="112">
        <v>14</v>
      </c>
      <c r="E36" s="112">
        <v>10.44</v>
      </c>
      <c r="F36" s="112">
        <v>5.15</v>
      </c>
      <c r="G36" s="112">
        <v>43.59</v>
      </c>
      <c r="H36" s="112">
        <v>16.96</v>
      </c>
      <c r="I36" s="112">
        <v>4.5199999999999996</v>
      </c>
      <c r="J36" s="112">
        <v>0.57999999999999996</v>
      </c>
      <c r="K36" s="112">
        <v>56.52</v>
      </c>
      <c r="L36" s="112">
        <v>25.84</v>
      </c>
      <c r="M36" s="112">
        <v>95.01</v>
      </c>
      <c r="N36" s="112">
        <v>19.899999999999999</v>
      </c>
      <c r="O36" s="112">
        <v>0</v>
      </c>
      <c r="P36" s="112">
        <v>0.38</v>
      </c>
      <c r="Q36" s="112">
        <v>4.6399999999999997</v>
      </c>
    </row>
    <row r="37" spans="1:17" customFormat="1">
      <c r="A37" s="80">
        <v>45560.302083333336</v>
      </c>
      <c r="B37" s="112">
        <v>9.19</v>
      </c>
      <c r="C37" s="112">
        <v>4.17</v>
      </c>
      <c r="D37" s="112">
        <v>14</v>
      </c>
      <c r="E37" s="112">
        <v>10.83</v>
      </c>
      <c r="F37" s="112">
        <v>4.7</v>
      </c>
      <c r="G37" s="112">
        <v>43.59</v>
      </c>
      <c r="H37" s="112">
        <v>16.96</v>
      </c>
      <c r="I37" s="112">
        <v>4.6399999999999997</v>
      </c>
      <c r="J37" s="112">
        <v>0.55000000000000004</v>
      </c>
      <c r="K37" s="112">
        <v>57.83</v>
      </c>
      <c r="L37" s="112">
        <v>26</v>
      </c>
      <c r="M37" s="112">
        <v>94.64</v>
      </c>
      <c r="N37" s="112">
        <v>34.799999999999997</v>
      </c>
      <c r="O37" s="112">
        <v>0</v>
      </c>
      <c r="P37" s="112">
        <v>0.38</v>
      </c>
      <c r="Q37" s="112">
        <v>4.6399999999999997</v>
      </c>
    </row>
    <row r="38" spans="1:17" customFormat="1">
      <c r="A38" s="80">
        <v>45560.3125</v>
      </c>
      <c r="B38" s="112">
        <v>9.19</v>
      </c>
      <c r="C38" s="112">
        <v>4.17</v>
      </c>
      <c r="D38" s="112">
        <v>14</v>
      </c>
      <c r="E38" s="112">
        <v>10.69</v>
      </c>
      <c r="F38" s="112">
        <v>5.16</v>
      </c>
      <c r="G38" s="112">
        <v>44.51</v>
      </c>
      <c r="H38" s="112">
        <v>17.04</v>
      </c>
      <c r="I38" s="112">
        <v>4.6100000000000003</v>
      </c>
      <c r="J38" s="112">
        <v>0.57999999999999996</v>
      </c>
      <c r="K38" s="112">
        <v>56.91</v>
      </c>
      <c r="L38" s="112">
        <v>26.23</v>
      </c>
      <c r="M38" s="112">
        <v>94.34</v>
      </c>
      <c r="N38" s="112">
        <v>69.900000000000006</v>
      </c>
      <c r="O38" s="112">
        <v>0</v>
      </c>
      <c r="P38" s="112">
        <v>0.4</v>
      </c>
      <c r="Q38" s="112">
        <v>4.6500000000000004</v>
      </c>
    </row>
    <row r="39" spans="1:17" customFormat="1">
      <c r="A39" s="80">
        <v>45560.322916666664</v>
      </c>
      <c r="B39" s="112">
        <v>9.2100000000000009</v>
      </c>
      <c r="C39" s="112">
        <v>4.1500000000000004</v>
      </c>
      <c r="D39" s="112">
        <v>14</v>
      </c>
      <c r="E39" s="112">
        <v>11.37</v>
      </c>
      <c r="F39" s="112">
        <v>6.64</v>
      </c>
      <c r="G39" s="112">
        <v>53.94</v>
      </c>
      <c r="H39" s="112">
        <v>17.670000000000002</v>
      </c>
      <c r="I39" s="112">
        <v>4.7</v>
      </c>
      <c r="J39" s="112">
        <v>0.72</v>
      </c>
      <c r="K39" s="112">
        <v>54.18</v>
      </c>
      <c r="L39" s="112">
        <v>26.45</v>
      </c>
      <c r="M39" s="112">
        <v>92.09</v>
      </c>
      <c r="N39" s="112">
        <v>68.2</v>
      </c>
      <c r="O39" s="112">
        <v>0</v>
      </c>
      <c r="P39" s="112">
        <v>0.4</v>
      </c>
      <c r="Q39" s="112">
        <v>4.66</v>
      </c>
    </row>
    <row r="40" spans="1:17" customFormat="1">
      <c r="A40" s="80">
        <v>45560.333333333336</v>
      </c>
      <c r="B40" s="112">
        <v>9.1999999999999993</v>
      </c>
      <c r="C40" s="112">
        <v>4.16</v>
      </c>
      <c r="D40" s="112">
        <v>14</v>
      </c>
      <c r="E40" s="112">
        <v>11.13</v>
      </c>
      <c r="F40" s="112">
        <v>5.75</v>
      </c>
      <c r="G40" s="112">
        <v>53.94</v>
      </c>
      <c r="H40" s="112">
        <v>17.670000000000002</v>
      </c>
      <c r="I40" s="112">
        <v>4.8600000000000003</v>
      </c>
      <c r="J40" s="112">
        <v>0.66</v>
      </c>
      <c r="K40" s="112">
        <v>55.45</v>
      </c>
      <c r="L40" s="112">
        <v>26.54</v>
      </c>
      <c r="M40" s="112">
        <v>91.05</v>
      </c>
      <c r="N40" s="112">
        <v>77.8</v>
      </c>
      <c r="O40" s="112">
        <v>0</v>
      </c>
      <c r="P40" s="112">
        <v>0.39</v>
      </c>
      <c r="Q40" s="112">
        <v>4.66</v>
      </c>
    </row>
    <row r="41" spans="1:17" customFormat="1">
      <c r="A41" s="80">
        <v>45560.34375</v>
      </c>
      <c r="B41" s="112">
        <v>9.18</v>
      </c>
      <c r="C41" s="112">
        <v>4.2</v>
      </c>
      <c r="D41" s="112">
        <v>14</v>
      </c>
      <c r="E41" s="112">
        <v>10.57</v>
      </c>
      <c r="F41" s="112">
        <v>5.58</v>
      </c>
      <c r="G41" s="112">
        <v>53.94</v>
      </c>
      <c r="H41" s="112">
        <v>17.670000000000002</v>
      </c>
      <c r="I41" s="112">
        <v>4.72</v>
      </c>
      <c r="J41" s="112">
        <v>0.71</v>
      </c>
      <c r="K41" s="112">
        <v>54.28</v>
      </c>
      <c r="L41" s="112">
        <v>26.88</v>
      </c>
      <c r="M41" s="112">
        <v>89.16</v>
      </c>
      <c r="N41" s="112">
        <v>101.8</v>
      </c>
      <c r="O41" s="112">
        <v>0</v>
      </c>
      <c r="P41" s="112">
        <v>0.4</v>
      </c>
      <c r="Q41" s="112">
        <v>4.66</v>
      </c>
    </row>
    <row r="42" spans="1:17" customFormat="1">
      <c r="A42" s="80">
        <v>45560.354166666664</v>
      </c>
      <c r="B42" s="112">
        <v>9.19</v>
      </c>
      <c r="C42" s="112">
        <v>4.18</v>
      </c>
      <c r="D42" s="112">
        <v>14</v>
      </c>
      <c r="E42" s="112">
        <v>10.84</v>
      </c>
      <c r="F42" s="112">
        <v>5.85</v>
      </c>
      <c r="G42" s="112">
        <v>53.17</v>
      </c>
      <c r="H42" s="112">
        <v>17.309999999999999</v>
      </c>
      <c r="I42" s="112">
        <v>4.93</v>
      </c>
      <c r="J42" s="112">
        <v>0.77</v>
      </c>
      <c r="K42" s="112">
        <v>56.26</v>
      </c>
      <c r="L42" s="112">
        <v>26.96</v>
      </c>
      <c r="M42" s="112">
        <v>87.92</v>
      </c>
      <c r="N42" s="112">
        <v>70.2</v>
      </c>
      <c r="O42" s="112">
        <v>0</v>
      </c>
      <c r="P42" s="112">
        <v>0.4</v>
      </c>
      <c r="Q42" s="112">
        <v>4.6500000000000004</v>
      </c>
    </row>
    <row r="43" spans="1:17" customFormat="1">
      <c r="A43" s="80">
        <v>45560.364583333336</v>
      </c>
      <c r="B43" s="112">
        <v>9.19</v>
      </c>
      <c r="C43" s="112">
        <v>4.17</v>
      </c>
      <c r="D43" s="112">
        <v>14</v>
      </c>
      <c r="E43" s="112">
        <v>10.79</v>
      </c>
      <c r="F43" s="112">
        <v>5.58</v>
      </c>
      <c r="G43" s="112">
        <v>45.26</v>
      </c>
      <c r="H43" s="112">
        <v>14.66</v>
      </c>
      <c r="I43" s="112">
        <v>4.74</v>
      </c>
      <c r="J43" s="112">
        <v>0.21</v>
      </c>
      <c r="K43" s="112">
        <v>119.44</v>
      </c>
      <c r="L43" s="112">
        <v>27.16</v>
      </c>
      <c r="M43" s="112">
        <v>88.18</v>
      </c>
      <c r="N43" s="112">
        <v>82.1</v>
      </c>
      <c r="O43" s="112">
        <v>0</v>
      </c>
      <c r="P43" s="112">
        <v>0.4</v>
      </c>
      <c r="Q43" s="112">
        <v>4.6399999999999997</v>
      </c>
    </row>
    <row r="44" spans="1:17" customFormat="1">
      <c r="A44" s="80">
        <v>45560.375</v>
      </c>
      <c r="B44" s="112">
        <v>9.1999999999999993</v>
      </c>
      <c r="C44" s="112">
        <v>4.1500000000000004</v>
      </c>
      <c r="D44" s="112">
        <v>14</v>
      </c>
      <c r="E44" s="112">
        <v>10.56</v>
      </c>
      <c r="F44" s="112">
        <v>4.8099999999999996</v>
      </c>
      <c r="G44" s="112">
        <v>45.26</v>
      </c>
      <c r="H44" s="112">
        <v>14.66</v>
      </c>
      <c r="I44" s="112">
        <v>4.7699999999999996</v>
      </c>
      <c r="J44" s="112">
        <v>0.4</v>
      </c>
      <c r="K44" s="112">
        <v>70.05</v>
      </c>
      <c r="L44" s="112">
        <v>27.71</v>
      </c>
      <c r="M44" s="112">
        <v>85.03</v>
      </c>
      <c r="N44" s="112">
        <v>129.4</v>
      </c>
      <c r="O44" s="112">
        <v>0</v>
      </c>
      <c r="P44" s="112">
        <v>0.4</v>
      </c>
      <c r="Q44" s="112">
        <v>4.6500000000000004</v>
      </c>
    </row>
    <row r="45" spans="1:17" customFormat="1">
      <c r="A45" s="80">
        <v>45560.385416666664</v>
      </c>
      <c r="B45" s="112">
        <v>9.19</v>
      </c>
      <c r="C45" s="112">
        <v>4.17</v>
      </c>
      <c r="D45" s="112">
        <v>14</v>
      </c>
      <c r="E45" s="112">
        <v>10.6</v>
      </c>
      <c r="F45" s="112">
        <v>4.32</v>
      </c>
      <c r="G45" s="112">
        <v>45.26</v>
      </c>
      <c r="H45" s="112">
        <v>14.66</v>
      </c>
      <c r="I45" s="112">
        <v>5.0599999999999996</v>
      </c>
      <c r="J45" s="112">
        <v>0.26</v>
      </c>
      <c r="K45" s="112">
        <v>80.459999999999994</v>
      </c>
      <c r="L45" s="112">
        <v>27.81</v>
      </c>
      <c r="M45" s="112">
        <v>85.06</v>
      </c>
      <c r="N45" s="112">
        <v>82.3</v>
      </c>
      <c r="O45" s="112">
        <v>0</v>
      </c>
      <c r="P45" s="112">
        <v>0.4</v>
      </c>
      <c r="Q45" s="112">
        <v>4.6399999999999997</v>
      </c>
    </row>
    <row r="46" spans="1:17" customFormat="1">
      <c r="A46" s="80">
        <v>45560.395833333336</v>
      </c>
      <c r="B46" s="112">
        <v>9.2100000000000009</v>
      </c>
      <c r="C46" s="112">
        <v>4.1399999999999997</v>
      </c>
      <c r="D46" s="112">
        <v>14</v>
      </c>
      <c r="E46" s="112">
        <v>11.14</v>
      </c>
      <c r="F46" s="112">
        <v>4.63</v>
      </c>
      <c r="G46" s="112">
        <v>45.37</v>
      </c>
      <c r="H46" s="112">
        <v>14.24</v>
      </c>
      <c r="I46" s="112">
        <v>5.05</v>
      </c>
      <c r="J46" s="112">
        <v>0.13</v>
      </c>
      <c r="K46" s="112">
        <v>157.25</v>
      </c>
      <c r="L46" s="112">
        <v>27.95</v>
      </c>
      <c r="M46" s="112">
        <v>84.91</v>
      </c>
      <c r="N46" s="112">
        <v>130.80000000000001</v>
      </c>
      <c r="O46" s="112">
        <v>0</v>
      </c>
      <c r="P46" s="112">
        <v>0.41</v>
      </c>
      <c r="Q46" s="112">
        <v>4.66</v>
      </c>
    </row>
    <row r="47" spans="1:17" customFormat="1">
      <c r="A47" s="80">
        <v>45560.40625</v>
      </c>
      <c r="B47" s="112">
        <v>9.1999999999999993</v>
      </c>
      <c r="C47" s="112">
        <v>4.16</v>
      </c>
      <c r="D47" s="112">
        <v>14</v>
      </c>
      <c r="E47" s="112">
        <v>11.28</v>
      </c>
      <c r="F47" s="112">
        <v>4.95</v>
      </c>
      <c r="G47" s="112">
        <v>46.3</v>
      </c>
      <c r="H47" s="112">
        <v>11.2</v>
      </c>
      <c r="I47" s="112">
        <v>4.91</v>
      </c>
      <c r="J47" s="112">
        <v>0.21</v>
      </c>
      <c r="K47" s="112">
        <v>171.11</v>
      </c>
      <c r="L47" s="112">
        <v>29.01</v>
      </c>
      <c r="M47" s="112">
        <v>81.209999999999994</v>
      </c>
      <c r="N47" s="112">
        <v>253.5</v>
      </c>
      <c r="O47" s="112">
        <v>0</v>
      </c>
      <c r="P47" s="112">
        <v>0.4</v>
      </c>
      <c r="Q47" s="112">
        <v>4.6399999999999997</v>
      </c>
    </row>
    <row r="48" spans="1:17" customFormat="1">
      <c r="A48" s="80">
        <v>45560.416666666664</v>
      </c>
      <c r="B48" s="112">
        <v>9.18</v>
      </c>
      <c r="C48" s="112">
        <v>4.2</v>
      </c>
      <c r="D48" s="112">
        <v>14</v>
      </c>
      <c r="E48" s="112">
        <v>10.37</v>
      </c>
      <c r="F48" s="112">
        <v>4.67</v>
      </c>
      <c r="G48" s="112">
        <v>46.3</v>
      </c>
      <c r="H48" s="112">
        <v>11.2</v>
      </c>
      <c r="I48" s="112">
        <v>5.05</v>
      </c>
      <c r="J48" s="112">
        <v>0.21</v>
      </c>
      <c r="K48" s="112">
        <v>147.05000000000001</v>
      </c>
      <c r="L48" s="112">
        <v>29.4</v>
      </c>
      <c r="M48" s="112">
        <v>80.25</v>
      </c>
      <c r="N48" s="112">
        <v>147.4</v>
      </c>
      <c r="O48" s="112">
        <v>0</v>
      </c>
      <c r="P48" s="112">
        <v>0.41</v>
      </c>
      <c r="Q48" s="112">
        <v>4.63</v>
      </c>
    </row>
    <row r="49" spans="1:17" customFormat="1">
      <c r="A49" s="80">
        <v>45560.427083333336</v>
      </c>
      <c r="B49" s="112">
        <v>9.18</v>
      </c>
      <c r="C49" s="112">
        <v>4.1900000000000004</v>
      </c>
      <c r="D49" s="112">
        <v>14</v>
      </c>
      <c r="E49" s="112">
        <v>10.75</v>
      </c>
      <c r="F49" s="112">
        <v>4.79</v>
      </c>
      <c r="G49" s="112">
        <v>46.3</v>
      </c>
      <c r="H49" s="112">
        <v>11.2</v>
      </c>
      <c r="I49" s="112">
        <v>5.07</v>
      </c>
      <c r="J49" s="112">
        <v>0.22</v>
      </c>
      <c r="K49" s="112">
        <v>151.54</v>
      </c>
      <c r="L49" s="112">
        <v>28.78</v>
      </c>
      <c r="M49" s="112">
        <v>80.239999999999995</v>
      </c>
      <c r="N49" s="112">
        <v>104.7</v>
      </c>
      <c r="O49" s="112">
        <v>0</v>
      </c>
      <c r="P49" s="112">
        <v>0.39</v>
      </c>
      <c r="Q49" s="112">
        <v>4.6500000000000004</v>
      </c>
    </row>
    <row r="50" spans="1:17" customFormat="1">
      <c r="A50" s="80">
        <v>45560.4375</v>
      </c>
      <c r="B50" s="112">
        <v>9.1999999999999993</v>
      </c>
      <c r="C50" s="112">
        <v>4.16</v>
      </c>
      <c r="D50" s="112">
        <v>14</v>
      </c>
      <c r="E50" s="112">
        <v>13.26</v>
      </c>
      <c r="F50" s="112">
        <v>4.8600000000000003</v>
      </c>
      <c r="G50" s="112">
        <v>45.39</v>
      </c>
      <c r="H50" s="112">
        <v>10.96</v>
      </c>
      <c r="I50" s="112">
        <v>4.83</v>
      </c>
      <c r="J50" s="112">
        <v>0.2</v>
      </c>
      <c r="K50" s="112">
        <v>168.14</v>
      </c>
      <c r="L50" s="112">
        <v>28.47</v>
      </c>
      <c r="M50" s="112">
        <v>82.48</v>
      </c>
      <c r="N50" s="112">
        <v>89.7</v>
      </c>
      <c r="O50" s="112">
        <v>0</v>
      </c>
      <c r="P50" s="112">
        <v>0.37</v>
      </c>
      <c r="Q50" s="112">
        <v>4.66</v>
      </c>
    </row>
    <row r="51" spans="1:17" customFormat="1">
      <c r="A51" s="80">
        <v>45560.447916666664</v>
      </c>
      <c r="B51" s="112">
        <v>9.1999999999999993</v>
      </c>
      <c r="C51" s="112">
        <v>4.16</v>
      </c>
      <c r="D51" s="112">
        <v>14</v>
      </c>
      <c r="E51" s="112">
        <v>13.69</v>
      </c>
      <c r="F51" s="112">
        <v>5.36</v>
      </c>
      <c r="G51" s="112">
        <v>36.07</v>
      </c>
      <c r="H51" s="112">
        <v>9.23</v>
      </c>
      <c r="I51" s="112">
        <v>4.7300000000000004</v>
      </c>
      <c r="J51" s="112">
        <v>0.24</v>
      </c>
      <c r="K51" s="112">
        <v>106.96</v>
      </c>
      <c r="L51" s="112">
        <v>28.15</v>
      </c>
      <c r="M51" s="112">
        <v>84.17</v>
      </c>
      <c r="N51" s="112">
        <v>88.4</v>
      </c>
      <c r="O51" s="112">
        <v>0</v>
      </c>
      <c r="P51" s="112">
        <v>0.36</v>
      </c>
      <c r="Q51" s="112">
        <v>4.67</v>
      </c>
    </row>
    <row r="52" spans="1:17" customFormat="1">
      <c r="A52" s="80">
        <v>45560.458333333336</v>
      </c>
      <c r="B52" s="112">
        <v>9.18</v>
      </c>
      <c r="C52" s="112">
        <v>4.18</v>
      </c>
      <c r="D52" s="112">
        <v>14</v>
      </c>
      <c r="E52" s="112">
        <v>13.95</v>
      </c>
      <c r="F52" s="112">
        <v>4.82</v>
      </c>
      <c r="G52" s="112">
        <v>36.07</v>
      </c>
      <c r="H52" s="112">
        <v>9.23</v>
      </c>
      <c r="I52" s="112">
        <v>4.6500000000000004</v>
      </c>
      <c r="J52" s="112">
        <v>0.14000000000000001</v>
      </c>
      <c r="K52" s="112">
        <v>171.56</v>
      </c>
      <c r="L52" s="112">
        <v>28</v>
      </c>
      <c r="M52" s="112">
        <v>85.47</v>
      </c>
      <c r="N52" s="112">
        <v>71.599999999999994</v>
      </c>
      <c r="O52" s="112">
        <v>0</v>
      </c>
      <c r="P52" s="112">
        <v>0.35</v>
      </c>
      <c r="Q52" s="112">
        <v>4.68</v>
      </c>
    </row>
    <row r="53" spans="1:17" customFormat="1">
      <c r="A53" s="80">
        <v>45560.46875</v>
      </c>
      <c r="B53" s="112">
        <v>9.19</v>
      </c>
      <c r="C53" s="112">
        <v>4.18</v>
      </c>
      <c r="D53" s="112">
        <v>14</v>
      </c>
      <c r="E53" s="112">
        <v>13.53</v>
      </c>
      <c r="F53" s="112">
        <v>6.29</v>
      </c>
      <c r="G53" s="112">
        <v>36.07</v>
      </c>
      <c r="H53" s="112">
        <v>9.23</v>
      </c>
      <c r="I53" s="112">
        <v>4.5599999999999996</v>
      </c>
      <c r="J53" s="112">
        <v>0.18</v>
      </c>
      <c r="K53" s="112">
        <v>179.39</v>
      </c>
      <c r="L53" s="112">
        <v>27.36</v>
      </c>
      <c r="M53" s="112">
        <v>91.3</v>
      </c>
      <c r="N53" s="112">
        <v>87.1</v>
      </c>
      <c r="O53" s="112">
        <v>1</v>
      </c>
      <c r="P53" s="112">
        <v>0.36</v>
      </c>
      <c r="Q53" s="112">
        <v>4.66</v>
      </c>
    </row>
    <row r="54" spans="1:17" customFormat="1">
      <c r="A54" s="80">
        <v>45560.479166666664</v>
      </c>
      <c r="B54" s="112">
        <v>9.1999999999999993</v>
      </c>
      <c r="C54" s="112">
        <v>4.16</v>
      </c>
      <c r="D54" s="112">
        <v>14</v>
      </c>
      <c r="E54" s="112">
        <v>14.19</v>
      </c>
      <c r="F54" s="112">
        <v>6.9</v>
      </c>
      <c r="G54" s="112">
        <v>35.79</v>
      </c>
      <c r="H54" s="112">
        <v>9.8800000000000008</v>
      </c>
      <c r="I54" s="112">
        <v>4.63</v>
      </c>
      <c r="J54" s="112">
        <v>0.12</v>
      </c>
      <c r="K54" s="112">
        <v>209.31</v>
      </c>
      <c r="L54" s="112">
        <v>27.02</v>
      </c>
      <c r="M54" s="112">
        <v>94.81</v>
      </c>
      <c r="N54" s="112">
        <v>139.69999999999999</v>
      </c>
      <c r="O54" s="112">
        <v>0.4</v>
      </c>
      <c r="P54" s="112">
        <v>0.35</v>
      </c>
      <c r="Q54" s="112">
        <v>4.66</v>
      </c>
    </row>
    <row r="55" spans="1:17" customFormat="1">
      <c r="A55" s="80">
        <v>45560.489583333336</v>
      </c>
      <c r="B55" s="112">
        <v>9.23</v>
      </c>
      <c r="C55" s="112">
        <v>4.1100000000000003</v>
      </c>
      <c r="D55" s="112">
        <v>14</v>
      </c>
      <c r="E55" s="112">
        <v>13.91</v>
      </c>
      <c r="F55" s="112">
        <v>5.66</v>
      </c>
      <c r="G55" s="112">
        <v>33.26</v>
      </c>
      <c r="H55" s="112">
        <v>15.28</v>
      </c>
      <c r="I55" s="112">
        <v>4.55</v>
      </c>
      <c r="J55" s="112">
        <v>0.31</v>
      </c>
      <c r="K55" s="112">
        <v>256.01</v>
      </c>
      <c r="L55" s="112">
        <v>27.2</v>
      </c>
      <c r="M55" s="112">
        <v>94.45</v>
      </c>
      <c r="N55" s="112">
        <v>196.5</v>
      </c>
      <c r="O55" s="112">
        <v>0</v>
      </c>
      <c r="P55" s="112">
        <v>0.36</v>
      </c>
      <c r="Q55" s="112">
        <v>4.66</v>
      </c>
    </row>
    <row r="56" spans="1:17" customFormat="1">
      <c r="A56" s="80">
        <v>45560.5</v>
      </c>
      <c r="B56" s="112">
        <v>9.2200000000000006</v>
      </c>
      <c r="C56" s="112">
        <v>4.12</v>
      </c>
      <c r="D56" s="112">
        <v>14</v>
      </c>
      <c r="E56" s="112">
        <v>14</v>
      </c>
      <c r="F56" s="112">
        <v>5.48</v>
      </c>
      <c r="G56" s="112">
        <v>33.26</v>
      </c>
      <c r="H56" s="112">
        <v>15.28</v>
      </c>
      <c r="I56" s="112">
        <v>4.46</v>
      </c>
      <c r="J56" s="112">
        <v>0.13</v>
      </c>
      <c r="K56" s="112">
        <v>297.23</v>
      </c>
      <c r="L56" s="112">
        <v>27.56</v>
      </c>
      <c r="M56" s="112">
        <v>92.34</v>
      </c>
      <c r="N56" s="112">
        <v>198.8</v>
      </c>
      <c r="O56" s="112">
        <v>0</v>
      </c>
      <c r="P56" s="112">
        <v>0.35</v>
      </c>
      <c r="Q56" s="112">
        <v>4.66</v>
      </c>
    </row>
    <row r="57" spans="1:17" customFormat="1">
      <c r="A57" s="80">
        <v>45560.510416666664</v>
      </c>
      <c r="B57" s="112">
        <v>9.23</v>
      </c>
      <c r="C57" s="112">
        <v>4.1100000000000003</v>
      </c>
      <c r="D57" s="112">
        <v>14</v>
      </c>
      <c r="E57" s="112">
        <v>14.16</v>
      </c>
      <c r="F57" s="112">
        <v>6.14</v>
      </c>
      <c r="G57" s="112">
        <v>33.26</v>
      </c>
      <c r="H57" s="112">
        <v>15.28</v>
      </c>
      <c r="I57" s="112">
        <v>4.54</v>
      </c>
      <c r="J57" s="112">
        <v>0.13</v>
      </c>
      <c r="K57" s="112">
        <v>283.77999999999997</v>
      </c>
      <c r="L57" s="112">
        <v>27.92</v>
      </c>
      <c r="M57" s="112">
        <v>86.91</v>
      </c>
      <c r="N57" s="112">
        <v>263.10000000000002</v>
      </c>
      <c r="O57" s="112">
        <v>0</v>
      </c>
      <c r="P57" s="112">
        <v>0.35</v>
      </c>
      <c r="Q57" s="112">
        <v>4.6500000000000004</v>
      </c>
    </row>
    <row r="58" spans="1:17" customFormat="1">
      <c r="A58" s="80">
        <v>45560.520833333336</v>
      </c>
      <c r="B58" s="112">
        <v>9.23</v>
      </c>
      <c r="C58" s="112">
        <v>4.12</v>
      </c>
      <c r="D58" s="112">
        <v>14</v>
      </c>
      <c r="E58" s="112">
        <v>14.66</v>
      </c>
      <c r="F58" s="112">
        <v>7.53</v>
      </c>
      <c r="G58" s="112">
        <v>33.229999999999997</v>
      </c>
      <c r="H58" s="112">
        <v>15.14</v>
      </c>
      <c r="I58" s="112">
        <v>4.49</v>
      </c>
      <c r="J58" s="112">
        <v>0.15</v>
      </c>
      <c r="K58" s="112">
        <v>4.1500000000000004</v>
      </c>
      <c r="L58" s="112">
        <v>28.11</v>
      </c>
      <c r="M58" s="112">
        <v>84.93</v>
      </c>
      <c r="N58" s="112">
        <v>166.7</v>
      </c>
      <c r="O58" s="112">
        <v>0</v>
      </c>
      <c r="P58" s="112">
        <v>0.35</v>
      </c>
      <c r="Q58" s="112">
        <v>4.6399999999999997</v>
      </c>
    </row>
    <row r="59" spans="1:17" customFormat="1">
      <c r="A59" s="80">
        <v>45560.53125</v>
      </c>
      <c r="B59" s="112">
        <v>9.2200000000000006</v>
      </c>
      <c r="C59" s="112">
        <v>4.13</v>
      </c>
      <c r="D59" s="112">
        <v>14</v>
      </c>
      <c r="E59" s="112">
        <v>14.78</v>
      </c>
      <c r="F59" s="112">
        <v>4.8899999999999997</v>
      </c>
      <c r="G59" s="112">
        <v>32.93</v>
      </c>
      <c r="H59" s="112">
        <v>13.92</v>
      </c>
      <c r="I59" s="112">
        <v>4.47</v>
      </c>
      <c r="J59" s="112">
        <v>0.16</v>
      </c>
      <c r="K59" s="112">
        <v>217.33</v>
      </c>
      <c r="L59" s="112">
        <v>28.49</v>
      </c>
      <c r="M59" s="112">
        <v>86.35</v>
      </c>
      <c r="N59" s="112">
        <v>118.8</v>
      </c>
      <c r="O59" s="112">
        <v>0</v>
      </c>
      <c r="P59" s="112">
        <v>0.35</v>
      </c>
      <c r="Q59" s="112">
        <v>4.6399999999999997</v>
      </c>
    </row>
    <row r="60" spans="1:17" customFormat="1">
      <c r="A60" s="80">
        <v>45560.541666666664</v>
      </c>
      <c r="B60" s="112">
        <v>9.18</v>
      </c>
      <c r="C60" s="112">
        <v>4.1900000000000004</v>
      </c>
      <c r="D60" s="112">
        <v>14</v>
      </c>
      <c r="E60" s="112">
        <v>14.93</v>
      </c>
      <c r="F60" s="112">
        <v>5.99</v>
      </c>
      <c r="G60" s="112">
        <v>32.93</v>
      </c>
      <c r="H60" s="112">
        <v>13.92</v>
      </c>
      <c r="I60" s="112">
        <v>4.42</v>
      </c>
      <c r="J60" s="112">
        <v>0.03</v>
      </c>
      <c r="K60" s="112">
        <v>269.25</v>
      </c>
      <c r="L60" s="112">
        <v>28.56</v>
      </c>
      <c r="M60" s="112">
        <v>83.67</v>
      </c>
      <c r="N60" s="112">
        <v>116.7</v>
      </c>
      <c r="O60" s="112">
        <v>0</v>
      </c>
      <c r="P60" s="112">
        <v>0.36</v>
      </c>
      <c r="Q60" s="112">
        <v>4.66</v>
      </c>
    </row>
    <row r="61" spans="1:17" customFormat="1">
      <c r="A61" s="80">
        <v>45560.552083333336</v>
      </c>
      <c r="B61" s="112">
        <v>9.17</v>
      </c>
      <c r="C61" s="112">
        <v>4.2</v>
      </c>
      <c r="D61" s="112">
        <v>14</v>
      </c>
      <c r="E61" s="112">
        <v>14.61</v>
      </c>
      <c r="F61" s="112">
        <v>5.3</v>
      </c>
      <c r="G61" s="112">
        <v>32.93</v>
      </c>
      <c r="H61" s="112">
        <v>13.92</v>
      </c>
      <c r="I61" s="112">
        <v>4.47</v>
      </c>
      <c r="J61" s="112">
        <v>0.2</v>
      </c>
      <c r="K61" s="112">
        <v>273.10000000000002</v>
      </c>
      <c r="L61" s="112">
        <v>28.68</v>
      </c>
      <c r="M61" s="112">
        <v>82.94</v>
      </c>
      <c r="N61" s="112">
        <v>177.9</v>
      </c>
      <c r="O61" s="112">
        <v>0</v>
      </c>
      <c r="P61" s="112">
        <v>0.36</v>
      </c>
      <c r="Q61" s="112">
        <v>4.6500000000000004</v>
      </c>
    </row>
    <row r="62" spans="1:17" customFormat="1">
      <c r="A62" s="80">
        <v>45560.5625</v>
      </c>
      <c r="B62" s="112">
        <v>9.19</v>
      </c>
      <c r="C62" s="112">
        <v>4.17</v>
      </c>
      <c r="D62" s="112">
        <v>14</v>
      </c>
      <c r="E62" s="112">
        <v>14.88</v>
      </c>
      <c r="F62" s="112">
        <v>7.24</v>
      </c>
      <c r="G62" s="112">
        <v>33.450000000000003</v>
      </c>
      <c r="H62" s="112">
        <v>14.17</v>
      </c>
      <c r="I62" s="112">
        <v>4.43</v>
      </c>
      <c r="J62" s="112">
        <v>0.13</v>
      </c>
      <c r="K62" s="112">
        <v>20.190000000000001</v>
      </c>
      <c r="L62" s="112">
        <v>28.97</v>
      </c>
      <c r="M62" s="112">
        <v>79.150000000000006</v>
      </c>
      <c r="N62" s="112">
        <v>174.8</v>
      </c>
      <c r="O62" s="112">
        <v>0</v>
      </c>
      <c r="P62" s="112">
        <v>0.36</v>
      </c>
      <c r="Q62" s="112">
        <v>4.6500000000000004</v>
      </c>
    </row>
    <row r="63" spans="1:17" customFormat="1">
      <c r="A63" s="80">
        <v>45560.572916666664</v>
      </c>
      <c r="B63" s="112">
        <v>9.19</v>
      </c>
      <c r="C63" s="112">
        <v>4.18</v>
      </c>
      <c r="D63" s="112">
        <v>14</v>
      </c>
      <c r="E63" s="112">
        <v>14.86</v>
      </c>
      <c r="F63" s="112">
        <v>6.53</v>
      </c>
      <c r="G63" s="112">
        <v>38.69</v>
      </c>
      <c r="H63" s="112">
        <v>16.260000000000002</v>
      </c>
      <c r="I63" s="112">
        <v>4.46</v>
      </c>
      <c r="J63" s="112">
        <v>0.23</v>
      </c>
      <c r="K63" s="112">
        <v>180.92</v>
      </c>
      <c r="L63" s="112">
        <v>29.44</v>
      </c>
      <c r="M63" s="112">
        <v>79.44</v>
      </c>
      <c r="N63" s="112">
        <v>132.19999999999999</v>
      </c>
      <c r="O63" s="112">
        <v>0</v>
      </c>
      <c r="P63" s="112">
        <v>0.36</v>
      </c>
      <c r="Q63" s="112">
        <v>4.66</v>
      </c>
    </row>
    <row r="64" spans="1:17" customFormat="1">
      <c r="A64" s="80">
        <v>45560.583333333336</v>
      </c>
      <c r="B64" s="112">
        <v>9.19</v>
      </c>
      <c r="C64" s="112">
        <v>4.18</v>
      </c>
      <c r="D64" s="112">
        <v>14</v>
      </c>
      <c r="E64" s="112">
        <v>15.01</v>
      </c>
      <c r="F64" s="112">
        <v>6.71</v>
      </c>
      <c r="G64" s="112">
        <v>38.69</v>
      </c>
      <c r="H64" s="112">
        <v>16.260000000000002</v>
      </c>
      <c r="I64" s="112">
        <v>4.47</v>
      </c>
      <c r="J64" s="112">
        <v>0.24</v>
      </c>
      <c r="K64" s="112">
        <v>164.33</v>
      </c>
      <c r="L64" s="112">
        <v>29.74</v>
      </c>
      <c r="M64" s="112">
        <v>77.86</v>
      </c>
      <c r="N64" s="112">
        <v>128.1</v>
      </c>
      <c r="O64" s="112">
        <v>0</v>
      </c>
      <c r="P64" s="112">
        <v>0.35</v>
      </c>
      <c r="Q64" s="112">
        <v>4.66</v>
      </c>
    </row>
    <row r="65" spans="1:17" customFormat="1">
      <c r="A65" s="80">
        <v>45560.59375</v>
      </c>
      <c r="B65" s="112">
        <v>9.19</v>
      </c>
      <c r="C65" s="112">
        <v>4.18</v>
      </c>
      <c r="D65" s="112">
        <v>14</v>
      </c>
      <c r="E65" s="112">
        <v>15.41</v>
      </c>
      <c r="F65" s="112">
        <v>7.94</v>
      </c>
      <c r="G65" s="112">
        <v>38.69</v>
      </c>
      <c r="H65" s="112">
        <v>16.260000000000002</v>
      </c>
      <c r="I65" s="112">
        <v>4.53</v>
      </c>
      <c r="J65" s="112">
        <v>0.17</v>
      </c>
      <c r="K65" s="112">
        <v>193.6</v>
      </c>
      <c r="L65" s="112">
        <v>29.77</v>
      </c>
      <c r="M65" s="112">
        <v>78.13</v>
      </c>
      <c r="N65" s="112">
        <v>131.19999999999999</v>
      </c>
      <c r="O65" s="112">
        <v>0</v>
      </c>
      <c r="P65" s="112">
        <v>0.4</v>
      </c>
      <c r="Q65" s="112">
        <v>4.66</v>
      </c>
    </row>
    <row r="66" spans="1:17" customFormat="1">
      <c r="A66" s="80">
        <v>45560.604166666664</v>
      </c>
      <c r="B66" s="112">
        <v>9.19</v>
      </c>
      <c r="C66" s="112">
        <v>4.18</v>
      </c>
      <c r="D66" s="112">
        <v>14</v>
      </c>
      <c r="E66" s="112">
        <v>15.62</v>
      </c>
      <c r="F66" s="112">
        <v>6.79</v>
      </c>
      <c r="G66" s="112">
        <v>38.26</v>
      </c>
      <c r="H66" s="112">
        <v>16.13</v>
      </c>
      <c r="I66" s="112">
        <v>4.51</v>
      </c>
      <c r="J66" s="112">
        <v>0.21</v>
      </c>
      <c r="K66" s="112">
        <v>106.99</v>
      </c>
      <c r="L66" s="112">
        <v>29.78</v>
      </c>
      <c r="M66" s="112">
        <v>77.31</v>
      </c>
      <c r="N66" s="112">
        <v>107</v>
      </c>
      <c r="O66" s="112">
        <v>0</v>
      </c>
      <c r="P66" s="112">
        <v>0.43</v>
      </c>
      <c r="Q66" s="112">
        <v>4.66</v>
      </c>
    </row>
    <row r="67" spans="1:17" customFormat="1">
      <c r="A67" s="80">
        <v>45560.614583333336</v>
      </c>
      <c r="B67" s="112">
        <v>9.19</v>
      </c>
      <c r="C67" s="112">
        <v>4.17</v>
      </c>
      <c r="D67" s="112">
        <v>14</v>
      </c>
      <c r="E67" s="112">
        <v>15.4</v>
      </c>
      <c r="F67" s="112">
        <v>6.09</v>
      </c>
      <c r="G67" s="112">
        <v>33.83</v>
      </c>
      <c r="H67" s="112">
        <v>15.15</v>
      </c>
      <c r="I67" s="112">
        <v>4.41</v>
      </c>
      <c r="J67" s="112">
        <v>0.3</v>
      </c>
      <c r="K67" s="112">
        <v>74.680000000000007</v>
      </c>
      <c r="L67" s="112">
        <v>29.44</v>
      </c>
      <c r="M67" s="112">
        <v>77.72</v>
      </c>
      <c r="N67" s="112">
        <v>108.3</v>
      </c>
      <c r="O67" s="112">
        <v>0</v>
      </c>
      <c r="P67" s="112">
        <v>0.44</v>
      </c>
      <c r="Q67" s="112">
        <v>4.6500000000000004</v>
      </c>
    </row>
    <row r="68" spans="1:17" customFormat="1">
      <c r="A68" s="80">
        <v>45560.625</v>
      </c>
      <c r="B68" s="112">
        <v>9.18</v>
      </c>
      <c r="C68" s="112">
        <v>4.1900000000000004</v>
      </c>
      <c r="D68" s="112">
        <v>14</v>
      </c>
      <c r="E68" s="112">
        <v>16.29</v>
      </c>
      <c r="F68" s="112">
        <v>5.7</v>
      </c>
      <c r="G68" s="112">
        <v>33.83</v>
      </c>
      <c r="H68" s="112">
        <v>15.15</v>
      </c>
      <c r="I68" s="112">
        <v>4.46</v>
      </c>
      <c r="J68" s="112">
        <v>0.1</v>
      </c>
      <c r="K68" s="112">
        <v>230.15</v>
      </c>
      <c r="L68" s="112">
        <v>29.38</v>
      </c>
      <c r="M68" s="112">
        <v>79.599999999999994</v>
      </c>
      <c r="N68" s="112">
        <v>92</v>
      </c>
      <c r="O68" s="112">
        <v>0</v>
      </c>
      <c r="P68" s="112">
        <v>0.45</v>
      </c>
      <c r="Q68" s="112">
        <v>4.6500000000000004</v>
      </c>
    </row>
    <row r="69" spans="1:17" customFormat="1">
      <c r="A69" s="80">
        <v>45560.635416666664</v>
      </c>
      <c r="B69" s="112">
        <v>9.19</v>
      </c>
      <c r="C69" s="112">
        <v>4.17</v>
      </c>
      <c r="D69" s="112">
        <v>14</v>
      </c>
      <c r="E69" s="112">
        <v>15.93</v>
      </c>
      <c r="F69" s="112">
        <v>6.03</v>
      </c>
      <c r="G69" s="112">
        <v>33.83</v>
      </c>
      <c r="H69" s="112">
        <v>15.15</v>
      </c>
      <c r="I69" s="112">
        <v>4.54</v>
      </c>
      <c r="J69" s="112">
        <v>0.33</v>
      </c>
      <c r="K69" s="112">
        <v>70.290000000000006</v>
      </c>
      <c r="L69" s="112">
        <v>29.33</v>
      </c>
      <c r="M69" s="112">
        <v>79.760000000000005</v>
      </c>
      <c r="N69" s="112">
        <v>98.6</v>
      </c>
      <c r="O69" s="112">
        <v>0</v>
      </c>
      <c r="P69" s="112">
        <v>0.46</v>
      </c>
      <c r="Q69" s="112">
        <v>4.6500000000000004</v>
      </c>
    </row>
    <row r="70" spans="1:17" customFormat="1">
      <c r="A70" s="80">
        <v>45560.645833333336</v>
      </c>
      <c r="B70" s="112">
        <v>9.18</v>
      </c>
      <c r="C70" s="112">
        <v>4.1900000000000004</v>
      </c>
      <c r="D70" s="112">
        <v>14</v>
      </c>
      <c r="E70" s="112">
        <v>17.32</v>
      </c>
      <c r="F70" s="112">
        <v>7.52</v>
      </c>
      <c r="G70" s="112">
        <v>35.159999999999997</v>
      </c>
      <c r="H70" s="112">
        <v>15.48</v>
      </c>
      <c r="I70" s="112">
        <v>4.58</v>
      </c>
      <c r="J70" s="112">
        <v>0.15</v>
      </c>
      <c r="K70" s="112">
        <v>112.06</v>
      </c>
      <c r="L70" s="112">
        <v>29.4</v>
      </c>
      <c r="M70" s="112">
        <v>78.89</v>
      </c>
      <c r="N70" s="112">
        <v>119.9</v>
      </c>
      <c r="O70" s="112">
        <v>0</v>
      </c>
      <c r="P70" s="112">
        <v>0.49</v>
      </c>
      <c r="Q70" s="112">
        <v>4.6500000000000004</v>
      </c>
    </row>
    <row r="71" spans="1:17" customFormat="1">
      <c r="A71" s="80">
        <v>45560.65625</v>
      </c>
      <c r="B71" s="112">
        <v>9.19</v>
      </c>
      <c r="C71" s="112">
        <v>4.18</v>
      </c>
      <c r="D71" s="112">
        <v>14</v>
      </c>
      <c r="E71" s="112">
        <v>16.63</v>
      </c>
      <c r="F71" s="112">
        <v>7.08</v>
      </c>
      <c r="G71" s="112">
        <v>48.77</v>
      </c>
      <c r="H71" s="112">
        <v>18.260000000000002</v>
      </c>
      <c r="I71" s="112">
        <v>4.66</v>
      </c>
      <c r="J71" s="112">
        <v>0.32</v>
      </c>
      <c r="K71" s="112">
        <v>61.39</v>
      </c>
      <c r="L71" s="112">
        <v>29.64</v>
      </c>
      <c r="M71" s="112">
        <v>78.3</v>
      </c>
      <c r="N71" s="112">
        <v>94.2</v>
      </c>
      <c r="O71" s="112">
        <v>0</v>
      </c>
      <c r="P71" s="112">
        <v>0.49</v>
      </c>
      <c r="Q71" s="112">
        <v>4.6500000000000004</v>
      </c>
    </row>
    <row r="72" spans="1:17" customFormat="1">
      <c r="A72" s="80">
        <v>45560.666666666664</v>
      </c>
      <c r="B72" s="112">
        <v>9.2100000000000009</v>
      </c>
      <c r="C72" s="112">
        <v>4.1500000000000004</v>
      </c>
      <c r="D72" s="112">
        <v>14</v>
      </c>
      <c r="E72" s="112">
        <v>16.510000000000002</v>
      </c>
      <c r="F72" s="112">
        <v>7.28</v>
      </c>
      <c r="G72" s="112">
        <v>48.77</v>
      </c>
      <c r="H72" s="112">
        <v>18.260000000000002</v>
      </c>
      <c r="I72" s="112">
        <v>4.7300000000000004</v>
      </c>
      <c r="J72" s="112">
        <v>0.28000000000000003</v>
      </c>
      <c r="K72" s="112">
        <v>76.2</v>
      </c>
      <c r="L72" s="112">
        <v>29.37</v>
      </c>
      <c r="M72" s="112">
        <v>79.400000000000006</v>
      </c>
      <c r="N72" s="112">
        <v>69</v>
      </c>
      <c r="O72" s="112">
        <v>0</v>
      </c>
      <c r="P72" s="112">
        <v>0.49</v>
      </c>
      <c r="Q72" s="112">
        <v>4.6399999999999997</v>
      </c>
    </row>
    <row r="73" spans="1:17" customFormat="1">
      <c r="A73" s="80">
        <v>45560.677083333336</v>
      </c>
      <c r="B73" s="112">
        <v>9.2200000000000006</v>
      </c>
      <c r="C73" s="112">
        <v>4.13</v>
      </c>
      <c r="D73" s="112">
        <v>14</v>
      </c>
      <c r="E73" s="112">
        <v>17.34</v>
      </c>
      <c r="F73" s="112">
        <v>7.79</v>
      </c>
      <c r="G73" s="112">
        <v>48.77</v>
      </c>
      <c r="H73" s="112">
        <v>18.260000000000002</v>
      </c>
      <c r="I73" s="112">
        <v>4.76</v>
      </c>
      <c r="J73" s="112">
        <v>0.38</v>
      </c>
      <c r="K73" s="112">
        <v>53.66</v>
      </c>
      <c r="L73" s="112">
        <v>29.34</v>
      </c>
      <c r="M73" s="112">
        <v>78.930000000000007</v>
      </c>
      <c r="N73" s="112">
        <v>57.9</v>
      </c>
      <c r="O73" s="112">
        <v>0</v>
      </c>
      <c r="P73" s="112">
        <v>0.52</v>
      </c>
      <c r="Q73" s="112">
        <v>4.63</v>
      </c>
    </row>
    <row r="74" spans="1:17" customFormat="1">
      <c r="A74" s="80">
        <v>45560.6875</v>
      </c>
      <c r="B74" s="112">
        <v>9.2100000000000009</v>
      </c>
      <c r="C74" s="112">
        <v>4.1500000000000004</v>
      </c>
      <c r="D74" s="112">
        <v>14</v>
      </c>
      <c r="E74" s="112">
        <v>19.38</v>
      </c>
      <c r="F74" s="112">
        <v>7.9</v>
      </c>
      <c r="G74" s="112">
        <v>50.18</v>
      </c>
      <c r="H74" s="112">
        <v>18.8</v>
      </c>
      <c r="I74" s="112">
        <v>4.82</v>
      </c>
      <c r="J74" s="112">
        <v>0.31</v>
      </c>
      <c r="K74" s="112">
        <v>59.63</v>
      </c>
      <c r="L74" s="112">
        <v>29.23</v>
      </c>
      <c r="M74" s="112">
        <v>79.540000000000006</v>
      </c>
      <c r="N74" s="112">
        <v>39.9</v>
      </c>
      <c r="O74" s="112">
        <v>0</v>
      </c>
      <c r="P74" s="112">
        <v>0.53</v>
      </c>
      <c r="Q74" s="112">
        <v>4.6399999999999997</v>
      </c>
    </row>
    <row r="75" spans="1:17" customFormat="1">
      <c r="A75" s="80">
        <v>45560.697916666664</v>
      </c>
      <c r="B75" s="112">
        <v>9.19</v>
      </c>
      <c r="C75" s="112">
        <v>4.17</v>
      </c>
      <c r="D75" s="112">
        <v>14</v>
      </c>
      <c r="E75" s="112">
        <v>20.149999999999999</v>
      </c>
      <c r="F75" s="112">
        <v>7.11</v>
      </c>
      <c r="G75" s="112">
        <v>62.8</v>
      </c>
      <c r="H75" s="112">
        <v>22.79</v>
      </c>
      <c r="I75" s="112">
        <v>4.87</v>
      </c>
      <c r="J75" s="112">
        <v>0.19</v>
      </c>
      <c r="K75" s="112">
        <v>46.28</v>
      </c>
      <c r="L75" s="112">
        <v>29.09</v>
      </c>
      <c r="M75" s="112">
        <v>80.62</v>
      </c>
      <c r="N75" s="112">
        <v>24.2</v>
      </c>
      <c r="O75" s="112">
        <v>0</v>
      </c>
      <c r="P75" s="112">
        <v>0.55000000000000004</v>
      </c>
      <c r="Q75" s="112">
        <v>4.6500000000000004</v>
      </c>
    </row>
    <row r="76" spans="1:17" customFormat="1">
      <c r="A76" s="80">
        <v>45560.708333333336</v>
      </c>
      <c r="B76" s="112">
        <v>9.17</v>
      </c>
      <c r="C76" s="112">
        <v>4.2</v>
      </c>
      <c r="D76" s="112">
        <v>14</v>
      </c>
      <c r="E76" s="112">
        <v>16.39</v>
      </c>
      <c r="F76" s="112">
        <v>6.42</v>
      </c>
      <c r="G76" s="112">
        <v>62.8</v>
      </c>
      <c r="H76" s="112">
        <v>22.79</v>
      </c>
      <c r="I76" s="112">
        <v>4.93</v>
      </c>
      <c r="J76" s="112">
        <v>0.17</v>
      </c>
      <c r="K76" s="112">
        <v>92.31</v>
      </c>
      <c r="L76" s="112">
        <v>28.9</v>
      </c>
      <c r="M76" s="112">
        <v>82.1</v>
      </c>
      <c r="N76" s="112">
        <v>19.600000000000001</v>
      </c>
      <c r="O76" s="112">
        <v>0</v>
      </c>
      <c r="P76" s="112">
        <v>0.53</v>
      </c>
      <c r="Q76" s="112">
        <v>4.6399999999999997</v>
      </c>
    </row>
    <row r="77" spans="1:17" customFormat="1">
      <c r="A77" s="80">
        <v>45560.71875</v>
      </c>
      <c r="B77" s="112">
        <v>9.17</v>
      </c>
      <c r="C77" s="112">
        <v>4.2</v>
      </c>
      <c r="D77" s="112">
        <v>14</v>
      </c>
      <c r="E77" s="112">
        <v>15.54</v>
      </c>
      <c r="F77" s="112">
        <v>5.91</v>
      </c>
      <c r="G77" s="112">
        <v>62.8</v>
      </c>
      <c r="H77" s="112">
        <v>22.79</v>
      </c>
      <c r="I77" s="112">
        <v>5.0599999999999996</v>
      </c>
      <c r="J77" s="112">
        <v>0.44</v>
      </c>
      <c r="K77" s="112">
        <v>55.35</v>
      </c>
      <c r="L77" s="112">
        <v>28.81</v>
      </c>
      <c r="M77" s="112">
        <v>81.430000000000007</v>
      </c>
      <c r="N77" s="112">
        <v>16</v>
      </c>
      <c r="O77" s="112">
        <v>0</v>
      </c>
      <c r="P77" s="112">
        <v>0.56999999999999995</v>
      </c>
      <c r="Q77" s="112">
        <v>4.63</v>
      </c>
    </row>
    <row r="78" spans="1:17" customFormat="1">
      <c r="A78" s="80">
        <v>45560.729166666664</v>
      </c>
      <c r="B78" s="112">
        <v>9.14</v>
      </c>
      <c r="C78" s="112">
        <v>4.24</v>
      </c>
      <c r="D78" s="112">
        <v>14</v>
      </c>
      <c r="E78" s="112">
        <v>15.56</v>
      </c>
      <c r="F78" s="112">
        <v>5.91</v>
      </c>
      <c r="G78" s="112">
        <v>63.86</v>
      </c>
      <c r="H78" s="112">
        <v>22.89</v>
      </c>
      <c r="I78" s="112">
        <v>5.12</v>
      </c>
      <c r="J78" s="112">
        <v>0.13</v>
      </c>
      <c r="K78" s="112">
        <v>63.54</v>
      </c>
      <c r="L78" s="112">
        <v>28.68</v>
      </c>
      <c r="M78" s="112">
        <v>83.5</v>
      </c>
      <c r="N78" s="112">
        <v>9.3000000000000007</v>
      </c>
      <c r="O78" s="112">
        <v>0</v>
      </c>
      <c r="P78" s="112">
        <v>0.56999999999999995</v>
      </c>
      <c r="Q78" s="112">
        <v>4.62</v>
      </c>
    </row>
    <row r="79" spans="1:17" customFormat="1">
      <c r="A79" s="80">
        <v>45560.739583333336</v>
      </c>
      <c r="B79" s="112">
        <v>9.1300000000000008</v>
      </c>
      <c r="C79" s="112">
        <v>4.2699999999999996</v>
      </c>
      <c r="D79" s="112">
        <v>14</v>
      </c>
      <c r="E79" s="112">
        <v>14.51</v>
      </c>
      <c r="F79" s="112">
        <v>5.22</v>
      </c>
      <c r="G79" s="112">
        <v>74.78</v>
      </c>
      <c r="H79" s="112">
        <v>23.63</v>
      </c>
      <c r="I79" s="112">
        <v>5.33</v>
      </c>
      <c r="J79" s="112">
        <v>0.54</v>
      </c>
      <c r="K79" s="112">
        <v>56.98</v>
      </c>
      <c r="L79" s="112">
        <v>28.45</v>
      </c>
      <c r="M79" s="112">
        <v>84.87</v>
      </c>
      <c r="N79" s="112">
        <v>4</v>
      </c>
      <c r="O79" s="112">
        <v>0</v>
      </c>
      <c r="P79" s="112">
        <v>0.59</v>
      </c>
      <c r="Q79" s="112">
        <v>4.63</v>
      </c>
    </row>
    <row r="80" spans="1:17" customFormat="1">
      <c r="A80" s="80">
        <v>45560.75</v>
      </c>
      <c r="B80" s="112">
        <v>9.1300000000000008</v>
      </c>
      <c r="C80" s="112">
        <v>4.26</v>
      </c>
      <c r="D80" s="112">
        <v>14</v>
      </c>
      <c r="E80" s="112">
        <v>14.34</v>
      </c>
      <c r="F80" s="112">
        <v>5.03</v>
      </c>
      <c r="G80" s="112">
        <v>74.78</v>
      </c>
      <c r="H80" s="112">
        <v>23.63</v>
      </c>
      <c r="I80" s="112">
        <v>5.35</v>
      </c>
      <c r="J80" s="112">
        <v>0.8</v>
      </c>
      <c r="K80" s="112">
        <v>55.8</v>
      </c>
      <c r="L80" s="112">
        <v>28.2</v>
      </c>
      <c r="M80" s="112">
        <v>84.73</v>
      </c>
      <c r="N80" s="112">
        <v>2.8</v>
      </c>
      <c r="O80" s="112">
        <v>0</v>
      </c>
      <c r="P80" s="112">
        <v>0.6</v>
      </c>
      <c r="Q80" s="112">
        <v>4.62</v>
      </c>
    </row>
    <row r="81" spans="1:17" customFormat="1">
      <c r="A81" s="80">
        <v>45560.760416666664</v>
      </c>
      <c r="B81" s="112">
        <v>9.14</v>
      </c>
      <c r="C81" s="112">
        <v>4.24</v>
      </c>
      <c r="D81" s="112">
        <v>14</v>
      </c>
      <c r="E81" s="112">
        <v>10.97</v>
      </c>
      <c r="F81" s="112">
        <v>5.29</v>
      </c>
      <c r="G81" s="112">
        <v>74.78</v>
      </c>
      <c r="H81" s="112">
        <v>23.63</v>
      </c>
      <c r="I81" s="112">
        <v>5.55</v>
      </c>
      <c r="J81" s="112">
        <v>0.59</v>
      </c>
      <c r="K81" s="112">
        <v>57.74</v>
      </c>
      <c r="L81" s="112">
        <v>27.95</v>
      </c>
      <c r="M81" s="112">
        <v>85.42</v>
      </c>
      <c r="N81" s="112">
        <v>2.6</v>
      </c>
      <c r="O81" s="112">
        <v>0</v>
      </c>
      <c r="P81" s="112">
        <v>0.6</v>
      </c>
      <c r="Q81" s="112">
        <v>4.62</v>
      </c>
    </row>
    <row r="82" spans="1:17" customFormat="1">
      <c r="A82" s="80">
        <v>45560.770833333336</v>
      </c>
      <c r="B82" s="112">
        <v>9.14</v>
      </c>
      <c r="C82" s="112">
        <v>4.24</v>
      </c>
      <c r="D82" s="112">
        <v>14</v>
      </c>
      <c r="E82" s="112">
        <v>13.52</v>
      </c>
      <c r="F82" s="112">
        <v>5.24</v>
      </c>
      <c r="G82" s="112">
        <v>76</v>
      </c>
      <c r="H82" s="112">
        <v>23.92</v>
      </c>
      <c r="I82" s="112">
        <v>6.18</v>
      </c>
      <c r="J82" s="112">
        <v>0.52</v>
      </c>
      <c r="K82" s="112">
        <v>55.25</v>
      </c>
      <c r="L82" s="112">
        <v>27.78</v>
      </c>
      <c r="M82" s="112">
        <v>85.39</v>
      </c>
      <c r="N82" s="112">
        <v>2.5</v>
      </c>
      <c r="O82" s="112">
        <v>0</v>
      </c>
      <c r="P82" s="112">
        <v>0.63</v>
      </c>
      <c r="Q82" s="112">
        <v>4.63</v>
      </c>
    </row>
    <row r="83" spans="1:17" customFormat="1">
      <c r="A83" s="80">
        <v>45560.78125</v>
      </c>
      <c r="B83" s="112">
        <v>9.15</v>
      </c>
      <c r="C83" s="112">
        <v>4.24</v>
      </c>
      <c r="D83" s="112">
        <v>14</v>
      </c>
      <c r="E83" s="112">
        <v>13.15</v>
      </c>
      <c r="F83" s="112">
        <v>4.78</v>
      </c>
      <c r="G83" s="112">
        <v>86.98</v>
      </c>
      <c r="H83" s="112">
        <v>26.08</v>
      </c>
      <c r="I83" s="112">
        <v>7</v>
      </c>
      <c r="J83" s="112">
        <v>0.6</v>
      </c>
      <c r="K83" s="112">
        <v>62.93</v>
      </c>
      <c r="L83" s="112">
        <v>27.61</v>
      </c>
      <c r="M83" s="112">
        <v>86.21</v>
      </c>
      <c r="N83" s="112">
        <v>2.4</v>
      </c>
      <c r="O83" s="112">
        <v>0</v>
      </c>
      <c r="P83" s="112">
        <v>0.62</v>
      </c>
      <c r="Q83" s="112">
        <v>4.62</v>
      </c>
    </row>
    <row r="84" spans="1:17" customFormat="1">
      <c r="A84" s="80">
        <v>45560.791666666664</v>
      </c>
      <c r="B84" s="112">
        <v>9.15</v>
      </c>
      <c r="C84" s="112">
        <v>4.2300000000000004</v>
      </c>
      <c r="D84" s="112">
        <v>14</v>
      </c>
      <c r="E84" s="112">
        <v>12.64</v>
      </c>
      <c r="F84" s="112">
        <v>4.47</v>
      </c>
      <c r="G84" s="112">
        <v>86.98</v>
      </c>
      <c r="H84" s="112">
        <v>26.08</v>
      </c>
      <c r="I84" s="112">
        <v>6.4</v>
      </c>
      <c r="J84" s="112">
        <v>0.41</v>
      </c>
      <c r="K84" s="112">
        <v>63.64</v>
      </c>
      <c r="L84" s="112">
        <v>27.54</v>
      </c>
      <c r="M84" s="112">
        <v>87.47</v>
      </c>
      <c r="N84" s="112">
        <v>2.4</v>
      </c>
      <c r="O84" s="112">
        <v>0</v>
      </c>
      <c r="P84" s="112">
        <v>0.64</v>
      </c>
      <c r="Q84" s="112">
        <v>4.62</v>
      </c>
    </row>
    <row r="85" spans="1:17" customFormat="1">
      <c r="A85" s="80">
        <v>45560.802083333336</v>
      </c>
      <c r="B85" s="112">
        <v>9.1199999999999992</v>
      </c>
      <c r="C85" s="112">
        <v>4.2699999999999996</v>
      </c>
      <c r="D85" s="112">
        <v>14</v>
      </c>
      <c r="E85" s="112">
        <v>12.02</v>
      </c>
      <c r="F85" s="112">
        <v>4.32</v>
      </c>
      <c r="G85" s="112">
        <v>86.98</v>
      </c>
      <c r="H85" s="112">
        <v>26.08</v>
      </c>
      <c r="I85" s="112">
        <v>6.47</v>
      </c>
      <c r="J85" s="112">
        <v>0.08</v>
      </c>
      <c r="K85" s="112">
        <v>80.87</v>
      </c>
      <c r="L85" s="112">
        <v>27.42</v>
      </c>
      <c r="M85" s="112">
        <v>89.48</v>
      </c>
      <c r="N85" s="112">
        <v>2.2999999999999998</v>
      </c>
      <c r="O85" s="112">
        <v>0</v>
      </c>
      <c r="P85" s="112">
        <v>0.62</v>
      </c>
      <c r="Q85" s="112">
        <v>4.6399999999999997</v>
      </c>
    </row>
    <row r="86" spans="1:17" customFormat="1">
      <c r="A86" s="80">
        <v>45560.8125</v>
      </c>
      <c r="B86" s="112">
        <v>9.1</v>
      </c>
      <c r="C86" s="112">
        <v>4.3099999999999996</v>
      </c>
      <c r="D86" s="112">
        <v>14</v>
      </c>
      <c r="E86" s="112">
        <v>12.25</v>
      </c>
      <c r="F86" s="112">
        <v>5.38</v>
      </c>
      <c r="G86" s="112">
        <v>87.72</v>
      </c>
      <c r="H86" s="112">
        <v>26.12</v>
      </c>
      <c r="I86" s="112">
        <v>6.75</v>
      </c>
      <c r="J86" s="112">
        <v>0.21</v>
      </c>
      <c r="K86" s="112">
        <v>75.94</v>
      </c>
      <c r="L86" s="112">
        <v>27.24</v>
      </c>
      <c r="M86" s="112">
        <v>91.39</v>
      </c>
      <c r="N86" s="112">
        <v>2.2999999999999998</v>
      </c>
      <c r="O86" s="112">
        <v>0</v>
      </c>
      <c r="P86" s="112">
        <v>0.64</v>
      </c>
      <c r="Q86" s="112">
        <v>4.63</v>
      </c>
    </row>
    <row r="87" spans="1:17" customFormat="1">
      <c r="A87" s="80">
        <v>45560.822916666664</v>
      </c>
      <c r="B87" s="112">
        <v>9.18</v>
      </c>
      <c r="C87" s="112">
        <v>4.1900000000000004</v>
      </c>
      <c r="D87" s="112">
        <v>14</v>
      </c>
      <c r="E87" s="112">
        <v>12.47</v>
      </c>
      <c r="F87" s="112">
        <v>5.79</v>
      </c>
      <c r="G87" s="112">
        <v>95.34</v>
      </c>
      <c r="H87" s="112">
        <v>26.38</v>
      </c>
      <c r="I87" s="112">
        <v>7.1</v>
      </c>
      <c r="J87" s="112">
        <v>0.47</v>
      </c>
      <c r="K87" s="112">
        <v>57.17</v>
      </c>
      <c r="L87" s="112">
        <v>27.43</v>
      </c>
      <c r="M87" s="112">
        <v>90.06</v>
      </c>
      <c r="N87" s="112">
        <v>2.1</v>
      </c>
      <c r="O87" s="112">
        <v>0</v>
      </c>
      <c r="P87" s="112">
        <v>0.65</v>
      </c>
      <c r="Q87" s="112">
        <v>4.66</v>
      </c>
    </row>
    <row r="88" spans="1:17" customFormat="1">
      <c r="A88" s="80">
        <v>45560.833333333336</v>
      </c>
      <c r="B88" s="112">
        <v>9.27</v>
      </c>
      <c r="C88" s="112">
        <v>4.07</v>
      </c>
      <c r="D88" s="112">
        <v>14.01</v>
      </c>
      <c r="E88" s="112">
        <v>12.86</v>
      </c>
      <c r="F88" s="112">
        <v>5.81</v>
      </c>
      <c r="G88" s="112">
        <v>95.34</v>
      </c>
      <c r="H88" s="112">
        <v>26.38</v>
      </c>
      <c r="I88" s="112">
        <v>7.49</v>
      </c>
      <c r="J88" s="112">
        <v>0.38</v>
      </c>
      <c r="K88" s="112">
        <v>61.63</v>
      </c>
      <c r="L88" s="112">
        <v>27.4</v>
      </c>
      <c r="M88" s="112">
        <v>90.22</v>
      </c>
      <c r="N88" s="112">
        <v>2.1</v>
      </c>
      <c r="O88" s="112">
        <v>0</v>
      </c>
      <c r="P88" s="112">
        <v>0.62</v>
      </c>
      <c r="Q88" s="112">
        <v>4.66</v>
      </c>
    </row>
    <row r="89" spans="1:17" customFormat="1">
      <c r="A89" s="80">
        <v>45560.84375</v>
      </c>
      <c r="B89" s="112">
        <v>9.27</v>
      </c>
      <c r="C89" s="112">
        <v>4.07</v>
      </c>
      <c r="D89" s="112">
        <v>14.01</v>
      </c>
      <c r="E89" s="112">
        <v>12.26</v>
      </c>
      <c r="F89" s="112">
        <v>5.68</v>
      </c>
      <c r="G89" s="112">
        <v>95.34</v>
      </c>
      <c r="H89" s="112">
        <v>26.38</v>
      </c>
      <c r="I89" s="112">
        <v>8.43</v>
      </c>
      <c r="J89" s="112">
        <v>0.13</v>
      </c>
      <c r="K89" s="112">
        <v>151.22</v>
      </c>
      <c r="L89" s="112">
        <v>27.4</v>
      </c>
      <c r="M89" s="112">
        <v>90.98</v>
      </c>
      <c r="N89" s="112">
        <v>2.2999999999999998</v>
      </c>
      <c r="O89" s="112">
        <v>0</v>
      </c>
      <c r="P89" s="112">
        <v>0.59</v>
      </c>
      <c r="Q89" s="112">
        <v>4.66</v>
      </c>
    </row>
    <row r="90" spans="1:17" customFormat="1">
      <c r="A90" s="80">
        <v>45560.854166666664</v>
      </c>
      <c r="B90" s="112">
        <v>9.2100000000000009</v>
      </c>
      <c r="C90" s="112">
        <v>4.1399999999999997</v>
      </c>
      <c r="D90" s="112">
        <v>14</v>
      </c>
      <c r="E90" s="112">
        <v>12.52</v>
      </c>
      <c r="F90" s="112">
        <v>6.06</v>
      </c>
      <c r="G90" s="112">
        <v>95.7</v>
      </c>
      <c r="H90" s="112">
        <v>26.33</v>
      </c>
      <c r="I90" s="112">
        <v>8.4499999999999993</v>
      </c>
      <c r="J90" s="112">
        <v>0.1</v>
      </c>
      <c r="K90" s="112">
        <v>111.18</v>
      </c>
      <c r="L90" s="112">
        <v>27.36</v>
      </c>
      <c r="M90" s="112">
        <v>91.01</v>
      </c>
      <c r="N90" s="112">
        <v>2.1</v>
      </c>
      <c r="O90" s="112">
        <v>0</v>
      </c>
      <c r="P90" s="112">
        <v>0.59</v>
      </c>
      <c r="Q90" s="112">
        <v>4.68</v>
      </c>
    </row>
    <row r="91" spans="1:17" customFormat="1">
      <c r="A91" s="80">
        <v>45560.864583333336</v>
      </c>
      <c r="B91" s="112">
        <v>9.15</v>
      </c>
      <c r="C91" s="112">
        <v>4.2300000000000004</v>
      </c>
      <c r="D91" s="112">
        <v>14</v>
      </c>
      <c r="E91" s="112">
        <v>12.4</v>
      </c>
      <c r="F91" s="112">
        <v>6</v>
      </c>
      <c r="G91" s="112">
        <v>99.4</v>
      </c>
      <c r="H91" s="112">
        <v>25.92</v>
      </c>
      <c r="I91" s="112">
        <v>7.81</v>
      </c>
      <c r="J91" s="112">
        <v>0.42</v>
      </c>
      <c r="K91" s="112">
        <v>61.44</v>
      </c>
      <c r="L91" s="112">
        <v>27.29</v>
      </c>
      <c r="M91" s="112">
        <v>90.71</v>
      </c>
      <c r="N91" s="112">
        <v>2.2000000000000002</v>
      </c>
      <c r="O91" s="112">
        <v>0</v>
      </c>
      <c r="P91" s="112">
        <v>0.6</v>
      </c>
      <c r="Q91" s="112">
        <v>4.66</v>
      </c>
    </row>
    <row r="92" spans="1:17" customFormat="1">
      <c r="A92" s="80">
        <v>45560.875</v>
      </c>
      <c r="B92" s="112">
        <v>9.1199999999999992</v>
      </c>
      <c r="C92" s="112">
        <v>4.29</v>
      </c>
      <c r="D92" s="112">
        <v>14</v>
      </c>
      <c r="E92" s="112">
        <v>12.66</v>
      </c>
      <c r="F92" s="112">
        <v>5.5</v>
      </c>
      <c r="G92" s="112">
        <v>99.4</v>
      </c>
      <c r="H92" s="112">
        <v>25.92</v>
      </c>
      <c r="I92" s="112">
        <v>7.83</v>
      </c>
      <c r="J92" s="112">
        <v>0.18</v>
      </c>
      <c r="K92" s="112">
        <v>91.74</v>
      </c>
      <c r="L92" s="112">
        <v>27.38</v>
      </c>
      <c r="M92" s="112">
        <v>90.81</v>
      </c>
      <c r="N92" s="112">
        <v>2.2000000000000002</v>
      </c>
      <c r="O92" s="112">
        <v>0</v>
      </c>
      <c r="P92" s="112">
        <v>0.6</v>
      </c>
      <c r="Q92" s="112">
        <v>4.66</v>
      </c>
    </row>
    <row r="93" spans="1:17" customFormat="1">
      <c r="A93" s="80">
        <v>45560.885416666664</v>
      </c>
      <c r="B93" s="112">
        <v>9.11</v>
      </c>
      <c r="C93" s="112">
        <v>4.3</v>
      </c>
      <c r="D93" s="112">
        <v>14</v>
      </c>
      <c r="E93" s="112">
        <v>12.04</v>
      </c>
      <c r="F93" s="112">
        <v>3.98</v>
      </c>
      <c r="G93" s="112">
        <v>99.4</v>
      </c>
      <c r="H93" s="112">
        <v>25.92</v>
      </c>
      <c r="I93" s="112">
        <v>7.6</v>
      </c>
      <c r="J93" s="112">
        <v>7.0000000000000007E-2</v>
      </c>
      <c r="K93" s="112">
        <v>98.79</v>
      </c>
      <c r="L93" s="112">
        <v>27.19</v>
      </c>
      <c r="M93" s="112">
        <v>91.85</v>
      </c>
      <c r="N93" s="112">
        <v>2.2999999999999998</v>
      </c>
      <c r="O93" s="112">
        <v>0</v>
      </c>
      <c r="P93" s="112">
        <v>0.61</v>
      </c>
      <c r="Q93" s="112">
        <v>4.6500000000000004</v>
      </c>
    </row>
    <row r="94" spans="1:17" customFormat="1">
      <c r="A94" s="80">
        <v>45560.895833333336</v>
      </c>
      <c r="B94" s="112">
        <v>9.1300000000000008</v>
      </c>
      <c r="C94" s="112">
        <v>4.2699999999999996</v>
      </c>
      <c r="D94" s="112">
        <v>14</v>
      </c>
      <c r="E94" s="112">
        <v>12.38</v>
      </c>
      <c r="F94" s="112">
        <v>4.58</v>
      </c>
      <c r="G94" s="112">
        <v>99.66</v>
      </c>
      <c r="H94" s="112">
        <v>25.83</v>
      </c>
      <c r="I94" s="112">
        <v>7.65</v>
      </c>
      <c r="J94" s="112">
        <v>0.14000000000000001</v>
      </c>
      <c r="K94" s="112">
        <v>154.55000000000001</v>
      </c>
      <c r="L94" s="112">
        <v>27.04</v>
      </c>
      <c r="M94" s="112">
        <v>92.93</v>
      </c>
      <c r="N94" s="112">
        <v>2.4</v>
      </c>
      <c r="O94" s="112">
        <v>0</v>
      </c>
      <c r="P94" s="112">
        <v>0.6</v>
      </c>
      <c r="Q94" s="112">
        <v>4.66</v>
      </c>
    </row>
    <row r="95" spans="1:17" customFormat="1">
      <c r="A95" s="80">
        <v>45560.90625</v>
      </c>
      <c r="B95" s="112">
        <v>9.1199999999999992</v>
      </c>
      <c r="C95" s="112">
        <v>4.28</v>
      </c>
      <c r="D95" s="112">
        <v>14</v>
      </c>
      <c r="E95" s="112">
        <v>12.79</v>
      </c>
      <c r="F95" s="112">
        <v>5.01</v>
      </c>
      <c r="G95" s="112">
        <v>101.99</v>
      </c>
      <c r="H95" s="112">
        <v>25.21</v>
      </c>
      <c r="I95" s="112">
        <v>7.66</v>
      </c>
      <c r="J95" s="112">
        <v>0.13</v>
      </c>
      <c r="K95" s="112">
        <v>187.41</v>
      </c>
      <c r="L95" s="112">
        <v>27.04</v>
      </c>
      <c r="M95" s="112">
        <v>93.03</v>
      </c>
      <c r="N95" s="112">
        <v>2.2000000000000002</v>
      </c>
      <c r="O95" s="112">
        <v>0</v>
      </c>
      <c r="P95" s="112">
        <v>0.59</v>
      </c>
      <c r="Q95" s="112">
        <v>4.6500000000000004</v>
      </c>
    </row>
    <row r="96" spans="1:17" customFormat="1">
      <c r="A96" s="80">
        <v>45560.916666666664</v>
      </c>
      <c r="B96" s="112">
        <v>9.1300000000000008</v>
      </c>
      <c r="C96" s="112">
        <v>4.26</v>
      </c>
      <c r="D96" s="112">
        <v>14</v>
      </c>
      <c r="E96" s="112">
        <v>12.4</v>
      </c>
      <c r="F96" s="112">
        <v>5.42</v>
      </c>
      <c r="G96" s="112">
        <v>101.99</v>
      </c>
      <c r="H96" s="112">
        <v>25.21</v>
      </c>
      <c r="I96" s="112">
        <v>7.52</v>
      </c>
      <c r="J96" s="112">
        <v>0.09</v>
      </c>
      <c r="K96" s="112">
        <v>210.05</v>
      </c>
      <c r="L96" s="112">
        <v>26.81</v>
      </c>
      <c r="M96" s="112">
        <v>94.06</v>
      </c>
      <c r="N96" s="112">
        <v>2.2999999999999998</v>
      </c>
      <c r="O96" s="112">
        <v>0</v>
      </c>
      <c r="P96" s="112">
        <v>0.57999999999999996</v>
      </c>
      <c r="Q96" s="112">
        <v>4.67</v>
      </c>
    </row>
    <row r="97" spans="1:22" customFormat="1">
      <c r="A97" s="80">
        <v>45560.927083333336</v>
      </c>
      <c r="B97" s="112">
        <v>9.15</v>
      </c>
      <c r="C97" s="112">
        <v>4.24</v>
      </c>
      <c r="D97" s="112">
        <v>14</v>
      </c>
      <c r="E97" s="112">
        <v>12.5</v>
      </c>
      <c r="F97" s="112">
        <v>3.33</v>
      </c>
      <c r="G97" s="112">
        <v>101.99</v>
      </c>
      <c r="H97" s="112">
        <v>25.21</v>
      </c>
      <c r="I97" s="112">
        <v>7.18</v>
      </c>
      <c r="J97" s="112">
        <v>0.11</v>
      </c>
      <c r="K97" s="112">
        <v>194.18</v>
      </c>
      <c r="L97" s="112">
        <v>26.66</v>
      </c>
      <c r="M97" s="112">
        <v>95.32</v>
      </c>
      <c r="N97" s="112">
        <v>2.1</v>
      </c>
      <c r="O97" s="112">
        <v>0</v>
      </c>
      <c r="P97" s="112">
        <v>0.57999999999999996</v>
      </c>
      <c r="Q97" s="112">
        <v>4.66</v>
      </c>
    </row>
    <row r="98" spans="1:22" customFormat="1">
      <c r="A98" s="80">
        <v>45560.9375</v>
      </c>
      <c r="B98" s="112">
        <v>9.15</v>
      </c>
      <c r="C98" s="112">
        <v>4.2300000000000004</v>
      </c>
      <c r="D98" s="112">
        <v>14</v>
      </c>
      <c r="E98" s="112">
        <v>12.03</v>
      </c>
      <c r="F98" s="112">
        <v>3.91</v>
      </c>
      <c r="G98" s="112">
        <v>100.3</v>
      </c>
      <c r="H98" s="112">
        <v>25.41</v>
      </c>
      <c r="I98" s="112">
        <v>7.07</v>
      </c>
      <c r="J98" s="112">
        <v>0.14000000000000001</v>
      </c>
      <c r="K98" s="112">
        <v>176.39</v>
      </c>
      <c r="L98" s="112">
        <v>26.62</v>
      </c>
      <c r="M98" s="112">
        <v>96.05</v>
      </c>
      <c r="N98" s="112">
        <v>2.1</v>
      </c>
      <c r="O98" s="112">
        <v>0</v>
      </c>
      <c r="P98" s="112">
        <v>0.57999999999999996</v>
      </c>
      <c r="Q98" s="112">
        <v>4.66</v>
      </c>
    </row>
    <row r="99" spans="1:22" customFormat="1">
      <c r="A99" s="80">
        <v>45560.947916666664</v>
      </c>
      <c r="B99" s="112">
        <v>9.15</v>
      </c>
      <c r="C99" s="112">
        <v>4.2300000000000004</v>
      </c>
      <c r="D99" s="112">
        <v>14</v>
      </c>
      <c r="E99" s="112">
        <v>12.38</v>
      </c>
      <c r="F99" s="112">
        <v>3.49</v>
      </c>
      <c r="G99" s="112">
        <v>85.17</v>
      </c>
      <c r="H99" s="112">
        <v>26.99</v>
      </c>
      <c r="I99" s="112">
        <v>7.21</v>
      </c>
      <c r="J99" s="112">
        <v>0.06</v>
      </c>
      <c r="K99" s="112">
        <v>147.13</v>
      </c>
      <c r="L99" s="112">
        <v>26.61</v>
      </c>
      <c r="M99" s="112">
        <v>96.38</v>
      </c>
      <c r="N99" s="112">
        <v>2.1</v>
      </c>
      <c r="O99" s="112">
        <v>0</v>
      </c>
      <c r="P99" s="112">
        <v>0.57999999999999996</v>
      </c>
      <c r="Q99" s="112">
        <v>4.67</v>
      </c>
    </row>
    <row r="100" spans="1:22" customFormat="1">
      <c r="A100" s="80">
        <v>45560.958333333336</v>
      </c>
      <c r="B100" s="112">
        <v>9.15</v>
      </c>
      <c r="C100" s="112">
        <v>4.2300000000000004</v>
      </c>
      <c r="D100" s="112">
        <v>14</v>
      </c>
      <c r="E100" s="112">
        <v>12.7</v>
      </c>
      <c r="F100" s="112">
        <v>3.68</v>
      </c>
      <c r="G100" s="112">
        <v>85.17</v>
      </c>
      <c r="H100" s="112">
        <v>26.99</v>
      </c>
      <c r="I100" s="112">
        <v>6.8</v>
      </c>
      <c r="J100" s="112">
        <v>0.12</v>
      </c>
      <c r="K100" s="112">
        <v>234.26</v>
      </c>
      <c r="L100" s="112">
        <v>26.58</v>
      </c>
      <c r="M100" s="112">
        <v>96.36</v>
      </c>
      <c r="N100" s="112">
        <v>2.1</v>
      </c>
      <c r="O100" s="112">
        <v>0</v>
      </c>
      <c r="P100" s="112">
        <v>0.56999999999999995</v>
      </c>
      <c r="Q100" s="112">
        <v>4.6500000000000004</v>
      </c>
    </row>
    <row r="101" spans="1:22" customFormat="1">
      <c r="A101" s="80">
        <v>45560.96875</v>
      </c>
      <c r="B101" s="112">
        <v>9.15</v>
      </c>
      <c r="C101" s="112">
        <v>4.2300000000000004</v>
      </c>
      <c r="D101" s="112">
        <v>14</v>
      </c>
      <c r="E101" s="112">
        <v>12.8</v>
      </c>
      <c r="F101" s="112">
        <v>3.74</v>
      </c>
      <c r="G101" s="112">
        <v>85.17</v>
      </c>
      <c r="H101" s="112">
        <v>26.99</v>
      </c>
      <c r="I101" s="112">
        <v>6.84</v>
      </c>
      <c r="J101" s="112">
        <v>0.12</v>
      </c>
      <c r="K101" s="112">
        <v>193.77</v>
      </c>
      <c r="L101" s="112">
        <v>26.42</v>
      </c>
      <c r="M101" s="112">
        <v>97.34</v>
      </c>
      <c r="N101" s="112">
        <v>2.2000000000000002</v>
      </c>
      <c r="O101" s="112">
        <v>0</v>
      </c>
      <c r="P101" s="112">
        <v>0.56000000000000005</v>
      </c>
      <c r="Q101" s="112">
        <v>4.6500000000000004</v>
      </c>
    </row>
    <row r="102" spans="1:22" customFormat="1">
      <c r="A102" s="80">
        <v>45560.979166666664</v>
      </c>
      <c r="B102" s="112">
        <v>9.15</v>
      </c>
      <c r="C102" s="112">
        <v>4.24</v>
      </c>
      <c r="D102" s="112">
        <v>14</v>
      </c>
      <c r="E102" s="112">
        <v>13.06</v>
      </c>
      <c r="F102" s="112">
        <v>3.92</v>
      </c>
      <c r="G102" s="112">
        <v>84.42</v>
      </c>
      <c r="H102" s="112">
        <v>26.31</v>
      </c>
      <c r="I102" s="112">
        <v>6.97</v>
      </c>
      <c r="J102" s="112">
        <v>0.14000000000000001</v>
      </c>
      <c r="K102" s="112">
        <v>188.53</v>
      </c>
      <c r="L102" s="112">
        <v>26.39</v>
      </c>
      <c r="M102" s="112">
        <v>97.6</v>
      </c>
      <c r="N102" s="112">
        <v>2.1</v>
      </c>
      <c r="O102" s="112">
        <v>0</v>
      </c>
      <c r="P102" s="112">
        <v>0.56999999999999995</v>
      </c>
      <c r="Q102" s="112">
        <v>4.66</v>
      </c>
    </row>
    <row r="103" spans="1:22" customFormat="1">
      <c r="A103" s="80">
        <v>45560.989583333336</v>
      </c>
      <c r="B103" s="112">
        <v>9.15</v>
      </c>
      <c r="C103" s="112">
        <v>4.2300000000000004</v>
      </c>
      <c r="D103" s="112">
        <v>14</v>
      </c>
      <c r="E103" s="112">
        <v>12.98</v>
      </c>
      <c r="F103" s="112">
        <v>4.2300000000000004</v>
      </c>
      <c r="G103" s="112">
        <v>76.78</v>
      </c>
      <c r="H103" s="112">
        <v>21.26</v>
      </c>
      <c r="I103" s="112">
        <v>6.69</v>
      </c>
      <c r="J103" s="112">
        <v>0.09</v>
      </c>
      <c r="K103" s="112">
        <v>201.58</v>
      </c>
      <c r="L103" s="112">
        <v>26.38</v>
      </c>
      <c r="M103" s="112">
        <v>97.64</v>
      </c>
      <c r="N103" s="112">
        <v>2.1</v>
      </c>
      <c r="O103" s="112">
        <v>0</v>
      </c>
      <c r="P103" s="112">
        <v>0.56999999999999995</v>
      </c>
      <c r="Q103" s="112">
        <v>4.66</v>
      </c>
    </row>
    <row r="104" spans="1:22" customFormat="1">
      <c r="A104" s="80">
        <v>45561</v>
      </c>
      <c r="B104" s="112">
        <v>9.17</v>
      </c>
      <c r="C104" s="112">
        <v>4.21</v>
      </c>
      <c r="D104" s="112">
        <v>14</v>
      </c>
      <c r="E104" s="112">
        <v>12.9</v>
      </c>
      <c r="F104" s="112">
        <v>4.47</v>
      </c>
      <c r="G104" s="112">
        <v>76.78</v>
      </c>
      <c r="H104" s="112">
        <v>21.26</v>
      </c>
      <c r="I104" s="112">
        <v>6.7</v>
      </c>
      <c r="J104" s="112">
        <v>0.13</v>
      </c>
      <c r="K104" s="112">
        <v>164.95</v>
      </c>
      <c r="L104" s="112">
        <v>26.49</v>
      </c>
      <c r="M104" s="112">
        <v>97.66</v>
      </c>
      <c r="N104" s="112">
        <v>2.1</v>
      </c>
      <c r="O104" s="112">
        <v>0</v>
      </c>
      <c r="P104" s="112">
        <v>0.56000000000000005</v>
      </c>
      <c r="Q104" s="112">
        <v>4.6399999999999997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</v>
      </c>
      <c r="C106" s="183">
        <f>MIN(C9:C104)</f>
        <v>4.07</v>
      </c>
      <c r="D106" s="183">
        <f t="shared" ref="D106:Q106" si="0">MIN(D9:D104)</f>
        <v>14</v>
      </c>
      <c r="E106" s="183">
        <f t="shared" si="0"/>
        <v>9.26</v>
      </c>
      <c r="F106" s="183">
        <f t="shared" si="0"/>
        <v>3.33</v>
      </c>
      <c r="G106" s="183">
        <f t="shared" si="0"/>
        <v>32.93</v>
      </c>
      <c r="H106" s="183">
        <f t="shared" si="0"/>
        <v>9.23</v>
      </c>
      <c r="I106" s="183">
        <f t="shared" si="0"/>
        <v>4.3899999999999997</v>
      </c>
      <c r="J106" s="183">
        <f t="shared" si="0"/>
        <v>0.02</v>
      </c>
      <c r="K106" s="183">
        <f t="shared" si="0"/>
        <v>4.1500000000000004</v>
      </c>
      <c r="L106" s="183">
        <f t="shared" si="0"/>
        <v>25.37</v>
      </c>
      <c r="M106" s="183">
        <f t="shared" si="0"/>
        <v>77.31</v>
      </c>
      <c r="N106" s="183">
        <f t="shared" si="0"/>
        <v>2.1</v>
      </c>
      <c r="O106" s="183">
        <f t="shared" si="0"/>
        <v>0</v>
      </c>
      <c r="P106" s="183">
        <f t="shared" si="0"/>
        <v>0.35</v>
      </c>
      <c r="Q106" s="183">
        <f t="shared" si="0"/>
        <v>4.62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9.27</v>
      </c>
      <c r="C107" s="184">
        <f t="shared" ref="C107:Q107" si="1">MAX(C9:C104)</f>
        <v>4.3099999999999996</v>
      </c>
      <c r="D107" s="184">
        <f t="shared" si="1"/>
        <v>14.01</v>
      </c>
      <c r="E107" s="184">
        <f t="shared" si="1"/>
        <v>20.149999999999999</v>
      </c>
      <c r="F107" s="184">
        <f t="shared" si="1"/>
        <v>7.94</v>
      </c>
      <c r="G107" s="184">
        <f t="shared" si="1"/>
        <v>101.99</v>
      </c>
      <c r="H107" s="184">
        <f t="shared" si="1"/>
        <v>26.99</v>
      </c>
      <c r="I107" s="184">
        <f t="shared" si="1"/>
        <v>8.4499999999999993</v>
      </c>
      <c r="J107" s="184">
        <f t="shared" si="1"/>
        <v>0.8</v>
      </c>
      <c r="K107" s="184">
        <f t="shared" si="1"/>
        <v>297.23</v>
      </c>
      <c r="L107" s="184">
        <f t="shared" si="1"/>
        <v>29.78</v>
      </c>
      <c r="M107" s="184">
        <f t="shared" si="1"/>
        <v>97.66</v>
      </c>
      <c r="N107" s="184">
        <f t="shared" si="1"/>
        <v>263.10000000000002</v>
      </c>
      <c r="O107" s="184">
        <f t="shared" si="1"/>
        <v>1</v>
      </c>
      <c r="P107" s="184">
        <f t="shared" si="1"/>
        <v>0.65</v>
      </c>
      <c r="Q107" s="184">
        <f t="shared" si="1"/>
        <v>4.68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9.1813541666666669</v>
      </c>
      <c r="C108" s="183">
        <f t="shared" ref="C108:Q108" si="2">AVERAGE(C9:C104)</f>
        <v>4.1875</v>
      </c>
      <c r="D108" s="183">
        <f t="shared" si="2"/>
        <v>14.0003125</v>
      </c>
      <c r="E108" s="183">
        <f t="shared" si="2"/>
        <v>12.665312500000001</v>
      </c>
      <c r="F108" s="183">
        <f t="shared" si="2"/>
        <v>5.3373958333333329</v>
      </c>
      <c r="G108" s="183">
        <f t="shared" si="2"/>
        <v>55.715416666666663</v>
      </c>
      <c r="H108" s="183">
        <f t="shared" si="2"/>
        <v>18.166562500000005</v>
      </c>
      <c r="I108" s="183">
        <f t="shared" si="2"/>
        <v>5.3525000000000018</v>
      </c>
      <c r="J108" s="183">
        <f t="shared" si="2"/>
        <v>0.2692708333333334</v>
      </c>
      <c r="K108" s="183">
        <f t="shared" si="2"/>
        <v>114.15281250000002</v>
      </c>
      <c r="L108" s="183">
        <f t="shared" si="2"/>
        <v>27.233333333333334</v>
      </c>
      <c r="M108" s="183">
        <f t="shared" si="2"/>
        <v>89.776562500000026</v>
      </c>
      <c r="N108" s="183">
        <f t="shared" si="2"/>
        <v>49.030208333333356</v>
      </c>
      <c r="O108" s="183">
        <f t="shared" si="2"/>
        <v>1.4583333333333332E-2</v>
      </c>
      <c r="P108" s="183">
        <f t="shared" si="2"/>
        <v>0.45593750000000027</v>
      </c>
      <c r="Q108" s="183">
        <f t="shared" si="2"/>
        <v>4.651041666666667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3.217124546994906E-2</v>
      </c>
      <c r="C109" s="183">
        <f t="shared" ref="C109:Q109" si="3">STDEV(C9:C104)</f>
        <v>4.7461896074086275E-2</v>
      </c>
      <c r="D109" s="183">
        <f t="shared" si="3"/>
        <v>1.7490598978638962E-3</v>
      </c>
      <c r="E109" s="183">
        <f t="shared" si="3"/>
        <v>2.2707503759191323</v>
      </c>
      <c r="F109" s="183">
        <f t="shared" si="3"/>
        <v>1.0702102545925702</v>
      </c>
      <c r="G109" s="183">
        <f t="shared" si="3"/>
        <v>22.382610398378844</v>
      </c>
      <c r="H109" s="183">
        <f t="shared" si="3"/>
        <v>5.1466642908167257</v>
      </c>
      <c r="I109" s="183">
        <f t="shared" si="3"/>
        <v>1.1179944449537091</v>
      </c>
      <c r="J109" s="183">
        <f t="shared" si="3"/>
        <v>0.18260826517102643</v>
      </c>
      <c r="K109" s="183">
        <f t="shared" si="3"/>
        <v>67.344866857144865</v>
      </c>
      <c r="L109" s="183">
        <f t="shared" si="3"/>
        <v>1.3881602111895721</v>
      </c>
      <c r="M109" s="183">
        <f t="shared" si="3"/>
        <v>6.7153465761753282</v>
      </c>
      <c r="N109" s="183">
        <f t="shared" si="3"/>
        <v>63.912530885317551</v>
      </c>
      <c r="O109" s="183">
        <f t="shared" si="3"/>
        <v>0.10952449057214426</v>
      </c>
      <c r="P109" s="183">
        <f t="shared" si="3"/>
        <v>0.10033185069138123</v>
      </c>
      <c r="Q109" s="183">
        <f t="shared" si="3"/>
        <v>1.3570801990548227E-2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54" activePane="bottomRight" state="frozen"/>
      <selection activeCell="A9" sqref="A9"/>
      <selection pane="topRight" activeCell="A9" sqref="A9"/>
      <selection pane="bottomLeft" activeCell="A9" sqref="A9"/>
      <selection pane="bottomRight" activeCell="G110" sqref="G110:H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45561.010416666664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45561.010416666664</v>
      </c>
      <c r="B9" s="112">
        <v>9.2899999999999991</v>
      </c>
      <c r="C9" s="112">
        <v>4.03</v>
      </c>
      <c r="D9" s="112">
        <v>14</v>
      </c>
      <c r="E9" s="112">
        <v>12.49</v>
      </c>
      <c r="F9" s="112">
        <v>4.2699999999999996</v>
      </c>
      <c r="G9" s="112">
        <v>76.78</v>
      </c>
      <c r="H9" s="112">
        <v>21.26</v>
      </c>
      <c r="I9" s="112">
        <v>6.68</v>
      </c>
      <c r="J9" s="112">
        <v>0.13</v>
      </c>
      <c r="K9" s="112">
        <v>162.87</v>
      </c>
      <c r="L9" s="112">
        <v>26.58</v>
      </c>
      <c r="M9" s="112">
        <v>97.13</v>
      </c>
      <c r="N9" s="112">
        <v>2.1</v>
      </c>
      <c r="O9" s="112">
        <v>0</v>
      </c>
      <c r="P9" s="112">
        <v>0.56000000000000005</v>
      </c>
      <c r="Q9" s="112">
        <v>4.66</v>
      </c>
    </row>
    <row r="10" spans="1:21" customFormat="1">
      <c r="A10" s="80">
        <v>45561.020833333336</v>
      </c>
      <c r="B10" s="112">
        <v>9.2799999999999994</v>
      </c>
      <c r="C10" s="112">
        <v>4.05</v>
      </c>
      <c r="D10" s="112">
        <v>14</v>
      </c>
      <c r="E10" s="112">
        <v>13.18</v>
      </c>
      <c r="F10" s="112">
        <v>3.71</v>
      </c>
      <c r="G10" s="112">
        <v>76.05</v>
      </c>
      <c r="H10" s="112">
        <v>21.86</v>
      </c>
      <c r="I10" s="112">
        <v>6.61</v>
      </c>
      <c r="J10" s="112">
        <v>0.13</v>
      </c>
      <c r="K10" s="112">
        <v>162.87</v>
      </c>
      <c r="L10" s="112">
        <v>26.49</v>
      </c>
      <c r="M10" s="112">
        <v>97.04</v>
      </c>
      <c r="N10" s="112">
        <v>2.1</v>
      </c>
      <c r="O10" s="112">
        <v>0</v>
      </c>
      <c r="P10" s="112">
        <v>0.57999999999999996</v>
      </c>
      <c r="Q10" s="112">
        <v>4.6399999999999997</v>
      </c>
    </row>
    <row r="11" spans="1:21" customFormat="1">
      <c r="A11" s="80">
        <v>45561.03125</v>
      </c>
      <c r="B11" s="112">
        <v>9.33</v>
      </c>
      <c r="C11" s="112">
        <v>4.08</v>
      </c>
      <c r="D11" s="112">
        <v>14.06</v>
      </c>
      <c r="E11" s="112">
        <v>13.37</v>
      </c>
      <c r="F11" s="112">
        <v>3.84</v>
      </c>
      <c r="G11" s="112">
        <v>69.540000000000006</v>
      </c>
      <c r="H11" s="112">
        <v>26.27</v>
      </c>
      <c r="I11" s="112">
        <v>6.46</v>
      </c>
      <c r="J11" s="112">
        <v>0.08</v>
      </c>
      <c r="K11" s="112">
        <v>161.38</v>
      </c>
      <c r="L11" s="112">
        <v>26.4</v>
      </c>
      <c r="M11" s="112">
        <v>97.75</v>
      </c>
      <c r="N11" s="112">
        <v>2.1</v>
      </c>
      <c r="O11" s="112">
        <v>0</v>
      </c>
      <c r="P11" s="112">
        <v>0.59</v>
      </c>
      <c r="Q11" s="112">
        <v>4.63</v>
      </c>
    </row>
    <row r="12" spans="1:21" customFormat="1">
      <c r="A12" s="80">
        <v>45561.041666666664</v>
      </c>
      <c r="B12" s="112">
        <v>9.3699999999999992</v>
      </c>
      <c r="C12" s="112">
        <v>4.07</v>
      </c>
      <c r="D12" s="112">
        <v>14.09</v>
      </c>
      <c r="E12" s="112">
        <v>13.29</v>
      </c>
      <c r="F12" s="112">
        <v>3.78</v>
      </c>
      <c r="G12" s="112">
        <v>69.540000000000006</v>
      </c>
      <c r="H12" s="112">
        <v>26.27</v>
      </c>
      <c r="I12" s="112">
        <v>6.61</v>
      </c>
      <c r="J12" s="112">
        <v>0.11</v>
      </c>
      <c r="K12" s="112">
        <v>179.14</v>
      </c>
      <c r="L12" s="112">
        <v>26.31</v>
      </c>
      <c r="M12" s="112">
        <v>97.96</v>
      </c>
      <c r="N12" s="112">
        <v>2.1</v>
      </c>
      <c r="O12" s="112">
        <v>0</v>
      </c>
      <c r="P12" s="112">
        <v>0.59</v>
      </c>
      <c r="Q12" s="112">
        <v>4.6500000000000004</v>
      </c>
    </row>
    <row r="13" spans="1:21" customFormat="1">
      <c r="A13" s="80">
        <v>45561.052083333336</v>
      </c>
      <c r="B13" s="112">
        <v>9.31</v>
      </c>
      <c r="C13" s="112">
        <v>4.04</v>
      </c>
      <c r="D13" s="112">
        <v>14.03</v>
      </c>
      <c r="E13" s="112">
        <v>12.92</v>
      </c>
      <c r="F13" s="112">
        <v>4.05</v>
      </c>
      <c r="G13" s="112">
        <v>69.540000000000006</v>
      </c>
      <c r="H13" s="112">
        <v>26.27</v>
      </c>
      <c r="I13" s="112">
        <v>6.61</v>
      </c>
      <c r="J13" s="112">
        <v>0.11</v>
      </c>
      <c r="K13" s="112">
        <v>181.83</v>
      </c>
      <c r="L13" s="112">
        <v>26.53</v>
      </c>
      <c r="M13" s="112">
        <v>97.63</v>
      </c>
      <c r="N13" s="112">
        <v>2.1</v>
      </c>
      <c r="O13" s="112">
        <v>0</v>
      </c>
      <c r="P13" s="112">
        <v>0.57999999999999996</v>
      </c>
      <c r="Q13" s="112">
        <v>4.6399999999999997</v>
      </c>
    </row>
    <row r="14" spans="1:21" customFormat="1">
      <c r="A14" s="80">
        <v>45561.0625</v>
      </c>
      <c r="B14" s="112">
        <v>9.31</v>
      </c>
      <c r="C14" s="112">
        <v>4.0199999999999996</v>
      </c>
      <c r="D14" s="112">
        <v>14.01</v>
      </c>
      <c r="E14" s="112">
        <v>12.49</v>
      </c>
      <c r="F14" s="112">
        <v>4.37</v>
      </c>
      <c r="G14" s="112">
        <v>69.260000000000005</v>
      </c>
      <c r="H14" s="112">
        <v>25.99</v>
      </c>
      <c r="I14" s="112">
        <v>6.61</v>
      </c>
      <c r="J14" s="112">
        <v>0.1</v>
      </c>
      <c r="K14" s="112">
        <v>252.71</v>
      </c>
      <c r="L14" s="112">
        <v>26.41</v>
      </c>
      <c r="M14" s="112">
        <v>98.02</v>
      </c>
      <c r="N14" s="112">
        <v>2.2000000000000002</v>
      </c>
      <c r="O14" s="112">
        <v>0</v>
      </c>
      <c r="P14" s="112">
        <v>0.57999999999999996</v>
      </c>
      <c r="Q14" s="112">
        <v>4.63</v>
      </c>
    </row>
    <row r="15" spans="1:21" customFormat="1">
      <c r="A15" s="80">
        <v>45561.072916666664</v>
      </c>
      <c r="B15" s="112">
        <v>9.2899999999999991</v>
      </c>
      <c r="C15" s="112">
        <v>4.04</v>
      </c>
      <c r="D15" s="112">
        <v>14.01</v>
      </c>
      <c r="E15" s="112">
        <v>11.83</v>
      </c>
      <c r="F15" s="112">
        <v>4.8899999999999997</v>
      </c>
      <c r="G15" s="112">
        <v>66.290000000000006</v>
      </c>
      <c r="H15" s="112">
        <v>23.63</v>
      </c>
      <c r="I15" s="112">
        <v>6.61</v>
      </c>
      <c r="J15" s="112">
        <v>0.1</v>
      </c>
      <c r="K15" s="112">
        <v>242.5</v>
      </c>
      <c r="L15" s="112">
        <v>26.15</v>
      </c>
      <c r="M15" s="112">
        <v>97.47</v>
      </c>
      <c r="N15" s="112">
        <v>2.4</v>
      </c>
      <c r="O15" s="112">
        <v>0</v>
      </c>
      <c r="P15" s="112">
        <v>0.57999999999999996</v>
      </c>
      <c r="Q15" s="112">
        <v>4.6399999999999997</v>
      </c>
    </row>
    <row r="16" spans="1:21" customFormat="1">
      <c r="A16" s="80">
        <v>45561.083333333336</v>
      </c>
      <c r="B16" s="112">
        <v>9.27</v>
      </c>
      <c r="C16" s="112">
        <v>4.08</v>
      </c>
      <c r="D16" s="112">
        <v>14.01</v>
      </c>
      <c r="E16" s="112">
        <v>12.21</v>
      </c>
      <c r="F16" s="112">
        <v>4.5999999999999996</v>
      </c>
      <c r="G16" s="112">
        <v>66.290000000000006</v>
      </c>
      <c r="H16" s="112">
        <v>23.63</v>
      </c>
      <c r="I16" s="112">
        <v>6.46</v>
      </c>
      <c r="J16" s="112">
        <v>0.14000000000000001</v>
      </c>
      <c r="K16" s="112">
        <v>272.05</v>
      </c>
      <c r="L16" s="112">
        <v>25.93</v>
      </c>
      <c r="M16" s="112">
        <v>95.57</v>
      </c>
      <c r="N16" s="112">
        <v>2.5</v>
      </c>
      <c r="O16" s="112">
        <v>0</v>
      </c>
      <c r="P16" s="112">
        <v>0.56000000000000005</v>
      </c>
      <c r="Q16" s="112">
        <v>4.66</v>
      </c>
    </row>
    <row r="17" spans="1:17" customFormat="1">
      <c r="A17" s="80">
        <v>45561.09375</v>
      </c>
      <c r="B17" s="112">
        <v>9.25</v>
      </c>
      <c r="C17" s="112">
        <v>4.09</v>
      </c>
      <c r="D17" s="112">
        <v>14</v>
      </c>
      <c r="E17" s="112">
        <v>9.14</v>
      </c>
      <c r="F17" s="112">
        <v>4.26</v>
      </c>
      <c r="G17" s="112">
        <v>66.290000000000006</v>
      </c>
      <c r="H17" s="112">
        <v>23.63</v>
      </c>
      <c r="I17" s="112">
        <v>6.41</v>
      </c>
      <c r="J17" s="112">
        <v>0.12</v>
      </c>
      <c r="K17" s="112">
        <v>257.64</v>
      </c>
      <c r="L17" s="112">
        <v>25.77</v>
      </c>
      <c r="M17" s="112">
        <v>95.54</v>
      </c>
      <c r="N17" s="112">
        <v>2.4</v>
      </c>
      <c r="O17" s="112">
        <v>0</v>
      </c>
      <c r="P17" s="112">
        <v>0.56999999999999995</v>
      </c>
      <c r="Q17" s="112">
        <v>4.6500000000000004</v>
      </c>
    </row>
    <row r="18" spans="1:17" customFormat="1">
      <c r="A18" s="80">
        <v>45561.104166666664</v>
      </c>
      <c r="B18" s="112">
        <v>9.26</v>
      </c>
      <c r="C18" s="112">
        <v>4.07</v>
      </c>
      <c r="D18" s="112">
        <v>14</v>
      </c>
      <c r="E18" s="112">
        <v>10.3</v>
      </c>
      <c r="F18" s="112">
        <v>4.3</v>
      </c>
      <c r="G18" s="112">
        <v>64.28</v>
      </c>
      <c r="H18" s="112">
        <v>22.88</v>
      </c>
      <c r="I18" s="112">
        <v>6.48</v>
      </c>
      <c r="J18" s="112">
        <v>0.1</v>
      </c>
      <c r="K18" s="112">
        <v>258.98</v>
      </c>
      <c r="L18" s="112">
        <v>25.73</v>
      </c>
      <c r="M18" s="112">
        <v>96.3</v>
      </c>
      <c r="N18" s="112">
        <v>2.1</v>
      </c>
      <c r="O18" s="112">
        <v>0</v>
      </c>
      <c r="P18" s="112">
        <v>0.56000000000000005</v>
      </c>
      <c r="Q18" s="112">
        <v>4.6500000000000004</v>
      </c>
    </row>
    <row r="19" spans="1:17" customFormat="1">
      <c r="A19" s="80">
        <v>45561.114583333336</v>
      </c>
      <c r="B19" s="112">
        <v>9.2799999999999994</v>
      </c>
      <c r="C19" s="112">
        <v>4.04</v>
      </c>
      <c r="D19" s="112">
        <v>14</v>
      </c>
      <c r="E19" s="112">
        <v>10.1</v>
      </c>
      <c r="F19" s="112">
        <v>4.6500000000000004</v>
      </c>
      <c r="G19" s="112">
        <v>43.62</v>
      </c>
      <c r="H19" s="112">
        <v>16.559999999999999</v>
      </c>
      <c r="I19" s="112">
        <v>6.42</v>
      </c>
      <c r="J19" s="112">
        <v>0.05</v>
      </c>
      <c r="K19" s="112">
        <v>228.39</v>
      </c>
      <c r="L19" s="112">
        <v>25.65</v>
      </c>
      <c r="M19" s="112">
        <v>96.85</v>
      </c>
      <c r="N19" s="112">
        <v>2.1</v>
      </c>
      <c r="O19" s="112">
        <v>0</v>
      </c>
      <c r="P19" s="112">
        <v>0.55000000000000004</v>
      </c>
      <c r="Q19" s="112">
        <v>4.6399999999999997</v>
      </c>
    </row>
    <row r="20" spans="1:17" customFormat="1">
      <c r="A20" s="80">
        <v>45561.125</v>
      </c>
      <c r="B20" s="112">
        <v>9.26</v>
      </c>
      <c r="C20" s="112">
        <v>4.07</v>
      </c>
      <c r="D20" s="112">
        <v>14</v>
      </c>
      <c r="E20" s="112">
        <v>9.82</v>
      </c>
      <c r="F20" s="112">
        <v>4.29</v>
      </c>
      <c r="G20" s="112">
        <v>43.62</v>
      </c>
      <c r="H20" s="112">
        <v>16.559999999999999</v>
      </c>
      <c r="I20" s="112">
        <v>6.31</v>
      </c>
      <c r="J20" s="112">
        <v>0.06</v>
      </c>
      <c r="K20" s="112">
        <v>216.63</v>
      </c>
      <c r="L20" s="112">
        <v>25.56</v>
      </c>
      <c r="M20" s="112">
        <v>97.25</v>
      </c>
      <c r="N20" s="112">
        <v>2.1</v>
      </c>
      <c r="O20" s="112">
        <v>0</v>
      </c>
      <c r="P20" s="112">
        <v>0.54</v>
      </c>
      <c r="Q20" s="112">
        <v>4.6399999999999997</v>
      </c>
    </row>
    <row r="21" spans="1:17" customFormat="1">
      <c r="A21" s="80">
        <v>45561.135416666664</v>
      </c>
      <c r="B21" s="112">
        <v>9.25</v>
      </c>
      <c r="C21" s="112">
        <v>4.08</v>
      </c>
      <c r="D21" s="112">
        <v>14</v>
      </c>
      <c r="E21" s="112">
        <v>9.65</v>
      </c>
      <c r="F21" s="112">
        <v>4.03</v>
      </c>
      <c r="G21" s="112">
        <v>43.62</v>
      </c>
      <c r="H21" s="112">
        <v>16.559999999999999</v>
      </c>
      <c r="I21" s="112">
        <v>6.2</v>
      </c>
      <c r="J21" s="112">
        <v>7.0000000000000007E-2</v>
      </c>
      <c r="K21" s="112">
        <v>162.62</v>
      </c>
      <c r="L21" s="112">
        <v>25.51</v>
      </c>
      <c r="M21" s="112">
        <v>97.33</v>
      </c>
      <c r="N21" s="112">
        <v>2.1</v>
      </c>
      <c r="O21" s="112">
        <v>0</v>
      </c>
      <c r="P21" s="112">
        <v>0.54</v>
      </c>
      <c r="Q21" s="112">
        <v>4.63</v>
      </c>
    </row>
    <row r="22" spans="1:17" customFormat="1">
      <c r="A22" s="80">
        <v>45561.145833333336</v>
      </c>
      <c r="B22" s="112">
        <v>9.25</v>
      </c>
      <c r="C22" s="112">
        <v>4.0999999999999996</v>
      </c>
      <c r="D22" s="112">
        <v>14.01</v>
      </c>
      <c r="E22" s="112">
        <v>9.6300000000000008</v>
      </c>
      <c r="F22" s="112">
        <v>4.12</v>
      </c>
      <c r="G22" s="112">
        <v>42.53</v>
      </c>
      <c r="H22" s="112">
        <v>15.97</v>
      </c>
      <c r="I22" s="112">
        <v>6.19</v>
      </c>
      <c r="J22" s="112">
        <v>0</v>
      </c>
      <c r="K22" s="112">
        <v>151.69999999999999</v>
      </c>
      <c r="L22" s="112">
        <v>25.57</v>
      </c>
      <c r="M22" s="112">
        <v>97.74</v>
      </c>
      <c r="N22" s="112">
        <v>2.1</v>
      </c>
      <c r="O22" s="112">
        <v>0</v>
      </c>
      <c r="P22" s="112">
        <v>0.53</v>
      </c>
      <c r="Q22" s="112">
        <v>4.6399999999999997</v>
      </c>
    </row>
    <row r="23" spans="1:17" customFormat="1">
      <c r="A23" s="80">
        <v>45561.15625</v>
      </c>
      <c r="B23" s="112">
        <v>9.27</v>
      </c>
      <c r="C23" s="112">
        <v>4.08</v>
      </c>
      <c r="D23" s="112">
        <v>14.02</v>
      </c>
      <c r="E23" s="112">
        <v>9.5500000000000007</v>
      </c>
      <c r="F23" s="112">
        <v>4.1900000000000004</v>
      </c>
      <c r="G23" s="112">
        <v>31.28</v>
      </c>
      <c r="H23" s="112">
        <v>11.62</v>
      </c>
      <c r="I23" s="112">
        <v>6.18</v>
      </c>
      <c r="J23" s="112">
        <v>0.14000000000000001</v>
      </c>
      <c r="K23" s="112">
        <v>249.91</v>
      </c>
      <c r="L23" s="112">
        <v>25.64</v>
      </c>
      <c r="M23" s="112">
        <v>97.89</v>
      </c>
      <c r="N23" s="112">
        <v>2.1</v>
      </c>
      <c r="O23" s="112">
        <v>0</v>
      </c>
      <c r="P23" s="112">
        <v>0.52</v>
      </c>
      <c r="Q23" s="112">
        <v>4.6399999999999997</v>
      </c>
    </row>
    <row r="24" spans="1:17" customFormat="1">
      <c r="A24" s="80">
        <v>45561.166666666664</v>
      </c>
      <c r="B24" s="112">
        <v>9.26</v>
      </c>
      <c r="C24" s="112">
        <v>4.09</v>
      </c>
      <c r="D24" s="112">
        <v>14.01</v>
      </c>
      <c r="E24" s="112">
        <v>9.3699999999999992</v>
      </c>
      <c r="F24" s="112">
        <v>4.25</v>
      </c>
      <c r="G24" s="112">
        <v>31.28</v>
      </c>
      <c r="H24" s="112">
        <v>11.62</v>
      </c>
      <c r="I24" s="112">
        <v>6.04</v>
      </c>
      <c r="J24" s="112">
        <v>0.04</v>
      </c>
      <c r="K24" s="112">
        <v>152.88</v>
      </c>
      <c r="L24" s="112">
        <v>25.65</v>
      </c>
      <c r="M24" s="112">
        <v>97.57</v>
      </c>
      <c r="N24" s="112">
        <v>2.2999999999999998</v>
      </c>
      <c r="O24" s="112">
        <v>0</v>
      </c>
      <c r="P24" s="112">
        <v>0.51</v>
      </c>
      <c r="Q24" s="112">
        <v>4.6399999999999997</v>
      </c>
    </row>
    <row r="25" spans="1:17" customFormat="1">
      <c r="A25" s="80">
        <v>45561.177083333336</v>
      </c>
      <c r="B25" s="112">
        <v>9.26</v>
      </c>
      <c r="C25" s="112">
        <v>4.09</v>
      </c>
      <c r="D25" s="112">
        <v>14.01</v>
      </c>
      <c r="E25" s="112">
        <v>9.56</v>
      </c>
      <c r="F25" s="112">
        <v>4.0199999999999996</v>
      </c>
      <c r="G25" s="112">
        <v>31.28</v>
      </c>
      <c r="H25" s="112">
        <v>11.62</v>
      </c>
      <c r="I25" s="112">
        <v>6.28</v>
      </c>
      <c r="J25" s="112">
        <v>0.1</v>
      </c>
      <c r="K25" s="112">
        <v>187.54</v>
      </c>
      <c r="L25" s="112">
        <v>25.61</v>
      </c>
      <c r="M25" s="112">
        <v>97.49</v>
      </c>
      <c r="N25" s="112">
        <v>2.1</v>
      </c>
      <c r="O25" s="112">
        <v>0</v>
      </c>
      <c r="P25" s="112">
        <v>0.51</v>
      </c>
      <c r="Q25" s="112">
        <v>4.6500000000000004</v>
      </c>
    </row>
    <row r="26" spans="1:17" customFormat="1">
      <c r="A26" s="80">
        <v>45561.1875</v>
      </c>
      <c r="B26" s="112">
        <v>9.2799999999999994</v>
      </c>
      <c r="C26" s="112">
        <v>4.07</v>
      </c>
      <c r="D26" s="112">
        <v>14.02</v>
      </c>
      <c r="E26" s="112">
        <v>9.23</v>
      </c>
      <c r="F26" s="112">
        <v>4.01</v>
      </c>
      <c r="G26" s="112">
        <v>30.7</v>
      </c>
      <c r="H26" s="112">
        <v>11.5</v>
      </c>
      <c r="I26" s="112">
        <v>6.14</v>
      </c>
      <c r="J26" s="112">
        <v>0.12</v>
      </c>
      <c r="K26" s="112">
        <v>257.13</v>
      </c>
      <c r="L26" s="112">
        <v>25.64</v>
      </c>
      <c r="M26" s="112">
        <v>98.16</v>
      </c>
      <c r="N26" s="112">
        <v>2.1</v>
      </c>
      <c r="O26" s="112">
        <v>0</v>
      </c>
      <c r="P26" s="112">
        <v>0.5</v>
      </c>
      <c r="Q26" s="112">
        <v>4.6500000000000004</v>
      </c>
    </row>
    <row r="27" spans="1:17" customFormat="1">
      <c r="A27" s="80">
        <v>45561.197916666664</v>
      </c>
      <c r="B27" s="112">
        <v>9.2799999999999994</v>
      </c>
      <c r="C27" s="112">
        <v>4.07</v>
      </c>
      <c r="D27" s="112">
        <v>14.02</v>
      </c>
      <c r="E27" s="112">
        <v>9.41</v>
      </c>
      <c r="F27" s="112">
        <v>4.1100000000000003</v>
      </c>
      <c r="G27" s="112">
        <v>24.71</v>
      </c>
      <c r="H27" s="112">
        <v>10.46</v>
      </c>
      <c r="I27" s="112">
        <v>5.94</v>
      </c>
      <c r="J27" s="112">
        <v>7.0000000000000007E-2</v>
      </c>
      <c r="K27" s="112">
        <v>251.12</v>
      </c>
      <c r="L27" s="112">
        <v>25.7</v>
      </c>
      <c r="M27" s="112">
        <v>98.44</v>
      </c>
      <c r="N27" s="112">
        <v>2.2000000000000002</v>
      </c>
      <c r="O27" s="112">
        <v>0</v>
      </c>
      <c r="P27" s="112">
        <v>0.49</v>
      </c>
      <c r="Q27" s="112">
        <v>4.6500000000000004</v>
      </c>
    </row>
    <row r="28" spans="1:17" customFormat="1">
      <c r="A28" s="80">
        <v>45561.208333333336</v>
      </c>
      <c r="B28" s="112">
        <v>9.2799999999999994</v>
      </c>
      <c r="C28" s="112">
        <v>4.07</v>
      </c>
      <c r="D28" s="112">
        <v>14.02</v>
      </c>
      <c r="E28" s="112">
        <v>9.2100000000000009</v>
      </c>
      <c r="F28" s="112">
        <v>4.25</v>
      </c>
      <c r="G28" s="112">
        <v>24.71</v>
      </c>
      <c r="H28" s="112">
        <v>10.46</v>
      </c>
      <c r="I28" s="112">
        <v>5.79</v>
      </c>
      <c r="J28" s="112">
        <v>0.13</v>
      </c>
      <c r="K28" s="112">
        <v>255.59</v>
      </c>
      <c r="L28" s="112">
        <v>25.69</v>
      </c>
      <c r="M28" s="112">
        <v>98.46</v>
      </c>
      <c r="N28" s="112">
        <v>2.1</v>
      </c>
      <c r="O28" s="112">
        <v>0</v>
      </c>
      <c r="P28" s="112">
        <v>0.49</v>
      </c>
      <c r="Q28" s="112">
        <v>4.6500000000000004</v>
      </c>
    </row>
    <row r="29" spans="1:17" customFormat="1">
      <c r="A29" s="80">
        <v>45561.21875</v>
      </c>
      <c r="B29" s="112">
        <v>9.2899999999999991</v>
      </c>
      <c r="C29" s="112">
        <v>4.08</v>
      </c>
      <c r="D29" s="112">
        <v>14.03</v>
      </c>
      <c r="E29" s="112">
        <v>8.8699999999999992</v>
      </c>
      <c r="F29" s="112">
        <v>4.29</v>
      </c>
      <c r="G29" s="112">
        <v>24.71</v>
      </c>
      <c r="H29" s="112">
        <v>10.46</v>
      </c>
      <c r="I29" s="112">
        <v>5.71</v>
      </c>
      <c r="J29" s="112">
        <v>0.04</v>
      </c>
      <c r="K29" s="112">
        <v>228.78</v>
      </c>
      <c r="L29" s="112">
        <v>25.68</v>
      </c>
      <c r="M29" s="112">
        <v>98.4</v>
      </c>
      <c r="N29" s="112">
        <v>2.1</v>
      </c>
      <c r="O29" s="112">
        <v>0</v>
      </c>
      <c r="P29" s="112">
        <v>0.46</v>
      </c>
      <c r="Q29" s="112">
        <v>4.67</v>
      </c>
    </row>
    <row r="30" spans="1:17" customFormat="1">
      <c r="A30" s="80">
        <v>45561.229166666664</v>
      </c>
      <c r="B30" s="112">
        <v>9.2899999999999991</v>
      </c>
      <c r="C30" s="112">
        <v>4.0599999999999996</v>
      </c>
      <c r="D30" s="112">
        <v>14.02</v>
      </c>
      <c r="E30" s="112">
        <v>8.8699999999999992</v>
      </c>
      <c r="F30" s="112">
        <v>4.8499999999999996</v>
      </c>
      <c r="G30" s="112">
        <v>24.39</v>
      </c>
      <c r="H30" s="112">
        <v>10.34</v>
      </c>
      <c r="I30" s="112">
        <v>5.8</v>
      </c>
      <c r="J30" s="112">
        <v>0.09</v>
      </c>
      <c r="K30" s="112">
        <v>238.44</v>
      </c>
      <c r="L30" s="112">
        <v>25.71</v>
      </c>
      <c r="M30" s="112">
        <v>98.47</v>
      </c>
      <c r="N30" s="112">
        <v>2.1</v>
      </c>
      <c r="O30" s="112">
        <v>0</v>
      </c>
      <c r="P30" s="112">
        <v>0.43</v>
      </c>
      <c r="Q30" s="112">
        <v>4.66</v>
      </c>
    </row>
    <row r="31" spans="1:17" customFormat="1">
      <c r="A31" s="80">
        <v>45561.239583333336</v>
      </c>
      <c r="B31" s="112">
        <v>9.2899999999999991</v>
      </c>
      <c r="C31" s="112">
        <v>4.07</v>
      </c>
      <c r="D31" s="112">
        <v>14.02</v>
      </c>
      <c r="E31" s="112">
        <v>8.66</v>
      </c>
      <c r="F31" s="112">
        <v>4.72</v>
      </c>
      <c r="G31" s="112">
        <v>21.19</v>
      </c>
      <c r="H31" s="112">
        <v>9.42</v>
      </c>
      <c r="I31" s="112">
        <v>5.41</v>
      </c>
      <c r="J31" s="112">
        <v>0.1</v>
      </c>
      <c r="K31" s="112">
        <v>230.42</v>
      </c>
      <c r="L31" s="112">
        <v>25.83</v>
      </c>
      <c r="M31" s="112">
        <v>98.63</v>
      </c>
      <c r="N31" s="112">
        <v>2.9</v>
      </c>
      <c r="O31" s="112">
        <v>0</v>
      </c>
      <c r="P31" s="112">
        <v>0.44</v>
      </c>
      <c r="Q31" s="112">
        <v>4.6399999999999997</v>
      </c>
    </row>
    <row r="32" spans="1:17" customFormat="1">
      <c r="A32" s="80">
        <v>45561.25</v>
      </c>
      <c r="B32" s="112">
        <v>9.2799999999999994</v>
      </c>
      <c r="C32" s="112">
        <v>4.0599999999999996</v>
      </c>
      <c r="D32" s="112">
        <v>14.01</v>
      </c>
      <c r="E32" s="112">
        <v>9.51</v>
      </c>
      <c r="F32" s="112">
        <v>4.3499999999999996</v>
      </c>
      <c r="G32" s="112">
        <v>21.19</v>
      </c>
      <c r="H32" s="112">
        <v>9.42</v>
      </c>
      <c r="I32" s="112">
        <v>5.59</v>
      </c>
      <c r="J32" s="112">
        <v>0.13</v>
      </c>
      <c r="K32" s="112">
        <v>251</v>
      </c>
      <c r="L32" s="112">
        <v>25.89</v>
      </c>
      <c r="M32" s="112">
        <v>98.38</v>
      </c>
      <c r="N32" s="112">
        <v>5.3</v>
      </c>
      <c r="O32" s="112">
        <v>0</v>
      </c>
      <c r="P32" s="112">
        <v>0.43</v>
      </c>
      <c r="Q32" s="112">
        <v>4.6399999999999997</v>
      </c>
    </row>
    <row r="33" spans="1:17" customFormat="1">
      <c r="A33" s="80">
        <v>45561.260416666664</v>
      </c>
      <c r="B33" s="112">
        <v>9.2899999999999991</v>
      </c>
      <c r="C33" s="112">
        <v>4.04</v>
      </c>
      <c r="D33" s="112">
        <v>14.01</v>
      </c>
      <c r="E33" s="112">
        <v>9.6</v>
      </c>
      <c r="F33" s="112">
        <v>4.0999999999999996</v>
      </c>
      <c r="G33" s="112">
        <v>21.19</v>
      </c>
      <c r="H33" s="112">
        <v>9.42</v>
      </c>
      <c r="I33" s="112">
        <v>5.4</v>
      </c>
      <c r="J33" s="112">
        <v>0.19</v>
      </c>
      <c r="K33" s="112">
        <v>246.66</v>
      </c>
      <c r="L33" s="112">
        <v>25.94</v>
      </c>
      <c r="M33" s="112">
        <v>97.48</v>
      </c>
      <c r="N33" s="112">
        <v>9.8000000000000007</v>
      </c>
      <c r="O33" s="112">
        <v>0</v>
      </c>
      <c r="P33" s="112">
        <v>0.44</v>
      </c>
      <c r="Q33" s="112">
        <v>4.67</v>
      </c>
    </row>
    <row r="34" spans="1:17" customFormat="1">
      <c r="A34" s="80">
        <v>45561.270833333336</v>
      </c>
      <c r="B34" s="112">
        <v>9.2899999999999991</v>
      </c>
      <c r="C34" s="112">
        <v>4.05</v>
      </c>
      <c r="D34" s="112">
        <v>14.01</v>
      </c>
      <c r="E34" s="112">
        <v>9.4499999999999993</v>
      </c>
      <c r="F34" s="112">
        <v>4.63</v>
      </c>
      <c r="G34" s="112">
        <v>21.25</v>
      </c>
      <c r="H34" s="112">
        <v>9.4499999999999993</v>
      </c>
      <c r="I34" s="112">
        <v>5.31</v>
      </c>
      <c r="J34" s="112">
        <v>0.23</v>
      </c>
      <c r="K34" s="112">
        <v>250.98</v>
      </c>
      <c r="L34" s="112">
        <v>25.92</v>
      </c>
      <c r="M34" s="112">
        <v>97.08</v>
      </c>
      <c r="N34" s="112">
        <v>14.8</v>
      </c>
      <c r="O34" s="112">
        <v>0</v>
      </c>
      <c r="P34" s="112">
        <v>0.43</v>
      </c>
      <c r="Q34" s="112">
        <v>4.66</v>
      </c>
    </row>
    <row r="35" spans="1:17" customFormat="1">
      <c r="A35" s="80">
        <v>45561.28125</v>
      </c>
      <c r="B35" s="112">
        <v>9.2899999999999991</v>
      </c>
      <c r="C35" s="112">
        <v>4.0599999999999996</v>
      </c>
      <c r="D35" s="112">
        <v>14.02</v>
      </c>
      <c r="E35" s="112">
        <v>10.1</v>
      </c>
      <c r="F35" s="112">
        <v>4.84</v>
      </c>
      <c r="G35" s="112">
        <v>21.93</v>
      </c>
      <c r="H35" s="112">
        <v>9.68</v>
      </c>
      <c r="I35" s="112">
        <v>5.46</v>
      </c>
      <c r="J35" s="112">
        <v>0.22</v>
      </c>
      <c r="K35" s="112">
        <v>258.57</v>
      </c>
      <c r="L35" s="112">
        <v>25.96</v>
      </c>
      <c r="M35" s="112">
        <v>96.91</v>
      </c>
      <c r="N35" s="112">
        <v>16.3</v>
      </c>
      <c r="O35" s="112">
        <v>0</v>
      </c>
      <c r="P35" s="112">
        <v>0.42</v>
      </c>
      <c r="Q35" s="112">
        <v>4.6500000000000004</v>
      </c>
    </row>
    <row r="36" spans="1:17" customFormat="1">
      <c r="A36" s="80">
        <v>45561.291666666664</v>
      </c>
      <c r="B36" s="112">
        <v>9.3000000000000007</v>
      </c>
      <c r="C36" s="112">
        <v>4.07</v>
      </c>
      <c r="D36" s="112">
        <v>14.04</v>
      </c>
      <c r="E36" s="112">
        <v>10.02</v>
      </c>
      <c r="F36" s="112">
        <v>4.5199999999999996</v>
      </c>
      <c r="G36" s="112">
        <v>21.93</v>
      </c>
      <c r="H36" s="112">
        <v>9.68</v>
      </c>
      <c r="I36" s="112">
        <v>5.15</v>
      </c>
      <c r="J36" s="112">
        <v>0.34</v>
      </c>
      <c r="K36" s="112">
        <v>258.95999999999998</v>
      </c>
      <c r="L36" s="112">
        <v>26.02</v>
      </c>
      <c r="M36" s="112">
        <v>96.16</v>
      </c>
      <c r="N36" s="112">
        <v>30.6</v>
      </c>
      <c r="O36" s="112">
        <v>0</v>
      </c>
      <c r="P36" s="112">
        <v>0.43</v>
      </c>
      <c r="Q36" s="112">
        <v>4.66</v>
      </c>
    </row>
    <row r="37" spans="1:17" customFormat="1">
      <c r="A37" s="80">
        <v>45561.302083333336</v>
      </c>
      <c r="B37" s="112">
        <v>9.32</v>
      </c>
      <c r="C37" s="112">
        <v>4.05</v>
      </c>
      <c r="D37" s="112">
        <v>14.04</v>
      </c>
      <c r="E37" s="112">
        <v>9.9600000000000009</v>
      </c>
      <c r="F37" s="112">
        <v>3.61</v>
      </c>
      <c r="G37" s="112">
        <v>21.93</v>
      </c>
      <c r="H37" s="112">
        <v>9.68</v>
      </c>
      <c r="I37" s="112">
        <v>5.34</v>
      </c>
      <c r="J37" s="112">
        <v>0.25</v>
      </c>
      <c r="K37" s="112">
        <v>253.09</v>
      </c>
      <c r="L37" s="112">
        <v>26.13</v>
      </c>
      <c r="M37" s="112">
        <v>94.54</v>
      </c>
      <c r="N37" s="112">
        <v>40.4</v>
      </c>
      <c r="O37" s="112">
        <v>0</v>
      </c>
      <c r="P37" s="112">
        <v>0.43</v>
      </c>
      <c r="Q37" s="112">
        <v>4.6500000000000004</v>
      </c>
    </row>
    <row r="38" spans="1:17" customFormat="1">
      <c r="A38" s="80">
        <v>45561.3125</v>
      </c>
      <c r="B38" s="112">
        <v>9.33</v>
      </c>
      <c r="C38" s="112">
        <v>4.04</v>
      </c>
      <c r="D38" s="112">
        <v>14.04</v>
      </c>
      <c r="E38" s="112">
        <v>10.29</v>
      </c>
      <c r="F38" s="112">
        <v>4.05</v>
      </c>
      <c r="G38" s="112">
        <v>21.48</v>
      </c>
      <c r="H38" s="112">
        <v>9.41</v>
      </c>
      <c r="I38" s="112">
        <v>5.33</v>
      </c>
      <c r="J38" s="112">
        <v>0.23</v>
      </c>
      <c r="K38" s="112">
        <v>261.95999999999998</v>
      </c>
      <c r="L38" s="112">
        <v>26.31</v>
      </c>
      <c r="M38" s="112">
        <v>93.88</v>
      </c>
      <c r="N38" s="112">
        <v>44.6</v>
      </c>
      <c r="O38" s="112">
        <v>0</v>
      </c>
      <c r="P38" s="112">
        <v>0.43</v>
      </c>
      <c r="Q38" s="112">
        <v>4.66</v>
      </c>
    </row>
    <row r="39" spans="1:17" customFormat="1">
      <c r="A39" s="80">
        <v>45561.322916666664</v>
      </c>
      <c r="B39" s="112">
        <v>9.32</v>
      </c>
      <c r="C39" s="112">
        <v>4.05</v>
      </c>
      <c r="D39" s="112">
        <v>14.04</v>
      </c>
      <c r="E39" s="112">
        <v>10.42</v>
      </c>
      <c r="F39" s="112">
        <v>4.7699999999999996</v>
      </c>
      <c r="G39" s="112">
        <v>16.84</v>
      </c>
      <c r="H39" s="112">
        <v>6.92</v>
      </c>
      <c r="I39" s="112">
        <v>5.31</v>
      </c>
      <c r="J39" s="112">
        <v>0.28999999999999998</v>
      </c>
      <c r="K39" s="112">
        <v>252.49</v>
      </c>
      <c r="L39" s="112">
        <v>26.54</v>
      </c>
      <c r="M39" s="112">
        <v>93.18</v>
      </c>
      <c r="N39" s="112">
        <v>64.599999999999994</v>
      </c>
      <c r="O39" s="112">
        <v>0</v>
      </c>
      <c r="P39" s="112">
        <v>0.43</v>
      </c>
      <c r="Q39" s="112">
        <v>4.66</v>
      </c>
    </row>
    <row r="40" spans="1:17" customFormat="1">
      <c r="A40" s="80">
        <v>45561.333333333336</v>
      </c>
      <c r="B40" s="112">
        <v>9.3000000000000007</v>
      </c>
      <c r="C40" s="112">
        <v>4.0599999999999996</v>
      </c>
      <c r="D40" s="112">
        <v>14.03</v>
      </c>
      <c r="E40" s="112">
        <v>10.73</v>
      </c>
      <c r="F40" s="112">
        <v>4.95</v>
      </c>
      <c r="G40" s="112">
        <v>16.84</v>
      </c>
      <c r="H40" s="112">
        <v>6.92</v>
      </c>
      <c r="I40" s="112">
        <v>5.0999999999999996</v>
      </c>
      <c r="J40" s="112">
        <v>0.28999999999999998</v>
      </c>
      <c r="K40" s="112">
        <v>261.24</v>
      </c>
      <c r="L40" s="112">
        <v>26.9</v>
      </c>
      <c r="M40" s="112">
        <v>91.45</v>
      </c>
      <c r="N40" s="112">
        <v>78.3</v>
      </c>
      <c r="O40" s="112">
        <v>0</v>
      </c>
      <c r="P40" s="112">
        <v>0.41</v>
      </c>
      <c r="Q40" s="112">
        <v>4.6500000000000004</v>
      </c>
    </row>
    <row r="41" spans="1:17" customFormat="1">
      <c r="A41" s="80">
        <v>45561.34375</v>
      </c>
      <c r="B41" s="112">
        <v>9.2899999999999991</v>
      </c>
      <c r="C41" s="112">
        <v>4.07</v>
      </c>
      <c r="D41" s="112">
        <v>14.02</v>
      </c>
      <c r="E41" s="112">
        <v>10.49</v>
      </c>
      <c r="F41" s="112">
        <v>4.49</v>
      </c>
      <c r="G41" s="112">
        <v>16.84</v>
      </c>
      <c r="H41" s="112">
        <v>6.92</v>
      </c>
      <c r="I41" s="112">
        <v>5.01</v>
      </c>
      <c r="J41" s="112">
        <v>0.37</v>
      </c>
      <c r="K41" s="112">
        <v>264.51</v>
      </c>
      <c r="L41" s="112">
        <v>27.19</v>
      </c>
      <c r="M41" s="112">
        <v>90.19</v>
      </c>
      <c r="N41" s="112">
        <v>95.8</v>
      </c>
      <c r="O41" s="112">
        <v>0</v>
      </c>
      <c r="P41" s="112">
        <v>0.42</v>
      </c>
      <c r="Q41" s="112">
        <v>4.6500000000000004</v>
      </c>
    </row>
    <row r="42" spans="1:17" customFormat="1">
      <c r="A42" s="80">
        <v>45561.354166666664</v>
      </c>
      <c r="B42" s="112">
        <v>9.3000000000000007</v>
      </c>
      <c r="C42" s="112">
        <v>4.07</v>
      </c>
      <c r="D42" s="112">
        <v>14.03</v>
      </c>
      <c r="E42" s="112">
        <v>10.44</v>
      </c>
      <c r="F42" s="112">
        <v>4.8099999999999996</v>
      </c>
      <c r="G42" s="112">
        <v>16.46</v>
      </c>
      <c r="H42" s="112">
        <v>6.76</v>
      </c>
      <c r="I42" s="112">
        <v>5.01</v>
      </c>
      <c r="J42" s="112">
        <v>0.35</v>
      </c>
      <c r="K42" s="112">
        <v>251.63</v>
      </c>
      <c r="L42" s="112">
        <v>27.43</v>
      </c>
      <c r="M42" s="112">
        <v>88.88</v>
      </c>
      <c r="N42" s="112">
        <v>76.099999999999994</v>
      </c>
      <c r="O42" s="112">
        <v>0</v>
      </c>
      <c r="P42" s="112">
        <v>0.41</v>
      </c>
      <c r="Q42" s="112">
        <v>4.66</v>
      </c>
    </row>
    <row r="43" spans="1:17" customFormat="1">
      <c r="A43" s="80">
        <v>45561.364583333336</v>
      </c>
      <c r="B43" s="112">
        <v>9.31</v>
      </c>
      <c r="C43" s="112">
        <v>4.03</v>
      </c>
      <c r="D43" s="112">
        <v>14.02</v>
      </c>
      <c r="E43" s="112">
        <v>10.68</v>
      </c>
      <c r="F43" s="112">
        <v>3.41</v>
      </c>
      <c r="G43" s="112">
        <v>12.56</v>
      </c>
      <c r="H43" s="112">
        <v>5.36</v>
      </c>
      <c r="I43" s="112">
        <v>5.17</v>
      </c>
      <c r="J43" s="112">
        <v>0.34</v>
      </c>
      <c r="K43" s="112">
        <v>254.56</v>
      </c>
      <c r="L43" s="112">
        <v>27.54</v>
      </c>
      <c r="M43" s="112">
        <v>87.97</v>
      </c>
      <c r="N43" s="112">
        <v>95.7</v>
      </c>
      <c r="O43" s="112">
        <v>0</v>
      </c>
      <c r="P43" s="112">
        <v>0.42</v>
      </c>
      <c r="Q43" s="112">
        <v>4.6399999999999997</v>
      </c>
    </row>
    <row r="44" spans="1:17" customFormat="1">
      <c r="A44" s="80">
        <v>45561.375</v>
      </c>
      <c r="B44" s="112">
        <v>9.3000000000000007</v>
      </c>
      <c r="C44" s="112">
        <v>4.08</v>
      </c>
      <c r="D44" s="112">
        <v>14.04</v>
      </c>
      <c r="E44" s="112">
        <v>10.93</v>
      </c>
      <c r="F44" s="112">
        <v>4.57</v>
      </c>
      <c r="G44" s="112">
        <v>12.56</v>
      </c>
      <c r="H44" s="112">
        <v>5.36</v>
      </c>
      <c r="I44" s="112">
        <v>4.93</v>
      </c>
      <c r="J44" s="112">
        <v>0.38</v>
      </c>
      <c r="K44" s="112">
        <v>257.95</v>
      </c>
      <c r="L44" s="112">
        <v>27.59</v>
      </c>
      <c r="M44" s="112">
        <v>87.69</v>
      </c>
      <c r="N44" s="112">
        <v>115.8</v>
      </c>
      <c r="O44" s="112">
        <v>0</v>
      </c>
      <c r="P44" s="112">
        <v>0.41</v>
      </c>
      <c r="Q44" s="112">
        <v>4.6399999999999997</v>
      </c>
    </row>
    <row r="45" spans="1:17" customFormat="1">
      <c r="A45" s="80">
        <v>45561.385416666664</v>
      </c>
      <c r="B45" s="112">
        <v>9.33</v>
      </c>
      <c r="C45" s="112">
        <v>4.0599999999999996</v>
      </c>
      <c r="D45" s="112">
        <v>14.06</v>
      </c>
      <c r="E45" s="112">
        <v>10.92</v>
      </c>
      <c r="F45" s="112">
        <v>3.74</v>
      </c>
      <c r="G45" s="112">
        <v>12.56</v>
      </c>
      <c r="H45" s="112">
        <v>5.36</v>
      </c>
      <c r="I45" s="112">
        <v>4.82</v>
      </c>
      <c r="J45" s="112">
        <v>0.41</v>
      </c>
      <c r="K45" s="112">
        <v>265.31</v>
      </c>
      <c r="L45" s="112">
        <v>28.04</v>
      </c>
      <c r="M45" s="112">
        <v>85.12</v>
      </c>
      <c r="N45" s="112">
        <v>133.69999999999999</v>
      </c>
      <c r="O45" s="112">
        <v>0</v>
      </c>
      <c r="P45" s="112">
        <v>0.41</v>
      </c>
      <c r="Q45" s="112">
        <v>4.6500000000000004</v>
      </c>
    </row>
    <row r="46" spans="1:17" customFormat="1">
      <c r="A46" s="80">
        <v>45561.395833333336</v>
      </c>
      <c r="B46" s="112">
        <v>9.35</v>
      </c>
      <c r="C46" s="112">
        <v>4.07</v>
      </c>
      <c r="D46" s="112">
        <v>14.07</v>
      </c>
      <c r="E46" s="112">
        <v>11.15</v>
      </c>
      <c r="F46" s="112">
        <v>4.54</v>
      </c>
      <c r="G46" s="112">
        <v>12.29</v>
      </c>
      <c r="H46" s="112">
        <v>5.21</v>
      </c>
      <c r="I46" s="112">
        <v>4.82</v>
      </c>
      <c r="J46" s="112">
        <v>0.42</v>
      </c>
      <c r="K46" s="112">
        <v>274.31</v>
      </c>
      <c r="L46" s="112">
        <v>28.14</v>
      </c>
      <c r="M46" s="112">
        <v>84.48</v>
      </c>
      <c r="N46" s="112">
        <v>143.30000000000001</v>
      </c>
      <c r="O46" s="112">
        <v>0</v>
      </c>
      <c r="P46" s="112">
        <v>0.4</v>
      </c>
      <c r="Q46" s="112">
        <v>4.6399999999999997</v>
      </c>
    </row>
    <row r="47" spans="1:17" customFormat="1">
      <c r="A47" s="80">
        <v>45561.40625</v>
      </c>
      <c r="B47" s="112">
        <v>9.33</v>
      </c>
      <c r="C47" s="112">
        <v>4.05</v>
      </c>
      <c r="D47" s="112">
        <v>14.05</v>
      </c>
      <c r="E47" s="112">
        <v>10.97</v>
      </c>
      <c r="F47" s="112">
        <v>4.21</v>
      </c>
      <c r="G47" s="112">
        <v>9.43</v>
      </c>
      <c r="H47" s="112">
        <v>4.13</v>
      </c>
      <c r="I47" s="112">
        <v>4.97</v>
      </c>
      <c r="J47" s="112">
        <v>0.51</v>
      </c>
      <c r="K47" s="112">
        <v>270.91000000000003</v>
      </c>
      <c r="L47" s="112">
        <v>28.55</v>
      </c>
      <c r="M47" s="112">
        <v>83.09</v>
      </c>
      <c r="N47" s="112">
        <v>199.5</v>
      </c>
      <c r="O47" s="112">
        <v>0</v>
      </c>
      <c r="P47" s="112">
        <v>0.41</v>
      </c>
      <c r="Q47" s="112">
        <v>4.66</v>
      </c>
    </row>
    <row r="48" spans="1:17" customFormat="1">
      <c r="A48" s="80">
        <v>45561.416666666664</v>
      </c>
      <c r="B48" s="112">
        <v>9.32</v>
      </c>
      <c r="C48" s="112">
        <v>4.05</v>
      </c>
      <c r="D48" s="112">
        <v>14.04</v>
      </c>
      <c r="E48" s="112">
        <v>11.23</v>
      </c>
      <c r="F48" s="112">
        <v>3.93</v>
      </c>
      <c r="G48" s="112">
        <v>9.43</v>
      </c>
      <c r="H48" s="112">
        <v>4.13</v>
      </c>
      <c r="I48" s="112">
        <v>4.91</v>
      </c>
      <c r="J48" s="112">
        <v>0.75</v>
      </c>
      <c r="K48" s="112">
        <v>270.77</v>
      </c>
      <c r="L48" s="112">
        <v>28.82</v>
      </c>
      <c r="M48" s="112">
        <v>80.989999999999995</v>
      </c>
      <c r="N48" s="112">
        <v>178.4</v>
      </c>
      <c r="O48" s="112">
        <v>0</v>
      </c>
      <c r="P48" s="112">
        <v>0.43</v>
      </c>
      <c r="Q48" s="112">
        <v>4.6399999999999997</v>
      </c>
    </row>
    <row r="49" spans="1:17" customFormat="1">
      <c r="A49" s="80">
        <v>45561.427083333336</v>
      </c>
      <c r="B49" s="112">
        <v>9.2899999999999991</v>
      </c>
      <c r="C49" s="112">
        <v>4.07</v>
      </c>
      <c r="D49" s="112">
        <v>14.03</v>
      </c>
      <c r="E49" s="112">
        <v>9.9</v>
      </c>
      <c r="F49" s="112">
        <v>4.2699999999999996</v>
      </c>
      <c r="G49" s="112">
        <v>9.43</v>
      </c>
      <c r="H49" s="112">
        <v>4.13</v>
      </c>
      <c r="I49" s="112">
        <v>4.8</v>
      </c>
      <c r="J49" s="112">
        <v>0.64</v>
      </c>
      <c r="K49" s="112">
        <v>273.99</v>
      </c>
      <c r="L49" s="112">
        <v>28.54</v>
      </c>
      <c r="M49" s="112">
        <v>81.8</v>
      </c>
      <c r="N49" s="112">
        <v>130.5</v>
      </c>
      <c r="O49" s="112">
        <v>0</v>
      </c>
      <c r="P49" s="112">
        <v>0.44</v>
      </c>
      <c r="Q49" s="112">
        <v>4.66</v>
      </c>
    </row>
    <row r="50" spans="1:17" customFormat="1">
      <c r="A50" s="80">
        <v>45561.4375</v>
      </c>
      <c r="B50" s="112">
        <v>9.2899999999999991</v>
      </c>
      <c r="C50" s="112">
        <v>4.08</v>
      </c>
      <c r="D50" s="112">
        <v>14.03</v>
      </c>
      <c r="E50" s="112">
        <v>11.33</v>
      </c>
      <c r="F50" s="112">
        <v>4.79</v>
      </c>
      <c r="G50" s="112">
        <v>9.34</v>
      </c>
      <c r="H50" s="112">
        <v>4.05</v>
      </c>
      <c r="I50" s="112">
        <v>4.83</v>
      </c>
      <c r="J50" s="112">
        <v>0.62</v>
      </c>
      <c r="K50" s="112">
        <v>268.08999999999997</v>
      </c>
      <c r="L50" s="112">
        <v>28.59</v>
      </c>
      <c r="M50" s="112">
        <v>82.29</v>
      </c>
      <c r="N50" s="112">
        <v>140.9</v>
      </c>
      <c r="O50" s="112">
        <v>0</v>
      </c>
      <c r="P50" s="112">
        <v>0.44</v>
      </c>
      <c r="Q50" s="112">
        <v>4.6399999999999997</v>
      </c>
    </row>
    <row r="51" spans="1:17" customFormat="1">
      <c r="A51" s="80">
        <v>45561.447916666664</v>
      </c>
      <c r="B51" s="112">
        <v>9.26</v>
      </c>
      <c r="C51" s="112">
        <v>4.1100000000000003</v>
      </c>
      <c r="D51" s="112">
        <v>14.02</v>
      </c>
      <c r="E51" s="112">
        <v>11.51</v>
      </c>
      <c r="F51" s="112">
        <v>5.1100000000000003</v>
      </c>
      <c r="G51" s="112">
        <v>8.3800000000000008</v>
      </c>
      <c r="H51" s="112">
        <v>3.42</v>
      </c>
      <c r="I51" s="112">
        <v>4.82</v>
      </c>
      <c r="J51" s="112">
        <v>0.63</v>
      </c>
      <c r="K51" s="112">
        <v>273.20999999999998</v>
      </c>
      <c r="L51" s="112">
        <v>29.18</v>
      </c>
      <c r="M51" s="112">
        <v>80.36</v>
      </c>
      <c r="N51" s="112">
        <v>256.10000000000002</v>
      </c>
      <c r="O51" s="112">
        <v>0</v>
      </c>
      <c r="P51" s="112">
        <v>0.43</v>
      </c>
      <c r="Q51" s="112">
        <v>4.6500000000000004</v>
      </c>
    </row>
    <row r="52" spans="1:17" customFormat="1">
      <c r="A52" s="80">
        <v>45561.458333333336</v>
      </c>
      <c r="B52" s="112">
        <v>9.24</v>
      </c>
      <c r="C52" s="112">
        <v>4.09</v>
      </c>
      <c r="D52" s="112">
        <v>14</v>
      </c>
      <c r="E52" s="112">
        <v>10.58</v>
      </c>
      <c r="F52" s="112">
        <v>4.96</v>
      </c>
      <c r="G52" s="112">
        <v>8.3800000000000008</v>
      </c>
      <c r="H52" s="112">
        <v>3.42</v>
      </c>
      <c r="I52" s="112">
        <v>4.7699999999999996</v>
      </c>
      <c r="J52" s="112">
        <v>0.51</v>
      </c>
      <c r="K52" s="112">
        <v>275.75</v>
      </c>
      <c r="L52" s="112">
        <v>29.72</v>
      </c>
      <c r="M52" s="112">
        <v>78.290000000000006</v>
      </c>
      <c r="N52" s="112">
        <v>227.9</v>
      </c>
      <c r="O52" s="112">
        <v>0</v>
      </c>
      <c r="P52" s="112">
        <v>0.44</v>
      </c>
      <c r="Q52" s="112">
        <v>4.6399999999999997</v>
      </c>
    </row>
    <row r="53" spans="1:17" customFormat="1">
      <c r="A53" s="80">
        <v>45561.46875</v>
      </c>
      <c r="B53" s="112">
        <v>9.26</v>
      </c>
      <c r="C53" s="112">
        <v>4.08</v>
      </c>
      <c r="D53" s="112">
        <v>14.01</v>
      </c>
      <c r="E53" s="112">
        <v>10.97</v>
      </c>
      <c r="F53" s="112">
        <v>4.42</v>
      </c>
      <c r="G53" s="112">
        <v>8.3800000000000008</v>
      </c>
      <c r="H53" s="112">
        <v>3.42</v>
      </c>
      <c r="I53" s="112">
        <v>4.83</v>
      </c>
      <c r="J53" s="112">
        <v>0.5</v>
      </c>
      <c r="K53" s="112">
        <v>271.08999999999997</v>
      </c>
      <c r="L53" s="112">
        <v>29.53</v>
      </c>
      <c r="M53" s="112">
        <v>77.78</v>
      </c>
      <c r="N53" s="112">
        <v>206.9</v>
      </c>
      <c r="O53" s="112">
        <v>0</v>
      </c>
      <c r="P53" s="112">
        <v>0.45</v>
      </c>
      <c r="Q53" s="112">
        <v>4.63</v>
      </c>
    </row>
    <row r="54" spans="1:17" customFormat="1">
      <c r="A54" s="80">
        <v>45561.479166666664</v>
      </c>
      <c r="B54" s="112">
        <v>9.3000000000000007</v>
      </c>
      <c r="C54" s="112">
        <v>4.0999999999999996</v>
      </c>
      <c r="D54" s="112">
        <v>14.05</v>
      </c>
      <c r="E54" s="112">
        <v>10.64</v>
      </c>
      <c r="F54" s="112">
        <v>4.57</v>
      </c>
      <c r="G54" s="112">
        <v>8.7899999999999991</v>
      </c>
      <c r="H54" s="112">
        <v>3.76</v>
      </c>
      <c r="I54" s="112">
        <v>4.8600000000000003</v>
      </c>
      <c r="J54" s="112">
        <v>0.33</v>
      </c>
      <c r="K54" s="112">
        <v>263.37</v>
      </c>
      <c r="L54" s="112">
        <v>29.71</v>
      </c>
      <c r="M54" s="112">
        <v>77.400000000000006</v>
      </c>
      <c r="N54" s="112">
        <v>190.1</v>
      </c>
      <c r="O54" s="112">
        <v>0</v>
      </c>
      <c r="P54" s="112">
        <v>0.45</v>
      </c>
      <c r="Q54" s="112">
        <v>4.63</v>
      </c>
    </row>
    <row r="55" spans="1:17" customFormat="1">
      <c r="A55" s="80">
        <v>45561.489583333336</v>
      </c>
      <c r="B55" s="112">
        <v>9.36</v>
      </c>
      <c r="C55" s="112">
        <v>4.05</v>
      </c>
      <c r="D55" s="112">
        <v>14.07</v>
      </c>
      <c r="E55" s="112">
        <v>10.34</v>
      </c>
      <c r="F55" s="112">
        <v>4.76</v>
      </c>
      <c r="G55" s="112">
        <v>13.01</v>
      </c>
      <c r="H55" s="112">
        <v>6.25</v>
      </c>
      <c r="I55" s="112">
        <v>4.9000000000000004</v>
      </c>
      <c r="J55" s="112">
        <v>0.42</v>
      </c>
      <c r="K55" s="112">
        <v>284.37</v>
      </c>
      <c r="L55" s="112">
        <v>29.78</v>
      </c>
      <c r="M55" s="112">
        <v>76.349999999999994</v>
      </c>
      <c r="N55" s="112">
        <v>155</v>
      </c>
      <c r="O55" s="112">
        <v>0</v>
      </c>
      <c r="P55" s="112">
        <v>0.45</v>
      </c>
      <c r="Q55" s="112">
        <v>4.6399999999999997</v>
      </c>
    </row>
    <row r="56" spans="1:17" customFormat="1">
      <c r="A56" s="80">
        <v>45561.5</v>
      </c>
      <c r="B56" s="112">
        <v>9.3699999999999992</v>
      </c>
      <c r="C56" s="112">
        <v>4.07</v>
      </c>
      <c r="D56" s="112">
        <v>14.09</v>
      </c>
      <c r="E56" s="112">
        <v>10.37</v>
      </c>
      <c r="F56" s="112">
        <v>4.25</v>
      </c>
      <c r="G56" s="112">
        <v>13.01</v>
      </c>
      <c r="H56" s="112">
        <v>6.25</v>
      </c>
      <c r="I56" s="112">
        <v>4.96</v>
      </c>
      <c r="J56" s="112">
        <v>0.4</v>
      </c>
      <c r="K56" s="112">
        <v>263.56</v>
      </c>
      <c r="L56" s="112">
        <v>29.45</v>
      </c>
      <c r="M56" s="112">
        <v>77.52</v>
      </c>
      <c r="N56" s="112">
        <v>82.8</v>
      </c>
      <c r="O56" s="112">
        <v>0</v>
      </c>
      <c r="P56" s="112">
        <v>0.46</v>
      </c>
      <c r="Q56" s="112">
        <v>4.6399999999999997</v>
      </c>
    </row>
    <row r="57" spans="1:17" customFormat="1">
      <c r="A57" s="80">
        <v>45561.510416666664</v>
      </c>
      <c r="B57" s="112">
        <v>9.3699999999999992</v>
      </c>
      <c r="C57" s="112">
        <v>4.09</v>
      </c>
      <c r="D57" s="112">
        <v>14.1</v>
      </c>
      <c r="E57" s="112">
        <v>10.96</v>
      </c>
      <c r="F57" s="112">
        <v>5.27</v>
      </c>
      <c r="G57" s="112">
        <v>13.01</v>
      </c>
      <c r="H57" s="112">
        <v>6.25</v>
      </c>
      <c r="I57" s="112">
        <v>5.31</v>
      </c>
      <c r="J57" s="112">
        <v>0.4</v>
      </c>
      <c r="K57" s="112">
        <v>255.67</v>
      </c>
      <c r="L57" s="112">
        <v>28.83</v>
      </c>
      <c r="M57" s="112">
        <v>81.010000000000005</v>
      </c>
      <c r="N57" s="112">
        <v>31.7</v>
      </c>
      <c r="O57" s="112">
        <v>0.4</v>
      </c>
      <c r="P57" s="112">
        <v>0.51</v>
      </c>
      <c r="Q57" s="112">
        <v>4.63</v>
      </c>
    </row>
    <row r="58" spans="1:17" customFormat="1">
      <c r="A58" s="80">
        <v>45561.520833333336</v>
      </c>
      <c r="B58" s="112">
        <v>9.33</v>
      </c>
      <c r="C58" s="112">
        <v>4.05</v>
      </c>
      <c r="D58" s="112">
        <v>14.05</v>
      </c>
      <c r="E58" s="112">
        <v>10.09</v>
      </c>
      <c r="F58" s="112">
        <v>9.91</v>
      </c>
      <c r="G58" s="112">
        <v>13.01</v>
      </c>
      <c r="H58" s="112">
        <v>6.25</v>
      </c>
      <c r="I58" s="112">
        <v>5.43</v>
      </c>
      <c r="J58" s="112">
        <v>0.18</v>
      </c>
      <c r="K58" s="112">
        <v>229.18</v>
      </c>
      <c r="L58" s="112">
        <v>27.56</v>
      </c>
      <c r="M58" s="112">
        <v>90.64</v>
      </c>
      <c r="N58" s="112">
        <v>14.6</v>
      </c>
      <c r="O58" s="112">
        <v>1.4</v>
      </c>
      <c r="P58" s="112">
        <v>0.55000000000000004</v>
      </c>
      <c r="Q58" s="112">
        <v>4.6399999999999997</v>
      </c>
    </row>
    <row r="59" spans="1:17" customFormat="1">
      <c r="A59" s="80">
        <v>45561.53125</v>
      </c>
      <c r="B59" s="112">
        <v>9.31</v>
      </c>
      <c r="C59" s="112">
        <v>4.09</v>
      </c>
      <c r="D59" s="112">
        <v>14.06</v>
      </c>
      <c r="E59" s="112">
        <v>9.2799999999999994</v>
      </c>
      <c r="F59" s="112">
        <v>7.52</v>
      </c>
      <c r="G59" s="151" t="s">
        <v>12</v>
      </c>
      <c r="H59" s="151" t="s">
        <v>12</v>
      </c>
      <c r="I59" s="112">
        <v>5.64</v>
      </c>
      <c r="J59" s="112">
        <v>0.28999999999999998</v>
      </c>
      <c r="K59" s="112">
        <v>262.32</v>
      </c>
      <c r="L59" s="112">
        <v>26.21</v>
      </c>
      <c r="M59" s="112">
        <v>96.4</v>
      </c>
      <c r="N59" s="112">
        <v>20.6</v>
      </c>
      <c r="O59" s="112">
        <v>2</v>
      </c>
      <c r="P59" s="112">
        <v>0.51</v>
      </c>
      <c r="Q59" s="112">
        <v>4.63</v>
      </c>
    </row>
    <row r="60" spans="1:17" customFormat="1">
      <c r="A60" s="80">
        <v>45561.541666666664</v>
      </c>
      <c r="B60" s="112">
        <v>9.2799999999999994</v>
      </c>
      <c r="C60" s="112">
        <v>4.08</v>
      </c>
      <c r="D60" s="112">
        <v>14.02</v>
      </c>
      <c r="E60" s="112">
        <v>8.68</v>
      </c>
      <c r="F60" s="112">
        <v>7.55</v>
      </c>
      <c r="G60" s="151" t="s">
        <v>12</v>
      </c>
      <c r="H60" s="151" t="s">
        <v>12</v>
      </c>
      <c r="I60" s="112">
        <v>5.8</v>
      </c>
      <c r="J60" s="112">
        <v>0.09</v>
      </c>
      <c r="K60" s="112">
        <v>274.99</v>
      </c>
      <c r="L60" s="112">
        <v>25.96</v>
      </c>
      <c r="M60" s="112">
        <v>98.22</v>
      </c>
      <c r="N60" s="112">
        <v>31.4</v>
      </c>
      <c r="O60" s="112">
        <v>0.6</v>
      </c>
      <c r="P60" s="112">
        <v>0.46</v>
      </c>
      <c r="Q60" s="112">
        <v>4.63</v>
      </c>
    </row>
    <row r="61" spans="1:17" customFormat="1">
      <c r="A61" s="80">
        <v>45561.552083333336</v>
      </c>
      <c r="B61" s="112">
        <v>9.26</v>
      </c>
      <c r="C61" s="112">
        <v>4.08</v>
      </c>
      <c r="D61" s="112">
        <v>14.01</v>
      </c>
      <c r="E61" s="112">
        <v>8.26</v>
      </c>
      <c r="F61" s="112">
        <v>6.4</v>
      </c>
      <c r="G61" s="151" t="s">
        <v>12</v>
      </c>
      <c r="H61" s="151" t="s">
        <v>12</v>
      </c>
      <c r="I61" s="112">
        <v>5.38</v>
      </c>
      <c r="J61" s="112">
        <v>0.14000000000000001</v>
      </c>
      <c r="K61" s="112">
        <v>94.69</v>
      </c>
      <c r="L61" s="112">
        <v>25.89</v>
      </c>
      <c r="M61" s="112">
        <v>99.02</v>
      </c>
      <c r="N61" s="112">
        <v>38.200000000000003</v>
      </c>
      <c r="O61" s="112">
        <v>0</v>
      </c>
      <c r="P61" s="112">
        <v>0.43</v>
      </c>
      <c r="Q61" s="112">
        <v>4.63</v>
      </c>
    </row>
    <row r="62" spans="1:17" customFormat="1">
      <c r="A62" s="80">
        <v>45561.5625</v>
      </c>
      <c r="B62" s="112">
        <v>9.26</v>
      </c>
      <c r="C62" s="112">
        <v>4.07</v>
      </c>
      <c r="D62" s="112">
        <v>14</v>
      </c>
      <c r="E62" s="112">
        <v>7.98</v>
      </c>
      <c r="F62" s="112">
        <v>5.93</v>
      </c>
      <c r="G62" s="151" t="s">
        <v>12</v>
      </c>
      <c r="H62" s="151" t="s">
        <v>12</v>
      </c>
      <c r="I62" s="112">
        <v>4.93</v>
      </c>
      <c r="J62" s="112">
        <v>0.08</v>
      </c>
      <c r="K62" s="112">
        <v>144.38</v>
      </c>
      <c r="L62" s="112">
        <v>25.76</v>
      </c>
      <c r="M62" s="112">
        <v>99.04</v>
      </c>
      <c r="N62" s="112">
        <v>44</v>
      </c>
      <c r="O62" s="112">
        <v>0</v>
      </c>
      <c r="P62" s="112">
        <v>0.42</v>
      </c>
      <c r="Q62" s="112">
        <v>4.62</v>
      </c>
    </row>
    <row r="63" spans="1:17" customFormat="1">
      <c r="A63" s="80">
        <v>45561.572916666664</v>
      </c>
      <c r="B63" s="112">
        <v>9.2799999999999994</v>
      </c>
      <c r="C63" s="112">
        <v>4.0999999999999996</v>
      </c>
      <c r="D63" s="112">
        <v>14.03</v>
      </c>
      <c r="E63" s="112">
        <v>7.62</v>
      </c>
      <c r="F63" s="112">
        <v>5.68</v>
      </c>
      <c r="G63" s="151" t="s">
        <v>12</v>
      </c>
      <c r="H63" s="151" t="s">
        <v>12</v>
      </c>
      <c r="I63" s="112">
        <v>4.62</v>
      </c>
      <c r="J63" s="112">
        <v>0.1</v>
      </c>
      <c r="K63" s="112">
        <v>174.27</v>
      </c>
      <c r="L63" s="112">
        <v>25.94</v>
      </c>
      <c r="M63" s="112">
        <v>99.65</v>
      </c>
      <c r="N63" s="112">
        <v>55.3</v>
      </c>
      <c r="O63" s="112">
        <v>0</v>
      </c>
      <c r="P63" s="112">
        <v>0.42</v>
      </c>
      <c r="Q63" s="112">
        <v>4.6399999999999997</v>
      </c>
    </row>
    <row r="64" spans="1:17" customFormat="1">
      <c r="A64" s="80">
        <v>45561.583333333336</v>
      </c>
      <c r="B64" s="112">
        <v>9.31</v>
      </c>
      <c r="C64" s="112">
        <v>4.09</v>
      </c>
      <c r="D64" s="112">
        <v>14.05</v>
      </c>
      <c r="E64" s="112">
        <v>7.41</v>
      </c>
      <c r="F64" s="112">
        <v>5.73</v>
      </c>
      <c r="G64" s="151" t="s">
        <v>12</v>
      </c>
      <c r="H64" s="151" t="s">
        <v>12</v>
      </c>
      <c r="I64" s="112">
        <v>4.4800000000000004</v>
      </c>
      <c r="J64" s="112">
        <v>0.13</v>
      </c>
      <c r="K64" s="112">
        <v>170.98</v>
      </c>
      <c r="L64" s="112">
        <v>26.39</v>
      </c>
      <c r="M64" s="112">
        <v>100.22</v>
      </c>
      <c r="N64" s="112">
        <v>63.7</v>
      </c>
      <c r="O64" s="112">
        <v>0.2</v>
      </c>
      <c r="P64" s="112">
        <v>0.41</v>
      </c>
      <c r="Q64" s="112">
        <v>4.6399999999999997</v>
      </c>
    </row>
    <row r="65" spans="1:17" customFormat="1">
      <c r="A65" s="80">
        <v>45561.59375</v>
      </c>
      <c r="B65" s="112">
        <v>9.3000000000000007</v>
      </c>
      <c r="C65" s="112">
        <v>4.09</v>
      </c>
      <c r="D65" s="112">
        <v>14.04</v>
      </c>
      <c r="E65" s="112">
        <v>7.14</v>
      </c>
      <c r="F65" s="112">
        <v>5.05</v>
      </c>
      <c r="G65" s="151" t="s">
        <v>12</v>
      </c>
      <c r="H65" s="151" t="s">
        <v>12</v>
      </c>
      <c r="I65" s="112">
        <v>4.37</v>
      </c>
      <c r="J65" s="112">
        <v>0.12</v>
      </c>
      <c r="K65" s="112">
        <v>176.05</v>
      </c>
      <c r="L65" s="112">
        <v>26.55</v>
      </c>
      <c r="M65" s="112">
        <v>99.35</v>
      </c>
      <c r="N65" s="112">
        <v>39.200000000000003</v>
      </c>
      <c r="O65" s="112">
        <v>0</v>
      </c>
      <c r="P65" s="112">
        <v>0.39</v>
      </c>
      <c r="Q65" s="112">
        <v>4.63</v>
      </c>
    </row>
    <row r="66" spans="1:17" customFormat="1">
      <c r="A66" s="80">
        <v>45561.604166666664</v>
      </c>
      <c r="B66" s="112">
        <v>9.32</v>
      </c>
      <c r="C66" s="112">
        <v>4.08</v>
      </c>
      <c r="D66" s="112">
        <v>14.05</v>
      </c>
      <c r="E66" s="112">
        <v>7.19</v>
      </c>
      <c r="F66" s="112">
        <v>4.88</v>
      </c>
      <c r="G66" s="151" t="s">
        <v>12</v>
      </c>
      <c r="H66" s="151" t="s">
        <v>12</v>
      </c>
      <c r="I66" s="112">
        <v>4.17</v>
      </c>
      <c r="J66" s="112">
        <v>0.15</v>
      </c>
      <c r="K66" s="112">
        <v>174.57</v>
      </c>
      <c r="L66" s="112">
        <v>26.65</v>
      </c>
      <c r="M66" s="112">
        <v>98.27</v>
      </c>
      <c r="N66" s="112">
        <v>41.5</v>
      </c>
      <c r="O66" s="112">
        <v>0</v>
      </c>
      <c r="P66" s="112">
        <v>0.39</v>
      </c>
      <c r="Q66" s="112">
        <v>4.6399999999999997</v>
      </c>
    </row>
    <row r="67" spans="1:17" customFormat="1">
      <c r="A67" s="80">
        <v>45561.614583333336</v>
      </c>
      <c r="B67" s="112">
        <v>9.39</v>
      </c>
      <c r="C67" s="112">
        <v>4.0599999999999996</v>
      </c>
      <c r="D67" s="112">
        <v>14.1</v>
      </c>
      <c r="E67" s="112">
        <v>6.66</v>
      </c>
      <c r="F67" s="112">
        <v>5.53</v>
      </c>
      <c r="G67" s="151" t="s">
        <v>12</v>
      </c>
      <c r="H67" s="151" t="s">
        <v>12</v>
      </c>
      <c r="I67" s="112">
        <v>4.12</v>
      </c>
      <c r="J67" s="112">
        <v>0.1</v>
      </c>
      <c r="K67" s="112">
        <v>192.61</v>
      </c>
      <c r="L67" s="112">
        <v>26.93</v>
      </c>
      <c r="M67" s="112">
        <v>96.13</v>
      </c>
      <c r="N67" s="112">
        <v>30.5</v>
      </c>
      <c r="O67" s="112">
        <v>0</v>
      </c>
      <c r="P67" s="112">
        <v>0.33</v>
      </c>
      <c r="Q67" s="112">
        <v>4.6500000000000004</v>
      </c>
    </row>
    <row r="68" spans="1:17" customFormat="1">
      <c r="A68" s="80">
        <v>45561.625</v>
      </c>
      <c r="B68" s="112">
        <v>9.4499999999999993</v>
      </c>
      <c r="C68" s="112">
        <v>4.07</v>
      </c>
      <c r="D68" s="112">
        <v>14.15</v>
      </c>
      <c r="E68" s="112">
        <v>6.84</v>
      </c>
      <c r="F68" s="112">
        <v>5.14</v>
      </c>
      <c r="G68" s="151" t="s">
        <v>12</v>
      </c>
      <c r="H68" s="151" t="s">
        <v>12</v>
      </c>
      <c r="I68" s="112">
        <v>4.0199999999999996</v>
      </c>
      <c r="J68" s="112">
        <v>0.16</v>
      </c>
      <c r="K68" s="112">
        <v>135.19999999999999</v>
      </c>
      <c r="L68" s="112">
        <v>27.07</v>
      </c>
      <c r="M68" s="112">
        <v>96.11</v>
      </c>
      <c r="N68" s="112">
        <v>27.7</v>
      </c>
      <c r="O68" s="112">
        <v>0</v>
      </c>
      <c r="P68" s="112">
        <v>0.31</v>
      </c>
      <c r="Q68" s="112">
        <v>4.66</v>
      </c>
    </row>
    <row r="69" spans="1:17" customFormat="1">
      <c r="A69" s="80">
        <v>45561.635416666664</v>
      </c>
      <c r="B69" s="112">
        <v>9.39</v>
      </c>
      <c r="C69" s="112">
        <v>4.09</v>
      </c>
      <c r="D69" s="112">
        <v>14.12</v>
      </c>
      <c r="E69" s="112">
        <v>7.43</v>
      </c>
      <c r="F69" s="112">
        <v>4.8</v>
      </c>
      <c r="G69" s="112">
        <v>1.1100000000000001</v>
      </c>
      <c r="H69" s="151" t="s">
        <v>12</v>
      </c>
      <c r="I69" s="112">
        <v>3.71</v>
      </c>
      <c r="J69" s="112">
        <v>0.14000000000000001</v>
      </c>
      <c r="K69" s="112">
        <v>182.77</v>
      </c>
      <c r="L69" s="112">
        <v>26.89</v>
      </c>
      <c r="M69" s="112">
        <v>96.15</v>
      </c>
      <c r="N69" s="112">
        <v>28.5</v>
      </c>
      <c r="O69" s="112">
        <v>0.2</v>
      </c>
      <c r="P69" s="112">
        <v>0.31</v>
      </c>
      <c r="Q69" s="112">
        <v>4.66</v>
      </c>
    </row>
    <row r="70" spans="1:17" customFormat="1">
      <c r="A70" s="80">
        <v>45561.645833333336</v>
      </c>
      <c r="B70" s="112">
        <v>9.36</v>
      </c>
      <c r="C70" s="112">
        <v>4.1100000000000003</v>
      </c>
      <c r="D70" s="112">
        <v>14.1</v>
      </c>
      <c r="E70" s="112">
        <v>7.44</v>
      </c>
      <c r="F70" s="112">
        <v>5.07</v>
      </c>
      <c r="G70" s="112">
        <v>1.1100000000000001</v>
      </c>
      <c r="H70" s="151" t="s">
        <v>12</v>
      </c>
      <c r="I70" s="112">
        <v>3.67</v>
      </c>
      <c r="J70" s="112">
        <v>0.15</v>
      </c>
      <c r="K70" s="112">
        <v>196.53</v>
      </c>
      <c r="L70" s="112">
        <v>26.75</v>
      </c>
      <c r="M70" s="112">
        <v>96.52</v>
      </c>
      <c r="N70" s="112">
        <v>26.1</v>
      </c>
      <c r="O70" s="112">
        <v>0</v>
      </c>
      <c r="P70" s="112">
        <v>0.31</v>
      </c>
      <c r="Q70" s="112">
        <v>4.66</v>
      </c>
    </row>
    <row r="71" spans="1:17" customFormat="1">
      <c r="A71" s="80">
        <v>45561.65625</v>
      </c>
      <c r="B71" s="112">
        <v>9.36</v>
      </c>
      <c r="C71" s="112">
        <v>4.12</v>
      </c>
      <c r="D71" s="112">
        <v>14.11</v>
      </c>
      <c r="E71" s="112">
        <v>8.35</v>
      </c>
      <c r="F71" s="112">
        <v>5.41</v>
      </c>
      <c r="G71" s="112">
        <v>1.1100000000000001</v>
      </c>
      <c r="H71" s="151" t="s">
        <v>12</v>
      </c>
      <c r="I71" s="112">
        <v>3.56</v>
      </c>
      <c r="J71" s="112">
        <v>7.0000000000000007E-2</v>
      </c>
      <c r="K71" s="112">
        <v>166.23</v>
      </c>
      <c r="L71" s="112">
        <v>26.76</v>
      </c>
      <c r="M71" s="112">
        <v>98.03</v>
      </c>
      <c r="N71" s="112">
        <v>15.1</v>
      </c>
      <c r="O71" s="112">
        <v>0</v>
      </c>
      <c r="P71" s="112">
        <v>0.32</v>
      </c>
      <c r="Q71" s="112">
        <v>4.68</v>
      </c>
    </row>
    <row r="72" spans="1:17" customFormat="1">
      <c r="A72" s="80">
        <v>45561.666666666664</v>
      </c>
      <c r="B72" s="112">
        <v>9.3699999999999992</v>
      </c>
      <c r="C72" s="112">
        <v>4.08</v>
      </c>
      <c r="D72" s="112">
        <v>14.1</v>
      </c>
      <c r="E72" s="112">
        <v>8.17</v>
      </c>
      <c r="F72" s="112">
        <v>5.73</v>
      </c>
      <c r="G72" s="112">
        <v>1.19</v>
      </c>
      <c r="H72" s="151" t="s">
        <v>12</v>
      </c>
      <c r="I72" s="112">
        <v>3.52</v>
      </c>
      <c r="J72" s="112">
        <v>0.12</v>
      </c>
      <c r="K72" s="112">
        <v>137.37</v>
      </c>
      <c r="L72" s="112">
        <v>26.77</v>
      </c>
      <c r="M72" s="112">
        <v>97.82</v>
      </c>
      <c r="N72" s="112">
        <v>9.1999999999999993</v>
      </c>
      <c r="O72" s="112">
        <v>0.6</v>
      </c>
      <c r="P72" s="112">
        <v>0.32</v>
      </c>
      <c r="Q72" s="112">
        <v>4.66</v>
      </c>
    </row>
    <row r="73" spans="1:17" customFormat="1">
      <c r="A73" s="80">
        <v>45561.677083333336</v>
      </c>
      <c r="B73" s="112">
        <v>9.36</v>
      </c>
      <c r="C73" s="112">
        <v>4.09</v>
      </c>
      <c r="D73" s="112">
        <v>14.09</v>
      </c>
      <c r="E73" s="112">
        <v>8.23</v>
      </c>
      <c r="F73" s="112">
        <v>5.42</v>
      </c>
      <c r="G73" s="112">
        <v>2.94</v>
      </c>
      <c r="H73" s="151" t="s">
        <v>12</v>
      </c>
      <c r="I73" s="112">
        <v>3.48</v>
      </c>
      <c r="J73" s="112">
        <v>0.1</v>
      </c>
      <c r="K73" s="112">
        <v>252.69</v>
      </c>
      <c r="L73" s="112">
        <v>26.32</v>
      </c>
      <c r="M73" s="112">
        <v>98.61</v>
      </c>
      <c r="N73" s="112">
        <v>7.5</v>
      </c>
      <c r="O73" s="112">
        <v>0.6</v>
      </c>
      <c r="P73" s="112">
        <v>0.32</v>
      </c>
      <c r="Q73" s="112">
        <v>4.6500000000000004</v>
      </c>
    </row>
    <row r="74" spans="1:17" customFormat="1">
      <c r="A74" s="80">
        <v>45561.6875</v>
      </c>
      <c r="B74" s="112">
        <v>9.34</v>
      </c>
      <c r="C74" s="112">
        <v>4.08</v>
      </c>
      <c r="D74" s="112">
        <v>14.07</v>
      </c>
      <c r="E74" s="112">
        <v>8.83</v>
      </c>
      <c r="F74" s="112">
        <v>4.96</v>
      </c>
      <c r="G74" s="112">
        <v>2.94</v>
      </c>
      <c r="H74" s="151" t="s">
        <v>12</v>
      </c>
      <c r="I74" s="112">
        <v>3.47</v>
      </c>
      <c r="J74" s="112">
        <v>0.06</v>
      </c>
      <c r="K74" s="112">
        <v>179.69</v>
      </c>
      <c r="L74" s="112">
        <v>26.12</v>
      </c>
      <c r="M74" s="112">
        <v>99.47</v>
      </c>
      <c r="N74" s="112">
        <v>6.6</v>
      </c>
      <c r="O74" s="112">
        <v>0.4</v>
      </c>
      <c r="P74" s="112">
        <v>0.32</v>
      </c>
      <c r="Q74" s="112">
        <v>4.6500000000000004</v>
      </c>
    </row>
    <row r="75" spans="1:17" customFormat="1">
      <c r="A75" s="80">
        <v>45561.697916666664</v>
      </c>
      <c r="B75" s="112">
        <v>9.35</v>
      </c>
      <c r="C75" s="112">
        <v>4.04</v>
      </c>
      <c r="D75" s="112">
        <v>14.06</v>
      </c>
      <c r="E75" s="112">
        <v>8.8800000000000008</v>
      </c>
      <c r="F75" s="112">
        <v>5.19</v>
      </c>
      <c r="G75" s="112">
        <v>2.94</v>
      </c>
      <c r="H75" s="151" t="s">
        <v>12</v>
      </c>
      <c r="I75" s="112">
        <v>3.44</v>
      </c>
      <c r="J75" s="112">
        <v>0.17</v>
      </c>
      <c r="K75" s="112">
        <v>251.46</v>
      </c>
      <c r="L75" s="112">
        <v>26</v>
      </c>
      <c r="M75" s="112">
        <v>99.78</v>
      </c>
      <c r="N75" s="112">
        <v>6</v>
      </c>
      <c r="O75" s="112">
        <v>0</v>
      </c>
      <c r="P75" s="112">
        <v>0.32</v>
      </c>
      <c r="Q75" s="112">
        <v>4.66</v>
      </c>
    </row>
    <row r="76" spans="1:17" customFormat="1">
      <c r="A76" s="80">
        <v>45561.708333333336</v>
      </c>
      <c r="B76" s="112">
        <v>9.35</v>
      </c>
      <c r="C76" s="112">
        <v>4.0599999999999996</v>
      </c>
      <c r="D76" s="112">
        <v>14.07</v>
      </c>
      <c r="E76" s="112">
        <v>9.2200000000000006</v>
      </c>
      <c r="F76" s="112">
        <v>5.12</v>
      </c>
      <c r="G76" s="112">
        <v>2.91</v>
      </c>
      <c r="H76" s="112">
        <v>0.11</v>
      </c>
      <c r="I76" s="112">
        <v>3.51</v>
      </c>
      <c r="J76" s="112">
        <v>0.11</v>
      </c>
      <c r="K76" s="112">
        <v>170.33</v>
      </c>
      <c r="L76" s="112">
        <v>26</v>
      </c>
      <c r="M76" s="112">
        <v>100.26</v>
      </c>
      <c r="N76" s="112">
        <v>5.0999999999999996</v>
      </c>
      <c r="O76" s="112">
        <v>0.2</v>
      </c>
      <c r="P76" s="112">
        <v>0.33</v>
      </c>
      <c r="Q76" s="112">
        <v>4.6500000000000004</v>
      </c>
    </row>
    <row r="77" spans="1:17" customFormat="1">
      <c r="A77" s="80">
        <v>45561.71875</v>
      </c>
      <c r="B77" s="112">
        <v>9.3699999999999992</v>
      </c>
      <c r="C77" s="112">
        <v>4.0599999999999996</v>
      </c>
      <c r="D77" s="112">
        <v>14.09</v>
      </c>
      <c r="E77" s="112">
        <v>9.5500000000000007</v>
      </c>
      <c r="F77" s="112">
        <v>5</v>
      </c>
      <c r="G77" s="112">
        <v>2.23</v>
      </c>
      <c r="H77" s="112">
        <v>1.84</v>
      </c>
      <c r="I77" s="112">
        <v>3.52</v>
      </c>
      <c r="J77" s="112">
        <v>0.03</v>
      </c>
      <c r="K77" s="112">
        <v>132.31</v>
      </c>
      <c r="L77" s="112">
        <v>25.84</v>
      </c>
      <c r="M77" s="112">
        <v>100.16</v>
      </c>
      <c r="N77" s="112">
        <v>4.5</v>
      </c>
      <c r="O77" s="112">
        <v>0.2</v>
      </c>
      <c r="P77" s="112">
        <v>0.34</v>
      </c>
      <c r="Q77" s="112">
        <v>4.6399999999999997</v>
      </c>
    </row>
    <row r="78" spans="1:17" customFormat="1">
      <c r="A78" s="80">
        <v>45561.729166666664</v>
      </c>
      <c r="B78" s="112">
        <v>9.36</v>
      </c>
      <c r="C78" s="112">
        <v>4.07</v>
      </c>
      <c r="D78" s="112">
        <v>14.08</v>
      </c>
      <c r="E78" s="112">
        <v>9.0500000000000007</v>
      </c>
      <c r="F78" s="112">
        <v>5.4</v>
      </c>
      <c r="G78" s="112">
        <v>2.23</v>
      </c>
      <c r="H78" s="112">
        <v>1.84</v>
      </c>
      <c r="I78" s="112">
        <v>3.54</v>
      </c>
      <c r="J78" s="112">
        <v>0.09</v>
      </c>
      <c r="K78" s="112">
        <v>132.54</v>
      </c>
      <c r="L78" s="112">
        <v>25.68</v>
      </c>
      <c r="M78" s="112">
        <v>100.2</v>
      </c>
      <c r="N78" s="112">
        <v>3.7</v>
      </c>
      <c r="O78" s="112">
        <v>0.2</v>
      </c>
      <c r="P78" s="112">
        <v>0.34</v>
      </c>
      <c r="Q78" s="112">
        <v>4.6500000000000004</v>
      </c>
    </row>
    <row r="79" spans="1:17" customFormat="1">
      <c r="A79" s="80">
        <v>45561.739583333336</v>
      </c>
      <c r="B79" s="112">
        <v>9.34</v>
      </c>
      <c r="C79" s="112">
        <v>4.08</v>
      </c>
      <c r="D79" s="112">
        <v>14.08</v>
      </c>
      <c r="E79" s="112">
        <v>9.58</v>
      </c>
      <c r="F79" s="112">
        <v>5.68</v>
      </c>
      <c r="G79" s="112">
        <v>2.23</v>
      </c>
      <c r="H79" s="112">
        <v>1.84</v>
      </c>
      <c r="I79" s="112">
        <v>3.64</v>
      </c>
      <c r="J79" s="112">
        <v>0.13</v>
      </c>
      <c r="K79" s="112">
        <v>109.91</v>
      </c>
      <c r="L79" s="112">
        <v>25.51</v>
      </c>
      <c r="M79" s="112">
        <v>100.17</v>
      </c>
      <c r="N79" s="112">
        <v>2.9</v>
      </c>
      <c r="O79" s="112">
        <v>0.2</v>
      </c>
      <c r="P79" s="112">
        <v>0.35</v>
      </c>
      <c r="Q79" s="112">
        <v>4.6399999999999997</v>
      </c>
    </row>
    <row r="80" spans="1:17" customFormat="1">
      <c r="A80" s="80">
        <v>45561.75</v>
      </c>
      <c r="B80" s="112">
        <v>9.32</v>
      </c>
      <c r="C80" s="112">
        <v>4.09</v>
      </c>
      <c r="D80" s="112">
        <v>14.06</v>
      </c>
      <c r="E80" s="112">
        <v>10.02</v>
      </c>
      <c r="F80" s="112">
        <v>5.33</v>
      </c>
      <c r="G80" s="112">
        <v>2.4500000000000002</v>
      </c>
      <c r="H80" s="112">
        <v>1.83</v>
      </c>
      <c r="I80" s="112">
        <v>3.61</v>
      </c>
      <c r="J80" s="112">
        <v>0.01</v>
      </c>
      <c r="K80" s="112">
        <v>290.72000000000003</v>
      </c>
      <c r="L80" s="112">
        <v>25.3</v>
      </c>
      <c r="M80" s="112">
        <v>99.93</v>
      </c>
      <c r="N80" s="112">
        <v>2.6</v>
      </c>
      <c r="O80" s="112">
        <v>0.2</v>
      </c>
      <c r="P80" s="112">
        <v>0.35</v>
      </c>
      <c r="Q80" s="112">
        <v>4.66</v>
      </c>
    </row>
    <row r="81" spans="1:17" customFormat="1">
      <c r="A81" s="80">
        <v>45561.760416666664</v>
      </c>
      <c r="B81" s="112">
        <v>9.32</v>
      </c>
      <c r="C81" s="112">
        <v>4.0599999999999996</v>
      </c>
      <c r="D81" s="112">
        <v>14.05</v>
      </c>
      <c r="E81" s="112">
        <v>6.87</v>
      </c>
      <c r="F81" s="112">
        <v>4.28</v>
      </c>
      <c r="G81" s="112">
        <v>7.2</v>
      </c>
      <c r="H81" s="112">
        <v>1.69</v>
      </c>
      <c r="I81" s="112">
        <v>3.58</v>
      </c>
      <c r="J81" s="112">
        <v>0.06</v>
      </c>
      <c r="K81" s="112">
        <v>237.04</v>
      </c>
      <c r="L81" s="112">
        <v>25.18</v>
      </c>
      <c r="M81" s="112">
        <v>99.78</v>
      </c>
      <c r="N81" s="112">
        <v>2.5</v>
      </c>
      <c r="O81" s="112">
        <v>0.2</v>
      </c>
      <c r="P81" s="112">
        <v>0.35</v>
      </c>
      <c r="Q81" s="112">
        <v>4.6500000000000004</v>
      </c>
    </row>
    <row r="82" spans="1:17" customFormat="1">
      <c r="A82" s="80">
        <v>45561.770833333336</v>
      </c>
      <c r="B82" s="112">
        <v>9.34</v>
      </c>
      <c r="C82" s="112">
        <v>4.05</v>
      </c>
      <c r="D82" s="112">
        <v>14.06</v>
      </c>
      <c r="E82" s="112">
        <v>7.18</v>
      </c>
      <c r="F82" s="112">
        <v>4.4800000000000004</v>
      </c>
      <c r="G82" s="112">
        <v>7.2</v>
      </c>
      <c r="H82" s="112">
        <v>1.69</v>
      </c>
      <c r="I82" s="112">
        <v>3.55</v>
      </c>
      <c r="J82" s="112">
        <v>0.06</v>
      </c>
      <c r="K82" s="112">
        <v>161.13</v>
      </c>
      <c r="L82" s="112">
        <v>25.01</v>
      </c>
      <c r="M82" s="112">
        <v>99.56</v>
      </c>
      <c r="N82" s="112">
        <v>2.4</v>
      </c>
      <c r="O82" s="112">
        <v>0</v>
      </c>
      <c r="P82" s="112">
        <v>0.35</v>
      </c>
      <c r="Q82" s="112">
        <v>4.6500000000000004</v>
      </c>
    </row>
    <row r="83" spans="1:17" customFormat="1">
      <c r="A83" s="80">
        <v>45561.78125</v>
      </c>
      <c r="B83" s="112">
        <v>9.34</v>
      </c>
      <c r="C83" s="112">
        <v>4.0599999999999996</v>
      </c>
      <c r="D83" s="112">
        <v>14.06</v>
      </c>
      <c r="E83" s="112">
        <v>7.56</v>
      </c>
      <c r="F83" s="112">
        <v>4.51</v>
      </c>
      <c r="G83" s="112">
        <v>7.2</v>
      </c>
      <c r="H83" s="112">
        <v>1.69</v>
      </c>
      <c r="I83" s="112">
        <v>3.67</v>
      </c>
      <c r="J83" s="112">
        <v>0.09</v>
      </c>
      <c r="K83" s="112">
        <v>251.89</v>
      </c>
      <c r="L83" s="112">
        <v>24.93</v>
      </c>
      <c r="M83" s="112">
        <v>99.6</v>
      </c>
      <c r="N83" s="112">
        <v>2.5</v>
      </c>
      <c r="O83" s="112">
        <v>0</v>
      </c>
      <c r="P83" s="112">
        <v>0.34</v>
      </c>
      <c r="Q83" s="112">
        <v>4.6399999999999997</v>
      </c>
    </row>
    <row r="84" spans="1:17" customFormat="1">
      <c r="A84" s="80">
        <v>45561.791666666664</v>
      </c>
      <c r="B84" s="112">
        <v>9.36</v>
      </c>
      <c r="C84" s="112">
        <v>4.07</v>
      </c>
      <c r="D84" s="112">
        <v>14.08</v>
      </c>
      <c r="E84" s="112">
        <v>7.79</v>
      </c>
      <c r="F84" s="112">
        <v>4.4800000000000004</v>
      </c>
      <c r="G84" s="112">
        <v>7.09</v>
      </c>
      <c r="H84" s="112">
        <v>1.67</v>
      </c>
      <c r="I84" s="112">
        <v>3.68</v>
      </c>
      <c r="J84" s="112">
        <v>0.08</v>
      </c>
      <c r="K84" s="112">
        <v>224.66</v>
      </c>
      <c r="L84" s="112">
        <v>24.86</v>
      </c>
      <c r="M84" s="112">
        <v>99.79</v>
      </c>
      <c r="N84" s="112">
        <v>2.2999999999999998</v>
      </c>
      <c r="O84" s="112">
        <v>0.2</v>
      </c>
      <c r="P84" s="112">
        <v>0.35</v>
      </c>
      <c r="Q84" s="112">
        <v>4.63</v>
      </c>
    </row>
    <row r="85" spans="1:17" customFormat="1">
      <c r="A85" s="80">
        <v>45561.802083333336</v>
      </c>
      <c r="B85" s="112">
        <v>9.32</v>
      </c>
      <c r="C85" s="112">
        <v>4.08</v>
      </c>
      <c r="D85" s="112">
        <v>14.05</v>
      </c>
      <c r="E85" s="112">
        <v>7.84</v>
      </c>
      <c r="F85" s="112">
        <v>4.34</v>
      </c>
      <c r="G85" s="112">
        <v>5.25</v>
      </c>
      <c r="H85" s="112">
        <v>1.36</v>
      </c>
      <c r="I85" s="112">
        <v>3.61</v>
      </c>
      <c r="J85" s="112">
        <v>0.15</v>
      </c>
      <c r="K85" s="112">
        <v>105.91</v>
      </c>
      <c r="L85" s="112">
        <v>24.91</v>
      </c>
      <c r="M85" s="112">
        <v>100.12</v>
      </c>
      <c r="N85" s="112">
        <v>2.4</v>
      </c>
      <c r="O85" s="112">
        <v>0.4</v>
      </c>
      <c r="P85" s="112">
        <v>0.35</v>
      </c>
      <c r="Q85" s="112">
        <v>4.6399999999999997</v>
      </c>
    </row>
    <row r="86" spans="1:17" customFormat="1">
      <c r="A86" s="80">
        <v>45561.8125</v>
      </c>
      <c r="B86" s="112">
        <v>9.33</v>
      </c>
      <c r="C86" s="112">
        <v>4.07</v>
      </c>
      <c r="D86" s="112">
        <v>14.06</v>
      </c>
      <c r="E86" s="112">
        <v>8.2100000000000009</v>
      </c>
      <c r="F86" s="112">
        <v>4.43</v>
      </c>
      <c r="G86" s="112">
        <v>5.25</v>
      </c>
      <c r="H86" s="112">
        <v>1.36</v>
      </c>
      <c r="I86" s="112">
        <v>3.55</v>
      </c>
      <c r="J86" s="112">
        <v>0.14000000000000001</v>
      </c>
      <c r="K86" s="112">
        <v>125.14</v>
      </c>
      <c r="L86" s="112">
        <v>24.77</v>
      </c>
      <c r="M86" s="112">
        <v>100.31</v>
      </c>
      <c r="N86" s="112">
        <v>2.4</v>
      </c>
      <c r="O86" s="112">
        <v>0</v>
      </c>
      <c r="P86" s="112">
        <v>0.36</v>
      </c>
      <c r="Q86" s="112">
        <v>4.6500000000000004</v>
      </c>
    </row>
    <row r="87" spans="1:17" customFormat="1">
      <c r="A87" s="80">
        <v>45561.822916666664</v>
      </c>
      <c r="B87" s="112">
        <v>9.35</v>
      </c>
      <c r="C87" s="112">
        <v>4.09</v>
      </c>
      <c r="D87" s="112">
        <v>14.08</v>
      </c>
      <c r="E87" s="112">
        <v>7.73</v>
      </c>
      <c r="F87" s="112">
        <v>5.05</v>
      </c>
      <c r="G87" s="112">
        <v>5.25</v>
      </c>
      <c r="H87" s="112">
        <v>1.36</v>
      </c>
      <c r="I87" s="112">
        <v>3.61</v>
      </c>
      <c r="J87" s="112">
        <v>0.17</v>
      </c>
      <c r="K87" s="112">
        <v>104.62</v>
      </c>
      <c r="L87" s="112">
        <v>24.75</v>
      </c>
      <c r="M87" s="112">
        <v>100.51</v>
      </c>
      <c r="N87" s="112">
        <v>2.2999999999999998</v>
      </c>
      <c r="O87" s="112">
        <v>0.2</v>
      </c>
      <c r="P87" s="112">
        <v>0.36</v>
      </c>
      <c r="Q87" s="112">
        <v>4.6399999999999997</v>
      </c>
    </row>
    <row r="88" spans="1:17" customFormat="1">
      <c r="A88" s="80">
        <v>45561.833333333336</v>
      </c>
      <c r="B88" s="112">
        <v>9.3800000000000008</v>
      </c>
      <c r="C88" s="112">
        <v>4.0599999999999996</v>
      </c>
      <c r="D88" s="112">
        <v>14.09</v>
      </c>
      <c r="E88" s="112">
        <v>7.79</v>
      </c>
      <c r="F88" s="112">
        <v>5.15</v>
      </c>
      <c r="G88" s="112">
        <v>5.19</v>
      </c>
      <c r="H88" s="112">
        <v>1.35</v>
      </c>
      <c r="I88" s="112">
        <v>3.67</v>
      </c>
      <c r="J88" s="112">
        <v>0.19</v>
      </c>
      <c r="K88" s="112">
        <v>96.25</v>
      </c>
      <c r="L88" s="112">
        <v>24.81</v>
      </c>
      <c r="M88" s="112">
        <v>100.57</v>
      </c>
      <c r="N88" s="112">
        <v>2.2000000000000002</v>
      </c>
      <c r="O88" s="112">
        <v>0</v>
      </c>
      <c r="P88" s="112">
        <v>0.36</v>
      </c>
      <c r="Q88" s="112">
        <v>4.6399999999999997</v>
      </c>
    </row>
    <row r="89" spans="1:17" customFormat="1">
      <c r="A89" s="80">
        <v>45561.84375</v>
      </c>
      <c r="B89" s="112">
        <v>9.4</v>
      </c>
      <c r="C89" s="112">
        <v>4.05</v>
      </c>
      <c r="D89" s="112">
        <v>14.11</v>
      </c>
      <c r="E89" s="112">
        <v>6.91</v>
      </c>
      <c r="F89" s="112">
        <v>4.9800000000000004</v>
      </c>
      <c r="G89" s="112">
        <v>4.0599999999999996</v>
      </c>
      <c r="H89" s="112">
        <v>1.19</v>
      </c>
      <c r="I89" s="112">
        <v>3.66</v>
      </c>
      <c r="J89" s="112">
        <v>0.15</v>
      </c>
      <c r="K89" s="112">
        <v>94.51</v>
      </c>
      <c r="L89" s="112">
        <v>24.82</v>
      </c>
      <c r="M89" s="112">
        <v>100.55</v>
      </c>
      <c r="N89" s="112">
        <v>2.2000000000000002</v>
      </c>
      <c r="O89" s="112">
        <v>0</v>
      </c>
      <c r="P89" s="112">
        <v>0.36</v>
      </c>
      <c r="Q89" s="112">
        <v>4.6399999999999997</v>
      </c>
    </row>
    <row r="90" spans="1:17" customFormat="1">
      <c r="A90" s="80">
        <v>45561.854166666664</v>
      </c>
      <c r="B90" s="112">
        <v>9.39</v>
      </c>
      <c r="C90" s="112">
        <v>4.07</v>
      </c>
      <c r="D90" s="112">
        <v>14.11</v>
      </c>
      <c r="E90" s="112">
        <v>7.04</v>
      </c>
      <c r="F90" s="112">
        <v>4.68</v>
      </c>
      <c r="G90" s="112">
        <v>4.0599999999999996</v>
      </c>
      <c r="H90" s="112">
        <v>1.19</v>
      </c>
      <c r="I90" s="112">
        <v>3.72</v>
      </c>
      <c r="J90" s="112">
        <v>0.13</v>
      </c>
      <c r="K90" s="112">
        <v>99.61</v>
      </c>
      <c r="L90" s="112">
        <v>24.9</v>
      </c>
      <c r="M90" s="112">
        <v>100.56</v>
      </c>
      <c r="N90" s="112">
        <v>2.2000000000000002</v>
      </c>
      <c r="O90" s="112">
        <v>0</v>
      </c>
      <c r="P90" s="112">
        <v>0.37</v>
      </c>
      <c r="Q90" s="112">
        <v>4.6399999999999997</v>
      </c>
    </row>
    <row r="91" spans="1:17" customFormat="1">
      <c r="A91" s="80">
        <v>45561.864583333336</v>
      </c>
      <c r="B91" s="112">
        <v>9.3699999999999992</v>
      </c>
      <c r="C91" s="112">
        <v>4.05</v>
      </c>
      <c r="D91" s="112">
        <v>14.08</v>
      </c>
      <c r="E91" s="112">
        <v>6.82</v>
      </c>
      <c r="F91" s="112">
        <v>4.68</v>
      </c>
      <c r="G91" s="112">
        <v>4.0599999999999996</v>
      </c>
      <c r="H91" s="112">
        <v>1.19</v>
      </c>
      <c r="I91" s="112">
        <v>3.76</v>
      </c>
      <c r="J91" s="112">
        <v>0.03</v>
      </c>
      <c r="K91" s="112">
        <v>194.9</v>
      </c>
      <c r="L91" s="112">
        <v>24.95</v>
      </c>
      <c r="M91" s="112">
        <v>100.6</v>
      </c>
      <c r="N91" s="112">
        <v>2.2000000000000002</v>
      </c>
      <c r="O91" s="112">
        <v>0</v>
      </c>
      <c r="P91" s="112">
        <v>0.36</v>
      </c>
      <c r="Q91" s="112">
        <v>4.6500000000000004</v>
      </c>
    </row>
    <row r="92" spans="1:17" customFormat="1">
      <c r="A92" s="80">
        <v>45561.875</v>
      </c>
      <c r="B92" s="112">
        <v>9.3699999999999992</v>
      </c>
      <c r="C92" s="112">
        <v>4.05</v>
      </c>
      <c r="D92" s="112">
        <v>14.08</v>
      </c>
      <c r="E92" s="112">
        <v>6.82</v>
      </c>
      <c r="F92" s="112">
        <v>4.84</v>
      </c>
      <c r="G92" s="112">
        <v>4.05</v>
      </c>
      <c r="H92" s="112">
        <v>1.19</v>
      </c>
      <c r="I92" s="112">
        <v>3.82</v>
      </c>
      <c r="J92" s="112">
        <v>0.03</v>
      </c>
      <c r="K92" s="112">
        <v>153</v>
      </c>
      <c r="L92" s="112">
        <v>24.96</v>
      </c>
      <c r="M92" s="112">
        <v>100.59</v>
      </c>
      <c r="N92" s="112">
        <v>2.2999999999999998</v>
      </c>
      <c r="O92" s="112">
        <v>0</v>
      </c>
      <c r="P92" s="112">
        <v>0.36</v>
      </c>
      <c r="Q92" s="112">
        <v>4.6500000000000004</v>
      </c>
    </row>
    <row r="93" spans="1:17" customFormat="1">
      <c r="A93" s="80">
        <v>45561.885416666664</v>
      </c>
      <c r="B93" s="112">
        <v>9.3800000000000008</v>
      </c>
      <c r="C93" s="112">
        <v>4.05</v>
      </c>
      <c r="D93" s="112">
        <v>14.08</v>
      </c>
      <c r="E93" s="112">
        <v>6.79</v>
      </c>
      <c r="F93" s="112">
        <v>4.91</v>
      </c>
      <c r="G93" s="112">
        <v>3.66</v>
      </c>
      <c r="H93" s="112">
        <v>1.1100000000000001</v>
      </c>
      <c r="I93" s="112">
        <v>3.84</v>
      </c>
      <c r="J93" s="112">
        <v>7.0000000000000007E-2</v>
      </c>
      <c r="K93" s="112">
        <v>278.75</v>
      </c>
      <c r="L93" s="112">
        <v>24.97</v>
      </c>
      <c r="M93" s="112">
        <v>100.62</v>
      </c>
      <c r="N93" s="112">
        <v>2.4</v>
      </c>
      <c r="O93" s="112">
        <v>0</v>
      </c>
      <c r="P93" s="112">
        <v>0.36</v>
      </c>
      <c r="Q93" s="112">
        <v>4.6500000000000004</v>
      </c>
    </row>
    <row r="94" spans="1:17" customFormat="1">
      <c r="A94" s="80">
        <v>45561.895833333336</v>
      </c>
      <c r="B94" s="112">
        <v>9.3699999999999992</v>
      </c>
      <c r="C94" s="112">
        <v>4.0599999999999996</v>
      </c>
      <c r="D94" s="112">
        <v>14.09</v>
      </c>
      <c r="E94" s="112">
        <v>6.6</v>
      </c>
      <c r="F94" s="112">
        <v>4.7699999999999996</v>
      </c>
      <c r="G94" s="112">
        <v>3.66</v>
      </c>
      <c r="H94" s="112">
        <v>1.1100000000000001</v>
      </c>
      <c r="I94" s="112">
        <v>3.81</v>
      </c>
      <c r="J94" s="112">
        <v>0.1</v>
      </c>
      <c r="K94" s="112">
        <v>261.97000000000003</v>
      </c>
      <c r="L94" s="112">
        <v>24.94</v>
      </c>
      <c r="M94" s="112">
        <v>100.69</v>
      </c>
      <c r="N94" s="112">
        <v>2.2999999999999998</v>
      </c>
      <c r="O94" s="112">
        <v>0</v>
      </c>
      <c r="P94" s="112">
        <v>0.36</v>
      </c>
      <c r="Q94" s="112">
        <v>4.6399999999999997</v>
      </c>
    </row>
    <row r="95" spans="1:17" customFormat="1">
      <c r="A95" s="80">
        <v>45561.90625</v>
      </c>
      <c r="B95" s="112">
        <v>9.3699999999999992</v>
      </c>
      <c r="C95" s="112">
        <v>4.07</v>
      </c>
      <c r="D95" s="112">
        <v>14.09</v>
      </c>
      <c r="E95" s="112">
        <v>5.92</v>
      </c>
      <c r="F95" s="112">
        <v>4.6399999999999997</v>
      </c>
      <c r="G95" s="112">
        <v>3.66</v>
      </c>
      <c r="H95" s="112">
        <v>1.1100000000000001</v>
      </c>
      <c r="I95" s="112">
        <v>3.86</v>
      </c>
      <c r="J95" s="112">
        <v>0.12</v>
      </c>
      <c r="K95" s="112">
        <v>266.32</v>
      </c>
      <c r="L95" s="112">
        <v>24.88</v>
      </c>
      <c r="M95" s="112">
        <v>100.78</v>
      </c>
      <c r="N95" s="112">
        <v>2.4</v>
      </c>
      <c r="O95" s="112">
        <v>0</v>
      </c>
      <c r="P95" s="112">
        <v>0.36</v>
      </c>
      <c r="Q95" s="112">
        <v>4.6399999999999997</v>
      </c>
    </row>
    <row r="96" spans="1:17" customFormat="1">
      <c r="A96" s="80">
        <v>45561.916666666664</v>
      </c>
      <c r="B96" s="112">
        <v>9.3699999999999992</v>
      </c>
      <c r="C96" s="112">
        <v>4.07</v>
      </c>
      <c r="D96" s="112">
        <v>14.09</v>
      </c>
      <c r="E96" s="112">
        <v>6.25</v>
      </c>
      <c r="F96" s="112">
        <v>4.62</v>
      </c>
      <c r="G96" s="112">
        <v>3.93</v>
      </c>
      <c r="H96" s="112">
        <v>1.1000000000000001</v>
      </c>
      <c r="I96" s="112">
        <v>4.0599999999999996</v>
      </c>
      <c r="J96" s="112">
        <v>7.0000000000000007E-2</v>
      </c>
      <c r="K96" s="112">
        <v>265.17</v>
      </c>
      <c r="L96" s="112">
        <v>24.83</v>
      </c>
      <c r="M96" s="112">
        <v>100.56</v>
      </c>
      <c r="N96" s="112">
        <v>2.4</v>
      </c>
      <c r="O96" s="112">
        <v>0</v>
      </c>
      <c r="P96" s="112">
        <v>0.36</v>
      </c>
      <c r="Q96" s="112">
        <v>4.6399999999999997</v>
      </c>
    </row>
    <row r="97" spans="1:22" customFormat="1">
      <c r="A97" s="80">
        <v>45561.927083333336</v>
      </c>
      <c r="B97" s="112">
        <v>9.3699999999999992</v>
      </c>
      <c r="C97" s="112">
        <v>4.0999999999999996</v>
      </c>
      <c r="D97" s="112">
        <v>14.1</v>
      </c>
      <c r="E97" s="112">
        <v>6.47</v>
      </c>
      <c r="F97" s="112">
        <v>4.6500000000000004</v>
      </c>
      <c r="G97" s="112">
        <v>9.85</v>
      </c>
      <c r="H97" s="112">
        <v>0.98</v>
      </c>
      <c r="I97" s="112">
        <v>3.91</v>
      </c>
      <c r="J97" s="112">
        <v>0.08</v>
      </c>
      <c r="K97" s="112">
        <v>175.86</v>
      </c>
      <c r="L97" s="112">
        <v>24.78</v>
      </c>
      <c r="M97" s="112">
        <v>100.65</v>
      </c>
      <c r="N97" s="112">
        <v>2.4</v>
      </c>
      <c r="O97" s="112">
        <v>0</v>
      </c>
      <c r="P97" s="112">
        <v>0.36</v>
      </c>
      <c r="Q97" s="112">
        <v>4.6399999999999997</v>
      </c>
    </row>
    <row r="98" spans="1:22" customFormat="1">
      <c r="A98" s="80">
        <v>45561.9375</v>
      </c>
      <c r="B98" s="112">
        <v>9.3699999999999992</v>
      </c>
      <c r="C98" s="112">
        <v>4.1100000000000003</v>
      </c>
      <c r="D98" s="112">
        <v>14.11</v>
      </c>
      <c r="E98" s="112">
        <v>6.37</v>
      </c>
      <c r="F98" s="112">
        <v>4.43</v>
      </c>
      <c r="G98" s="112">
        <v>9.85</v>
      </c>
      <c r="H98" s="112">
        <v>0.98</v>
      </c>
      <c r="I98" s="112">
        <v>4.05</v>
      </c>
      <c r="J98" s="112">
        <v>0.04</v>
      </c>
      <c r="K98" s="112">
        <v>162.94999999999999</v>
      </c>
      <c r="L98" s="112">
        <v>24.79</v>
      </c>
      <c r="M98" s="112">
        <v>100.76</v>
      </c>
      <c r="N98" s="112">
        <v>2.2000000000000002</v>
      </c>
      <c r="O98" s="112">
        <v>0</v>
      </c>
      <c r="P98" s="112">
        <v>0.35</v>
      </c>
      <c r="Q98" s="112">
        <v>4.63</v>
      </c>
    </row>
    <row r="99" spans="1:22" customFormat="1">
      <c r="A99" s="80">
        <v>45561.947916666664</v>
      </c>
      <c r="B99" s="112">
        <v>9.3699999999999992</v>
      </c>
      <c r="C99" s="112">
        <v>4.08</v>
      </c>
      <c r="D99" s="112">
        <v>14.1</v>
      </c>
      <c r="E99" s="112">
        <v>5.83</v>
      </c>
      <c r="F99" s="112">
        <v>4.3899999999999997</v>
      </c>
      <c r="G99" s="112">
        <v>9.85</v>
      </c>
      <c r="H99" s="112">
        <v>0.98</v>
      </c>
      <c r="I99" s="112">
        <v>4.09</v>
      </c>
      <c r="J99" s="112">
        <v>0.05</v>
      </c>
      <c r="K99" s="112">
        <v>128.75</v>
      </c>
      <c r="L99" s="112">
        <v>24.92</v>
      </c>
      <c r="M99" s="112">
        <v>100.76</v>
      </c>
      <c r="N99" s="112">
        <v>2.2000000000000002</v>
      </c>
      <c r="O99" s="112">
        <v>0</v>
      </c>
      <c r="P99" s="112">
        <v>0.36</v>
      </c>
      <c r="Q99" s="112">
        <v>4.6399999999999997</v>
      </c>
    </row>
    <row r="100" spans="1:22" customFormat="1">
      <c r="A100" s="80">
        <v>45561.958333333336</v>
      </c>
      <c r="B100" s="112">
        <v>9.36</v>
      </c>
      <c r="C100" s="112">
        <v>4.04</v>
      </c>
      <c r="D100" s="112">
        <v>14.07</v>
      </c>
      <c r="E100" s="112">
        <v>6.31</v>
      </c>
      <c r="F100" s="112">
        <v>4.3899999999999997</v>
      </c>
      <c r="G100" s="112">
        <v>9.8000000000000007</v>
      </c>
      <c r="H100" s="112">
        <v>0.99</v>
      </c>
      <c r="I100" s="112">
        <v>4.13</v>
      </c>
      <c r="J100" s="112">
        <v>0.03</v>
      </c>
      <c r="K100" s="112">
        <v>149.36000000000001</v>
      </c>
      <c r="L100" s="112">
        <v>24.87</v>
      </c>
      <c r="M100" s="112">
        <v>100.71</v>
      </c>
      <c r="N100" s="112">
        <v>2.4</v>
      </c>
      <c r="O100" s="112">
        <v>0</v>
      </c>
      <c r="P100" s="112">
        <v>0.36</v>
      </c>
      <c r="Q100" s="112">
        <v>4.6500000000000004</v>
      </c>
    </row>
    <row r="101" spans="1:22" customFormat="1">
      <c r="A101" s="80">
        <v>45561.96875</v>
      </c>
      <c r="B101" s="112">
        <v>9.36</v>
      </c>
      <c r="C101" s="112">
        <v>4.08</v>
      </c>
      <c r="D101" s="112">
        <v>14.09</v>
      </c>
      <c r="E101" s="112">
        <v>6.19</v>
      </c>
      <c r="F101" s="112">
        <v>4.6900000000000004</v>
      </c>
      <c r="G101" s="112">
        <v>8.9600000000000009</v>
      </c>
      <c r="H101" s="112">
        <v>1.0900000000000001</v>
      </c>
      <c r="I101" s="112">
        <v>4.1399999999999997</v>
      </c>
      <c r="J101" s="112">
        <v>0.11</v>
      </c>
      <c r="K101" s="112">
        <v>261.66000000000003</v>
      </c>
      <c r="L101" s="112">
        <v>24.8</v>
      </c>
      <c r="M101" s="112">
        <v>100.77</v>
      </c>
      <c r="N101" s="112">
        <v>2.4</v>
      </c>
      <c r="O101" s="112">
        <v>0</v>
      </c>
      <c r="P101" s="112">
        <v>0.35</v>
      </c>
      <c r="Q101" s="112">
        <v>4.6500000000000004</v>
      </c>
    </row>
    <row r="102" spans="1:22" customFormat="1">
      <c r="A102" s="80">
        <v>45561.979166666664</v>
      </c>
      <c r="B102" s="112">
        <v>9.35</v>
      </c>
      <c r="C102" s="112">
        <v>4.1100000000000003</v>
      </c>
      <c r="D102" s="112">
        <v>14.09</v>
      </c>
      <c r="E102" s="112">
        <v>5.96</v>
      </c>
      <c r="F102" s="112">
        <v>4.3899999999999997</v>
      </c>
      <c r="G102" s="112">
        <v>8.9600000000000009</v>
      </c>
      <c r="H102" s="112">
        <v>1.0900000000000001</v>
      </c>
      <c r="I102" s="112">
        <v>4.12</v>
      </c>
      <c r="J102" s="112">
        <v>0.06</v>
      </c>
      <c r="K102" s="112">
        <v>255.02</v>
      </c>
      <c r="L102" s="112">
        <v>24.77</v>
      </c>
      <c r="M102" s="112">
        <v>100.8</v>
      </c>
      <c r="N102" s="112">
        <v>2.2999999999999998</v>
      </c>
      <c r="O102" s="112">
        <v>0</v>
      </c>
      <c r="P102" s="112">
        <v>0.35</v>
      </c>
      <c r="Q102" s="112">
        <v>4.6500000000000004</v>
      </c>
    </row>
    <row r="103" spans="1:22" customFormat="1">
      <c r="A103" s="80">
        <v>45561.989583333336</v>
      </c>
      <c r="B103" s="112">
        <v>9.34</v>
      </c>
      <c r="C103" s="112">
        <v>4.07</v>
      </c>
      <c r="D103" s="112">
        <v>14.07</v>
      </c>
      <c r="E103" s="112">
        <v>6.15</v>
      </c>
      <c r="F103" s="112">
        <v>4.42</v>
      </c>
      <c r="G103" s="112">
        <v>8.9600000000000009</v>
      </c>
      <c r="H103" s="112">
        <v>1.0900000000000001</v>
      </c>
      <c r="I103" s="112">
        <v>4.1100000000000003</v>
      </c>
      <c r="J103" s="112">
        <v>0.08</v>
      </c>
      <c r="K103" s="112">
        <v>270.76</v>
      </c>
      <c r="L103" s="112">
        <v>24.74</v>
      </c>
      <c r="M103" s="112">
        <v>100.78</v>
      </c>
      <c r="N103" s="112">
        <v>2.2999999999999998</v>
      </c>
      <c r="O103" s="112">
        <v>0</v>
      </c>
      <c r="P103" s="112">
        <v>0.35</v>
      </c>
      <c r="Q103" s="112">
        <v>4.6500000000000004</v>
      </c>
    </row>
    <row r="104" spans="1:22" customFormat="1">
      <c r="A104" s="80">
        <v>45562</v>
      </c>
      <c r="B104" s="112">
        <v>9.34</v>
      </c>
      <c r="C104" s="112">
        <v>4.04</v>
      </c>
      <c r="D104" s="112">
        <v>14.05</v>
      </c>
      <c r="E104" s="112">
        <v>6.05</v>
      </c>
      <c r="F104" s="112">
        <v>5.57</v>
      </c>
      <c r="G104" s="112">
        <v>9.02</v>
      </c>
      <c r="H104" s="112">
        <v>1.0900000000000001</v>
      </c>
      <c r="I104" s="112">
        <v>4.16</v>
      </c>
      <c r="J104" s="112">
        <v>0.11</v>
      </c>
      <c r="K104" s="112">
        <v>251.08</v>
      </c>
      <c r="L104" s="112">
        <v>24.74</v>
      </c>
      <c r="M104" s="112">
        <v>100.69</v>
      </c>
      <c r="N104" s="112">
        <v>2.4</v>
      </c>
      <c r="O104" s="112">
        <v>0</v>
      </c>
      <c r="P104" s="112">
        <v>0.35</v>
      </c>
      <c r="Q104" s="112">
        <v>4.6500000000000004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9.24</v>
      </c>
      <c r="C106" s="183">
        <f>MIN(C9:C104)</f>
        <v>4.0199999999999996</v>
      </c>
      <c r="D106" s="183">
        <f t="shared" ref="D106:Q106" si="0">MIN(D9:D104)</f>
        <v>14</v>
      </c>
      <c r="E106" s="183">
        <f t="shared" si="0"/>
        <v>5.83</v>
      </c>
      <c r="F106" s="183">
        <f t="shared" si="0"/>
        <v>3.41</v>
      </c>
      <c r="G106" s="183">
        <f t="shared" si="0"/>
        <v>1.1100000000000001</v>
      </c>
      <c r="H106" s="183">
        <f t="shared" si="0"/>
        <v>0.11</v>
      </c>
      <c r="I106" s="183">
        <f t="shared" si="0"/>
        <v>3.44</v>
      </c>
      <c r="J106" s="183">
        <f t="shared" si="0"/>
        <v>0</v>
      </c>
      <c r="K106" s="183">
        <f t="shared" si="0"/>
        <v>94.51</v>
      </c>
      <c r="L106" s="183">
        <f t="shared" si="0"/>
        <v>24.74</v>
      </c>
      <c r="M106" s="183">
        <f t="shared" si="0"/>
        <v>76.349999999999994</v>
      </c>
      <c r="N106" s="183">
        <f t="shared" si="0"/>
        <v>2.1</v>
      </c>
      <c r="O106" s="183">
        <f t="shared" si="0"/>
        <v>0</v>
      </c>
      <c r="P106" s="183">
        <f t="shared" si="0"/>
        <v>0.31</v>
      </c>
      <c r="Q106" s="183">
        <f t="shared" si="0"/>
        <v>4.62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9.4499999999999993</v>
      </c>
      <c r="C107" s="184">
        <f t="shared" ref="C107:Q107" si="1">MAX(C9:C104)</f>
        <v>4.12</v>
      </c>
      <c r="D107" s="184">
        <f t="shared" si="1"/>
        <v>14.15</v>
      </c>
      <c r="E107" s="184">
        <f t="shared" si="1"/>
        <v>13.37</v>
      </c>
      <c r="F107" s="184">
        <f t="shared" si="1"/>
        <v>9.91</v>
      </c>
      <c r="G107" s="184">
        <f t="shared" si="1"/>
        <v>76.78</v>
      </c>
      <c r="H107" s="184">
        <f t="shared" si="1"/>
        <v>26.27</v>
      </c>
      <c r="I107" s="184">
        <f t="shared" si="1"/>
        <v>6.68</v>
      </c>
      <c r="J107" s="184">
        <f t="shared" si="1"/>
        <v>0.75</v>
      </c>
      <c r="K107" s="184">
        <f t="shared" si="1"/>
        <v>290.72000000000003</v>
      </c>
      <c r="L107" s="184">
        <f t="shared" si="1"/>
        <v>29.78</v>
      </c>
      <c r="M107" s="184">
        <f t="shared" si="1"/>
        <v>100.8</v>
      </c>
      <c r="N107" s="184">
        <f t="shared" si="1"/>
        <v>256.10000000000002</v>
      </c>
      <c r="O107" s="184">
        <f t="shared" si="1"/>
        <v>2</v>
      </c>
      <c r="P107" s="184">
        <f t="shared" si="1"/>
        <v>0.59</v>
      </c>
      <c r="Q107" s="184">
        <f t="shared" si="1"/>
        <v>4.68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9.3215625000000042</v>
      </c>
      <c r="C108" s="183">
        <f t="shared" ref="C108:Q108" si="2">AVERAGE(C9:C104)</f>
        <v>4.0698958333333337</v>
      </c>
      <c r="D108" s="183">
        <f t="shared" si="2"/>
        <v>14.05093749999998</v>
      </c>
      <c r="E108" s="183">
        <f t="shared" si="2"/>
        <v>9.0832291666666656</v>
      </c>
      <c r="F108" s="183">
        <f t="shared" si="2"/>
        <v>4.7705208333333324</v>
      </c>
      <c r="G108" s="183">
        <f t="shared" si="2"/>
        <v>19.585581395348843</v>
      </c>
      <c r="H108" s="183">
        <f t="shared" si="2"/>
        <v>7.7589873417721611</v>
      </c>
      <c r="I108" s="183">
        <f t="shared" si="2"/>
        <v>4.8276041666666689</v>
      </c>
      <c r="J108" s="183">
        <f t="shared" si="2"/>
        <v>0.17916666666666667</v>
      </c>
      <c r="K108" s="183">
        <f t="shared" si="2"/>
        <v>214.42937500000002</v>
      </c>
      <c r="L108" s="183">
        <f t="shared" si="2"/>
        <v>26.246979166666666</v>
      </c>
      <c r="M108" s="183">
        <f t="shared" si="2"/>
        <v>95.568958333333356</v>
      </c>
      <c r="N108" s="183">
        <f t="shared" si="2"/>
        <v>35.373958333333327</v>
      </c>
      <c r="O108" s="183">
        <f t="shared" si="2"/>
        <v>8.7500000000000008E-2</v>
      </c>
      <c r="P108" s="183">
        <f t="shared" si="2"/>
        <v>0.42270833333333346</v>
      </c>
      <c r="Q108" s="183">
        <f t="shared" si="2"/>
        <v>4.6459374999999943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4.3318359423665798E-2</v>
      </c>
      <c r="C109" s="183">
        <f t="shared" ref="C109:Q109" si="3">STDEV(C9:C104)</f>
        <v>2.007851911433119E-2</v>
      </c>
      <c r="D109" s="183">
        <f t="shared" si="3"/>
        <v>3.6013977549659404E-2</v>
      </c>
      <c r="E109" s="183">
        <f t="shared" si="3"/>
        <v>1.9050290755022075</v>
      </c>
      <c r="F109" s="183">
        <f t="shared" si="3"/>
        <v>0.86218250576407862</v>
      </c>
      <c r="G109" s="183">
        <f t="shared" si="3"/>
        <v>20.893212216335389</v>
      </c>
      <c r="H109" s="183">
        <f t="shared" si="3"/>
        <v>7.6131590860212759</v>
      </c>
      <c r="I109" s="183">
        <f t="shared" si="3"/>
        <v>1.0304110010769181</v>
      </c>
      <c r="J109" s="183">
        <f t="shared" si="3"/>
        <v>0.15670734820823212</v>
      </c>
      <c r="K109" s="183">
        <f t="shared" si="3"/>
        <v>56.588121848512522</v>
      </c>
      <c r="L109" s="183">
        <f t="shared" si="3"/>
        <v>1.3275241060684502</v>
      </c>
      <c r="M109" s="183">
        <f t="shared" si="3"/>
        <v>6.6837988692477541</v>
      </c>
      <c r="N109" s="183">
        <f t="shared" si="3"/>
        <v>58.71511281252657</v>
      </c>
      <c r="O109" s="183">
        <f t="shared" si="3"/>
        <v>0.2750119614623488</v>
      </c>
      <c r="P109" s="183">
        <f t="shared" si="3"/>
        <v>8.0282123154819154E-2</v>
      </c>
      <c r="Q109" s="183">
        <f t="shared" si="3"/>
        <v>1.0719203132205153E-2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v>96</v>
      </c>
      <c r="H110" s="184"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8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45562.010416666664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45562.010416666664</v>
      </c>
      <c r="B9" s="112">
        <v>9.2200000000000006</v>
      </c>
      <c r="C9" s="112">
        <v>4.13</v>
      </c>
      <c r="D9" s="112">
        <v>14</v>
      </c>
      <c r="E9" s="112">
        <v>6.31</v>
      </c>
      <c r="F9" s="112">
        <v>6.09</v>
      </c>
      <c r="G9" s="112">
        <v>9.92</v>
      </c>
      <c r="H9" s="112">
        <v>1.04</v>
      </c>
      <c r="I9" s="112">
        <v>4.12</v>
      </c>
      <c r="J9" s="112">
        <v>0.06</v>
      </c>
      <c r="K9" s="112">
        <v>184.6</v>
      </c>
      <c r="L9" s="112">
        <v>24.76</v>
      </c>
      <c r="M9" s="112">
        <v>100.43</v>
      </c>
      <c r="N9" s="112">
        <v>2.2999999999999998</v>
      </c>
      <c r="O9" s="112">
        <v>0</v>
      </c>
      <c r="P9" s="112">
        <v>0.34</v>
      </c>
      <c r="Q9" s="112">
        <v>4.6399999999999997</v>
      </c>
    </row>
    <row r="10" spans="1:21" customFormat="1">
      <c r="A10" s="80">
        <v>45562.020833333336</v>
      </c>
      <c r="B10" s="112">
        <v>9.2799999999999994</v>
      </c>
      <c r="C10" s="112">
        <v>4.08</v>
      </c>
      <c r="D10" s="112">
        <v>14.02</v>
      </c>
      <c r="E10" s="112">
        <v>6.15</v>
      </c>
      <c r="F10" s="112">
        <v>4.9800000000000004</v>
      </c>
      <c r="G10" s="112">
        <v>9.92</v>
      </c>
      <c r="H10" s="112">
        <v>1.04</v>
      </c>
      <c r="I10" s="112">
        <v>3.96</v>
      </c>
      <c r="J10" s="112">
        <v>0.08</v>
      </c>
      <c r="K10" s="112">
        <v>174.6</v>
      </c>
      <c r="L10" s="112">
        <v>24.8</v>
      </c>
      <c r="M10" s="112">
        <v>100.38</v>
      </c>
      <c r="N10" s="112">
        <v>2.2000000000000002</v>
      </c>
      <c r="O10" s="112">
        <v>0</v>
      </c>
      <c r="P10" s="112">
        <v>0.33</v>
      </c>
      <c r="Q10" s="112">
        <v>4.6500000000000004</v>
      </c>
    </row>
    <row r="11" spans="1:21" customFormat="1">
      <c r="A11" s="80">
        <v>45562.03125</v>
      </c>
      <c r="B11" s="112">
        <v>9.2799999999999994</v>
      </c>
      <c r="C11" s="112">
        <v>4.09</v>
      </c>
      <c r="D11" s="112">
        <v>14.03</v>
      </c>
      <c r="E11" s="112">
        <v>5.9</v>
      </c>
      <c r="F11" s="112">
        <v>5.1100000000000003</v>
      </c>
      <c r="G11" s="112">
        <v>9.92</v>
      </c>
      <c r="H11" s="112">
        <v>1.04</v>
      </c>
      <c r="I11" s="112">
        <v>3.87</v>
      </c>
      <c r="J11" s="112">
        <v>0.09</v>
      </c>
      <c r="K11" s="112">
        <v>167.53</v>
      </c>
      <c r="L11" s="112">
        <v>24.85</v>
      </c>
      <c r="M11" s="112">
        <v>100.44</v>
      </c>
      <c r="N11" s="112">
        <v>2.2000000000000002</v>
      </c>
      <c r="O11" s="112">
        <v>0</v>
      </c>
      <c r="P11" s="112">
        <v>0.32</v>
      </c>
      <c r="Q11" s="112">
        <v>4.66</v>
      </c>
    </row>
    <row r="12" spans="1:21" customFormat="1">
      <c r="A12" s="80">
        <v>45562.041666666664</v>
      </c>
      <c r="B12" s="112">
        <v>9.23</v>
      </c>
      <c r="C12" s="112">
        <v>4.1100000000000003</v>
      </c>
      <c r="D12" s="112">
        <v>14</v>
      </c>
      <c r="E12" s="112">
        <v>6.27</v>
      </c>
      <c r="F12" s="112">
        <v>4.96</v>
      </c>
      <c r="G12" s="112">
        <v>10.029999999999999</v>
      </c>
      <c r="H12" s="112">
        <v>1.04</v>
      </c>
      <c r="I12" s="112">
        <v>3.91</v>
      </c>
      <c r="J12" s="112">
        <v>0.12</v>
      </c>
      <c r="K12" s="112">
        <v>97.73</v>
      </c>
      <c r="L12" s="112">
        <v>24.86</v>
      </c>
      <c r="M12" s="112">
        <v>100.5</v>
      </c>
      <c r="N12" s="112">
        <v>2.2999999999999998</v>
      </c>
      <c r="O12" s="112">
        <v>0</v>
      </c>
      <c r="P12" s="112">
        <v>0.33</v>
      </c>
      <c r="Q12" s="112">
        <v>4.66</v>
      </c>
    </row>
    <row r="13" spans="1:21" customFormat="1">
      <c r="A13" s="80">
        <v>45562.052083333336</v>
      </c>
      <c r="B13" s="112">
        <v>9.23</v>
      </c>
      <c r="C13" s="112">
        <v>4.1100000000000003</v>
      </c>
      <c r="D13" s="112">
        <v>14</v>
      </c>
      <c r="E13" s="112">
        <v>6.26</v>
      </c>
      <c r="F13" s="112">
        <v>6.71</v>
      </c>
      <c r="G13" s="112">
        <v>11.93</v>
      </c>
      <c r="H13" s="112">
        <v>1.07</v>
      </c>
      <c r="I13" s="112">
        <v>3.8</v>
      </c>
      <c r="J13" s="112">
        <v>0.1</v>
      </c>
      <c r="K13" s="112">
        <v>140.16999999999999</v>
      </c>
      <c r="L13" s="112">
        <v>24.91</v>
      </c>
      <c r="M13" s="112">
        <v>100.52</v>
      </c>
      <c r="N13" s="112">
        <v>2.2000000000000002</v>
      </c>
      <c r="O13" s="112">
        <v>0</v>
      </c>
      <c r="P13" s="112">
        <v>0.32</v>
      </c>
      <c r="Q13" s="112">
        <v>4.68</v>
      </c>
    </row>
    <row r="14" spans="1:21" customFormat="1">
      <c r="A14" s="80">
        <v>45562.0625</v>
      </c>
      <c r="B14" s="112">
        <v>9.23</v>
      </c>
      <c r="C14" s="112">
        <v>4.1100000000000003</v>
      </c>
      <c r="D14" s="112">
        <v>14</v>
      </c>
      <c r="E14" s="112">
        <v>6.69</v>
      </c>
      <c r="F14" s="112">
        <v>5.18</v>
      </c>
      <c r="G14" s="112">
        <v>11.93</v>
      </c>
      <c r="H14" s="112">
        <v>1.07</v>
      </c>
      <c r="I14" s="112">
        <v>3.74</v>
      </c>
      <c r="J14" s="112">
        <v>0.06</v>
      </c>
      <c r="K14" s="112">
        <v>181.33</v>
      </c>
      <c r="L14" s="112">
        <v>24.88</v>
      </c>
      <c r="M14" s="112">
        <v>100.36</v>
      </c>
      <c r="N14" s="112">
        <v>2.2999999999999998</v>
      </c>
      <c r="O14" s="112">
        <v>0</v>
      </c>
      <c r="P14" s="112">
        <v>0.32</v>
      </c>
      <c r="Q14" s="112">
        <v>4.66</v>
      </c>
    </row>
    <row r="15" spans="1:21" customFormat="1">
      <c r="A15" s="80">
        <v>45562.072916666664</v>
      </c>
      <c r="B15" s="112">
        <v>9.1999999999999993</v>
      </c>
      <c r="C15" s="112">
        <v>4.1500000000000004</v>
      </c>
      <c r="D15" s="112">
        <v>14</v>
      </c>
      <c r="E15" s="112">
        <v>7.26</v>
      </c>
      <c r="F15" s="112">
        <v>4.7</v>
      </c>
      <c r="G15" s="112">
        <v>11.93</v>
      </c>
      <c r="H15" s="112">
        <v>1.07</v>
      </c>
      <c r="I15" s="112">
        <v>3.71</v>
      </c>
      <c r="J15" s="112">
        <v>0.13</v>
      </c>
      <c r="K15" s="112">
        <v>131.61000000000001</v>
      </c>
      <c r="L15" s="112">
        <v>24.98</v>
      </c>
      <c r="M15" s="112">
        <v>100.41</v>
      </c>
      <c r="N15" s="112">
        <v>2.2999999999999998</v>
      </c>
      <c r="O15" s="112">
        <v>0</v>
      </c>
      <c r="P15" s="112">
        <v>0.33</v>
      </c>
      <c r="Q15" s="112">
        <v>4.66</v>
      </c>
    </row>
    <row r="16" spans="1:21" customFormat="1">
      <c r="A16" s="80">
        <v>45562.083333333336</v>
      </c>
      <c r="B16" s="112">
        <v>9.2100000000000009</v>
      </c>
      <c r="C16" s="112">
        <v>4.1500000000000004</v>
      </c>
      <c r="D16" s="112">
        <v>14</v>
      </c>
      <c r="E16" s="112">
        <v>7.02</v>
      </c>
      <c r="F16" s="112">
        <v>4.74</v>
      </c>
      <c r="G16" s="112">
        <v>11.8</v>
      </c>
      <c r="H16" s="112">
        <v>1.06</v>
      </c>
      <c r="I16" s="112">
        <v>3.7</v>
      </c>
      <c r="J16" s="112">
        <v>0.1</v>
      </c>
      <c r="K16" s="112">
        <v>124.91</v>
      </c>
      <c r="L16" s="112">
        <v>25.04</v>
      </c>
      <c r="M16" s="112">
        <v>100.62</v>
      </c>
      <c r="N16" s="112">
        <v>2.4</v>
      </c>
      <c r="O16" s="112">
        <v>0</v>
      </c>
      <c r="P16" s="112">
        <v>0.32</v>
      </c>
      <c r="Q16" s="112">
        <v>4.6500000000000004</v>
      </c>
    </row>
    <row r="17" spans="1:17" customFormat="1">
      <c r="A17" s="80">
        <v>45562.09375</v>
      </c>
      <c r="B17" s="112">
        <v>9.2200000000000006</v>
      </c>
      <c r="C17" s="112">
        <v>4.12</v>
      </c>
      <c r="D17" s="112">
        <v>14</v>
      </c>
      <c r="E17" s="112">
        <v>9.0399999999999991</v>
      </c>
      <c r="F17" s="112">
        <v>4.6500000000000004</v>
      </c>
      <c r="G17" s="112">
        <v>9.02</v>
      </c>
      <c r="H17" s="112">
        <v>1.03</v>
      </c>
      <c r="I17" s="112">
        <v>3.69</v>
      </c>
      <c r="J17" s="112">
        <v>0.14000000000000001</v>
      </c>
      <c r="K17" s="112">
        <v>104.2</v>
      </c>
      <c r="L17" s="112">
        <v>25</v>
      </c>
      <c r="M17" s="112">
        <v>100.67</v>
      </c>
      <c r="N17" s="112">
        <v>2.4</v>
      </c>
      <c r="O17" s="112">
        <v>0</v>
      </c>
      <c r="P17" s="112">
        <v>0.32</v>
      </c>
      <c r="Q17" s="112">
        <v>4.66</v>
      </c>
    </row>
    <row r="18" spans="1:17" customFormat="1">
      <c r="A18" s="80">
        <v>45562.104166666664</v>
      </c>
      <c r="B18" s="112">
        <v>9.23</v>
      </c>
      <c r="C18" s="112">
        <v>4.1100000000000003</v>
      </c>
      <c r="D18" s="112">
        <v>14</v>
      </c>
      <c r="E18" s="112">
        <v>11.03</v>
      </c>
      <c r="F18" s="112">
        <v>4.7699999999999996</v>
      </c>
      <c r="G18" s="112">
        <v>9.02</v>
      </c>
      <c r="H18" s="112">
        <v>1.03</v>
      </c>
      <c r="I18" s="112">
        <v>3.63</v>
      </c>
      <c r="J18" s="112">
        <v>0.16</v>
      </c>
      <c r="K18" s="112">
        <v>97.91</v>
      </c>
      <c r="L18" s="112">
        <v>25.02</v>
      </c>
      <c r="M18" s="112">
        <v>100.7</v>
      </c>
      <c r="N18" s="112">
        <v>2.2999999999999998</v>
      </c>
      <c r="O18" s="112">
        <v>0</v>
      </c>
      <c r="P18" s="112">
        <v>0.31</v>
      </c>
      <c r="Q18" s="112">
        <v>4.66</v>
      </c>
    </row>
    <row r="19" spans="1:17" customFormat="1">
      <c r="A19" s="80">
        <v>45562.114583333336</v>
      </c>
      <c r="B19" s="112">
        <v>9.23</v>
      </c>
      <c r="C19" s="112">
        <v>4.1100000000000003</v>
      </c>
      <c r="D19" s="112">
        <v>14</v>
      </c>
      <c r="E19" s="112">
        <v>11.27</v>
      </c>
      <c r="F19" s="112">
        <v>4.87</v>
      </c>
      <c r="G19" s="112">
        <v>9.02</v>
      </c>
      <c r="H19" s="112">
        <v>1.03</v>
      </c>
      <c r="I19" s="112">
        <v>3.63</v>
      </c>
      <c r="J19" s="112">
        <v>0.12</v>
      </c>
      <c r="K19" s="112">
        <v>113.61</v>
      </c>
      <c r="L19" s="112">
        <v>25.04</v>
      </c>
      <c r="M19" s="112">
        <v>100.68</v>
      </c>
      <c r="N19" s="112">
        <v>2.4</v>
      </c>
      <c r="O19" s="112">
        <v>0</v>
      </c>
      <c r="P19" s="112">
        <v>0.31</v>
      </c>
      <c r="Q19" s="112">
        <v>4.66</v>
      </c>
    </row>
    <row r="20" spans="1:17" customFormat="1">
      <c r="A20" s="80">
        <v>45562.125</v>
      </c>
      <c r="B20" s="112">
        <v>9.24</v>
      </c>
      <c r="C20" s="112">
        <v>4.0999999999999996</v>
      </c>
      <c r="D20" s="112">
        <v>14</v>
      </c>
      <c r="E20" s="112">
        <v>11.36</v>
      </c>
      <c r="F20" s="112">
        <v>4.63</v>
      </c>
      <c r="G20" s="112">
        <v>9.23</v>
      </c>
      <c r="H20" s="112">
        <v>1.03</v>
      </c>
      <c r="I20" s="112">
        <v>3.57</v>
      </c>
      <c r="J20" s="112">
        <v>0.09</v>
      </c>
      <c r="K20" s="112">
        <v>142.01</v>
      </c>
      <c r="L20" s="112">
        <v>25.15</v>
      </c>
      <c r="M20" s="112">
        <v>100.67</v>
      </c>
      <c r="N20" s="112">
        <v>2.4</v>
      </c>
      <c r="O20" s="112">
        <v>0</v>
      </c>
      <c r="P20" s="112">
        <v>0.31</v>
      </c>
      <c r="Q20" s="112">
        <v>4.6500000000000004</v>
      </c>
    </row>
    <row r="21" spans="1:17" customFormat="1">
      <c r="A21" s="80">
        <v>45562.135416666664</v>
      </c>
      <c r="B21" s="112">
        <v>9.24</v>
      </c>
      <c r="C21" s="112">
        <v>4.0999999999999996</v>
      </c>
      <c r="D21" s="112">
        <v>14</v>
      </c>
      <c r="E21" s="112">
        <v>11.88</v>
      </c>
      <c r="F21" s="112">
        <v>4.49</v>
      </c>
      <c r="G21" s="112">
        <v>13.64</v>
      </c>
      <c r="H21" s="112">
        <v>1.01</v>
      </c>
      <c r="I21" s="112">
        <v>3.59</v>
      </c>
      <c r="J21" s="112">
        <v>0.1</v>
      </c>
      <c r="K21" s="112">
        <v>242.91</v>
      </c>
      <c r="L21" s="112">
        <v>25.04</v>
      </c>
      <c r="M21" s="112">
        <v>100.68</v>
      </c>
      <c r="N21" s="112">
        <v>2.4</v>
      </c>
      <c r="O21" s="112">
        <v>0</v>
      </c>
      <c r="P21" s="112">
        <v>0.31</v>
      </c>
      <c r="Q21" s="112">
        <v>4.66</v>
      </c>
    </row>
    <row r="22" spans="1:17" customFormat="1">
      <c r="A22" s="80">
        <v>45562.145833333336</v>
      </c>
      <c r="B22" s="112">
        <v>9.23</v>
      </c>
      <c r="C22" s="112">
        <v>4.0999999999999996</v>
      </c>
      <c r="D22" s="112">
        <v>14</v>
      </c>
      <c r="E22" s="112">
        <v>11.54</v>
      </c>
      <c r="F22" s="112">
        <v>4.34</v>
      </c>
      <c r="G22" s="112">
        <v>13.64</v>
      </c>
      <c r="H22" s="112">
        <v>1.01</v>
      </c>
      <c r="I22" s="112">
        <v>3.59</v>
      </c>
      <c r="J22" s="112">
        <v>0.06</v>
      </c>
      <c r="K22" s="112">
        <v>248.66</v>
      </c>
      <c r="L22" s="112">
        <v>25.03</v>
      </c>
      <c r="M22" s="112">
        <v>100.6</v>
      </c>
      <c r="N22" s="112">
        <v>2.4</v>
      </c>
      <c r="O22" s="112">
        <v>0</v>
      </c>
      <c r="P22" s="112">
        <v>0.31</v>
      </c>
      <c r="Q22" s="112">
        <v>4.6500000000000004</v>
      </c>
    </row>
    <row r="23" spans="1:17" customFormat="1">
      <c r="A23" s="80">
        <v>45562.15625</v>
      </c>
      <c r="B23" s="112">
        <v>9.24</v>
      </c>
      <c r="C23" s="112">
        <v>4.0999999999999996</v>
      </c>
      <c r="D23" s="112">
        <v>14</v>
      </c>
      <c r="E23" s="112">
        <v>11.91</v>
      </c>
      <c r="F23" s="112">
        <v>4.41</v>
      </c>
      <c r="G23" s="112">
        <v>13.64</v>
      </c>
      <c r="H23" s="112">
        <v>1.01</v>
      </c>
      <c r="I23" s="112">
        <v>3.56</v>
      </c>
      <c r="J23" s="112">
        <v>0.04</v>
      </c>
      <c r="K23" s="112">
        <v>233.79</v>
      </c>
      <c r="L23" s="112">
        <v>25.05</v>
      </c>
      <c r="M23" s="112">
        <v>100.59</v>
      </c>
      <c r="N23" s="112">
        <v>2.4</v>
      </c>
      <c r="O23" s="112">
        <v>0</v>
      </c>
      <c r="P23" s="112">
        <v>0.31</v>
      </c>
      <c r="Q23" s="112">
        <v>4.66</v>
      </c>
    </row>
    <row r="24" spans="1:17" customFormat="1">
      <c r="A24" s="80">
        <v>45562.166666666664</v>
      </c>
      <c r="B24" s="112">
        <v>9.23</v>
      </c>
      <c r="C24" s="112">
        <v>4.1100000000000003</v>
      </c>
      <c r="D24" s="112">
        <v>14</v>
      </c>
      <c r="E24" s="112">
        <v>12.02</v>
      </c>
      <c r="F24" s="112">
        <v>4.57</v>
      </c>
      <c r="G24" s="112">
        <v>13.46</v>
      </c>
      <c r="H24" s="112">
        <v>1.01</v>
      </c>
      <c r="I24" s="112">
        <v>3.51</v>
      </c>
      <c r="J24" s="112">
        <v>0.08</v>
      </c>
      <c r="K24" s="112">
        <v>260.43</v>
      </c>
      <c r="L24" s="112">
        <v>25.08</v>
      </c>
      <c r="M24" s="112">
        <v>100.52</v>
      </c>
      <c r="N24" s="112">
        <v>2.5</v>
      </c>
      <c r="O24" s="112">
        <v>0</v>
      </c>
      <c r="P24" s="112">
        <v>0.31</v>
      </c>
      <c r="Q24" s="112">
        <v>4.6399999999999997</v>
      </c>
    </row>
    <row r="25" spans="1:17" customFormat="1">
      <c r="A25" s="80">
        <v>45562.177083333336</v>
      </c>
      <c r="B25" s="112">
        <v>9.24</v>
      </c>
      <c r="C25" s="112">
        <v>4.0999999999999996</v>
      </c>
      <c r="D25" s="112">
        <v>14</v>
      </c>
      <c r="E25" s="112">
        <v>11.87</v>
      </c>
      <c r="F25" s="112">
        <v>4.79</v>
      </c>
      <c r="G25" s="112">
        <v>9.66</v>
      </c>
      <c r="H25" s="112">
        <v>1</v>
      </c>
      <c r="I25" s="112">
        <v>3.47</v>
      </c>
      <c r="J25" s="112">
        <v>0.14000000000000001</v>
      </c>
      <c r="K25" s="112">
        <v>250.48</v>
      </c>
      <c r="L25" s="112">
        <v>25.1</v>
      </c>
      <c r="M25" s="112">
        <v>100.49</v>
      </c>
      <c r="N25" s="112">
        <v>2.7</v>
      </c>
      <c r="O25" s="112">
        <v>0</v>
      </c>
      <c r="P25" s="112">
        <v>0.31</v>
      </c>
      <c r="Q25" s="112">
        <v>4.6500000000000004</v>
      </c>
    </row>
    <row r="26" spans="1:17" customFormat="1">
      <c r="A26" s="80">
        <v>45562.1875</v>
      </c>
      <c r="B26" s="112">
        <v>9.23</v>
      </c>
      <c r="C26" s="112">
        <v>4.1100000000000003</v>
      </c>
      <c r="D26" s="112">
        <v>14</v>
      </c>
      <c r="E26" s="112">
        <v>12.42</v>
      </c>
      <c r="F26" s="112">
        <v>5.31</v>
      </c>
      <c r="G26" s="112">
        <v>9.66</v>
      </c>
      <c r="H26" s="112">
        <v>1</v>
      </c>
      <c r="I26" s="112">
        <v>3.47</v>
      </c>
      <c r="J26" s="112">
        <v>0.22</v>
      </c>
      <c r="K26" s="112">
        <v>270.62</v>
      </c>
      <c r="L26" s="112">
        <v>25.03</v>
      </c>
      <c r="M26" s="112">
        <v>100.42</v>
      </c>
      <c r="N26" s="112">
        <v>2.8</v>
      </c>
      <c r="O26" s="112">
        <v>0</v>
      </c>
      <c r="P26" s="112">
        <v>0.31</v>
      </c>
      <c r="Q26" s="112">
        <v>4.6500000000000004</v>
      </c>
    </row>
    <row r="27" spans="1:17" customFormat="1">
      <c r="A27" s="80">
        <v>45562.197916666664</v>
      </c>
      <c r="B27" s="112">
        <v>9.24</v>
      </c>
      <c r="C27" s="112">
        <v>4.0999999999999996</v>
      </c>
      <c r="D27" s="112">
        <v>14</v>
      </c>
      <c r="E27" s="112">
        <v>12.96</v>
      </c>
      <c r="F27" s="112">
        <v>4.59</v>
      </c>
      <c r="G27" s="112">
        <v>9.66</v>
      </c>
      <c r="H27" s="112">
        <v>1</v>
      </c>
      <c r="I27" s="112">
        <v>3.41</v>
      </c>
      <c r="J27" s="112">
        <v>0.21</v>
      </c>
      <c r="K27" s="112">
        <v>252.72</v>
      </c>
      <c r="L27" s="112">
        <v>24.97</v>
      </c>
      <c r="M27" s="112">
        <v>100.04</v>
      </c>
      <c r="N27" s="112">
        <v>2.7</v>
      </c>
      <c r="O27" s="112">
        <v>0.2</v>
      </c>
      <c r="P27" s="112">
        <v>0.3</v>
      </c>
      <c r="Q27" s="112">
        <v>4.66</v>
      </c>
    </row>
    <row r="28" spans="1:17" customFormat="1">
      <c r="A28" s="80">
        <v>45562.208333333336</v>
      </c>
      <c r="B28" s="112">
        <v>9.23</v>
      </c>
      <c r="C28" s="112">
        <v>4.12</v>
      </c>
      <c r="D28" s="112">
        <v>14</v>
      </c>
      <c r="E28" s="112">
        <v>12.64</v>
      </c>
      <c r="F28" s="112">
        <v>4.57</v>
      </c>
      <c r="G28" s="112">
        <v>9.69</v>
      </c>
      <c r="H28" s="112">
        <v>1</v>
      </c>
      <c r="I28" s="112">
        <v>3.37</v>
      </c>
      <c r="J28" s="112">
        <v>0.15</v>
      </c>
      <c r="K28" s="112">
        <v>256.26</v>
      </c>
      <c r="L28" s="112">
        <v>24.85</v>
      </c>
      <c r="M28" s="112">
        <v>100.32</v>
      </c>
      <c r="N28" s="112">
        <v>2.4</v>
      </c>
      <c r="O28" s="112">
        <v>0</v>
      </c>
      <c r="P28" s="112">
        <v>0.32</v>
      </c>
      <c r="Q28" s="112">
        <v>4.6500000000000004</v>
      </c>
    </row>
    <row r="29" spans="1:17" customFormat="1">
      <c r="A29" s="80">
        <v>45562.21875</v>
      </c>
      <c r="B29" s="112">
        <v>9.24</v>
      </c>
      <c r="C29" s="112">
        <v>4.0999999999999996</v>
      </c>
      <c r="D29" s="112">
        <v>14</v>
      </c>
      <c r="E29" s="112">
        <v>12.51</v>
      </c>
      <c r="F29" s="112">
        <v>4.8499999999999996</v>
      </c>
      <c r="G29" s="112">
        <v>10.42</v>
      </c>
      <c r="H29" s="112">
        <v>1.0900000000000001</v>
      </c>
      <c r="I29" s="112">
        <v>3.4</v>
      </c>
      <c r="J29" s="112">
        <v>0.13</v>
      </c>
      <c r="K29" s="112">
        <v>271.60000000000002</v>
      </c>
      <c r="L29" s="112">
        <v>24.78</v>
      </c>
      <c r="M29" s="112">
        <v>100.67</v>
      </c>
      <c r="N29" s="112">
        <v>2.4</v>
      </c>
      <c r="O29" s="112">
        <v>0</v>
      </c>
      <c r="P29" s="112">
        <v>0.33</v>
      </c>
      <c r="Q29" s="112">
        <v>4.6500000000000004</v>
      </c>
    </row>
    <row r="30" spans="1:17" customFormat="1">
      <c r="A30" s="80">
        <v>45562.229166666664</v>
      </c>
      <c r="B30" s="112">
        <v>9.2899999999999991</v>
      </c>
      <c r="C30" s="112">
        <v>4.08</v>
      </c>
      <c r="D30" s="112">
        <v>14.03</v>
      </c>
      <c r="E30" s="112">
        <v>12.21</v>
      </c>
      <c r="F30" s="112">
        <v>4.7699999999999996</v>
      </c>
      <c r="G30" s="112">
        <v>10.42</v>
      </c>
      <c r="H30" s="112">
        <v>1.0900000000000001</v>
      </c>
      <c r="I30" s="112">
        <v>3.5</v>
      </c>
      <c r="J30" s="112">
        <v>0.14000000000000001</v>
      </c>
      <c r="K30" s="112">
        <v>271.54000000000002</v>
      </c>
      <c r="L30" s="112">
        <v>24.79</v>
      </c>
      <c r="M30" s="112">
        <v>100.63</v>
      </c>
      <c r="N30" s="112">
        <v>2.2999999999999998</v>
      </c>
      <c r="O30" s="112">
        <v>0</v>
      </c>
      <c r="P30" s="112">
        <v>0.32</v>
      </c>
      <c r="Q30" s="112">
        <v>4.6500000000000004</v>
      </c>
    </row>
    <row r="31" spans="1:17" customFormat="1">
      <c r="A31" s="80">
        <v>45562.239583333336</v>
      </c>
      <c r="B31" s="112">
        <v>9.2799999999999994</v>
      </c>
      <c r="C31" s="112">
        <v>4.09</v>
      </c>
      <c r="D31" s="112">
        <v>14.03</v>
      </c>
      <c r="E31" s="112">
        <v>11.52</v>
      </c>
      <c r="F31" s="112">
        <v>4.8600000000000003</v>
      </c>
      <c r="G31" s="112">
        <v>10.42</v>
      </c>
      <c r="H31" s="112">
        <v>1.0900000000000001</v>
      </c>
      <c r="I31" s="112">
        <v>3.51</v>
      </c>
      <c r="J31" s="112">
        <v>0.09</v>
      </c>
      <c r="K31" s="112">
        <v>274.67</v>
      </c>
      <c r="L31" s="112">
        <v>24.78</v>
      </c>
      <c r="M31" s="112">
        <v>100.52</v>
      </c>
      <c r="N31" s="112">
        <v>3.1</v>
      </c>
      <c r="O31" s="112">
        <v>0</v>
      </c>
      <c r="P31" s="112">
        <v>0.32</v>
      </c>
      <c r="Q31" s="112">
        <v>4.6399999999999997</v>
      </c>
    </row>
    <row r="32" spans="1:17" customFormat="1">
      <c r="A32" s="80">
        <v>45562.25</v>
      </c>
      <c r="B32" s="112">
        <v>9.2799999999999994</v>
      </c>
      <c r="C32" s="112">
        <v>4.08</v>
      </c>
      <c r="D32" s="112">
        <v>14.02</v>
      </c>
      <c r="E32" s="112">
        <v>11.23</v>
      </c>
      <c r="F32" s="112">
        <v>4.8899999999999997</v>
      </c>
      <c r="G32" s="112">
        <v>10.6</v>
      </c>
      <c r="H32" s="112">
        <v>1.1100000000000001</v>
      </c>
      <c r="I32" s="112">
        <v>3.58</v>
      </c>
      <c r="J32" s="112">
        <v>0.15</v>
      </c>
      <c r="K32" s="112">
        <v>272.19</v>
      </c>
      <c r="L32" s="112">
        <v>24.82</v>
      </c>
      <c r="M32" s="112">
        <v>100.47</v>
      </c>
      <c r="N32" s="112">
        <v>5.3</v>
      </c>
      <c r="O32" s="112">
        <v>0</v>
      </c>
      <c r="P32" s="112">
        <v>0.32</v>
      </c>
      <c r="Q32" s="112">
        <v>4.6399999999999997</v>
      </c>
    </row>
    <row r="33" spans="1:17" customFormat="1">
      <c r="A33" s="80">
        <v>45562.260416666664</v>
      </c>
      <c r="B33" s="112">
        <v>9.26</v>
      </c>
      <c r="C33" s="112">
        <v>4.09</v>
      </c>
      <c r="D33" s="112">
        <v>14.01</v>
      </c>
      <c r="E33" s="112">
        <v>11.41</v>
      </c>
      <c r="F33" s="112">
        <v>5.29</v>
      </c>
      <c r="G33" s="112">
        <v>14.59</v>
      </c>
      <c r="H33" s="112">
        <v>1.45</v>
      </c>
      <c r="I33" s="112">
        <v>3.59</v>
      </c>
      <c r="J33" s="112">
        <v>0.05</v>
      </c>
      <c r="K33" s="112">
        <v>253.68</v>
      </c>
      <c r="L33" s="112">
        <v>24.91</v>
      </c>
      <c r="M33" s="112">
        <v>100.48</v>
      </c>
      <c r="N33" s="112">
        <v>9.3000000000000007</v>
      </c>
      <c r="O33" s="112">
        <v>0</v>
      </c>
      <c r="P33" s="112">
        <v>0.31</v>
      </c>
      <c r="Q33" s="112">
        <v>4.66</v>
      </c>
    </row>
    <row r="34" spans="1:17" customFormat="1">
      <c r="A34" s="80">
        <v>45562.270833333336</v>
      </c>
      <c r="B34" s="112">
        <v>9.2799999999999994</v>
      </c>
      <c r="C34" s="112">
        <v>4.05</v>
      </c>
      <c r="D34" s="112">
        <v>14.01</v>
      </c>
      <c r="E34" s="112">
        <v>11.51</v>
      </c>
      <c r="F34" s="112">
        <v>5.0199999999999996</v>
      </c>
      <c r="G34" s="112">
        <v>14.59</v>
      </c>
      <c r="H34" s="112">
        <v>1.45</v>
      </c>
      <c r="I34" s="112">
        <v>3.57</v>
      </c>
      <c r="J34" s="112">
        <v>0.02</v>
      </c>
      <c r="K34" s="112">
        <v>358.19</v>
      </c>
      <c r="L34" s="112">
        <v>25.07</v>
      </c>
      <c r="M34" s="112">
        <v>100.57</v>
      </c>
      <c r="N34" s="112">
        <v>14.6</v>
      </c>
      <c r="O34" s="112">
        <v>0</v>
      </c>
      <c r="P34" s="112">
        <v>0.31</v>
      </c>
      <c r="Q34" s="112">
        <v>4.6500000000000004</v>
      </c>
    </row>
    <row r="35" spans="1:17" customFormat="1">
      <c r="A35" s="80">
        <v>45562.28125</v>
      </c>
      <c r="B35" s="112">
        <v>9.27</v>
      </c>
      <c r="C35" s="112">
        <v>4.0599999999999996</v>
      </c>
      <c r="D35" s="112">
        <v>14</v>
      </c>
      <c r="E35" s="112">
        <v>11.18</v>
      </c>
      <c r="F35" s="112">
        <v>4.7300000000000004</v>
      </c>
      <c r="G35" s="112">
        <v>14.59</v>
      </c>
      <c r="H35" s="112">
        <v>1.45</v>
      </c>
      <c r="I35" s="112">
        <v>3.57</v>
      </c>
      <c r="J35" s="112">
        <v>0.12</v>
      </c>
      <c r="K35" s="112">
        <v>263.87</v>
      </c>
      <c r="L35" s="112">
        <v>25.23</v>
      </c>
      <c r="M35" s="112">
        <v>100.58</v>
      </c>
      <c r="N35" s="112">
        <v>26.4</v>
      </c>
      <c r="O35" s="112">
        <v>0</v>
      </c>
      <c r="P35" s="112">
        <v>0.32</v>
      </c>
      <c r="Q35" s="112">
        <v>4.6500000000000004</v>
      </c>
    </row>
    <row r="36" spans="1:17" customFormat="1">
      <c r="A36" s="80">
        <v>45562.291666666664</v>
      </c>
      <c r="B36" s="112">
        <v>9.2899999999999991</v>
      </c>
      <c r="C36" s="112">
        <v>4.0599999999999996</v>
      </c>
      <c r="D36" s="112">
        <v>14.02</v>
      </c>
      <c r="E36" s="112">
        <v>11.07</v>
      </c>
      <c r="F36" s="112">
        <v>5.18</v>
      </c>
      <c r="G36" s="112">
        <v>14.42</v>
      </c>
      <c r="H36" s="112">
        <v>1.45</v>
      </c>
      <c r="I36" s="112">
        <v>3.62</v>
      </c>
      <c r="J36" s="112">
        <v>0.1</v>
      </c>
      <c r="K36" s="112">
        <v>261.44</v>
      </c>
      <c r="L36" s="112">
        <v>25.49</v>
      </c>
      <c r="M36" s="112">
        <v>100.58</v>
      </c>
      <c r="N36" s="112">
        <v>49.3</v>
      </c>
      <c r="O36" s="112">
        <v>0</v>
      </c>
      <c r="P36" s="112">
        <v>0.33</v>
      </c>
      <c r="Q36" s="112">
        <v>4.6399999999999997</v>
      </c>
    </row>
    <row r="37" spans="1:17" customFormat="1">
      <c r="A37" s="80">
        <v>45562.302083333336</v>
      </c>
      <c r="B37" s="112">
        <v>9.2899999999999991</v>
      </c>
      <c r="C37" s="112">
        <v>4.0599999999999996</v>
      </c>
      <c r="D37" s="112">
        <v>14.03</v>
      </c>
      <c r="E37" s="112">
        <v>10.9</v>
      </c>
      <c r="F37" s="112">
        <v>5.56</v>
      </c>
      <c r="G37" s="112">
        <v>10.81</v>
      </c>
      <c r="H37" s="112">
        <v>1.44</v>
      </c>
      <c r="I37" s="112">
        <v>3.64</v>
      </c>
      <c r="J37" s="112">
        <v>0.13</v>
      </c>
      <c r="K37" s="112">
        <v>282.8</v>
      </c>
      <c r="L37" s="112">
        <v>25.99</v>
      </c>
      <c r="M37" s="112">
        <v>100.17</v>
      </c>
      <c r="N37" s="112">
        <v>70.2</v>
      </c>
      <c r="O37" s="112">
        <v>0</v>
      </c>
      <c r="P37" s="112">
        <v>0.32</v>
      </c>
      <c r="Q37" s="112">
        <v>4.6500000000000004</v>
      </c>
    </row>
    <row r="38" spans="1:17" customFormat="1">
      <c r="A38" s="80">
        <v>45562.3125</v>
      </c>
      <c r="B38" s="112">
        <v>9.2799999999999994</v>
      </c>
      <c r="C38" s="112">
        <v>4.08</v>
      </c>
      <c r="D38" s="112">
        <v>14.02</v>
      </c>
      <c r="E38" s="112">
        <v>11.39</v>
      </c>
      <c r="F38" s="112">
        <v>5.31</v>
      </c>
      <c r="G38" s="112">
        <v>10.81</v>
      </c>
      <c r="H38" s="112">
        <v>1.44</v>
      </c>
      <c r="I38" s="112">
        <v>3.61</v>
      </c>
      <c r="J38" s="112">
        <v>0.14000000000000001</v>
      </c>
      <c r="K38" s="112">
        <v>280.67</v>
      </c>
      <c r="L38" s="112">
        <v>26.47</v>
      </c>
      <c r="M38" s="112">
        <v>97.19</v>
      </c>
      <c r="N38" s="112">
        <v>82.8</v>
      </c>
      <c r="O38" s="112">
        <v>0</v>
      </c>
      <c r="P38" s="112">
        <v>0.32</v>
      </c>
      <c r="Q38" s="112">
        <v>4.6500000000000004</v>
      </c>
    </row>
    <row r="39" spans="1:17" customFormat="1">
      <c r="A39" s="80">
        <v>45562.322916666664</v>
      </c>
      <c r="B39" s="112">
        <v>9.24</v>
      </c>
      <c r="C39" s="112">
        <v>4.1100000000000003</v>
      </c>
      <c r="D39" s="112">
        <v>14.01</v>
      </c>
      <c r="E39" s="112">
        <v>10.98</v>
      </c>
      <c r="F39" s="112">
        <v>5.6</v>
      </c>
      <c r="G39" s="112">
        <v>10.81</v>
      </c>
      <c r="H39" s="112">
        <v>1.44</v>
      </c>
      <c r="I39" s="112">
        <v>3.68</v>
      </c>
      <c r="J39" s="112">
        <v>0.21</v>
      </c>
      <c r="K39" s="112">
        <v>263.52</v>
      </c>
      <c r="L39" s="112">
        <v>26.91</v>
      </c>
      <c r="M39" s="112">
        <v>93.96</v>
      </c>
      <c r="N39" s="112">
        <v>106.7</v>
      </c>
      <c r="O39" s="112">
        <v>0</v>
      </c>
      <c r="P39" s="112">
        <v>0.33</v>
      </c>
      <c r="Q39" s="112">
        <v>4.66</v>
      </c>
    </row>
    <row r="40" spans="1:17" customFormat="1">
      <c r="A40" s="80">
        <v>45562.333333333336</v>
      </c>
      <c r="B40" s="112">
        <v>9.25</v>
      </c>
      <c r="C40" s="112">
        <v>4.08</v>
      </c>
      <c r="D40" s="112">
        <v>14</v>
      </c>
      <c r="E40" s="112">
        <v>10.69</v>
      </c>
      <c r="F40" s="112">
        <v>5.46</v>
      </c>
      <c r="G40" s="112">
        <v>10.69</v>
      </c>
      <c r="H40" s="112">
        <v>1.45</v>
      </c>
      <c r="I40" s="112">
        <v>3.72</v>
      </c>
      <c r="J40" s="112">
        <v>0.16</v>
      </c>
      <c r="K40" s="112">
        <v>257.61</v>
      </c>
      <c r="L40" s="112">
        <v>27.04</v>
      </c>
      <c r="M40" s="112">
        <v>92.33</v>
      </c>
      <c r="N40" s="112">
        <v>100</v>
      </c>
      <c r="O40" s="112">
        <v>0</v>
      </c>
      <c r="P40" s="112">
        <v>0.33</v>
      </c>
      <c r="Q40" s="112">
        <v>4.67</v>
      </c>
    </row>
    <row r="41" spans="1:17" customFormat="1">
      <c r="A41" s="80">
        <v>45562.34375</v>
      </c>
      <c r="B41" s="112">
        <v>9.27</v>
      </c>
      <c r="C41" s="112">
        <v>4.0599999999999996</v>
      </c>
      <c r="D41" s="112">
        <v>14.01</v>
      </c>
      <c r="E41" s="112">
        <v>10.68</v>
      </c>
      <c r="F41" s="112">
        <v>5.38</v>
      </c>
      <c r="G41" s="112">
        <v>8.06</v>
      </c>
      <c r="H41" s="112">
        <v>1.48</v>
      </c>
      <c r="I41" s="112">
        <v>3.69</v>
      </c>
      <c r="J41" s="112">
        <v>0.12</v>
      </c>
      <c r="K41" s="112">
        <v>235.23</v>
      </c>
      <c r="L41" s="112">
        <v>27.69</v>
      </c>
      <c r="M41" s="112">
        <v>90.16</v>
      </c>
      <c r="N41" s="112">
        <v>201.8</v>
      </c>
      <c r="O41" s="112">
        <v>0</v>
      </c>
      <c r="P41" s="112">
        <v>0.33</v>
      </c>
      <c r="Q41" s="112">
        <v>4.6500000000000004</v>
      </c>
    </row>
    <row r="42" spans="1:17" customFormat="1">
      <c r="A42" s="80">
        <v>45562.354166666664</v>
      </c>
      <c r="B42" s="112">
        <v>9.2899999999999991</v>
      </c>
      <c r="C42" s="112">
        <v>4.0599999999999996</v>
      </c>
      <c r="D42" s="112">
        <v>14.02</v>
      </c>
      <c r="E42" s="112">
        <v>10.99</v>
      </c>
      <c r="F42" s="112">
        <v>5.41</v>
      </c>
      <c r="G42" s="112">
        <v>8.06</v>
      </c>
      <c r="H42" s="112">
        <v>1.48</v>
      </c>
      <c r="I42" s="112">
        <v>3.71</v>
      </c>
      <c r="J42" s="112">
        <v>0.31</v>
      </c>
      <c r="K42" s="112">
        <v>255.55</v>
      </c>
      <c r="L42" s="112">
        <v>28.53</v>
      </c>
      <c r="M42" s="112">
        <v>85.34</v>
      </c>
      <c r="N42" s="112">
        <v>265.89999999999998</v>
      </c>
      <c r="O42" s="112">
        <v>0</v>
      </c>
      <c r="P42" s="112">
        <v>0.33</v>
      </c>
      <c r="Q42" s="112">
        <v>4.66</v>
      </c>
    </row>
    <row r="43" spans="1:17" customFormat="1">
      <c r="A43" s="80">
        <v>45562.364583333336</v>
      </c>
      <c r="B43" s="112">
        <v>9.3000000000000007</v>
      </c>
      <c r="C43" s="112">
        <v>4.07</v>
      </c>
      <c r="D43" s="112">
        <v>14.03</v>
      </c>
      <c r="E43" s="112">
        <v>10.82</v>
      </c>
      <c r="F43" s="112">
        <v>5.23</v>
      </c>
      <c r="G43" s="112">
        <v>8.06</v>
      </c>
      <c r="H43" s="112">
        <v>1.48</v>
      </c>
      <c r="I43" s="112">
        <v>3.73</v>
      </c>
      <c r="J43" s="112">
        <v>0.31</v>
      </c>
      <c r="K43" s="112">
        <v>258.83999999999997</v>
      </c>
      <c r="L43" s="112">
        <v>28.76</v>
      </c>
      <c r="M43" s="112">
        <v>84.49</v>
      </c>
      <c r="N43" s="112">
        <v>145.80000000000001</v>
      </c>
      <c r="O43" s="112">
        <v>0</v>
      </c>
      <c r="P43" s="112">
        <v>0.34</v>
      </c>
      <c r="Q43" s="112">
        <v>4.6500000000000004</v>
      </c>
    </row>
    <row r="44" spans="1:17" customFormat="1">
      <c r="A44" s="80">
        <v>45562.375</v>
      </c>
      <c r="B44" s="112">
        <v>9.35</v>
      </c>
      <c r="C44" s="112">
        <v>4.07</v>
      </c>
      <c r="D44" s="112">
        <v>14.07</v>
      </c>
      <c r="E44" s="112">
        <v>10.89</v>
      </c>
      <c r="F44" s="112">
        <v>5.44</v>
      </c>
      <c r="G44" s="112">
        <v>8.25</v>
      </c>
      <c r="H44" s="112">
        <v>1.48</v>
      </c>
      <c r="I44" s="112">
        <v>3.79</v>
      </c>
      <c r="J44" s="112">
        <v>0.47</v>
      </c>
      <c r="K44" s="112">
        <v>261.22000000000003</v>
      </c>
      <c r="L44" s="112">
        <v>28.52</v>
      </c>
      <c r="M44" s="112">
        <v>84.31</v>
      </c>
      <c r="N44" s="112">
        <v>157</v>
      </c>
      <c r="O44" s="112">
        <v>0</v>
      </c>
      <c r="P44" s="112">
        <v>0.35</v>
      </c>
      <c r="Q44" s="112">
        <v>4.6399999999999997</v>
      </c>
    </row>
    <row r="45" spans="1:17" customFormat="1">
      <c r="A45" s="80">
        <v>45562.385416666664</v>
      </c>
      <c r="B45" s="112">
        <v>9.39</v>
      </c>
      <c r="C45" s="112">
        <v>4.07</v>
      </c>
      <c r="D45" s="112">
        <v>14.11</v>
      </c>
      <c r="E45" s="112">
        <v>11.31</v>
      </c>
      <c r="F45" s="112">
        <v>5.37</v>
      </c>
      <c r="G45" s="112">
        <v>12.21</v>
      </c>
      <c r="H45" s="112">
        <v>1.49</v>
      </c>
      <c r="I45" s="112">
        <v>3.81</v>
      </c>
      <c r="J45" s="112">
        <v>0.46</v>
      </c>
      <c r="K45" s="112">
        <v>262.7</v>
      </c>
      <c r="L45" s="112">
        <v>28.31</v>
      </c>
      <c r="M45" s="112">
        <v>85.3</v>
      </c>
      <c r="N45" s="112">
        <v>112.6</v>
      </c>
      <c r="O45" s="112">
        <v>0</v>
      </c>
      <c r="P45" s="112">
        <v>0.35</v>
      </c>
      <c r="Q45" s="112">
        <v>4.6399999999999997</v>
      </c>
    </row>
    <row r="46" spans="1:17" customFormat="1">
      <c r="A46" s="80">
        <v>45562.395833333336</v>
      </c>
      <c r="B46" s="112">
        <v>9.36</v>
      </c>
      <c r="C46" s="112">
        <v>4.07</v>
      </c>
      <c r="D46" s="112">
        <v>14.08</v>
      </c>
      <c r="E46" s="112">
        <v>10.57</v>
      </c>
      <c r="F46" s="112">
        <v>7.4</v>
      </c>
      <c r="G46" s="112">
        <v>12.21</v>
      </c>
      <c r="H46" s="112">
        <v>1.49</v>
      </c>
      <c r="I46" s="112">
        <v>3.81</v>
      </c>
      <c r="J46" s="112">
        <v>0.27</v>
      </c>
      <c r="K46" s="112">
        <v>253.63</v>
      </c>
      <c r="L46" s="112">
        <v>28.43</v>
      </c>
      <c r="M46" s="112">
        <v>85.4</v>
      </c>
      <c r="N46" s="112">
        <v>88.2</v>
      </c>
      <c r="O46" s="112">
        <v>0</v>
      </c>
      <c r="P46" s="112">
        <v>0.34</v>
      </c>
      <c r="Q46" s="112">
        <v>4.6500000000000004</v>
      </c>
    </row>
    <row r="47" spans="1:17" customFormat="1">
      <c r="A47" s="80">
        <v>45562.40625</v>
      </c>
      <c r="B47" s="112">
        <v>9.3800000000000008</v>
      </c>
      <c r="C47" s="112">
        <v>4.09</v>
      </c>
      <c r="D47" s="112">
        <v>14.11</v>
      </c>
      <c r="E47" s="112">
        <v>10.62</v>
      </c>
      <c r="F47" s="112">
        <v>6.63</v>
      </c>
      <c r="G47" s="112">
        <v>12.21</v>
      </c>
      <c r="H47" s="112">
        <v>1.49</v>
      </c>
      <c r="I47" s="112">
        <v>3.84</v>
      </c>
      <c r="J47" s="112">
        <v>0.32</v>
      </c>
      <c r="K47" s="112">
        <v>255.07</v>
      </c>
      <c r="L47" s="112">
        <v>28.65</v>
      </c>
      <c r="M47" s="112">
        <v>85.01</v>
      </c>
      <c r="N47" s="112">
        <v>176.8</v>
      </c>
      <c r="O47" s="112">
        <v>0</v>
      </c>
      <c r="P47" s="112">
        <v>0.32</v>
      </c>
      <c r="Q47" s="112">
        <v>4.66</v>
      </c>
    </row>
    <row r="48" spans="1:17" customFormat="1">
      <c r="A48" s="80">
        <v>45562.416666666664</v>
      </c>
      <c r="B48" s="112">
        <v>9.35</v>
      </c>
      <c r="C48" s="112">
        <v>4.0599999999999996</v>
      </c>
      <c r="D48" s="112">
        <v>14.07</v>
      </c>
      <c r="E48" s="112">
        <v>10.74</v>
      </c>
      <c r="F48" s="112">
        <v>7.23</v>
      </c>
      <c r="G48" s="112">
        <v>12.05</v>
      </c>
      <c r="H48" s="112">
        <v>1.6</v>
      </c>
      <c r="I48" s="112">
        <v>3.7</v>
      </c>
      <c r="J48" s="112">
        <v>0.34</v>
      </c>
      <c r="K48" s="112">
        <v>258.8</v>
      </c>
      <c r="L48" s="112">
        <v>29.57</v>
      </c>
      <c r="M48" s="112">
        <v>81.59</v>
      </c>
      <c r="N48" s="112">
        <v>173.4</v>
      </c>
      <c r="O48" s="112">
        <v>0</v>
      </c>
      <c r="P48" s="112">
        <v>0.3</v>
      </c>
      <c r="Q48" s="112">
        <v>4.67</v>
      </c>
    </row>
    <row r="49" spans="1:17" customFormat="1">
      <c r="A49" s="80">
        <v>45562.427083333336</v>
      </c>
      <c r="B49" s="112">
        <v>9.3000000000000007</v>
      </c>
      <c r="C49" s="112">
        <v>4.09</v>
      </c>
      <c r="D49" s="112">
        <v>14.04</v>
      </c>
      <c r="E49" s="112">
        <v>8.8000000000000007</v>
      </c>
      <c r="F49" s="112">
        <v>6.75</v>
      </c>
      <c r="G49" s="112">
        <v>9.3699999999999992</v>
      </c>
      <c r="H49" s="112">
        <v>3.32</v>
      </c>
      <c r="I49" s="112">
        <v>3.49</v>
      </c>
      <c r="J49" s="112">
        <v>0.56999999999999995</v>
      </c>
      <c r="K49" s="112">
        <v>258.87</v>
      </c>
      <c r="L49" s="112">
        <v>29.8</v>
      </c>
      <c r="M49" s="112">
        <v>78.63</v>
      </c>
      <c r="N49" s="112">
        <v>131.69999999999999</v>
      </c>
      <c r="O49" s="112">
        <v>0</v>
      </c>
      <c r="P49" s="112">
        <v>0.3</v>
      </c>
      <c r="Q49" s="112">
        <v>4.67</v>
      </c>
    </row>
    <row r="50" spans="1:17" customFormat="1">
      <c r="A50" s="80">
        <v>45562.4375</v>
      </c>
      <c r="B50" s="112">
        <v>9.2899999999999991</v>
      </c>
      <c r="C50" s="112">
        <v>4.09</v>
      </c>
      <c r="D50" s="112">
        <v>14.04</v>
      </c>
      <c r="E50" s="112">
        <v>10.84</v>
      </c>
      <c r="F50" s="112">
        <v>7.04</v>
      </c>
      <c r="G50" s="112">
        <v>9.3699999999999992</v>
      </c>
      <c r="H50" s="112">
        <v>3.32</v>
      </c>
      <c r="I50" s="112">
        <v>3.57</v>
      </c>
      <c r="J50" s="112">
        <v>0.66</v>
      </c>
      <c r="K50" s="112">
        <v>262.83999999999997</v>
      </c>
      <c r="L50" s="112">
        <v>28.72</v>
      </c>
      <c r="M50" s="112">
        <v>81.99</v>
      </c>
      <c r="N50" s="112">
        <v>98.6</v>
      </c>
      <c r="O50" s="112">
        <v>0</v>
      </c>
      <c r="P50" s="112">
        <v>0.28999999999999998</v>
      </c>
      <c r="Q50" s="112">
        <v>4.68</v>
      </c>
    </row>
    <row r="51" spans="1:17" customFormat="1">
      <c r="A51" s="80">
        <v>45562.447916666664</v>
      </c>
      <c r="B51" s="112">
        <v>9.2799999999999994</v>
      </c>
      <c r="C51" s="112">
        <v>4.0999999999999996</v>
      </c>
      <c r="D51" s="112">
        <v>14.03</v>
      </c>
      <c r="E51" s="112">
        <v>11.1</v>
      </c>
      <c r="F51" s="112">
        <v>6.16</v>
      </c>
      <c r="G51" s="112">
        <v>9.3699999999999992</v>
      </c>
      <c r="H51" s="112">
        <v>3.32</v>
      </c>
      <c r="I51" s="112">
        <v>3.58</v>
      </c>
      <c r="J51" s="112">
        <v>0.25</v>
      </c>
      <c r="K51" s="112">
        <v>237.68</v>
      </c>
      <c r="L51" s="112">
        <v>27.7</v>
      </c>
      <c r="M51" s="112">
        <v>89.09</v>
      </c>
      <c r="N51" s="112">
        <v>86.9</v>
      </c>
      <c r="O51" s="112">
        <v>0.6</v>
      </c>
      <c r="P51" s="112">
        <v>0.28999999999999998</v>
      </c>
      <c r="Q51" s="112">
        <v>4.66</v>
      </c>
    </row>
    <row r="52" spans="1:17" customFormat="1">
      <c r="A52" s="80">
        <v>45562.458333333336</v>
      </c>
      <c r="B52" s="112">
        <v>9.2899999999999991</v>
      </c>
      <c r="C52" s="112">
        <v>4.07</v>
      </c>
      <c r="D52" s="112">
        <v>14.03</v>
      </c>
      <c r="E52" s="112">
        <v>11.2</v>
      </c>
      <c r="F52" s="112">
        <v>9.77</v>
      </c>
      <c r="G52" s="112">
        <v>9.82</v>
      </c>
      <c r="H52" s="112">
        <v>3.4</v>
      </c>
      <c r="I52" s="112">
        <v>3.37</v>
      </c>
      <c r="J52" s="112">
        <v>0.39</v>
      </c>
      <c r="K52" s="112">
        <v>257.26</v>
      </c>
      <c r="L52" s="112">
        <v>28.45</v>
      </c>
      <c r="M52" s="112">
        <v>90.92</v>
      </c>
      <c r="N52" s="112">
        <v>592.9</v>
      </c>
      <c r="O52" s="112">
        <v>0</v>
      </c>
      <c r="P52" s="112">
        <v>0.31</v>
      </c>
      <c r="Q52" s="112">
        <v>4.66</v>
      </c>
    </row>
    <row r="53" spans="1:17" customFormat="1">
      <c r="A53" s="80">
        <v>45562.46875</v>
      </c>
      <c r="B53" s="112">
        <v>9.2899999999999991</v>
      </c>
      <c r="C53" s="112">
        <v>4.04</v>
      </c>
      <c r="D53" s="112">
        <v>14.01</v>
      </c>
      <c r="E53" s="112">
        <v>11.09</v>
      </c>
      <c r="F53" s="112">
        <v>7.73</v>
      </c>
      <c r="G53" s="112">
        <v>19.420000000000002</v>
      </c>
      <c r="H53" s="112">
        <v>4.68</v>
      </c>
      <c r="I53" s="112">
        <v>3.35</v>
      </c>
      <c r="J53" s="112">
        <v>0.7</v>
      </c>
      <c r="K53" s="112">
        <v>263.86</v>
      </c>
      <c r="L53" s="112">
        <v>29.73</v>
      </c>
      <c r="M53" s="112">
        <v>81.61</v>
      </c>
      <c r="N53" s="112">
        <v>598.29999999999995</v>
      </c>
      <c r="O53" s="112">
        <v>0</v>
      </c>
      <c r="P53" s="112">
        <v>0.3</v>
      </c>
      <c r="Q53" s="112">
        <v>4.66</v>
      </c>
    </row>
    <row r="54" spans="1:17" customFormat="1">
      <c r="A54" s="80">
        <v>45562.479166666664</v>
      </c>
      <c r="B54" s="112">
        <v>9.3000000000000007</v>
      </c>
      <c r="C54" s="112">
        <v>4.04</v>
      </c>
      <c r="D54" s="112">
        <v>14.02</v>
      </c>
      <c r="E54" s="112">
        <v>11.88</v>
      </c>
      <c r="F54" s="112">
        <v>7.56</v>
      </c>
      <c r="G54" s="112">
        <v>19.420000000000002</v>
      </c>
      <c r="H54" s="112">
        <v>4.68</v>
      </c>
      <c r="I54" s="112">
        <v>3.24</v>
      </c>
      <c r="J54" s="112">
        <v>0.4</v>
      </c>
      <c r="K54" s="112">
        <v>251.53</v>
      </c>
      <c r="L54" s="112">
        <v>30.8</v>
      </c>
      <c r="M54" s="112">
        <v>78.150000000000006</v>
      </c>
      <c r="N54" s="112">
        <v>509.5</v>
      </c>
      <c r="O54" s="112">
        <v>0</v>
      </c>
      <c r="P54" s="112">
        <v>0.3</v>
      </c>
      <c r="Q54" s="112">
        <v>4.66</v>
      </c>
    </row>
    <row r="55" spans="1:17" customFormat="1">
      <c r="A55" s="80">
        <v>45562.489583333336</v>
      </c>
      <c r="B55" s="112">
        <v>9.33</v>
      </c>
      <c r="C55" s="112">
        <v>4</v>
      </c>
      <c r="D55" s="112">
        <v>14.02</v>
      </c>
      <c r="E55" s="112">
        <v>11.39</v>
      </c>
      <c r="F55" s="112">
        <v>7.37</v>
      </c>
      <c r="G55" s="112">
        <v>19.420000000000002</v>
      </c>
      <c r="H55" s="112">
        <v>4.68</v>
      </c>
      <c r="I55" s="112">
        <v>3.24</v>
      </c>
      <c r="J55" s="112">
        <v>0.57999999999999996</v>
      </c>
      <c r="K55" s="112">
        <v>262.88</v>
      </c>
      <c r="L55" s="112">
        <v>30.22</v>
      </c>
      <c r="M55" s="112">
        <v>78.25</v>
      </c>
      <c r="N55" s="112">
        <v>388.2</v>
      </c>
      <c r="O55" s="112">
        <v>0</v>
      </c>
      <c r="P55" s="112">
        <v>0.28999999999999998</v>
      </c>
      <c r="Q55" s="112">
        <v>4.66</v>
      </c>
    </row>
    <row r="56" spans="1:17" customFormat="1">
      <c r="A56" s="80">
        <v>45562.5</v>
      </c>
      <c r="B56" s="112">
        <v>9.31</v>
      </c>
      <c r="C56" s="112">
        <v>4.05</v>
      </c>
      <c r="D56" s="112">
        <v>14.03</v>
      </c>
      <c r="E56" s="112">
        <v>11.96</v>
      </c>
      <c r="F56" s="112">
        <v>7.75</v>
      </c>
      <c r="G56" s="112">
        <v>19.46</v>
      </c>
      <c r="H56" s="112">
        <v>4.6900000000000004</v>
      </c>
      <c r="I56" s="112">
        <v>3.22</v>
      </c>
      <c r="J56" s="112">
        <v>0.47</v>
      </c>
      <c r="K56" s="112">
        <v>249.53</v>
      </c>
      <c r="L56" s="112">
        <v>31.63</v>
      </c>
      <c r="M56" s="112">
        <v>74.040000000000006</v>
      </c>
      <c r="N56" s="112">
        <v>804.7</v>
      </c>
      <c r="O56" s="112">
        <v>0</v>
      </c>
      <c r="P56" s="112">
        <v>0.28999999999999998</v>
      </c>
      <c r="Q56" s="112">
        <v>4.66</v>
      </c>
    </row>
    <row r="57" spans="1:17" customFormat="1">
      <c r="A57" s="80">
        <v>45562.510416666664</v>
      </c>
      <c r="B57" s="112">
        <v>9.3000000000000007</v>
      </c>
      <c r="C57" s="112">
        <v>4.0599999999999996</v>
      </c>
      <c r="D57" s="112">
        <v>14.03</v>
      </c>
      <c r="E57" s="112">
        <v>12.02</v>
      </c>
      <c r="F57" s="112">
        <v>7.17</v>
      </c>
      <c r="G57" s="112">
        <v>20.48</v>
      </c>
      <c r="H57" s="112">
        <v>4.8499999999999996</v>
      </c>
      <c r="I57" s="112">
        <v>3.19</v>
      </c>
      <c r="J57" s="112">
        <v>0.42</v>
      </c>
      <c r="K57" s="112">
        <v>255.18</v>
      </c>
      <c r="L57" s="112">
        <v>31.04</v>
      </c>
      <c r="M57" s="112">
        <v>74.45</v>
      </c>
      <c r="N57" s="112">
        <v>196.3</v>
      </c>
      <c r="O57" s="112">
        <v>0</v>
      </c>
      <c r="P57" s="112">
        <v>0.3</v>
      </c>
      <c r="Q57" s="112">
        <v>4.66</v>
      </c>
    </row>
    <row r="58" spans="1:17" customFormat="1">
      <c r="A58" s="80">
        <v>45562.520833333336</v>
      </c>
      <c r="B58" s="112">
        <v>9.31</v>
      </c>
      <c r="C58" s="112">
        <v>4.0599999999999996</v>
      </c>
      <c r="D58" s="112">
        <v>14.04</v>
      </c>
      <c r="E58" s="112">
        <v>12.1</v>
      </c>
      <c r="F58" s="112">
        <v>7.35</v>
      </c>
      <c r="G58" s="112">
        <v>20.48</v>
      </c>
      <c r="H58" s="112">
        <v>4.8499999999999996</v>
      </c>
      <c r="I58" s="112">
        <v>3.26</v>
      </c>
      <c r="J58" s="112">
        <v>0.61</v>
      </c>
      <c r="K58" s="112">
        <v>263.86</v>
      </c>
      <c r="L58" s="112">
        <v>30.43</v>
      </c>
      <c r="M58" s="112">
        <v>77.33</v>
      </c>
      <c r="N58" s="112">
        <v>488.7</v>
      </c>
      <c r="O58" s="112">
        <v>0</v>
      </c>
      <c r="P58" s="112">
        <v>0.28000000000000003</v>
      </c>
      <c r="Q58" s="112">
        <v>4.66</v>
      </c>
    </row>
    <row r="59" spans="1:17" customFormat="1">
      <c r="A59" s="80">
        <v>45562.53125</v>
      </c>
      <c r="B59" s="112">
        <v>9.3000000000000007</v>
      </c>
      <c r="C59" s="112">
        <v>4.04</v>
      </c>
      <c r="D59" s="112">
        <v>14.02</v>
      </c>
      <c r="E59" s="112">
        <v>11.86</v>
      </c>
      <c r="F59" s="112">
        <v>7.51</v>
      </c>
      <c r="G59" s="112">
        <v>20.48</v>
      </c>
      <c r="H59" s="112">
        <v>4.8499999999999996</v>
      </c>
      <c r="I59" s="112">
        <v>3.35</v>
      </c>
      <c r="J59" s="112">
        <v>0.45</v>
      </c>
      <c r="K59" s="112">
        <v>250.04</v>
      </c>
      <c r="L59" s="112">
        <v>31.23</v>
      </c>
      <c r="M59" s="112">
        <v>74.52</v>
      </c>
      <c r="N59" s="112">
        <v>388.6</v>
      </c>
      <c r="O59" s="112">
        <v>0</v>
      </c>
      <c r="P59" s="112">
        <v>0.28999999999999998</v>
      </c>
      <c r="Q59" s="112">
        <v>4.6500000000000004</v>
      </c>
    </row>
    <row r="60" spans="1:17" customFormat="1">
      <c r="A60" s="80">
        <v>45562.541666666664</v>
      </c>
      <c r="B60" s="112">
        <v>9.3000000000000007</v>
      </c>
      <c r="C60" s="112">
        <v>4.05</v>
      </c>
      <c r="D60" s="112">
        <v>14.02</v>
      </c>
      <c r="E60" s="112">
        <v>11.76</v>
      </c>
      <c r="F60" s="112">
        <v>8.17</v>
      </c>
      <c r="G60" s="112">
        <v>20.170000000000002</v>
      </c>
      <c r="H60" s="112">
        <v>4.84</v>
      </c>
      <c r="I60" s="112">
        <v>3.26</v>
      </c>
      <c r="J60" s="112">
        <v>0.31</v>
      </c>
      <c r="K60" s="112">
        <v>232.22</v>
      </c>
      <c r="L60" s="112">
        <v>31.83</v>
      </c>
      <c r="M60" s="112">
        <v>70.540000000000006</v>
      </c>
      <c r="N60" s="112">
        <v>636</v>
      </c>
      <c r="O60" s="112">
        <v>0</v>
      </c>
      <c r="P60" s="112">
        <v>0.28999999999999998</v>
      </c>
      <c r="Q60" s="112">
        <v>4.67</v>
      </c>
    </row>
    <row r="61" spans="1:17" customFormat="1">
      <c r="A61" s="80">
        <v>45562.552083333336</v>
      </c>
      <c r="B61" s="112">
        <v>9.2799999999999994</v>
      </c>
      <c r="C61" s="112">
        <v>4.07</v>
      </c>
      <c r="D61" s="112">
        <v>14.02</v>
      </c>
      <c r="E61" s="112">
        <v>12.03</v>
      </c>
      <c r="F61" s="112">
        <v>8.65</v>
      </c>
      <c r="G61" s="112">
        <v>14.89</v>
      </c>
      <c r="H61" s="112">
        <v>4.82</v>
      </c>
      <c r="I61" s="112">
        <v>3.24</v>
      </c>
      <c r="J61" s="112">
        <v>0.56999999999999995</v>
      </c>
      <c r="K61" s="112">
        <v>260.52999999999997</v>
      </c>
      <c r="L61" s="112">
        <v>31.48</v>
      </c>
      <c r="M61" s="112">
        <v>71.97</v>
      </c>
      <c r="N61" s="112">
        <v>321.89999999999998</v>
      </c>
      <c r="O61" s="112">
        <v>0</v>
      </c>
      <c r="P61" s="112">
        <v>0.28999999999999998</v>
      </c>
      <c r="Q61" s="112">
        <v>4.66</v>
      </c>
    </row>
    <row r="62" spans="1:17" customFormat="1">
      <c r="A62" s="80">
        <v>45562.5625</v>
      </c>
      <c r="B62" s="112">
        <v>9.27</v>
      </c>
      <c r="C62" s="112">
        <v>4.08</v>
      </c>
      <c r="D62" s="112">
        <v>14.01</v>
      </c>
      <c r="E62" s="112">
        <v>12.48</v>
      </c>
      <c r="F62" s="112">
        <v>8.3800000000000008</v>
      </c>
      <c r="G62" s="112">
        <v>14.89</v>
      </c>
      <c r="H62" s="112">
        <v>4.82</v>
      </c>
      <c r="I62" s="112">
        <v>3.18</v>
      </c>
      <c r="J62" s="112">
        <v>0.41</v>
      </c>
      <c r="K62" s="112">
        <v>250.58</v>
      </c>
      <c r="L62" s="112">
        <v>31.81</v>
      </c>
      <c r="M62" s="112">
        <v>70.64</v>
      </c>
      <c r="N62" s="112">
        <v>429.4</v>
      </c>
      <c r="O62" s="112">
        <v>0</v>
      </c>
      <c r="P62" s="112">
        <v>0.28000000000000003</v>
      </c>
      <c r="Q62" s="112">
        <v>4.67</v>
      </c>
    </row>
    <row r="63" spans="1:17" customFormat="1">
      <c r="A63" s="80">
        <v>45562.572916666664</v>
      </c>
      <c r="B63" s="112">
        <v>9.26</v>
      </c>
      <c r="C63" s="112">
        <v>4.07</v>
      </c>
      <c r="D63" s="112">
        <v>14</v>
      </c>
      <c r="E63" s="112">
        <v>12.16</v>
      </c>
      <c r="F63" s="112">
        <v>7.48</v>
      </c>
      <c r="G63" s="112">
        <v>14.89</v>
      </c>
      <c r="H63" s="112">
        <v>4.82</v>
      </c>
      <c r="I63" s="112">
        <v>3.15</v>
      </c>
      <c r="J63" s="112">
        <v>0.36</v>
      </c>
      <c r="K63" s="112">
        <v>249.19</v>
      </c>
      <c r="L63" s="112">
        <v>31.38</v>
      </c>
      <c r="M63" s="112">
        <v>72.67</v>
      </c>
      <c r="N63" s="112">
        <v>186.8</v>
      </c>
      <c r="O63" s="112">
        <v>0</v>
      </c>
      <c r="P63" s="112">
        <v>0.28999999999999998</v>
      </c>
      <c r="Q63" s="112">
        <v>4.67</v>
      </c>
    </row>
    <row r="64" spans="1:17" customFormat="1">
      <c r="A64" s="80">
        <v>45562.583333333336</v>
      </c>
      <c r="B64" s="112">
        <v>9.26</v>
      </c>
      <c r="C64" s="112">
        <v>4.08</v>
      </c>
      <c r="D64" s="112">
        <v>14</v>
      </c>
      <c r="E64" s="112">
        <v>12.4</v>
      </c>
      <c r="F64" s="112">
        <v>7.64</v>
      </c>
      <c r="G64" s="112">
        <v>14.72</v>
      </c>
      <c r="H64" s="112">
        <v>4.75</v>
      </c>
      <c r="I64" s="112">
        <v>3.16</v>
      </c>
      <c r="J64" s="112">
        <v>0.23</v>
      </c>
      <c r="K64" s="112">
        <v>248.66</v>
      </c>
      <c r="L64" s="112">
        <v>30.47</v>
      </c>
      <c r="M64" s="112">
        <v>76.650000000000006</v>
      </c>
      <c r="N64" s="112">
        <v>79.599999999999994</v>
      </c>
      <c r="O64" s="112">
        <v>0</v>
      </c>
      <c r="P64" s="112">
        <v>0.28000000000000003</v>
      </c>
      <c r="Q64" s="112">
        <v>4.66</v>
      </c>
    </row>
    <row r="65" spans="1:17" customFormat="1">
      <c r="A65" s="80">
        <v>45562.59375</v>
      </c>
      <c r="B65" s="112">
        <v>9.24</v>
      </c>
      <c r="C65" s="112">
        <v>4.09</v>
      </c>
      <c r="D65" s="112">
        <v>14</v>
      </c>
      <c r="E65" s="112">
        <v>12.25</v>
      </c>
      <c r="F65" s="112">
        <v>6.03</v>
      </c>
      <c r="G65" s="112">
        <v>11.2</v>
      </c>
      <c r="H65" s="112">
        <v>3.59</v>
      </c>
      <c r="I65" s="112">
        <v>3.15</v>
      </c>
      <c r="J65" s="112">
        <v>0.19</v>
      </c>
      <c r="K65" s="112">
        <v>243.76</v>
      </c>
      <c r="L65" s="112">
        <v>29.69</v>
      </c>
      <c r="M65" s="112">
        <v>81.16</v>
      </c>
      <c r="N65" s="112">
        <v>84.3</v>
      </c>
      <c r="O65" s="112">
        <v>0</v>
      </c>
      <c r="P65" s="112">
        <v>0.27</v>
      </c>
      <c r="Q65" s="112">
        <v>4.6500000000000004</v>
      </c>
    </row>
    <row r="66" spans="1:17" customFormat="1">
      <c r="A66" s="80">
        <v>45562.604166666664</v>
      </c>
      <c r="B66" s="112">
        <v>9.2200000000000006</v>
      </c>
      <c r="C66" s="112">
        <v>4.13</v>
      </c>
      <c r="D66" s="112">
        <v>14</v>
      </c>
      <c r="E66" s="112">
        <v>12.45</v>
      </c>
      <c r="F66" s="112">
        <v>7.37</v>
      </c>
      <c r="G66" s="112">
        <v>11.2</v>
      </c>
      <c r="H66" s="112">
        <v>3.59</v>
      </c>
      <c r="I66" s="112">
        <v>3.19</v>
      </c>
      <c r="J66" s="112">
        <v>0.09</v>
      </c>
      <c r="K66" s="112">
        <v>210.18</v>
      </c>
      <c r="L66" s="112">
        <v>29.58</v>
      </c>
      <c r="M66" s="112">
        <v>80.91</v>
      </c>
      <c r="N66" s="112">
        <v>87.8</v>
      </c>
      <c r="O66" s="112">
        <v>0</v>
      </c>
      <c r="P66" s="112">
        <v>0.31</v>
      </c>
      <c r="Q66" s="112">
        <v>4.6399999999999997</v>
      </c>
    </row>
    <row r="67" spans="1:17" customFormat="1">
      <c r="A67" s="80">
        <v>45562.614583333336</v>
      </c>
      <c r="B67" s="112">
        <v>9.2799999999999994</v>
      </c>
      <c r="C67" s="112">
        <v>4.08</v>
      </c>
      <c r="D67" s="112">
        <v>14.03</v>
      </c>
      <c r="E67" s="112">
        <v>12.65</v>
      </c>
      <c r="F67" s="112">
        <v>6.23</v>
      </c>
      <c r="G67" s="112">
        <v>11.2</v>
      </c>
      <c r="H67" s="112">
        <v>3.59</v>
      </c>
      <c r="I67" s="112">
        <v>3.13</v>
      </c>
      <c r="J67" s="112">
        <v>0.08</v>
      </c>
      <c r="K67" s="112">
        <v>239.81</v>
      </c>
      <c r="L67" s="112">
        <v>29.5</v>
      </c>
      <c r="M67" s="112">
        <v>80.86</v>
      </c>
      <c r="N67" s="112">
        <v>102.1</v>
      </c>
      <c r="O67" s="112">
        <v>0</v>
      </c>
      <c r="P67" s="112">
        <v>0.32</v>
      </c>
      <c r="Q67" s="112">
        <v>4.62</v>
      </c>
    </row>
    <row r="68" spans="1:17" customFormat="1">
      <c r="A68" s="80">
        <v>45562.625</v>
      </c>
      <c r="B68" s="112">
        <v>9.3000000000000007</v>
      </c>
      <c r="C68" s="112">
        <v>4.07</v>
      </c>
      <c r="D68" s="112">
        <v>14.04</v>
      </c>
      <c r="E68" s="112">
        <v>12.03</v>
      </c>
      <c r="F68" s="112">
        <v>7.15</v>
      </c>
      <c r="G68" s="112">
        <v>11.1</v>
      </c>
      <c r="H68" s="112">
        <v>3.53</v>
      </c>
      <c r="I68" s="112">
        <v>3.2</v>
      </c>
      <c r="J68" s="112">
        <v>0.13</v>
      </c>
      <c r="K68" s="112">
        <v>191.21</v>
      </c>
      <c r="L68" s="112">
        <v>29.82</v>
      </c>
      <c r="M68" s="112">
        <v>80.81</v>
      </c>
      <c r="N68" s="112">
        <v>106.8</v>
      </c>
      <c r="O68" s="112">
        <v>0</v>
      </c>
      <c r="P68" s="112">
        <v>0.32</v>
      </c>
      <c r="Q68" s="112">
        <v>4.63</v>
      </c>
    </row>
    <row r="69" spans="1:17" customFormat="1">
      <c r="A69" s="80">
        <v>45562.635416666664</v>
      </c>
      <c r="B69" s="112">
        <v>9.31</v>
      </c>
      <c r="C69" s="112">
        <v>4.1100000000000003</v>
      </c>
      <c r="D69" s="112">
        <v>14.06</v>
      </c>
      <c r="E69" s="112">
        <v>12.09</v>
      </c>
      <c r="F69" s="112">
        <v>7.7</v>
      </c>
      <c r="G69" s="112">
        <v>8.9700000000000006</v>
      </c>
      <c r="H69" s="112">
        <v>2.57</v>
      </c>
      <c r="I69" s="112">
        <v>3.27</v>
      </c>
      <c r="J69" s="112">
        <v>0.11</v>
      </c>
      <c r="K69" s="112">
        <v>195.39</v>
      </c>
      <c r="L69" s="112">
        <v>30.05</v>
      </c>
      <c r="M69" s="112">
        <v>80.290000000000006</v>
      </c>
      <c r="N69" s="112">
        <v>103.2</v>
      </c>
      <c r="O69" s="112">
        <v>0</v>
      </c>
      <c r="P69" s="112">
        <v>0.33</v>
      </c>
      <c r="Q69" s="112">
        <v>4.63</v>
      </c>
    </row>
    <row r="70" spans="1:17" customFormat="1">
      <c r="A70" s="80">
        <v>45562.645833333336</v>
      </c>
      <c r="B70" s="112">
        <v>9.3699999999999992</v>
      </c>
      <c r="C70" s="112">
        <v>4.08</v>
      </c>
      <c r="D70" s="112">
        <v>14.09</v>
      </c>
      <c r="E70" s="112">
        <v>12.16</v>
      </c>
      <c r="F70" s="112">
        <v>6.62</v>
      </c>
      <c r="G70" s="112">
        <v>8.9700000000000006</v>
      </c>
      <c r="H70" s="112">
        <v>2.57</v>
      </c>
      <c r="I70" s="112">
        <v>3.24</v>
      </c>
      <c r="J70" s="112">
        <v>0.14000000000000001</v>
      </c>
      <c r="K70" s="112">
        <v>231.35</v>
      </c>
      <c r="L70" s="112">
        <v>30.06</v>
      </c>
      <c r="M70" s="112">
        <v>82.24</v>
      </c>
      <c r="N70" s="112">
        <v>74.099999999999994</v>
      </c>
      <c r="O70" s="112">
        <v>0</v>
      </c>
      <c r="P70" s="112">
        <v>0.33</v>
      </c>
      <c r="Q70" s="112">
        <v>4.63</v>
      </c>
    </row>
    <row r="71" spans="1:17" customFormat="1">
      <c r="A71" s="80">
        <v>45562.65625</v>
      </c>
      <c r="B71" s="112">
        <v>9.4</v>
      </c>
      <c r="C71" s="112">
        <v>4.0599999999999996</v>
      </c>
      <c r="D71" s="112">
        <v>14.11</v>
      </c>
      <c r="E71" s="112">
        <v>11.86</v>
      </c>
      <c r="F71" s="112">
        <v>5.89</v>
      </c>
      <c r="G71" s="112">
        <v>8.9700000000000006</v>
      </c>
      <c r="H71" s="112">
        <v>2.57</v>
      </c>
      <c r="I71" s="112">
        <v>3.29</v>
      </c>
      <c r="J71" s="112">
        <v>0.18</v>
      </c>
      <c r="K71" s="112">
        <v>174.99</v>
      </c>
      <c r="L71" s="112">
        <v>29.75</v>
      </c>
      <c r="M71" s="112">
        <v>82.84</v>
      </c>
      <c r="N71" s="112">
        <v>52.8</v>
      </c>
      <c r="O71" s="112">
        <v>0</v>
      </c>
      <c r="P71" s="112">
        <v>0.34</v>
      </c>
      <c r="Q71" s="112">
        <v>4.62</v>
      </c>
    </row>
    <row r="72" spans="1:17" customFormat="1">
      <c r="A72" s="80">
        <v>45562.666666666664</v>
      </c>
      <c r="B72" s="112">
        <v>9.39</v>
      </c>
      <c r="C72" s="112">
        <v>4.0999999999999996</v>
      </c>
      <c r="D72" s="112">
        <v>14.12</v>
      </c>
      <c r="E72" s="112">
        <v>12.02</v>
      </c>
      <c r="F72" s="112">
        <v>6.04</v>
      </c>
      <c r="G72" s="112">
        <v>8.92</v>
      </c>
      <c r="H72" s="112">
        <v>2.56</v>
      </c>
      <c r="I72" s="112">
        <v>3.41</v>
      </c>
      <c r="J72" s="112">
        <v>0.12</v>
      </c>
      <c r="K72" s="112">
        <v>195.46</v>
      </c>
      <c r="L72" s="112">
        <v>29.56</v>
      </c>
      <c r="M72" s="112">
        <v>83.51</v>
      </c>
      <c r="N72" s="112">
        <v>34.9</v>
      </c>
      <c r="O72" s="112">
        <v>0</v>
      </c>
      <c r="P72" s="112">
        <v>0.34</v>
      </c>
      <c r="Q72" s="112">
        <v>4.63</v>
      </c>
    </row>
    <row r="73" spans="1:17" customFormat="1">
      <c r="A73" s="80">
        <v>45562.677083333336</v>
      </c>
      <c r="B73" s="112">
        <v>9.32</v>
      </c>
      <c r="C73" s="112">
        <v>4.1100000000000003</v>
      </c>
      <c r="D73" s="112">
        <v>14.07</v>
      </c>
      <c r="E73" s="112">
        <v>12.36</v>
      </c>
      <c r="F73" s="112">
        <v>6.52</v>
      </c>
      <c r="G73" s="112">
        <v>8.09</v>
      </c>
      <c r="H73" s="112">
        <v>2.35</v>
      </c>
      <c r="I73" s="112">
        <v>3.45</v>
      </c>
      <c r="J73" s="112">
        <v>0.11</v>
      </c>
      <c r="K73" s="112">
        <v>201.67</v>
      </c>
      <c r="L73" s="112">
        <v>29.17</v>
      </c>
      <c r="M73" s="112">
        <v>85.31</v>
      </c>
      <c r="N73" s="112">
        <v>27.2</v>
      </c>
      <c r="O73" s="112">
        <v>0</v>
      </c>
      <c r="P73" s="112">
        <v>0.34</v>
      </c>
      <c r="Q73" s="112">
        <v>4.63</v>
      </c>
    </row>
    <row r="74" spans="1:17" customFormat="1">
      <c r="A74" s="80">
        <v>45562.6875</v>
      </c>
      <c r="B74" s="112">
        <v>9.31</v>
      </c>
      <c r="C74" s="112">
        <v>4.07</v>
      </c>
      <c r="D74" s="112">
        <v>14.04</v>
      </c>
      <c r="E74" s="112">
        <v>11.99</v>
      </c>
      <c r="F74" s="112">
        <v>5.43</v>
      </c>
      <c r="G74" s="112">
        <v>8.09</v>
      </c>
      <c r="H74" s="112">
        <v>2.35</v>
      </c>
      <c r="I74" s="112">
        <v>3.45</v>
      </c>
      <c r="J74" s="112">
        <v>0.15</v>
      </c>
      <c r="K74" s="112">
        <v>167.16</v>
      </c>
      <c r="L74" s="112">
        <v>29.1</v>
      </c>
      <c r="M74" s="112">
        <v>84.25</v>
      </c>
      <c r="N74" s="112">
        <v>20.9</v>
      </c>
      <c r="O74" s="112">
        <v>0</v>
      </c>
      <c r="P74" s="112">
        <v>0.35</v>
      </c>
      <c r="Q74" s="112">
        <v>4.6399999999999997</v>
      </c>
    </row>
    <row r="75" spans="1:17" customFormat="1">
      <c r="A75" s="80">
        <v>45562.697916666664</v>
      </c>
      <c r="B75" s="112">
        <v>9.3000000000000007</v>
      </c>
      <c r="C75" s="112">
        <v>4.08</v>
      </c>
      <c r="D75" s="112">
        <v>14.04</v>
      </c>
      <c r="E75" s="112">
        <v>11.45</v>
      </c>
      <c r="F75" s="112">
        <v>5.48</v>
      </c>
      <c r="G75" s="112">
        <v>8.09</v>
      </c>
      <c r="H75" s="112">
        <v>2.35</v>
      </c>
      <c r="I75" s="112">
        <v>3.5</v>
      </c>
      <c r="J75" s="112">
        <v>0.09</v>
      </c>
      <c r="K75" s="112">
        <v>195.55</v>
      </c>
      <c r="L75" s="112">
        <v>28.94</v>
      </c>
      <c r="M75" s="112">
        <v>85.55</v>
      </c>
      <c r="N75" s="112">
        <v>17</v>
      </c>
      <c r="O75" s="112">
        <v>0</v>
      </c>
      <c r="P75" s="112">
        <v>0.35</v>
      </c>
      <c r="Q75" s="112">
        <v>4.6399999999999997</v>
      </c>
    </row>
    <row r="76" spans="1:17" customFormat="1">
      <c r="A76" s="80">
        <v>45562.708333333336</v>
      </c>
      <c r="B76" s="112">
        <v>9.3000000000000007</v>
      </c>
      <c r="C76" s="112">
        <v>4.08</v>
      </c>
      <c r="D76" s="112">
        <v>14.04</v>
      </c>
      <c r="E76" s="112">
        <v>11.74</v>
      </c>
      <c r="F76" s="112">
        <v>5.74</v>
      </c>
      <c r="G76" s="112">
        <v>8.01</v>
      </c>
      <c r="H76" s="112">
        <v>2.37</v>
      </c>
      <c r="I76" s="112">
        <v>3.7</v>
      </c>
      <c r="J76" s="112">
        <v>0.06</v>
      </c>
      <c r="K76" s="112">
        <v>210.16</v>
      </c>
      <c r="L76" s="112">
        <v>28.87</v>
      </c>
      <c r="M76" s="112">
        <v>88.32</v>
      </c>
      <c r="N76" s="112">
        <v>15.6</v>
      </c>
      <c r="O76" s="112">
        <v>0</v>
      </c>
      <c r="P76" s="112">
        <v>0.35</v>
      </c>
      <c r="Q76" s="112">
        <v>4.6399999999999997</v>
      </c>
    </row>
    <row r="77" spans="1:17" customFormat="1">
      <c r="A77" s="80">
        <v>45562.71875</v>
      </c>
      <c r="B77" s="112">
        <v>9.2899999999999991</v>
      </c>
      <c r="C77" s="112">
        <v>4.0599999999999996</v>
      </c>
      <c r="D77" s="112">
        <v>14.03</v>
      </c>
      <c r="E77" s="112">
        <v>11.03</v>
      </c>
      <c r="F77" s="112">
        <v>6.3</v>
      </c>
      <c r="G77" s="112">
        <v>6.58</v>
      </c>
      <c r="H77" s="112">
        <v>2.69</v>
      </c>
      <c r="I77" s="112">
        <v>3.75</v>
      </c>
      <c r="J77" s="112">
        <v>0.12</v>
      </c>
      <c r="K77" s="112">
        <v>248.91</v>
      </c>
      <c r="L77" s="112">
        <v>28.7</v>
      </c>
      <c r="M77" s="112">
        <v>88.7</v>
      </c>
      <c r="N77" s="112">
        <v>12.8</v>
      </c>
      <c r="O77" s="112">
        <v>0</v>
      </c>
      <c r="P77" s="112">
        <v>0.35</v>
      </c>
      <c r="Q77" s="112">
        <v>4.63</v>
      </c>
    </row>
    <row r="78" spans="1:17" customFormat="1">
      <c r="A78" s="80">
        <v>45562.729166666664</v>
      </c>
      <c r="B78" s="112">
        <v>9.2799999999999994</v>
      </c>
      <c r="C78" s="112">
        <v>4.07</v>
      </c>
      <c r="D78" s="112">
        <v>14.02</v>
      </c>
      <c r="E78" s="112">
        <v>11.42</v>
      </c>
      <c r="F78" s="112">
        <v>5.8</v>
      </c>
      <c r="G78" s="112">
        <v>6.58</v>
      </c>
      <c r="H78" s="112">
        <v>2.69</v>
      </c>
      <c r="I78" s="112">
        <v>3.63</v>
      </c>
      <c r="J78" s="112">
        <v>0.1</v>
      </c>
      <c r="K78" s="112">
        <v>257.52999999999997</v>
      </c>
      <c r="L78" s="112">
        <v>28.52</v>
      </c>
      <c r="M78" s="112">
        <v>86.71</v>
      </c>
      <c r="N78" s="112">
        <v>7.6</v>
      </c>
      <c r="O78" s="112">
        <v>0</v>
      </c>
      <c r="P78" s="112">
        <v>0.35</v>
      </c>
      <c r="Q78" s="112">
        <v>4.6399999999999997</v>
      </c>
    </row>
    <row r="79" spans="1:17" customFormat="1">
      <c r="A79" s="80">
        <v>45562.739583333336</v>
      </c>
      <c r="B79" s="112">
        <v>9.31</v>
      </c>
      <c r="C79" s="112">
        <v>4.08</v>
      </c>
      <c r="D79" s="112">
        <v>14.05</v>
      </c>
      <c r="E79" s="112">
        <v>11.91</v>
      </c>
      <c r="F79" s="112">
        <v>5.41</v>
      </c>
      <c r="G79" s="112">
        <v>6.58</v>
      </c>
      <c r="H79" s="112">
        <v>2.69</v>
      </c>
      <c r="I79" s="112">
        <v>3.66</v>
      </c>
      <c r="J79" s="112">
        <v>7.0000000000000007E-2</v>
      </c>
      <c r="K79" s="112">
        <v>201.99</v>
      </c>
      <c r="L79" s="112">
        <v>28.29</v>
      </c>
      <c r="M79" s="112">
        <v>88.03</v>
      </c>
      <c r="N79" s="112">
        <v>3.3</v>
      </c>
      <c r="O79" s="112">
        <v>0</v>
      </c>
      <c r="P79" s="112">
        <v>0.36</v>
      </c>
      <c r="Q79" s="112">
        <v>4.6399999999999997</v>
      </c>
    </row>
    <row r="80" spans="1:17" customFormat="1">
      <c r="A80" s="80">
        <v>45562.75</v>
      </c>
      <c r="B80" s="112">
        <v>9.33</v>
      </c>
      <c r="C80" s="112">
        <v>4.07</v>
      </c>
      <c r="D80" s="112">
        <v>14.06</v>
      </c>
      <c r="E80" s="112">
        <v>11.76</v>
      </c>
      <c r="F80" s="112">
        <v>5.28</v>
      </c>
      <c r="G80" s="112">
        <v>6.75</v>
      </c>
      <c r="H80" s="112">
        <v>2.96</v>
      </c>
      <c r="I80" s="112">
        <v>3.71</v>
      </c>
      <c r="J80" s="112">
        <v>0.08</v>
      </c>
      <c r="K80" s="112">
        <v>259.20999999999998</v>
      </c>
      <c r="L80" s="112">
        <v>28.04</v>
      </c>
      <c r="M80" s="112">
        <v>88.07</v>
      </c>
      <c r="N80" s="112">
        <v>2.5</v>
      </c>
      <c r="O80" s="112">
        <v>0</v>
      </c>
      <c r="P80" s="112">
        <v>0.36</v>
      </c>
      <c r="Q80" s="112">
        <v>4.63</v>
      </c>
    </row>
    <row r="81" spans="1:17" customFormat="1">
      <c r="A81" s="80">
        <v>45562.760416666664</v>
      </c>
      <c r="B81" s="112">
        <v>9.33</v>
      </c>
      <c r="C81" s="112">
        <v>4.07</v>
      </c>
      <c r="D81" s="112">
        <v>14.06</v>
      </c>
      <c r="E81" s="112">
        <v>8.07</v>
      </c>
      <c r="F81" s="112">
        <v>5.24</v>
      </c>
      <c r="G81" s="112">
        <v>10.36</v>
      </c>
      <c r="H81" s="112">
        <v>7.22</v>
      </c>
      <c r="I81" s="112">
        <v>3.76</v>
      </c>
      <c r="J81" s="112">
        <v>0.05</v>
      </c>
      <c r="K81" s="112">
        <v>233.49</v>
      </c>
      <c r="L81" s="112">
        <v>27.88</v>
      </c>
      <c r="M81" s="112">
        <v>88.32</v>
      </c>
      <c r="N81" s="112">
        <v>2.4</v>
      </c>
      <c r="O81" s="112">
        <v>0</v>
      </c>
      <c r="P81" s="112">
        <v>0.36</v>
      </c>
      <c r="Q81" s="112">
        <v>4.6399999999999997</v>
      </c>
    </row>
    <row r="82" spans="1:17" customFormat="1">
      <c r="A82" s="80">
        <v>45562.770833333336</v>
      </c>
      <c r="B82" s="112">
        <v>9.34</v>
      </c>
      <c r="C82" s="112">
        <v>4.08</v>
      </c>
      <c r="D82" s="112">
        <v>14.07</v>
      </c>
      <c r="E82" s="112">
        <v>9.92</v>
      </c>
      <c r="F82" s="112">
        <v>4.72</v>
      </c>
      <c r="G82" s="112">
        <v>10.36</v>
      </c>
      <c r="H82" s="112">
        <v>7.22</v>
      </c>
      <c r="I82" s="112">
        <v>3.8</v>
      </c>
      <c r="J82" s="112">
        <v>0.12</v>
      </c>
      <c r="K82" s="112">
        <v>71.290000000000006</v>
      </c>
      <c r="L82" s="112">
        <v>27.73</v>
      </c>
      <c r="M82" s="112">
        <v>90.12</v>
      </c>
      <c r="N82" s="112">
        <v>2.2999999999999998</v>
      </c>
      <c r="O82" s="112">
        <v>0</v>
      </c>
      <c r="P82" s="112">
        <v>0.37</v>
      </c>
      <c r="Q82" s="112">
        <v>4.6399999999999997</v>
      </c>
    </row>
    <row r="83" spans="1:17" customFormat="1">
      <c r="A83" s="80">
        <v>45562.78125</v>
      </c>
      <c r="B83" s="112">
        <v>9.34</v>
      </c>
      <c r="C83" s="112">
        <v>4.07</v>
      </c>
      <c r="D83" s="112">
        <v>14.07</v>
      </c>
      <c r="E83" s="112">
        <v>10.15</v>
      </c>
      <c r="F83" s="112">
        <v>4.58</v>
      </c>
      <c r="G83" s="112">
        <v>10.36</v>
      </c>
      <c r="H83" s="112">
        <v>7.22</v>
      </c>
      <c r="I83" s="112">
        <v>3.85</v>
      </c>
      <c r="J83" s="112">
        <v>0.11</v>
      </c>
      <c r="K83" s="112">
        <v>75.94</v>
      </c>
      <c r="L83" s="112">
        <v>27.75</v>
      </c>
      <c r="M83" s="112">
        <v>92.25</v>
      </c>
      <c r="N83" s="112">
        <v>2.1</v>
      </c>
      <c r="O83" s="112">
        <v>0</v>
      </c>
      <c r="P83" s="112">
        <v>0.37</v>
      </c>
      <c r="Q83" s="112">
        <v>4.63</v>
      </c>
    </row>
    <row r="84" spans="1:17" customFormat="1">
      <c r="A84" s="80">
        <v>45562.791666666664</v>
      </c>
      <c r="B84" s="112">
        <v>9.35</v>
      </c>
      <c r="C84" s="112">
        <v>4.0599999999999996</v>
      </c>
      <c r="D84" s="112">
        <v>14.07</v>
      </c>
      <c r="E84" s="112">
        <v>9.31</v>
      </c>
      <c r="F84" s="112">
        <v>6.28</v>
      </c>
      <c r="G84" s="112">
        <v>10.64</v>
      </c>
      <c r="H84" s="112">
        <v>7.13</v>
      </c>
      <c r="I84" s="112">
        <v>3.89</v>
      </c>
      <c r="J84" s="112">
        <v>0.15</v>
      </c>
      <c r="K84" s="112">
        <v>152.27000000000001</v>
      </c>
      <c r="L84" s="112">
        <v>28.24</v>
      </c>
      <c r="M84" s="112">
        <v>91.1</v>
      </c>
      <c r="N84" s="112">
        <v>1.9</v>
      </c>
      <c r="O84" s="112">
        <v>0</v>
      </c>
      <c r="P84" s="112">
        <v>0.35</v>
      </c>
      <c r="Q84" s="112">
        <v>4.6399999999999997</v>
      </c>
    </row>
    <row r="85" spans="1:17" customFormat="1">
      <c r="A85" s="80">
        <v>45562.802083333336</v>
      </c>
      <c r="B85" s="112">
        <v>9.42</v>
      </c>
      <c r="C85" s="112">
        <v>4.07</v>
      </c>
      <c r="D85" s="112">
        <v>14.13</v>
      </c>
      <c r="E85" s="112">
        <v>9.1999999999999993</v>
      </c>
      <c r="F85" s="112">
        <v>6.13</v>
      </c>
      <c r="G85" s="112">
        <v>15.43</v>
      </c>
      <c r="H85" s="112">
        <v>5.77</v>
      </c>
      <c r="I85" s="112">
        <v>3.85</v>
      </c>
      <c r="J85" s="112">
        <v>0.06</v>
      </c>
      <c r="K85" s="112">
        <v>161.27000000000001</v>
      </c>
      <c r="L85" s="112">
        <v>28.03</v>
      </c>
      <c r="M85" s="112">
        <v>92.48</v>
      </c>
      <c r="N85" s="112">
        <v>2.4</v>
      </c>
      <c r="O85" s="112">
        <v>0</v>
      </c>
      <c r="P85" s="112">
        <v>0.31</v>
      </c>
      <c r="Q85" s="112">
        <v>4.67</v>
      </c>
    </row>
    <row r="86" spans="1:17" customFormat="1">
      <c r="A86" s="80">
        <v>45562.8125</v>
      </c>
      <c r="B86" s="112">
        <v>9.4499999999999993</v>
      </c>
      <c r="C86" s="112">
        <v>4.04</v>
      </c>
      <c r="D86" s="112">
        <v>14.14</v>
      </c>
      <c r="E86" s="112">
        <v>10.01</v>
      </c>
      <c r="F86" s="112">
        <v>5.67</v>
      </c>
      <c r="G86" s="112">
        <v>15.43</v>
      </c>
      <c r="H86" s="112">
        <v>5.77</v>
      </c>
      <c r="I86" s="112">
        <v>3.49</v>
      </c>
      <c r="J86" s="112">
        <v>0.11</v>
      </c>
      <c r="K86" s="112">
        <v>153.11000000000001</v>
      </c>
      <c r="L86" s="112">
        <v>27.74</v>
      </c>
      <c r="M86" s="112">
        <v>95.77</v>
      </c>
      <c r="N86" s="112">
        <v>2.2999999999999998</v>
      </c>
      <c r="O86" s="112">
        <v>0</v>
      </c>
      <c r="P86" s="112">
        <v>0.3</v>
      </c>
      <c r="Q86" s="112">
        <v>4.66</v>
      </c>
    </row>
    <row r="87" spans="1:17" customFormat="1">
      <c r="A87" s="80">
        <v>45562.822916666664</v>
      </c>
      <c r="B87" s="112">
        <v>9.36</v>
      </c>
      <c r="C87" s="112">
        <v>4.04</v>
      </c>
      <c r="D87" s="112">
        <v>14.07</v>
      </c>
      <c r="E87" s="112">
        <v>10.4</v>
      </c>
      <c r="F87" s="112">
        <v>5.82</v>
      </c>
      <c r="G87" s="112">
        <v>15.43</v>
      </c>
      <c r="H87" s="112">
        <v>5.77</v>
      </c>
      <c r="I87" s="112">
        <v>3.56</v>
      </c>
      <c r="J87" s="112">
        <v>0.1</v>
      </c>
      <c r="K87" s="112">
        <v>125.9</v>
      </c>
      <c r="L87" s="112">
        <v>27.61</v>
      </c>
      <c r="M87" s="112">
        <v>96.54</v>
      </c>
      <c r="N87" s="112">
        <v>2.2000000000000002</v>
      </c>
      <c r="O87" s="112">
        <v>0</v>
      </c>
      <c r="P87" s="112">
        <v>0.3</v>
      </c>
      <c r="Q87" s="112">
        <v>4.6500000000000004</v>
      </c>
    </row>
    <row r="88" spans="1:17" customFormat="1">
      <c r="A88" s="80">
        <v>45562.833333333336</v>
      </c>
      <c r="B88" s="112">
        <v>9.31</v>
      </c>
      <c r="C88" s="112">
        <v>4.07</v>
      </c>
      <c r="D88" s="112">
        <v>14.04</v>
      </c>
      <c r="E88" s="112">
        <v>10.4</v>
      </c>
      <c r="F88" s="112">
        <v>5.94</v>
      </c>
      <c r="G88" s="112">
        <v>15.27</v>
      </c>
      <c r="H88" s="112">
        <v>5.67</v>
      </c>
      <c r="I88" s="112">
        <v>3.56</v>
      </c>
      <c r="J88" s="112">
        <v>0.08</v>
      </c>
      <c r="K88" s="112">
        <v>213.34</v>
      </c>
      <c r="L88" s="112">
        <v>27.48</v>
      </c>
      <c r="M88" s="112">
        <v>96.92</v>
      </c>
      <c r="N88" s="112">
        <v>2.2999999999999998</v>
      </c>
      <c r="O88" s="112">
        <v>0</v>
      </c>
      <c r="P88" s="112">
        <v>0.3</v>
      </c>
      <c r="Q88" s="112">
        <v>4.6500000000000004</v>
      </c>
    </row>
    <row r="89" spans="1:17" customFormat="1">
      <c r="A89" s="80">
        <v>45562.84375</v>
      </c>
      <c r="B89" s="112">
        <v>9.3000000000000007</v>
      </c>
      <c r="C89" s="112">
        <v>4.05</v>
      </c>
      <c r="D89" s="112">
        <v>14.02</v>
      </c>
      <c r="E89" s="112">
        <v>10.48</v>
      </c>
      <c r="F89" s="112">
        <v>5.26</v>
      </c>
      <c r="G89" s="112">
        <v>12.53</v>
      </c>
      <c r="H89" s="112">
        <v>4.1100000000000003</v>
      </c>
      <c r="I89" s="112">
        <v>3.54</v>
      </c>
      <c r="J89" s="112">
        <v>0.11</v>
      </c>
      <c r="K89" s="112">
        <v>141.63999999999999</v>
      </c>
      <c r="L89" s="112">
        <v>27.35</v>
      </c>
      <c r="M89" s="112">
        <v>96.33</v>
      </c>
      <c r="N89" s="112">
        <v>2.1</v>
      </c>
      <c r="O89" s="112">
        <v>0</v>
      </c>
      <c r="P89" s="112">
        <v>0.31</v>
      </c>
      <c r="Q89" s="112">
        <v>4.67</v>
      </c>
    </row>
    <row r="90" spans="1:17" customFormat="1">
      <c r="A90" s="80">
        <v>45562.854166666664</v>
      </c>
      <c r="B90" s="112">
        <v>9.2799999999999994</v>
      </c>
      <c r="C90" s="112">
        <v>4.05</v>
      </c>
      <c r="D90" s="112">
        <v>14.01</v>
      </c>
      <c r="E90" s="112">
        <v>10.76</v>
      </c>
      <c r="F90" s="112">
        <v>5.22</v>
      </c>
      <c r="G90" s="112">
        <v>12.53</v>
      </c>
      <c r="H90" s="112">
        <v>4.1100000000000003</v>
      </c>
      <c r="I90" s="112">
        <v>3.58</v>
      </c>
      <c r="J90" s="112">
        <v>7.0000000000000007E-2</v>
      </c>
      <c r="K90" s="112">
        <v>178.84</v>
      </c>
      <c r="L90" s="112">
        <v>27.34</v>
      </c>
      <c r="M90" s="112">
        <v>95.31</v>
      </c>
      <c r="N90" s="112">
        <v>2.1</v>
      </c>
      <c r="O90" s="112">
        <v>0</v>
      </c>
      <c r="P90" s="112">
        <v>0.31</v>
      </c>
      <c r="Q90" s="112">
        <v>4.67</v>
      </c>
    </row>
    <row r="91" spans="1:17" customFormat="1">
      <c r="A91" s="80">
        <v>45562.864583333336</v>
      </c>
      <c r="B91" s="112">
        <v>9.2799999999999994</v>
      </c>
      <c r="C91" s="112">
        <v>4.0599999999999996</v>
      </c>
      <c r="D91" s="112">
        <v>14.01</v>
      </c>
      <c r="E91" s="112">
        <v>10.55</v>
      </c>
      <c r="F91" s="112">
        <v>4.97</v>
      </c>
      <c r="G91" s="112">
        <v>12.53</v>
      </c>
      <c r="H91" s="112">
        <v>4.1100000000000003</v>
      </c>
      <c r="I91" s="112">
        <v>3.6</v>
      </c>
      <c r="J91" s="112">
        <v>0.08</v>
      </c>
      <c r="K91" s="112">
        <v>198.67</v>
      </c>
      <c r="L91" s="112">
        <v>27.25</v>
      </c>
      <c r="M91" s="112">
        <v>95.68</v>
      </c>
      <c r="N91" s="112">
        <v>2.1</v>
      </c>
      <c r="O91" s="112">
        <v>0</v>
      </c>
      <c r="P91" s="112">
        <v>0.32</v>
      </c>
      <c r="Q91" s="112">
        <v>4.6500000000000004</v>
      </c>
    </row>
    <row r="92" spans="1:17" customFormat="1">
      <c r="A92" s="80">
        <v>45562.875</v>
      </c>
      <c r="B92" s="112">
        <v>9.27</v>
      </c>
      <c r="C92" s="112">
        <v>4.08</v>
      </c>
      <c r="D92" s="112">
        <v>14.01</v>
      </c>
      <c r="E92" s="112">
        <v>10.37</v>
      </c>
      <c r="F92" s="112">
        <v>5.0599999999999996</v>
      </c>
      <c r="G92" s="112">
        <v>12.79</v>
      </c>
      <c r="H92" s="112">
        <v>4.04</v>
      </c>
      <c r="I92" s="112">
        <v>3.58</v>
      </c>
      <c r="J92" s="112">
        <v>0.03</v>
      </c>
      <c r="K92" s="112">
        <v>157.9</v>
      </c>
      <c r="L92" s="112">
        <v>27.02</v>
      </c>
      <c r="M92" s="112">
        <v>96.29</v>
      </c>
      <c r="N92" s="112">
        <v>2.2000000000000002</v>
      </c>
      <c r="O92" s="112">
        <v>0</v>
      </c>
      <c r="P92" s="112">
        <v>0.31</v>
      </c>
      <c r="Q92" s="112">
        <v>4.6500000000000004</v>
      </c>
    </row>
    <row r="93" spans="1:17" customFormat="1">
      <c r="A93" s="80">
        <v>45562.885416666664</v>
      </c>
      <c r="B93" s="112">
        <v>9.27</v>
      </c>
      <c r="C93" s="112">
        <v>4.08</v>
      </c>
      <c r="D93" s="112">
        <v>14.01</v>
      </c>
      <c r="E93" s="112">
        <v>11.05</v>
      </c>
      <c r="F93" s="112">
        <v>4.9800000000000004</v>
      </c>
      <c r="G93" s="112">
        <v>17.2</v>
      </c>
      <c r="H93" s="112">
        <v>2.92</v>
      </c>
      <c r="I93" s="112">
        <v>3.6</v>
      </c>
      <c r="J93" s="112">
        <v>0.09</v>
      </c>
      <c r="K93" s="112">
        <v>201.49</v>
      </c>
      <c r="L93" s="112">
        <v>26.94</v>
      </c>
      <c r="M93" s="112">
        <v>96.12</v>
      </c>
      <c r="N93" s="112">
        <v>2.1</v>
      </c>
      <c r="O93" s="112">
        <v>0</v>
      </c>
      <c r="P93" s="112">
        <v>0.32</v>
      </c>
      <c r="Q93" s="112">
        <v>4.6500000000000004</v>
      </c>
    </row>
    <row r="94" spans="1:17" customFormat="1">
      <c r="A94" s="80">
        <v>45562.895833333336</v>
      </c>
      <c r="B94" s="112">
        <v>9.27</v>
      </c>
      <c r="C94" s="112">
        <v>4.0599999999999996</v>
      </c>
      <c r="D94" s="112">
        <v>14</v>
      </c>
      <c r="E94" s="112">
        <v>11.07</v>
      </c>
      <c r="F94" s="112">
        <v>5</v>
      </c>
      <c r="G94" s="112">
        <v>17.2</v>
      </c>
      <c r="H94" s="112">
        <v>2.92</v>
      </c>
      <c r="I94" s="112">
        <v>3.57</v>
      </c>
      <c r="J94" s="112">
        <v>0.1</v>
      </c>
      <c r="K94" s="112">
        <v>192.13</v>
      </c>
      <c r="L94" s="112">
        <v>26.85</v>
      </c>
      <c r="M94" s="112">
        <v>96.69</v>
      </c>
      <c r="N94" s="112">
        <v>2.1</v>
      </c>
      <c r="O94" s="112">
        <v>0</v>
      </c>
      <c r="P94" s="112">
        <v>0.33</v>
      </c>
      <c r="Q94" s="112">
        <v>4.66</v>
      </c>
    </row>
    <row r="95" spans="1:17" customFormat="1">
      <c r="A95" s="80">
        <v>45562.90625</v>
      </c>
      <c r="B95" s="112">
        <v>9.27</v>
      </c>
      <c r="C95" s="112">
        <v>4.05</v>
      </c>
      <c r="D95" s="112">
        <v>14</v>
      </c>
      <c r="E95" s="112">
        <v>11.28</v>
      </c>
      <c r="F95" s="112">
        <v>4.79</v>
      </c>
      <c r="G95" s="112">
        <v>17.2</v>
      </c>
      <c r="H95" s="112">
        <v>2.92</v>
      </c>
      <c r="I95" s="112">
        <v>3.68</v>
      </c>
      <c r="J95" s="112">
        <v>0.13</v>
      </c>
      <c r="K95" s="112">
        <v>159.77000000000001</v>
      </c>
      <c r="L95" s="112">
        <v>26.91</v>
      </c>
      <c r="M95" s="112">
        <v>96.84</v>
      </c>
      <c r="N95" s="112">
        <v>2.1</v>
      </c>
      <c r="O95" s="112">
        <v>0</v>
      </c>
      <c r="P95" s="112">
        <v>0.33</v>
      </c>
      <c r="Q95" s="112">
        <v>4.6500000000000004</v>
      </c>
    </row>
    <row r="96" spans="1:17" customFormat="1">
      <c r="A96" s="80">
        <v>45562.916666666664</v>
      </c>
      <c r="B96" s="112">
        <v>9.27</v>
      </c>
      <c r="C96" s="112">
        <v>4.05</v>
      </c>
      <c r="D96" s="112">
        <v>14</v>
      </c>
      <c r="E96" s="112">
        <v>11.15</v>
      </c>
      <c r="F96" s="112">
        <v>4.6399999999999997</v>
      </c>
      <c r="G96" s="112">
        <v>16.920000000000002</v>
      </c>
      <c r="H96" s="112">
        <v>2.91</v>
      </c>
      <c r="I96" s="112">
        <v>3.71</v>
      </c>
      <c r="J96" s="112">
        <v>0.09</v>
      </c>
      <c r="K96" s="112">
        <v>209.69</v>
      </c>
      <c r="L96" s="112">
        <v>26.85</v>
      </c>
      <c r="M96" s="112">
        <v>97.3</v>
      </c>
      <c r="N96" s="112">
        <v>2.1</v>
      </c>
      <c r="O96" s="112">
        <v>0</v>
      </c>
      <c r="P96" s="112">
        <v>0.33</v>
      </c>
      <c r="Q96" s="112">
        <v>4.67</v>
      </c>
    </row>
    <row r="97" spans="1:22" customFormat="1">
      <c r="A97" s="80">
        <v>45562.927083333336</v>
      </c>
      <c r="B97" s="112">
        <v>9.2799999999999994</v>
      </c>
      <c r="C97" s="112">
        <v>4.0599999999999996</v>
      </c>
      <c r="D97" s="112">
        <v>14.01</v>
      </c>
      <c r="E97" s="112">
        <v>10.96</v>
      </c>
      <c r="F97" s="112">
        <v>2.93</v>
      </c>
      <c r="G97" s="112">
        <v>12.14</v>
      </c>
      <c r="H97" s="112">
        <v>2.75</v>
      </c>
      <c r="I97" s="112">
        <v>3.72</v>
      </c>
      <c r="J97" s="112">
        <v>7.0000000000000007E-2</v>
      </c>
      <c r="K97" s="112">
        <v>192.06</v>
      </c>
      <c r="L97" s="112">
        <v>26.76</v>
      </c>
      <c r="M97" s="112">
        <v>97.81</v>
      </c>
      <c r="N97" s="112">
        <v>2.1</v>
      </c>
      <c r="O97" s="112">
        <v>0</v>
      </c>
      <c r="P97" s="112">
        <v>0.34</v>
      </c>
      <c r="Q97" s="112">
        <v>4.6500000000000004</v>
      </c>
    </row>
    <row r="98" spans="1:22" customFormat="1">
      <c r="A98" s="80">
        <v>45562.9375</v>
      </c>
      <c r="B98" s="112">
        <v>9.2799999999999994</v>
      </c>
      <c r="C98" s="112">
        <v>4.0999999999999996</v>
      </c>
      <c r="D98" s="112">
        <v>14.03</v>
      </c>
      <c r="E98" s="112">
        <v>11.46</v>
      </c>
      <c r="F98" s="112">
        <v>3.95</v>
      </c>
      <c r="G98" s="112">
        <v>12.14</v>
      </c>
      <c r="H98" s="112">
        <v>2.75</v>
      </c>
      <c r="I98" s="112">
        <v>3.72</v>
      </c>
      <c r="J98" s="112">
        <v>0.08</v>
      </c>
      <c r="K98" s="112">
        <v>217.22</v>
      </c>
      <c r="L98" s="112">
        <v>26.66</v>
      </c>
      <c r="M98" s="112">
        <v>98.17</v>
      </c>
      <c r="N98" s="112">
        <v>2.1</v>
      </c>
      <c r="O98" s="112">
        <v>0</v>
      </c>
      <c r="P98" s="112">
        <v>0.34</v>
      </c>
      <c r="Q98" s="112">
        <v>4.67</v>
      </c>
    </row>
    <row r="99" spans="1:22" customFormat="1">
      <c r="A99" s="80">
        <v>45562.947916666664</v>
      </c>
      <c r="B99" s="112">
        <v>9.31</v>
      </c>
      <c r="C99" s="112">
        <v>4.05</v>
      </c>
      <c r="D99" s="112">
        <v>14.03</v>
      </c>
      <c r="E99" s="112">
        <v>11.5</v>
      </c>
      <c r="F99" s="112">
        <v>4.3</v>
      </c>
      <c r="G99" s="112">
        <v>12.14</v>
      </c>
      <c r="H99" s="112">
        <v>2.75</v>
      </c>
      <c r="I99" s="112">
        <v>3.72</v>
      </c>
      <c r="J99" s="112">
        <v>0.09</v>
      </c>
      <c r="K99" s="112">
        <v>159.31</v>
      </c>
      <c r="L99" s="112">
        <v>26.66</v>
      </c>
      <c r="M99" s="112">
        <v>98.3</v>
      </c>
      <c r="N99" s="112">
        <v>2.1</v>
      </c>
      <c r="O99" s="112">
        <v>0</v>
      </c>
      <c r="P99" s="112">
        <v>0.35</v>
      </c>
      <c r="Q99" s="112">
        <v>4.67</v>
      </c>
    </row>
    <row r="100" spans="1:22" customFormat="1">
      <c r="A100" s="80">
        <v>45562.958333333336</v>
      </c>
      <c r="B100" s="112">
        <v>9.31</v>
      </c>
      <c r="C100" s="112">
        <v>4.07</v>
      </c>
      <c r="D100" s="112">
        <v>14.04</v>
      </c>
      <c r="E100" s="112">
        <v>11.24</v>
      </c>
      <c r="F100" s="112">
        <v>4.59</v>
      </c>
      <c r="G100" s="112">
        <v>12.43</v>
      </c>
      <c r="H100" s="112">
        <v>2.89</v>
      </c>
      <c r="I100" s="112">
        <v>3.82</v>
      </c>
      <c r="J100" s="112">
        <v>0.1</v>
      </c>
      <c r="K100" s="112">
        <v>218.41</v>
      </c>
      <c r="L100" s="112">
        <v>26.63</v>
      </c>
      <c r="M100" s="112">
        <v>98.25</v>
      </c>
      <c r="N100" s="112">
        <v>2.1</v>
      </c>
      <c r="O100" s="112">
        <v>0</v>
      </c>
      <c r="P100" s="112">
        <v>0.34</v>
      </c>
      <c r="Q100" s="112">
        <v>4.66</v>
      </c>
    </row>
    <row r="101" spans="1:22" customFormat="1">
      <c r="A101" s="80">
        <v>45562.96875</v>
      </c>
      <c r="B101" s="112">
        <v>9.3000000000000007</v>
      </c>
      <c r="C101" s="112">
        <v>4.0599999999999996</v>
      </c>
      <c r="D101" s="112">
        <v>14.03</v>
      </c>
      <c r="E101" s="112">
        <v>11.69</v>
      </c>
      <c r="F101" s="112">
        <v>4.29</v>
      </c>
      <c r="G101" s="112">
        <v>17.37</v>
      </c>
      <c r="H101" s="112">
        <v>5.09</v>
      </c>
      <c r="I101" s="112">
        <v>3.8</v>
      </c>
      <c r="J101" s="112">
        <v>0.1</v>
      </c>
      <c r="K101" s="112">
        <v>239.33</v>
      </c>
      <c r="L101" s="112">
        <v>26.57</v>
      </c>
      <c r="M101" s="112">
        <v>98.24</v>
      </c>
      <c r="N101" s="112">
        <v>2.1</v>
      </c>
      <c r="O101" s="112">
        <v>0</v>
      </c>
      <c r="P101" s="112">
        <v>0.34</v>
      </c>
      <c r="Q101" s="112">
        <v>4.67</v>
      </c>
    </row>
    <row r="102" spans="1:22" customFormat="1">
      <c r="A102" s="80">
        <v>45562.979166666664</v>
      </c>
      <c r="B102" s="112">
        <v>9.2899999999999991</v>
      </c>
      <c r="C102" s="112">
        <v>4.09</v>
      </c>
      <c r="D102" s="112">
        <v>14.04</v>
      </c>
      <c r="E102" s="112">
        <v>11.87</v>
      </c>
      <c r="F102" s="112">
        <v>3.92</v>
      </c>
      <c r="G102" s="112">
        <v>17.37</v>
      </c>
      <c r="H102" s="112">
        <v>5.09</v>
      </c>
      <c r="I102" s="112">
        <v>3.71</v>
      </c>
      <c r="J102" s="112">
        <v>0.16</v>
      </c>
      <c r="K102" s="112">
        <v>261.60000000000002</v>
      </c>
      <c r="L102" s="112">
        <v>26.53</v>
      </c>
      <c r="M102" s="112">
        <v>98.68</v>
      </c>
      <c r="N102" s="112">
        <v>2.1</v>
      </c>
      <c r="O102" s="112">
        <v>0</v>
      </c>
      <c r="P102" s="112">
        <v>0.34</v>
      </c>
      <c r="Q102" s="112">
        <v>4.66</v>
      </c>
    </row>
    <row r="103" spans="1:22" customFormat="1">
      <c r="A103" s="80">
        <v>45562.989583333336</v>
      </c>
      <c r="B103" s="112">
        <v>9.3000000000000007</v>
      </c>
      <c r="C103" s="112">
        <v>4.08</v>
      </c>
      <c r="D103" s="112">
        <v>14.04</v>
      </c>
      <c r="E103" s="112">
        <v>11.74</v>
      </c>
      <c r="F103" s="112">
        <v>4.49</v>
      </c>
      <c r="G103" s="112">
        <v>17.37</v>
      </c>
      <c r="H103" s="112">
        <v>5.09</v>
      </c>
      <c r="I103" s="112">
        <v>3.71</v>
      </c>
      <c r="J103" s="112">
        <v>0.23</v>
      </c>
      <c r="K103" s="112">
        <v>264.82</v>
      </c>
      <c r="L103" s="112">
        <v>26.45</v>
      </c>
      <c r="M103" s="112">
        <v>98.79</v>
      </c>
      <c r="N103" s="112">
        <v>2.1</v>
      </c>
      <c r="O103" s="112">
        <v>0</v>
      </c>
      <c r="P103" s="112">
        <v>0.34</v>
      </c>
      <c r="Q103" s="112">
        <v>4.68</v>
      </c>
    </row>
    <row r="104" spans="1:22" customFormat="1">
      <c r="A104" s="80">
        <v>45563</v>
      </c>
      <c r="B104" s="112">
        <v>9.31</v>
      </c>
      <c r="C104" s="112">
        <v>4.08</v>
      </c>
      <c r="D104" s="112">
        <v>14.05</v>
      </c>
      <c r="E104" s="112">
        <v>11.67</v>
      </c>
      <c r="F104" s="112">
        <v>5.09</v>
      </c>
      <c r="G104" s="112">
        <v>17.57</v>
      </c>
      <c r="H104" s="112">
        <v>5.16</v>
      </c>
      <c r="I104" s="112">
        <v>3.8</v>
      </c>
      <c r="J104" s="112">
        <v>0.15</v>
      </c>
      <c r="K104" s="112">
        <v>271.66000000000003</v>
      </c>
      <c r="L104" s="112">
        <v>26.43</v>
      </c>
      <c r="M104" s="112">
        <v>96.98</v>
      </c>
      <c r="N104" s="112">
        <v>2.1</v>
      </c>
      <c r="O104" s="112">
        <v>0</v>
      </c>
      <c r="P104" s="112">
        <v>0.35</v>
      </c>
      <c r="Q104" s="112">
        <v>4.67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9.1999999999999993</v>
      </c>
      <c r="C106" s="183">
        <f>MIN(C9:C104)</f>
        <v>4</v>
      </c>
      <c r="D106" s="183">
        <f t="shared" ref="D106:Q106" si="0">MIN(D9:D104)</f>
        <v>14</v>
      </c>
      <c r="E106" s="183">
        <f t="shared" si="0"/>
        <v>5.9</v>
      </c>
      <c r="F106" s="183">
        <f t="shared" si="0"/>
        <v>2.93</v>
      </c>
      <c r="G106" s="183">
        <f t="shared" si="0"/>
        <v>6.58</v>
      </c>
      <c r="H106" s="183">
        <f t="shared" si="0"/>
        <v>1</v>
      </c>
      <c r="I106" s="183">
        <f t="shared" si="0"/>
        <v>3.13</v>
      </c>
      <c r="J106" s="183">
        <f t="shared" si="0"/>
        <v>0.02</v>
      </c>
      <c r="K106" s="183">
        <f t="shared" si="0"/>
        <v>71.290000000000006</v>
      </c>
      <c r="L106" s="183">
        <f t="shared" si="0"/>
        <v>24.76</v>
      </c>
      <c r="M106" s="183">
        <f t="shared" si="0"/>
        <v>70.540000000000006</v>
      </c>
      <c r="N106" s="183">
        <f t="shared" si="0"/>
        <v>1.9</v>
      </c>
      <c r="O106" s="183">
        <f t="shared" si="0"/>
        <v>0</v>
      </c>
      <c r="P106" s="183">
        <f t="shared" si="0"/>
        <v>0.27</v>
      </c>
      <c r="Q106" s="183">
        <f t="shared" si="0"/>
        <v>4.62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9.4499999999999993</v>
      </c>
      <c r="C107" s="184">
        <f t="shared" ref="C107:Q107" si="1">MAX(C9:C104)</f>
        <v>4.1500000000000004</v>
      </c>
      <c r="D107" s="184">
        <f t="shared" si="1"/>
        <v>14.14</v>
      </c>
      <c r="E107" s="184">
        <f t="shared" si="1"/>
        <v>12.96</v>
      </c>
      <c r="F107" s="184">
        <f t="shared" si="1"/>
        <v>9.77</v>
      </c>
      <c r="G107" s="184">
        <f t="shared" si="1"/>
        <v>20.48</v>
      </c>
      <c r="H107" s="184">
        <f t="shared" si="1"/>
        <v>7.22</v>
      </c>
      <c r="I107" s="184">
        <f t="shared" si="1"/>
        <v>4.12</v>
      </c>
      <c r="J107" s="184">
        <f t="shared" si="1"/>
        <v>0.7</v>
      </c>
      <c r="K107" s="184">
        <f t="shared" si="1"/>
        <v>358.19</v>
      </c>
      <c r="L107" s="184">
        <f t="shared" si="1"/>
        <v>31.83</v>
      </c>
      <c r="M107" s="184">
        <f t="shared" si="1"/>
        <v>100.7</v>
      </c>
      <c r="N107" s="184">
        <f t="shared" si="1"/>
        <v>804.7</v>
      </c>
      <c r="O107" s="184">
        <f t="shared" si="1"/>
        <v>0.6</v>
      </c>
      <c r="P107" s="184">
        <f t="shared" si="1"/>
        <v>0.37</v>
      </c>
      <c r="Q107" s="184">
        <f t="shared" si="1"/>
        <v>4.68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9.2888541666666598</v>
      </c>
      <c r="C108" s="183">
        <f t="shared" ref="C108:Q108" si="2">AVERAGE(C9:C104)</f>
        <v>4.0791666666666666</v>
      </c>
      <c r="D108" s="183">
        <f t="shared" si="2"/>
        <v>14.029895833333322</v>
      </c>
      <c r="E108" s="183">
        <f t="shared" si="2"/>
        <v>10.912083333333333</v>
      </c>
      <c r="F108" s="183">
        <f t="shared" si="2"/>
        <v>5.7020833333333343</v>
      </c>
      <c r="G108" s="183">
        <f t="shared" si="2"/>
        <v>12.267291666666667</v>
      </c>
      <c r="H108" s="183">
        <f t="shared" si="2"/>
        <v>2.8710416666666654</v>
      </c>
      <c r="I108" s="183">
        <f t="shared" si="2"/>
        <v>3.5684375000000013</v>
      </c>
      <c r="J108" s="183">
        <f t="shared" si="2"/>
        <v>0.18697916666666667</v>
      </c>
      <c r="K108" s="183">
        <f t="shared" si="2"/>
        <v>218.32385416666673</v>
      </c>
      <c r="L108" s="183">
        <f t="shared" si="2"/>
        <v>27.502083333333328</v>
      </c>
      <c r="M108" s="183">
        <f t="shared" si="2"/>
        <v>91.334166666666661</v>
      </c>
      <c r="N108" s="183">
        <f t="shared" si="2"/>
        <v>89.421875000000043</v>
      </c>
      <c r="O108" s="183">
        <f t="shared" si="2"/>
        <v>8.3333333333333332E-3</v>
      </c>
      <c r="P108" s="183">
        <f t="shared" si="2"/>
        <v>0.32145833333333329</v>
      </c>
      <c r="Q108" s="183">
        <f t="shared" si="2"/>
        <v>4.6528124999999987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4.7636116145247445E-2</v>
      </c>
      <c r="C109" s="183">
        <f t="shared" ref="C109:Q109" si="3">STDEV(C9:C104)</f>
        <v>2.5325945367783088E-2</v>
      </c>
      <c r="D109" s="183">
        <f t="shared" si="3"/>
        <v>3.2783012021365326E-2</v>
      </c>
      <c r="E109" s="183">
        <f t="shared" si="3"/>
        <v>1.5948073083846923</v>
      </c>
      <c r="F109" s="183">
        <f t="shared" si="3"/>
        <v>1.2197030843754895</v>
      </c>
      <c r="G109" s="183">
        <f t="shared" si="3"/>
        <v>3.6091525406116407</v>
      </c>
      <c r="H109" s="183">
        <f t="shared" si="3"/>
        <v>1.7586456985369361</v>
      </c>
      <c r="I109" s="183">
        <f t="shared" si="3"/>
        <v>0.21626167446432012</v>
      </c>
      <c r="J109" s="183">
        <f t="shared" si="3"/>
        <v>0.15544922875105627</v>
      </c>
      <c r="K109" s="183">
        <f t="shared" si="3"/>
        <v>54.43435556743183</v>
      </c>
      <c r="L109" s="183">
        <f t="shared" si="3"/>
        <v>2.0960217539382819</v>
      </c>
      <c r="M109" s="183">
        <f t="shared" si="3"/>
        <v>9.1739844602655118</v>
      </c>
      <c r="N109" s="183">
        <f t="shared" si="3"/>
        <v>163.22834067850442</v>
      </c>
      <c r="O109" s="183">
        <f t="shared" si="3"/>
        <v>6.4345558333058092E-2</v>
      </c>
      <c r="P109" s="183">
        <f t="shared" si="3"/>
        <v>2.1666329282124999E-2</v>
      </c>
      <c r="Q109" s="183">
        <f t="shared" si="3"/>
        <v>1.3353739866458891E-2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3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45563.010416666664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45563.010416666664</v>
      </c>
      <c r="B9" s="112">
        <v>9.2799999999999994</v>
      </c>
      <c r="C9" s="112">
        <v>4.04</v>
      </c>
      <c r="D9" s="112">
        <v>14</v>
      </c>
      <c r="E9" s="112">
        <v>11.09</v>
      </c>
      <c r="F9" s="112">
        <v>5.54</v>
      </c>
      <c r="G9" s="112">
        <v>20.89</v>
      </c>
      <c r="H9" s="112">
        <v>6.25</v>
      </c>
      <c r="I9" s="112">
        <v>3.66</v>
      </c>
      <c r="J9" s="112">
        <v>0.2</v>
      </c>
      <c r="K9" s="112">
        <v>262.48</v>
      </c>
      <c r="L9" s="112">
        <v>26.36</v>
      </c>
      <c r="M9" s="112">
        <v>96.54</v>
      </c>
      <c r="N9" s="112">
        <v>2.2000000000000002</v>
      </c>
      <c r="O9" s="112">
        <v>0</v>
      </c>
      <c r="P9" s="112">
        <v>0.35</v>
      </c>
      <c r="Q9" s="112">
        <v>4.66</v>
      </c>
    </row>
    <row r="10" spans="1:21" customFormat="1">
      <c r="A10" s="80">
        <v>45563.020833333336</v>
      </c>
      <c r="B10" s="112">
        <v>9.27</v>
      </c>
      <c r="C10" s="112">
        <v>4.07</v>
      </c>
      <c r="D10" s="112">
        <v>14.01</v>
      </c>
      <c r="E10" s="112">
        <v>10.89</v>
      </c>
      <c r="F10" s="112">
        <v>5.24</v>
      </c>
      <c r="G10" s="112">
        <v>20.89</v>
      </c>
      <c r="H10" s="112">
        <v>6.25</v>
      </c>
      <c r="I10" s="112">
        <v>3.67</v>
      </c>
      <c r="J10" s="112">
        <v>0.17</v>
      </c>
      <c r="K10" s="112">
        <v>257.44</v>
      </c>
      <c r="L10" s="112">
        <v>26.34</v>
      </c>
      <c r="M10" s="112">
        <v>95.97</v>
      </c>
      <c r="N10" s="112">
        <v>2.2000000000000002</v>
      </c>
      <c r="O10" s="112">
        <v>0</v>
      </c>
      <c r="P10" s="112">
        <v>0.35</v>
      </c>
      <c r="Q10" s="112">
        <v>4.6399999999999997</v>
      </c>
    </row>
    <row r="11" spans="1:21" customFormat="1">
      <c r="A11" s="80">
        <v>45563.03125</v>
      </c>
      <c r="B11" s="112">
        <v>9.2799999999999994</v>
      </c>
      <c r="C11" s="112">
        <v>4.07</v>
      </c>
      <c r="D11" s="112">
        <v>14.01</v>
      </c>
      <c r="E11" s="112">
        <v>10.61</v>
      </c>
      <c r="F11" s="112">
        <v>5.28</v>
      </c>
      <c r="G11" s="112">
        <v>20.89</v>
      </c>
      <c r="H11" s="112">
        <v>6.25</v>
      </c>
      <c r="I11" s="112">
        <v>3.66</v>
      </c>
      <c r="J11" s="112">
        <v>0.22</v>
      </c>
      <c r="K11" s="112">
        <v>261.67</v>
      </c>
      <c r="L11" s="112">
        <v>26.22</v>
      </c>
      <c r="M11" s="112">
        <v>95.54</v>
      </c>
      <c r="N11" s="112">
        <v>2.2000000000000002</v>
      </c>
      <c r="O11" s="112">
        <v>0</v>
      </c>
      <c r="P11" s="112">
        <v>0.35</v>
      </c>
      <c r="Q11" s="112">
        <v>4.6500000000000004</v>
      </c>
    </row>
    <row r="12" spans="1:21" customFormat="1">
      <c r="A12" s="80">
        <v>45563.041666666664</v>
      </c>
      <c r="B12" s="112">
        <v>9.25</v>
      </c>
      <c r="C12" s="112">
        <v>4.08</v>
      </c>
      <c r="D12" s="112">
        <v>14</v>
      </c>
      <c r="E12" s="112">
        <v>10.24</v>
      </c>
      <c r="F12" s="112">
        <v>5.4</v>
      </c>
      <c r="G12" s="112">
        <v>20.86</v>
      </c>
      <c r="H12" s="112">
        <v>6.23</v>
      </c>
      <c r="I12" s="112">
        <v>3.73</v>
      </c>
      <c r="J12" s="112">
        <v>0.2</v>
      </c>
      <c r="K12" s="112">
        <v>267.51</v>
      </c>
      <c r="L12" s="112">
        <v>26.1</v>
      </c>
      <c r="M12" s="112">
        <v>95.7</v>
      </c>
      <c r="N12" s="112">
        <v>2.1</v>
      </c>
      <c r="O12" s="112">
        <v>0</v>
      </c>
      <c r="P12" s="112">
        <v>0.34</v>
      </c>
      <c r="Q12" s="112">
        <v>4.6500000000000004</v>
      </c>
    </row>
    <row r="13" spans="1:21" customFormat="1">
      <c r="A13" s="80">
        <v>45563.052083333336</v>
      </c>
      <c r="B13" s="112">
        <v>9.26</v>
      </c>
      <c r="C13" s="112">
        <v>4.07</v>
      </c>
      <c r="D13" s="112">
        <v>14</v>
      </c>
      <c r="E13" s="112">
        <v>10.42</v>
      </c>
      <c r="F13" s="112">
        <v>5.44</v>
      </c>
      <c r="G13" s="112">
        <v>20.22</v>
      </c>
      <c r="H13" s="112">
        <v>5.82</v>
      </c>
      <c r="I13" s="112">
        <v>3.69</v>
      </c>
      <c r="J13" s="112">
        <v>0.16</v>
      </c>
      <c r="K13" s="112">
        <v>259.48</v>
      </c>
      <c r="L13" s="112">
        <v>26.01</v>
      </c>
      <c r="M13" s="112">
        <v>95.55</v>
      </c>
      <c r="N13" s="112">
        <v>2.1</v>
      </c>
      <c r="O13" s="112">
        <v>0</v>
      </c>
      <c r="P13" s="112">
        <v>0.34</v>
      </c>
      <c r="Q13" s="112">
        <v>4.66</v>
      </c>
    </row>
    <row r="14" spans="1:21" customFormat="1">
      <c r="A14" s="80">
        <v>45563.0625</v>
      </c>
      <c r="B14" s="112">
        <v>9.26</v>
      </c>
      <c r="C14" s="112">
        <v>4.0599999999999996</v>
      </c>
      <c r="D14" s="112">
        <v>14</v>
      </c>
      <c r="E14" s="112">
        <v>10.3</v>
      </c>
      <c r="F14" s="112">
        <v>5.29</v>
      </c>
      <c r="G14" s="112">
        <v>20.22</v>
      </c>
      <c r="H14" s="112">
        <v>5.82</v>
      </c>
      <c r="I14" s="112">
        <v>3.64</v>
      </c>
      <c r="J14" s="112">
        <v>0.19</v>
      </c>
      <c r="K14" s="112">
        <v>262.16000000000003</v>
      </c>
      <c r="L14" s="112">
        <v>25.89</v>
      </c>
      <c r="M14" s="112">
        <v>95.21</v>
      </c>
      <c r="N14" s="112">
        <v>2.1</v>
      </c>
      <c r="O14" s="112">
        <v>0</v>
      </c>
      <c r="P14" s="112">
        <v>0.34</v>
      </c>
      <c r="Q14" s="112">
        <v>4.6399999999999997</v>
      </c>
    </row>
    <row r="15" spans="1:21" customFormat="1">
      <c r="A15" s="80">
        <v>45563.072916666664</v>
      </c>
      <c r="B15" s="112">
        <v>9.25</v>
      </c>
      <c r="C15" s="112">
        <v>4.09</v>
      </c>
      <c r="D15" s="112">
        <v>14</v>
      </c>
      <c r="E15" s="112">
        <v>10.24</v>
      </c>
      <c r="F15" s="112">
        <v>4.87</v>
      </c>
      <c r="G15" s="112">
        <v>20.22</v>
      </c>
      <c r="H15" s="112">
        <v>5.82</v>
      </c>
      <c r="I15" s="112">
        <v>3.68</v>
      </c>
      <c r="J15" s="112">
        <v>0.17</v>
      </c>
      <c r="K15" s="112">
        <v>259.44</v>
      </c>
      <c r="L15" s="112">
        <v>25.82</v>
      </c>
      <c r="M15" s="112">
        <v>95.18</v>
      </c>
      <c r="N15" s="112">
        <v>2.1</v>
      </c>
      <c r="O15" s="112">
        <v>0</v>
      </c>
      <c r="P15" s="112">
        <v>0.34</v>
      </c>
      <c r="Q15" s="112">
        <v>4.6399999999999997</v>
      </c>
    </row>
    <row r="16" spans="1:21" customFormat="1">
      <c r="A16" s="80">
        <v>45563.083333333336</v>
      </c>
      <c r="B16" s="112">
        <v>9.25</v>
      </c>
      <c r="C16" s="112">
        <v>4.08</v>
      </c>
      <c r="D16" s="112">
        <v>14</v>
      </c>
      <c r="E16" s="112">
        <v>10.14</v>
      </c>
      <c r="F16" s="112">
        <v>4.8499999999999996</v>
      </c>
      <c r="G16" s="112">
        <v>20.16</v>
      </c>
      <c r="H16" s="112">
        <v>5.84</v>
      </c>
      <c r="I16" s="112">
        <v>3.74</v>
      </c>
      <c r="J16" s="112">
        <v>0.19</v>
      </c>
      <c r="K16" s="112">
        <v>265.76</v>
      </c>
      <c r="L16" s="112">
        <v>25.66</v>
      </c>
      <c r="M16" s="112">
        <v>95.81</v>
      </c>
      <c r="N16" s="112">
        <v>2.1</v>
      </c>
      <c r="O16" s="112">
        <v>0</v>
      </c>
      <c r="P16" s="112">
        <v>0.35</v>
      </c>
      <c r="Q16" s="112">
        <v>4.6500000000000004</v>
      </c>
    </row>
    <row r="17" spans="1:17" customFormat="1">
      <c r="A17" s="80">
        <v>45563.09375</v>
      </c>
      <c r="B17" s="112">
        <v>9.25</v>
      </c>
      <c r="C17" s="112">
        <v>4.08</v>
      </c>
      <c r="D17" s="112">
        <v>14</v>
      </c>
      <c r="E17" s="112">
        <v>10.19</v>
      </c>
      <c r="F17" s="112">
        <v>4.8499999999999996</v>
      </c>
      <c r="G17" s="112">
        <v>18.82</v>
      </c>
      <c r="H17" s="112">
        <v>6.23</v>
      </c>
      <c r="I17" s="112">
        <v>3.76</v>
      </c>
      <c r="J17" s="112">
        <v>0.16</v>
      </c>
      <c r="K17" s="112">
        <v>258.89</v>
      </c>
      <c r="L17" s="112">
        <v>25.57</v>
      </c>
      <c r="M17" s="112">
        <v>95.59</v>
      </c>
      <c r="N17" s="112">
        <v>2.1</v>
      </c>
      <c r="O17" s="112">
        <v>0</v>
      </c>
      <c r="P17" s="112">
        <v>0.34</v>
      </c>
      <c r="Q17" s="112">
        <v>4.6500000000000004</v>
      </c>
    </row>
    <row r="18" spans="1:17" customFormat="1">
      <c r="A18" s="80">
        <v>45563.104166666664</v>
      </c>
      <c r="B18" s="112">
        <v>9.27</v>
      </c>
      <c r="C18" s="112">
        <v>4.07</v>
      </c>
      <c r="D18" s="112">
        <v>14.01</v>
      </c>
      <c r="E18" s="112">
        <v>11.86</v>
      </c>
      <c r="F18" s="112">
        <v>4.75</v>
      </c>
      <c r="G18" s="112">
        <v>18.82</v>
      </c>
      <c r="H18" s="112">
        <v>6.23</v>
      </c>
      <c r="I18" s="112">
        <v>3.76</v>
      </c>
      <c r="J18" s="112">
        <v>0.13</v>
      </c>
      <c r="K18" s="112">
        <v>265.41000000000003</v>
      </c>
      <c r="L18" s="112">
        <v>25.49</v>
      </c>
      <c r="M18" s="112">
        <v>95.68</v>
      </c>
      <c r="N18" s="112">
        <v>2.1</v>
      </c>
      <c r="O18" s="112">
        <v>0</v>
      </c>
      <c r="P18" s="112">
        <v>0.34</v>
      </c>
      <c r="Q18" s="112">
        <v>4.6399999999999997</v>
      </c>
    </row>
    <row r="19" spans="1:17" customFormat="1">
      <c r="A19" s="80">
        <v>45563.114583333336</v>
      </c>
      <c r="B19" s="112">
        <v>9.26</v>
      </c>
      <c r="C19" s="112">
        <v>4.07</v>
      </c>
      <c r="D19" s="112">
        <v>14</v>
      </c>
      <c r="E19" s="112">
        <v>11.89</v>
      </c>
      <c r="F19" s="112">
        <v>4.59</v>
      </c>
      <c r="G19" s="112">
        <v>18.82</v>
      </c>
      <c r="H19" s="112">
        <v>6.23</v>
      </c>
      <c r="I19" s="112">
        <v>3.98</v>
      </c>
      <c r="J19" s="112">
        <v>0.18</v>
      </c>
      <c r="K19" s="112">
        <v>260.97000000000003</v>
      </c>
      <c r="L19" s="112">
        <v>25.36</v>
      </c>
      <c r="M19" s="112">
        <v>95.81</v>
      </c>
      <c r="N19" s="112">
        <v>2.1</v>
      </c>
      <c r="O19" s="112">
        <v>0</v>
      </c>
      <c r="P19" s="112">
        <v>0.34</v>
      </c>
      <c r="Q19" s="112">
        <v>4.6500000000000004</v>
      </c>
    </row>
    <row r="20" spans="1:17" customFormat="1">
      <c r="A20" s="80">
        <v>45563.125</v>
      </c>
      <c r="B20" s="112">
        <v>9.26</v>
      </c>
      <c r="C20" s="112">
        <v>4.09</v>
      </c>
      <c r="D20" s="112">
        <v>14.01</v>
      </c>
      <c r="E20" s="112">
        <v>11.81</v>
      </c>
      <c r="F20" s="112">
        <v>4.6399999999999997</v>
      </c>
      <c r="G20" s="112">
        <v>18.57</v>
      </c>
      <c r="H20" s="112">
        <v>6.24</v>
      </c>
      <c r="I20" s="112">
        <v>4.03</v>
      </c>
      <c r="J20" s="112">
        <v>0.13</v>
      </c>
      <c r="K20" s="112">
        <v>272.87</v>
      </c>
      <c r="L20" s="112">
        <v>25.24</v>
      </c>
      <c r="M20" s="112">
        <v>96.05</v>
      </c>
      <c r="N20" s="112">
        <v>2.1</v>
      </c>
      <c r="O20" s="112">
        <v>0</v>
      </c>
      <c r="P20" s="112">
        <v>0.34</v>
      </c>
      <c r="Q20" s="112">
        <v>4.67</v>
      </c>
    </row>
    <row r="21" spans="1:17" customFormat="1">
      <c r="A21" s="80">
        <v>45563.135416666664</v>
      </c>
      <c r="B21" s="112">
        <v>9.27</v>
      </c>
      <c r="C21" s="112">
        <v>4.07</v>
      </c>
      <c r="D21" s="112">
        <v>14.01</v>
      </c>
      <c r="E21" s="112">
        <v>11.89</v>
      </c>
      <c r="F21" s="112">
        <v>4.76</v>
      </c>
      <c r="G21" s="112">
        <v>13.24</v>
      </c>
      <c r="H21" s="112">
        <v>6.34</v>
      </c>
      <c r="I21" s="112">
        <v>3.97</v>
      </c>
      <c r="J21" s="112">
        <v>0.17</v>
      </c>
      <c r="K21" s="112">
        <v>288.37</v>
      </c>
      <c r="L21" s="112">
        <v>25.13</v>
      </c>
      <c r="M21" s="112">
        <v>95.98</v>
      </c>
      <c r="N21" s="112">
        <v>2.1</v>
      </c>
      <c r="O21" s="112">
        <v>0</v>
      </c>
      <c r="P21" s="112">
        <v>0.33</v>
      </c>
      <c r="Q21" s="112">
        <v>4.66</v>
      </c>
    </row>
    <row r="22" spans="1:17" customFormat="1">
      <c r="A22" s="80">
        <v>45563.145833333336</v>
      </c>
      <c r="B22" s="112">
        <v>9.26</v>
      </c>
      <c r="C22" s="112">
        <v>4.09</v>
      </c>
      <c r="D22" s="112">
        <v>14.01</v>
      </c>
      <c r="E22" s="112">
        <v>11.87</v>
      </c>
      <c r="F22" s="112">
        <v>4.5199999999999996</v>
      </c>
      <c r="G22" s="112">
        <v>13.24</v>
      </c>
      <c r="H22" s="112">
        <v>6.34</v>
      </c>
      <c r="I22" s="112">
        <v>3.79</v>
      </c>
      <c r="J22" s="112">
        <v>0.2</v>
      </c>
      <c r="K22" s="112">
        <v>271.27</v>
      </c>
      <c r="L22" s="112">
        <v>25.05</v>
      </c>
      <c r="M22" s="112">
        <v>95.52</v>
      </c>
      <c r="N22" s="112">
        <v>2.1</v>
      </c>
      <c r="O22" s="112">
        <v>0</v>
      </c>
      <c r="P22" s="112">
        <v>0.33</v>
      </c>
      <c r="Q22" s="112">
        <v>4.6399999999999997</v>
      </c>
    </row>
    <row r="23" spans="1:17" customFormat="1">
      <c r="A23" s="80">
        <v>45563.15625</v>
      </c>
      <c r="B23" s="112">
        <v>9.26</v>
      </c>
      <c r="C23" s="112">
        <v>4.07</v>
      </c>
      <c r="D23" s="112">
        <v>14</v>
      </c>
      <c r="E23" s="112">
        <v>11.77</v>
      </c>
      <c r="F23" s="112">
        <v>4.66</v>
      </c>
      <c r="G23" s="112">
        <v>13.24</v>
      </c>
      <c r="H23" s="112">
        <v>6.34</v>
      </c>
      <c r="I23" s="112">
        <v>3.98</v>
      </c>
      <c r="J23" s="112">
        <v>0.17</v>
      </c>
      <c r="K23" s="112">
        <v>264.02999999999997</v>
      </c>
      <c r="L23" s="112">
        <v>24.98</v>
      </c>
      <c r="M23" s="112">
        <v>95.22</v>
      </c>
      <c r="N23" s="112">
        <v>2.1</v>
      </c>
      <c r="O23" s="112">
        <v>0</v>
      </c>
      <c r="P23" s="112">
        <v>0.34</v>
      </c>
      <c r="Q23" s="112">
        <v>4.6500000000000004</v>
      </c>
    </row>
    <row r="24" spans="1:17" customFormat="1">
      <c r="A24" s="80">
        <v>45563.166666666664</v>
      </c>
      <c r="B24" s="112">
        <v>9.27</v>
      </c>
      <c r="C24" s="112">
        <v>4.07</v>
      </c>
      <c r="D24" s="112">
        <v>14</v>
      </c>
      <c r="E24" s="112">
        <v>11.43</v>
      </c>
      <c r="F24" s="112">
        <v>4.6900000000000004</v>
      </c>
      <c r="G24" s="112">
        <v>13.4</v>
      </c>
      <c r="H24" s="112">
        <v>6.31</v>
      </c>
      <c r="I24" s="112">
        <v>3.99</v>
      </c>
      <c r="J24" s="112">
        <v>0.17</v>
      </c>
      <c r="K24" s="112">
        <v>269.14999999999998</v>
      </c>
      <c r="L24" s="112">
        <v>24.88</v>
      </c>
      <c r="M24" s="112">
        <v>95.04</v>
      </c>
      <c r="N24" s="112">
        <v>2.1</v>
      </c>
      <c r="O24" s="112">
        <v>0</v>
      </c>
      <c r="P24" s="112">
        <v>0.33</v>
      </c>
      <c r="Q24" s="112">
        <v>4.6399999999999997</v>
      </c>
    </row>
    <row r="25" spans="1:17" customFormat="1">
      <c r="A25" s="80">
        <v>45563.177083333336</v>
      </c>
      <c r="B25" s="112">
        <v>9.27</v>
      </c>
      <c r="C25" s="112">
        <v>4.0599999999999996</v>
      </c>
      <c r="D25" s="112">
        <v>14.01</v>
      </c>
      <c r="E25" s="112">
        <v>11.98</v>
      </c>
      <c r="F25" s="112">
        <v>4.49</v>
      </c>
      <c r="G25" s="112">
        <v>16.940000000000001</v>
      </c>
      <c r="H25" s="112">
        <v>5.73</v>
      </c>
      <c r="I25" s="112">
        <v>3.96</v>
      </c>
      <c r="J25" s="112">
        <v>0.09</v>
      </c>
      <c r="K25" s="112">
        <v>264.36</v>
      </c>
      <c r="L25" s="112">
        <v>24.8</v>
      </c>
      <c r="M25" s="112">
        <v>95.2</v>
      </c>
      <c r="N25" s="112">
        <v>2.1</v>
      </c>
      <c r="O25" s="112">
        <v>0</v>
      </c>
      <c r="P25" s="112">
        <v>0.33</v>
      </c>
      <c r="Q25" s="112">
        <v>4.6500000000000004</v>
      </c>
    </row>
    <row r="26" spans="1:17" customFormat="1">
      <c r="A26" s="80">
        <v>45563.1875</v>
      </c>
      <c r="B26" s="112">
        <v>9.27</v>
      </c>
      <c r="C26" s="112">
        <v>4.05</v>
      </c>
      <c r="D26" s="112">
        <v>14</v>
      </c>
      <c r="E26" s="112">
        <v>11.36</v>
      </c>
      <c r="F26" s="112">
        <v>4.57</v>
      </c>
      <c r="G26" s="112">
        <v>16.940000000000001</v>
      </c>
      <c r="H26" s="112">
        <v>5.73</v>
      </c>
      <c r="I26" s="112">
        <v>3.91</v>
      </c>
      <c r="J26" s="112">
        <v>0.1</v>
      </c>
      <c r="K26" s="112">
        <v>245.8</v>
      </c>
      <c r="L26" s="112">
        <v>24.7</v>
      </c>
      <c r="M26" s="112">
        <v>96.08</v>
      </c>
      <c r="N26" s="112">
        <v>2.1</v>
      </c>
      <c r="O26" s="112">
        <v>0</v>
      </c>
      <c r="P26" s="112">
        <v>0.32</v>
      </c>
      <c r="Q26" s="112">
        <v>4.66</v>
      </c>
    </row>
    <row r="27" spans="1:17" customFormat="1">
      <c r="A27" s="80">
        <v>45563.197916666664</v>
      </c>
      <c r="B27" s="112">
        <v>9.31</v>
      </c>
      <c r="C27" s="112">
        <v>4.09</v>
      </c>
      <c r="D27" s="112">
        <v>14.05</v>
      </c>
      <c r="E27" s="112">
        <v>11.55</v>
      </c>
      <c r="F27" s="112">
        <v>4.29</v>
      </c>
      <c r="G27" s="112">
        <v>16.940000000000001</v>
      </c>
      <c r="H27" s="112">
        <v>5.73</v>
      </c>
      <c r="I27" s="112">
        <v>3.94</v>
      </c>
      <c r="J27" s="112">
        <v>0.13</v>
      </c>
      <c r="K27" s="112">
        <v>257.8</v>
      </c>
      <c r="L27" s="112">
        <v>24.72</v>
      </c>
      <c r="M27" s="112">
        <v>95.97</v>
      </c>
      <c r="N27" s="112">
        <v>2.1</v>
      </c>
      <c r="O27" s="112">
        <v>0</v>
      </c>
      <c r="P27" s="112">
        <v>0.31</v>
      </c>
      <c r="Q27" s="112">
        <v>4.67</v>
      </c>
    </row>
    <row r="28" spans="1:17" customFormat="1">
      <c r="A28" s="80">
        <v>45563.208333333336</v>
      </c>
      <c r="B28" s="112">
        <v>9.3699999999999992</v>
      </c>
      <c r="C28" s="112">
        <v>4.09</v>
      </c>
      <c r="D28" s="112">
        <v>14.1</v>
      </c>
      <c r="E28" s="112">
        <v>11.63</v>
      </c>
      <c r="F28" s="112">
        <v>4.03</v>
      </c>
      <c r="G28" s="112">
        <v>16.87</v>
      </c>
      <c r="H28" s="112">
        <v>5.64</v>
      </c>
      <c r="I28" s="112">
        <v>3.84</v>
      </c>
      <c r="J28" s="112">
        <v>0.12</v>
      </c>
      <c r="K28" s="112">
        <v>248.22</v>
      </c>
      <c r="L28" s="112">
        <v>24.64</v>
      </c>
      <c r="M28" s="112">
        <v>96.3</v>
      </c>
      <c r="N28" s="112">
        <v>2.1</v>
      </c>
      <c r="O28" s="112">
        <v>0</v>
      </c>
      <c r="P28" s="112">
        <v>0.31</v>
      </c>
      <c r="Q28" s="112">
        <v>4.67</v>
      </c>
    </row>
    <row r="29" spans="1:17" customFormat="1">
      <c r="A29" s="80">
        <v>45563.21875</v>
      </c>
      <c r="B29" s="112">
        <v>9.34</v>
      </c>
      <c r="C29" s="112">
        <v>4.09</v>
      </c>
      <c r="D29" s="112">
        <v>14.08</v>
      </c>
      <c r="E29" s="112">
        <v>11.87</v>
      </c>
      <c r="F29" s="112">
        <v>4.04</v>
      </c>
      <c r="G29" s="112">
        <v>15.39</v>
      </c>
      <c r="H29" s="112">
        <v>4.1100000000000003</v>
      </c>
      <c r="I29" s="112">
        <v>3.71</v>
      </c>
      <c r="J29" s="112">
        <v>0.13</v>
      </c>
      <c r="K29" s="112">
        <v>266.23</v>
      </c>
      <c r="L29" s="112">
        <v>24.5</v>
      </c>
      <c r="M29" s="112">
        <v>96.83</v>
      </c>
      <c r="N29" s="112">
        <v>2.1</v>
      </c>
      <c r="O29" s="112">
        <v>0</v>
      </c>
      <c r="P29" s="112">
        <v>0.3</v>
      </c>
      <c r="Q29" s="112">
        <v>4.66</v>
      </c>
    </row>
    <row r="30" spans="1:17" customFormat="1">
      <c r="A30" s="80">
        <v>45563.229166666664</v>
      </c>
      <c r="B30" s="112">
        <v>9.2799999999999994</v>
      </c>
      <c r="C30" s="112">
        <v>4.07</v>
      </c>
      <c r="D30" s="112">
        <v>14.02</v>
      </c>
      <c r="E30" s="112">
        <v>11.99</v>
      </c>
      <c r="F30" s="112">
        <v>4.0999999999999996</v>
      </c>
      <c r="G30" s="112">
        <v>15.39</v>
      </c>
      <c r="H30" s="112">
        <v>4.1100000000000003</v>
      </c>
      <c r="I30" s="112">
        <v>3.66</v>
      </c>
      <c r="J30" s="112">
        <v>0.2</v>
      </c>
      <c r="K30" s="112">
        <v>264.77999999999997</v>
      </c>
      <c r="L30" s="112">
        <v>24.53</v>
      </c>
      <c r="M30" s="112">
        <v>96.49</v>
      </c>
      <c r="N30" s="112">
        <v>2.1</v>
      </c>
      <c r="O30" s="112">
        <v>0</v>
      </c>
      <c r="P30" s="112">
        <v>0.3</v>
      </c>
      <c r="Q30" s="112">
        <v>4.66</v>
      </c>
    </row>
    <row r="31" spans="1:17" customFormat="1">
      <c r="A31" s="80">
        <v>45563.239583333336</v>
      </c>
      <c r="B31" s="112">
        <v>9.26</v>
      </c>
      <c r="C31" s="112">
        <v>4.09</v>
      </c>
      <c r="D31" s="112">
        <v>14.01</v>
      </c>
      <c r="E31" s="112">
        <v>11.92</v>
      </c>
      <c r="F31" s="112">
        <v>4.55</v>
      </c>
      <c r="G31" s="112">
        <v>15.39</v>
      </c>
      <c r="H31" s="112">
        <v>4.1100000000000003</v>
      </c>
      <c r="I31" s="112">
        <v>3.6</v>
      </c>
      <c r="J31" s="112">
        <v>0.21</v>
      </c>
      <c r="K31" s="112">
        <v>272.2</v>
      </c>
      <c r="L31" s="112">
        <v>24.53</v>
      </c>
      <c r="M31" s="112">
        <v>96.45</v>
      </c>
      <c r="N31" s="112">
        <v>3.2</v>
      </c>
      <c r="O31" s="112">
        <v>0</v>
      </c>
      <c r="P31" s="112">
        <v>0.3</v>
      </c>
      <c r="Q31" s="112">
        <v>4.66</v>
      </c>
    </row>
    <row r="32" spans="1:17" customFormat="1">
      <c r="A32" s="80">
        <v>45563.25</v>
      </c>
      <c r="B32" s="112">
        <v>9.27</v>
      </c>
      <c r="C32" s="112">
        <v>4.07</v>
      </c>
      <c r="D32" s="112">
        <v>14.01</v>
      </c>
      <c r="E32" s="112">
        <v>12.23</v>
      </c>
      <c r="F32" s="112">
        <v>4.29</v>
      </c>
      <c r="G32" s="112">
        <v>15.35</v>
      </c>
      <c r="H32" s="112">
        <v>4.26</v>
      </c>
      <c r="I32" s="112">
        <v>3.56</v>
      </c>
      <c r="J32" s="112">
        <v>0.19</v>
      </c>
      <c r="K32" s="112">
        <v>261.05</v>
      </c>
      <c r="L32" s="112">
        <v>24.57</v>
      </c>
      <c r="M32" s="112">
        <v>95.82</v>
      </c>
      <c r="N32" s="112">
        <v>7.3</v>
      </c>
      <c r="O32" s="112">
        <v>0</v>
      </c>
      <c r="P32" s="112">
        <v>0.28999999999999998</v>
      </c>
      <c r="Q32" s="112">
        <v>4.66</v>
      </c>
    </row>
    <row r="33" spans="1:17" customFormat="1">
      <c r="A33" s="80">
        <v>45563.260416666664</v>
      </c>
      <c r="B33" s="112">
        <v>9.26</v>
      </c>
      <c r="C33" s="112">
        <v>4.0599999999999996</v>
      </c>
      <c r="D33" s="112">
        <v>14</v>
      </c>
      <c r="E33" s="112">
        <v>12.94</v>
      </c>
      <c r="F33" s="112">
        <v>4.2699999999999996</v>
      </c>
      <c r="G33" s="112">
        <v>14.51</v>
      </c>
      <c r="H33" s="112">
        <v>6.55</v>
      </c>
      <c r="I33" s="112">
        <v>3.51</v>
      </c>
      <c r="J33" s="112">
        <v>0.22</v>
      </c>
      <c r="K33" s="112">
        <v>270.07</v>
      </c>
      <c r="L33" s="112">
        <v>24.67</v>
      </c>
      <c r="M33" s="112">
        <v>95.31</v>
      </c>
      <c r="N33" s="112">
        <v>12.9</v>
      </c>
      <c r="O33" s="112">
        <v>0</v>
      </c>
      <c r="P33" s="112">
        <v>0.28999999999999998</v>
      </c>
      <c r="Q33" s="112">
        <v>4.66</v>
      </c>
    </row>
    <row r="34" spans="1:17" customFormat="1">
      <c r="A34" s="80">
        <v>45563.270833333336</v>
      </c>
      <c r="B34" s="112">
        <v>9.24</v>
      </c>
      <c r="C34" s="112">
        <v>4.0999999999999996</v>
      </c>
      <c r="D34" s="112">
        <v>14</v>
      </c>
      <c r="E34" s="112">
        <v>12.25</v>
      </c>
      <c r="F34" s="112">
        <v>4.41</v>
      </c>
      <c r="G34" s="112">
        <v>14.51</v>
      </c>
      <c r="H34" s="112">
        <v>6.55</v>
      </c>
      <c r="I34" s="112">
        <v>3.48</v>
      </c>
      <c r="J34" s="112">
        <v>0.26</v>
      </c>
      <c r="K34" s="112">
        <v>271.45</v>
      </c>
      <c r="L34" s="112">
        <v>24.79</v>
      </c>
      <c r="M34" s="112">
        <v>94.91</v>
      </c>
      <c r="N34" s="112">
        <v>19.5</v>
      </c>
      <c r="O34" s="112">
        <v>0</v>
      </c>
      <c r="P34" s="112">
        <v>0.28999999999999998</v>
      </c>
      <c r="Q34" s="112">
        <v>4.68</v>
      </c>
    </row>
    <row r="35" spans="1:17" customFormat="1">
      <c r="A35" s="80">
        <v>45563.28125</v>
      </c>
      <c r="B35" s="112">
        <v>9.26</v>
      </c>
      <c r="C35" s="112">
        <v>4.07</v>
      </c>
      <c r="D35" s="112">
        <v>14</v>
      </c>
      <c r="E35" s="112">
        <v>12.5</v>
      </c>
      <c r="F35" s="112">
        <v>4.6900000000000004</v>
      </c>
      <c r="G35" s="112">
        <v>14.51</v>
      </c>
      <c r="H35" s="112">
        <v>6.55</v>
      </c>
      <c r="I35" s="112">
        <v>3.48</v>
      </c>
      <c r="J35" s="112">
        <v>0.24</v>
      </c>
      <c r="K35" s="112">
        <v>265.70999999999998</v>
      </c>
      <c r="L35" s="112">
        <v>25.04</v>
      </c>
      <c r="M35" s="112">
        <v>94.01</v>
      </c>
      <c r="N35" s="112">
        <v>25.6</v>
      </c>
      <c r="O35" s="112">
        <v>0</v>
      </c>
      <c r="P35" s="112">
        <v>0.28999999999999998</v>
      </c>
      <c r="Q35" s="112">
        <v>4.67</v>
      </c>
    </row>
    <row r="36" spans="1:17" customFormat="1">
      <c r="A36" s="80">
        <v>45563.291666666664</v>
      </c>
      <c r="B36" s="112">
        <v>9.25</v>
      </c>
      <c r="C36" s="112">
        <v>4.08</v>
      </c>
      <c r="D36" s="112">
        <v>14</v>
      </c>
      <c r="E36" s="112">
        <v>12.69</v>
      </c>
      <c r="F36" s="112">
        <v>4.6399999999999997</v>
      </c>
      <c r="G36" s="112">
        <v>14.74</v>
      </c>
      <c r="H36" s="112">
        <v>6.46</v>
      </c>
      <c r="I36" s="112">
        <v>3.47</v>
      </c>
      <c r="J36" s="112">
        <v>0.27</v>
      </c>
      <c r="K36" s="112">
        <v>267.19</v>
      </c>
      <c r="L36" s="112">
        <v>25.34</v>
      </c>
      <c r="M36" s="112">
        <v>92.56</v>
      </c>
      <c r="N36" s="112">
        <v>38.700000000000003</v>
      </c>
      <c r="O36" s="112">
        <v>0</v>
      </c>
      <c r="P36" s="112">
        <v>0.28999999999999998</v>
      </c>
      <c r="Q36" s="112">
        <v>4.66</v>
      </c>
    </row>
    <row r="37" spans="1:17" customFormat="1">
      <c r="A37" s="80">
        <v>45563.302083333336</v>
      </c>
      <c r="B37" s="112">
        <v>9.26</v>
      </c>
      <c r="C37" s="112">
        <v>4.08</v>
      </c>
      <c r="D37" s="112">
        <v>14.01</v>
      </c>
      <c r="E37" s="112">
        <v>12.79</v>
      </c>
      <c r="F37" s="112">
        <v>4.12</v>
      </c>
      <c r="G37" s="112">
        <v>19.690000000000001</v>
      </c>
      <c r="H37" s="112">
        <v>4.96</v>
      </c>
      <c r="I37" s="112">
        <v>3.47</v>
      </c>
      <c r="J37" s="112">
        <v>0.28999999999999998</v>
      </c>
      <c r="K37" s="112">
        <v>259.51</v>
      </c>
      <c r="L37" s="112">
        <v>25.96</v>
      </c>
      <c r="M37" s="112">
        <v>89.97</v>
      </c>
      <c r="N37" s="112">
        <v>51.2</v>
      </c>
      <c r="O37" s="112">
        <v>0</v>
      </c>
      <c r="P37" s="112">
        <v>0.28999999999999998</v>
      </c>
      <c r="Q37" s="112">
        <v>4.67</v>
      </c>
    </row>
    <row r="38" spans="1:17" customFormat="1">
      <c r="A38" s="80">
        <v>45563.3125</v>
      </c>
      <c r="B38" s="112">
        <v>9.26</v>
      </c>
      <c r="C38" s="112">
        <v>4.09</v>
      </c>
      <c r="D38" s="112">
        <v>14.02</v>
      </c>
      <c r="E38" s="112">
        <v>13.06</v>
      </c>
      <c r="F38" s="112">
        <v>4.63</v>
      </c>
      <c r="G38" s="112">
        <v>19.690000000000001</v>
      </c>
      <c r="H38" s="112">
        <v>4.96</v>
      </c>
      <c r="I38" s="112">
        <v>3.47</v>
      </c>
      <c r="J38" s="112">
        <v>0.28000000000000003</v>
      </c>
      <c r="K38" s="112">
        <v>261.33999999999997</v>
      </c>
      <c r="L38" s="112">
        <v>26.41</v>
      </c>
      <c r="M38" s="112">
        <v>88.34</v>
      </c>
      <c r="N38" s="112">
        <v>64.3</v>
      </c>
      <c r="O38" s="112">
        <v>0</v>
      </c>
      <c r="P38" s="112">
        <v>0.28000000000000003</v>
      </c>
      <c r="Q38" s="112">
        <v>4.67</v>
      </c>
    </row>
    <row r="39" spans="1:17" customFormat="1">
      <c r="A39" s="80">
        <v>45563.322916666664</v>
      </c>
      <c r="B39" s="112">
        <v>9.27</v>
      </c>
      <c r="C39" s="112">
        <v>4.07</v>
      </c>
      <c r="D39" s="112">
        <v>14.01</v>
      </c>
      <c r="E39" s="112">
        <v>12.79</v>
      </c>
      <c r="F39" s="112">
        <v>4.84</v>
      </c>
      <c r="G39" s="112">
        <v>19.690000000000001</v>
      </c>
      <c r="H39" s="112">
        <v>4.96</v>
      </c>
      <c r="I39" s="112">
        <v>3.45</v>
      </c>
      <c r="J39" s="112">
        <v>0.41</v>
      </c>
      <c r="K39" s="112">
        <v>261.72000000000003</v>
      </c>
      <c r="L39" s="112">
        <v>26.85</v>
      </c>
      <c r="M39" s="112">
        <v>85.71</v>
      </c>
      <c r="N39" s="112">
        <v>105.3</v>
      </c>
      <c r="O39" s="112">
        <v>0</v>
      </c>
      <c r="P39" s="112">
        <v>0.28999999999999998</v>
      </c>
      <c r="Q39" s="112">
        <v>4.67</v>
      </c>
    </row>
    <row r="40" spans="1:17" customFormat="1">
      <c r="A40" s="80">
        <v>45563.333333333336</v>
      </c>
      <c r="B40" s="112">
        <v>9.2799999999999994</v>
      </c>
      <c r="C40" s="112">
        <v>4.0599999999999996</v>
      </c>
      <c r="D40" s="112">
        <v>14.01</v>
      </c>
      <c r="E40" s="112">
        <v>13.16</v>
      </c>
      <c r="F40" s="112">
        <v>5.33</v>
      </c>
      <c r="G40" s="112">
        <v>19.57</v>
      </c>
      <c r="H40" s="112">
        <v>4.92</v>
      </c>
      <c r="I40" s="112">
        <v>3.39</v>
      </c>
      <c r="J40" s="112">
        <v>0.42</v>
      </c>
      <c r="K40" s="112">
        <v>251.36</v>
      </c>
      <c r="L40" s="112">
        <v>27.16</v>
      </c>
      <c r="M40" s="112">
        <v>83.9</v>
      </c>
      <c r="N40" s="112">
        <v>117.8</v>
      </c>
      <c r="O40" s="112">
        <v>0</v>
      </c>
      <c r="P40" s="112">
        <v>0.28999999999999998</v>
      </c>
      <c r="Q40" s="112">
        <v>4.66</v>
      </c>
    </row>
    <row r="41" spans="1:17" customFormat="1">
      <c r="A41" s="80">
        <v>45563.34375</v>
      </c>
      <c r="B41" s="112">
        <v>9.27</v>
      </c>
      <c r="C41" s="112">
        <v>4.0599999999999996</v>
      </c>
      <c r="D41" s="112">
        <v>14.01</v>
      </c>
      <c r="E41" s="112">
        <v>12.73</v>
      </c>
      <c r="F41" s="112">
        <v>5.53</v>
      </c>
      <c r="G41" s="112">
        <v>16.989999999999998</v>
      </c>
      <c r="H41" s="112">
        <v>4.18</v>
      </c>
      <c r="I41" s="112">
        <v>3.35</v>
      </c>
      <c r="J41" s="112">
        <v>0.43</v>
      </c>
      <c r="K41" s="112">
        <v>254.22</v>
      </c>
      <c r="L41" s="112">
        <v>27.75</v>
      </c>
      <c r="M41" s="112">
        <v>82.16</v>
      </c>
      <c r="N41" s="112">
        <v>204.9</v>
      </c>
      <c r="O41" s="112">
        <v>0</v>
      </c>
      <c r="P41" s="112">
        <v>0.28999999999999998</v>
      </c>
      <c r="Q41" s="112">
        <v>4.68</v>
      </c>
    </row>
    <row r="42" spans="1:17" customFormat="1">
      <c r="A42" s="80">
        <v>45563.354166666664</v>
      </c>
      <c r="B42" s="112">
        <v>9.26</v>
      </c>
      <c r="C42" s="112">
        <v>4.07</v>
      </c>
      <c r="D42" s="112">
        <v>14</v>
      </c>
      <c r="E42" s="112">
        <v>13.16</v>
      </c>
      <c r="F42" s="112">
        <v>5.89</v>
      </c>
      <c r="G42" s="112">
        <v>16.989999999999998</v>
      </c>
      <c r="H42" s="112">
        <v>4.18</v>
      </c>
      <c r="I42" s="112">
        <v>3.38</v>
      </c>
      <c r="J42" s="112">
        <v>0.63</v>
      </c>
      <c r="K42" s="112">
        <v>263.52</v>
      </c>
      <c r="L42" s="112">
        <v>28.14</v>
      </c>
      <c r="M42" s="112">
        <v>80.89</v>
      </c>
      <c r="N42" s="112">
        <v>217</v>
      </c>
      <c r="O42" s="112">
        <v>0</v>
      </c>
      <c r="P42" s="112">
        <v>0.28999999999999998</v>
      </c>
      <c r="Q42" s="112">
        <v>4.67</v>
      </c>
    </row>
    <row r="43" spans="1:17" customFormat="1">
      <c r="A43" s="80">
        <v>45563.364583333336</v>
      </c>
      <c r="B43" s="112">
        <v>9.26</v>
      </c>
      <c r="C43" s="112">
        <v>4.08</v>
      </c>
      <c r="D43" s="112">
        <v>14</v>
      </c>
      <c r="E43" s="112">
        <v>12.97</v>
      </c>
      <c r="F43" s="112">
        <v>5.63</v>
      </c>
      <c r="G43" s="112">
        <v>16.989999999999998</v>
      </c>
      <c r="H43" s="112">
        <v>4.18</v>
      </c>
      <c r="I43" s="112">
        <v>3.39</v>
      </c>
      <c r="J43" s="112">
        <v>0.56999999999999995</v>
      </c>
      <c r="K43" s="112">
        <v>257.86</v>
      </c>
      <c r="L43" s="112">
        <v>28.79</v>
      </c>
      <c r="M43" s="112">
        <v>78.66</v>
      </c>
      <c r="N43" s="112">
        <v>128.1</v>
      </c>
      <c r="O43" s="112">
        <v>0</v>
      </c>
      <c r="P43" s="112">
        <v>0.3</v>
      </c>
      <c r="Q43" s="112">
        <v>4.66</v>
      </c>
    </row>
    <row r="44" spans="1:17" customFormat="1">
      <c r="A44" s="80">
        <v>45563.375</v>
      </c>
      <c r="B44" s="112">
        <v>9.26</v>
      </c>
      <c r="C44" s="112">
        <v>4.07</v>
      </c>
      <c r="D44" s="112">
        <v>14</v>
      </c>
      <c r="E44" s="112">
        <v>12.85</v>
      </c>
      <c r="F44" s="112">
        <v>5.69</v>
      </c>
      <c r="G44" s="112">
        <v>17.100000000000001</v>
      </c>
      <c r="H44" s="112">
        <v>4.41</v>
      </c>
      <c r="I44" s="112">
        <v>3.46</v>
      </c>
      <c r="J44" s="112">
        <v>0.77</v>
      </c>
      <c r="K44" s="112">
        <v>264.82</v>
      </c>
      <c r="L44" s="112">
        <v>29.13</v>
      </c>
      <c r="M44" s="112">
        <v>77.28</v>
      </c>
      <c r="N44" s="112">
        <v>200.4</v>
      </c>
      <c r="O44" s="112">
        <v>0</v>
      </c>
      <c r="P44" s="112">
        <v>0.28999999999999998</v>
      </c>
      <c r="Q44" s="112">
        <v>4.66</v>
      </c>
    </row>
    <row r="45" spans="1:17" customFormat="1">
      <c r="A45" s="80">
        <v>45563.385416666664</v>
      </c>
      <c r="B45" s="112">
        <v>9.25</v>
      </c>
      <c r="C45" s="112">
        <v>4.08</v>
      </c>
      <c r="D45" s="112">
        <v>14</v>
      </c>
      <c r="E45" s="112">
        <v>13.5</v>
      </c>
      <c r="F45" s="112">
        <v>5.4</v>
      </c>
      <c r="G45" s="112">
        <v>19.27</v>
      </c>
      <c r="H45" s="112">
        <v>8.18</v>
      </c>
      <c r="I45" s="112">
        <v>3.44</v>
      </c>
      <c r="J45" s="112">
        <v>0.77</v>
      </c>
      <c r="K45" s="112">
        <v>267.51</v>
      </c>
      <c r="L45" s="112">
        <v>29.17</v>
      </c>
      <c r="M45" s="112">
        <v>77.44</v>
      </c>
      <c r="N45" s="112">
        <v>151.30000000000001</v>
      </c>
      <c r="O45" s="112">
        <v>0</v>
      </c>
      <c r="P45" s="112">
        <v>0.31</v>
      </c>
      <c r="Q45" s="112">
        <v>4.6500000000000004</v>
      </c>
    </row>
    <row r="46" spans="1:17" customFormat="1">
      <c r="A46" s="80">
        <v>45563.395833333336</v>
      </c>
      <c r="B46" s="112">
        <v>9.25</v>
      </c>
      <c r="C46" s="112">
        <v>4.09</v>
      </c>
      <c r="D46" s="112">
        <v>14</v>
      </c>
      <c r="E46" s="112">
        <v>13.43</v>
      </c>
      <c r="F46" s="112">
        <v>5.48</v>
      </c>
      <c r="G46" s="112">
        <v>19.27</v>
      </c>
      <c r="H46" s="112">
        <v>8.18</v>
      </c>
      <c r="I46" s="112">
        <v>3.24</v>
      </c>
      <c r="J46" s="112">
        <v>0.6</v>
      </c>
      <c r="K46" s="112">
        <v>258.2</v>
      </c>
      <c r="L46" s="112">
        <v>29.53</v>
      </c>
      <c r="M46" s="112">
        <v>76.62</v>
      </c>
      <c r="N46" s="112">
        <v>175.4</v>
      </c>
      <c r="O46" s="112">
        <v>0</v>
      </c>
      <c r="P46" s="112">
        <v>0.32</v>
      </c>
      <c r="Q46" s="112">
        <v>4.66</v>
      </c>
    </row>
    <row r="47" spans="1:17" customFormat="1">
      <c r="A47" s="80">
        <v>45563.40625</v>
      </c>
      <c r="B47" s="112">
        <v>9.26</v>
      </c>
      <c r="C47" s="112">
        <v>4.07</v>
      </c>
      <c r="D47" s="112">
        <v>14.01</v>
      </c>
      <c r="E47" s="112">
        <v>13.25</v>
      </c>
      <c r="F47" s="112">
        <v>6.12</v>
      </c>
      <c r="G47" s="112">
        <v>19.27</v>
      </c>
      <c r="H47" s="112">
        <v>8.18</v>
      </c>
      <c r="I47" s="112">
        <v>3.28</v>
      </c>
      <c r="J47" s="112">
        <v>0.65</v>
      </c>
      <c r="K47" s="112">
        <v>261.22000000000003</v>
      </c>
      <c r="L47" s="112">
        <v>29.49</v>
      </c>
      <c r="M47" s="112">
        <v>76.739999999999995</v>
      </c>
      <c r="N47" s="112">
        <v>216.8</v>
      </c>
      <c r="O47" s="112">
        <v>0</v>
      </c>
      <c r="P47" s="112">
        <v>0.33</v>
      </c>
      <c r="Q47" s="112">
        <v>4.6500000000000004</v>
      </c>
    </row>
    <row r="48" spans="1:17" customFormat="1">
      <c r="A48" s="80">
        <v>45563.416666666664</v>
      </c>
      <c r="B48" s="112">
        <v>9.23</v>
      </c>
      <c r="C48" s="112">
        <v>4.1100000000000003</v>
      </c>
      <c r="D48" s="112">
        <v>14</v>
      </c>
      <c r="E48" s="112">
        <v>13.09</v>
      </c>
      <c r="F48" s="112">
        <v>6.18</v>
      </c>
      <c r="G48" s="112">
        <v>19.46</v>
      </c>
      <c r="H48" s="112">
        <v>8.3800000000000008</v>
      </c>
      <c r="I48" s="112">
        <v>3.34</v>
      </c>
      <c r="J48" s="112">
        <v>0.77</v>
      </c>
      <c r="K48" s="112">
        <v>264.77</v>
      </c>
      <c r="L48" s="112">
        <v>29.88</v>
      </c>
      <c r="M48" s="112">
        <v>75.650000000000006</v>
      </c>
      <c r="N48" s="112">
        <v>189.6</v>
      </c>
      <c r="O48" s="112">
        <v>0</v>
      </c>
      <c r="P48" s="112">
        <v>0.34</v>
      </c>
      <c r="Q48" s="112">
        <v>4.62</v>
      </c>
    </row>
    <row r="49" spans="1:17" customFormat="1">
      <c r="A49" s="80">
        <v>45563.427083333336</v>
      </c>
      <c r="B49" s="112">
        <v>9.25</v>
      </c>
      <c r="C49" s="112">
        <v>4.08</v>
      </c>
      <c r="D49" s="112">
        <v>14</v>
      </c>
      <c r="E49" s="112">
        <v>7.75</v>
      </c>
      <c r="F49" s="112">
        <v>7.1</v>
      </c>
      <c r="G49" s="112">
        <v>23.49</v>
      </c>
      <c r="H49" s="112">
        <v>11.53</v>
      </c>
      <c r="I49" s="112">
        <v>3.4</v>
      </c>
      <c r="J49" s="112">
        <v>0.74</v>
      </c>
      <c r="K49" s="112">
        <v>263.66000000000003</v>
      </c>
      <c r="L49" s="112">
        <v>29.99</v>
      </c>
      <c r="M49" s="112">
        <v>74.64</v>
      </c>
      <c r="N49" s="112">
        <v>168.3</v>
      </c>
      <c r="O49" s="112">
        <v>0</v>
      </c>
      <c r="P49" s="112">
        <v>0.35</v>
      </c>
      <c r="Q49" s="112">
        <v>4.63</v>
      </c>
    </row>
    <row r="50" spans="1:17" customFormat="1">
      <c r="A50" s="80">
        <v>45563.4375</v>
      </c>
      <c r="B50" s="112">
        <v>9.2799999999999994</v>
      </c>
      <c r="C50" s="112">
        <v>4.04</v>
      </c>
      <c r="D50" s="112">
        <v>14.01</v>
      </c>
      <c r="E50" s="112">
        <v>9.49</v>
      </c>
      <c r="F50" s="112">
        <v>5.94</v>
      </c>
      <c r="G50" s="112">
        <v>23.49</v>
      </c>
      <c r="H50" s="112">
        <v>11.53</v>
      </c>
      <c r="I50" s="112">
        <v>3.45</v>
      </c>
      <c r="J50" s="112">
        <v>0.84</v>
      </c>
      <c r="K50" s="112">
        <v>265</v>
      </c>
      <c r="L50" s="112">
        <v>29.51</v>
      </c>
      <c r="M50" s="112">
        <v>75.95</v>
      </c>
      <c r="N50" s="112">
        <v>192.3</v>
      </c>
      <c r="O50" s="112">
        <v>0</v>
      </c>
      <c r="P50" s="112">
        <v>0.35</v>
      </c>
      <c r="Q50" s="112">
        <v>4.63</v>
      </c>
    </row>
    <row r="51" spans="1:17" customFormat="1">
      <c r="A51" s="80">
        <v>45563.447916666664</v>
      </c>
      <c r="B51" s="112">
        <v>9.27</v>
      </c>
      <c r="C51" s="112">
        <v>4.05</v>
      </c>
      <c r="D51" s="112">
        <v>14</v>
      </c>
      <c r="E51" s="112">
        <v>9.5399999999999991</v>
      </c>
      <c r="F51" s="112">
        <v>5.63</v>
      </c>
      <c r="G51" s="112">
        <v>23.49</v>
      </c>
      <c r="H51" s="112">
        <v>11.53</v>
      </c>
      <c r="I51" s="112">
        <v>3.48</v>
      </c>
      <c r="J51" s="112">
        <v>0.67</v>
      </c>
      <c r="K51" s="112">
        <v>268.29000000000002</v>
      </c>
      <c r="L51" s="112">
        <v>30.23</v>
      </c>
      <c r="M51" s="112">
        <v>74.75</v>
      </c>
      <c r="N51" s="112">
        <v>428.1</v>
      </c>
      <c r="O51" s="112">
        <v>0</v>
      </c>
      <c r="P51" s="112">
        <v>0.35</v>
      </c>
      <c r="Q51" s="112">
        <v>4.62</v>
      </c>
    </row>
    <row r="52" spans="1:17" customFormat="1">
      <c r="A52" s="80">
        <v>45563.458333333336</v>
      </c>
      <c r="B52" s="112">
        <v>9.2799999999999994</v>
      </c>
      <c r="C52" s="112">
        <v>4.07</v>
      </c>
      <c r="D52" s="112">
        <v>14.02</v>
      </c>
      <c r="E52" s="112">
        <v>8.6</v>
      </c>
      <c r="F52" s="112">
        <v>5.72</v>
      </c>
      <c r="G52" s="112">
        <v>23.36</v>
      </c>
      <c r="H52" s="112">
        <v>11.36</v>
      </c>
      <c r="I52" s="112">
        <v>3.59</v>
      </c>
      <c r="J52" s="112">
        <v>0.83</v>
      </c>
      <c r="K52" s="112">
        <v>260.16000000000003</v>
      </c>
      <c r="L52" s="112">
        <v>30.58</v>
      </c>
      <c r="M52" s="112">
        <v>72.760000000000005</v>
      </c>
      <c r="N52" s="112">
        <v>430.7</v>
      </c>
      <c r="O52" s="112">
        <v>0</v>
      </c>
      <c r="P52" s="112">
        <v>0.36</v>
      </c>
      <c r="Q52" s="112">
        <v>4.62</v>
      </c>
    </row>
    <row r="53" spans="1:17" customFormat="1">
      <c r="A53" s="80">
        <v>45563.46875</v>
      </c>
      <c r="B53" s="112">
        <v>9.3000000000000007</v>
      </c>
      <c r="C53" s="112">
        <v>4.08</v>
      </c>
      <c r="D53" s="112">
        <v>14.04</v>
      </c>
      <c r="E53" s="112">
        <v>9.15</v>
      </c>
      <c r="F53" s="112">
        <v>5.62</v>
      </c>
      <c r="G53" s="112">
        <v>20.62</v>
      </c>
      <c r="H53" s="112">
        <v>8.6999999999999993</v>
      </c>
      <c r="I53" s="112">
        <v>3.6</v>
      </c>
      <c r="J53" s="112">
        <v>0.74</v>
      </c>
      <c r="K53" s="112">
        <v>263.58999999999997</v>
      </c>
      <c r="L53" s="112">
        <v>30.68</v>
      </c>
      <c r="M53" s="112">
        <v>72.55</v>
      </c>
      <c r="N53" s="112">
        <v>557.70000000000005</v>
      </c>
      <c r="O53" s="112">
        <v>0</v>
      </c>
      <c r="P53" s="112">
        <v>0.35</v>
      </c>
      <c r="Q53" s="112">
        <v>4.63</v>
      </c>
    </row>
    <row r="54" spans="1:17" customFormat="1">
      <c r="A54" s="80">
        <v>45563.479166666664</v>
      </c>
      <c r="B54" s="112">
        <v>9.2799999999999994</v>
      </c>
      <c r="C54" s="112">
        <v>4.09</v>
      </c>
      <c r="D54" s="112">
        <v>14.03</v>
      </c>
      <c r="E54" s="112">
        <v>8.68</v>
      </c>
      <c r="F54" s="112">
        <v>6.86</v>
      </c>
      <c r="G54" s="112">
        <v>20.62</v>
      </c>
      <c r="H54" s="112">
        <v>8.6999999999999993</v>
      </c>
      <c r="I54" s="112">
        <v>3.66</v>
      </c>
      <c r="J54" s="112">
        <v>0.78</v>
      </c>
      <c r="K54" s="112">
        <v>265.31</v>
      </c>
      <c r="L54" s="112">
        <v>30.97</v>
      </c>
      <c r="M54" s="112">
        <v>70.94</v>
      </c>
      <c r="N54" s="112">
        <v>481.1</v>
      </c>
      <c r="O54" s="112">
        <v>0</v>
      </c>
      <c r="P54" s="112">
        <v>0.36</v>
      </c>
      <c r="Q54" s="112">
        <v>4.63</v>
      </c>
    </row>
    <row r="55" spans="1:17" customFormat="1">
      <c r="A55" s="80">
        <v>45563.489583333336</v>
      </c>
      <c r="B55" s="112">
        <v>9.27</v>
      </c>
      <c r="C55" s="112">
        <v>4.08</v>
      </c>
      <c r="D55" s="112">
        <v>14.02</v>
      </c>
      <c r="E55" s="112">
        <v>7.83</v>
      </c>
      <c r="F55" s="112">
        <v>10.78</v>
      </c>
      <c r="G55" s="112">
        <v>20.62</v>
      </c>
      <c r="H55" s="112">
        <v>8.6999999999999993</v>
      </c>
      <c r="I55" s="112">
        <v>3.7</v>
      </c>
      <c r="J55" s="112">
        <v>0.86</v>
      </c>
      <c r="K55" s="112">
        <v>265.2</v>
      </c>
      <c r="L55" s="112">
        <v>31.18</v>
      </c>
      <c r="M55" s="112">
        <v>71.44</v>
      </c>
      <c r="N55" s="112">
        <v>704.3</v>
      </c>
      <c r="O55" s="112">
        <v>0</v>
      </c>
      <c r="P55" s="112">
        <v>0.35</v>
      </c>
      <c r="Q55" s="112">
        <v>4.62</v>
      </c>
    </row>
    <row r="56" spans="1:17" customFormat="1">
      <c r="A56" s="80">
        <v>45563.5</v>
      </c>
      <c r="B56" s="112">
        <v>9.27</v>
      </c>
      <c r="C56" s="112">
        <v>4.0599999999999996</v>
      </c>
      <c r="D56" s="112">
        <v>14</v>
      </c>
      <c r="E56" s="112">
        <v>7.17</v>
      </c>
      <c r="F56" s="112">
        <v>11.38</v>
      </c>
      <c r="G56" s="112">
        <v>20.79</v>
      </c>
      <c r="H56" s="112">
        <v>8.56</v>
      </c>
      <c r="I56" s="112">
        <v>3.69</v>
      </c>
      <c r="J56" s="112">
        <v>0.62</v>
      </c>
      <c r="K56" s="112">
        <v>260.85000000000002</v>
      </c>
      <c r="L56" s="112">
        <v>31.47</v>
      </c>
      <c r="M56" s="112">
        <v>71.83</v>
      </c>
      <c r="N56" s="112">
        <v>700.3</v>
      </c>
      <c r="O56" s="112">
        <v>0</v>
      </c>
      <c r="P56" s="112">
        <v>0.36</v>
      </c>
      <c r="Q56" s="112">
        <v>4.63</v>
      </c>
    </row>
    <row r="57" spans="1:17" customFormat="1">
      <c r="A57" s="80">
        <v>45563.510416666664</v>
      </c>
      <c r="B57" s="112">
        <v>9.27</v>
      </c>
      <c r="C57" s="112">
        <v>4.05</v>
      </c>
      <c r="D57" s="112">
        <v>14</v>
      </c>
      <c r="E57" s="112">
        <v>6.89</v>
      </c>
      <c r="F57" s="112">
        <v>9.4700000000000006</v>
      </c>
      <c r="G57" s="112">
        <v>24.45</v>
      </c>
      <c r="H57" s="112">
        <v>6.24</v>
      </c>
      <c r="I57" s="112">
        <v>3.41</v>
      </c>
      <c r="J57" s="112">
        <v>0.92</v>
      </c>
      <c r="K57" s="112">
        <v>268.33</v>
      </c>
      <c r="L57" s="112">
        <v>31.69</v>
      </c>
      <c r="M57" s="112">
        <v>70.7</v>
      </c>
      <c r="N57" s="112">
        <v>599.9</v>
      </c>
      <c r="O57" s="112">
        <v>0</v>
      </c>
      <c r="P57" s="112">
        <v>0.36</v>
      </c>
      <c r="Q57" s="112">
        <v>4.6100000000000003</v>
      </c>
    </row>
    <row r="58" spans="1:17" customFormat="1">
      <c r="A58" s="80">
        <v>45563.520833333336</v>
      </c>
      <c r="B58" s="112">
        <v>9.26</v>
      </c>
      <c r="C58" s="112">
        <v>4.09</v>
      </c>
      <c r="D58" s="112">
        <v>14.01</v>
      </c>
      <c r="E58" s="112">
        <v>6.63</v>
      </c>
      <c r="F58" s="112">
        <v>9.2799999999999994</v>
      </c>
      <c r="G58" s="112">
        <v>24.45</v>
      </c>
      <c r="H58" s="112">
        <v>6.24</v>
      </c>
      <c r="I58" s="112">
        <v>3.22</v>
      </c>
      <c r="J58" s="112">
        <v>0.63</v>
      </c>
      <c r="K58" s="112">
        <v>257.61</v>
      </c>
      <c r="L58" s="112">
        <v>31.13</v>
      </c>
      <c r="M58" s="112">
        <v>73.069999999999993</v>
      </c>
      <c r="N58" s="112">
        <v>385.8</v>
      </c>
      <c r="O58" s="112">
        <v>0</v>
      </c>
      <c r="P58" s="112">
        <v>0.35</v>
      </c>
      <c r="Q58" s="112">
        <v>4.62</v>
      </c>
    </row>
    <row r="59" spans="1:17" customFormat="1">
      <c r="A59" s="80">
        <v>45563.53125</v>
      </c>
      <c r="B59" s="112">
        <v>9.35</v>
      </c>
      <c r="C59" s="112">
        <v>4.08</v>
      </c>
      <c r="D59" s="112">
        <v>14.08</v>
      </c>
      <c r="E59" s="112">
        <v>5.76</v>
      </c>
      <c r="F59" s="112">
        <v>9.91</v>
      </c>
      <c r="G59" s="112">
        <v>24.45</v>
      </c>
      <c r="H59" s="112">
        <v>6.24</v>
      </c>
      <c r="I59" s="112">
        <v>3.18</v>
      </c>
      <c r="J59" s="112">
        <v>0.65</v>
      </c>
      <c r="K59" s="112">
        <v>265.83</v>
      </c>
      <c r="L59" s="112">
        <v>31.05</v>
      </c>
      <c r="M59" s="112">
        <v>73.760000000000005</v>
      </c>
      <c r="N59" s="112">
        <v>328</v>
      </c>
      <c r="O59" s="112">
        <v>0</v>
      </c>
      <c r="P59" s="112">
        <v>0.36</v>
      </c>
      <c r="Q59" s="112">
        <v>4.5999999999999996</v>
      </c>
    </row>
    <row r="60" spans="1:17" customFormat="1">
      <c r="A60" s="80">
        <v>45563.541666666664</v>
      </c>
      <c r="B60" s="112">
        <v>9.3699999999999992</v>
      </c>
      <c r="C60" s="112">
        <v>4.08</v>
      </c>
      <c r="D60" s="112">
        <v>14.1</v>
      </c>
      <c r="E60" s="112">
        <v>6.39</v>
      </c>
      <c r="F60" s="112">
        <v>7.1</v>
      </c>
      <c r="G60" s="112">
        <v>24.37</v>
      </c>
      <c r="H60" s="112">
        <v>6.36</v>
      </c>
      <c r="I60" s="112">
        <v>3.06</v>
      </c>
      <c r="J60" s="112">
        <v>0.5</v>
      </c>
      <c r="K60" s="112">
        <v>253.08</v>
      </c>
      <c r="L60" s="112">
        <v>32.29</v>
      </c>
      <c r="M60" s="112">
        <v>70.900000000000006</v>
      </c>
      <c r="N60" s="112">
        <v>767.4</v>
      </c>
      <c r="O60" s="112">
        <v>0</v>
      </c>
      <c r="P60" s="112">
        <v>0.36</v>
      </c>
      <c r="Q60" s="112">
        <v>4.6100000000000003</v>
      </c>
    </row>
    <row r="61" spans="1:17" customFormat="1">
      <c r="A61" s="80">
        <v>45563.552083333336</v>
      </c>
      <c r="B61" s="112">
        <v>9.3800000000000008</v>
      </c>
      <c r="C61" s="112">
        <v>4.07</v>
      </c>
      <c r="D61" s="112">
        <v>14.1</v>
      </c>
      <c r="E61" s="112">
        <v>6.33</v>
      </c>
      <c r="F61" s="112">
        <v>5.26</v>
      </c>
      <c r="G61" s="112">
        <v>22.45</v>
      </c>
      <c r="H61" s="112">
        <v>8.17</v>
      </c>
      <c r="I61" s="112">
        <v>3</v>
      </c>
      <c r="J61" s="112">
        <v>0.55000000000000004</v>
      </c>
      <c r="K61" s="112">
        <v>257.22000000000003</v>
      </c>
      <c r="L61" s="112">
        <v>32.5</v>
      </c>
      <c r="M61" s="112">
        <v>70.12</v>
      </c>
      <c r="N61" s="112">
        <v>405.6</v>
      </c>
      <c r="O61" s="112">
        <v>0</v>
      </c>
      <c r="P61" s="112">
        <v>0.36</v>
      </c>
      <c r="Q61" s="112">
        <v>4.63</v>
      </c>
    </row>
    <row r="62" spans="1:17" customFormat="1">
      <c r="A62" s="80">
        <v>45563.5625</v>
      </c>
      <c r="B62" s="112">
        <v>9.3800000000000008</v>
      </c>
      <c r="C62" s="112">
        <v>4.08</v>
      </c>
      <c r="D62" s="112">
        <v>14.1</v>
      </c>
      <c r="E62" s="112">
        <v>6.71</v>
      </c>
      <c r="F62" s="112">
        <v>4.88</v>
      </c>
      <c r="G62" s="112">
        <v>22.45</v>
      </c>
      <c r="H62" s="112">
        <v>8.17</v>
      </c>
      <c r="I62" s="112">
        <v>3.1</v>
      </c>
      <c r="J62" s="112">
        <v>0.62</v>
      </c>
      <c r="K62" s="112">
        <v>268.64</v>
      </c>
      <c r="L62" s="112">
        <v>31.29</v>
      </c>
      <c r="M62" s="112">
        <v>75.25</v>
      </c>
      <c r="N62" s="112">
        <v>405.9</v>
      </c>
      <c r="O62" s="112">
        <v>0</v>
      </c>
      <c r="P62" s="112">
        <v>0.36</v>
      </c>
      <c r="Q62" s="112">
        <v>4.6100000000000003</v>
      </c>
    </row>
    <row r="63" spans="1:17" customFormat="1">
      <c r="A63" s="80">
        <v>45563.572916666664</v>
      </c>
      <c r="B63" s="112">
        <v>9.36</v>
      </c>
      <c r="C63" s="112">
        <v>4.09</v>
      </c>
      <c r="D63" s="112">
        <v>14.09</v>
      </c>
      <c r="E63" s="112">
        <v>6.69</v>
      </c>
      <c r="F63" s="112">
        <v>4.8099999999999996</v>
      </c>
      <c r="G63" s="112">
        <v>22.45</v>
      </c>
      <c r="H63" s="112">
        <v>8.17</v>
      </c>
      <c r="I63" s="112">
        <v>3.23</v>
      </c>
      <c r="J63" s="112">
        <v>0.56999999999999995</v>
      </c>
      <c r="K63" s="112">
        <v>263.69</v>
      </c>
      <c r="L63" s="112">
        <v>32.15</v>
      </c>
      <c r="M63" s="112">
        <v>75.13</v>
      </c>
      <c r="N63" s="112">
        <v>465.2</v>
      </c>
      <c r="O63" s="112">
        <v>0</v>
      </c>
      <c r="P63" s="112">
        <v>0.36</v>
      </c>
      <c r="Q63" s="112">
        <v>4.59</v>
      </c>
    </row>
    <row r="64" spans="1:17" customFormat="1">
      <c r="A64" s="80">
        <v>45563.583333333336</v>
      </c>
      <c r="B64" s="112">
        <v>9.4</v>
      </c>
      <c r="C64" s="112">
        <v>4.0999999999999996</v>
      </c>
      <c r="D64" s="112">
        <v>14.13</v>
      </c>
      <c r="E64" s="112">
        <v>6.69</v>
      </c>
      <c r="F64" s="112">
        <v>6.08</v>
      </c>
      <c r="G64" s="112">
        <v>22.46</v>
      </c>
      <c r="H64" s="112">
        <v>8.0399999999999991</v>
      </c>
      <c r="I64" s="112">
        <v>3.42</v>
      </c>
      <c r="J64" s="112">
        <v>0.61</v>
      </c>
      <c r="K64" s="112">
        <v>261.98</v>
      </c>
      <c r="L64" s="112">
        <v>32.1</v>
      </c>
      <c r="M64" s="112">
        <v>71.64</v>
      </c>
      <c r="N64" s="112">
        <v>350.2</v>
      </c>
      <c r="O64" s="112">
        <v>0</v>
      </c>
      <c r="P64" s="112">
        <v>0.32</v>
      </c>
      <c r="Q64" s="112">
        <v>4.6399999999999997</v>
      </c>
    </row>
    <row r="65" spans="1:17" customFormat="1">
      <c r="A65" s="80">
        <v>45563.59375</v>
      </c>
      <c r="B65" s="112">
        <v>9.4499999999999993</v>
      </c>
      <c r="C65" s="112">
        <v>4.09</v>
      </c>
      <c r="D65" s="112">
        <v>14.16</v>
      </c>
      <c r="E65" s="112">
        <v>5.68</v>
      </c>
      <c r="F65" s="112">
        <v>7.23</v>
      </c>
      <c r="G65" s="112">
        <v>22.71</v>
      </c>
      <c r="H65" s="112">
        <v>6</v>
      </c>
      <c r="I65" s="112">
        <v>3.46</v>
      </c>
      <c r="J65" s="112">
        <v>0.59</v>
      </c>
      <c r="K65" s="112">
        <v>261.79000000000002</v>
      </c>
      <c r="L65" s="112">
        <v>32.590000000000003</v>
      </c>
      <c r="M65" s="112">
        <v>69.069999999999993</v>
      </c>
      <c r="N65" s="112">
        <v>289</v>
      </c>
      <c r="O65" s="112">
        <v>0</v>
      </c>
      <c r="P65" s="112">
        <v>0.22</v>
      </c>
      <c r="Q65" s="112">
        <v>4.68</v>
      </c>
    </row>
    <row r="66" spans="1:17" customFormat="1">
      <c r="A66" s="80">
        <v>45563.604166666664</v>
      </c>
      <c r="B66" s="112">
        <v>9.48</v>
      </c>
      <c r="C66" s="112">
        <v>4.0599999999999996</v>
      </c>
      <c r="D66" s="112">
        <v>14.18</v>
      </c>
      <c r="E66" s="112">
        <v>5.27</v>
      </c>
      <c r="F66" s="112">
        <v>7.02</v>
      </c>
      <c r="G66" s="112">
        <v>22.71</v>
      </c>
      <c r="H66" s="112">
        <v>6</v>
      </c>
      <c r="I66" s="112">
        <v>2.96</v>
      </c>
      <c r="J66" s="112">
        <v>0.57999999999999996</v>
      </c>
      <c r="K66" s="112">
        <v>266.62</v>
      </c>
      <c r="L66" s="112">
        <v>32.18</v>
      </c>
      <c r="M66" s="112">
        <v>71.53</v>
      </c>
      <c r="N66" s="112">
        <v>130.19999999999999</v>
      </c>
      <c r="O66" s="112">
        <v>0</v>
      </c>
      <c r="P66" s="112">
        <v>0.21</v>
      </c>
      <c r="Q66" s="112">
        <v>4.7</v>
      </c>
    </row>
    <row r="67" spans="1:17" customFormat="1">
      <c r="A67" s="80">
        <v>45563.614583333336</v>
      </c>
      <c r="B67" s="112">
        <v>9.41</v>
      </c>
      <c r="C67" s="112">
        <v>4.05</v>
      </c>
      <c r="D67" s="112">
        <v>14.12</v>
      </c>
      <c r="E67" s="112">
        <v>5.77</v>
      </c>
      <c r="F67" s="112">
        <v>5.95</v>
      </c>
      <c r="G67" s="112">
        <v>22.71</v>
      </c>
      <c r="H67" s="112">
        <v>6</v>
      </c>
      <c r="I67" s="112">
        <v>2.82</v>
      </c>
      <c r="J67" s="112">
        <v>0.36</v>
      </c>
      <c r="K67" s="112">
        <v>249.67</v>
      </c>
      <c r="L67" s="112">
        <v>31.7</v>
      </c>
      <c r="M67" s="112">
        <v>73.05</v>
      </c>
      <c r="N67" s="112">
        <v>101.5</v>
      </c>
      <c r="O67" s="112">
        <v>0</v>
      </c>
      <c r="P67" s="112">
        <v>0.21</v>
      </c>
      <c r="Q67" s="112">
        <v>4.68</v>
      </c>
    </row>
    <row r="68" spans="1:17" customFormat="1">
      <c r="A68" s="80">
        <v>45563.625</v>
      </c>
      <c r="B68" s="112">
        <v>9.36</v>
      </c>
      <c r="C68" s="112">
        <v>4.0599999999999996</v>
      </c>
      <c r="D68" s="112">
        <v>14.07</v>
      </c>
      <c r="E68" s="112">
        <v>5.7</v>
      </c>
      <c r="F68" s="112">
        <v>8.19</v>
      </c>
      <c r="G68" s="112">
        <v>22.33</v>
      </c>
      <c r="H68" s="112">
        <v>5.89</v>
      </c>
      <c r="I68" s="112">
        <v>2.69</v>
      </c>
      <c r="J68" s="112">
        <v>0.41</v>
      </c>
      <c r="K68" s="112">
        <v>251.38</v>
      </c>
      <c r="L68" s="112">
        <v>31.61</v>
      </c>
      <c r="M68" s="112">
        <v>72.680000000000007</v>
      </c>
      <c r="N68" s="112">
        <v>101.7</v>
      </c>
      <c r="O68" s="112">
        <v>0</v>
      </c>
      <c r="P68" s="112">
        <v>0.22</v>
      </c>
      <c r="Q68" s="112">
        <v>4.67</v>
      </c>
    </row>
    <row r="69" spans="1:17" customFormat="1">
      <c r="A69" s="80">
        <v>45563.635416666664</v>
      </c>
      <c r="B69" s="112">
        <v>9.31</v>
      </c>
      <c r="C69" s="112">
        <v>4.0599999999999996</v>
      </c>
      <c r="D69" s="112">
        <v>14.04</v>
      </c>
      <c r="E69" s="112">
        <v>5.86</v>
      </c>
      <c r="F69" s="112">
        <v>8.7799999999999994</v>
      </c>
      <c r="G69" s="112">
        <v>15.9</v>
      </c>
      <c r="H69" s="112">
        <v>4.2</v>
      </c>
      <c r="I69" s="112">
        <v>2.81</v>
      </c>
      <c r="J69" s="112">
        <v>0.47</v>
      </c>
      <c r="K69" s="112">
        <v>249.69</v>
      </c>
      <c r="L69" s="112">
        <v>31.8</v>
      </c>
      <c r="M69" s="112">
        <v>70.09</v>
      </c>
      <c r="N69" s="112">
        <v>88</v>
      </c>
      <c r="O69" s="112">
        <v>0</v>
      </c>
      <c r="P69" s="112">
        <v>0.19</v>
      </c>
      <c r="Q69" s="112">
        <v>4.67</v>
      </c>
    </row>
    <row r="70" spans="1:17" customFormat="1">
      <c r="A70" s="80">
        <v>45563.645833333336</v>
      </c>
      <c r="B70" s="112">
        <v>9.2799999999999994</v>
      </c>
      <c r="C70" s="112">
        <v>4.08</v>
      </c>
      <c r="D70" s="112">
        <v>14.02</v>
      </c>
      <c r="E70" s="112">
        <v>6.1</v>
      </c>
      <c r="F70" s="112">
        <v>7.04</v>
      </c>
      <c r="G70" s="112">
        <v>15.9</v>
      </c>
      <c r="H70" s="112">
        <v>4.2</v>
      </c>
      <c r="I70" s="112">
        <v>2.69</v>
      </c>
      <c r="J70" s="112">
        <v>0.35</v>
      </c>
      <c r="K70" s="112">
        <v>251.01</v>
      </c>
      <c r="L70" s="112">
        <v>31.33</v>
      </c>
      <c r="M70" s="112">
        <v>70.69</v>
      </c>
      <c r="N70" s="112">
        <v>205</v>
      </c>
      <c r="O70" s="112">
        <v>0</v>
      </c>
      <c r="P70" s="112">
        <v>0.2</v>
      </c>
      <c r="Q70" s="112">
        <v>4.67</v>
      </c>
    </row>
    <row r="71" spans="1:17" customFormat="1">
      <c r="A71" s="80">
        <v>45563.65625</v>
      </c>
      <c r="B71" s="112">
        <v>9.24</v>
      </c>
      <c r="C71" s="112">
        <v>4.09</v>
      </c>
      <c r="D71" s="112">
        <v>14</v>
      </c>
      <c r="E71" s="112">
        <v>5.94</v>
      </c>
      <c r="F71" s="112">
        <v>8.98</v>
      </c>
      <c r="G71" s="112">
        <v>15.9</v>
      </c>
      <c r="H71" s="112">
        <v>4.2</v>
      </c>
      <c r="I71" s="112">
        <v>2.64</v>
      </c>
      <c r="J71" s="112">
        <v>0.31</v>
      </c>
      <c r="K71" s="112">
        <v>240.2</v>
      </c>
      <c r="L71" s="112">
        <v>31.62</v>
      </c>
      <c r="M71" s="112">
        <v>70.63</v>
      </c>
      <c r="N71" s="112">
        <v>133.69999999999999</v>
      </c>
      <c r="O71" s="112">
        <v>0</v>
      </c>
      <c r="P71" s="112">
        <v>0.21</v>
      </c>
      <c r="Q71" s="112">
        <v>4.67</v>
      </c>
    </row>
    <row r="72" spans="1:17" customFormat="1">
      <c r="A72" s="80">
        <v>45563.666666666664</v>
      </c>
      <c r="B72" s="112">
        <v>9.23</v>
      </c>
      <c r="C72" s="112">
        <v>4.1100000000000003</v>
      </c>
      <c r="D72" s="112">
        <v>14</v>
      </c>
      <c r="E72" s="112">
        <v>6.06</v>
      </c>
      <c r="F72" s="112">
        <v>9.4499999999999993</v>
      </c>
      <c r="G72" s="112">
        <v>15.63</v>
      </c>
      <c r="H72" s="112">
        <v>4.12</v>
      </c>
      <c r="I72" s="112">
        <v>2.73</v>
      </c>
      <c r="J72" s="112">
        <v>0.3</v>
      </c>
      <c r="K72" s="112">
        <v>240.6</v>
      </c>
      <c r="L72" s="112">
        <v>31.57</v>
      </c>
      <c r="M72" s="112">
        <v>70.510000000000005</v>
      </c>
      <c r="N72" s="112">
        <v>78.5</v>
      </c>
      <c r="O72" s="112">
        <v>0</v>
      </c>
      <c r="P72" s="112">
        <v>0.21</v>
      </c>
      <c r="Q72" s="112">
        <v>4.67</v>
      </c>
    </row>
    <row r="73" spans="1:17" customFormat="1">
      <c r="A73" s="80">
        <v>45563.677083333336</v>
      </c>
      <c r="B73" s="112">
        <v>9.23</v>
      </c>
      <c r="C73" s="112">
        <v>4.1100000000000003</v>
      </c>
      <c r="D73" s="112">
        <v>14</v>
      </c>
      <c r="E73" s="112">
        <v>6.29</v>
      </c>
      <c r="F73" s="112">
        <v>11</v>
      </c>
      <c r="G73" s="112">
        <v>11.13</v>
      </c>
      <c r="H73" s="112">
        <v>2.94</v>
      </c>
      <c r="I73" s="112">
        <v>2.5499999999999998</v>
      </c>
      <c r="J73" s="112">
        <v>0.22</v>
      </c>
      <c r="K73" s="112">
        <v>210.06</v>
      </c>
      <c r="L73" s="112">
        <v>31.26</v>
      </c>
      <c r="M73" s="112">
        <v>74.5</v>
      </c>
      <c r="N73" s="112">
        <v>47.7</v>
      </c>
      <c r="O73" s="112">
        <v>0</v>
      </c>
      <c r="P73" s="112">
        <v>0.22</v>
      </c>
      <c r="Q73" s="112">
        <v>4.67</v>
      </c>
    </row>
    <row r="74" spans="1:17" customFormat="1">
      <c r="A74" s="80">
        <v>45563.6875</v>
      </c>
      <c r="B74" s="112">
        <v>9.24</v>
      </c>
      <c r="C74" s="112">
        <v>4.0999999999999996</v>
      </c>
      <c r="D74" s="112">
        <v>14</v>
      </c>
      <c r="E74" s="112">
        <v>7.31</v>
      </c>
      <c r="F74" s="112">
        <v>7.82</v>
      </c>
      <c r="G74" s="112">
        <v>11.13</v>
      </c>
      <c r="H74" s="112">
        <v>2.94</v>
      </c>
      <c r="I74" s="112">
        <v>2.62</v>
      </c>
      <c r="J74" s="112">
        <v>0.19</v>
      </c>
      <c r="K74" s="112">
        <v>206.14</v>
      </c>
      <c r="L74" s="112">
        <v>30.76</v>
      </c>
      <c r="M74" s="112">
        <v>76.069999999999993</v>
      </c>
      <c r="N74" s="112">
        <v>35.700000000000003</v>
      </c>
      <c r="O74" s="112">
        <v>0</v>
      </c>
      <c r="P74" s="112">
        <v>0.23</v>
      </c>
      <c r="Q74" s="112">
        <v>4.67</v>
      </c>
    </row>
    <row r="75" spans="1:17" customFormat="1">
      <c r="A75" s="80">
        <v>45563.697916666664</v>
      </c>
      <c r="B75" s="112">
        <v>9.24</v>
      </c>
      <c r="C75" s="112">
        <v>4.0999999999999996</v>
      </c>
      <c r="D75" s="112">
        <v>14</v>
      </c>
      <c r="E75" s="112">
        <v>6.75</v>
      </c>
      <c r="F75" s="112">
        <v>11.7</v>
      </c>
      <c r="G75" s="112">
        <v>11.13</v>
      </c>
      <c r="H75" s="112">
        <v>2.94</v>
      </c>
      <c r="I75" s="112">
        <v>2.5</v>
      </c>
      <c r="J75" s="112">
        <v>0.2</v>
      </c>
      <c r="K75" s="112">
        <v>189.93</v>
      </c>
      <c r="L75" s="112">
        <v>30.58</v>
      </c>
      <c r="M75" s="112">
        <v>76.239999999999995</v>
      </c>
      <c r="N75" s="112">
        <v>29.1</v>
      </c>
      <c r="O75" s="112">
        <v>0</v>
      </c>
      <c r="P75" s="112">
        <v>0.22</v>
      </c>
      <c r="Q75" s="112">
        <v>4.6500000000000004</v>
      </c>
    </row>
    <row r="76" spans="1:17" customFormat="1">
      <c r="A76" s="80">
        <v>45563.708333333336</v>
      </c>
      <c r="B76" s="112">
        <v>9.25</v>
      </c>
      <c r="C76" s="112">
        <v>4.08</v>
      </c>
      <c r="D76" s="112">
        <v>14</v>
      </c>
      <c r="E76" s="112">
        <v>7.45</v>
      </c>
      <c r="F76" s="112">
        <v>9.48</v>
      </c>
      <c r="G76" s="112">
        <v>11.36</v>
      </c>
      <c r="H76" s="112">
        <v>2.9</v>
      </c>
      <c r="I76" s="112">
        <v>2.62</v>
      </c>
      <c r="J76" s="112">
        <v>0.18</v>
      </c>
      <c r="K76" s="112">
        <v>186.76</v>
      </c>
      <c r="L76" s="112">
        <v>30.18</v>
      </c>
      <c r="M76" s="112">
        <v>76.02</v>
      </c>
      <c r="N76" s="112">
        <v>22.1</v>
      </c>
      <c r="O76" s="112">
        <v>0</v>
      </c>
      <c r="P76" s="112">
        <v>0.23</v>
      </c>
      <c r="Q76" s="112">
        <v>4.6500000000000004</v>
      </c>
    </row>
    <row r="77" spans="1:17" customFormat="1">
      <c r="A77" s="80">
        <v>45563.71875</v>
      </c>
      <c r="B77" s="112">
        <v>9.25</v>
      </c>
      <c r="C77" s="112">
        <v>4.09</v>
      </c>
      <c r="D77" s="112">
        <v>14</v>
      </c>
      <c r="E77" s="112">
        <v>7.14</v>
      </c>
      <c r="F77" s="112">
        <v>10.64</v>
      </c>
      <c r="G77" s="112">
        <v>16.21</v>
      </c>
      <c r="H77" s="112">
        <v>2.25</v>
      </c>
      <c r="I77" s="112">
        <v>2.4900000000000002</v>
      </c>
      <c r="J77" s="112">
        <v>0.16</v>
      </c>
      <c r="K77" s="112">
        <v>172.47</v>
      </c>
      <c r="L77" s="112">
        <v>29.89</v>
      </c>
      <c r="M77" s="112">
        <v>77.56</v>
      </c>
      <c r="N77" s="112">
        <v>16.2</v>
      </c>
      <c r="O77" s="112">
        <v>0</v>
      </c>
      <c r="P77" s="112">
        <v>0.23</v>
      </c>
      <c r="Q77" s="112">
        <v>4.67</v>
      </c>
    </row>
    <row r="78" spans="1:17" customFormat="1">
      <c r="A78" s="80">
        <v>45563.729166666664</v>
      </c>
      <c r="B78" s="112">
        <v>9.2100000000000009</v>
      </c>
      <c r="C78" s="112">
        <v>4.1399999999999997</v>
      </c>
      <c r="D78" s="112">
        <v>14</v>
      </c>
      <c r="E78" s="112">
        <v>7.48</v>
      </c>
      <c r="F78" s="112">
        <v>9.99</v>
      </c>
      <c r="G78" s="112">
        <v>16.21</v>
      </c>
      <c r="H78" s="112">
        <v>2.25</v>
      </c>
      <c r="I78" s="112">
        <v>2.63</v>
      </c>
      <c r="J78" s="112">
        <v>0.18</v>
      </c>
      <c r="K78" s="112">
        <v>204.94</v>
      </c>
      <c r="L78" s="112">
        <v>29.6</v>
      </c>
      <c r="M78" s="112">
        <v>80.09</v>
      </c>
      <c r="N78" s="112">
        <v>10.6</v>
      </c>
      <c r="O78" s="112">
        <v>0</v>
      </c>
      <c r="P78" s="112">
        <v>0.25</v>
      </c>
      <c r="Q78" s="112">
        <v>4.67</v>
      </c>
    </row>
    <row r="79" spans="1:17" customFormat="1">
      <c r="A79" s="80">
        <v>45563.739583333336</v>
      </c>
      <c r="B79" s="112">
        <v>9.2100000000000009</v>
      </c>
      <c r="C79" s="112">
        <v>4.1399999999999997</v>
      </c>
      <c r="D79" s="112">
        <v>14</v>
      </c>
      <c r="E79" s="112">
        <v>7.59</v>
      </c>
      <c r="F79" s="112">
        <v>8.6</v>
      </c>
      <c r="G79" s="112">
        <v>16.21</v>
      </c>
      <c r="H79" s="112">
        <v>2.25</v>
      </c>
      <c r="I79" s="112">
        <v>2.46</v>
      </c>
      <c r="J79" s="112">
        <v>0.16</v>
      </c>
      <c r="K79" s="112">
        <v>176.15</v>
      </c>
      <c r="L79" s="112">
        <v>29.27</v>
      </c>
      <c r="M79" s="112">
        <v>82.66</v>
      </c>
      <c r="N79" s="112">
        <v>4</v>
      </c>
      <c r="O79" s="112">
        <v>0</v>
      </c>
      <c r="P79" s="112">
        <v>0.24</v>
      </c>
      <c r="Q79" s="112">
        <v>4.68</v>
      </c>
    </row>
    <row r="80" spans="1:17" customFormat="1">
      <c r="A80" s="80">
        <v>45563.75</v>
      </c>
      <c r="B80" s="112">
        <v>9.2200000000000006</v>
      </c>
      <c r="C80" s="112">
        <v>4.13</v>
      </c>
      <c r="D80" s="112">
        <v>14</v>
      </c>
      <c r="E80" s="112">
        <v>7.22</v>
      </c>
      <c r="F80" s="112">
        <v>11.12</v>
      </c>
      <c r="G80" s="112">
        <v>16.39</v>
      </c>
      <c r="H80" s="112">
        <v>2.37</v>
      </c>
      <c r="I80" s="112">
        <v>2.68</v>
      </c>
      <c r="J80" s="112">
        <v>0.15</v>
      </c>
      <c r="K80" s="112">
        <v>183.34</v>
      </c>
      <c r="L80" s="112">
        <v>29.01</v>
      </c>
      <c r="M80" s="112">
        <v>82.51</v>
      </c>
      <c r="N80" s="112">
        <v>2.5</v>
      </c>
      <c r="O80" s="112">
        <v>0</v>
      </c>
      <c r="P80" s="112">
        <v>0.26</v>
      </c>
      <c r="Q80" s="112">
        <v>4.66</v>
      </c>
    </row>
    <row r="81" spans="1:17" customFormat="1">
      <c r="A81" s="80">
        <v>45563.760416666664</v>
      </c>
      <c r="B81" s="112">
        <v>9.2200000000000006</v>
      </c>
      <c r="C81" s="112">
        <v>4.12</v>
      </c>
      <c r="D81" s="112">
        <v>14</v>
      </c>
      <c r="E81" s="112">
        <v>7.72</v>
      </c>
      <c r="F81" s="112">
        <v>8.39</v>
      </c>
      <c r="G81" s="112">
        <v>19.38</v>
      </c>
      <c r="H81" s="112">
        <v>4.3099999999999996</v>
      </c>
      <c r="I81" s="112">
        <v>2.76</v>
      </c>
      <c r="J81" s="112">
        <v>0.14000000000000001</v>
      </c>
      <c r="K81" s="112">
        <v>180.25</v>
      </c>
      <c r="L81" s="112">
        <v>28.67</v>
      </c>
      <c r="M81" s="112">
        <v>84.1</v>
      </c>
      <c r="N81" s="112">
        <v>2.4</v>
      </c>
      <c r="O81" s="112">
        <v>0</v>
      </c>
      <c r="P81" s="112">
        <v>0.26</v>
      </c>
      <c r="Q81" s="112">
        <v>4.6500000000000004</v>
      </c>
    </row>
    <row r="82" spans="1:17" customFormat="1">
      <c r="A82" s="80">
        <v>45563.770833333336</v>
      </c>
      <c r="B82" s="112">
        <v>9.23</v>
      </c>
      <c r="C82" s="112">
        <v>4.12</v>
      </c>
      <c r="D82" s="112">
        <v>14</v>
      </c>
      <c r="E82" s="112">
        <v>9.8800000000000008</v>
      </c>
      <c r="F82" s="112">
        <v>7.87</v>
      </c>
      <c r="G82" s="112">
        <v>19.38</v>
      </c>
      <c r="H82" s="112">
        <v>4.3099999999999996</v>
      </c>
      <c r="I82" s="112">
        <v>2.85</v>
      </c>
      <c r="J82" s="112">
        <v>0.1</v>
      </c>
      <c r="K82" s="112">
        <v>181.75</v>
      </c>
      <c r="L82" s="112">
        <v>28.31</v>
      </c>
      <c r="M82" s="112">
        <v>89.63</v>
      </c>
      <c r="N82" s="112">
        <v>2.4</v>
      </c>
      <c r="O82" s="112">
        <v>0</v>
      </c>
      <c r="P82" s="112">
        <v>0.27</v>
      </c>
      <c r="Q82" s="112">
        <v>4.6500000000000004</v>
      </c>
    </row>
    <row r="83" spans="1:17" customFormat="1">
      <c r="A83" s="80">
        <v>45563.78125</v>
      </c>
      <c r="B83" s="112">
        <v>9.23</v>
      </c>
      <c r="C83" s="112">
        <v>4.1100000000000003</v>
      </c>
      <c r="D83" s="112">
        <v>14</v>
      </c>
      <c r="E83" s="112">
        <v>10.51</v>
      </c>
      <c r="F83" s="112">
        <v>5.59</v>
      </c>
      <c r="G83" s="112">
        <v>19.38</v>
      </c>
      <c r="H83" s="112">
        <v>4.3099999999999996</v>
      </c>
      <c r="I83" s="112">
        <v>3</v>
      </c>
      <c r="J83" s="112">
        <v>0.16</v>
      </c>
      <c r="K83" s="112">
        <v>181.62</v>
      </c>
      <c r="L83" s="112">
        <v>28.03</v>
      </c>
      <c r="M83" s="112">
        <v>93.24</v>
      </c>
      <c r="N83" s="112">
        <v>2.2999999999999998</v>
      </c>
      <c r="O83" s="112">
        <v>0</v>
      </c>
      <c r="P83" s="112">
        <v>0.3</v>
      </c>
      <c r="Q83" s="112">
        <v>4.6399999999999997</v>
      </c>
    </row>
    <row r="84" spans="1:17" customFormat="1">
      <c r="A84" s="80">
        <v>45563.791666666664</v>
      </c>
      <c r="B84" s="112">
        <v>9.2799999999999994</v>
      </c>
      <c r="C84" s="112">
        <v>4.05</v>
      </c>
      <c r="D84" s="112">
        <v>14.01</v>
      </c>
      <c r="E84" s="112">
        <v>10.74</v>
      </c>
      <c r="F84" s="112">
        <v>5.59</v>
      </c>
      <c r="G84" s="112">
        <v>19.91</v>
      </c>
      <c r="H84" s="112">
        <v>4.76</v>
      </c>
      <c r="I84" s="112">
        <v>3.2</v>
      </c>
      <c r="J84" s="112">
        <v>0.09</v>
      </c>
      <c r="K84" s="112">
        <v>173.79</v>
      </c>
      <c r="L84" s="112">
        <v>27.74</v>
      </c>
      <c r="M84" s="112">
        <v>95.58</v>
      </c>
      <c r="N84" s="112">
        <v>2.2000000000000002</v>
      </c>
      <c r="O84" s="112">
        <v>0</v>
      </c>
      <c r="P84" s="112">
        <v>0.33</v>
      </c>
      <c r="Q84" s="112">
        <v>4.6399999999999997</v>
      </c>
    </row>
    <row r="85" spans="1:17" customFormat="1">
      <c r="A85" s="80">
        <v>45563.802083333336</v>
      </c>
      <c r="B85" s="112">
        <v>9.2899999999999991</v>
      </c>
      <c r="C85" s="112">
        <v>4.07</v>
      </c>
      <c r="D85" s="112">
        <v>14.02</v>
      </c>
      <c r="E85" s="112">
        <v>10.64</v>
      </c>
      <c r="F85" s="112">
        <v>6.43</v>
      </c>
      <c r="G85" s="112">
        <v>29.07</v>
      </c>
      <c r="H85" s="112">
        <v>11.77</v>
      </c>
      <c r="I85" s="112">
        <v>3.57</v>
      </c>
      <c r="J85" s="112">
        <v>0.11</v>
      </c>
      <c r="K85" s="112">
        <v>171.85</v>
      </c>
      <c r="L85" s="112">
        <v>27.65</v>
      </c>
      <c r="M85" s="112">
        <v>98</v>
      </c>
      <c r="N85" s="112">
        <v>2.1</v>
      </c>
      <c r="O85" s="112">
        <v>0</v>
      </c>
      <c r="P85" s="112">
        <v>0.36</v>
      </c>
      <c r="Q85" s="112">
        <v>4.6500000000000004</v>
      </c>
    </row>
    <row r="86" spans="1:17" customFormat="1">
      <c r="A86" s="80">
        <v>45563.8125</v>
      </c>
      <c r="B86" s="112">
        <v>9.25</v>
      </c>
      <c r="C86" s="112">
        <v>4.09</v>
      </c>
      <c r="D86" s="112">
        <v>14</v>
      </c>
      <c r="E86" s="112">
        <v>10.19</v>
      </c>
      <c r="F86" s="112">
        <v>6.15</v>
      </c>
      <c r="G86" s="112">
        <v>29.07</v>
      </c>
      <c r="H86" s="112">
        <v>11.77</v>
      </c>
      <c r="I86" s="112">
        <v>3.95</v>
      </c>
      <c r="J86" s="112">
        <v>7.0000000000000007E-2</v>
      </c>
      <c r="K86" s="112">
        <v>198.37</v>
      </c>
      <c r="L86" s="112">
        <v>27.55</v>
      </c>
      <c r="M86" s="112">
        <v>93.34</v>
      </c>
      <c r="N86" s="112">
        <v>2.1</v>
      </c>
      <c r="O86" s="112">
        <v>0</v>
      </c>
      <c r="P86" s="112">
        <v>0.34</v>
      </c>
      <c r="Q86" s="112">
        <v>4.6500000000000004</v>
      </c>
    </row>
    <row r="87" spans="1:17" customFormat="1">
      <c r="A87" s="80">
        <v>45563.822916666664</v>
      </c>
      <c r="B87" s="112">
        <v>9.26</v>
      </c>
      <c r="C87" s="112">
        <v>4.07</v>
      </c>
      <c r="D87" s="112">
        <v>14</v>
      </c>
      <c r="E87" s="112">
        <v>9.9700000000000006</v>
      </c>
      <c r="F87" s="112">
        <v>5.65</v>
      </c>
      <c r="G87" s="112">
        <v>29.07</v>
      </c>
      <c r="H87" s="112">
        <v>11.77</v>
      </c>
      <c r="I87" s="112">
        <v>4.09</v>
      </c>
      <c r="J87" s="112">
        <v>0.11</v>
      </c>
      <c r="K87" s="112">
        <v>167.4</v>
      </c>
      <c r="L87" s="112">
        <v>27.58</v>
      </c>
      <c r="M87" s="112">
        <v>92.71</v>
      </c>
      <c r="N87" s="112">
        <v>2.1</v>
      </c>
      <c r="O87" s="112">
        <v>0</v>
      </c>
      <c r="P87" s="112">
        <v>0.36</v>
      </c>
      <c r="Q87" s="112">
        <v>4.66</v>
      </c>
    </row>
    <row r="88" spans="1:17" customFormat="1">
      <c r="A88" s="80">
        <v>45563.833333333336</v>
      </c>
      <c r="B88" s="112">
        <v>9.2200000000000006</v>
      </c>
      <c r="C88" s="112">
        <v>4.13</v>
      </c>
      <c r="D88" s="112">
        <v>14</v>
      </c>
      <c r="E88" s="112">
        <v>10.48</v>
      </c>
      <c r="F88" s="112">
        <v>5.13</v>
      </c>
      <c r="G88" s="112">
        <v>29.13</v>
      </c>
      <c r="H88" s="112">
        <v>11.8</v>
      </c>
      <c r="I88" s="112">
        <v>4.07</v>
      </c>
      <c r="J88" s="112">
        <v>0.09</v>
      </c>
      <c r="K88" s="112">
        <v>186.9</v>
      </c>
      <c r="L88" s="112">
        <v>27.42</v>
      </c>
      <c r="M88" s="112">
        <v>96.31</v>
      </c>
      <c r="N88" s="112">
        <v>2.1</v>
      </c>
      <c r="O88" s="112">
        <v>0</v>
      </c>
      <c r="P88" s="112">
        <v>0.38</v>
      </c>
      <c r="Q88" s="112">
        <v>4.6500000000000004</v>
      </c>
    </row>
    <row r="89" spans="1:17" customFormat="1">
      <c r="A89" s="80">
        <v>45563.84375</v>
      </c>
      <c r="B89" s="112">
        <v>9.19</v>
      </c>
      <c r="C89" s="112">
        <v>4.17</v>
      </c>
      <c r="D89" s="112">
        <v>14</v>
      </c>
      <c r="E89" s="112">
        <v>9.9700000000000006</v>
      </c>
      <c r="F89" s="112">
        <v>4.9800000000000004</v>
      </c>
      <c r="G89" s="112">
        <v>30.22</v>
      </c>
      <c r="H89" s="112">
        <v>12.34</v>
      </c>
      <c r="I89" s="112">
        <v>4.51</v>
      </c>
      <c r="J89" s="112">
        <v>7.0000000000000007E-2</v>
      </c>
      <c r="K89" s="112">
        <v>198.37</v>
      </c>
      <c r="L89" s="112">
        <v>27.32</v>
      </c>
      <c r="M89" s="112">
        <v>97.28</v>
      </c>
      <c r="N89" s="112">
        <v>2.1</v>
      </c>
      <c r="O89" s="112">
        <v>0</v>
      </c>
      <c r="P89" s="112">
        <v>0.39</v>
      </c>
      <c r="Q89" s="112">
        <v>4.6399999999999997</v>
      </c>
    </row>
    <row r="90" spans="1:17" customFormat="1">
      <c r="A90" s="80">
        <v>45563.854166666664</v>
      </c>
      <c r="B90" s="112">
        <v>9.1999999999999993</v>
      </c>
      <c r="C90" s="112">
        <v>4.1500000000000004</v>
      </c>
      <c r="D90" s="112">
        <v>14</v>
      </c>
      <c r="E90" s="112">
        <v>9.4</v>
      </c>
      <c r="F90" s="112">
        <v>4.83</v>
      </c>
      <c r="G90" s="112">
        <v>30.22</v>
      </c>
      <c r="H90" s="112">
        <v>12.34</v>
      </c>
      <c r="I90" s="112">
        <v>4.54</v>
      </c>
      <c r="J90" s="112">
        <v>0.1</v>
      </c>
      <c r="K90" s="112">
        <v>173.84</v>
      </c>
      <c r="L90" s="112">
        <v>27.27</v>
      </c>
      <c r="M90" s="112">
        <v>97.06</v>
      </c>
      <c r="N90" s="112">
        <v>2.1</v>
      </c>
      <c r="O90" s="112">
        <v>0</v>
      </c>
      <c r="P90" s="112">
        <v>0.39</v>
      </c>
      <c r="Q90" s="112">
        <v>4.6399999999999997</v>
      </c>
    </row>
    <row r="91" spans="1:17" customFormat="1">
      <c r="A91" s="80">
        <v>45563.864583333336</v>
      </c>
      <c r="B91" s="112">
        <v>9.2200000000000006</v>
      </c>
      <c r="C91" s="112">
        <v>4.12</v>
      </c>
      <c r="D91" s="112">
        <v>14</v>
      </c>
      <c r="E91" s="112">
        <v>9.76</v>
      </c>
      <c r="F91" s="112">
        <v>4.7699999999999996</v>
      </c>
      <c r="G91" s="112">
        <v>30.22</v>
      </c>
      <c r="H91" s="112">
        <v>12.34</v>
      </c>
      <c r="I91" s="112">
        <v>4.8499999999999996</v>
      </c>
      <c r="J91" s="112">
        <v>7.0000000000000007E-2</v>
      </c>
      <c r="K91" s="112">
        <v>239.03</v>
      </c>
      <c r="L91" s="112">
        <v>27.14</v>
      </c>
      <c r="M91" s="112">
        <v>97.49</v>
      </c>
      <c r="N91" s="112">
        <v>2.1</v>
      </c>
      <c r="O91" s="112">
        <v>0</v>
      </c>
      <c r="P91" s="112">
        <v>0.4</v>
      </c>
      <c r="Q91" s="112">
        <v>4.62</v>
      </c>
    </row>
    <row r="92" spans="1:17" customFormat="1">
      <c r="A92" s="80">
        <v>45563.875</v>
      </c>
      <c r="B92" s="112">
        <v>9.23</v>
      </c>
      <c r="C92" s="112">
        <v>4.1100000000000003</v>
      </c>
      <c r="D92" s="112">
        <v>14</v>
      </c>
      <c r="E92" s="112">
        <v>9.48</v>
      </c>
      <c r="F92" s="112">
        <v>4.71</v>
      </c>
      <c r="G92" s="112">
        <v>30.41</v>
      </c>
      <c r="H92" s="112">
        <v>12.28</v>
      </c>
      <c r="I92" s="112">
        <v>4.74</v>
      </c>
      <c r="J92" s="112">
        <v>0.09</v>
      </c>
      <c r="K92" s="112">
        <v>182.11</v>
      </c>
      <c r="L92" s="112">
        <v>27.13</v>
      </c>
      <c r="M92" s="112">
        <v>95.49</v>
      </c>
      <c r="N92" s="112">
        <v>2.1</v>
      </c>
      <c r="O92" s="112">
        <v>0</v>
      </c>
      <c r="P92" s="112">
        <v>0.4</v>
      </c>
      <c r="Q92" s="112">
        <v>4.6399999999999997</v>
      </c>
    </row>
    <row r="93" spans="1:17" customFormat="1">
      <c r="A93" s="80">
        <v>45563.885416666664</v>
      </c>
      <c r="B93" s="112">
        <v>9.2100000000000009</v>
      </c>
      <c r="C93" s="112">
        <v>4.1399999999999997</v>
      </c>
      <c r="D93" s="112">
        <v>14</v>
      </c>
      <c r="E93" s="112">
        <v>9.19</v>
      </c>
      <c r="F93" s="112">
        <v>4.62</v>
      </c>
      <c r="G93" s="112">
        <v>33.57</v>
      </c>
      <c r="H93" s="112">
        <v>11.37</v>
      </c>
      <c r="I93" s="112">
        <v>4.79</v>
      </c>
      <c r="J93" s="112">
        <v>7.0000000000000007E-2</v>
      </c>
      <c r="K93" s="112">
        <v>217.48</v>
      </c>
      <c r="L93" s="112">
        <v>27.02</v>
      </c>
      <c r="M93" s="112">
        <v>97.25</v>
      </c>
      <c r="N93" s="112">
        <v>2.1</v>
      </c>
      <c r="O93" s="112">
        <v>0</v>
      </c>
      <c r="P93" s="112">
        <v>0.41</v>
      </c>
      <c r="Q93" s="112">
        <v>4.6399999999999997</v>
      </c>
    </row>
    <row r="94" spans="1:17" customFormat="1">
      <c r="A94" s="80">
        <v>45563.895833333336</v>
      </c>
      <c r="B94" s="112">
        <v>9.19</v>
      </c>
      <c r="C94" s="112">
        <v>4.18</v>
      </c>
      <c r="D94" s="112">
        <v>14</v>
      </c>
      <c r="E94" s="112">
        <v>9.52</v>
      </c>
      <c r="F94" s="112">
        <v>4.5599999999999996</v>
      </c>
      <c r="G94" s="112">
        <v>33.57</v>
      </c>
      <c r="H94" s="112">
        <v>11.37</v>
      </c>
      <c r="I94" s="112">
        <v>4.83</v>
      </c>
      <c r="J94" s="112">
        <v>0.13</v>
      </c>
      <c r="K94" s="112">
        <v>220.06</v>
      </c>
      <c r="L94" s="112">
        <v>26.99</v>
      </c>
      <c r="M94" s="112">
        <v>94.94</v>
      </c>
      <c r="N94" s="112">
        <v>2.1</v>
      </c>
      <c r="O94" s="112">
        <v>0</v>
      </c>
      <c r="P94" s="112">
        <v>0.41</v>
      </c>
      <c r="Q94" s="112">
        <v>4.6399999999999997</v>
      </c>
    </row>
    <row r="95" spans="1:17" customFormat="1">
      <c r="A95" s="80">
        <v>45563.90625</v>
      </c>
      <c r="B95" s="112">
        <v>9.1999999999999993</v>
      </c>
      <c r="C95" s="112">
        <v>4.16</v>
      </c>
      <c r="D95" s="112">
        <v>14</v>
      </c>
      <c r="E95" s="112">
        <v>9.49</v>
      </c>
      <c r="F95" s="112">
        <v>4.38</v>
      </c>
      <c r="G95" s="112">
        <v>33.57</v>
      </c>
      <c r="H95" s="112">
        <v>11.37</v>
      </c>
      <c r="I95" s="112">
        <v>4.96</v>
      </c>
      <c r="J95" s="112">
        <v>0.1</v>
      </c>
      <c r="K95" s="112">
        <v>193.19</v>
      </c>
      <c r="L95" s="112">
        <v>26.85</v>
      </c>
      <c r="M95" s="112">
        <v>96.31</v>
      </c>
      <c r="N95" s="112">
        <v>2.1</v>
      </c>
      <c r="O95" s="112">
        <v>0</v>
      </c>
      <c r="P95" s="112">
        <v>0.42</v>
      </c>
      <c r="Q95" s="112">
        <v>4.6399999999999997</v>
      </c>
    </row>
    <row r="96" spans="1:17" customFormat="1">
      <c r="A96" s="80">
        <v>45563.916666666664</v>
      </c>
      <c r="B96" s="112">
        <v>9.1999999999999993</v>
      </c>
      <c r="C96" s="112">
        <v>4.16</v>
      </c>
      <c r="D96" s="112">
        <v>14</v>
      </c>
      <c r="E96" s="112">
        <v>9.58</v>
      </c>
      <c r="F96" s="112">
        <v>4.6500000000000004</v>
      </c>
      <c r="G96" s="112">
        <v>33.520000000000003</v>
      </c>
      <c r="H96" s="112">
        <v>11.44</v>
      </c>
      <c r="I96" s="112">
        <v>5.03</v>
      </c>
      <c r="J96" s="112">
        <v>0.11</v>
      </c>
      <c r="K96" s="112">
        <v>168.54</v>
      </c>
      <c r="L96" s="112">
        <v>26.99</v>
      </c>
      <c r="M96" s="112">
        <v>97.2</v>
      </c>
      <c r="N96" s="112">
        <v>2.1</v>
      </c>
      <c r="O96" s="112">
        <v>0</v>
      </c>
      <c r="P96" s="112">
        <v>0.43</v>
      </c>
      <c r="Q96" s="112">
        <v>4.62</v>
      </c>
    </row>
    <row r="97" spans="1:22" customFormat="1">
      <c r="A97" s="80">
        <v>45563.927083333336</v>
      </c>
      <c r="B97" s="112">
        <v>9.1999999999999993</v>
      </c>
      <c r="C97" s="112">
        <v>4.16</v>
      </c>
      <c r="D97" s="112">
        <v>14</v>
      </c>
      <c r="E97" s="112">
        <v>9.6300000000000008</v>
      </c>
      <c r="F97" s="112">
        <v>4.59</v>
      </c>
      <c r="G97" s="112">
        <v>32.46</v>
      </c>
      <c r="H97" s="112">
        <v>12.47</v>
      </c>
      <c r="I97" s="112">
        <v>5.0999999999999996</v>
      </c>
      <c r="J97" s="112">
        <v>0.11</v>
      </c>
      <c r="K97" s="112">
        <v>164.4</v>
      </c>
      <c r="L97" s="112">
        <v>26.84</v>
      </c>
      <c r="M97" s="112">
        <v>97.93</v>
      </c>
      <c r="N97" s="112">
        <v>2.1</v>
      </c>
      <c r="O97" s="112">
        <v>0</v>
      </c>
      <c r="P97" s="112">
        <v>0.43</v>
      </c>
      <c r="Q97" s="112">
        <v>4.6399999999999997</v>
      </c>
    </row>
    <row r="98" spans="1:22" customFormat="1">
      <c r="A98" s="80">
        <v>45563.9375</v>
      </c>
      <c r="B98" s="112">
        <v>9.1999999999999993</v>
      </c>
      <c r="C98" s="112">
        <v>4.16</v>
      </c>
      <c r="D98" s="112">
        <v>14</v>
      </c>
      <c r="E98" s="112">
        <v>9.76</v>
      </c>
      <c r="F98" s="112">
        <v>4.28</v>
      </c>
      <c r="G98" s="112">
        <v>32.46</v>
      </c>
      <c r="H98" s="112">
        <v>12.47</v>
      </c>
      <c r="I98" s="112">
        <v>5.12</v>
      </c>
      <c r="J98" s="112">
        <v>0.12</v>
      </c>
      <c r="K98" s="112">
        <v>175.46</v>
      </c>
      <c r="L98" s="112">
        <v>26.69</v>
      </c>
      <c r="M98" s="112">
        <v>96.69</v>
      </c>
      <c r="N98" s="112">
        <v>2.1</v>
      </c>
      <c r="O98" s="112">
        <v>0</v>
      </c>
      <c r="P98" s="112">
        <v>0.43</v>
      </c>
      <c r="Q98" s="112">
        <v>4.6399999999999997</v>
      </c>
    </row>
    <row r="99" spans="1:22" customFormat="1">
      <c r="A99" s="80">
        <v>45563.947916666664</v>
      </c>
      <c r="B99" s="112">
        <v>9.2200000000000006</v>
      </c>
      <c r="C99" s="112">
        <v>4.13</v>
      </c>
      <c r="D99" s="112">
        <v>14</v>
      </c>
      <c r="E99" s="112">
        <v>9.75</v>
      </c>
      <c r="F99" s="112">
        <v>4.29</v>
      </c>
      <c r="G99" s="112">
        <v>32.46</v>
      </c>
      <c r="H99" s="112">
        <v>12.47</v>
      </c>
      <c r="I99" s="112">
        <v>5.2</v>
      </c>
      <c r="J99" s="112">
        <v>0.09</v>
      </c>
      <c r="K99" s="112">
        <v>168.1</v>
      </c>
      <c r="L99" s="112">
        <v>26.71</v>
      </c>
      <c r="M99" s="112">
        <v>98.39</v>
      </c>
      <c r="N99" s="112">
        <v>2.1</v>
      </c>
      <c r="O99" s="112">
        <v>0</v>
      </c>
      <c r="P99" s="112">
        <v>0.44</v>
      </c>
      <c r="Q99" s="112">
        <v>4.6399999999999997</v>
      </c>
    </row>
    <row r="100" spans="1:22" customFormat="1">
      <c r="A100" s="80">
        <v>45563.958333333336</v>
      </c>
      <c r="B100" s="112">
        <v>9.23</v>
      </c>
      <c r="C100" s="112">
        <v>4.12</v>
      </c>
      <c r="D100" s="112">
        <v>14</v>
      </c>
      <c r="E100" s="112">
        <v>9.7200000000000006</v>
      </c>
      <c r="F100" s="112">
        <v>4.3600000000000003</v>
      </c>
      <c r="G100" s="112">
        <v>32.700000000000003</v>
      </c>
      <c r="H100" s="112">
        <v>12.55</v>
      </c>
      <c r="I100" s="112">
        <v>5.28</v>
      </c>
      <c r="J100" s="112">
        <v>0.08</v>
      </c>
      <c r="K100" s="112">
        <v>174.51</v>
      </c>
      <c r="L100" s="112">
        <v>26.54</v>
      </c>
      <c r="M100" s="112">
        <v>100.57</v>
      </c>
      <c r="N100" s="112">
        <v>2.1</v>
      </c>
      <c r="O100" s="112">
        <v>0</v>
      </c>
      <c r="P100" s="112">
        <v>0.44</v>
      </c>
      <c r="Q100" s="112">
        <v>4.6399999999999997</v>
      </c>
    </row>
    <row r="101" spans="1:22" customFormat="1">
      <c r="A101" s="80">
        <v>45563.96875</v>
      </c>
      <c r="B101" s="112">
        <v>9.26</v>
      </c>
      <c r="C101" s="112">
        <v>4.08</v>
      </c>
      <c r="D101" s="112">
        <v>14</v>
      </c>
      <c r="E101" s="112">
        <v>9.84</v>
      </c>
      <c r="F101" s="112">
        <v>4.3499999999999996</v>
      </c>
      <c r="G101" s="112">
        <v>36.729999999999997</v>
      </c>
      <c r="H101" s="112">
        <v>13.76</v>
      </c>
      <c r="I101" s="112">
        <v>5.34</v>
      </c>
      <c r="J101" s="112">
        <v>0.12</v>
      </c>
      <c r="K101" s="112">
        <v>163.03</v>
      </c>
      <c r="L101" s="112">
        <v>26.53</v>
      </c>
      <c r="M101" s="112">
        <v>99.41</v>
      </c>
      <c r="N101" s="112">
        <v>2.1</v>
      </c>
      <c r="O101" s="112">
        <v>0</v>
      </c>
      <c r="P101" s="112">
        <v>0.45</v>
      </c>
      <c r="Q101" s="112">
        <v>4.6500000000000004</v>
      </c>
    </row>
    <row r="102" spans="1:22" customFormat="1">
      <c r="A102" s="80">
        <v>45563.979166666664</v>
      </c>
      <c r="B102" s="112">
        <v>9.31</v>
      </c>
      <c r="C102" s="112">
        <v>4.07</v>
      </c>
      <c r="D102" s="112">
        <v>14.04</v>
      </c>
      <c r="E102" s="112">
        <v>8.4</v>
      </c>
      <c r="F102" s="112">
        <v>4.55</v>
      </c>
      <c r="G102" s="112">
        <v>36.729999999999997</v>
      </c>
      <c r="H102" s="112">
        <v>13.76</v>
      </c>
      <c r="I102" s="112">
        <v>5.35</v>
      </c>
      <c r="J102" s="112">
        <v>0.09</v>
      </c>
      <c r="K102" s="112">
        <v>234.17</v>
      </c>
      <c r="L102" s="112">
        <v>26.42</v>
      </c>
      <c r="M102" s="112">
        <v>97.46</v>
      </c>
      <c r="N102" s="112">
        <v>2.1</v>
      </c>
      <c r="O102" s="112">
        <v>0</v>
      </c>
      <c r="P102" s="112">
        <v>0.42</v>
      </c>
      <c r="Q102" s="112">
        <v>4.6500000000000004</v>
      </c>
    </row>
    <row r="103" spans="1:22" customFormat="1">
      <c r="A103" s="80">
        <v>45563.989583333336</v>
      </c>
      <c r="B103" s="112">
        <v>9.3800000000000008</v>
      </c>
      <c r="C103" s="112">
        <v>4.09</v>
      </c>
      <c r="D103" s="112">
        <v>14.11</v>
      </c>
      <c r="E103" s="112">
        <v>9.19</v>
      </c>
      <c r="F103" s="112">
        <v>4.2300000000000004</v>
      </c>
      <c r="G103" s="112">
        <v>36.729999999999997</v>
      </c>
      <c r="H103" s="112">
        <v>13.76</v>
      </c>
      <c r="I103" s="112">
        <v>5.23</v>
      </c>
      <c r="J103" s="112">
        <v>0.1</v>
      </c>
      <c r="K103" s="112">
        <v>189.92</v>
      </c>
      <c r="L103" s="112">
        <v>26.28</v>
      </c>
      <c r="M103" s="112">
        <v>97.17</v>
      </c>
      <c r="N103" s="112">
        <v>2.1</v>
      </c>
      <c r="O103" s="112">
        <v>0</v>
      </c>
      <c r="P103" s="112">
        <v>0.39</v>
      </c>
      <c r="Q103" s="112">
        <v>4.67</v>
      </c>
    </row>
    <row r="104" spans="1:22" customFormat="1">
      <c r="A104" s="80">
        <v>45564</v>
      </c>
      <c r="B104" s="112">
        <v>9.3699999999999992</v>
      </c>
      <c r="C104" s="112">
        <v>4.08</v>
      </c>
      <c r="D104" s="112">
        <v>14.09</v>
      </c>
      <c r="E104" s="112">
        <v>9.24</v>
      </c>
      <c r="F104" s="112">
        <v>4.34</v>
      </c>
      <c r="G104" s="112">
        <v>36.67</v>
      </c>
      <c r="H104" s="112">
        <v>13.78</v>
      </c>
      <c r="I104" s="112">
        <v>5.14</v>
      </c>
      <c r="J104" s="112">
        <v>0.13</v>
      </c>
      <c r="K104" s="112">
        <v>164.07</v>
      </c>
      <c r="L104" s="112">
        <v>26.32</v>
      </c>
      <c r="M104" s="112">
        <v>97.3</v>
      </c>
      <c r="N104" s="112">
        <v>2.1</v>
      </c>
      <c r="O104" s="112">
        <v>0</v>
      </c>
      <c r="P104" s="112">
        <v>0.4</v>
      </c>
      <c r="Q104" s="112">
        <v>4.68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9.19</v>
      </c>
      <c r="C106" s="183">
        <f>MIN(C9:C104)</f>
        <v>4.04</v>
      </c>
      <c r="D106" s="183">
        <f t="shared" ref="D106:Q106" si="0">MIN(D9:D104)</f>
        <v>14</v>
      </c>
      <c r="E106" s="183">
        <f t="shared" si="0"/>
        <v>5.27</v>
      </c>
      <c r="F106" s="183">
        <f t="shared" si="0"/>
        <v>4.03</v>
      </c>
      <c r="G106" s="183">
        <f t="shared" si="0"/>
        <v>11.13</v>
      </c>
      <c r="H106" s="183">
        <f t="shared" si="0"/>
        <v>2.25</v>
      </c>
      <c r="I106" s="183">
        <f t="shared" si="0"/>
        <v>2.46</v>
      </c>
      <c r="J106" s="183">
        <f t="shared" si="0"/>
        <v>7.0000000000000007E-2</v>
      </c>
      <c r="K106" s="183">
        <f t="shared" si="0"/>
        <v>163.03</v>
      </c>
      <c r="L106" s="183">
        <f t="shared" si="0"/>
        <v>24.5</v>
      </c>
      <c r="M106" s="183">
        <f t="shared" si="0"/>
        <v>69.069999999999993</v>
      </c>
      <c r="N106" s="183">
        <f t="shared" si="0"/>
        <v>2.1</v>
      </c>
      <c r="O106" s="183">
        <f t="shared" si="0"/>
        <v>0</v>
      </c>
      <c r="P106" s="183">
        <f t="shared" si="0"/>
        <v>0.19</v>
      </c>
      <c r="Q106" s="183">
        <f t="shared" si="0"/>
        <v>4.59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9.48</v>
      </c>
      <c r="C107" s="184">
        <f t="shared" ref="C107:Q107" si="1">MAX(C9:C104)</f>
        <v>4.18</v>
      </c>
      <c r="D107" s="184">
        <f t="shared" si="1"/>
        <v>14.18</v>
      </c>
      <c r="E107" s="184">
        <f t="shared" si="1"/>
        <v>13.5</v>
      </c>
      <c r="F107" s="184">
        <f t="shared" si="1"/>
        <v>11.7</v>
      </c>
      <c r="G107" s="184">
        <f t="shared" si="1"/>
        <v>36.729999999999997</v>
      </c>
      <c r="H107" s="184">
        <f t="shared" si="1"/>
        <v>13.78</v>
      </c>
      <c r="I107" s="184">
        <f t="shared" si="1"/>
        <v>5.35</v>
      </c>
      <c r="J107" s="184">
        <f t="shared" si="1"/>
        <v>0.92</v>
      </c>
      <c r="K107" s="184">
        <f t="shared" si="1"/>
        <v>288.37</v>
      </c>
      <c r="L107" s="184">
        <f t="shared" si="1"/>
        <v>32.590000000000003</v>
      </c>
      <c r="M107" s="184">
        <f t="shared" si="1"/>
        <v>100.57</v>
      </c>
      <c r="N107" s="184">
        <f t="shared" si="1"/>
        <v>767.4</v>
      </c>
      <c r="O107" s="184">
        <f t="shared" si="1"/>
        <v>0</v>
      </c>
      <c r="P107" s="184">
        <f t="shared" si="1"/>
        <v>0.45</v>
      </c>
      <c r="Q107" s="184">
        <f t="shared" si="1"/>
        <v>4.7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9.2714583333333369</v>
      </c>
      <c r="C108" s="183">
        <f t="shared" ref="C108:Q108" si="2">AVERAGE(C9:C104)</f>
        <v>4.088958333333335</v>
      </c>
      <c r="D108" s="183">
        <f t="shared" si="2"/>
        <v>14.020833333333329</v>
      </c>
      <c r="E108" s="183">
        <f t="shared" si="2"/>
        <v>9.7321875000000073</v>
      </c>
      <c r="F108" s="183">
        <f t="shared" si="2"/>
        <v>6.0279166666666661</v>
      </c>
      <c r="G108" s="183">
        <f t="shared" si="2"/>
        <v>21.439166666666683</v>
      </c>
      <c r="H108" s="183">
        <f t="shared" si="2"/>
        <v>7.2718750000000014</v>
      </c>
      <c r="I108" s="183">
        <f t="shared" si="2"/>
        <v>3.6515624999999989</v>
      </c>
      <c r="J108" s="183">
        <f t="shared" si="2"/>
        <v>0.31197916666666664</v>
      </c>
      <c r="K108" s="183">
        <f t="shared" si="2"/>
        <v>236.92927083333325</v>
      </c>
      <c r="L108" s="183">
        <f t="shared" si="2"/>
        <v>28.030625000000001</v>
      </c>
      <c r="M108" s="183">
        <f t="shared" si="2"/>
        <v>86.561041666666654</v>
      </c>
      <c r="N108" s="183">
        <f t="shared" si="2"/>
        <v>111.38958333333348</v>
      </c>
      <c r="O108" s="183">
        <f t="shared" si="2"/>
        <v>0</v>
      </c>
      <c r="P108" s="183">
        <f t="shared" si="2"/>
        <v>0.32447916666666649</v>
      </c>
      <c r="Q108" s="183">
        <f t="shared" si="2"/>
        <v>4.6499999999999986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5.5743381323736588E-2</v>
      </c>
      <c r="C109" s="183">
        <f t="shared" ref="C109:Q109" si="3">STDEV(C9:C104)</f>
        <v>3.0209066839249531E-2</v>
      </c>
      <c r="D109" s="183">
        <f t="shared" si="3"/>
        <v>3.9193626406307282E-2</v>
      </c>
      <c r="E109" s="183">
        <f t="shared" si="3"/>
        <v>2.3568780434808181</v>
      </c>
      <c r="F109" s="183">
        <f t="shared" si="3"/>
        <v>2.007466020773804</v>
      </c>
      <c r="G109" s="183">
        <f t="shared" si="3"/>
        <v>6.5850402495139368</v>
      </c>
      <c r="H109" s="183">
        <f t="shared" si="3"/>
        <v>3.2460091488991232</v>
      </c>
      <c r="I109" s="183">
        <f t="shared" si="3"/>
        <v>0.73724997992183616</v>
      </c>
      <c r="J109" s="183">
        <f t="shared" si="3"/>
        <v>0.24224224409578404</v>
      </c>
      <c r="K109" s="183">
        <f t="shared" si="3"/>
        <v>37.555380643154642</v>
      </c>
      <c r="L109" s="183">
        <f t="shared" si="3"/>
        <v>2.502428636134769</v>
      </c>
      <c r="M109" s="183">
        <f t="shared" si="3"/>
        <v>10.711566545135934</v>
      </c>
      <c r="N109" s="183">
        <f t="shared" si="3"/>
        <v>182.45585218242255</v>
      </c>
      <c r="O109" s="183">
        <f t="shared" si="3"/>
        <v>0</v>
      </c>
      <c r="P109" s="183">
        <f t="shared" si="3"/>
        <v>6.1914538581171519E-2</v>
      </c>
      <c r="Q109" s="183">
        <f t="shared" si="3"/>
        <v>2.005256250851482E-2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17"/>
  <sheetViews>
    <sheetView workbookViewId="0">
      <selection activeCell="A9" sqref="A9:XFD104"/>
    </sheetView>
  </sheetViews>
  <sheetFormatPr defaultColWidth="9" defaultRowHeight="15"/>
  <cols>
    <col min="1" max="1" width="14.7109375" customWidth="1"/>
    <col min="2" max="2" width="14.140625" customWidth="1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45564.010416666664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R2" s="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L3" s="167" t="s">
        <v>14</v>
      </c>
      <c r="M3" s="147"/>
      <c r="N3" s="180" t="s">
        <v>15</v>
      </c>
      <c r="O3" s="147"/>
      <c r="P3" s="173" t="s">
        <v>15</v>
      </c>
      <c r="Q3" s="147"/>
      <c r="R3" s="2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N4" s="2"/>
      <c r="O4" s="147"/>
      <c r="P4" s="147"/>
      <c r="Q4" s="147"/>
      <c r="R4" s="147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>
      <c r="A9" s="80">
        <v>45564.010416666664</v>
      </c>
      <c r="B9" s="112">
        <v>9.25</v>
      </c>
      <c r="C9" s="112">
        <v>4.08</v>
      </c>
      <c r="D9" s="112">
        <v>14</v>
      </c>
      <c r="E9" s="112">
        <v>9.1</v>
      </c>
      <c r="F9" s="112">
        <v>4.18</v>
      </c>
      <c r="G9" s="112">
        <v>35.56</v>
      </c>
      <c r="H9" s="112">
        <v>14.05</v>
      </c>
      <c r="I9" s="112">
        <v>5.18</v>
      </c>
      <c r="J9" s="112">
        <v>0.1</v>
      </c>
      <c r="K9" s="112">
        <v>126</v>
      </c>
      <c r="L9" s="112">
        <v>26.36</v>
      </c>
      <c r="M9" s="112">
        <v>96.75</v>
      </c>
      <c r="N9" s="112">
        <v>2.1</v>
      </c>
      <c r="O9" s="112">
        <v>0</v>
      </c>
      <c r="P9" s="112">
        <v>0.4</v>
      </c>
      <c r="Q9" s="112">
        <v>4.66</v>
      </c>
    </row>
    <row r="10" spans="1:21">
      <c r="A10" s="80">
        <v>45564.020833333336</v>
      </c>
      <c r="B10" s="112">
        <v>9.1999999999999993</v>
      </c>
      <c r="C10" s="112">
        <v>4.17</v>
      </c>
      <c r="D10" s="112">
        <v>14</v>
      </c>
      <c r="E10" s="112">
        <v>9.7799999999999994</v>
      </c>
      <c r="F10" s="112">
        <v>4.4800000000000004</v>
      </c>
      <c r="G10" s="112">
        <v>35.56</v>
      </c>
      <c r="H10" s="112">
        <v>14.05</v>
      </c>
      <c r="I10" s="112">
        <v>5.16</v>
      </c>
      <c r="J10" s="112">
        <v>0.11</v>
      </c>
      <c r="K10" s="112">
        <v>181.32</v>
      </c>
      <c r="L10" s="112">
        <v>26.19</v>
      </c>
      <c r="M10" s="112">
        <v>96.02</v>
      </c>
      <c r="N10" s="112">
        <v>2.1</v>
      </c>
      <c r="O10" s="112">
        <v>0</v>
      </c>
      <c r="P10" s="112">
        <v>0.39</v>
      </c>
      <c r="Q10" s="112">
        <v>4.6500000000000004</v>
      </c>
    </row>
    <row r="11" spans="1:21">
      <c r="A11" s="80">
        <v>45564.03125</v>
      </c>
      <c r="B11" s="112">
        <v>9.16</v>
      </c>
      <c r="C11" s="112">
        <v>4.22</v>
      </c>
      <c r="D11" s="112">
        <v>14</v>
      </c>
      <c r="E11" s="112">
        <v>10.06</v>
      </c>
      <c r="F11" s="112">
        <v>4.43</v>
      </c>
      <c r="G11" s="112">
        <v>35.56</v>
      </c>
      <c r="H11" s="112">
        <v>14.05</v>
      </c>
      <c r="I11" s="112">
        <v>5.13</v>
      </c>
      <c r="J11" s="112">
        <v>0.08</v>
      </c>
      <c r="K11" s="112">
        <v>189.51</v>
      </c>
      <c r="L11" s="112">
        <v>26.04</v>
      </c>
      <c r="M11" s="112">
        <v>97.1</v>
      </c>
      <c r="N11" s="112">
        <v>2.1</v>
      </c>
      <c r="O11" s="112">
        <v>0</v>
      </c>
      <c r="P11" s="112">
        <v>0.4</v>
      </c>
      <c r="Q11" s="112">
        <v>4.6500000000000004</v>
      </c>
    </row>
    <row r="12" spans="1:21">
      <c r="A12" s="80">
        <v>45564.041666666664</v>
      </c>
      <c r="B12" s="112">
        <v>9.15</v>
      </c>
      <c r="C12" s="112">
        <v>4.2300000000000004</v>
      </c>
      <c r="D12" s="112">
        <v>14</v>
      </c>
      <c r="E12" s="112">
        <v>10.27</v>
      </c>
      <c r="F12" s="112">
        <v>4.3499999999999996</v>
      </c>
      <c r="G12" s="112">
        <v>35.28</v>
      </c>
      <c r="H12" s="112">
        <v>13.84</v>
      </c>
      <c r="I12" s="112">
        <v>5.2</v>
      </c>
      <c r="J12" s="112">
        <v>0.08</v>
      </c>
      <c r="K12" s="112">
        <v>225.89</v>
      </c>
      <c r="L12" s="112">
        <v>25.92</v>
      </c>
      <c r="M12" s="112">
        <v>97.54</v>
      </c>
      <c r="N12" s="112">
        <v>2.1</v>
      </c>
      <c r="O12" s="112">
        <v>0</v>
      </c>
      <c r="P12" s="112">
        <v>0.4</v>
      </c>
      <c r="Q12" s="112">
        <v>4.67</v>
      </c>
    </row>
    <row r="13" spans="1:21">
      <c r="A13" s="80">
        <v>45564.052083333336</v>
      </c>
      <c r="B13" s="112">
        <v>9.15</v>
      </c>
      <c r="C13" s="112">
        <v>4.24</v>
      </c>
      <c r="D13" s="112">
        <v>14</v>
      </c>
      <c r="E13" s="112">
        <v>10.44</v>
      </c>
      <c r="F13" s="112">
        <v>4.63</v>
      </c>
      <c r="G13" s="112">
        <v>29.17</v>
      </c>
      <c r="H13" s="112">
        <v>10.56</v>
      </c>
      <c r="I13" s="112">
        <v>5.3</v>
      </c>
      <c r="J13" s="112">
        <v>0.1</v>
      </c>
      <c r="K13" s="112">
        <v>167.82</v>
      </c>
      <c r="L13" s="112">
        <v>25.89</v>
      </c>
      <c r="M13" s="112">
        <v>97.39</v>
      </c>
      <c r="N13" s="112">
        <v>2.1</v>
      </c>
      <c r="O13" s="112">
        <v>0</v>
      </c>
      <c r="P13" s="112">
        <v>0.41</v>
      </c>
      <c r="Q13" s="112">
        <v>4.6500000000000004</v>
      </c>
    </row>
    <row r="14" spans="1:21">
      <c r="A14" s="80">
        <v>45564.0625</v>
      </c>
      <c r="B14" s="112">
        <v>9.16</v>
      </c>
      <c r="C14" s="112">
        <v>4.22</v>
      </c>
      <c r="D14" s="112">
        <v>14</v>
      </c>
      <c r="E14" s="112">
        <v>10.8</v>
      </c>
      <c r="F14" s="112">
        <v>4.47</v>
      </c>
      <c r="G14" s="112">
        <v>29.17</v>
      </c>
      <c r="H14" s="112">
        <v>10.56</v>
      </c>
      <c r="I14" s="112">
        <v>5.26</v>
      </c>
      <c r="J14" s="112">
        <v>0.09</v>
      </c>
      <c r="K14" s="112">
        <v>183.11</v>
      </c>
      <c r="L14" s="112">
        <v>25.92</v>
      </c>
      <c r="M14" s="112">
        <v>96.1</v>
      </c>
      <c r="N14" s="112">
        <v>2.1</v>
      </c>
      <c r="O14" s="112">
        <v>0</v>
      </c>
      <c r="P14" s="112">
        <v>0.39</v>
      </c>
      <c r="Q14" s="112">
        <v>4.6500000000000004</v>
      </c>
    </row>
    <row r="15" spans="1:21">
      <c r="A15" s="80">
        <v>45564.072916666664</v>
      </c>
      <c r="B15" s="112">
        <v>9.15</v>
      </c>
      <c r="C15" s="112">
        <v>4.24</v>
      </c>
      <c r="D15" s="112">
        <v>14</v>
      </c>
      <c r="E15" s="112">
        <v>10.74</v>
      </c>
      <c r="F15" s="112">
        <v>4.3600000000000003</v>
      </c>
      <c r="G15" s="112">
        <v>29.17</v>
      </c>
      <c r="H15" s="112">
        <v>10.56</v>
      </c>
      <c r="I15" s="112">
        <v>5.31</v>
      </c>
      <c r="J15" s="112">
        <v>0.09</v>
      </c>
      <c r="K15" s="112">
        <v>171.88</v>
      </c>
      <c r="L15" s="112">
        <v>25.84</v>
      </c>
      <c r="M15" s="112">
        <v>96.39</v>
      </c>
      <c r="N15" s="112">
        <v>2.1</v>
      </c>
      <c r="O15" s="112">
        <v>0</v>
      </c>
      <c r="P15" s="112">
        <v>0.4</v>
      </c>
      <c r="Q15" s="112">
        <v>4.66</v>
      </c>
    </row>
    <row r="16" spans="1:21">
      <c r="A16" s="80">
        <v>45564.083333333336</v>
      </c>
      <c r="B16" s="112">
        <v>9.15</v>
      </c>
      <c r="C16" s="112">
        <v>4.24</v>
      </c>
      <c r="D16" s="112">
        <v>14</v>
      </c>
      <c r="E16" s="112">
        <v>10.62</v>
      </c>
      <c r="F16" s="112">
        <v>4.1100000000000003</v>
      </c>
      <c r="G16" s="112">
        <v>29.11</v>
      </c>
      <c r="H16" s="112">
        <v>10.41</v>
      </c>
      <c r="I16" s="112">
        <v>5.22</v>
      </c>
      <c r="J16" s="112">
        <v>0.08</v>
      </c>
      <c r="K16" s="112">
        <v>187.47</v>
      </c>
      <c r="L16" s="112">
        <v>25.71</v>
      </c>
      <c r="M16" s="112">
        <v>96.46</v>
      </c>
      <c r="N16" s="112">
        <v>2.1</v>
      </c>
      <c r="O16" s="112">
        <v>0</v>
      </c>
      <c r="P16" s="112">
        <v>0.4</v>
      </c>
      <c r="Q16" s="112">
        <v>4.67</v>
      </c>
    </row>
    <row r="17" spans="1:17">
      <c r="A17" s="80">
        <v>45564.09375</v>
      </c>
      <c r="B17" s="112">
        <v>9.15</v>
      </c>
      <c r="C17" s="112">
        <v>4.2300000000000004</v>
      </c>
      <c r="D17" s="112">
        <v>14</v>
      </c>
      <c r="E17" s="112">
        <v>7.11</v>
      </c>
      <c r="F17" s="112">
        <v>4.17</v>
      </c>
      <c r="G17" s="112">
        <v>27.86</v>
      </c>
      <c r="H17" s="112">
        <v>7.95</v>
      </c>
      <c r="I17" s="112">
        <v>5.03</v>
      </c>
      <c r="J17" s="112">
        <v>0.09</v>
      </c>
      <c r="K17" s="112">
        <v>182.12</v>
      </c>
      <c r="L17" s="112">
        <v>25.67</v>
      </c>
      <c r="M17" s="112">
        <v>96.69</v>
      </c>
      <c r="N17" s="112">
        <v>2.1</v>
      </c>
      <c r="O17" s="112">
        <v>0</v>
      </c>
      <c r="P17" s="112">
        <v>0.4</v>
      </c>
      <c r="Q17" s="112">
        <v>4.66</v>
      </c>
    </row>
    <row r="18" spans="1:17">
      <c r="A18" s="80">
        <v>45564.104166666664</v>
      </c>
      <c r="B18" s="112">
        <v>9.15</v>
      </c>
      <c r="C18" s="112">
        <v>4.24</v>
      </c>
      <c r="D18" s="112">
        <v>14</v>
      </c>
      <c r="E18" s="112">
        <v>8.7200000000000006</v>
      </c>
      <c r="F18" s="112">
        <v>4.3099999999999996</v>
      </c>
      <c r="G18" s="112">
        <v>27.86</v>
      </c>
      <c r="H18" s="112">
        <v>7.95</v>
      </c>
      <c r="I18" s="112">
        <v>5.26</v>
      </c>
      <c r="J18" s="112">
        <v>0.14000000000000001</v>
      </c>
      <c r="K18" s="112">
        <v>184.68</v>
      </c>
      <c r="L18" s="112">
        <v>25.67</v>
      </c>
      <c r="M18" s="112">
        <v>96.55</v>
      </c>
      <c r="N18" s="112">
        <v>2.1</v>
      </c>
      <c r="O18" s="112">
        <v>0</v>
      </c>
      <c r="P18" s="112">
        <v>0.39</v>
      </c>
      <c r="Q18" s="112">
        <v>4.67</v>
      </c>
    </row>
    <row r="19" spans="1:17">
      <c r="A19" s="80">
        <v>45564.114583333336</v>
      </c>
      <c r="B19" s="112">
        <v>9.16</v>
      </c>
      <c r="C19" s="112">
        <v>4.2300000000000004</v>
      </c>
      <c r="D19" s="112">
        <v>14</v>
      </c>
      <c r="E19" s="112">
        <v>8.68</v>
      </c>
      <c r="F19" s="112">
        <v>4.04</v>
      </c>
      <c r="G19" s="112">
        <v>27.86</v>
      </c>
      <c r="H19" s="112">
        <v>7.95</v>
      </c>
      <c r="I19" s="112">
        <v>5.26</v>
      </c>
      <c r="J19" s="112">
        <v>0.09</v>
      </c>
      <c r="K19" s="112">
        <v>211.56</v>
      </c>
      <c r="L19" s="112">
        <v>25.77</v>
      </c>
      <c r="M19" s="112">
        <v>96.55</v>
      </c>
      <c r="N19" s="112">
        <v>2.1</v>
      </c>
      <c r="O19" s="112">
        <v>0</v>
      </c>
      <c r="P19" s="112">
        <v>0.39</v>
      </c>
      <c r="Q19" s="112">
        <v>4.6500000000000004</v>
      </c>
    </row>
    <row r="20" spans="1:17">
      <c r="A20" s="80">
        <v>45564.125</v>
      </c>
      <c r="B20" s="112">
        <v>9.15</v>
      </c>
      <c r="C20" s="112">
        <v>4.24</v>
      </c>
      <c r="D20" s="112">
        <v>14</v>
      </c>
      <c r="E20" s="112">
        <v>9.23</v>
      </c>
      <c r="F20" s="112">
        <v>3.82</v>
      </c>
      <c r="G20" s="112">
        <v>28</v>
      </c>
      <c r="H20" s="112">
        <v>7.87</v>
      </c>
      <c r="I20" s="112">
        <v>4.92</v>
      </c>
      <c r="J20" s="112">
        <v>0.08</v>
      </c>
      <c r="K20" s="112">
        <v>172.2</v>
      </c>
      <c r="L20" s="112">
        <v>25.59</v>
      </c>
      <c r="M20" s="112">
        <v>97.35</v>
      </c>
      <c r="N20" s="112">
        <v>2.1</v>
      </c>
      <c r="O20" s="112">
        <v>0</v>
      </c>
      <c r="P20" s="112">
        <v>0.39</v>
      </c>
      <c r="Q20" s="112">
        <v>4.6500000000000004</v>
      </c>
    </row>
    <row r="21" spans="1:17">
      <c r="A21" s="80">
        <v>45564.135416666664</v>
      </c>
      <c r="B21" s="112">
        <v>9.17</v>
      </c>
      <c r="C21" s="112">
        <v>4.2</v>
      </c>
      <c r="D21" s="112">
        <v>14</v>
      </c>
      <c r="E21" s="112">
        <v>9.2100000000000009</v>
      </c>
      <c r="F21" s="112">
        <v>4.2300000000000004</v>
      </c>
      <c r="G21" s="112">
        <v>31.04</v>
      </c>
      <c r="H21" s="112">
        <v>6.19</v>
      </c>
      <c r="I21" s="112">
        <v>4.8899999999999997</v>
      </c>
      <c r="J21" s="112">
        <v>0.11</v>
      </c>
      <c r="K21" s="112">
        <v>155.6</v>
      </c>
      <c r="L21" s="112">
        <v>25.56</v>
      </c>
      <c r="M21" s="112">
        <v>97.43</v>
      </c>
      <c r="N21" s="112">
        <v>2.1</v>
      </c>
      <c r="O21" s="112">
        <v>0</v>
      </c>
      <c r="P21" s="112">
        <v>0.4</v>
      </c>
      <c r="Q21" s="112">
        <v>4.67</v>
      </c>
    </row>
    <row r="22" spans="1:17">
      <c r="A22" s="80">
        <v>45564.145833333336</v>
      </c>
      <c r="B22" s="112">
        <v>9.1999999999999993</v>
      </c>
      <c r="C22" s="112">
        <v>4.17</v>
      </c>
      <c r="D22" s="112">
        <v>14</v>
      </c>
      <c r="E22" s="112">
        <v>9.52</v>
      </c>
      <c r="F22" s="112">
        <v>4.32</v>
      </c>
      <c r="G22" s="112">
        <v>31.04</v>
      </c>
      <c r="H22" s="112">
        <v>6.19</v>
      </c>
      <c r="I22" s="112">
        <v>5.05</v>
      </c>
      <c r="J22" s="112">
        <v>0.06</v>
      </c>
      <c r="K22" s="112">
        <v>194.05</v>
      </c>
      <c r="L22" s="112">
        <v>25.52</v>
      </c>
      <c r="M22" s="112">
        <v>97.66</v>
      </c>
      <c r="N22" s="112">
        <v>2.1</v>
      </c>
      <c r="O22" s="112">
        <v>0</v>
      </c>
      <c r="P22" s="112">
        <v>0.39</v>
      </c>
      <c r="Q22" s="112">
        <v>4.67</v>
      </c>
    </row>
    <row r="23" spans="1:17">
      <c r="A23" s="80">
        <v>45564.15625</v>
      </c>
      <c r="B23" s="112">
        <v>9.17</v>
      </c>
      <c r="C23" s="112">
        <v>4.2</v>
      </c>
      <c r="D23" s="112">
        <v>14</v>
      </c>
      <c r="E23" s="112">
        <v>9.5500000000000007</v>
      </c>
      <c r="F23" s="112">
        <v>4.1399999999999997</v>
      </c>
      <c r="G23" s="112">
        <v>31.04</v>
      </c>
      <c r="H23" s="112">
        <v>6.19</v>
      </c>
      <c r="I23" s="112">
        <v>5.41</v>
      </c>
      <c r="J23" s="112">
        <v>0.08</v>
      </c>
      <c r="K23" s="112">
        <v>167.58</v>
      </c>
      <c r="L23" s="112">
        <v>25.43</v>
      </c>
      <c r="M23" s="112">
        <v>97.86</v>
      </c>
      <c r="N23" s="112">
        <v>2.1</v>
      </c>
      <c r="O23" s="112">
        <v>0</v>
      </c>
      <c r="P23" s="112">
        <v>0.39</v>
      </c>
      <c r="Q23" s="112">
        <v>4.66</v>
      </c>
    </row>
    <row r="24" spans="1:17">
      <c r="A24" s="80">
        <v>45564.166666666664</v>
      </c>
      <c r="B24" s="112">
        <v>9.18</v>
      </c>
      <c r="C24" s="112">
        <v>4.1900000000000004</v>
      </c>
      <c r="D24" s="112">
        <v>14</v>
      </c>
      <c r="E24" s="112">
        <v>9.56</v>
      </c>
      <c r="F24" s="112">
        <v>3.5</v>
      </c>
      <c r="G24" s="112">
        <v>30.65</v>
      </c>
      <c r="H24" s="112">
        <v>6.48</v>
      </c>
      <c r="I24" s="112">
        <v>5.15</v>
      </c>
      <c r="J24" s="112">
        <v>0.08</v>
      </c>
      <c r="K24" s="112">
        <v>159.74</v>
      </c>
      <c r="L24" s="112">
        <v>25.39</v>
      </c>
      <c r="M24" s="112">
        <v>97.95</v>
      </c>
      <c r="N24" s="112">
        <v>2.1</v>
      </c>
      <c r="O24" s="112">
        <v>0</v>
      </c>
      <c r="P24" s="112">
        <v>0.38</v>
      </c>
      <c r="Q24" s="112">
        <v>4.67</v>
      </c>
    </row>
    <row r="25" spans="1:17">
      <c r="A25" s="80">
        <v>45564.177083333336</v>
      </c>
      <c r="B25" s="112">
        <v>9.17</v>
      </c>
      <c r="C25" s="112">
        <v>4.21</v>
      </c>
      <c r="D25" s="112">
        <v>14</v>
      </c>
      <c r="E25" s="112">
        <v>9.2799999999999994</v>
      </c>
      <c r="F25" s="112">
        <v>3.9</v>
      </c>
      <c r="G25" s="112">
        <v>22.46</v>
      </c>
      <c r="H25" s="112">
        <v>11.02</v>
      </c>
      <c r="I25" s="112">
        <v>5.0199999999999996</v>
      </c>
      <c r="J25" s="112">
        <v>7.0000000000000007E-2</v>
      </c>
      <c r="K25" s="112">
        <v>163.72999999999999</v>
      </c>
      <c r="L25" s="112">
        <v>25.36</v>
      </c>
      <c r="M25" s="112">
        <v>98.06</v>
      </c>
      <c r="N25" s="112">
        <v>2.1</v>
      </c>
      <c r="O25" s="112">
        <v>0</v>
      </c>
      <c r="P25" s="112">
        <v>0.39</v>
      </c>
      <c r="Q25" s="112">
        <v>4.67</v>
      </c>
    </row>
    <row r="26" spans="1:17">
      <c r="A26" s="80">
        <v>45564.1875</v>
      </c>
      <c r="B26" s="112">
        <v>9.16</v>
      </c>
      <c r="C26" s="112">
        <v>4.22</v>
      </c>
      <c r="D26" s="112">
        <v>14</v>
      </c>
      <c r="E26" s="112">
        <v>9.82</v>
      </c>
      <c r="F26" s="112">
        <v>4.07</v>
      </c>
      <c r="G26" s="112">
        <v>22.46</v>
      </c>
      <c r="H26" s="112">
        <v>11.02</v>
      </c>
      <c r="I26" s="112">
        <v>5.1100000000000003</v>
      </c>
      <c r="J26" s="112">
        <v>7.0000000000000007E-2</v>
      </c>
      <c r="K26" s="112">
        <v>214.92</v>
      </c>
      <c r="L26" s="112">
        <v>25.28</v>
      </c>
      <c r="M26" s="112">
        <v>98.1</v>
      </c>
      <c r="N26" s="112">
        <v>2.1</v>
      </c>
      <c r="O26" s="112">
        <v>0</v>
      </c>
      <c r="P26" s="112">
        <v>0.4</v>
      </c>
      <c r="Q26" s="112">
        <v>4.67</v>
      </c>
    </row>
    <row r="27" spans="1:17">
      <c r="A27" s="80">
        <v>45564.197916666664</v>
      </c>
      <c r="B27" s="112">
        <v>9.17</v>
      </c>
      <c r="C27" s="112">
        <v>4.21</v>
      </c>
      <c r="D27" s="112">
        <v>14</v>
      </c>
      <c r="E27" s="112">
        <v>9.2100000000000009</v>
      </c>
      <c r="F27" s="112">
        <v>4.28</v>
      </c>
      <c r="G27" s="112">
        <v>22.46</v>
      </c>
      <c r="H27" s="112">
        <v>11.02</v>
      </c>
      <c r="I27" s="112">
        <v>5.18</v>
      </c>
      <c r="J27" s="112">
        <v>0.08</v>
      </c>
      <c r="K27" s="112">
        <v>214.43</v>
      </c>
      <c r="L27" s="112">
        <v>25.23</v>
      </c>
      <c r="M27" s="112">
        <v>98.42</v>
      </c>
      <c r="N27" s="112">
        <v>2.1</v>
      </c>
      <c r="O27" s="112">
        <v>0</v>
      </c>
      <c r="P27" s="112">
        <v>0.39</v>
      </c>
      <c r="Q27" s="112">
        <v>4.6500000000000004</v>
      </c>
    </row>
    <row r="28" spans="1:17">
      <c r="A28" s="80">
        <v>45564.208333333336</v>
      </c>
      <c r="B28" s="112">
        <v>9.19</v>
      </c>
      <c r="C28" s="112">
        <v>4.18</v>
      </c>
      <c r="D28" s="112">
        <v>14</v>
      </c>
      <c r="E28" s="112">
        <v>8.83</v>
      </c>
      <c r="F28" s="112">
        <v>4.46</v>
      </c>
      <c r="G28" s="112">
        <v>22.55</v>
      </c>
      <c r="H28" s="112">
        <v>10.83</v>
      </c>
      <c r="I28" s="112">
        <v>5.23</v>
      </c>
      <c r="J28" s="112">
        <v>0.05</v>
      </c>
      <c r="K28" s="112">
        <v>180.87</v>
      </c>
      <c r="L28" s="112">
        <v>25.2</v>
      </c>
      <c r="M28" s="112">
        <v>98.74</v>
      </c>
      <c r="N28" s="112">
        <v>2.1</v>
      </c>
      <c r="O28" s="112">
        <v>0</v>
      </c>
      <c r="P28" s="112">
        <v>0.39</v>
      </c>
      <c r="Q28" s="112">
        <v>4.63</v>
      </c>
    </row>
    <row r="29" spans="1:17">
      <c r="A29" s="80">
        <v>45564.21875</v>
      </c>
      <c r="B29" s="112">
        <v>9.14</v>
      </c>
      <c r="C29" s="112">
        <v>4.24</v>
      </c>
      <c r="D29" s="112">
        <v>14</v>
      </c>
      <c r="E29" s="112">
        <v>9.01</v>
      </c>
      <c r="F29" s="112">
        <v>4.53</v>
      </c>
      <c r="G29" s="112">
        <v>24.62</v>
      </c>
      <c r="H29" s="112">
        <v>7.81</v>
      </c>
      <c r="I29" s="112">
        <v>5.23</v>
      </c>
      <c r="J29" s="112">
        <v>7.0000000000000007E-2</v>
      </c>
      <c r="K29" s="112">
        <v>231.95</v>
      </c>
      <c r="L29" s="112">
        <v>25.13</v>
      </c>
      <c r="M29" s="112">
        <v>99</v>
      </c>
      <c r="N29" s="112">
        <v>2.1</v>
      </c>
      <c r="O29" s="112">
        <v>0</v>
      </c>
      <c r="P29" s="112">
        <v>0.39</v>
      </c>
      <c r="Q29" s="112">
        <v>4.6500000000000004</v>
      </c>
    </row>
    <row r="30" spans="1:17">
      <c r="A30" s="80">
        <v>45564.229166666664</v>
      </c>
      <c r="B30" s="112">
        <v>9.1199999999999992</v>
      </c>
      <c r="C30" s="112">
        <v>4.29</v>
      </c>
      <c r="D30" s="112">
        <v>14</v>
      </c>
      <c r="E30" s="112">
        <v>8.57</v>
      </c>
      <c r="F30" s="112">
        <v>4.3899999999999997</v>
      </c>
      <c r="G30" s="112">
        <v>24.62</v>
      </c>
      <c r="H30" s="112">
        <v>7.81</v>
      </c>
      <c r="I30" s="112">
        <v>5.17</v>
      </c>
      <c r="J30" s="112">
        <v>7.0000000000000007E-2</v>
      </c>
      <c r="K30" s="112">
        <v>259.98</v>
      </c>
      <c r="L30" s="112">
        <v>25.04</v>
      </c>
      <c r="M30" s="112">
        <v>99.14</v>
      </c>
      <c r="N30" s="112">
        <v>2.2000000000000002</v>
      </c>
      <c r="O30" s="112">
        <v>0</v>
      </c>
      <c r="P30" s="112">
        <v>0.39</v>
      </c>
      <c r="Q30" s="112">
        <v>4.67</v>
      </c>
    </row>
    <row r="31" spans="1:17">
      <c r="A31" s="80">
        <v>45564.239583333336</v>
      </c>
      <c r="B31" s="112">
        <v>9.14</v>
      </c>
      <c r="C31" s="112">
        <v>4.25</v>
      </c>
      <c r="D31" s="112">
        <v>14</v>
      </c>
      <c r="E31" s="112">
        <v>8.23</v>
      </c>
      <c r="F31" s="112">
        <v>4.22</v>
      </c>
      <c r="G31" s="112">
        <v>24.62</v>
      </c>
      <c r="H31" s="112">
        <v>7.81</v>
      </c>
      <c r="I31" s="112">
        <v>5.2</v>
      </c>
      <c r="J31" s="112">
        <v>0.11</v>
      </c>
      <c r="K31" s="112">
        <v>251.86</v>
      </c>
      <c r="L31" s="112">
        <v>25.05</v>
      </c>
      <c r="M31" s="112">
        <v>99.24</v>
      </c>
      <c r="N31" s="112">
        <v>3.4</v>
      </c>
      <c r="O31" s="112">
        <v>0</v>
      </c>
      <c r="P31" s="112">
        <v>0.39</v>
      </c>
      <c r="Q31" s="112">
        <v>4.67</v>
      </c>
    </row>
    <row r="32" spans="1:17">
      <c r="A32" s="80">
        <v>45564.25</v>
      </c>
      <c r="B32" s="112">
        <v>9.14</v>
      </c>
      <c r="C32" s="112">
        <v>4.26</v>
      </c>
      <c r="D32" s="112">
        <v>14</v>
      </c>
      <c r="E32" s="112">
        <v>8.08</v>
      </c>
      <c r="F32" s="112">
        <v>4.28</v>
      </c>
      <c r="G32" s="112">
        <v>24.68</v>
      </c>
      <c r="H32" s="112">
        <v>7.69</v>
      </c>
      <c r="I32" s="112">
        <v>5.21</v>
      </c>
      <c r="J32" s="112">
        <v>0.13</v>
      </c>
      <c r="K32" s="112">
        <v>260.52999999999997</v>
      </c>
      <c r="L32" s="112">
        <v>25.13</v>
      </c>
      <c r="M32" s="112">
        <v>99.28</v>
      </c>
      <c r="N32" s="112">
        <v>7.5</v>
      </c>
      <c r="O32" s="112">
        <v>0</v>
      </c>
      <c r="P32" s="112">
        <v>0.39</v>
      </c>
      <c r="Q32" s="112">
        <v>4.67</v>
      </c>
    </row>
    <row r="33" spans="1:17">
      <c r="A33" s="80">
        <v>45564.260416666664</v>
      </c>
      <c r="B33" s="112">
        <v>9.15</v>
      </c>
      <c r="C33" s="112">
        <v>4.2300000000000004</v>
      </c>
      <c r="D33" s="112">
        <v>14</v>
      </c>
      <c r="E33" s="112">
        <v>8.0399999999999991</v>
      </c>
      <c r="F33" s="112">
        <v>4.24</v>
      </c>
      <c r="G33" s="112">
        <v>26.02</v>
      </c>
      <c r="H33" s="112">
        <v>5.88</v>
      </c>
      <c r="I33" s="112">
        <v>5.21</v>
      </c>
      <c r="J33" s="112">
        <v>0.06</v>
      </c>
      <c r="K33" s="112">
        <v>167.86</v>
      </c>
      <c r="L33" s="112">
        <v>25.25</v>
      </c>
      <c r="M33" s="112">
        <v>99.09</v>
      </c>
      <c r="N33" s="112">
        <v>15.7</v>
      </c>
      <c r="O33" s="112">
        <v>0</v>
      </c>
      <c r="P33" s="112">
        <v>0.4</v>
      </c>
      <c r="Q33" s="112">
        <v>4.66</v>
      </c>
    </row>
    <row r="34" spans="1:17">
      <c r="A34" s="80">
        <v>45564.270833333336</v>
      </c>
      <c r="B34" s="112">
        <v>9.17</v>
      </c>
      <c r="C34" s="112">
        <v>4.2</v>
      </c>
      <c r="D34" s="112">
        <v>14</v>
      </c>
      <c r="E34" s="112">
        <v>8.15</v>
      </c>
      <c r="F34" s="112">
        <v>4.18</v>
      </c>
      <c r="G34" s="112">
        <v>26.02</v>
      </c>
      <c r="H34" s="112">
        <v>5.88</v>
      </c>
      <c r="I34" s="112">
        <v>5.18</v>
      </c>
      <c r="J34" s="112">
        <v>0.15</v>
      </c>
      <c r="K34" s="112">
        <v>252.46</v>
      </c>
      <c r="L34" s="112">
        <v>25.56</v>
      </c>
      <c r="M34" s="112">
        <v>98.74</v>
      </c>
      <c r="N34" s="112">
        <v>24.4</v>
      </c>
      <c r="O34" s="112">
        <v>0</v>
      </c>
      <c r="P34" s="112">
        <v>0.39</v>
      </c>
      <c r="Q34" s="112">
        <v>4.66</v>
      </c>
    </row>
    <row r="35" spans="1:17">
      <c r="A35" s="80">
        <v>45564.28125</v>
      </c>
      <c r="B35" s="112">
        <v>9.19</v>
      </c>
      <c r="C35" s="112">
        <v>4.17</v>
      </c>
      <c r="D35" s="112">
        <v>14</v>
      </c>
      <c r="E35" s="112">
        <v>7.62</v>
      </c>
      <c r="F35" s="112">
        <v>4.22</v>
      </c>
      <c r="G35" s="112">
        <v>26.02</v>
      </c>
      <c r="H35" s="112">
        <v>5.88</v>
      </c>
      <c r="I35" s="112">
        <v>5.15</v>
      </c>
      <c r="J35" s="112">
        <v>0.04</v>
      </c>
      <c r="K35" s="112">
        <v>183.61</v>
      </c>
      <c r="L35" s="112">
        <v>25.93</v>
      </c>
      <c r="M35" s="112">
        <v>97.13</v>
      </c>
      <c r="N35" s="112">
        <v>33.799999999999997</v>
      </c>
      <c r="O35" s="112">
        <v>0</v>
      </c>
      <c r="P35" s="112">
        <v>0.39</v>
      </c>
      <c r="Q35" s="112">
        <v>4.66</v>
      </c>
    </row>
    <row r="36" spans="1:17">
      <c r="A36" s="80">
        <v>45564.291666666664</v>
      </c>
      <c r="B36" s="112">
        <v>9.18</v>
      </c>
      <c r="C36" s="112">
        <v>4.1900000000000004</v>
      </c>
      <c r="D36" s="112">
        <v>14</v>
      </c>
      <c r="E36" s="112">
        <v>7.82</v>
      </c>
      <c r="F36" s="112">
        <v>4.2300000000000004</v>
      </c>
      <c r="G36" s="112">
        <v>26.17</v>
      </c>
      <c r="H36" s="112">
        <v>6.19</v>
      </c>
      <c r="I36" s="112">
        <v>5.18</v>
      </c>
      <c r="J36" s="112">
        <v>7.0000000000000007E-2</v>
      </c>
      <c r="K36" s="112">
        <v>199.01</v>
      </c>
      <c r="L36" s="112">
        <v>26.36</v>
      </c>
      <c r="M36" s="112">
        <v>94.01</v>
      </c>
      <c r="N36" s="112">
        <v>48</v>
      </c>
      <c r="O36" s="112">
        <v>0</v>
      </c>
      <c r="P36" s="112">
        <v>0.4</v>
      </c>
      <c r="Q36" s="112">
        <v>4.6500000000000004</v>
      </c>
    </row>
    <row r="37" spans="1:17">
      <c r="A37" s="80">
        <v>45564.302083333336</v>
      </c>
      <c r="B37" s="112">
        <v>9.17</v>
      </c>
      <c r="C37" s="112">
        <v>4.2</v>
      </c>
      <c r="D37" s="112">
        <v>14</v>
      </c>
      <c r="E37" s="112">
        <v>7.84</v>
      </c>
      <c r="F37" s="112">
        <v>4.5199999999999996</v>
      </c>
      <c r="G37" s="112">
        <v>29.24</v>
      </c>
      <c r="H37" s="112">
        <v>10.98</v>
      </c>
      <c r="I37" s="112">
        <v>5.19</v>
      </c>
      <c r="J37" s="112">
        <v>0.2</v>
      </c>
      <c r="K37" s="112">
        <v>260.75</v>
      </c>
      <c r="L37" s="112">
        <v>26.96</v>
      </c>
      <c r="M37" s="112">
        <v>91.01</v>
      </c>
      <c r="N37" s="112">
        <v>71.400000000000006</v>
      </c>
      <c r="O37" s="112">
        <v>0</v>
      </c>
      <c r="P37" s="112">
        <v>0.4</v>
      </c>
      <c r="Q37" s="112">
        <v>4.66</v>
      </c>
    </row>
    <row r="38" spans="1:17">
      <c r="A38" s="80">
        <v>45564.3125</v>
      </c>
      <c r="B38" s="112">
        <v>9.1999999999999993</v>
      </c>
      <c r="C38" s="112">
        <v>4.16</v>
      </c>
      <c r="D38" s="112">
        <v>14</v>
      </c>
      <c r="E38" s="112">
        <v>7.93</v>
      </c>
      <c r="F38" s="112">
        <v>4.7300000000000004</v>
      </c>
      <c r="G38" s="112">
        <v>29.24</v>
      </c>
      <c r="H38" s="112">
        <v>10.98</v>
      </c>
      <c r="I38" s="112">
        <v>5.22</v>
      </c>
      <c r="J38" s="112">
        <v>0.15</v>
      </c>
      <c r="K38" s="112">
        <v>242.45</v>
      </c>
      <c r="L38" s="112">
        <v>27.43</v>
      </c>
      <c r="M38" s="112">
        <v>88.32</v>
      </c>
      <c r="N38" s="112">
        <v>80.2</v>
      </c>
      <c r="O38" s="112">
        <v>0</v>
      </c>
      <c r="P38" s="112">
        <v>0.4</v>
      </c>
      <c r="Q38" s="112">
        <v>4.6500000000000004</v>
      </c>
    </row>
    <row r="39" spans="1:17">
      <c r="A39" s="80">
        <v>45564.322916666664</v>
      </c>
      <c r="B39" s="112">
        <v>9.18</v>
      </c>
      <c r="C39" s="112">
        <v>4.18</v>
      </c>
      <c r="D39" s="112">
        <v>14</v>
      </c>
      <c r="E39" s="112">
        <v>7.61</v>
      </c>
      <c r="F39" s="112">
        <v>4.8099999999999996</v>
      </c>
      <c r="G39" s="112">
        <v>29.24</v>
      </c>
      <c r="H39" s="112">
        <v>10.98</v>
      </c>
      <c r="I39" s="112">
        <v>5.27</v>
      </c>
      <c r="J39" s="112">
        <v>0.28000000000000003</v>
      </c>
      <c r="K39" s="112">
        <v>252.39</v>
      </c>
      <c r="L39" s="112">
        <v>27.66</v>
      </c>
      <c r="M39" s="112">
        <v>86.04</v>
      </c>
      <c r="N39" s="112">
        <v>103.3</v>
      </c>
      <c r="O39" s="112">
        <v>0</v>
      </c>
      <c r="P39" s="112">
        <v>0.4</v>
      </c>
      <c r="Q39" s="112">
        <v>4.66</v>
      </c>
    </row>
    <row r="40" spans="1:17">
      <c r="A40" s="80">
        <v>45564.333333333336</v>
      </c>
      <c r="B40" s="112">
        <v>9.18</v>
      </c>
      <c r="C40" s="112">
        <v>4.1900000000000004</v>
      </c>
      <c r="D40" s="112">
        <v>14</v>
      </c>
      <c r="E40" s="112">
        <v>8.17</v>
      </c>
      <c r="F40" s="112">
        <v>4.7</v>
      </c>
      <c r="G40" s="112">
        <v>28.88</v>
      </c>
      <c r="H40" s="112">
        <v>10.81</v>
      </c>
      <c r="I40" s="112">
        <v>5.3</v>
      </c>
      <c r="J40" s="112">
        <v>0.34</v>
      </c>
      <c r="K40" s="112">
        <v>260.99</v>
      </c>
      <c r="L40" s="112">
        <v>28.25</v>
      </c>
      <c r="M40" s="112">
        <v>83.72</v>
      </c>
      <c r="N40" s="112">
        <v>153.19999999999999</v>
      </c>
      <c r="O40" s="112">
        <v>0</v>
      </c>
      <c r="P40" s="112">
        <v>0.41</v>
      </c>
      <c r="Q40" s="112">
        <v>4.66</v>
      </c>
    </row>
    <row r="41" spans="1:17">
      <c r="A41" s="80">
        <v>45564.34375</v>
      </c>
      <c r="B41" s="112">
        <v>9.19</v>
      </c>
      <c r="C41" s="112">
        <v>4.17</v>
      </c>
      <c r="D41" s="112">
        <v>14</v>
      </c>
      <c r="E41" s="112">
        <v>7.92</v>
      </c>
      <c r="F41" s="112">
        <v>4.74</v>
      </c>
      <c r="G41" s="112">
        <v>21.05</v>
      </c>
      <c r="H41" s="112">
        <v>8.17</v>
      </c>
      <c r="I41" s="112">
        <v>5.3</v>
      </c>
      <c r="J41" s="112">
        <v>0.32</v>
      </c>
      <c r="K41" s="112">
        <v>257.35000000000002</v>
      </c>
      <c r="L41" s="112">
        <v>28.86</v>
      </c>
      <c r="M41" s="112">
        <v>81.09</v>
      </c>
      <c r="N41" s="112">
        <v>224.6</v>
      </c>
      <c r="O41" s="112">
        <v>0</v>
      </c>
      <c r="P41" s="112">
        <v>0.4</v>
      </c>
      <c r="Q41" s="112">
        <v>4.63</v>
      </c>
    </row>
    <row r="42" spans="1:17">
      <c r="A42" s="80">
        <v>45564.354166666664</v>
      </c>
      <c r="B42" s="112">
        <v>9.1999999999999993</v>
      </c>
      <c r="C42" s="112">
        <v>4.16</v>
      </c>
      <c r="D42" s="112">
        <v>14</v>
      </c>
      <c r="E42" s="112">
        <v>7.71</v>
      </c>
      <c r="F42" s="112">
        <v>5.22</v>
      </c>
      <c r="G42" s="112">
        <v>21.05</v>
      </c>
      <c r="H42" s="112">
        <v>8.17</v>
      </c>
      <c r="I42" s="112">
        <v>5.27</v>
      </c>
      <c r="J42" s="112">
        <v>0.48</v>
      </c>
      <c r="K42" s="112">
        <v>260.92</v>
      </c>
      <c r="L42" s="112">
        <v>29.4</v>
      </c>
      <c r="M42" s="112">
        <v>78.150000000000006</v>
      </c>
      <c r="N42" s="112">
        <v>220.6</v>
      </c>
      <c r="O42" s="112">
        <v>0</v>
      </c>
      <c r="P42" s="112">
        <v>0.41</v>
      </c>
      <c r="Q42" s="112">
        <v>4.6399999999999997</v>
      </c>
    </row>
    <row r="43" spans="1:17">
      <c r="A43" s="80">
        <v>45564.364583333336</v>
      </c>
      <c r="B43" s="112">
        <v>9.1999999999999993</v>
      </c>
      <c r="C43" s="112">
        <v>4.16</v>
      </c>
      <c r="D43" s="112">
        <v>14</v>
      </c>
      <c r="E43" s="112">
        <v>7.49</v>
      </c>
      <c r="F43" s="112">
        <v>6.1</v>
      </c>
      <c r="G43" s="112">
        <v>21.05</v>
      </c>
      <c r="H43" s="112">
        <v>8.17</v>
      </c>
      <c r="I43" s="112">
        <v>5.26</v>
      </c>
      <c r="J43" s="112">
        <v>0.47</v>
      </c>
      <c r="K43" s="112">
        <v>261.95999999999998</v>
      </c>
      <c r="L43" s="112">
        <v>29.75</v>
      </c>
      <c r="M43" s="112">
        <v>77.459999999999994</v>
      </c>
      <c r="N43" s="112">
        <v>118.6</v>
      </c>
      <c r="O43" s="112">
        <v>0</v>
      </c>
      <c r="P43" s="112">
        <v>0.4</v>
      </c>
      <c r="Q43" s="112">
        <v>4.6399999999999997</v>
      </c>
    </row>
    <row r="44" spans="1:17">
      <c r="A44" s="80">
        <v>45564.375</v>
      </c>
      <c r="B44" s="112">
        <v>9.23</v>
      </c>
      <c r="C44" s="112">
        <v>4.12</v>
      </c>
      <c r="D44" s="112">
        <v>14</v>
      </c>
      <c r="E44" s="112">
        <v>7.32</v>
      </c>
      <c r="F44" s="112">
        <v>7.91</v>
      </c>
      <c r="G44" s="112">
        <v>21.02</v>
      </c>
      <c r="H44" s="112">
        <v>8.2899999999999991</v>
      </c>
      <c r="I44" s="112">
        <v>5.22</v>
      </c>
      <c r="J44" s="112">
        <v>0.62</v>
      </c>
      <c r="K44" s="112">
        <v>264.52</v>
      </c>
      <c r="L44" s="112">
        <v>30.23</v>
      </c>
      <c r="M44" s="112">
        <v>75.3</v>
      </c>
      <c r="N44" s="112">
        <v>230.4</v>
      </c>
      <c r="O44" s="112">
        <v>0</v>
      </c>
      <c r="P44" s="112">
        <v>0.38</v>
      </c>
      <c r="Q44" s="112">
        <v>4.66</v>
      </c>
    </row>
    <row r="45" spans="1:17">
      <c r="A45" s="80">
        <v>45564.385416666664</v>
      </c>
      <c r="B45" s="112">
        <v>9.3000000000000007</v>
      </c>
      <c r="C45" s="112">
        <v>4.0599999999999996</v>
      </c>
      <c r="D45" s="112">
        <v>14.03</v>
      </c>
      <c r="E45" s="112">
        <v>7.43</v>
      </c>
      <c r="F45" s="112">
        <v>6.92</v>
      </c>
      <c r="G45" s="112">
        <v>20.399999999999999</v>
      </c>
      <c r="H45" s="112">
        <v>10.85</v>
      </c>
      <c r="I45" s="112">
        <v>5.09</v>
      </c>
      <c r="J45" s="112">
        <v>0.63</v>
      </c>
      <c r="K45" s="112">
        <v>260.85000000000002</v>
      </c>
      <c r="L45" s="112">
        <v>30.47</v>
      </c>
      <c r="M45" s="112">
        <v>73.83</v>
      </c>
      <c r="N45" s="112">
        <v>133.80000000000001</v>
      </c>
      <c r="O45" s="112">
        <v>0</v>
      </c>
      <c r="P45" s="112">
        <v>0.35</v>
      </c>
      <c r="Q45" s="112">
        <v>4.68</v>
      </c>
    </row>
    <row r="46" spans="1:17">
      <c r="A46" s="80">
        <v>45564.395833333336</v>
      </c>
      <c r="B46" s="112">
        <v>9.26</v>
      </c>
      <c r="C46" s="112">
        <v>4.07</v>
      </c>
      <c r="D46" s="112">
        <v>14</v>
      </c>
      <c r="E46" s="112">
        <v>7.87</v>
      </c>
      <c r="F46" s="112">
        <v>6.33</v>
      </c>
      <c r="G46" s="112">
        <v>20.399999999999999</v>
      </c>
      <c r="H46" s="112">
        <v>10.85</v>
      </c>
      <c r="I46" s="112">
        <v>4.82</v>
      </c>
      <c r="J46" s="112">
        <v>0.62</v>
      </c>
      <c r="K46" s="112">
        <v>262.27999999999997</v>
      </c>
      <c r="L46" s="112">
        <v>30.95</v>
      </c>
      <c r="M46" s="112">
        <v>72.75</v>
      </c>
      <c r="N46" s="112">
        <v>149.1</v>
      </c>
      <c r="O46" s="112">
        <v>0</v>
      </c>
      <c r="P46" s="112">
        <v>0.34</v>
      </c>
      <c r="Q46" s="112">
        <v>4.67</v>
      </c>
    </row>
    <row r="47" spans="1:17">
      <c r="A47" s="80">
        <v>45564.40625</v>
      </c>
      <c r="B47" s="112">
        <v>9.19</v>
      </c>
      <c r="C47" s="112">
        <v>4.17</v>
      </c>
      <c r="D47" s="112">
        <v>14</v>
      </c>
      <c r="E47" s="112">
        <v>7.65</v>
      </c>
      <c r="F47" s="112">
        <v>6.68</v>
      </c>
      <c r="G47" s="112">
        <v>20.399999999999999</v>
      </c>
      <c r="H47" s="112">
        <v>10.85</v>
      </c>
      <c r="I47" s="112">
        <v>4.78</v>
      </c>
      <c r="J47" s="112">
        <v>0.51</v>
      </c>
      <c r="K47" s="112">
        <v>253.74</v>
      </c>
      <c r="L47" s="112">
        <v>31.37</v>
      </c>
      <c r="M47" s="112">
        <v>71.41</v>
      </c>
      <c r="N47" s="112">
        <v>219.2</v>
      </c>
      <c r="O47" s="112">
        <v>0</v>
      </c>
      <c r="P47" s="112">
        <v>0.34</v>
      </c>
      <c r="Q47" s="112">
        <v>4.67</v>
      </c>
    </row>
    <row r="48" spans="1:17">
      <c r="A48" s="80">
        <v>45564.416666666664</v>
      </c>
      <c r="B48" s="112">
        <v>9.16</v>
      </c>
      <c r="C48" s="112">
        <v>4.2300000000000004</v>
      </c>
      <c r="D48" s="112">
        <v>14</v>
      </c>
      <c r="E48" s="112">
        <v>7.76</v>
      </c>
      <c r="F48" s="112">
        <v>8.9600000000000009</v>
      </c>
      <c r="G48" s="112">
        <v>20.36</v>
      </c>
      <c r="H48" s="112">
        <v>10.8</v>
      </c>
      <c r="I48" s="112">
        <v>4.58</v>
      </c>
      <c r="J48" s="112">
        <v>0.78</v>
      </c>
      <c r="K48" s="112">
        <v>268.31</v>
      </c>
      <c r="L48" s="112">
        <v>31.11</v>
      </c>
      <c r="M48" s="112">
        <v>71.75</v>
      </c>
      <c r="N48" s="112">
        <v>155.69999999999999</v>
      </c>
      <c r="O48" s="112">
        <v>0</v>
      </c>
      <c r="P48" s="112">
        <v>0.33</v>
      </c>
      <c r="Q48" s="112">
        <v>4.68</v>
      </c>
    </row>
    <row r="49" spans="1:17">
      <c r="A49" s="80">
        <v>45564.427083333336</v>
      </c>
      <c r="B49" s="112">
        <v>9.14</v>
      </c>
      <c r="C49" s="112">
        <v>4.25</v>
      </c>
      <c r="D49" s="112">
        <v>14</v>
      </c>
      <c r="E49" s="112">
        <v>7.84</v>
      </c>
      <c r="F49" s="112">
        <v>7.7</v>
      </c>
      <c r="G49" s="112">
        <v>19.489999999999998</v>
      </c>
      <c r="H49" s="112">
        <v>10.029999999999999</v>
      </c>
      <c r="I49" s="112">
        <v>4.47</v>
      </c>
      <c r="J49" s="112">
        <v>0.82</v>
      </c>
      <c r="K49" s="112">
        <v>263.17</v>
      </c>
      <c r="L49" s="112">
        <v>31.25</v>
      </c>
      <c r="M49" s="112">
        <v>71.39</v>
      </c>
      <c r="N49" s="112">
        <v>228.9</v>
      </c>
      <c r="O49" s="112">
        <v>0</v>
      </c>
      <c r="P49" s="112">
        <v>0.34</v>
      </c>
      <c r="Q49" s="112">
        <v>4.67</v>
      </c>
    </row>
    <row r="50" spans="1:17">
      <c r="A50" s="80">
        <v>45564.4375</v>
      </c>
      <c r="B50" s="112">
        <v>9.14</v>
      </c>
      <c r="C50" s="112">
        <v>4.25</v>
      </c>
      <c r="D50" s="112">
        <v>14</v>
      </c>
      <c r="E50" s="112">
        <v>10</v>
      </c>
      <c r="F50" s="112">
        <v>7.88</v>
      </c>
      <c r="G50" s="112">
        <v>19.489999999999998</v>
      </c>
      <c r="H50" s="112">
        <v>10.029999999999999</v>
      </c>
      <c r="I50" s="112">
        <v>4.3899999999999997</v>
      </c>
      <c r="J50" s="112">
        <v>0.66</v>
      </c>
      <c r="K50" s="112">
        <v>258.91000000000003</v>
      </c>
      <c r="L50" s="112">
        <v>31.86</v>
      </c>
      <c r="M50" s="112">
        <v>69.52</v>
      </c>
      <c r="N50" s="112">
        <v>407.8</v>
      </c>
      <c r="O50" s="112">
        <v>0</v>
      </c>
      <c r="P50" s="112">
        <v>0.32</v>
      </c>
      <c r="Q50" s="112">
        <v>4.67</v>
      </c>
    </row>
    <row r="51" spans="1:17">
      <c r="A51" s="80">
        <v>45564.447916666664</v>
      </c>
      <c r="B51" s="112">
        <v>9.1199999999999992</v>
      </c>
      <c r="C51" s="112">
        <v>4.2699999999999996</v>
      </c>
      <c r="D51" s="112">
        <v>14</v>
      </c>
      <c r="E51" s="112">
        <v>9.7899999999999991</v>
      </c>
      <c r="F51" s="112">
        <v>8.57</v>
      </c>
      <c r="G51" s="112">
        <v>19.489999999999998</v>
      </c>
      <c r="H51" s="112">
        <v>10.029999999999999</v>
      </c>
      <c r="I51" s="112">
        <v>4.32</v>
      </c>
      <c r="J51" s="112">
        <v>0.69</v>
      </c>
      <c r="K51" s="112">
        <v>266.56</v>
      </c>
      <c r="L51" s="112">
        <v>32.15</v>
      </c>
      <c r="M51" s="112">
        <v>68.989999999999995</v>
      </c>
      <c r="N51" s="112">
        <v>590.79999999999995</v>
      </c>
      <c r="O51" s="112">
        <v>0</v>
      </c>
      <c r="P51" s="112">
        <v>0.32</v>
      </c>
      <c r="Q51" s="112">
        <v>4.6500000000000004</v>
      </c>
    </row>
    <row r="52" spans="1:17">
      <c r="A52" s="80">
        <v>45564.458333333336</v>
      </c>
      <c r="B52" s="112">
        <v>9.1300000000000008</v>
      </c>
      <c r="C52" s="112">
        <v>4.2699999999999996</v>
      </c>
      <c r="D52" s="112">
        <v>14</v>
      </c>
      <c r="E52" s="112">
        <v>9.65</v>
      </c>
      <c r="F52" s="112">
        <v>10.35</v>
      </c>
      <c r="G52" s="112">
        <v>19.78</v>
      </c>
      <c r="H52" s="112">
        <v>10.02</v>
      </c>
      <c r="I52" s="112">
        <v>4.12</v>
      </c>
      <c r="J52" s="112">
        <v>0.62</v>
      </c>
      <c r="K52" s="112">
        <v>257.04000000000002</v>
      </c>
      <c r="L52" s="112">
        <v>32.43</v>
      </c>
      <c r="M52" s="112">
        <v>67.95</v>
      </c>
      <c r="N52" s="112">
        <v>543.1</v>
      </c>
      <c r="O52" s="112">
        <v>0</v>
      </c>
      <c r="P52" s="112">
        <v>0.31</v>
      </c>
      <c r="Q52" s="112">
        <v>4.6500000000000004</v>
      </c>
    </row>
    <row r="53" spans="1:17">
      <c r="A53" s="80">
        <v>45564.46875</v>
      </c>
      <c r="B53" s="112">
        <v>9.1199999999999992</v>
      </c>
      <c r="C53" s="112">
        <v>4.28</v>
      </c>
      <c r="D53" s="112">
        <v>14</v>
      </c>
      <c r="E53" s="112">
        <v>10.14</v>
      </c>
      <c r="F53" s="112">
        <v>7.01</v>
      </c>
      <c r="G53" s="112">
        <v>26.08</v>
      </c>
      <c r="H53" s="112">
        <v>9.92</v>
      </c>
      <c r="I53" s="112">
        <v>4.13</v>
      </c>
      <c r="J53" s="112">
        <v>0.5</v>
      </c>
      <c r="K53" s="112">
        <v>251.27</v>
      </c>
      <c r="L53" s="112">
        <v>32.840000000000003</v>
      </c>
      <c r="M53" s="112">
        <v>67.11</v>
      </c>
      <c r="N53" s="112">
        <v>739.4</v>
      </c>
      <c r="O53" s="112">
        <v>0</v>
      </c>
      <c r="P53" s="112">
        <v>0.32</v>
      </c>
      <c r="Q53" s="112">
        <v>4.66</v>
      </c>
    </row>
    <row r="54" spans="1:17">
      <c r="A54" s="80">
        <v>45564.479166666664</v>
      </c>
      <c r="B54" s="112">
        <v>9.1199999999999992</v>
      </c>
      <c r="C54" s="112">
        <v>4.28</v>
      </c>
      <c r="D54" s="112">
        <v>14</v>
      </c>
      <c r="E54" s="112">
        <v>10.37</v>
      </c>
      <c r="F54" s="112">
        <v>9.76</v>
      </c>
      <c r="G54" s="112">
        <v>26.08</v>
      </c>
      <c r="H54" s="112">
        <v>9.92</v>
      </c>
      <c r="I54" s="112">
        <v>4.16</v>
      </c>
      <c r="J54" s="112">
        <v>0.59</v>
      </c>
      <c r="K54" s="112">
        <v>255.48</v>
      </c>
      <c r="L54" s="112">
        <v>33.42</v>
      </c>
      <c r="M54" s="112">
        <v>65.69</v>
      </c>
      <c r="N54" s="112">
        <v>796.5</v>
      </c>
      <c r="O54" s="112">
        <v>0</v>
      </c>
      <c r="P54" s="112">
        <v>0.3</v>
      </c>
      <c r="Q54" s="112">
        <v>4.67</v>
      </c>
    </row>
    <row r="55" spans="1:17">
      <c r="A55" s="80">
        <v>45564.489583333336</v>
      </c>
      <c r="B55" s="112">
        <v>9.14</v>
      </c>
      <c r="C55" s="112">
        <v>4.25</v>
      </c>
      <c r="D55" s="112">
        <v>14</v>
      </c>
      <c r="E55" s="112">
        <v>9.64</v>
      </c>
      <c r="F55" s="112">
        <v>7.59</v>
      </c>
      <c r="G55" s="112">
        <v>26.08</v>
      </c>
      <c r="H55" s="112">
        <v>9.92</v>
      </c>
      <c r="I55" s="112">
        <v>4.07</v>
      </c>
      <c r="J55" s="112">
        <v>0.53</v>
      </c>
      <c r="K55" s="112">
        <v>252.07</v>
      </c>
      <c r="L55" s="112">
        <v>33.200000000000003</v>
      </c>
      <c r="M55" s="112">
        <v>65.94</v>
      </c>
      <c r="N55" s="112">
        <v>685.3</v>
      </c>
      <c r="O55" s="112">
        <v>0</v>
      </c>
      <c r="P55" s="112">
        <v>0.3</v>
      </c>
      <c r="Q55" s="112">
        <v>4.68</v>
      </c>
    </row>
    <row r="56" spans="1:17">
      <c r="A56" s="80">
        <v>45564.5</v>
      </c>
      <c r="B56" s="112">
        <v>9.1</v>
      </c>
      <c r="C56" s="112">
        <v>4.3099999999999996</v>
      </c>
      <c r="D56" s="112">
        <v>14</v>
      </c>
      <c r="E56" s="112">
        <v>10.06</v>
      </c>
      <c r="F56" s="112">
        <v>10.82</v>
      </c>
      <c r="G56" s="112">
        <v>26.16</v>
      </c>
      <c r="H56" s="112">
        <v>9.7799999999999994</v>
      </c>
      <c r="I56" s="112">
        <v>4.03</v>
      </c>
      <c r="J56" s="112">
        <v>0.64</v>
      </c>
      <c r="K56" s="112">
        <v>263.38</v>
      </c>
      <c r="L56" s="112">
        <v>33.19</v>
      </c>
      <c r="M56" s="112">
        <v>65.069999999999993</v>
      </c>
      <c r="N56" s="112">
        <v>779.3</v>
      </c>
      <c r="O56" s="112">
        <v>0</v>
      </c>
      <c r="P56" s="112">
        <v>0.3</v>
      </c>
      <c r="Q56" s="112">
        <v>4.66</v>
      </c>
    </row>
    <row r="57" spans="1:17">
      <c r="A57" s="80">
        <v>45564.510416666664</v>
      </c>
      <c r="B57" s="112">
        <v>9.09</v>
      </c>
      <c r="C57" s="112">
        <v>4.33</v>
      </c>
      <c r="D57" s="112">
        <v>14</v>
      </c>
      <c r="E57" s="112">
        <v>10.07</v>
      </c>
      <c r="F57" s="112">
        <v>9.9</v>
      </c>
      <c r="G57" s="112">
        <v>27.96</v>
      </c>
      <c r="H57" s="112">
        <v>7.57</v>
      </c>
      <c r="I57" s="112">
        <v>4.04</v>
      </c>
      <c r="J57" s="112">
        <v>0.49</v>
      </c>
      <c r="K57" s="112">
        <v>252.82</v>
      </c>
      <c r="L57" s="112">
        <v>33.64</v>
      </c>
      <c r="M57" s="112">
        <v>62.89</v>
      </c>
      <c r="N57" s="112">
        <v>843.3</v>
      </c>
      <c r="O57" s="112">
        <v>0</v>
      </c>
      <c r="P57" s="112">
        <v>0.28999999999999998</v>
      </c>
      <c r="Q57" s="112">
        <v>4.66</v>
      </c>
    </row>
    <row r="58" spans="1:17">
      <c r="A58" s="80">
        <v>45564.520833333336</v>
      </c>
      <c r="B58" s="112">
        <v>9.11</v>
      </c>
      <c r="C58" s="112">
        <v>4.3</v>
      </c>
      <c r="D58" s="112">
        <v>14</v>
      </c>
      <c r="E58" s="112">
        <v>10.16</v>
      </c>
      <c r="F58" s="112">
        <v>6.39</v>
      </c>
      <c r="G58" s="112">
        <v>27.96</v>
      </c>
      <c r="H58" s="112">
        <v>7.57</v>
      </c>
      <c r="I58" s="112">
        <v>3.93</v>
      </c>
      <c r="J58" s="112">
        <v>0.55000000000000004</v>
      </c>
      <c r="K58" s="112">
        <v>254.93</v>
      </c>
      <c r="L58" s="112">
        <v>33.729999999999997</v>
      </c>
      <c r="M58" s="112">
        <v>62.95</v>
      </c>
      <c r="N58" s="112">
        <v>604</v>
      </c>
      <c r="O58" s="112">
        <v>0</v>
      </c>
      <c r="P58" s="112">
        <v>0.3</v>
      </c>
      <c r="Q58" s="112">
        <v>4.66</v>
      </c>
    </row>
    <row r="59" spans="1:17">
      <c r="A59" s="80">
        <v>45564.53125</v>
      </c>
      <c r="B59" s="112">
        <v>9.09</v>
      </c>
      <c r="C59" s="112">
        <v>4.33</v>
      </c>
      <c r="D59" s="112">
        <v>14</v>
      </c>
      <c r="E59" s="112">
        <v>10.38</v>
      </c>
      <c r="F59" s="112">
        <v>8.6300000000000008</v>
      </c>
      <c r="G59" s="112">
        <v>27.96</v>
      </c>
      <c r="H59" s="112">
        <v>7.57</v>
      </c>
      <c r="I59" s="112">
        <v>3.96</v>
      </c>
      <c r="J59" s="112">
        <v>0.57999999999999996</v>
      </c>
      <c r="K59" s="112">
        <v>261.94</v>
      </c>
      <c r="L59" s="112">
        <v>32.659999999999997</v>
      </c>
      <c r="M59" s="112">
        <v>65.45</v>
      </c>
      <c r="N59" s="112">
        <v>369.9</v>
      </c>
      <c r="O59" s="112">
        <v>0</v>
      </c>
      <c r="P59" s="112">
        <v>0.3</v>
      </c>
      <c r="Q59" s="112">
        <v>4.6500000000000004</v>
      </c>
    </row>
    <row r="60" spans="1:17">
      <c r="A60" s="80">
        <v>45564.541666666664</v>
      </c>
      <c r="B60" s="112">
        <v>9.1</v>
      </c>
      <c r="C60" s="112">
        <v>4.32</v>
      </c>
      <c r="D60" s="112">
        <v>14</v>
      </c>
      <c r="E60" s="112">
        <v>9.7200000000000006</v>
      </c>
      <c r="F60" s="112">
        <v>9.17</v>
      </c>
      <c r="G60" s="112">
        <v>27.8</v>
      </c>
      <c r="H60" s="112">
        <v>7.84</v>
      </c>
      <c r="I60" s="112">
        <v>3.93</v>
      </c>
      <c r="J60" s="112">
        <v>0.49</v>
      </c>
      <c r="K60" s="112">
        <v>253.68</v>
      </c>
      <c r="L60" s="112">
        <v>32.770000000000003</v>
      </c>
      <c r="M60" s="112">
        <v>65.36</v>
      </c>
      <c r="N60" s="112">
        <v>414.1</v>
      </c>
      <c r="O60" s="112">
        <v>0</v>
      </c>
      <c r="P60" s="112">
        <v>0.28000000000000003</v>
      </c>
      <c r="Q60" s="112">
        <v>4.6500000000000004</v>
      </c>
    </row>
    <row r="61" spans="1:17">
      <c r="A61" s="80">
        <v>45564.552083333336</v>
      </c>
      <c r="B61" s="112">
        <v>9.11</v>
      </c>
      <c r="C61" s="112">
        <v>4.3</v>
      </c>
      <c r="D61" s="112">
        <v>14</v>
      </c>
      <c r="E61" s="112">
        <v>9.6</v>
      </c>
      <c r="F61" s="112">
        <v>9.4</v>
      </c>
      <c r="G61" s="112">
        <v>25.17</v>
      </c>
      <c r="H61" s="112">
        <v>12.09</v>
      </c>
      <c r="I61" s="112">
        <v>3.8</v>
      </c>
      <c r="J61" s="112">
        <v>0.21</v>
      </c>
      <c r="K61" s="112">
        <v>212.89</v>
      </c>
      <c r="L61" s="112">
        <v>32.03</v>
      </c>
      <c r="M61" s="112">
        <v>68.099999999999994</v>
      </c>
      <c r="N61" s="112">
        <v>106.3</v>
      </c>
      <c r="O61" s="112">
        <v>0</v>
      </c>
      <c r="P61" s="112">
        <v>0.3</v>
      </c>
      <c r="Q61" s="112">
        <v>4.6500000000000004</v>
      </c>
    </row>
    <row r="62" spans="1:17">
      <c r="A62" s="80">
        <v>45564.5625</v>
      </c>
      <c r="B62" s="112">
        <v>9.11</v>
      </c>
      <c r="C62" s="112">
        <v>4.3</v>
      </c>
      <c r="D62" s="112">
        <v>14</v>
      </c>
      <c r="E62" s="112">
        <v>9.92</v>
      </c>
      <c r="F62" s="112">
        <v>10.95</v>
      </c>
      <c r="G62" s="112">
        <v>25.17</v>
      </c>
      <c r="H62" s="112">
        <v>12.09</v>
      </c>
      <c r="I62" s="112">
        <v>3.72</v>
      </c>
      <c r="J62" s="112">
        <v>0.45</v>
      </c>
      <c r="K62" s="112">
        <v>263.91000000000003</v>
      </c>
      <c r="L62" s="112">
        <v>32.29</v>
      </c>
      <c r="M62" s="112">
        <v>66.59</v>
      </c>
      <c r="N62" s="112">
        <v>351</v>
      </c>
      <c r="O62" s="112">
        <v>0</v>
      </c>
      <c r="P62" s="112">
        <v>0.28999999999999998</v>
      </c>
      <c r="Q62" s="112">
        <v>4.67</v>
      </c>
    </row>
    <row r="63" spans="1:17">
      <c r="A63" s="80">
        <v>45564.572916666664</v>
      </c>
      <c r="B63" s="112">
        <v>9.1</v>
      </c>
      <c r="C63" s="112">
        <v>4.3099999999999996</v>
      </c>
      <c r="D63" s="112">
        <v>14</v>
      </c>
      <c r="E63" s="112">
        <v>10.17</v>
      </c>
      <c r="F63" s="112">
        <v>9.77</v>
      </c>
      <c r="G63" s="112">
        <v>25.17</v>
      </c>
      <c r="H63" s="112">
        <v>12.09</v>
      </c>
      <c r="I63" s="112">
        <v>3.72</v>
      </c>
      <c r="J63" s="112">
        <v>0.31</v>
      </c>
      <c r="K63" s="112">
        <v>245.22</v>
      </c>
      <c r="L63" s="112">
        <v>33.46</v>
      </c>
      <c r="M63" s="112">
        <v>62.67</v>
      </c>
      <c r="N63" s="112">
        <v>511.6</v>
      </c>
      <c r="O63" s="112">
        <v>0</v>
      </c>
      <c r="P63" s="112">
        <v>0.3</v>
      </c>
      <c r="Q63" s="112">
        <v>4.66</v>
      </c>
    </row>
    <row r="64" spans="1:17">
      <c r="A64" s="80">
        <v>45564.583333333336</v>
      </c>
      <c r="B64" s="112">
        <v>9.14</v>
      </c>
      <c r="C64" s="112">
        <v>4.24</v>
      </c>
      <c r="D64" s="112">
        <v>14</v>
      </c>
      <c r="E64" s="112">
        <v>10.26</v>
      </c>
      <c r="F64" s="112">
        <v>8.84</v>
      </c>
      <c r="G64" s="112">
        <v>25.3</v>
      </c>
      <c r="H64" s="112">
        <v>11.88</v>
      </c>
      <c r="I64" s="112">
        <v>3.52</v>
      </c>
      <c r="J64" s="112">
        <v>0.56000000000000005</v>
      </c>
      <c r="K64" s="112">
        <v>275.01</v>
      </c>
      <c r="L64" s="112">
        <v>32.61</v>
      </c>
      <c r="M64" s="112">
        <v>64.11</v>
      </c>
      <c r="N64" s="112">
        <v>196.5</v>
      </c>
      <c r="O64" s="112">
        <v>0</v>
      </c>
      <c r="P64" s="112">
        <v>0.33</v>
      </c>
      <c r="Q64" s="112">
        <v>4.6399999999999997</v>
      </c>
    </row>
    <row r="65" spans="1:17">
      <c r="A65" s="80">
        <v>45564.59375</v>
      </c>
      <c r="B65" s="112">
        <v>9.1300000000000008</v>
      </c>
      <c r="C65" s="112">
        <v>4.2699999999999996</v>
      </c>
      <c r="D65" s="112">
        <v>14</v>
      </c>
      <c r="E65" s="112">
        <v>9.8000000000000007</v>
      </c>
      <c r="F65" s="112">
        <v>9.3000000000000007</v>
      </c>
      <c r="G65" s="112">
        <v>27.5</v>
      </c>
      <c r="H65" s="112">
        <v>8.65</v>
      </c>
      <c r="I65" s="112">
        <v>3.61</v>
      </c>
      <c r="J65" s="112">
        <v>0.52</v>
      </c>
      <c r="K65" s="112">
        <v>256.57</v>
      </c>
      <c r="L65" s="112">
        <v>32.83</v>
      </c>
      <c r="M65" s="112">
        <v>63.63</v>
      </c>
      <c r="N65" s="112">
        <v>337.4</v>
      </c>
      <c r="O65" s="112">
        <v>0</v>
      </c>
      <c r="P65" s="112">
        <v>0.34</v>
      </c>
      <c r="Q65" s="112">
        <v>4.6500000000000004</v>
      </c>
    </row>
    <row r="66" spans="1:17">
      <c r="A66" s="80">
        <v>45564.604166666664</v>
      </c>
      <c r="B66" s="112">
        <v>9.11</v>
      </c>
      <c r="C66" s="112">
        <v>4.29</v>
      </c>
      <c r="D66" s="112">
        <v>14</v>
      </c>
      <c r="E66" s="112">
        <v>10.039999999999999</v>
      </c>
      <c r="F66" s="112">
        <v>7.82</v>
      </c>
      <c r="G66" s="112">
        <v>27.5</v>
      </c>
      <c r="H66" s="112">
        <v>8.65</v>
      </c>
      <c r="I66" s="112">
        <v>3.74</v>
      </c>
      <c r="J66" s="112">
        <v>0.48</v>
      </c>
      <c r="K66" s="112">
        <v>263.20999999999998</v>
      </c>
      <c r="L66" s="112">
        <v>32.770000000000003</v>
      </c>
      <c r="M66" s="112">
        <v>63.22</v>
      </c>
      <c r="N66" s="112">
        <v>114</v>
      </c>
      <c r="O66" s="112">
        <v>0</v>
      </c>
      <c r="P66" s="112">
        <v>0.37</v>
      </c>
      <c r="Q66" s="112">
        <v>4.6399999999999997</v>
      </c>
    </row>
    <row r="67" spans="1:17">
      <c r="A67" s="80">
        <v>45564.614583333336</v>
      </c>
      <c r="B67" s="112">
        <v>9.14</v>
      </c>
      <c r="C67" s="112">
        <v>4.25</v>
      </c>
      <c r="D67" s="112">
        <v>14</v>
      </c>
      <c r="E67" s="112">
        <v>10.32</v>
      </c>
      <c r="F67" s="112">
        <v>7.08</v>
      </c>
      <c r="G67" s="112">
        <v>27.5</v>
      </c>
      <c r="H67" s="112">
        <v>8.65</v>
      </c>
      <c r="I67" s="112">
        <v>3.77</v>
      </c>
      <c r="J67" s="112">
        <v>0.5</v>
      </c>
      <c r="K67" s="112">
        <v>278.64999999999998</v>
      </c>
      <c r="L67" s="112">
        <v>32.119999999999997</v>
      </c>
      <c r="M67" s="112">
        <v>65.040000000000006</v>
      </c>
      <c r="N67" s="112">
        <v>86.3</v>
      </c>
      <c r="O67" s="112">
        <v>0</v>
      </c>
      <c r="P67" s="112">
        <v>0.37</v>
      </c>
      <c r="Q67" s="112">
        <v>4.63</v>
      </c>
    </row>
    <row r="68" spans="1:17">
      <c r="A68" s="80">
        <v>45564.625</v>
      </c>
      <c r="B68" s="112">
        <v>9.14</v>
      </c>
      <c r="C68" s="112">
        <v>4.25</v>
      </c>
      <c r="D68" s="112">
        <v>14</v>
      </c>
      <c r="E68" s="112">
        <v>10.039999999999999</v>
      </c>
      <c r="F68" s="112">
        <v>7.38</v>
      </c>
      <c r="G68" s="112">
        <v>27.37</v>
      </c>
      <c r="H68" s="112">
        <v>8.66</v>
      </c>
      <c r="I68" s="112">
        <v>3.89</v>
      </c>
      <c r="J68" s="112">
        <v>0.42</v>
      </c>
      <c r="K68" s="112">
        <v>270.39999999999998</v>
      </c>
      <c r="L68" s="112">
        <v>32.35</v>
      </c>
      <c r="M68" s="112">
        <v>65.13</v>
      </c>
      <c r="N68" s="112">
        <v>85.7</v>
      </c>
      <c r="O68" s="112">
        <v>0</v>
      </c>
      <c r="P68" s="112">
        <v>0.37</v>
      </c>
      <c r="Q68" s="112">
        <v>4.63</v>
      </c>
    </row>
    <row r="69" spans="1:17">
      <c r="A69" s="80">
        <v>45564.635416666664</v>
      </c>
      <c r="B69" s="112">
        <v>9.1300000000000008</v>
      </c>
      <c r="C69" s="112">
        <v>4.2699999999999996</v>
      </c>
      <c r="D69" s="112">
        <v>14</v>
      </c>
      <c r="E69" s="112">
        <v>9.7799999999999994</v>
      </c>
      <c r="F69" s="112">
        <v>6.79</v>
      </c>
      <c r="G69" s="112">
        <v>24.69</v>
      </c>
      <c r="H69" s="112">
        <v>8.93</v>
      </c>
      <c r="I69" s="112">
        <v>3.96</v>
      </c>
      <c r="J69" s="112">
        <v>0.41</v>
      </c>
      <c r="K69" s="112">
        <v>267.75</v>
      </c>
      <c r="L69" s="112">
        <v>32.270000000000003</v>
      </c>
      <c r="M69" s="112">
        <v>63.13</v>
      </c>
      <c r="N69" s="112">
        <v>91.3</v>
      </c>
      <c r="O69" s="112">
        <v>0</v>
      </c>
      <c r="P69" s="112">
        <v>0.38</v>
      </c>
      <c r="Q69" s="112">
        <v>4.63</v>
      </c>
    </row>
    <row r="70" spans="1:17">
      <c r="A70" s="80">
        <v>45564.645833333336</v>
      </c>
      <c r="B70" s="112">
        <v>9.1300000000000008</v>
      </c>
      <c r="C70" s="112">
        <v>4.2699999999999996</v>
      </c>
      <c r="D70" s="112">
        <v>14</v>
      </c>
      <c r="E70" s="112">
        <v>10.01</v>
      </c>
      <c r="F70" s="112">
        <v>6.94</v>
      </c>
      <c r="G70" s="112">
        <v>24.69</v>
      </c>
      <c r="H70" s="112">
        <v>8.93</v>
      </c>
      <c r="I70" s="112">
        <v>4</v>
      </c>
      <c r="J70" s="112">
        <v>0.38</v>
      </c>
      <c r="K70" s="112">
        <v>257.11</v>
      </c>
      <c r="L70" s="112">
        <v>32.26</v>
      </c>
      <c r="M70" s="112">
        <v>65.55</v>
      </c>
      <c r="N70" s="112">
        <v>90.9</v>
      </c>
      <c r="O70" s="112">
        <v>0</v>
      </c>
      <c r="P70" s="112">
        <v>0.38</v>
      </c>
      <c r="Q70" s="112">
        <v>4.62</v>
      </c>
    </row>
    <row r="71" spans="1:17">
      <c r="A71" s="80">
        <v>45564.65625</v>
      </c>
      <c r="B71" s="112">
        <v>9.16</v>
      </c>
      <c r="C71" s="112">
        <v>4.2300000000000004</v>
      </c>
      <c r="D71" s="112">
        <v>14</v>
      </c>
      <c r="E71" s="112">
        <v>9.77</v>
      </c>
      <c r="F71" s="112">
        <v>6.23</v>
      </c>
      <c r="G71" s="112">
        <v>24.69</v>
      </c>
      <c r="H71" s="112">
        <v>8.93</v>
      </c>
      <c r="I71" s="112">
        <v>4.04</v>
      </c>
      <c r="J71" s="112">
        <v>0.33</v>
      </c>
      <c r="K71" s="112">
        <v>244.8</v>
      </c>
      <c r="L71" s="112">
        <v>32.090000000000003</v>
      </c>
      <c r="M71" s="112">
        <v>67.97</v>
      </c>
      <c r="N71" s="112">
        <v>113.9</v>
      </c>
      <c r="O71" s="112">
        <v>0</v>
      </c>
      <c r="P71" s="112">
        <v>0.39</v>
      </c>
      <c r="Q71" s="112">
        <v>4.6399999999999997</v>
      </c>
    </row>
    <row r="72" spans="1:17">
      <c r="A72" s="80">
        <v>45564.666666666664</v>
      </c>
      <c r="B72" s="112">
        <v>9.16</v>
      </c>
      <c r="C72" s="112">
        <v>4.2300000000000004</v>
      </c>
      <c r="D72" s="112">
        <v>14</v>
      </c>
      <c r="E72" s="112">
        <v>9.93</v>
      </c>
      <c r="F72" s="112">
        <v>7.04</v>
      </c>
      <c r="G72" s="112">
        <v>24.71</v>
      </c>
      <c r="H72" s="112">
        <v>9.0299999999999994</v>
      </c>
      <c r="I72" s="112">
        <v>4.07</v>
      </c>
      <c r="J72" s="112">
        <v>0.26</v>
      </c>
      <c r="K72" s="112">
        <v>243.31</v>
      </c>
      <c r="L72" s="112">
        <v>32.14</v>
      </c>
      <c r="M72" s="112">
        <v>67.709999999999994</v>
      </c>
      <c r="N72" s="112">
        <v>73</v>
      </c>
      <c r="O72" s="112">
        <v>0</v>
      </c>
      <c r="P72" s="112">
        <v>0.38</v>
      </c>
      <c r="Q72" s="112">
        <v>4.6500000000000004</v>
      </c>
    </row>
    <row r="73" spans="1:17">
      <c r="A73" s="80">
        <v>45564.677083333336</v>
      </c>
      <c r="B73" s="112">
        <v>9.18</v>
      </c>
      <c r="C73" s="112">
        <v>4.1900000000000004</v>
      </c>
      <c r="D73" s="112">
        <v>14</v>
      </c>
      <c r="E73" s="112">
        <v>9.8000000000000007</v>
      </c>
      <c r="F73" s="112">
        <v>7.77</v>
      </c>
      <c r="G73" s="112">
        <v>25.16</v>
      </c>
      <c r="H73" s="112">
        <v>10.52</v>
      </c>
      <c r="I73" s="112">
        <v>4.13</v>
      </c>
      <c r="J73" s="112">
        <v>0.33</v>
      </c>
      <c r="K73" s="112">
        <v>247.58</v>
      </c>
      <c r="L73" s="112">
        <v>31.97</v>
      </c>
      <c r="M73" s="112">
        <v>67.58</v>
      </c>
      <c r="N73" s="112">
        <v>48.9</v>
      </c>
      <c r="O73" s="112">
        <v>0</v>
      </c>
      <c r="P73" s="112">
        <v>0.38</v>
      </c>
      <c r="Q73" s="112">
        <v>4.6399999999999997</v>
      </c>
    </row>
    <row r="74" spans="1:17">
      <c r="A74" s="80">
        <v>45564.6875</v>
      </c>
      <c r="B74" s="112">
        <v>9.16</v>
      </c>
      <c r="C74" s="112">
        <v>4.22</v>
      </c>
      <c r="D74" s="112">
        <v>14</v>
      </c>
      <c r="E74" s="112">
        <v>10.37</v>
      </c>
      <c r="F74" s="112">
        <v>6.61</v>
      </c>
      <c r="G74" s="112">
        <v>25.16</v>
      </c>
      <c r="H74" s="112">
        <v>10.52</v>
      </c>
      <c r="I74" s="112">
        <v>4.0599999999999996</v>
      </c>
      <c r="J74" s="112">
        <v>0.22</v>
      </c>
      <c r="K74" s="112">
        <v>233.02</v>
      </c>
      <c r="L74" s="112">
        <v>31.51</v>
      </c>
      <c r="M74" s="112">
        <v>69.319999999999993</v>
      </c>
      <c r="N74" s="112">
        <v>39</v>
      </c>
      <c r="O74" s="112">
        <v>0</v>
      </c>
      <c r="P74" s="112">
        <v>0.39</v>
      </c>
      <c r="Q74" s="112">
        <v>4.62</v>
      </c>
    </row>
    <row r="75" spans="1:17">
      <c r="A75" s="80">
        <v>45564.697916666664</v>
      </c>
      <c r="B75" s="112">
        <v>9.17</v>
      </c>
      <c r="C75" s="112">
        <v>4.21</v>
      </c>
      <c r="D75" s="112">
        <v>14</v>
      </c>
      <c r="E75" s="112">
        <v>9.98</v>
      </c>
      <c r="F75" s="112">
        <v>6.32</v>
      </c>
      <c r="G75" s="112">
        <v>25.16</v>
      </c>
      <c r="H75" s="112">
        <v>10.52</v>
      </c>
      <c r="I75" s="112">
        <v>4.1100000000000003</v>
      </c>
      <c r="J75" s="112">
        <v>0.16</v>
      </c>
      <c r="K75" s="112">
        <v>189.78</v>
      </c>
      <c r="L75" s="112">
        <v>31.3</v>
      </c>
      <c r="M75" s="112">
        <v>71.94</v>
      </c>
      <c r="N75" s="112">
        <v>36.6</v>
      </c>
      <c r="O75" s="112">
        <v>0</v>
      </c>
      <c r="P75" s="112">
        <v>0.38</v>
      </c>
      <c r="Q75" s="112">
        <v>4.62</v>
      </c>
    </row>
    <row r="76" spans="1:17">
      <c r="A76" s="80">
        <v>45564.708333333336</v>
      </c>
      <c r="B76" s="112">
        <v>9.18</v>
      </c>
      <c r="C76" s="112">
        <v>4.1900000000000004</v>
      </c>
      <c r="D76" s="112">
        <v>14</v>
      </c>
      <c r="E76" s="112">
        <v>9.6199999999999992</v>
      </c>
      <c r="F76" s="112">
        <v>6.27</v>
      </c>
      <c r="G76" s="112">
        <v>25.09</v>
      </c>
      <c r="H76" s="112">
        <v>10.33</v>
      </c>
      <c r="I76" s="112">
        <v>4.18</v>
      </c>
      <c r="J76" s="112">
        <v>0.17</v>
      </c>
      <c r="K76" s="112">
        <v>209.24</v>
      </c>
      <c r="L76" s="112">
        <v>30.91</v>
      </c>
      <c r="M76" s="112">
        <v>72.73</v>
      </c>
      <c r="N76" s="112">
        <v>26.5</v>
      </c>
      <c r="O76" s="112">
        <v>0</v>
      </c>
      <c r="P76" s="112">
        <v>0.38</v>
      </c>
      <c r="Q76" s="112">
        <v>4.62</v>
      </c>
    </row>
    <row r="77" spans="1:17">
      <c r="A77" s="80">
        <v>45564.71875</v>
      </c>
      <c r="B77" s="112">
        <v>9.19</v>
      </c>
      <c r="C77" s="112">
        <v>4.18</v>
      </c>
      <c r="D77" s="112">
        <v>14</v>
      </c>
      <c r="E77" s="112">
        <v>9.81</v>
      </c>
      <c r="F77" s="112">
        <v>6.75</v>
      </c>
      <c r="G77" s="112">
        <v>23.8</v>
      </c>
      <c r="H77" s="112">
        <v>7.39</v>
      </c>
      <c r="I77" s="112">
        <v>4.22</v>
      </c>
      <c r="J77" s="112">
        <v>0.14000000000000001</v>
      </c>
      <c r="K77" s="112">
        <v>183.85</v>
      </c>
      <c r="L77" s="112">
        <v>30.6</v>
      </c>
      <c r="M77" s="112">
        <v>74.78</v>
      </c>
      <c r="N77" s="112">
        <v>20.7</v>
      </c>
      <c r="O77" s="112">
        <v>0</v>
      </c>
      <c r="P77" s="112">
        <v>0.39</v>
      </c>
      <c r="Q77" s="112">
        <v>4.63</v>
      </c>
    </row>
    <row r="78" spans="1:17">
      <c r="A78" s="80">
        <v>45564.729166666664</v>
      </c>
      <c r="B78" s="112">
        <v>9.1999999999999993</v>
      </c>
      <c r="C78" s="112">
        <v>4.16</v>
      </c>
      <c r="D78" s="112">
        <v>14</v>
      </c>
      <c r="E78" s="112">
        <v>10.23</v>
      </c>
      <c r="F78" s="112">
        <v>5.86</v>
      </c>
      <c r="G78" s="112">
        <v>23.8</v>
      </c>
      <c r="H78" s="112">
        <v>7.39</v>
      </c>
      <c r="I78" s="112">
        <v>4.22</v>
      </c>
      <c r="J78" s="112">
        <v>0.15</v>
      </c>
      <c r="K78" s="112">
        <v>176.75</v>
      </c>
      <c r="L78" s="112">
        <v>30.36</v>
      </c>
      <c r="M78" s="112">
        <v>75.5</v>
      </c>
      <c r="N78" s="112">
        <v>11.7</v>
      </c>
      <c r="O78" s="112">
        <v>0</v>
      </c>
      <c r="P78" s="112">
        <v>0.39</v>
      </c>
      <c r="Q78" s="112">
        <v>4.6500000000000004</v>
      </c>
    </row>
    <row r="79" spans="1:17">
      <c r="A79" s="80">
        <v>45564.739583333336</v>
      </c>
      <c r="B79" s="112">
        <v>9.2100000000000009</v>
      </c>
      <c r="C79" s="112">
        <v>4.1399999999999997</v>
      </c>
      <c r="D79" s="112">
        <v>14</v>
      </c>
      <c r="E79" s="112">
        <v>9.66</v>
      </c>
      <c r="F79" s="112">
        <v>5.34</v>
      </c>
      <c r="G79" s="112">
        <v>23.8</v>
      </c>
      <c r="H79" s="112">
        <v>7.39</v>
      </c>
      <c r="I79" s="112">
        <v>4.21</v>
      </c>
      <c r="J79" s="112">
        <v>0.11</v>
      </c>
      <c r="K79" s="112">
        <v>192.33</v>
      </c>
      <c r="L79" s="112">
        <v>29.95</v>
      </c>
      <c r="M79" s="112">
        <v>77.349999999999994</v>
      </c>
      <c r="N79" s="112">
        <v>5.4</v>
      </c>
      <c r="O79" s="112">
        <v>0</v>
      </c>
      <c r="P79" s="112">
        <v>0.38</v>
      </c>
      <c r="Q79" s="112">
        <v>4.63</v>
      </c>
    </row>
    <row r="80" spans="1:17">
      <c r="A80" s="80">
        <v>45564.75</v>
      </c>
      <c r="B80" s="112">
        <v>9.2100000000000009</v>
      </c>
      <c r="C80" s="112">
        <v>4.1500000000000004</v>
      </c>
      <c r="D80" s="112">
        <v>14</v>
      </c>
      <c r="E80" s="112">
        <v>9.7100000000000009</v>
      </c>
      <c r="F80" s="112">
        <v>5.53</v>
      </c>
      <c r="G80" s="112">
        <v>23.97</v>
      </c>
      <c r="H80" s="112">
        <v>7.66</v>
      </c>
      <c r="I80" s="112">
        <v>4.2699999999999996</v>
      </c>
      <c r="J80" s="112">
        <v>0.15</v>
      </c>
      <c r="K80" s="112">
        <v>178.43</v>
      </c>
      <c r="L80" s="112">
        <v>29.75</v>
      </c>
      <c r="M80" s="112">
        <v>78.510000000000005</v>
      </c>
      <c r="N80" s="112">
        <v>2.8</v>
      </c>
      <c r="O80" s="112">
        <v>0</v>
      </c>
      <c r="P80" s="112">
        <v>0.39</v>
      </c>
      <c r="Q80" s="112">
        <v>4.63</v>
      </c>
    </row>
    <row r="81" spans="1:17">
      <c r="A81" s="80">
        <v>45564.760416666664</v>
      </c>
      <c r="B81" s="112">
        <v>9.2100000000000009</v>
      </c>
      <c r="C81" s="112">
        <v>4.1399999999999997</v>
      </c>
      <c r="D81" s="112">
        <v>14</v>
      </c>
      <c r="E81" s="112">
        <v>8.84</v>
      </c>
      <c r="F81" s="112">
        <v>10.86</v>
      </c>
      <c r="G81" s="112">
        <v>27.64</v>
      </c>
      <c r="H81" s="112">
        <v>11.78</v>
      </c>
      <c r="I81" s="112">
        <v>4.1399999999999997</v>
      </c>
      <c r="J81" s="112">
        <v>0.1</v>
      </c>
      <c r="K81" s="112">
        <v>206.06</v>
      </c>
      <c r="L81" s="112">
        <v>29.42</v>
      </c>
      <c r="M81" s="112">
        <v>82.18</v>
      </c>
      <c r="N81" s="112">
        <v>2.4</v>
      </c>
      <c r="O81" s="112">
        <v>0</v>
      </c>
      <c r="P81" s="112">
        <v>0.38</v>
      </c>
      <c r="Q81" s="112">
        <v>4.63</v>
      </c>
    </row>
    <row r="82" spans="1:17">
      <c r="A82" s="80">
        <v>45564.770833333336</v>
      </c>
      <c r="B82" s="112">
        <v>9.2799999999999994</v>
      </c>
      <c r="C82" s="112">
        <v>4.07</v>
      </c>
      <c r="D82" s="112">
        <v>14.02</v>
      </c>
      <c r="E82" s="112">
        <v>9.83</v>
      </c>
      <c r="F82" s="112">
        <v>14.77</v>
      </c>
      <c r="G82" s="112">
        <v>27.64</v>
      </c>
      <c r="H82" s="112">
        <v>11.78</v>
      </c>
      <c r="I82" s="112">
        <v>4.29</v>
      </c>
      <c r="J82" s="112">
        <v>0.11</v>
      </c>
      <c r="K82" s="112">
        <v>180.09</v>
      </c>
      <c r="L82" s="112">
        <v>29.26</v>
      </c>
      <c r="M82" s="112">
        <v>82.68</v>
      </c>
      <c r="N82" s="112">
        <v>2.1</v>
      </c>
      <c r="O82" s="112">
        <v>0</v>
      </c>
      <c r="P82" s="112">
        <v>0.34</v>
      </c>
      <c r="Q82" s="112">
        <v>4.67</v>
      </c>
    </row>
    <row r="83" spans="1:17">
      <c r="A83" s="80">
        <v>45564.78125</v>
      </c>
      <c r="B83" s="112">
        <v>9.3000000000000007</v>
      </c>
      <c r="C83" s="112">
        <v>4.0599999999999996</v>
      </c>
      <c r="D83" s="112">
        <v>14.03</v>
      </c>
      <c r="E83" s="112">
        <v>9.84</v>
      </c>
      <c r="F83" s="112">
        <v>11.8</v>
      </c>
      <c r="G83" s="112">
        <v>27.64</v>
      </c>
      <c r="H83" s="112">
        <v>11.78</v>
      </c>
      <c r="I83" s="112">
        <v>3.99</v>
      </c>
      <c r="J83" s="112">
        <v>0.2</v>
      </c>
      <c r="K83" s="112">
        <v>185.28</v>
      </c>
      <c r="L83" s="112">
        <v>29.22</v>
      </c>
      <c r="M83" s="112">
        <v>84.52</v>
      </c>
      <c r="N83" s="112">
        <v>2.1</v>
      </c>
      <c r="O83" s="112">
        <v>0</v>
      </c>
      <c r="P83" s="112">
        <v>0.31</v>
      </c>
      <c r="Q83" s="112">
        <v>4.67</v>
      </c>
    </row>
    <row r="84" spans="1:17">
      <c r="A84" s="80">
        <v>45564.791666666664</v>
      </c>
      <c r="B84" s="112">
        <v>9.2899999999999991</v>
      </c>
      <c r="C84" s="112">
        <v>4.0999999999999996</v>
      </c>
      <c r="D84" s="112">
        <v>14.04</v>
      </c>
      <c r="E84" s="112">
        <v>9.84</v>
      </c>
      <c r="F84" s="112">
        <v>10.61</v>
      </c>
      <c r="G84" s="112">
        <v>27.9</v>
      </c>
      <c r="H84" s="112">
        <v>11.88</v>
      </c>
      <c r="I84" s="112">
        <v>3.75</v>
      </c>
      <c r="J84" s="112">
        <v>0.17</v>
      </c>
      <c r="K84" s="112">
        <v>184.61</v>
      </c>
      <c r="L84" s="112">
        <v>29.11</v>
      </c>
      <c r="M84" s="112">
        <v>88.93</v>
      </c>
      <c r="N84" s="112">
        <v>2.2000000000000002</v>
      </c>
      <c r="O84" s="112">
        <v>0</v>
      </c>
      <c r="P84" s="112">
        <v>0.32</v>
      </c>
      <c r="Q84" s="112">
        <v>4.68</v>
      </c>
    </row>
    <row r="85" spans="1:17">
      <c r="A85" s="80">
        <v>45564.802083333336</v>
      </c>
      <c r="B85" s="112">
        <v>9.23</v>
      </c>
      <c r="C85" s="112">
        <v>4.1100000000000003</v>
      </c>
      <c r="D85" s="112">
        <v>14</v>
      </c>
      <c r="E85" s="112">
        <v>10.58</v>
      </c>
      <c r="F85" s="112">
        <v>9.36</v>
      </c>
      <c r="G85" s="112">
        <v>32.090000000000003</v>
      </c>
      <c r="H85" s="112">
        <v>13.35</v>
      </c>
      <c r="I85" s="112">
        <v>3.96</v>
      </c>
      <c r="J85" s="112">
        <v>0.14000000000000001</v>
      </c>
      <c r="K85" s="112">
        <v>170.8</v>
      </c>
      <c r="L85" s="112">
        <v>28.93</v>
      </c>
      <c r="M85" s="112">
        <v>89.28</v>
      </c>
      <c r="N85" s="112">
        <v>2.1</v>
      </c>
      <c r="O85" s="112">
        <v>0</v>
      </c>
      <c r="P85" s="112">
        <v>0.34</v>
      </c>
      <c r="Q85" s="112">
        <v>4.66</v>
      </c>
    </row>
    <row r="86" spans="1:17">
      <c r="A86" s="80">
        <v>45564.8125</v>
      </c>
      <c r="B86" s="112">
        <v>9.18</v>
      </c>
      <c r="C86" s="112">
        <v>4.1900000000000004</v>
      </c>
      <c r="D86" s="112">
        <v>14</v>
      </c>
      <c r="E86" s="112">
        <v>11.14</v>
      </c>
      <c r="F86" s="112">
        <v>8.85</v>
      </c>
      <c r="G86" s="112">
        <v>32.090000000000003</v>
      </c>
      <c r="H86" s="112">
        <v>13.35</v>
      </c>
      <c r="I86" s="112">
        <v>4.0999999999999996</v>
      </c>
      <c r="J86" s="112">
        <v>0.14000000000000001</v>
      </c>
      <c r="K86" s="112">
        <v>167.43</v>
      </c>
      <c r="L86" s="112">
        <v>28.9</v>
      </c>
      <c r="M86" s="112">
        <v>89.09</v>
      </c>
      <c r="N86" s="112">
        <v>2.1</v>
      </c>
      <c r="O86" s="112">
        <v>0</v>
      </c>
      <c r="P86" s="112">
        <v>0.34</v>
      </c>
      <c r="Q86" s="112">
        <v>4.68</v>
      </c>
    </row>
    <row r="87" spans="1:17">
      <c r="A87" s="80">
        <v>45564.822916666664</v>
      </c>
      <c r="B87" s="112">
        <v>9.17</v>
      </c>
      <c r="C87" s="112">
        <v>4.21</v>
      </c>
      <c r="D87" s="112">
        <v>14</v>
      </c>
      <c r="E87" s="112">
        <v>11.59</v>
      </c>
      <c r="F87" s="112">
        <v>10.23</v>
      </c>
      <c r="G87" s="112">
        <v>32.090000000000003</v>
      </c>
      <c r="H87" s="112">
        <v>13.35</v>
      </c>
      <c r="I87" s="112">
        <v>4.2699999999999996</v>
      </c>
      <c r="J87" s="112">
        <v>0.18</v>
      </c>
      <c r="K87" s="112">
        <v>200.93</v>
      </c>
      <c r="L87" s="112">
        <v>28.78</v>
      </c>
      <c r="M87" s="112">
        <v>90.25</v>
      </c>
      <c r="N87" s="112">
        <v>2.1</v>
      </c>
      <c r="O87" s="112">
        <v>0</v>
      </c>
      <c r="P87" s="112">
        <v>0.37</v>
      </c>
      <c r="Q87" s="112">
        <v>4.67</v>
      </c>
    </row>
    <row r="88" spans="1:17">
      <c r="A88" s="80">
        <v>45564.833333333336</v>
      </c>
      <c r="B88" s="112">
        <v>9.16</v>
      </c>
      <c r="C88" s="112">
        <v>4.21</v>
      </c>
      <c r="D88" s="112">
        <v>14</v>
      </c>
      <c r="E88" s="112">
        <v>11.52</v>
      </c>
      <c r="F88" s="112">
        <v>9.0299999999999994</v>
      </c>
      <c r="G88" s="112">
        <v>32.36</v>
      </c>
      <c r="H88" s="112">
        <v>13.24</v>
      </c>
      <c r="I88" s="112">
        <v>4.5</v>
      </c>
      <c r="J88" s="112">
        <v>0.12</v>
      </c>
      <c r="K88" s="112">
        <v>210.67</v>
      </c>
      <c r="L88" s="112">
        <v>28.54</v>
      </c>
      <c r="M88" s="112">
        <v>89.46</v>
      </c>
      <c r="N88" s="112">
        <v>2.1</v>
      </c>
      <c r="O88" s="112">
        <v>0</v>
      </c>
      <c r="P88" s="112">
        <v>0.36</v>
      </c>
      <c r="Q88" s="112">
        <v>4.67</v>
      </c>
    </row>
    <row r="89" spans="1:17">
      <c r="A89" s="80">
        <v>45564.84375</v>
      </c>
      <c r="B89" s="112">
        <v>9.16</v>
      </c>
      <c r="C89" s="112">
        <v>4.22</v>
      </c>
      <c r="D89" s="112">
        <v>14</v>
      </c>
      <c r="E89" s="112">
        <v>11.33</v>
      </c>
      <c r="F89" s="112">
        <v>9.49</v>
      </c>
      <c r="G89" s="112">
        <v>37.03</v>
      </c>
      <c r="H89" s="112">
        <v>11.52</v>
      </c>
      <c r="I89" s="112">
        <v>4.6100000000000003</v>
      </c>
      <c r="J89" s="112">
        <v>0.12</v>
      </c>
      <c r="K89" s="112">
        <v>198.31</v>
      </c>
      <c r="L89" s="112">
        <v>28.57</v>
      </c>
      <c r="M89" s="112">
        <v>87.18</v>
      </c>
      <c r="N89" s="112">
        <v>2.1</v>
      </c>
      <c r="O89" s="112">
        <v>0</v>
      </c>
      <c r="P89" s="112">
        <v>0.37</v>
      </c>
      <c r="Q89" s="112">
        <v>4.66</v>
      </c>
    </row>
    <row r="90" spans="1:17">
      <c r="A90" s="80">
        <v>45564.854166666664</v>
      </c>
      <c r="B90" s="112">
        <v>9.17</v>
      </c>
      <c r="C90" s="112">
        <v>4.2</v>
      </c>
      <c r="D90" s="112">
        <v>14</v>
      </c>
      <c r="E90" s="112">
        <v>11.82</v>
      </c>
      <c r="F90" s="112">
        <v>9.0500000000000007</v>
      </c>
      <c r="G90" s="112">
        <v>37.03</v>
      </c>
      <c r="H90" s="112">
        <v>11.52</v>
      </c>
      <c r="I90" s="112">
        <v>4.49</v>
      </c>
      <c r="J90" s="112">
        <v>0.13</v>
      </c>
      <c r="K90" s="112">
        <v>209.74</v>
      </c>
      <c r="L90" s="112">
        <v>28.49</v>
      </c>
      <c r="M90" s="112">
        <v>87.81</v>
      </c>
      <c r="N90" s="112">
        <v>2.1</v>
      </c>
      <c r="O90" s="112">
        <v>0</v>
      </c>
      <c r="P90" s="112">
        <v>0.4</v>
      </c>
      <c r="Q90" s="112">
        <v>4.66</v>
      </c>
    </row>
    <row r="91" spans="1:17">
      <c r="A91" s="80">
        <v>45564.864583333336</v>
      </c>
      <c r="B91" s="112">
        <v>9.17</v>
      </c>
      <c r="C91" s="112">
        <v>4.2</v>
      </c>
      <c r="D91" s="112">
        <v>14</v>
      </c>
      <c r="E91" s="112">
        <v>12.13</v>
      </c>
      <c r="F91" s="112">
        <v>6.79</v>
      </c>
      <c r="G91" s="112">
        <v>37.03</v>
      </c>
      <c r="H91" s="112">
        <v>11.52</v>
      </c>
      <c r="I91" s="112">
        <v>4.66</v>
      </c>
      <c r="J91" s="112">
        <v>0.17</v>
      </c>
      <c r="K91" s="112">
        <v>184.97</v>
      </c>
      <c r="L91" s="112">
        <v>28.46</v>
      </c>
      <c r="M91" s="112">
        <v>88.35</v>
      </c>
      <c r="N91" s="112">
        <v>2.1</v>
      </c>
      <c r="O91" s="112">
        <v>0</v>
      </c>
      <c r="P91" s="112">
        <v>0.39</v>
      </c>
      <c r="Q91" s="112">
        <v>4.66</v>
      </c>
    </row>
    <row r="92" spans="1:17">
      <c r="A92" s="80">
        <v>45564.875</v>
      </c>
      <c r="B92" s="112">
        <v>9.17</v>
      </c>
      <c r="C92" s="112">
        <v>4.2</v>
      </c>
      <c r="D92" s="112">
        <v>14</v>
      </c>
      <c r="E92" s="112">
        <v>11.74</v>
      </c>
      <c r="F92" s="112">
        <v>7.35</v>
      </c>
      <c r="G92" s="112">
        <v>37.6</v>
      </c>
      <c r="H92" s="112">
        <v>11.83</v>
      </c>
      <c r="I92" s="112">
        <v>4.87</v>
      </c>
      <c r="J92" s="112">
        <v>0.22</v>
      </c>
      <c r="K92" s="112">
        <v>185.5</v>
      </c>
      <c r="L92" s="112">
        <v>28.63</v>
      </c>
      <c r="M92" s="112">
        <v>89.79</v>
      </c>
      <c r="N92" s="112">
        <v>2.1</v>
      </c>
      <c r="O92" s="112">
        <v>0</v>
      </c>
      <c r="P92" s="112">
        <v>0.4</v>
      </c>
      <c r="Q92" s="112">
        <v>4.6500000000000004</v>
      </c>
    </row>
    <row r="93" spans="1:17">
      <c r="A93" s="80">
        <v>45564.885416666664</v>
      </c>
      <c r="B93" s="112">
        <v>9.19</v>
      </c>
      <c r="C93" s="112">
        <v>4.17</v>
      </c>
      <c r="D93" s="112">
        <v>14</v>
      </c>
      <c r="E93" s="112">
        <v>11.99</v>
      </c>
      <c r="F93" s="112">
        <v>7.33</v>
      </c>
      <c r="G93" s="112">
        <v>47.27</v>
      </c>
      <c r="H93" s="112">
        <v>16.489999999999998</v>
      </c>
      <c r="I93" s="112">
        <v>4.75</v>
      </c>
      <c r="J93" s="112">
        <v>0.17</v>
      </c>
      <c r="K93" s="112">
        <v>199.86</v>
      </c>
      <c r="L93" s="112">
        <v>28.24</v>
      </c>
      <c r="M93" s="112">
        <v>91.74</v>
      </c>
      <c r="N93" s="112">
        <v>2.2000000000000002</v>
      </c>
      <c r="O93" s="112">
        <v>0</v>
      </c>
      <c r="P93" s="112">
        <v>0.43</v>
      </c>
      <c r="Q93" s="112">
        <v>4.6500000000000004</v>
      </c>
    </row>
    <row r="94" spans="1:17">
      <c r="A94" s="80">
        <v>45564.895833333336</v>
      </c>
      <c r="B94" s="112">
        <v>9.19</v>
      </c>
      <c r="C94" s="112">
        <v>4.17</v>
      </c>
      <c r="D94" s="112">
        <v>14</v>
      </c>
      <c r="E94" s="112">
        <v>12.01</v>
      </c>
      <c r="F94" s="112">
        <v>6.81</v>
      </c>
      <c r="G94" s="112">
        <v>47.27</v>
      </c>
      <c r="H94" s="112">
        <v>16.489999999999998</v>
      </c>
      <c r="I94" s="112">
        <v>4.91</v>
      </c>
      <c r="J94" s="112">
        <v>0.14000000000000001</v>
      </c>
      <c r="K94" s="112">
        <v>191.59</v>
      </c>
      <c r="L94" s="112">
        <v>28.05</v>
      </c>
      <c r="M94" s="112">
        <v>90.98</v>
      </c>
      <c r="N94" s="112">
        <v>2.1</v>
      </c>
      <c r="O94" s="112">
        <v>0</v>
      </c>
      <c r="P94" s="112">
        <v>0.41</v>
      </c>
      <c r="Q94" s="112">
        <v>4.6500000000000004</v>
      </c>
    </row>
    <row r="95" spans="1:17">
      <c r="A95" s="80">
        <v>45564.90625</v>
      </c>
      <c r="B95" s="112">
        <v>9.19</v>
      </c>
      <c r="C95" s="112">
        <v>4.18</v>
      </c>
      <c r="D95" s="112">
        <v>14</v>
      </c>
      <c r="E95" s="112">
        <v>11.5</v>
      </c>
      <c r="F95" s="112">
        <v>6.72</v>
      </c>
      <c r="G95" s="112">
        <v>47.27</v>
      </c>
      <c r="H95" s="112">
        <v>16.489999999999998</v>
      </c>
      <c r="I95" s="112">
        <v>5</v>
      </c>
      <c r="J95" s="112">
        <v>0.12</v>
      </c>
      <c r="K95" s="112">
        <v>180.82</v>
      </c>
      <c r="L95" s="112">
        <v>27.98</v>
      </c>
      <c r="M95" s="112">
        <v>90.25</v>
      </c>
      <c r="N95" s="112">
        <v>2.1</v>
      </c>
      <c r="O95" s="112">
        <v>0</v>
      </c>
      <c r="P95" s="112">
        <v>0.43</v>
      </c>
      <c r="Q95" s="112">
        <v>4.66</v>
      </c>
    </row>
    <row r="96" spans="1:17">
      <c r="A96" s="80">
        <v>45564.916666666664</v>
      </c>
      <c r="B96" s="112">
        <v>9.18</v>
      </c>
      <c r="C96" s="112">
        <v>4.2</v>
      </c>
      <c r="D96" s="112">
        <v>14</v>
      </c>
      <c r="E96" s="112">
        <v>12.04</v>
      </c>
      <c r="F96" s="112">
        <v>6.64</v>
      </c>
      <c r="G96" s="112">
        <v>47.38</v>
      </c>
      <c r="H96" s="112">
        <v>16.510000000000002</v>
      </c>
      <c r="I96" s="112">
        <v>5.07</v>
      </c>
      <c r="J96" s="112">
        <v>0.11</v>
      </c>
      <c r="K96" s="112">
        <v>169.07</v>
      </c>
      <c r="L96" s="112">
        <v>27.78</v>
      </c>
      <c r="M96" s="112">
        <v>91.44</v>
      </c>
      <c r="N96" s="112">
        <v>2.1</v>
      </c>
      <c r="O96" s="112">
        <v>0</v>
      </c>
      <c r="P96" s="112">
        <v>0.43</v>
      </c>
      <c r="Q96" s="112">
        <v>4.66</v>
      </c>
    </row>
    <row r="97" spans="1:21">
      <c r="A97" s="80">
        <v>45564.927083333336</v>
      </c>
      <c r="B97" s="112">
        <v>9.18</v>
      </c>
      <c r="C97" s="112">
        <v>4.1900000000000004</v>
      </c>
      <c r="D97" s="112">
        <v>14</v>
      </c>
      <c r="E97" s="112">
        <v>12.13</v>
      </c>
      <c r="F97" s="112">
        <v>6.94</v>
      </c>
      <c r="G97" s="112">
        <v>49.63</v>
      </c>
      <c r="H97" s="112">
        <v>16.75</v>
      </c>
      <c r="I97" s="112">
        <v>5.47</v>
      </c>
      <c r="J97" s="112">
        <v>0.08</v>
      </c>
      <c r="K97" s="112">
        <v>205.36</v>
      </c>
      <c r="L97" s="112">
        <v>27.78</v>
      </c>
      <c r="M97" s="112">
        <v>91.47</v>
      </c>
      <c r="N97" s="112">
        <v>2.1</v>
      </c>
      <c r="O97" s="112">
        <v>0</v>
      </c>
      <c r="P97" s="112">
        <v>0.43</v>
      </c>
      <c r="Q97" s="112">
        <v>4.66</v>
      </c>
    </row>
    <row r="98" spans="1:21">
      <c r="A98" s="80">
        <v>45564.9375</v>
      </c>
      <c r="B98" s="112">
        <v>9.19</v>
      </c>
      <c r="C98" s="112">
        <v>4.17</v>
      </c>
      <c r="D98" s="112">
        <v>14</v>
      </c>
      <c r="E98" s="112">
        <v>11.98</v>
      </c>
      <c r="F98" s="112">
        <v>6.67</v>
      </c>
      <c r="G98" s="112">
        <v>49.63</v>
      </c>
      <c r="H98" s="112">
        <v>16.75</v>
      </c>
      <c r="I98" s="112">
        <v>5.51</v>
      </c>
      <c r="J98" s="112">
        <v>0.1</v>
      </c>
      <c r="K98" s="112">
        <v>185.43</v>
      </c>
      <c r="L98" s="112">
        <v>27.6</v>
      </c>
      <c r="M98" s="112">
        <v>92.56</v>
      </c>
      <c r="N98" s="112">
        <v>2.1</v>
      </c>
      <c r="O98" s="112">
        <v>0</v>
      </c>
      <c r="P98" s="112">
        <v>0.43</v>
      </c>
      <c r="Q98" s="112">
        <v>4.66</v>
      </c>
    </row>
    <row r="99" spans="1:21">
      <c r="A99" s="80">
        <v>45564.947916666664</v>
      </c>
      <c r="B99" s="112">
        <v>9.19</v>
      </c>
      <c r="C99" s="112">
        <v>4.17</v>
      </c>
      <c r="D99" s="112">
        <v>14</v>
      </c>
      <c r="E99" s="112">
        <v>11.86</v>
      </c>
      <c r="F99" s="112">
        <v>6.82</v>
      </c>
      <c r="G99" s="112">
        <v>49.63</v>
      </c>
      <c r="H99" s="112">
        <v>16.75</v>
      </c>
      <c r="I99" s="112">
        <v>5.36</v>
      </c>
      <c r="J99" s="112">
        <v>0.1</v>
      </c>
      <c r="K99" s="112">
        <v>190.19</v>
      </c>
      <c r="L99" s="112">
        <v>27.54</v>
      </c>
      <c r="M99" s="112">
        <v>93.24</v>
      </c>
      <c r="N99" s="112">
        <v>2.1</v>
      </c>
      <c r="O99" s="112">
        <v>0</v>
      </c>
      <c r="P99" s="112">
        <v>0.44</v>
      </c>
      <c r="Q99" s="112">
        <v>4.66</v>
      </c>
    </row>
    <row r="100" spans="1:21">
      <c r="A100" s="80">
        <v>45564.958333333336</v>
      </c>
      <c r="B100" s="112">
        <v>9.18</v>
      </c>
      <c r="C100" s="112">
        <v>4.18</v>
      </c>
      <c r="D100" s="112">
        <v>14</v>
      </c>
      <c r="E100" s="112">
        <v>12.2</v>
      </c>
      <c r="F100" s="112">
        <v>5.98</v>
      </c>
      <c r="G100" s="112">
        <v>49.47</v>
      </c>
      <c r="H100" s="112">
        <v>16.66</v>
      </c>
      <c r="I100" s="112">
        <v>5.29</v>
      </c>
      <c r="J100" s="112">
        <v>0.11</v>
      </c>
      <c r="K100" s="112">
        <v>176.77</v>
      </c>
      <c r="L100" s="112">
        <v>27.57</v>
      </c>
      <c r="M100" s="112">
        <v>93.51</v>
      </c>
      <c r="N100" s="112">
        <v>2.1</v>
      </c>
      <c r="O100" s="112">
        <v>0</v>
      </c>
      <c r="P100" s="112">
        <v>0.45</v>
      </c>
      <c r="Q100" s="112">
        <v>4.66</v>
      </c>
    </row>
    <row r="101" spans="1:21">
      <c r="A101" s="80">
        <v>45564.96875</v>
      </c>
      <c r="B101" s="112">
        <v>9.19</v>
      </c>
      <c r="C101" s="112">
        <v>4.17</v>
      </c>
      <c r="D101" s="112">
        <v>14</v>
      </c>
      <c r="E101" s="112">
        <v>12.04</v>
      </c>
      <c r="F101" s="112">
        <v>6.08</v>
      </c>
      <c r="G101" s="112">
        <v>46.75</v>
      </c>
      <c r="H101" s="112">
        <v>15.21</v>
      </c>
      <c r="I101" s="112">
        <v>5.41</v>
      </c>
      <c r="J101" s="112">
        <v>0.1</v>
      </c>
      <c r="K101" s="112">
        <v>194.79</v>
      </c>
      <c r="L101" s="112">
        <v>27.48</v>
      </c>
      <c r="M101" s="112">
        <v>95.48</v>
      </c>
      <c r="N101" s="112">
        <v>2.1</v>
      </c>
      <c r="O101" s="112">
        <v>0</v>
      </c>
      <c r="P101" s="112">
        <v>0.47</v>
      </c>
      <c r="Q101" s="112">
        <v>4.6399999999999997</v>
      </c>
    </row>
    <row r="102" spans="1:21">
      <c r="A102" s="80">
        <v>45564.979166666664</v>
      </c>
      <c r="B102" s="112">
        <v>9.1999999999999993</v>
      </c>
      <c r="C102" s="112">
        <v>4.1500000000000004</v>
      </c>
      <c r="D102" s="112">
        <v>14</v>
      </c>
      <c r="E102" s="112">
        <v>12.81</v>
      </c>
      <c r="F102" s="112">
        <v>5.69</v>
      </c>
      <c r="G102" s="112">
        <v>46.75</v>
      </c>
      <c r="H102" s="112">
        <v>15.21</v>
      </c>
      <c r="I102" s="112">
        <v>5.53</v>
      </c>
      <c r="J102" s="112">
        <v>7.0000000000000007E-2</v>
      </c>
      <c r="K102" s="112">
        <v>179.7</v>
      </c>
      <c r="L102" s="112">
        <v>27.42</v>
      </c>
      <c r="M102" s="112">
        <v>94.64</v>
      </c>
      <c r="N102" s="112">
        <v>2.1</v>
      </c>
      <c r="O102" s="112">
        <v>0</v>
      </c>
      <c r="P102" s="112">
        <v>0.47</v>
      </c>
      <c r="Q102" s="112">
        <v>4.63</v>
      </c>
    </row>
    <row r="103" spans="1:21">
      <c r="A103" s="80">
        <v>45564.989583333336</v>
      </c>
      <c r="B103" s="112">
        <v>9.15</v>
      </c>
      <c r="C103" s="112">
        <v>4.2300000000000004</v>
      </c>
      <c r="D103" s="112">
        <v>14</v>
      </c>
      <c r="E103" s="112">
        <v>12.3</v>
      </c>
      <c r="F103" s="112">
        <v>6.49</v>
      </c>
      <c r="G103" s="112">
        <v>46.75</v>
      </c>
      <c r="H103" s="112">
        <v>15.21</v>
      </c>
      <c r="I103" s="112">
        <v>5.63</v>
      </c>
      <c r="J103" s="112">
        <v>0.12</v>
      </c>
      <c r="K103" s="112">
        <v>185</v>
      </c>
      <c r="L103" s="112">
        <v>27.36</v>
      </c>
      <c r="M103" s="112">
        <v>93.99</v>
      </c>
      <c r="N103" s="112">
        <v>2</v>
      </c>
      <c r="O103" s="112">
        <v>0</v>
      </c>
      <c r="P103" s="112">
        <v>0.47</v>
      </c>
      <c r="Q103" s="112">
        <v>4.63</v>
      </c>
    </row>
    <row r="104" spans="1:21">
      <c r="A104" s="80">
        <v>45565</v>
      </c>
      <c r="B104" s="112">
        <v>9.16</v>
      </c>
      <c r="C104" s="112">
        <v>4.22</v>
      </c>
      <c r="D104" s="112">
        <v>14</v>
      </c>
      <c r="E104" s="112">
        <v>12.06</v>
      </c>
      <c r="F104" s="112">
        <v>6.61</v>
      </c>
      <c r="G104" s="112">
        <v>46.69</v>
      </c>
      <c r="H104" s="112">
        <v>15.25</v>
      </c>
      <c r="I104" s="112">
        <v>5.61</v>
      </c>
      <c r="J104" s="112">
        <v>0.09</v>
      </c>
      <c r="K104" s="112">
        <v>195.65</v>
      </c>
      <c r="L104" s="112">
        <v>27.4</v>
      </c>
      <c r="M104" s="112">
        <v>93.52</v>
      </c>
      <c r="N104" s="112">
        <v>2.1</v>
      </c>
      <c r="O104" s="112">
        <v>0</v>
      </c>
      <c r="P104" s="112">
        <v>0.47</v>
      </c>
      <c r="Q104" s="112">
        <v>4.6399999999999997</v>
      </c>
    </row>
    <row r="105" spans="1:21">
      <c r="A105" s="32"/>
      <c r="B105" s="2"/>
      <c r="C105" s="2"/>
      <c r="D105" s="2"/>
      <c r="E105" s="2"/>
      <c r="F105" s="2"/>
      <c r="G105" s="32"/>
      <c r="H105" s="32"/>
      <c r="I105" s="32"/>
      <c r="J105" s="2"/>
      <c r="K105" s="2"/>
      <c r="L105" s="32"/>
      <c r="M105" s="32"/>
      <c r="N105" s="32"/>
      <c r="O105" s="32"/>
      <c r="P105" s="32"/>
      <c r="Q105" s="2"/>
      <c r="R105" s="11"/>
      <c r="S105" s="11"/>
      <c r="T105" s="11"/>
      <c r="U105" s="11"/>
    </row>
    <row r="106" spans="1:21">
      <c r="A106" s="182" t="s">
        <v>48</v>
      </c>
      <c r="B106" s="183">
        <f>MIN(B9:B104)</f>
        <v>9.09</v>
      </c>
      <c r="C106" s="183">
        <f>MIN(C9:C104)</f>
        <v>4.0599999999999996</v>
      </c>
      <c r="D106" s="183">
        <f t="shared" ref="D106:Q106" si="0">MIN(D9:D104)</f>
        <v>14</v>
      </c>
      <c r="E106" s="183">
        <f t="shared" si="0"/>
        <v>7.11</v>
      </c>
      <c r="F106" s="183">
        <f t="shared" si="0"/>
        <v>3.5</v>
      </c>
      <c r="G106" s="183">
        <f t="shared" si="0"/>
        <v>19.489999999999998</v>
      </c>
      <c r="H106" s="183">
        <f t="shared" si="0"/>
        <v>5.88</v>
      </c>
      <c r="I106" s="183">
        <f t="shared" si="0"/>
        <v>3.52</v>
      </c>
      <c r="J106" s="183">
        <f t="shared" si="0"/>
        <v>0.04</v>
      </c>
      <c r="K106" s="183">
        <f t="shared" si="0"/>
        <v>126</v>
      </c>
      <c r="L106" s="183">
        <f t="shared" si="0"/>
        <v>25.04</v>
      </c>
      <c r="M106" s="183">
        <f t="shared" si="0"/>
        <v>62.67</v>
      </c>
      <c r="N106" s="183">
        <f t="shared" si="0"/>
        <v>2</v>
      </c>
      <c r="O106" s="183">
        <f t="shared" si="0"/>
        <v>0</v>
      </c>
      <c r="P106" s="183">
        <f t="shared" si="0"/>
        <v>0.28000000000000003</v>
      </c>
      <c r="Q106" s="183">
        <f t="shared" si="0"/>
        <v>4.62</v>
      </c>
      <c r="R106" s="187"/>
      <c r="S106" s="187"/>
      <c r="T106" s="187"/>
      <c r="U106" s="187"/>
    </row>
    <row r="107" spans="1:21">
      <c r="A107" s="182" t="s">
        <v>49</v>
      </c>
      <c r="B107" s="184">
        <f>MAX(B9:B104)</f>
        <v>9.3000000000000007</v>
      </c>
      <c r="C107" s="184">
        <f t="shared" ref="C107:Q107" si="1">MAX(C9:C104)</f>
        <v>4.33</v>
      </c>
      <c r="D107" s="184">
        <f t="shared" si="1"/>
        <v>14.04</v>
      </c>
      <c r="E107" s="184">
        <f t="shared" si="1"/>
        <v>12.81</v>
      </c>
      <c r="F107" s="184">
        <f t="shared" si="1"/>
        <v>14.77</v>
      </c>
      <c r="G107" s="184">
        <f t="shared" si="1"/>
        <v>49.63</v>
      </c>
      <c r="H107" s="184">
        <f t="shared" si="1"/>
        <v>16.75</v>
      </c>
      <c r="I107" s="184">
        <f t="shared" si="1"/>
        <v>5.63</v>
      </c>
      <c r="J107" s="184">
        <f t="shared" si="1"/>
        <v>0.82</v>
      </c>
      <c r="K107" s="184">
        <f t="shared" si="1"/>
        <v>278.64999999999998</v>
      </c>
      <c r="L107" s="184">
        <f t="shared" si="1"/>
        <v>33.729999999999997</v>
      </c>
      <c r="M107" s="184">
        <f t="shared" si="1"/>
        <v>99.28</v>
      </c>
      <c r="N107" s="184">
        <f t="shared" si="1"/>
        <v>843.3</v>
      </c>
      <c r="O107" s="184">
        <f t="shared" si="1"/>
        <v>0</v>
      </c>
      <c r="P107" s="184">
        <f t="shared" si="1"/>
        <v>0.47</v>
      </c>
      <c r="Q107" s="184">
        <f t="shared" si="1"/>
        <v>4.68</v>
      </c>
      <c r="R107" s="188"/>
      <c r="S107" s="188"/>
      <c r="T107" s="188"/>
      <c r="U107" s="188"/>
    </row>
    <row r="108" spans="1:21">
      <c r="A108" s="182" t="s">
        <v>50</v>
      </c>
      <c r="B108" s="183">
        <f>AVERAGE(B9:B104)</f>
        <v>9.1689583333333307</v>
      </c>
      <c r="C108" s="183">
        <f t="shared" ref="C108:Q108" si="2">AVERAGE(C9:C104)</f>
        <v>4.2089583333333342</v>
      </c>
      <c r="D108" s="183">
        <f t="shared" si="2"/>
        <v>14.001249999999999</v>
      </c>
      <c r="E108" s="183">
        <f t="shared" si="2"/>
        <v>9.7969791666666666</v>
      </c>
      <c r="F108" s="183">
        <f t="shared" si="2"/>
        <v>6.6551041666666668</v>
      </c>
      <c r="G108" s="183">
        <f t="shared" si="2"/>
        <v>29.492916666666677</v>
      </c>
      <c r="H108" s="183">
        <f t="shared" si="2"/>
        <v>10.570416666666665</v>
      </c>
      <c r="I108" s="183">
        <f t="shared" si="2"/>
        <v>4.6881250000000021</v>
      </c>
      <c r="J108" s="183">
        <f t="shared" si="2"/>
        <v>0.25375000000000009</v>
      </c>
      <c r="K108" s="183">
        <f t="shared" si="2"/>
        <v>217.37427083333338</v>
      </c>
      <c r="L108" s="183">
        <f t="shared" si="2"/>
        <v>28.923437500000006</v>
      </c>
      <c r="M108" s="183">
        <f t="shared" si="2"/>
        <v>83.46645833333335</v>
      </c>
      <c r="N108" s="183">
        <f t="shared" si="2"/>
        <v>119.18645833333341</v>
      </c>
      <c r="O108" s="183">
        <f t="shared" si="2"/>
        <v>0</v>
      </c>
      <c r="P108" s="183">
        <f t="shared" si="2"/>
        <v>0.37708333333333327</v>
      </c>
      <c r="Q108" s="183">
        <f t="shared" si="2"/>
        <v>4.6542708333333334</v>
      </c>
      <c r="R108" s="187"/>
      <c r="S108" s="187"/>
      <c r="T108" s="187"/>
      <c r="U108" s="187"/>
    </row>
    <row r="109" spans="1:21">
      <c r="A109" s="182" t="s">
        <v>51</v>
      </c>
      <c r="B109" s="183">
        <f>STDEV(B9:B104)</f>
        <v>4.2239397091656791E-2</v>
      </c>
      <c r="C109" s="183">
        <f t="shared" ref="C109:Q109" si="3">STDEV(C9:C104)</f>
        <v>5.8964381160273652E-2</v>
      </c>
      <c r="D109" s="183">
        <f t="shared" si="3"/>
        <v>6.1984717980787252E-3</v>
      </c>
      <c r="E109" s="183">
        <f t="shared" si="3"/>
        <v>1.3952619974996487</v>
      </c>
      <c r="F109" s="183">
        <f t="shared" si="3"/>
        <v>2.2730429383452933</v>
      </c>
      <c r="G109" s="183">
        <f t="shared" si="3"/>
        <v>8.1468629954520573</v>
      </c>
      <c r="H109" s="183">
        <f t="shared" si="3"/>
        <v>2.9362023150811161</v>
      </c>
      <c r="I109" s="183">
        <f t="shared" si="3"/>
        <v>0.59486807471552439</v>
      </c>
      <c r="J109" s="183">
        <f t="shared" si="3"/>
        <v>0.20685743883167465</v>
      </c>
      <c r="K109" s="183">
        <f t="shared" si="3"/>
        <v>38.201746384571628</v>
      </c>
      <c r="L109" s="183">
        <f t="shared" si="3"/>
        <v>2.7635053362389659</v>
      </c>
      <c r="M109" s="183">
        <f t="shared" si="3"/>
        <v>13.007672147351316</v>
      </c>
      <c r="N109" s="183">
        <f t="shared" si="3"/>
        <v>207.44489572428964</v>
      </c>
      <c r="O109" s="183">
        <f t="shared" si="3"/>
        <v>0</v>
      </c>
      <c r="P109" s="183">
        <f t="shared" si="3"/>
        <v>4.3332658564248276E-2</v>
      </c>
      <c r="Q109" s="183">
        <f t="shared" si="3"/>
        <v>1.5406409579793426E-2</v>
      </c>
      <c r="R109" s="187"/>
      <c r="S109" s="187"/>
      <c r="T109" s="187"/>
      <c r="U109" s="187"/>
    </row>
    <row r="110" spans="1:21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</row>
    <row r="111" spans="1:21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1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32"/>
      <c r="M113" s="2"/>
      <c r="N113" s="186"/>
      <c r="O113" s="186"/>
      <c r="P113" s="186"/>
      <c r="Q113" s="186"/>
      <c r="R113" s="186"/>
      <c r="S113" s="186"/>
      <c r="T113" s="186"/>
      <c r="U113" s="186"/>
    </row>
    <row r="114" spans="1:21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153" t="s">
        <v>55</v>
      </c>
      <c r="B115" s="190" t="s">
        <v>56</v>
      </c>
      <c r="C115" s="190"/>
      <c r="D115" s="190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32"/>
      <c r="B116" s="2"/>
      <c r="C116" s="2"/>
      <c r="D116" s="163"/>
      <c r="E116" s="163"/>
      <c r="F116" s="163"/>
      <c r="G116" s="163"/>
      <c r="H116" s="163"/>
      <c r="I116" s="16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ySplit="1" topLeftCell="A101" activePane="bottomLeft" state="frozen"/>
      <selection activeCell="A9" sqref="A9"/>
      <selection pane="bottomLef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45565.010416666664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45565.010416666664</v>
      </c>
      <c r="B9" s="112">
        <v>9.18</v>
      </c>
      <c r="C9" s="112">
        <v>4.1900000000000004</v>
      </c>
      <c r="D9" s="112">
        <v>14</v>
      </c>
      <c r="E9" s="112">
        <v>11.86</v>
      </c>
      <c r="F9" s="112">
        <v>6.42</v>
      </c>
      <c r="G9" s="112">
        <v>45.74</v>
      </c>
      <c r="H9" s="112">
        <v>15.97</v>
      </c>
      <c r="I9" s="112">
        <v>5.47</v>
      </c>
      <c r="J9" s="112">
        <v>0.13</v>
      </c>
      <c r="K9" s="112">
        <v>178.3</v>
      </c>
      <c r="L9" s="112">
        <v>27.21</v>
      </c>
      <c r="M9" s="112">
        <v>95.17</v>
      </c>
      <c r="N9" s="112">
        <v>2.1</v>
      </c>
      <c r="O9" s="112">
        <v>0</v>
      </c>
      <c r="P9" s="112">
        <v>0.47</v>
      </c>
      <c r="Q9" s="112">
        <v>4.66</v>
      </c>
    </row>
    <row r="10" spans="1:21" customFormat="1">
      <c r="A10" s="80">
        <v>45565.020833333336</v>
      </c>
      <c r="B10" s="112">
        <v>9.11</v>
      </c>
      <c r="C10" s="112">
        <v>4.3</v>
      </c>
      <c r="D10" s="112">
        <v>14</v>
      </c>
      <c r="E10" s="112">
        <v>11.78</v>
      </c>
      <c r="F10" s="112">
        <v>5.93</v>
      </c>
      <c r="G10" s="112">
        <v>45.74</v>
      </c>
      <c r="H10" s="112">
        <v>15.97</v>
      </c>
      <c r="I10" s="112">
        <v>5.53</v>
      </c>
      <c r="J10" s="112">
        <v>7.0000000000000007E-2</v>
      </c>
      <c r="K10" s="112">
        <v>172.95</v>
      </c>
      <c r="L10" s="112">
        <v>27.13</v>
      </c>
      <c r="M10" s="112">
        <v>94.78</v>
      </c>
      <c r="N10" s="112">
        <v>2.1</v>
      </c>
      <c r="O10" s="112">
        <v>0</v>
      </c>
      <c r="P10" s="112">
        <v>0.46</v>
      </c>
      <c r="Q10" s="112">
        <v>4.6500000000000004</v>
      </c>
    </row>
    <row r="11" spans="1:21" customFormat="1">
      <c r="A11" s="80">
        <v>45565.03125</v>
      </c>
      <c r="B11" s="112">
        <v>9.07</v>
      </c>
      <c r="C11" s="112">
        <v>4.3600000000000003</v>
      </c>
      <c r="D11" s="112">
        <v>14</v>
      </c>
      <c r="E11" s="112">
        <v>11.89</v>
      </c>
      <c r="F11" s="112">
        <v>5.62</v>
      </c>
      <c r="G11" s="112">
        <v>45.74</v>
      </c>
      <c r="H11" s="112">
        <v>15.97</v>
      </c>
      <c r="I11" s="112">
        <v>5.52</v>
      </c>
      <c r="J11" s="112">
        <v>0.12</v>
      </c>
      <c r="K11" s="112">
        <v>238.68</v>
      </c>
      <c r="L11" s="112">
        <v>27.14</v>
      </c>
      <c r="M11" s="112">
        <v>95.1</v>
      </c>
      <c r="N11" s="112">
        <v>2</v>
      </c>
      <c r="O11" s="112">
        <v>0</v>
      </c>
      <c r="P11" s="112">
        <v>0.46</v>
      </c>
      <c r="Q11" s="112">
        <v>4.6399999999999997</v>
      </c>
    </row>
    <row r="12" spans="1:21" customFormat="1">
      <c r="A12" s="80">
        <v>45565.041666666664</v>
      </c>
      <c r="B12" s="112">
        <v>9.06</v>
      </c>
      <c r="C12" s="112">
        <v>4.38</v>
      </c>
      <c r="D12" s="112">
        <v>14</v>
      </c>
      <c r="E12" s="112">
        <v>10.96</v>
      </c>
      <c r="F12" s="112">
        <v>6.05</v>
      </c>
      <c r="G12" s="112">
        <v>45.58</v>
      </c>
      <c r="H12" s="112">
        <v>15.97</v>
      </c>
      <c r="I12" s="112">
        <v>5.58</v>
      </c>
      <c r="J12" s="112">
        <v>7.0000000000000007E-2</v>
      </c>
      <c r="K12" s="112">
        <v>184.55</v>
      </c>
      <c r="L12" s="112">
        <v>27.09</v>
      </c>
      <c r="M12" s="112">
        <v>94.84</v>
      </c>
      <c r="N12" s="112">
        <v>2.1</v>
      </c>
      <c r="O12" s="112">
        <v>0</v>
      </c>
      <c r="P12" s="112">
        <v>0.46</v>
      </c>
      <c r="Q12" s="112">
        <v>4.6399999999999997</v>
      </c>
    </row>
    <row r="13" spans="1:21" customFormat="1">
      <c r="A13" s="80">
        <v>45565.052083333336</v>
      </c>
      <c r="B13" s="112">
        <v>9.06</v>
      </c>
      <c r="C13" s="112">
        <v>4.38</v>
      </c>
      <c r="D13" s="112">
        <v>14</v>
      </c>
      <c r="E13" s="112">
        <v>11.26</v>
      </c>
      <c r="F13" s="112">
        <v>6.11</v>
      </c>
      <c r="G13" s="112">
        <v>42.8</v>
      </c>
      <c r="H13" s="112">
        <v>16</v>
      </c>
      <c r="I13" s="112">
        <v>5.59</v>
      </c>
      <c r="J13" s="112">
        <v>0.13</v>
      </c>
      <c r="K13" s="112">
        <v>191.66</v>
      </c>
      <c r="L13" s="112">
        <v>27.04</v>
      </c>
      <c r="M13" s="112">
        <v>95.35</v>
      </c>
      <c r="N13" s="112">
        <v>2.1</v>
      </c>
      <c r="O13" s="112">
        <v>0</v>
      </c>
      <c r="P13" s="112">
        <v>0.46</v>
      </c>
      <c r="Q13" s="112">
        <v>4.6399999999999997</v>
      </c>
    </row>
    <row r="14" spans="1:21" customFormat="1">
      <c r="A14" s="80">
        <v>45565.0625</v>
      </c>
      <c r="B14" s="112">
        <v>9.06</v>
      </c>
      <c r="C14" s="112">
        <v>4.38</v>
      </c>
      <c r="D14" s="112">
        <v>14</v>
      </c>
      <c r="E14" s="112">
        <v>10.79</v>
      </c>
      <c r="F14" s="112">
        <v>5.26</v>
      </c>
      <c r="G14" s="112">
        <v>42.8</v>
      </c>
      <c r="H14" s="112">
        <v>16</v>
      </c>
      <c r="I14" s="112">
        <v>5.41</v>
      </c>
      <c r="J14" s="112">
        <v>0.13</v>
      </c>
      <c r="K14" s="112">
        <v>199.57</v>
      </c>
      <c r="L14" s="112">
        <v>26.82</v>
      </c>
      <c r="M14" s="112">
        <v>97.48</v>
      </c>
      <c r="N14" s="112">
        <v>2.1</v>
      </c>
      <c r="O14" s="112">
        <v>0</v>
      </c>
      <c r="P14" s="112">
        <v>0.46</v>
      </c>
      <c r="Q14" s="112">
        <v>4.6399999999999997</v>
      </c>
    </row>
    <row r="15" spans="1:21" customFormat="1">
      <c r="A15" s="80">
        <v>45565.072916666664</v>
      </c>
      <c r="B15" s="112">
        <v>9.0399999999999991</v>
      </c>
      <c r="C15" s="112">
        <v>4.41</v>
      </c>
      <c r="D15" s="112">
        <v>14</v>
      </c>
      <c r="E15" s="112">
        <v>11.43</v>
      </c>
      <c r="F15" s="112">
        <v>4.82</v>
      </c>
      <c r="G15" s="112">
        <v>42.8</v>
      </c>
      <c r="H15" s="112">
        <v>16</v>
      </c>
      <c r="I15" s="112">
        <v>5.51</v>
      </c>
      <c r="J15" s="112">
        <v>0.09</v>
      </c>
      <c r="K15" s="112">
        <v>195.42</v>
      </c>
      <c r="L15" s="112">
        <v>26.87</v>
      </c>
      <c r="M15" s="112">
        <v>97.53</v>
      </c>
      <c r="N15" s="112">
        <v>2.1</v>
      </c>
      <c r="O15" s="112">
        <v>0</v>
      </c>
      <c r="P15" s="112">
        <v>0.47</v>
      </c>
      <c r="Q15" s="112">
        <v>4.6500000000000004</v>
      </c>
    </row>
    <row r="16" spans="1:21" customFormat="1">
      <c r="A16" s="80">
        <v>45565.083333333336</v>
      </c>
      <c r="B16" s="112">
        <v>9.06</v>
      </c>
      <c r="C16" s="112">
        <v>4.37</v>
      </c>
      <c r="D16" s="112">
        <v>14</v>
      </c>
      <c r="E16" s="112">
        <v>11.12</v>
      </c>
      <c r="F16" s="112">
        <v>4.84</v>
      </c>
      <c r="G16" s="112">
        <v>42.69</v>
      </c>
      <c r="H16" s="112">
        <v>15.94</v>
      </c>
      <c r="I16" s="112">
        <v>5.61</v>
      </c>
      <c r="J16" s="112">
        <v>0.14000000000000001</v>
      </c>
      <c r="K16" s="112">
        <v>173.58</v>
      </c>
      <c r="L16" s="112">
        <v>26.73</v>
      </c>
      <c r="M16" s="112">
        <v>98.5</v>
      </c>
      <c r="N16" s="112">
        <v>2.1</v>
      </c>
      <c r="O16" s="112">
        <v>0</v>
      </c>
      <c r="P16" s="112">
        <v>0.47</v>
      </c>
      <c r="Q16" s="112">
        <v>4.6500000000000004</v>
      </c>
    </row>
    <row r="17" spans="1:17" customFormat="1">
      <c r="A17" s="80">
        <v>45565.09375</v>
      </c>
      <c r="B17" s="112">
        <v>9.07</v>
      </c>
      <c r="C17" s="112">
        <v>4.3600000000000003</v>
      </c>
      <c r="D17" s="112">
        <v>14</v>
      </c>
      <c r="E17" s="112">
        <v>8.08</v>
      </c>
      <c r="F17" s="112">
        <v>4.6900000000000004</v>
      </c>
      <c r="G17" s="112">
        <v>40.29</v>
      </c>
      <c r="H17" s="112">
        <v>14.88</v>
      </c>
      <c r="I17" s="112">
        <v>5.68</v>
      </c>
      <c r="J17" s="112">
        <v>0.1</v>
      </c>
      <c r="K17" s="112">
        <v>162.84</v>
      </c>
      <c r="L17" s="112">
        <v>26.69</v>
      </c>
      <c r="M17" s="112">
        <v>99.21</v>
      </c>
      <c r="N17" s="112">
        <v>2.1</v>
      </c>
      <c r="O17" s="112">
        <v>0</v>
      </c>
      <c r="P17" s="112">
        <v>0.47</v>
      </c>
      <c r="Q17" s="112">
        <v>4.6399999999999997</v>
      </c>
    </row>
    <row r="18" spans="1:17" customFormat="1">
      <c r="A18" s="80">
        <v>45565.104166666664</v>
      </c>
      <c r="B18" s="112">
        <v>9.0500000000000007</v>
      </c>
      <c r="C18" s="112">
        <v>4.3899999999999997</v>
      </c>
      <c r="D18" s="112">
        <v>14</v>
      </c>
      <c r="E18" s="112">
        <v>10.69</v>
      </c>
      <c r="F18" s="112">
        <v>4.5599999999999996</v>
      </c>
      <c r="G18" s="112">
        <v>40.29</v>
      </c>
      <c r="H18" s="112">
        <v>14.88</v>
      </c>
      <c r="I18" s="112">
        <v>5.39</v>
      </c>
      <c r="J18" s="112">
        <v>0.15</v>
      </c>
      <c r="K18" s="112">
        <v>172.18</v>
      </c>
      <c r="L18" s="112">
        <v>26.78</v>
      </c>
      <c r="M18" s="112">
        <v>98.88</v>
      </c>
      <c r="N18" s="112">
        <v>2</v>
      </c>
      <c r="O18" s="112">
        <v>0</v>
      </c>
      <c r="P18" s="112">
        <v>0.47</v>
      </c>
      <c r="Q18" s="112">
        <v>4.6399999999999997</v>
      </c>
    </row>
    <row r="19" spans="1:17" customFormat="1">
      <c r="A19" s="80">
        <v>45565.114583333336</v>
      </c>
      <c r="B19" s="112">
        <v>9.0299999999999994</v>
      </c>
      <c r="C19" s="112">
        <v>4.42</v>
      </c>
      <c r="D19" s="112">
        <v>14</v>
      </c>
      <c r="E19" s="112">
        <v>10.18</v>
      </c>
      <c r="F19" s="112">
        <v>4.49</v>
      </c>
      <c r="G19" s="112">
        <v>40.29</v>
      </c>
      <c r="H19" s="112">
        <v>14.88</v>
      </c>
      <c r="I19" s="112">
        <v>5.47</v>
      </c>
      <c r="J19" s="112">
        <v>0.1</v>
      </c>
      <c r="K19" s="112">
        <v>193.84</v>
      </c>
      <c r="L19" s="112">
        <v>26.62</v>
      </c>
      <c r="M19" s="112">
        <v>98.73</v>
      </c>
      <c r="N19" s="112">
        <v>2.1</v>
      </c>
      <c r="O19" s="112">
        <v>0</v>
      </c>
      <c r="P19" s="112">
        <v>0.46</v>
      </c>
      <c r="Q19" s="112">
        <v>4.6500000000000004</v>
      </c>
    </row>
    <row r="20" spans="1:17" customFormat="1">
      <c r="A20" s="80">
        <v>45565.125</v>
      </c>
      <c r="B20" s="112">
        <v>9.0399999999999991</v>
      </c>
      <c r="C20" s="112">
        <v>4.41</v>
      </c>
      <c r="D20" s="112">
        <v>14</v>
      </c>
      <c r="E20" s="112">
        <v>10.58</v>
      </c>
      <c r="F20" s="112">
        <v>4.3499999999999996</v>
      </c>
      <c r="G20" s="112">
        <v>39.89</v>
      </c>
      <c r="H20" s="112">
        <v>14.69</v>
      </c>
      <c r="I20" s="112">
        <v>5.53</v>
      </c>
      <c r="J20" s="112">
        <v>0.09</v>
      </c>
      <c r="K20" s="112">
        <v>177.55</v>
      </c>
      <c r="L20" s="112">
        <v>26.65</v>
      </c>
      <c r="M20" s="112">
        <v>98.33</v>
      </c>
      <c r="N20" s="112">
        <v>2.1</v>
      </c>
      <c r="O20" s="112">
        <v>0</v>
      </c>
      <c r="P20" s="112">
        <v>0.47</v>
      </c>
      <c r="Q20" s="112">
        <v>4.6500000000000004</v>
      </c>
    </row>
    <row r="21" spans="1:17" customFormat="1">
      <c r="A21" s="80">
        <v>45565.135416666664</v>
      </c>
      <c r="B21" s="112">
        <v>9.0299999999999994</v>
      </c>
      <c r="C21" s="112">
        <v>4.42</v>
      </c>
      <c r="D21" s="112">
        <v>14</v>
      </c>
      <c r="E21" s="112">
        <v>10.38</v>
      </c>
      <c r="F21" s="112">
        <v>4.43</v>
      </c>
      <c r="G21" s="112">
        <v>31.34</v>
      </c>
      <c r="H21" s="112">
        <v>10.65</v>
      </c>
      <c r="I21" s="112">
        <v>5.53</v>
      </c>
      <c r="J21" s="112">
        <v>0.12</v>
      </c>
      <c r="K21" s="112">
        <v>183.72</v>
      </c>
      <c r="L21" s="112">
        <v>26.48</v>
      </c>
      <c r="M21" s="112">
        <v>99.1</v>
      </c>
      <c r="N21" s="112">
        <v>2.1</v>
      </c>
      <c r="O21" s="112">
        <v>0</v>
      </c>
      <c r="P21" s="112">
        <v>0.47</v>
      </c>
      <c r="Q21" s="112">
        <v>4.6500000000000004</v>
      </c>
    </row>
    <row r="22" spans="1:17" customFormat="1">
      <c r="A22" s="80">
        <v>45565.145833333336</v>
      </c>
      <c r="B22" s="112">
        <v>9.0399999999999991</v>
      </c>
      <c r="C22" s="112">
        <v>4.4000000000000004</v>
      </c>
      <c r="D22" s="112">
        <v>14</v>
      </c>
      <c r="E22" s="112">
        <v>10.210000000000001</v>
      </c>
      <c r="F22" s="112">
        <v>4.21</v>
      </c>
      <c r="G22" s="112">
        <v>31.34</v>
      </c>
      <c r="H22" s="112">
        <v>10.65</v>
      </c>
      <c r="I22" s="112">
        <v>5.56</v>
      </c>
      <c r="J22" s="112">
        <v>7.0000000000000007E-2</v>
      </c>
      <c r="K22" s="112">
        <v>189.93</v>
      </c>
      <c r="L22" s="112">
        <v>26.4</v>
      </c>
      <c r="M22" s="112">
        <v>99.57</v>
      </c>
      <c r="N22" s="112">
        <v>2.1</v>
      </c>
      <c r="O22" s="112">
        <v>0</v>
      </c>
      <c r="P22" s="112">
        <v>0.46</v>
      </c>
      <c r="Q22" s="112">
        <v>4.6399999999999997</v>
      </c>
    </row>
    <row r="23" spans="1:17" customFormat="1">
      <c r="A23" s="80">
        <v>45565.15625</v>
      </c>
      <c r="B23" s="112">
        <v>9.0500000000000007</v>
      </c>
      <c r="C23" s="112">
        <v>4.38</v>
      </c>
      <c r="D23" s="112">
        <v>14</v>
      </c>
      <c r="E23" s="112">
        <v>9.75</v>
      </c>
      <c r="F23" s="112">
        <v>4.7300000000000004</v>
      </c>
      <c r="G23" s="112">
        <v>31.34</v>
      </c>
      <c r="H23" s="112">
        <v>10.65</v>
      </c>
      <c r="I23" s="112">
        <v>5.58</v>
      </c>
      <c r="J23" s="112">
        <v>0.14000000000000001</v>
      </c>
      <c r="K23" s="112">
        <v>166.32</v>
      </c>
      <c r="L23" s="112">
        <v>26.37</v>
      </c>
      <c r="M23" s="112">
        <v>100.98</v>
      </c>
      <c r="N23" s="112">
        <v>2.1</v>
      </c>
      <c r="O23" s="112">
        <v>0</v>
      </c>
      <c r="P23" s="112">
        <v>0.45</v>
      </c>
      <c r="Q23" s="112">
        <v>4.6399999999999997</v>
      </c>
    </row>
    <row r="24" spans="1:17" customFormat="1">
      <c r="A24" s="80">
        <v>45565.166666666664</v>
      </c>
      <c r="B24" s="112">
        <v>9.15</v>
      </c>
      <c r="C24" s="112">
        <v>4.24</v>
      </c>
      <c r="D24" s="112">
        <v>14</v>
      </c>
      <c r="E24" s="112">
        <v>9.5500000000000007</v>
      </c>
      <c r="F24" s="112">
        <v>5.97</v>
      </c>
      <c r="G24" s="112">
        <v>31.35</v>
      </c>
      <c r="H24" s="112">
        <v>10.8</v>
      </c>
      <c r="I24" s="112">
        <v>5.57</v>
      </c>
      <c r="J24" s="112">
        <v>0.1</v>
      </c>
      <c r="K24" s="112">
        <v>160.4</v>
      </c>
      <c r="L24" s="112">
        <v>26.38</v>
      </c>
      <c r="M24" s="112">
        <v>99.29</v>
      </c>
      <c r="N24" s="112">
        <v>2.1</v>
      </c>
      <c r="O24" s="112">
        <v>0</v>
      </c>
      <c r="P24" s="112">
        <v>0.41</v>
      </c>
      <c r="Q24" s="112">
        <v>4.68</v>
      </c>
    </row>
    <row r="25" spans="1:17" customFormat="1">
      <c r="A25" s="80">
        <v>45565.177083333336</v>
      </c>
      <c r="B25" s="112">
        <v>9.19</v>
      </c>
      <c r="C25" s="112">
        <v>4.17</v>
      </c>
      <c r="D25" s="112">
        <v>14</v>
      </c>
      <c r="E25" s="112">
        <v>9.4700000000000006</v>
      </c>
      <c r="F25" s="112">
        <v>5.58</v>
      </c>
      <c r="G25" s="112">
        <v>31.43</v>
      </c>
      <c r="H25" s="112">
        <v>13.15</v>
      </c>
      <c r="I25" s="112">
        <v>5.34</v>
      </c>
      <c r="J25" s="112">
        <v>0.14000000000000001</v>
      </c>
      <c r="K25" s="112">
        <v>188.07</v>
      </c>
      <c r="L25" s="112">
        <v>26.31</v>
      </c>
      <c r="M25" s="112">
        <v>99.93</v>
      </c>
      <c r="N25" s="112">
        <v>2.1</v>
      </c>
      <c r="O25" s="112">
        <v>0</v>
      </c>
      <c r="P25" s="112">
        <v>0.39</v>
      </c>
      <c r="Q25" s="112">
        <v>4.66</v>
      </c>
    </row>
    <row r="26" spans="1:17" customFormat="1">
      <c r="A26" s="80">
        <v>45565.1875</v>
      </c>
      <c r="B26" s="112">
        <v>9.18</v>
      </c>
      <c r="C26" s="112">
        <v>4.1900000000000004</v>
      </c>
      <c r="D26" s="112">
        <v>14</v>
      </c>
      <c r="E26" s="112">
        <v>10.09</v>
      </c>
      <c r="F26" s="112">
        <v>4.91</v>
      </c>
      <c r="G26" s="112">
        <v>31.43</v>
      </c>
      <c r="H26" s="112">
        <v>13.15</v>
      </c>
      <c r="I26" s="112">
        <v>4.99</v>
      </c>
      <c r="J26" s="112">
        <v>0.13</v>
      </c>
      <c r="K26" s="112">
        <v>196.15</v>
      </c>
      <c r="L26" s="112">
        <v>26.26</v>
      </c>
      <c r="M26" s="112">
        <v>100.5</v>
      </c>
      <c r="N26" s="112">
        <v>2.1</v>
      </c>
      <c r="O26" s="112">
        <v>0</v>
      </c>
      <c r="P26" s="112">
        <v>0.38</v>
      </c>
      <c r="Q26" s="112">
        <v>4.66</v>
      </c>
    </row>
    <row r="27" spans="1:17" customFormat="1">
      <c r="A27" s="80">
        <v>45565.197916666664</v>
      </c>
      <c r="B27" s="112">
        <v>9.1300000000000008</v>
      </c>
      <c r="C27" s="112">
        <v>4.2699999999999996</v>
      </c>
      <c r="D27" s="112">
        <v>14</v>
      </c>
      <c r="E27" s="112">
        <v>10.55</v>
      </c>
      <c r="F27" s="112">
        <v>4.5999999999999996</v>
      </c>
      <c r="G27" s="112">
        <v>31.43</v>
      </c>
      <c r="H27" s="112">
        <v>13.15</v>
      </c>
      <c r="I27" s="112">
        <v>4.9400000000000004</v>
      </c>
      <c r="J27" s="112">
        <v>0.09</v>
      </c>
      <c r="K27" s="112">
        <v>163.80000000000001</v>
      </c>
      <c r="L27" s="112">
        <v>26.23</v>
      </c>
      <c r="M27" s="112">
        <v>101</v>
      </c>
      <c r="N27" s="112">
        <v>2.1</v>
      </c>
      <c r="O27" s="112">
        <v>0</v>
      </c>
      <c r="P27" s="112">
        <v>0.39</v>
      </c>
      <c r="Q27" s="112">
        <v>4.6500000000000004</v>
      </c>
    </row>
    <row r="28" spans="1:17" customFormat="1">
      <c r="A28" s="80">
        <v>45565.208333333336</v>
      </c>
      <c r="B28" s="112">
        <v>9.11</v>
      </c>
      <c r="C28" s="112">
        <v>4.3</v>
      </c>
      <c r="D28" s="112">
        <v>14</v>
      </c>
      <c r="E28" s="112">
        <v>9.99</v>
      </c>
      <c r="F28" s="112">
        <v>4.6500000000000004</v>
      </c>
      <c r="G28" s="112">
        <v>31.19</v>
      </c>
      <c r="H28" s="112">
        <v>13.11</v>
      </c>
      <c r="I28" s="112">
        <v>4.9400000000000004</v>
      </c>
      <c r="J28" s="112">
        <v>0.08</v>
      </c>
      <c r="K28" s="112">
        <v>192.45</v>
      </c>
      <c r="L28" s="112">
        <v>26.22</v>
      </c>
      <c r="M28" s="112">
        <v>100.95</v>
      </c>
      <c r="N28" s="112">
        <v>2.1</v>
      </c>
      <c r="O28" s="112">
        <v>0</v>
      </c>
      <c r="P28" s="112">
        <v>0.38</v>
      </c>
      <c r="Q28" s="112">
        <v>4.66</v>
      </c>
    </row>
    <row r="29" spans="1:17" customFormat="1">
      <c r="A29" s="80">
        <v>45565.21875</v>
      </c>
      <c r="B29" s="112">
        <v>9.11</v>
      </c>
      <c r="C29" s="112">
        <v>4.3</v>
      </c>
      <c r="D29" s="112">
        <v>14</v>
      </c>
      <c r="E29" s="112">
        <v>9.99</v>
      </c>
      <c r="F29" s="112">
        <v>4.6500000000000004</v>
      </c>
      <c r="G29" s="112">
        <v>31.19</v>
      </c>
      <c r="H29" s="112">
        <v>13.11</v>
      </c>
      <c r="I29" s="112">
        <v>4.9400000000000004</v>
      </c>
      <c r="J29" s="112">
        <v>0.08</v>
      </c>
      <c r="K29" s="112">
        <v>192.45</v>
      </c>
      <c r="L29" s="112">
        <v>26.22</v>
      </c>
      <c r="M29" s="112">
        <v>100.95</v>
      </c>
      <c r="N29" s="112">
        <v>2.1</v>
      </c>
      <c r="O29" s="112">
        <v>0</v>
      </c>
      <c r="P29" s="112">
        <v>0.38</v>
      </c>
      <c r="Q29" s="112">
        <v>4.66</v>
      </c>
    </row>
    <row r="30" spans="1:17" customFormat="1">
      <c r="A30" s="80">
        <v>45565.229166666664</v>
      </c>
      <c r="B30" s="112">
        <v>9.1199999999999992</v>
      </c>
      <c r="C30" s="112">
        <v>4.28</v>
      </c>
      <c r="D30" s="112">
        <v>14</v>
      </c>
      <c r="E30" s="112">
        <v>10.75</v>
      </c>
      <c r="F30" s="112">
        <v>4.5599999999999996</v>
      </c>
      <c r="G30" s="112">
        <v>26.14</v>
      </c>
      <c r="H30" s="112">
        <v>12.36</v>
      </c>
      <c r="I30" s="112">
        <v>4.91</v>
      </c>
      <c r="J30" s="112">
        <v>0.09</v>
      </c>
      <c r="K30" s="112">
        <v>171.52</v>
      </c>
      <c r="L30" s="112">
        <v>26.13</v>
      </c>
      <c r="M30" s="112">
        <v>100.47</v>
      </c>
      <c r="N30" s="112">
        <v>2.1</v>
      </c>
      <c r="O30" s="112">
        <v>0</v>
      </c>
      <c r="P30" s="112">
        <v>0.38</v>
      </c>
      <c r="Q30" s="112">
        <v>4.67</v>
      </c>
    </row>
    <row r="31" spans="1:17" customFormat="1">
      <c r="A31" s="80">
        <v>45565.239583333336</v>
      </c>
      <c r="B31" s="112">
        <v>9.11</v>
      </c>
      <c r="C31" s="112">
        <v>4.29</v>
      </c>
      <c r="D31" s="112">
        <v>14</v>
      </c>
      <c r="E31" s="112">
        <v>10.64</v>
      </c>
      <c r="F31" s="112">
        <v>4.24</v>
      </c>
      <c r="G31" s="112">
        <v>26.14</v>
      </c>
      <c r="H31" s="112">
        <v>12.36</v>
      </c>
      <c r="I31" s="112">
        <v>4.79</v>
      </c>
      <c r="J31" s="112">
        <v>0.1</v>
      </c>
      <c r="K31" s="112">
        <v>197.97</v>
      </c>
      <c r="L31" s="112">
        <v>26.05</v>
      </c>
      <c r="M31" s="112">
        <v>100.71</v>
      </c>
      <c r="N31" s="112">
        <v>3.4</v>
      </c>
      <c r="O31" s="112">
        <v>0</v>
      </c>
      <c r="P31" s="112">
        <v>0.38</v>
      </c>
      <c r="Q31" s="112">
        <v>4.66</v>
      </c>
    </row>
    <row r="32" spans="1:17" customFormat="1">
      <c r="A32" s="80">
        <v>45565.25</v>
      </c>
      <c r="B32" s="112">
        <v>9.11</v>
      </c>
      <c r="C32" s="112">
        <v>4.29</v>
      </c>
      <c r="D32" s="112">
        <v>14</v>
      </c>
      <c r="E32" s="112">
        <v>10.88</v>
      </c>
      <c r="F32" s="112">
        <v>4.34</v>
      </c>
      <c r="G32" s="112">
        <v>26.29</v>
      </c>
      <c r="H32" s="112">
        <v>12.27</v>
      </c>
      <c r="I32" s="112">
        <v>4.7699999999999996</v>
      </c>
      <c r="J32" s="112">
        <v>0.08</v>
      </c>
      <c r="K32" s="112">
        <v>223.66</v>
      </c>
      <c r="L32" s="112">
        <v>26.08</v>
      </c>
      <c r="M32" s="112">
        <v>101.52</v>
      </c>
      <c r="N32" s="112">
        <v>7.4</v>
      </c>
      <c r="O32" s="112">
        <v>0</v>
      </c>
      <c r="P32" s="112">
        <v>0.38</v>
      </c>
      <c r="Q32" s="112">
        <v>4.66</v>
      </c>
    </row>
    <row r="33" spans="1:17" customFormat="1">
      <c r="A33" s="80">
        <v>45565.260416666664</v>
      </c>
      <c r="B33" s="112">
        <v>9.11</v>
      </c>
      <c r="C33" s="112">
        <v>4.29</v>
      </c>
      <c r="D33" s="112">
        <v>14</v>
      </c>
      <c r="E33" s="112">
        <v>11.4</v>
      </c>
      <c r="F33" s="112">
        <v>4.42</v>
      </c>
      <c r="G33" s="112">
        <v>29.58</v>
      </c>
      <c r="H33" s="112">
        <v>10.32</v>
      </c>
      <c r="I33" s="112">
        <v>4.7300000000000004</v>
      </c>
      <c r="J33" s="112">
        <v>0.08</v>
      </c>
      <c r="K33" s="112">
        <v>218.1</v>
      </c>
      <c r="L33" s="112">
        <v>26.18</v>
      </c>
      <c r="M33" s="112">
        <v>99.89</v>
      </c>
      <c r="N33" s="112">
        <v>15.1</v>
      </c>
      <c r="O33" s="112">
        <v>0</v>
      </c>
      <c r="P33" s="112">
        <v>0.38</v>
      </c>
      <c r="Q33" s="112">
        <v>4.67</v>
      </c>
    </row>
    <row r="34" spans="1:17" customFormat="1">
      <c r="A34" s="80">
        <v>45565.270833333336</v>
      </c>
      <c r="B34" s="112">
        <v>9.1300000000000008</v>
      </c>
      <c r="C34" s="112">
        <v>4.2699999999999996</v>
      </c>
      <c r="D34" s="112">
        <v>14</v>
      </c>
      <c r="E34" s="112">
        <v>11.78</v>
      </c>
      <c r="F34" s="112">
        <v>4.5</v>
      </c>
      <c r="G34" s="112">
        <v>29.58</v>
      </c>
      <c r="H34" s="112">
        <v>10.32</v>
      </c>
      <c r="I34" s="112">
        <v>4.84</v>
      </c>
      <c r="J34" s="112">
        <v>0.11</v>
      </c>
      <c r="K34" s="112">
        <v>244.56</v>
      </c>
      <c r="L34" s="112">
        <v>26.41</v>
      </c>
      <c r="M34" s="112">
        <v>100.6</v>
      </c>
      <c r="N34" s="112">
        <v>22.9</v>
      </c>
      <c r="O34" s="112">
        <v>0</v>
      </c>
      <c r="P34" s="112">
        <v>0.38</v>
      </c>
      <c r="Q34" s="112">
        <v>4.68</v>
      </c>
    </row>
    <row r="35" spans="1:17" customFormat="1">
      <c r="A35" s="80">
        <v>45565.28125</v>
      </c>
      <c r="B35" s="112">
        <v>9.1199999999999992</v>
      </c>
      <c r="C35" s="112">
        <v>4.29</v>
      </c>
      <c r="D35" s="112">
        <v>14</v>
      </c>
      <c r="E35" s="112">
        <v>11.16</v>
      </c>
      <c r="F35" s="112">
        <v>4.37</v>
      </c>
      <c r="G35" s="112">
        <v>29.58</v>
      </c>
      <c r="H35" s="112">
        <v>10.32</v>
      </c>
      <c r="I35" s="112">
        <v>4.8499999999999996</v>
      </c>
      <c r="J35" s="112">
        <v>0.25</v>
      </c>
      <c r="K35" s="112">
        <v>260.47000000000003</v>
      </c>
      <c r="L35" s="112">
        <v>26.79</v>
      </c>
      <c r="M35" s="112">
        <v>100.02</v>
      </c>
      <c r="N35" s="112">
        <v>29.5</v>
      </c>
      <c r="O35" s="112">
        <v>0</v>
      </c>
      <c r="P35" s="112">
        <v>0.38</v>
      </c>
      <c r="Q35" s="112">
        <v>4.6900000000000004</v>
      </c>
    </row>
    <row r="36" spans="1:17" customFormat="1">
      <c r="A36" s="80">
        <v>45565.291666666664</v>
      </c>
      <c r="B36" s="112">
        <v>9.1199999999999992</v>
      </c>
      <c r="C36" s="112">
        <v>4.28</v>
      </c>
      <c r="D36" s="112">
        <v>14</v>
      </c>
      <c r="E36" s="112">
        <v>11.24</v>
      </c>
      <c r="F36" s="112">
        <v>4.3600000000000003</v>
      </c>
      <c r="G36" s="112">
        <v>30.02</v>
      </c>
      <c r="H36" s="112">
        <v>10.42</v>
      </c>
      <c r="I36" s="112">
        <v>4.82</v>
      </c>
      <c r="J36" s="112">
        <v>0.21</v>
      </c>
      <c r="K36" s="112">
        <v>255.13</v>
      </c>
      <c r="L36" s="112">
        <v>27.2</v>
      </c>
      <c r="M36" s="112">
        <v>95.29</v>
      </c>
      <c r="N36" s="112">
        <v>38</v>
      </c>
      <c r="O36" s="112">
        <v>0</v>
      </c>
      <c r="P36" s="112">
        <v>0.38</v>
      </c>
      <c r="Q36" s="112">
        <v>4.66</v>
      </c>
    </row>
    <row r="37" spans="1:17" customFormat="1">
      <c r="A37" s="80">
        <v>45565.302083333336</v>
      </c>
      <c r="B37" s="112">
        <v>9.14</v>
      </c>
      <c r="C37" s="112">
        <v>4.26</v>
      </c>
      <c r="D37" s="112">
        <v>14</v>
      </c>
      <c r="E37" s="112">
        <v>11.64</v>
      </c>
      <c r="F37" s="112">
        <v>4.03</v>
      </c>
      <c r="G37" s="112">
        <v>39.619999999999997</v>
      </c>
      <c r="H37" s="112">
        <v>11.97</v>
      </c>
      <c r="I37" s="112">
        <v>4.79</v>
      </c>
      <c r="J37" s="112">
        <v>0.25</v>
      </c>
      <c r="K37" s="112">
        <v>260.42</v>
      </c>
      <c r="L37" s="112">
        <v>27.69</v>
      </c>
      <c r="M37" s="112">
        <v>93.52</v>
      </c>
      <c r="N37" s="112">
        <v>48.8</v>
      </c>
      <c r="O37" s="112">
        <v>0</v>
      </c>
      <c r="P37" s="112">
        <v>0.39</v>
      </c>
      <c r="Q37" s="112">
        <v>4.6500000000000004</v>
      </c>
    </row>
    <row r="38" spans="1:17" customFormat="1">
      <c r="A38" s="80">
        <v>45565.3125</v>
      </c>
      <c r="B38" s="112">
        <v>9.15</v>
      </c>
      <c r="C38" s="112">
        <v>4.24</v>
      </c>
      <c r="D38" s="112">
        <v>14</v>
      </c>
      <c r="E38" s="112">
        <v>11.56</v>
      </c>
      <c r="F38" s="112">
        <v>4.7300000000000004</v>
      </c>
      <c r="G38" s="112">
        <v>39.619999999999997</v>
      </c>
      <c r="H38" s="112">
        <v>11.97</v>
      </c>
      <c r="I38" s="112">
        <v>4.87</v>
      </c>
      <c r="J38" s="112">
        <v>0.26</v>
      </c>
      <c r="K38" s="112">
        <v>252.1</v>
      </c>
      <c r="L38" s="112">
        <v>28.05</v>
      </c>
      <c r="M38" s="112">
        <v>89.5</v>
      </c>
      <c r="N38" s="112">
        <v>73.900000000000006</v>
      </c>
      <c r="O38" s="112">
        <v>0</v>
      </c>
      <c r="P38" s="112">
        <v>0.38</v>
      </c>
      <c r="Q38" s="112">
        <v>4.6500000000000004</v>
      </c>
    </row>
    <row r="39" spans="1:17" customFormat="1">
      <c r="A39" s="80">
        <v>45565.322916666664</v>
      </c>
      <c r="B39" s="112">
        <v>9.1300000000000008</v>
      </c>
      <c r="C39" s="112">
        <v>4.26</v>
      </c>
      <c r="D39" s="112">
        <v>14</v>
      </c>
      <c r="E39" s="112">
        <v>11.35</v>
      </c>
      <c r="F39" s="112">
        <v>5.75</v>
      </c>
      <c r="G39" s="112">
        <v>39.619999999999997</v>
      </c>
      <c r="H39" s="112">
        <v>11.97</v>
      </c>
      <c r="I39" s="112">
        <v>4.9400000000000004</v>
      </c>
      <c r="J39" s="112">
        <v>0.48</v>
      </c>
      <c r="K39" s="112">
        <v>267.26</v>
      </c>
      <c r="L39" s="112">
        <v>28.56</v>
      </c>
      <c r="M39" s="112">
        <v>86.6</v>
      </c>
      <c r="N39" s="112">
        <v>109.6</v>
      </c>
      <c r="O39" s="112">
        <v>0</v>
      </c>
      <c r="P39" s="112">
        <v>0.36</v>
      </c>
      <c r="Q39" s="112">
        <v>4.66</v>
      </c>
    </row>
    <row r="40" spans="1:17" customFormat="1">
      <c r="A40" s="80">
        <v>45565.333333333336</v>
      </c>
      <c r="B40" s="112">
        <v>9.14</v>
      </c>
      <c r="C40" s="112">
        <v>4.24</v>
      </c>
      <c r="D40" s="112">
        <v>14</v>
      </c>
      <c r="E40" s="112">
        <v>11.01</v>
      </c>
      <c r="F40" s="112">
        <v>6.23</v>
      </c>
      <c r="G40" s="112">
        <v>39.119999999999997</v>
      </c>
      <c r="H40" s="112">
        <v>12.09</v>
      </c>
      <c r="I40" s="112">
        <v>4.83</v>
      </c>
      <c r="J40" s="112">
        <v>0.6</v>
      </c>
      <c r="K40" s="112">
        <v>267.87</v>
      </c>
      <c r="L40" s="112">
        <v>28.99</v>
      </c>
      <c r="M40" s="112">
        <v>87.37</v>
      </c>
      <c r="N40" s="112">
        <v>175.8</v>
      </c>
      <c r="O40" s="112">
        <v>0</v>
      </c>
      <c r="P40" s="112">
        <v>0.38</v>
      </c>
      <c r="Q40" s="112">
        <v>4.67</v>
      </c>
    </row>
    <row r="41" spans="1:17" customFormat="1">
      <c r="A41" s="80">
        <v>45565.34375</v>
      </c>
      <c r="B41" s="112">
        <v>9.1199999999999992</v>
      </c>
      <c r="C41" s="112">
        <v>4.2699999999999996</v>
      </c>
      <c r="D41" s="112">
        <v>14</v>
      </c>
      <c r="E41" s="112">
        <v>11.33</v>
      </c>
      <c r="F41" s="112">
        <v>7.15</v>
      </c>
      <c r="G41" s="112">
        <v>28.46</v>
      </c>
      <c r="H41" s="112">
        <v>13.86</v>
      </c>
      <c r="I41" s="112">
        <v>4.72</v>
      </c>
      <c r="J41" s="112">
        <v>0.5</v>
      </c>
      <c r="K41" s="112">
        <v>264.67</v>
      </c>
      <c r="L41" s="112">
        <v>29.67</v>
      </c>
      <c r="M41" s="112">
        <v>84.32</v>
      </c>
      <c r="N41" s="112">
        <v>252.9</v>
      </c>
      <c r="O41" s="112">
        <v>0</v>
      </c>
      <c r="P41" s="112">
        <v>0.37</v>
      </c>
      <c r="Q41" s="112">
        <v>4.68</v>
      </c>
    </row>
    <row r="42" spans="1:17" customFormat="1">
      <c r="A42" s="80">
        <v>45565.354166666664</v>
      </c>
      <c r="B42" s="112">
        <v>9.1199999999999992</v>
      </c>
      <c r="C42" s="112">
        <v>4.28</v>
      </c>
      <c r="D42" s="112">
        <v>14</v>
      </c>
      <c r="E42" s="112">
        <v>11.03</v>
      </c>
      <c r="F42" s="112">
        <v>6.46</v>
      </c>
      <c r="G42" s="112">
        <v>28.46</v>
      </c>
      <c r="H42" s="112">
        <v>13.86</v>
      </c>
      <c r="I42" s="112">
        <v>4.7300000000000004</v>
      </c>
      <c r="J42" s="112">
        <v>0.53</v>
      </c>
      <c r="K42" s="112">
        <v>272.52</v>
      </c>
      <c r="L42" s="112">
        <v>30.32</v>
      </c>
      <c r="M42" s="112">
        <v>81.349999999999994</v>
      </c>
      <c r="N42" s="112">
        <v>239.2</v>
      </c>
      <c r="O42" s="112">
        <v>0</v>
      </c>
      <c r="P42" s="112">
        <v>0.37</v>
      </c>
      <c r="Q42" s="112">
        <v>4.67</v>
      </c>
    </row>
    <row r="43" spans="1:17" customFormat="1">
      <c r="A43" s="80">
        <v>45565.364583333336</v>
      </c>
      <c r="B43" s="112">
        <v>9.14</v>
      </c>
      <c r="C43" s="112">
        <v>4.25</v>
      </c>
      <c r="D43" s="112">
        <v>14</v>
      </c>
      <c r="E43" s="112">
        <v>10.71</v>
      </c>
      <c r="F43" s="112">
        <v>6.64</v>
      </c>
      <c r="G43" s="112">
        <v>28.46</v>
      </c>
      <c r="H43" s="112">
        <v>13.86</v>
      </c>
      <c r="I43" s="112">
        <v>4.6100000000000003</v>
      </c>
      <c r="J43" s="112">
        <v>0.55000000000000004</v>
      </c>
      <c r="K43" s="112">
        <v>270.2</v>
      </c>
      <c r="L43" s="112">
        <v>30.75</v>
      </c>
      <c r="M43" s="112">
        <v>80.260000000000005</v>
      </c>
      <c r="N43" s="112">
        <v>149.1</v>
      </c>
      <c r="O43" s="112">
        <v>0</v>
      </c>
      <c r="P43" s="112">
        <v>0.38</v>
      </c>
      <c r="Q43" s="112">
        <v>4.6500000000000004</v>
      </c>
    </row>
    <row r="44" spans="1:17" customFormat="1">
      <c r="A44" s="80">
        <v>45565.375</v>
      </c>
      <c r="B44" s="112">
        <v>9.1199999999999992</v>
      </c>
      <c r="C44" s="112">
        <v>4.28</v>
      </c>
      <c r="D44" s="112">
        <v>14</v>
      </c>
      <c r="E44" s="112">
        <v>10.73</v>
      </c>
      <c r="F44" s="112">
        <v>6.77</v>
      </c>
      <c r="G44" s="112">
        <v>28.48</v>
      </c>
      <c r="H44" s="112">
        <v>13.64</v>
      </c>
      <c r="I44" s="112">
        <v>4.55</v>
      </c>
      <c r="J44" s="112">
        <v>0.62</v>
      </c>
      <c r="K44" s="112">
        <v>281.05</v>
      </c>
      <c r="L44" s="112">
        <v>30.95</v>
      </c>
      <c r="M44" s="112">
        <v>77.64</v>
      </c>
      <c r="N44" s="112">
        <v>224.6</v>
      </c>
      <c r="O44" s="112">
        <v>0</v>
      </c>
      <c r="P44" s="112">
        <v>0.4</v>
      </c>
      <c r="Q44" s="112">
        <v>4.6500000000000004</v>
      </c>
    </row>
    <row r="45" spans="1:17" customFormat="1">
      <c r="A45" s="80">
        <v>45565.385416666664</v>
      </c>
      <c r="B45" s="112">
        <v>9.1199999999999992</v>
      </c>
      <c r="C45" s="112">
        <v>4.2699999999999996</v>
      </c>
      <c r="D45" s="112">
        <v>14</v>
      </c>
      <c r="E45" s="112">
        <v>11.75</v>
      </c>
      <c r="F45" s="112">
        <v>6.85</v>
      </c>
      <c r="G45" s="112">
        <v>28.82</v>
      </c>
      <c r="H45" s="112">
        <v>10.07</v>
      </c>
      <c r="I45" s="112">
        <v>4.5599999999999996</v>
      </c>
      <c r="J45" s="112">
        <v>0.7</v>
      </c>
      <c r="K45" s="112">
        <v>277.99</v>
      </c>
      <c r="L45" s="112">
        <v>31</v>
      </c>
      <c r="M45" s="112">
        <v>76.36</v>
      </c>
      <c r="N45" s="112">
        <v>132.80000000000001</v>
      </c>
      <c r="O45" s="112">
        <v>0</v>
      </c>
      <c r="P45" s="112">
        <v>0.42</v>
      </c>
      <c r="Q45" s="112">
        <v>4.63</v>
      </c>
    </row>
    <row r="46" spans="1:17" customFormat="1">
      <c r="A46" s="80">
        <v>45565.395833333336</v>
      </c>
      <c r="B46" s="112">
        <v>9.15</v>
      </c>
      <c r="C46" s="112">
        <v>4.24</v>
      </c>
      <c r="D46" s="112">
        <v>14</v>
      </c>
      <c r="E46" s="112">
        <v>11.29</v>
      </c>
      <c r="F46" s="112">
        <v>6.61</v>
      </c>
      <c r="G46" s="112">
        <v>28.82</v>
      </c>
      <c r="H46" s="112">
        <v>10.07</v>
      </c>
      <c r="I46" s="112">
        <v>4.63</v>
      </c>
      <c r="J46" s="112">
        <v>0.68</v>
      </c>
      <c r="K46" s="112">
        <v>275.95999999999998</v>
      </c>
      <c r="L46" s="112">
        <v>31.56</v>
      </c>
      <c r="M46" s="112">
        <v>73.239999999999995</v>
      </c>
      <c r="N46" s="112">
        <v>147.19999999999999</v>
      </c>
      <c r="O46" s="112">
        <v>0</v>
      </c>
      <c r="P46" s="112">
        <v>0.45</v>
      </c>
      <c r="Q46" s="112">
        <v>4.6399999999999997</v>
      </c>
    </row>
    <row r="47" spans="1:17" customFormat="1">
      <c r="A47" s="80">
        <v>45565.40625</v>
      </c>
      <c r="B47" s="112">
        <v>9.1300000000000008</v>
      </c>
      <c r="C47" s="112">
        <v>4.26</v>
      </c>
      <c r="D47" s="112">
        <v>14</v>
      </c>
      <c r="E47" s="112">
        <v>10.98</v>
      </c>
      <c r="F47" s="112">
        <v>5.96</v>
      </c>
      <c r="G47" s="112">
        <v>28.82</v>
      </c>
      <c r="H47" s="112">
        <v>10.07</v>
      </c>
      <c r="I47" s="112">
        <v>4.8</v>
      </c>
      <c r="J47" s="112">
        <v>0.61</v>
      </c>
      <c r="K47" s="112">
        <v>280.06</v>
      </c>
      <c r="L47" s="112">
        <v>31.56</v>
      </c>
      <c r="M47" s="112">
        <v>72.91</v>
      </c>
      <c r="N47" s="112">
        <v>186.9</v>
      </c>
      <c r="O47" s="112">
        <v>0</v>
      </c>
      <c r="P47" s="112">
        <v>0.48</v>
      </c>
      <c r="Q47" s="112">
        <v>4.6500000000000004</v>
      </c>
    </row>
    <row r="48" spans="1:17" customFormat="1">
      <c r="A48" s="80">
        <v>45565.416666666664</v>
      </c>
      <c r="B48" s="112">
        <v>9.14</v>
      </c>
      <c r="C48" s="112">
        <v>4.25</v>
      </c>
      <c r="D48" s="112">
        <v>14</v>
      </c>
      <c r="E48" s="112">
        <v>11.21</v>
      </c>
      <c r="F48" s="112">
        <v>5.87</v>
      </c>
      <c r="G48" s="112">
        <v>29.26</v>
      </c>
      <c r="H48" s="112">
        <v>10.42</v>
      </c>
      <c r="I48" s="112">
        <v>5.15</v>
      </c>
      <c r="J48" s="112">
        <v>0.64</v>
      </c>
      <c r="K48" s="112">
        <v>265.64</v>
      </c>
      <c r="L48" s="112">
        <v>31.3</v>
      </c>
      <c r="M48" s="112">
        <v>75.22</v>
      </c>
      <c r="N48" s="112">
        <v>161.4</v>
      </c>
      <c r="O48" s="112">
        <v>0</v>
      </c>
      <c r="P48" s="112">
        <v>0.5</v>
      </c>
      <c r="Q48" s="112">
        <v>4.6500000000000004</v>
      </c>
    </row>
    <row r="49" spans="1:17" customFormat="1">
      <c r="A49" s="80">
        <v>45565.427083333336</v>
      </c>
      <c r="B49" s="112">
        <v>9.1300000000000008</v>
      </c>
      <c r="C49" s="112">
        <v>4.2699999999999996</v>
      </c>
      <c r="D49" s="112">
        <v>14</v>
      </c>
      <c r="E49" s="112">
        <v>10.01</v>
      </c>
      <c r="F49" s="112">
        <v>5.78</v>
      </c>
      <c r="G49" s="112">
        <v>38.72</v>
      </c>
      <c r="H49" s="112">
        <v>15.88</v>
      </c>
      <c r="I49" s="112">
        <v>5.63</v>
      </c>
      <c r="J49" s="112">
        <v>0.63</v>
      </c>
      <c r="K49" s="112">
        <v>266.02</v>
      </c>
      <c r="L49" s="112">
        <v>31.46</v>
      </c>
      <c r="M49" s="112">
        <v>77.819999999999993</v>
      </c>
      <c r="N49" s="112">
        <v>166.8</v>
      </c>
      <c r="O49" s="112">
        <v>0</v>
      </c>
      <c r="P49" s="112">
        <v>0.52</v>
      </c>
      <c r="Q49" s="112">
        <v>4.6399999999999997</v>
      </c>
    </row>
    <row r="50" spans="1:17" customFormat="1">
      <c r="A50" s="80">
        <v>45565.4375</v>
      </c>
      <c r="B50" s="112">
        <v>9.11</v>
      </c>
      <c r="C50" s="112">
        <v>4.29</v>
      </c>
      <c r="D50" s="112">
        <v>14</v>
      </c>
      <c r="E50" s="112">
        <v>11.35</v>
      </c>
      <c r="F50" s="112">
        <v>6.4</v>
      </c>
      <c r="G50" s="112">
        <v>38.72</v>
      </c>
      <c r="H50" s="112">
        <v>15.88</v>
      </c>
      <c r="I50" s="112">
        <v>5.63</v>
      </c>
      <c r="J50" s="112">
        <v>0.68</v>
      </c>
      <c r="K50" s="112">
        <v>265.14999999999998</v>
      </c>
      <c r="L50" s="112">
        <v>32.270000000000003</v>
      </c>
      <c r="M50" s="112">
        <v>73.87</v>
      </c>
      <c r="N50" s="112">
        <v>411.9</v>
      </c>
      <c r="O50" s="112">
        <v>0</v>
      </c>
      <c r="P50" s="112">
        <v>0.53</v>
      </c>
      <c r="Q50" s="112">
        <v>4.6399999999999997</v>
      </c>
    </row>
    <row r="51" spans="1:17" customFormat="1">
      <c r="A51" s="80">
        <v>45565.447916666664</v>
      </c>
      <c r="B51" s="112">
        <v>9.1199999999999992</v>
      </c>
      <c r="C51" s="112">
        <v>4.28</v>
      </c>
      <c r="D51" s="112">
        <v>14</v>
      </c>
      <c r="E51" s="112">
        <v>10.86</v>
      </c>
      <c r="F51" s="112">
        <v>5.72</v>
      </c>
      <c r="G51" s="112">
        <v>38.72</v>
      </c>
      <c r="H51" s="112">
        <v>15.88</v>
      </c>
      <c r="I51" s="112">
        <v>5.85</v>
      </c>
      <c r="J51" s="112">
        <v>0.7</v>
      </c>
      <c r="K51" s="112">
        <v>263.07</v>
      </c>
      <c r="L51" s="112">
        <v>32.68</v>
      </c>
      <c r="M51" s="112">
        <v>69.92</v>
      </c>
      <c r="N51" s="112">
        <v>352</v>
      </c>
      <c r="O51" s="112">
        <v>0</v>
      </c>
      <c r="P51" s="112">
        <v>0.54</v>
      </c>
      <c r="Q51" s="112">
        <v>4.63</v>
      </c>
    </row>
    <row r="52" spans="1:17" customFormat="1">
      <c r="A52" s="80">
        <v>45565.458333333336</v>
      </c>
      <c r="B52" s="112">
        <v>9.1300000000000008</v>
      </c>
      <c r="C52" s="112">
        <v>4.2699999999999996</v>
      </c>
      <c r="D52" s="112">
        <v>14</v>
      </c>
      <c r="E52" s="112">
        <v>11.05</v>
      </c>
      <c r="F52" s="112">
        <v>5.64</v>
      </c>
      <c r="G52" s="112">
        <v>38.9</v>
      </c>
      <c r="H52" s="112">
        <v>16</v>
      </c>
      <c r="I52" s="112">
        <v>6.24</v>
      </c>
      <c r="J52" s="112">
        <v>0.66</v>
      </c>
      <c r="K52" s="112">
        <v>270.64</v>
      </c>
      <c r="L52" s="112">
        <v>31.94</v>
      </c>
      <c r="M52" s="112">
        <v>72.2</v>
      </c>
      <c r="N52" s="112">
        <v>297.5</v>
      </c>
      <c r="O52" s="112">
        <v>0</v>
      </c>
      <c r="P52" s="112">
        <v>0.55000000000000004</v>
      </c>
      <c r="Q52" s="112">
        <v>4.6399999999999997</v>
      </c>
    </row>
    <row r="53" spans="1:17" customFormat="1">
      <c r="A53" s="80">
        <v>45565.46875</v>
      </c>
      <c r="B53" s="112">
        <v>9.1199999999999992</v>
      </c>
      <c r="C53" s="112">
        <v>4.29</v>
      </c>
      <c r="D53" s="112">
        <v>14</v>
      </c>
      <c r="E53" s="112">
        <v>11.31</v>
      </c>
      <c r="F53" s="112">
        <v>6.07</v>
      </c>
      <c r="G53" s="112">
        <v>42.74</v>
      </c>
      <c r="H53" s="112">
        <v>17.82</v>
      </c>
      <c r="I53" s="112">
        <v>6.35</v>
      </c>
      <c r="J53" s="112">
        <v>0.85</v>
      </c>
      <c r="K53" s="112">
        <v>269.45999999999998</v>
      </c>
      <c r="L53" s="112">
        <v>32.380000000000003</v>
      </c>
      <c r="M53" s="112">
        <v>69.52</v>
      </c>
      <c r="N53" s="112">
        <v>359.9</v>
      </c>
      <c r="O53" s="112">
        <v>0</v>
      </c>
      <c r="P53" s="112">
        <v>0.54</v>
      </c>
      <c r="Q53" s="112">
        <v>4.63</v>
      </c>
    </row>
    <row r="54" spans="1:17" customFormat="1">
      <c r="A54" s="80">
        <v>45565.479166666664</v>
      </c>
      <c r="B54" s="112">
        <v>9.1199999999999992</v>
      </c>
      <c r="C54" s="112">
        <v>4.28</v>
      </c>
      <c r="D54" s="112">
        <v>14</v>
      </c>
      <c r="E54" s="112">
        <v>11.06</v>
      </c>
      <c r="F54" s="112">
        <v>5.42</v>
      </c>
      <c r="G54" s="112">
        <v>42.74</v>
      </c>
      <c r="H54" s="112">
        <v>17.82</v>
      </c>
      <c r="I54" s="112">
        <v>6.38</v>
      </c>
      <c r="J54" s="112">
        <v>0.63</v>
      </c>
      <c r="K54" s="112">
        <v>280.75</v>
      </c>
      <c r="L54" s="112">
        <v>31.91</v>
      </c>
      <c r="M54" s="112">
        <v>72.8</v>
      </c>
      <c r="N54" s="112">
        <v>342.1</v>
      </c>
      <c r="O54" s="112">
        <v>0</v>
      </c>
      <c r="P54" s="112">
        <v>0.56000000000000005</v>
      </c>
      <c r="Q54" s="112">
        <v>4.6399999999999997</v>
      </c>
    </row>
    <row r="55" spans="1:17" customFormat="1">
      <c r="A55" s="80">
        <v>45565.489583333336</v>
      </c>
      <c r="B55" s="112">
        <v>9.14</v>
      </c>
      <c r="C55" s="112">
        <v>4.25</v>
      </c>
      <c r="D55" s="112">
        <v>14</v>
      </c>
      <c r="E55" s="112">
        <v>11.11</v>
      </c>
      <c r="F55" s="112">
        <v>5.22</v>
      </c>
      <c r="G55" s="112">
        <v>42.74</v>
      </c>
      <c r="H55" s="112">
        <v>17.82</v>
      </c>
      <c r="I55" s="112">
        <v>6.46</v>
      </c>
      <c r="J55" s="112">
        <v>0.69</v>
      </c>
      <c r="K55" s="112">
        <v>302.51</v>
      </c>
      <c r="L55" s="112">
        <v>31.46</v>
      </c>
      <c r="M55" s="112">
        <v>74.599999999999994</v>
      </c>
      <c r="N55" s="112">
        <v>226.9</v>
      </c>
      <c r="O55" s="112">
        <v>0</v>
      </c>
      <c r="P55" s="112">
        <v>0.56999999999999995</v>
      </c>
      <c r="Q55" s="112">
        <v>4.63</v>
      </c>
    </row>
    <row r="56" spans="1:17" customFormat="1">
      <c r="A56" s="80">
        <v>45565.5</v>
      </c>
      <c r="B56" s="112">
        <v>9.11</v>
      </c>
      <c r="C56" s="112">
        <v>4.3</v>
      </c>
      <c r="D56" s="112">
        <v>14</v>
      </c>
      <c r="E56" s="112">
        <v>10.67</v>
      </c>
      <c r="F56" s="112">
        <v>5.15</v>
      </c>
      <c r="G56" s="112">
        <v>42.7</v>
      </c>
      <c r="H56" s="112">
        <v>17.79</v>
      </c>
      <c r="I56" s="112">
        <v>6.57</v>
      </c>
      <c r="J56" s="112">
        <v>0.56999999999999995</v>
      </c>
      <c r="K56" s="112">
        <v>301.43</v>
      </c>
      <c r="L56" s="112">
        <v>31.62</v>
      </c>
      <c r="M56" s="112">
        <v>74.3</v>
      </c>
      <c r="N56" s="112">
        <v>479</v>
      </c>
      <c r="O56" s="112">
        <v>0</v>
      </c>
      <c r="P56" s="112">
        <v>0.56999999999999995</v>
      </c>
      <c r="Q56" s="112">
        <v>4.62</v>
      </c>
    </row>
    <row r="57" spans="1:17" customFormat="1">
      <c r="A57" s="80">
        <v>45565.510416666664</v>
      </c>
      <c r="B57" s="112">
        <v>9.1</v>
      </c>
      <c r="C57" s="112">
        <v>4.32</v>
      </c>
      <c r="D57" s="112">
        <v>14</v>
      </c>
      <c r="E57" s="112">
        <v>10.92</v>
      </c>
      <c r="F57" s="112">
        <v>5.09</v>
      </c>
      <c r="G57" s="112">
        <v>41.81</v>
      </c>
      <c r="H57" s="112">
        <v>17.25</v>
      </c>
      <c r="I57" s="112">
        <v>6.67</v>
      </c>
      <c r="J57" s="112">
        <v>0.55000000000000004</v>
      </c>
      <c r="K57" s="112">
        <v>297.08999999999997</v>
      </c>
      <c r="L57" s="112">
        <v>31.84</v>
      </c>
      <c r="M57" s="112">
        <v>74.33</v>
      </c>
      <c r="N57" s="112">
        <v>322.3</v>
      </c>
      <c r="O57" s="112">
        <v>0</v>
      </c>
      <c r="P57" s="112">
        <v>0.57999999999999996</v>
      </c>
      <c r="Q57" s="112">
        <v>4.6100000000000003</v>
      </c>
    </row>
    <row r="58" spans="1:17" customFormat="1">
      <c r="A58" s="80">
        <v>45565.520833333336</v>
      </c>
      <c r="B58" s="112">
        <v>9.08</v>
      </c>
      <c r="C58" s="112">
        <v>4.34</v>
      </c>
      <c r="D58" s="112">
        <v>14</v>
      </c>
      <c r="E58" s="112">
        <v>10.89</v>
      </c>
      <c r="F58" s="112">
        <v>5.0599999999999996</v>
      </c>
      <c r="G58" s="112">
        <v>41.81</v>
      </c>
      <c r="H58" s="112">
        <v>17.25</v>
      </c>
      <c r="I58" s="112">
        <v>6.79</v>
      </c>
      <c r="J58" s="112">
        <v>0.5</v>
      </c>
      <c r="K58" s="112">
        <v>305.95999999999998</v>
      </c>
      <c r="L58" s="112">
        <v>31.92</v>
      </c>
      <c r="M58" s="112">
        <v>73.69</v>
      </c>
      <c r="N58" s="112">
        <v>145.9</v>
      </c>
      <c r="O58" s="112">
        <v>0</v>
      </c>
      <c r="P58" s="112">
        <v>0.59</v>
      </c>
      <c r="Q58" s="112">
        <v>4.63</v>
      </c>
    </row>
    <row r="59" spans="1:17" customFormat="1">
      <c r="A59" s="80">
        <v>45565.53125</v>
      </c>
      <c r="B59" s="112">
        <v>9.1</v>
      </c>
      <c r="C59" s="112">
        <v>4.32</v>
      </c>
      <c r="D59" s="112">
        <v>14</v>
      </c>
      <c r="E59" s="112">
        <v>11.02</v>
      </c>
      <c r="F59" s="112">
        <v>4.9000000000000004</v>
      </c>
      <c r="G59" s="112">
        <v>41.81</v>
      </c>
      <c r="H59" s="112">
        <v>17.25</v>
      </c>
      <c r="I59" s="112">
        <v>7.15</v>
      </c>
      <c r="J59" s="112">
        <v>0.48</v>
      </c>
      <c r="K59" s="112">
        <v>303.89</v>
      </c>
      <c r="L59" s="112">
        <v>31.64</v>
      </c>
      <c r="M59" s="112">
        <v>74.62</v>
      </c>
      <c r="N59" s="112">
        <v>308.60000000000002</v>
      </c>
      <c r="O59" s="112">
        <v>0</v>
      </c>
      <c r="P59" s="112">
        <v>0.6</v>
      </c>
      <c r="Q59" s="112">
        <v>4.62</v>
      </c>
    </row>
    <row r="60" spans="1:17" customFormat="1">
      <c r="A60" s="80">
        <v>45565.541666666664</v>
      </c>
      <c r="B60" s="112">
        <v>9.1199999999999992</v>
      </c>
      <c r="C60" s="112">
        <v>4.28</v>
      </c>
      <c r="D60" s="112">
        <v>14</v>
      </c>
      <c r="E60" s="112">
        <v>11.69</v>
      </c>
      <c r="F60" s="112">
        <v>4.76</v>
      </c>
      <c r="G60" s="112">
        <v>42.22</v>
      </c>
      <c r="H60" s="112">
        <v>17.23</v>
      </c>
      <c r="I60" s="112">
        <v>7.32</v>
      </c>
      <c r="J60" s="112">
        <v>0.74</v>
      </c>
      <c r="K60" s="112">
        <v>278.89999999999998</v>
      </c>
      <c r="L60" s="112">
        <v>32.590000000000003</v>
      </c>
      <c r="M60" s="112">
        <v>70.489999999999995</v>
      </c>
      <c r="N60" s="112">
        <v>438.2</v>
      </c>
      <c r="O60" s="112">
        <v>0</v>
      </c>
      <c r="P60" s="112">
        <v>0.6</v>
      </c>
      <c r="Q60" s="112">
        <v>4.62</v>
      </c>
    </row>
    <row r="61" spans="1:17" customFormat="1">
      <c r="A61" s="80">
        <v>45565.552083333336</v>
      </c>
      <c r="B61" s="112">
        <v>9.15</v>
      </c>
      <c r="C61" s="112">
        <v>4.24</v>
      </c>
      <c r="D61" s="112">
        <v>14</v>
      </c>
      <c r="E61" s="112">
        <v>11.35</v>
      </c>
      <c r="F61" s="112">
        <v>8.69</v>
      </c>
      <c r="G61" s="112">
        <v>51.05</v>
      </c>
      <c r="H61" s="112">
        <v>16.86</v>
      </c>
      <c r="I61" s="112">
        <v>7.44</v>
      </c>
      <c r="J61" s="112">
        <v>0.37</v>
      </c>
      <c r="K61" s="112">
        <v>258.64</v>
      </c>
      <c r="L61" s="112">
        <v>32.799999999999997</v>
      </c>
      <c r="M61" s="112">
        <v>72.56</v>
      </c>
      <c r="N61" s="112">
        <v>301.2</v>
      </c>
      <c r="O61" s="112">
        <v>0</v>
      </c>
      <c r="P61" s="112">
        <v>0.57999999999999996</v>
      </c>
      <c r="Q61" s="112">
        <v>4.6399999999999997</v>
      </c>
    </row>
    <row r="62" spans="1:17" customFormat="1">
      <c r="A62" s="80">
        <v>45565.5625</v>
      </c>
      <c r="B62" s="112">
        <v>9.16</v>
      </c>
      <c r="C62" s="112">
        <v>4.22</v>
      </c>
      <c r="D62" s="112">
        <v>14</v>
      </c>
      <c r="E62" s="112">
        <v>11.08</v>
      </c>
      <c r="F62" s="112">
        <v>12.06</v>
      </c>
      <c r="G62" s="112">
        <v>51.05</v>
      </c>
      <c r="H62" s="112">
        <v>16.86</v>
      </c>
      <c r="I62" s="112">
        <v>7.41</v>
      </c>
      <c r="J62" s="112">
        <v>0.25</v>
      </c>
      <c r="K62" s="112">
        <v>295</v>
      </c>
      <c r="L62" s="112">
        <v>32.99</v>
      </c>
      <c r="M62" s="112">
        <v>69.17</v>
      </c>
      <c r="N62" s="112">
        <v>170.5</v>
      </c>
      <c r="O62" s="112">
        <v>0</v>
      </c>
      <c r="P62" s="112">
        <v>0.51</v>
      </c>
      <c r="Q62" s="112">
        <v>4.66</v>
      </c>
    </row>
    <row r="63" spans="1:17" customFormat="1">
      <c r="A63" s="80">
        <v>45565.572916666664</v>
      </c>
      <c r="B63" s="112">
        <v>9.2100000000000009</v>
      </c>
      <c r="C63" s="112">
        <v>4.1399999999999997</v>
      </c>
      <c r="D63" s="112">
        <v>14</v>
      </c>
      <c r="E63" s="112">
        <v>10.49</v>
      </c>
      <c r="F63" s="112">
        <v>14.26</v>
      </c>
      <c r="G63" s="112">
        <v>51.05</v>
      </c>
      <c r="H63" s="112">
        <v>16.86</v>
      </c>
      <c r="I63" s="112">
        <v>6.95</v>
      </c>
      <c r="J63" s="112">
        <v>0.38</v>
      </c>
      <c r="K63" s="112">
        <v>288.75</v>
      </c>
      <c r="L63" s="112">
        <v>32.65</v>
      </c>
      <c r="M63" s="112">
        <v>69.08</v>
      </c>
      <c r="N63" s="112">
        <v>204.1</v>
      </c>
      <c r="O63" s="112">
        <v>0</v>
      </c>
      <c r="P63" s="112">
        <v>0.48</v>
      </c>
      <c r="Q63" s="112">
        <v>4.68</v>
      </c>
    </row>
    <row r="64" spans="1:17" customFormat="1">
      <c r="A64" s="80">
        <v>45565.583333333336</v>
      </c>
      <c r="B64" s="112">
        <v>9.2200000000000006</v>
      </c>
      <c r="C64" s="112">
        <v>4.13</v>
      </c>
      <c r="D64" s="112">
        <v>14</v>
      </c>
      <c r="E64" s="112">
        <v>11.13</v>
      </c>
      <c r="F64" s="112">
        <v>11.22</v>
      </c>
      <c r="G64" s="112">
        <v>50.84</v>
      </c>
      <c r="H64" s="112">
        <v>16.73</v>
      </c>
      <c r="I64" s="112">
        <v>6.46</v>
      </c>
      <c r="J64" s="112">
        <v>0.37</v>
      </c>
      <c r="K64" s="112">
        <v>303.43</v>
      </c>
      <c r="L64" s="112">
        <v>31.96</v>
      </c>
      <c r="M64" s="112">
        <v>72.87</v>
      </c>
      <c r="N64" s="112">
        <v>92.2</v>
      </c>
      <c r="O64" s="112">
        <v>0</v>
      </c>
      <c r="P64" s="112">
        <v>0.47</v>
      </c>
      <c r="Q64" s="112">
        <v>4.6900000000000004</v>
      </c>
    </row>
    <row r="65" spans="1:17" customFormat="1">
      <c r="A65" s="80">
        <v>45565.59375</v>
      </c>
      <c r="B65" s="112">
        <v>9.18</v>
      </c>
      <c r="C65" s="112">
        <v>4.1900000000000004</v>
      </c>
      <c r="D65" s="112">
        <v>14</v>
      </c>
      <c r="E65" s="112">
        <v>11.66</v>
      </c>
      <c r="F65" s="112">
        <v>15.09</v>
      </c>
      <c r="G65" s="112">
        <v>46.37</v>
      </c>
      <c r="H65" s="112">
        <v>14.69</v>
      </c>
      <c r="I65" s="112">
        <v>6.39</v>
      </c>
      <c r="J65" s="112">
        <v>0.4</v>
      </c>
      <c r="K65" s="112">
        <v>316.39</v>
      </c>
      <c r="L65" s="112">
        <v>32.200000000000003</v>
      </c>
      <c r="M65" s="112">
        <v>71.2</v>
      </c>
      <c r="N65" s="112">
        <v>185</v>
      </c>
      <c r="O65" s="112">
        <v>0</v>
      </c>
      <c r="P65" s="112">
        <v>0.46</v>
      </c>
      <c r="Q65" s="112">
        <v>4.68</v>
      </c>
    </row>
    <row r="66" spans="1:17" customFormat="1">
      <c r="A66" s="80">
        <v>45565.604166666664</v>
      </c>
      <c r="B66" s="112">
        <v>9.1300000000000008</v>
      </c>
      <c r="C66" s="112">
        <v>4.2699999999999996</v>
      </c>
      <c r="D66" s="112">
        <v>14</v>
      </c>
      <c r="E66" s="112">
        <v>11.36</v>
      </c>
      <c r="F66" s="112">
        <v>10.64</v>
      </c>
      <c r="G66" s="112">
        <v>46.37</v>
      </c>
      <c r="H66" s="112">
        <v>14.69</v>
      </c>
      <c r="I66" s="112">
        <v>6.49</v>
      </c>
      <c r="J66" s="112">
        <v>0.4</v>
      </c>
      <c r="K66" s="112">
        <v>295.77</v>
      </c>
      <c r="L66" s="112">
        <v>32.46</v>
      </c>
      <c r="M66" s="112">
        <v>71.540000000000006</v>
      </c>
      <c r="N66" s="112">
        <v>125.6</v>
      </c>
      <c r="O66" s="112">
        <v>0</v>
      </c>
      <c r="P66" s="112">
        <v>0.46</v>
      </c>
      <c r="Q66" s="112">
        <v>4.67</v>
      </c>
    </row>
    <row r="67" spans="1:17" customFormat="1">
      <c r="A67" s="80">
        <v>45565.614583333336</v>
      </c>
      <c r="B67" s="112">
        <v>9.1</v>
      </c>
      <c r="C67" s="112">
        <v>4.3099999999999996</v>
      </c>
      <c r="D67" s="112">
        <v>14</v>
      </c>
      <c r="E67" s="112">
        <v>11.67</v>
      </c>
      <c r="F67" s="112">
        <v>12.63</v>
      </c>
      <c r="G67" s="112">
        <v>46.37</v>
      </c>
      <c r="H67" s="112">
        <v>14.69</v>
      </c>
      <c r="I67" s="112">
        <v>6.27</v>
      </c>
      <c r="J67" s="112">
        <v>0.41</v>
      </c>
      <c r="K67" s="112">
        <v>300.79000000000002</v>
      </c>
      <c r="L67" s="112">
        <v>32</v>
      </c>
      <c r="M67" s="112">
        <v>71.7</v>
      </c>
      <c r="N67" s="112">
        <v>60.3</v>
      </c>
      <c r="O67" s="112">
        <v>0</v>
      </c>
      <c r="P67" s="112">
        <v>0.47</v>
      </c>
      <c r="Q67" s="112">
        <v>4.66</v>
      </c>
    </row>
    <row r="68" spans="1:17" customFormat="1">
      <c r="A68" s="80">
        <v>45565.625</v>
      </c>
      <c r="B68" s="112">
        <v>9.07</v>
      </c>
      <c r="C68" s="112">
        <v>4.3600000000000003</v>
      </c>
      <c r="D68" s="112">
        <v>14</v>
      </c>
      <c r="E68" s="112">
        <v>11.56</v>
      </c>
      <c r="F68" s="112">
        <v>14.41</v>
      </c>
      <c r="G68" s="112">
        <v>46.91</v>
      </c>
      <c r="H68" s="112">
        <v>14.55</v>
      </c>
      <c r="I68" s="112">
        <v>6.16</v>
      </c>
      <c r="J68" s="112">
        <v>0.52</v>
      </c>
      <c r="K68" s="112">
        <v>296.07</v>
      </c>
      <c r="L68" s="112">
        <v>31.53</v>
      </c>
      <c r="M68" s="112">
        <v>73.02</v>
      </c>
      <c r="N68" s="112">
        <v>36.1</v>
      </c>
      <c r="O68" s="112">
        <v>0</v>
      </c>
      <c r="P68" s="112">
        <v>0.45</v>
      </c>
      <c r="Q68" s="112">
        <v>4.66</v>
      </c>
    </row>
    <row r="69" spans="1:17" customFormat="1">
      <c r="A69" s="80">
        <v>45565.635416666664</v>
      </c>
      <c r="B69" s="112">
        <v>9.07</v>
      </c>
      <c r="C69" s="112">
        <v>4.3600000000000003</v>
      </c>
      <c r="D69" s="112">
        <v>14</v>
      </c>
      <c r="E69" s="112">
        <v>11.75</v>
      </c>
      <c r="F69" s="112">
        <v>9.23</v>
      </c>
      <c r="G69" s="112">
        <v>58.35</v>
      </c>
      <c r="H69" s="112">
        <v>12.34</v>
      </c>
      <c r="I69" s="112">
        <v>6.06</v>
      </c>
      <c r="J69" s="112">
        <v>0.79</v>
      </c>
      <c r="K69" s="112">
        <v>275.86</v>
      </c>
      <c r="L69" s="112">
        <v>30.04</v>
      </c>
      <c r="M69" s="112">
        <v>74.55</v>
      </c>
      <c r="N69" s="112">
        <v>42.7</v>
      </c>
      <c r="O69" s="112">
        <v>0</v>
      </c>
      <c r="P69" s="112">
        <v>0.47</v>
      </c>
      <c r="Q69" s="112">
        <v>4.67</v>
      </c>
    </row>
    <row r="70" spans="1:17" customFormat="1">
      <c r="A70" s="80">
        <v>45565.645833333336</v>
      </c>
      <c r="B70" s="112">
        <v>9.06</v>
      </c>
      <c r="C70" s="112">
        <v>4.38</v>
      </c>
      <c r="D70" s="112">
        <v>14</v>
      </c>
      <c r="E70" s="112">
        <v>10.94</v>
      </c>
      <c r="F70" s="112">
        <v>8.32</v>
      </c>
      <c r="G70" s="112">
        <v>58.35</v>
      </c>
      <c r="H70" s="112">
        <v>12.34</v>
      </c>
      <c r="I70" s="112">
        <v>5.88</v>
      </c>
      <c r="J70" s="112">
        <v>0.64</v>
      </c>
      <c r="K70" s="112">
        <v>303.5</v>
      </c>
      <c r="L70" s="112">
        <v>27.54</v>
      </c>
      <c r="M70" s="112">
        <v>87.97</v>
      </c>
      <c r="N70" s="112">
        <v>48.3</v>
      </c>
      <c r="O70" s="112">
        <v>3.2</v>
      </c>
      <c r="P70" s="112">
        <v>0.45</v>
      </c>
      <c r="Q70" s="112">
        <v>4.67</v>
      </c>
    </row>
    <row r="71" spans="1:17" customFormat="1">
      <c r="A71" s="80">
        <v>45565.65625</v>
      </c>
      <c r="B71" s="112">
        <v>9.0500000000000007</v>
      </c>
      <c r="C71" s="112">
        <v>4.3899999999999997</v>
      </c>
      <c r="D71" s="112">
        <v>14</v>
      </c>
      <c r="E71" s="112">
        <v>10.73</v>
      </c>
      <c r="F71" s="112">
        <v>8.8000000000000007</v>
      </c>
      <c r="G71" s="112">
        <v>58.35</v>
      </c>
      <c r="H71" s="112">
        <v>12.34</v>
      </c>
      <c r="I71" s="112">
        <v>6.29</v>
      </c>
      <c r="J71" s="112">
        <v>0.26</v>
      </c>
      <c r="K71" s="112">
        <v>196.66</v>
      </c>
      <c r="L71" s="112">
        <v>26.68</v>
      </c>
      <c r="M71" s="112">
        <v>98.15</v>
      </c>
      <c r="N71" s="112">
        <v>82</v>
      </c>
      <c r="O71" s="112">
        <v>3.4</v>
      </c>
      <c r="P71" s="112">
        <v>0.44</v>
      </c>
      <c r="Q71" s="112">
        <v>4.6500000000000004</v>
      </c>
    </row>
    <row r="72" spans="1:17" customFormat="1">
      <c r="A72" s="80">
        <v>45565.666666666664</v>
      </c>
      <c r="B72" s="112">
        <v>9.07</v>
      </c>
      <c r="C72" s="112">
        <v>4.3600000000000003</v>
      </c>
      <c r="D72" s="112">
        <v>14</v>
      </c>
      <c r="E72" s="112">
        <v>10.11</v>
      </c>
      <c r="F72" s="112">
        <v>15.75</v>
      </c>
      <c r="G72" s="112">
        <v>58.2</v>
      </c>
      <c r="H72" s="112">
        <v>12.73</v>
      </c>
      <c r="I72" s="112">
        <v>6.14</v>
      </c>
      <c r="J72" s="112">
        <v>0.22</v>
      </c>
      <c r="K72" s="112">
        <v>190.99</v>
      </c>
      <c r="L72" s="112">
        <v>28.41</v>
      </c>
      <c r="M72" s="112">
        <v>97.48</v>
      </c>
      <c r="N72" s="112">
        <v>89.2</v>
      </c>
      <c r="O72" s="112">
        <v>0</v>
      </c>
      <c r="P72" s="112">
        <v>0.42</v>
      </c>
      <c r="Q72" s="112">
        <v>4.6500000000000004</v>
      </c>
    </row>
    <row r="73" spans="1:17" customFormat="1">
      <c r="A73" s="80">
        <v>45565.677083333336</v>
      </c>
      <c r="B73" s="112">
        <v>9.0500000000000007</v>
      </c>
      <c r="C73" s="112">
        <v>4.3899999999999997</v>
      </c>
      <c r="D73" s="112">
        <v>14</v>
      </c>
      <c r="E73" s="112">
        <v>10.92</v>
      </c>
      <c r="F73" s="112">
        <v>12.32</v>
      </c>
      <c r="G73" s="112">
        <v>54.96</v>
      </c>
      <c r="H73" s="112">
        <v>18.899999999999999</v>
      </c>
      <c r="I73" s="112">
        <v>5.76</v>
      </c>
      <c r="J73" s="112">
        <v>0.17</v>
      </c>
      <c r="K73" s="112">
        <v>186.02</v>
      </c>
      <c r="L73" s="112">
        <v>28.66</v>
      </c>
      <c r="M73" s="112">
        <v>93.45</v>
      </c>
      <c r="N73" s="112">
        <v>48.5</v>
      </c>
      <c r="O73" s="112">
        <v>0</v>
      </c>
      <c r="P73" s="112">
        <v>0.43</v>
      </c>
      <c r="Q73" s="112">
        <v>4.66</v>
      </c>
    </row>
    <row r="74" spans="1:17" customFormat="1">
      <c r="A74" s="80">
        <v>45565.6875</v>
      </c>
      <c r="B74" s="112">
        <v>9.06</v>
      </c>
      <c r="C74" s="112">
        <v>4.37</v>
      </c>
      <c r="D74" s="112">
        <v>14</v>
      </c>
      <c r="E74" s="112">
        <v>10.61</v>
      </c>
      <c r="F74" s="112">
        <v>12.12</v>
      </c>
      <c r="G74" s="112">
        <v>54.96</v>
      </c>
      <c r="H74" s="112">
        <v>18.899999999999999</v>
      </c>
      <c r="I74" s="112">
        <v>5.36</v>
      </c>
      <c r="J74" s="112">
        <v>0.11</v>
      </c>
      <c r="K74" s="112">
        <v>187.01</v>
      </c>
      <c r="L74" s="112">
        <v>28.67</v>
      </c>
      <c r="M74" s="112">
        <v>94.36</v>
      </c>
      <c r="N74" s="112">
        <v>28.5</v>
      </c>
      <c r="O74" s="112">
        <v>0</v>
      </c>
      <c r="P74" s="112">
        <v>0.43</v>
      </c>
      <c r="Q74" s="112">
        <v>4.68</v>
      </c>
    </row>
    <row r="75" spans="1:17" customFormat="1">
      <c r="A75" s="80">
        <v>45565.697916666664</v>
      </c>
      <c r="B75" s="112">
        <v>9.08</v>
      </c>
      <c r="C75" s="112">
        <v>4.34</v>
      </c>
      <c r="D75" s="112">
        <v>14</v>
      </c>
      <c r="E75" s="112">
        <v>10.81</v>
      </c>
      <c r="F75" s="112">
        <v>15.53</v>
      </c>
      <c r="G75" s="112">
        <v>54.96</v>
      </c>
      <c r="H75" s="112">
        <v>18.899999999999999</v>
      </c>
      <c r="I75" s="112">
        <v>5.59</v>
      </c>
      <c r="J75" s="112">
        <v>0.39</v>
      </c>
      <c r="K75" s="112">
        <v>248.9</v>
      </c>
      <c r="L75" s="112">
        <v>28.57</v>
      </c>
      <c r="M75" s="112">
        <v>95.65</v>
      </c>
      <c r="N75" s="112">
        <v>31.9</v>
      </c>
      <c r="O75" s="112">
        <v>0</v>
      </c>
      <c r="P75" s="112">
        <v>0.41</v>
      </c>
      <c r="Q75" s="112">
        <v>4.67</v>
      </c>
    </row>
    <row r="76" spans="1:17" customFormat="1">
      <c r="A76" s="80">
        <v>45565.708333333336</v>
      </c>
      <c r="B76" s="112">
        <v>9.09</v>
      </c>
      <c r="C76" s="112">
        <v>4.33</v>
      </c>
      <c r="D76" s="112">
        <v>14</v>
      </c>
      <c r="E76" s="112">
        <v>11.08</v>
      </c>
      <c r="F76" s="112">
        <v>11.16</v>
      </c>
      <c r="G76" s="112">
        <v>54.46</v>
      </c>
      <c r="H76" s="112">
        <v>18.899999999999999</v>
      </c>
      <c r="I76" s="112">
        <v>5.34</v>
      </c>
      <c r="J76" s="112">
        <v>0.35</v>
      </c>
      <c r="K76" s="112">
        <v>257.51</v>
      </c>
      <c r="L76" s="112">
        <v>27.88</v>
      </c>
      <c r="M76" s="112">
        <v>90.77</v>
      </c>
      <c r="N76" s="112">
        <v>43.8</v>
      </c>
      <c r="O76" s="112">
        <v>0</v>
      </c>
      <c r="P76" s="112">
        <v>0.42</v>
      </c>
      <c r="Q76" s="112">
        <v>4.68</v>
      </c>
    </row>
    <row r="77" spans="1:17" customFormat="1">
      <c r="A77" s="80">
        <v>45565.71875</v>
      </c>
      <c r="B77" s="112">
        <v>9.08</v>
      </c>
      <c r="C77" s="112">
        <v>4.34</v>
      </c>
      <c r="D77" s="112">
        <v>14</v>
      </c>
      <c r="E77" s="112">
        <v>10.76</v>
      </c>
      <c r="F77" s="112">
        <v>9.91</v>
      </c>
      <c r="G77" s="112">
        <v>46.03</v>
      </c>
      <c r="H77" s="112">
        <v>18.920000000000002</v>
      </c>
      <c r="I77" s="112">
        <v>5.21</v>
      </c>
      <c r="J77" s="112">
        <v>0.24</v>
      </c>
      <c r="K77" s="112">
        <v>169.78</v>
      </c>
      <c r="L77" s="112">
        <v>27.91</v>
      </c>
      <c r="M77" s="112">
        <v>93.62</v>
      </c>
      <c r="N77" s="112">
        <v>29.3</v>
      </c>
      <c r="O77" s="112">
        <v>0</v>
      </c>
      <c r="P77" s="112">
        <v>0.41</v>
      </c>
      <c r="Q77" s="112">
        <v>4.68</v>
      </c>
    </row>
    <row r="78" spans="1:17" customFormat="1">
      <c r="A78" s="80">
        <v>45565.729166666664</v>
      </c>
      <c r="B78" s="112">
        <v>9.08</v>
      </c>
      <c r="C78" s="112">
        <v>4.34</v>
      </c>
      <c r="D78" s="112">
        <v>14</v>
      </c>
      <c r="E78" s="112">
        <v>10.73</v>
      </c>
      <c r="F78" s="112">
        <v>10.44</v>
      </c>
      <c r="G78" s="112">
        <v>46.03</v>
      </c>
      <c r="H78" s="112">
        <v>18.920000000000002</v>
      </c>
      <c r="I78" s="112">
        <v>5.43</v>
      </c>
      <c r="J78" s="112">
        <v>0.15</v>
      </c>
      <c r="K78" s="112">
        <v>176.53</v>
      </c>
      <c r="L78" s="112">
        <v>27.74</v>
      </c>
      <c r="M78" s="112">
        <v>92.63</v>
      </c>
      <c r="N78" s="112">
        <v>12.2</v>
      </c>
      <c r="O78" s="112">
        <v>0</v>
      </c>
      <c r="P78" s="112">
        <v>0.4</v>
      </c>
      <c r="Q78" s="112">
        <v>4.67</v>
      </c>
    </row>
    <row r="79" spans="1:17" customFormat="1">
      <c r="A79" s="80">
        <v>45565.739583333336</v>
      </c>
      <c r="B79" s="112">
        <v>9.09</v>
      </c>
      <c r="C79" s="112">
        <v>4.33</v>
      </c>
      <c r="D79" s="112">
        <v>14</v>
      </c>
      <c r="E79" s="112">
        <v>10.83</v>
      </c>
      <c r="F79" s="112">
        <v>8.81</v>
      </c>
      <c r="G79" s="112">
        <v>46.03</v>
      </c>
      <c r="H79" s="112">
        <v>18.920000000000002</v>
      </c>
      <c r="I79" s="112">
        <v>5.14</v>
      </c>
      <c r="J79" s="112">
        <v>0.22</v>
      </c>
      <c r="K79" s="112">
        <v>164.47</v>
      </c>
      <c r="L79" s="112">
        <v>27.95</v>
      </c>
      <c r="M79" s="112">
        <v>93.76</v>
      </c>
      <c r="N79" s="112">
        <v>3.5</v>
      </c>
      <c r="O79" s="112">
        <v>0</v>
      </c>
      <c r="P79" s="112">
        <v>0.41</v>
      </c>
      <c r="Q79" s="112">
        <v>4.66</v>
      </c>
    </row>
    <row r="80" spans="1:17" customFormat="1">
      <c r="A80" s="80">
        <v>45565.75</v>
      </c>
      <c r="B80" s="112">
        <v>9.1</v>
      </c>
      <c r="C80" s="112">
        <v>4.3099999999999996</v>
      </c>
      <c r="D80" s="112">
        <v>14</v>
      </c>
      <c r="E80" s="112">
        <v>10.64</v>
      </c>
      <c r="F80" s="112">
        <v>8.4700000000000006</v>
      </c>
      <c r="G80" s="112">
        <v>45.95</v>
      </c>
      <c r="H80" s="112">
        <v>18.93</v>
      </c>
      <c r="I80" s="112">
        <v>5.0599999999999996</v>
      </c>
      <c r="J80" s="112">
        <v>0.17</v>
      </c>
      <c r="K80" s="112">
        <v>203.69</v>
      </c>
      <c r="L80" s="112">
        <v>27.59</v>
      </c>
      <c r="M80" s="112">
        <v>95.93</v>
      </c>
      <c r="N80" s="112">
        <v>2.8</v>
      </c>
      <c r="O80" s="112">
        <v>0</v>
      </c>
      <c r="P80" s="112">
        <v>0.41</v>
      </c>
      <c r="Q80" s="112">
        <v>4.6500000000000004</v>
      </c>
    </row>
    <row r="81" spans="1:17" customFormat="1">
      <c r="A81" s="80">
        <v>45565.760416666664</v>
      </c>
      <c r="B81" s="112">
        <v>9.1</v>
      </c>
      <c r="C81" s="112">
        <v>4.3099999999999996</v>
      </c>
      <c r="D81" s="112">
        <v>14</v>
      </c>
      <c r="E81" s="112">
        <v>8.33</v>
      </c>
      <c r="F81" s="112">
        <v>8.27</v>
      </c>
      <c r="G81" s="112">
        <v>44.56</v>
      </c>
      <c r="H81" s="112">
        <v>19.100000000000001</v>
      </c>
      <c r="I81" s="112">
        <v>5.25</v>
      </c>
      <c r="J81" s="112">
        <v>0.17</v>
      </c>
      <c r="K81" s="112">
        <v>172.9</v>
      </c>
      <c r="L81" s="112">
        <v>27.54</v>
      </c>
      <c r="M81" s="112">
        <v>99.13</v>
      </c>
      <c r="N81" s="112">
        <v>2.2999999999999998</v>
      </c>
      <c r="O81" s="112">
        <v>0</v>
      </c>
      <c r="P81" s="112">
        <v>0.43</v>
      </c>
      <c r="Q81" s="112">
        <v>4.6500000000000004</v>
      </c>
    </row>
    <row r="82" spans="1:17" customFormat="1">
      <c r="A82" s="80">
        <v>45565.770833333336</v>
      </c>
      <c r="B82" s="112">
        <v>9.08</v>
      </c>
      <c r="C82" s="112">
        <v>4.34</v>
      </c>
      <c r="D82" s="112">
        <v>14</v>
      </c>
      <c r="E82" s="112">
        <v>9.7100000000000009</v>
      </c>
      <c r="F82" s="112">
        <v>8.43</v>
      </c>
      <c r="G82" s="112">
        <v>44.56</v>
      </c>
      <c r="H82" s="112">
        <v>19.100000000000001</v>
      </c>
      <c r="I82" s="112">
        <v>5.32</v>
      </c>
      <c r="J82" s="112">
        <v>0.11</v>
      </c>
      <c r="K82" s="112">
        <v>167.86</v>
      </c>
      <c r="L82" s="112">
        <v>27.47</v>
      </c>
      <c r="M82" s="112">
        <v>99.44</v>
      </c>
      <c r="N82" s="112">
        <v>2.1</v>
      </c>
      <c r="O82" s="112">
        <v>0</v>
      </c>
      <c r="P82" s="112">
        <v>0.44</v>
      </c>
      <c r="Q82" s="112">
        <v>4.6500000000000004</v>
      </c>
    </row>
    <row r="83" spans="1:17" customFormat="1">
      <c r="A83" s="80">
        <v>45565.78125</v>
      </c>
      <c r="B83" s="112">
        <v>9.08</v>
      </c>
      <c r="C83" s="112">
        <v>4.34</v>
      </c>
      <c r="D83" s="112">
        <v>14</v>
      </c>
      <c r="E83" s="112">
        <v>9.2899999999999991</v>
      </c>
      <c r="F83" s="112">
        <v>7.69</v>
      </c>
      <c r="G83" s="112">
        <v>44.56</v>
      </c>
      <c r="H83" s="112">
        <v>19.100000000000001</v>
      </c>
      <c r="I83" s="112">
        <v>5.42</v>
      </c>
      <c r="J83" s="112">
        <v>0.08</v>
      </c>
      <c r="K83" s="112">
        <v>180.85</v>
      </c>
      <c r="L83" s="112">
        <v>27.56</v>
      </c>
      <c r="M83" s="112">
        <v>98.81</v>
      </c>
      <c r="N83" s="112">
        <v>2.2000000000000002</v>
      </c>
      <c r="O83" s="112">
        <v>0</v>
      </c>
      <c r="P83" s="112">
        <v>0.47</v>
      </c>
      <c r="Q83" s="112">
        <v>4.6399999999999997</v>
      </c>
    </row>
    <row r="84" spans="1:17" customFormat="1">
      <c r="A84" s="80">
        <v>45565.791666666664</v>
      </c>
      <c r="B84" s="112">
        <v>9.08</v>
      </c>
      <c r="C84" s="112">
        <v>4.34</v>
      </c>
      <c r="D84" s="112">
        <v>14</v>
      </c>
      <c r="E84" s="112">
        <v>9.34</v>
      </c>
      <c r="F84" s="112">
        <v>7.61</v>
      </c>
      <c r="G84" s="112">
        <v>44.58</v>
      </c>
      <c r="H84" s="112">
        <v>19.23</v>
      </c>
      <c r="I84" s="112">
        <v>5.49</v>
      </c>
      <c r="J84" s="112">
        <v>0.12</v>
      </c>
      <c r="K84" s="112">
        <v>169.15</v>
      </c>
      <c r="L84" s="112">
        <v>27.57</v>
      </c>
      <c r="M84" s="112">
        <v>101.02</v>
      </c>
      <c r="N84" s="112">
        <v>2.2000000000000002</v>
      </c>
      <c r="O84" s="112">
        <v>0</v>
      </c>
      <c r="P84" s="112">
        <v>0.5</v>
      </c>
      <c r="Q84" s="112">
        <v>4.6500000000000004</v>
      </c>
    </row>
    <row r="85" spans="1:17" customFormat="1">
      <c r="A85" s="80">
        <v>45565.802083333336</v>
      </c>
      <c r="B85" s="112">
        <v>9.0500000000000007</v>
      </c>
      <c r="C85" s="112">
        <v>4.3899999999999997</v>
      </c>
      <c r="D85" s="112">
        <v>14</v>
      </c>
      <c r="E85" s="112">
        <v>9.59</v>
      </c>
      <c r="F85" s="112">
        <v>7.46</v>
      </c>
      <c r="G85" s="112">
        <v>45.07</v>
      </c>
      <c r="H85" s="112">
        <v>21.2</v>
      </c>
      <c r="I85" s="112">
        <v>5.73</v>
      </c>
      <c r="J85" s="112">
        <v>0.12</v>
      </c>
      <c r="K85" s="112">
        <v>199.41</v>
      </c>
      <c r="L85" s="112">
        <v>27.63</v>
      </c>
      <c r="M85" s="112">
        <v>100.83</v>
      </c>
      <c r="N85" s="112">
        <v>2.2999999999999998</v>
      </c>
      <c r="O85" s="112">
        <v>0</v>
      </c>
      <c r="P85" s="112">
        <v>0.5</v>
      </c>
      <c r="Q85" s="112">
        <v>4.6500000000000004</v>
      </c>
    </row>
    <row r="86" spans="1:17" customFormat="1">
      <c r="A86" s="80">
        <v>45565.8125</v>
      </c>
      <c r="B86" s="112">
        <v>9.0299999999999994</v>
      </c>
      <c r="C86" s="112">
        <v>4.42</v>
      </c>
      <c r="D86" s="112">
        <v>14</v>
      </c>
      <c r="E86" s="112">
        <v>9.6199999999999992</v>
      </c>
      <c r="F86" s="112">
        <v>6.89</v>
      </c>
      <c r="G86" s="112">
        <v>45.07</v>
      </c>
      <c r="H86" s="112">
        <v>21.2</v>
      </c>
      <c r="I86" s="112">
        <v>5.79</v>
      </c>
      <c r="J86" s="112">
        <v>0.14000000000000001</v>
      </c>
      <c r="K86" s="112">
        <v>179.68</v>
      </c>
      <c r="L86" s="112">
        <v>27.59</v>
      </c>
      <c r="M86" s="112">
        <v>101.65</v>
      </c>
      <c r="N86" s="112">
        <v>2.2000000000000002</v>
      </c>
      <c r="O86" s="112">
        <v>0</v>
      </c>
      <c r="P86" s="112">
        <v>0.5</v>
      </c>
      <c r="Q86" s="112">
        <v>4.6399999999999997</v>
      </c>
    </row>
    <row r="87" spans="1:17" customFormat="1">
      <c r="A87" s="80">
        <v>45565.822916666664</v>
      </c>
      <c r="B87" s="112">
        <v>9.08</v>
      </c>
      <c r="C87" s="112">
        <v>4.3499999999999996</v>
      </c>
      <c r="D87" s="112">
        <v>14</v>
      </c>
      <c r="E87" s="112">
        <v>9.52</v>
      </c>
      <c r="F87" s="112">
        <v>6.74</v>
      </c>
      <c r="G87" s="112">
        <v>45.07</v>
      </c>
      <c r="H87" s="112">
        <v>21.2</v>
      </c>
      <c r="I87" s="112">
        <v>5.96</v>
      </c>
      <c r="J87" s="112">
        <v>0.12</v>
      </c>
      <c r="K87" s="112">
        <v>199.08</v>
      </c>
      <c r="L87" s="112">
        <v>27.41</v>
      </c>
      <c r="M87" s="112">
        <v>100.43</v>
      </c>
      <c r="N87" s="112">
        <v>2.4</v>
      </c>
      <c r="O87" s="112">
        <v>0</v>
      </c>
      <c r="P87" s="112">
        <v>0.52</v>
      </c>
      <c r="Q87" s="112">
        <v>4.6399999999999997</v>
      </c>
    </row>
    <row r="88" spans="1:17" customFormat="1">
      <c r="A88" s="80">
        <v>45565.833333333336</v>
      </c>
      <c r="B88" s="112">
        <v>9.08</v>
      </c>
      <c r="C88" s="112">
        <v>4.3499999999999996</v>
      </c>
      <c r="D88" s="112">
        <v>14</v>
      </c>
      <c r="E88" s="112">
        <v>9.42</v>
      </c>
      <c r="F88" s="112">
        <v>6.77</v>
      </c>
      <c r="G88" s="112">
        <v>45.25</v>
      </c>
      <c r="H88" s="112">
        <v>21.16</v>
      </c>
      <c r="I88" s="112">
        <v>6.1</v>
      </c>
      <c r="J88" s="112">
        <v>0.09</v>
      </c>
      <c r="K88" s="112">
        <v>200.11</v>
      </c>
      <c r="L88" s="112">
        <v>27.4</v>
      </c>
      <c r="M88" s="112">
        <v>100.27</v>
      </c>
      <c r="N88" s="112">
        <v>2.5</v>
      </c>
      <c r="O88" s="112">
        <v>0</v>
      </c>
      <c r="P88" s="112">
        <v>0.53</v>
      </c>
      <c r="Q88" s="112">
        <v>4.63</v>
      </c>
    </row>
    <row r="89" spans="1:17" customFormat="1">
      <c r="A89" s="80">
        <v>45565.84375</v>
      </c>
      <c r="B89" s="112">
        <v>9.0399999999999991</v>
      </c>
      <c r="C89" s="112">
        <v>4.41</v>
      </c>
      <c r="D89" s="112">
        <v>14</v>
      </c>
      <c r="E89" s="112">
        <v>9.0299999999999994</v>
      </c>
      <c r="F89" s="112">
        <v>6.82</v>
      </c>
      <c r="G89" s="112">
        <v>49.05</v>
      </c>
      <c r="H89" s="112">
        <v>20.5</v>
      </c>
      <c r="I89" s="112">
        <v>6.34</v>
      </c>
      <c r="J89" s="112">
        <v>0.09</v>
      </c>
      <c r="K89" s="112">
        <v>203.8</v>
      </c>
      <c r="L89" s="112">
        <v>27.3</v>
      </c>
      <c r="M89" s="112">
        <v>99.03</v>
      </c>
      <c r="N89" s="112">
        <v>2.4</v>
      </c>
      <c r="O89" s="112">
        <v>0</v>
      </c>
      <c r="P89" s="112">
        <v>0.53</v>
      </c>
      <c r="Q89" s="112">
        <v>4.6500000000000004</v>
      </c>
    </row>
    <row r="90" spans="1:17" customFormat="1">
      <c r="A90" s="80">
        <v>45565.854166666664</v>
      </c>
      <c r="B90" s="112">
        <v>9.0299999999999994</v>
      </c>
      <c r="C90" s="112">
        <v>4.42</v>
      </c>
      <c r="D90" s="112">
        <v>14</v>
      </c>
      <c r="E90" s="112">
        <v>8.9700000000000006</v>
      </c>
      <c r="F90" s="112">
        <v>6.5</v>
      </c>
      <c r="G90" s="112">
        <v>49.05</v>
      </c>
      <c r="H90" s="112">
        <v>20.5</v>
      </c>
      <c r="I90" s="112">
        <v>6.31</v>
      </c>
      <c r="J90" s="112">
        <v>0.05</v>
      </c>
      <c r="K90" s="112">
        <v>181.58</v>
      </c>
      <c r="L90" s="112">
        <v>27.26</v>
      </c>
      <c r="M90" s="112">
        <v>99.35</v>
      </c>
      <c r="N90" s="112">
        <v>2.2999999999999998</v>
      </c>
      <c r="O90" s="112">
        <v>0</v>
      </c>
      <c r="P90" s="112">
        <v>0.54</v>
      </c>
      <c r="Q90" s="112">
        <v>4.6500000000000004</v>
      </c>
    </row>
    <row r="91" spans="1:17" customFormat="1">
      <c r="A91" s="80">
        <v>45565.864583333336</v>
      </c>
      <c r="B91" s="112">
        <v>9.0299999999999994</v>
      </c>
      <c r="C91" s="112">
        <v>4.42</v>
      </c>
      <c r="D91" s="112">
        <v>14</v>
      </c>
      <c r="E91" s="112">
        <v>8.83</v>
      </c>
      <c r="F91" s="112">
        <v>6.88</v>
      </c>
      <c r="G91" s="112">
        <v>49.05</v>
      </c>
      <c r="H91" s="112">
        <v>20.5</v>
      </c>
      <c r="I91" s="112">
        <v>6.39</v>
      </c>
      <c r="J91" s="112">
        <v>0.18</v>
      </c>
      <c r="K91" s="112">
        <v>175.22</v>
      </c>
      <c r="L91" s="112">
        <v>27.36</v>
      </c>
      <c r="M91" s="112">
        <v>97.89</v>
      </c>
      <c r="N91" s="112">
        <v>2.2000000000000002</v>
      </c>
      <c r="O91" s="112">
        <v>0</v>
      </c>
      <c r="P91" s="112">
        <v>0.52</v>
      </c>
      <c r="Q91" s="112">
        <v>4.6500000000000004</v>
      </c>
    </row>
    <row r="92" spans="1:17" customFormat="1">
      <c r="A92" s="80">
        <v>45565.875</v>
      </c>
      <c r="B92" s="112">
        <v>8.99</v>
      </c>
      <c r="C92" s="112">
        <v>4.4800000000000004</v>
      </c>
      <c r="D92" s="112">
        <v>14</v>
      </c>
      <c r="E92" s="112">
        <v>8.84</v>
      </c>
      <c r="F92" s="112">
        <v>7.68</v>
      </c>
      <c r="G92" s="112">
        <v>49.04</v>
      </c>
      <c r="H92" s="112">
        <v>20.22</v>
      </c>
      <c r="I92" s="112">
        <v>6.4</v>
      </c>
      <c r="J92" s="112">
        <v>0.1</v>
      </c>
      <c r="K92" s="112">
        <v>186.62</v>
      </c>
      <c r="L92" s="112">
        <v>27.34</v>
      </c>
      <c r="M92" s="112">
        <v>96.58</v>
      </c>
      <c r="N92" s="112">
        <v>2.4</v>
      </c>
      <c r="O92" s="112">
        <v>0</v>
      </c>
      <c r="P92" s="112">
        <v>0.52</v>
      </c>
      <c r="Q92" s="112">
        <v>4.6399999999999997</v>
      </c>
    </row>
    <row r="93" spans="1:17" customFormat="1">
      <c r="A93" s="80">
        <v>45565.885416666664</v>
      </c>
      <c r="B93" s="112">
        <v>8.99</v>
      </c>
      <c r="C93" s="112">
        <v>4.49</v>
      </c>
      <c r="D93" s="112">
        <v>14</v>
      </c>
      <c r="E93" s="112">
        <v>8.93</v>
      </c>
      <c r="F93" s="112">
        <v>7.9</v>
      </c>
      <c r="G93" s="112">
        <v>48.88</v>
      </c>
      <c r="H93" s="112">
        <v>15.94</v>
      </c>
      <c r="I93" s="112">
        <v>6.22</v>
      </c>
      <c r="J93" s="112">
        <v>0.13</v>
      </c>
      <c r="K93" s="112">
        <v>178.24</v>
      </c>
      <c r="L93" s="112">
        <v>27.33</v>
      </c>
      <c r="M93" s="112">
        <v>97.75</v>
      </c>
      <c r="N93" s="112">
        <v>2.1</v>
      </c>
      <c r="O93" s="112">
        <v>0</v>
      </c>
      <c r="P93" s="112">
        <v>0.51</v>
      </c>
      <c r="Q93" s="112">
        <v>4.6500000000000004</v>
      </c>
    </row>
    <row r="94" spans="1:17" customFormat="1">
      <c r="A94" s="80">
        <v>45565.895833333336</v>
      </c>
      <c r="B94" s="112">
        <v>8.99</v>
      </c>
      <c r="C94" s="112">
        <v>4.4800000000000004</v>
      </c>
      <c r="D94" s="112">
        <v>14</v>
      </c>
      <c r="E94" s="112">
        <v>8.77</v>
      </c>
      <c r="F94" s="112">
        <v>6.27</v>
      </c>
      <c r="G94" s="112">
        <v>48.88</v>
      </c>
      <c r="H94" s="112">
        <v>15.94</v>
      </c>
      <c r="I94" s="112">
        <v>6.11</v>
      </c>
      <c r="J94" s="112">
        <v>0.11</v>
      </c>
      <c r="K94" s="112">
        <v>243.03</v>
      </c>
      <c r="L94" s="112">
        <v>27.2</v>
      </c>
      <c r="M94" s="112">
        <v>97.14</v>
      </c>
      <c r="N94" s="112">
        <v>2.4</v>
      </c>
      <c r="O94" s="112">
        <v>0</v>
      </c>
      <c r="P94" s="112">
        <v>0.51</v>
      </c>
      <c r="Q94" s="112">
        <v>4.6500000000000004</v>
      </c>
    </row>
    <row r="95" spans="1:17" customFormat="1">
      <c r="A95" s="80">
        <v>45565.90625</v>
      </c>
      <c r="B95" s="112">
        <v>9</v>
      </c>
      <c r="C95" s="112">
        <v>4.47</v>
      </c>
      <c r="D95" s="112">
        <v>14</v>
      </c>
      <c r="E95" s="112">
        <v>9.11</v>
      </c>
      <c r="F95" s="112">
        <v>5.79</v>
      </c>
      <c r="G95" s="112">
        <v>48.88</v>
      </c>
      <c r="H95" s="112">
        <v>15.94</v>
      </c>
      <c r="I95" s="112">
        <v>6.04</v>
      </c>
      <c r="J95" s="112">
        <v>0.18</v>
      </c>
      <c r="K95" s="112">
        <v>253.46</v>
      </c>
      <c r="L95" s="112">
        <v>27.24</v>
      </c>
      <c r="M95" s="112">
        <v>95.19</v>
      </c>
      <c r="N95" s="112">
        <v>2.1</v>
      </c>
      <c r="O95" s="112">
        <v>0</v>
      </c>
      <c r="P95" s="112">
        <v>0.51</v>
      </c>
      <c r="Q95" s="112">
        <v>4.6500000000000004</v>
      </c>
    </row>
    <row r="96" spans="1:17" customFormat="1">
      <c r="A96" s="80">
        <v>45565.916666666664</v>
      </c>
      <c r="B96" s="112">
        <v>9.01</v>
      </c>
      <c r="C96" s="112">
        <v>4.45</v>
      </c>
      <c r="D96" s="112">
        <v>14</v>
      </c>
      <c r="E96" s="112">
        <v>8.9600000000000009</v>
      </c>
      <c r="F96" s="112">
        <v>5.72</v>
      </c>
      <c r="G96" s="112">
        <v>48.61</v>
      </c>
      <c r="H96" s="112">
        <v>15.8</v>
      </c>
      <c r="I96" s="112">
        <v>6.16</v>
      </c>
      <c r="J96" s="112">
        <v>0.1</v>
      </c>
      <c r="K96" s="112">
        <v>241.53</v>
      </c>
      <c r="L96" s="112">
        <v>27.13</v>
      </c>
      <c r="M96" s="112">
        <v>94.16</v>
      </c>
      <c r="N96" s="112">
        <v>2.4</v>
      </c>
      <c r="O96" s="112">
        <v>0</v>
      </c>
      <c r="P96" s="112">
        <v>0.5</v>
      </c>
      <c r="Q96" s="112">
        <v>4.6500000000000004</v>
      </c>
    </row>
    <row r="97" spans="1:22" customFormat="1">
      <c r="A97" s="80">
        <v>45565.927083333336</v>
      </c>
      <c r="B97" s="112">
        <v>9.02</v>
      </c>
      <c r="C97" s="112">
        <v>4.4400000000000004</v>
      </c>
      <c r="D97" s="112">
        <v>14</v>
      </c>
      <c r="E97" s="112">
        <v>8.85</v>
      </c>
      <c r="F97" s="112">
        <v>5.66</v>
      </c>
      <c r="G97" s="112">
        <v>42.88</v>
      </c>
      <c r="H97" s="112">
        <v>13.72</v>
      </c>
      <c r="I97" s="112">
        <v>6.2</v>
      </c>
      <c r="J97" s="112">
        <v>0.13</v>
      </c>
      <c r="K97" s="112">
        <v>241.34</v>
      </c>
      <c r="L97" s="112">
        <v>27.02</v>
      </c>
      <c r="M97" s="112">
        <v>94.53</v>
      </c>
      <c r="N97" s="112">
        <v>2.2000000000000002</v>
      </c>
      <c r="O97" s="112">
        <v>0</v>
      </c>
      <c r="P97" s="112">
        <v>0.51</v>
      </c>
      <c r="Q97" s="112">
        <v>4.6399999999999997</v>
      </c>
    </row>
    <row r="98" spans="1:22" customFormat="1">
      <c r="A98" s="80">
        <v>45565.9375</v>
      </c>
      <c r="B98" s="112">
        <v>9.0299999999999994</v>
      </c>
      <c r="C98" s="112">
        <v>4.43</v>
      </c>
      <c r="D98" s="112">
        <v>14</v>
      </c>
      <c r="E98" s="112">
        <v>8.7799999999999994</v>
      </c>
      <c r="F98" s="112">
        <v>5.04</v>
      </c>
      <c r="G98" s="112">
        <v>42.88</v>
      </c>
      <c r="H98" s="112">
        <v>13.72</v>
      </c>
      <c r="I98" s="112">
        <v>6.1</v>
      </c>
      <c r="J98" s="112">
        <v>0.17</v>
      </c>
      <c r="K98" s="112">
        <v>249.39</v>
      </c>
      <c r="L98" s="112">
        <v>26.92</v>
      </c>
      <c r="M98" s="112">
        <v>94.42</v>
      </c>
      <c r="N98" s="112">
        <v>2.1</v>
      </c>
      <c r="O98" s="112">
        <v>0</v>
      </c>
      <c r="P98" s="112">
        <v>0.51</v>
      </c>
      <c r="Q98" s="112">
        <v>4.6399999999999997</v>
      </c>
    </row>
    <row r="99" spans="1:22" customFormat="1">
      <c r="A99" s="80">
        <v>45565.947916666664</v>
      </c>
      <c r="B99" s="112">
        <v>9.06</v>
      </c>
      <c r="C99" s="112">
        <v>4.38</v>
      </c>
      <c r="D99" s="112">
        <v>14</v>
      </c>
      <c r="E99" s="112">
        <v>8.73</v>
      </c>
      <c r="F99" s="112">
        <v>6.29</v>
      </c>
      <c r="G99" s="112">
        <v>42.88</v>
      </c>
      <c r="H99" s="112">
        <v>13.72</v>
      </c>
      <c r="I99" s="112">
        <v>6.16</v>
      </c>
      <c r="J99" s="112">
        <v>0.27</v>
      </c>
      <c r="K99" s="112">
        <v>259.97000000000003</v>
      </c>
      <c r="L99" s="112">
        <v>26.98</v>
      </c>
      <c r="M99" s="112">
        <v>93.65</v>
      </c>
      <c r="N99" s="112">
        <v>2.1</v>
      </c>
      <c r="O99" s="112">
        <v>0</v>
      </c>
      <c r="P99" s="112">
        <v>0.47</v>
      </c>
      <c r="Q99" s="112">
        <v>4.66</v>
      </c>
    </row>
    <row r="100" spans="1:22" customFormat="1">
      <c r="A100" s="80">
        <v>45565.958333333336</v>
      </c>
      <c r="B100" s="112">
        <v>9.1999999999999993</v>
      </c>
      <c r="C100" s="112">
        <v>4.16</v>
      </c>
      <c r="D100" s="112">
        <v>14</v>
      </c>
      <c r="E100" s="112">
        <v>8.26</v>
      </c>
      <c r="F100" s="112">
        <v>6.53</v>
      </c>
      <c r="G100" s="112">
        <v>42.93</v>
      </c>
      <c r="H100" s="112">
        <v>13.59</v>
      </c>
      <c r="I100" s="112">
        <v>5.89</v>
      </c>
      <c r="J100" s="112">
        <v>0.18</v>
      </c>
      <c r="K100" s="112">
        <v>250.38</v>
      </c>
      <c r="L100" s="112">
        <v>26.93</v>
      </c>
      <c r="M100" s="112">
        <v>93.98</v>
      </c>
      <c r="N100" s="112">
        <v>2.1</v>
      </c>
      <c r="O100" s="112">
        <v>0</v>
      </c>
      <c r="P100" s="112">
        <v>0.43</v>
      </c>
      <c r="Q100" s="112">
        <v>4.67</v>
      </c>
    </row>
    <row r="101" spans="1:22" customFormat="1">
      <c r="A101" s="80">
        <v>45565.96875</v>
      </c>
      <c r="B101" s="112">
        <v>9.23</v>
      </c>
      <c r="C101" s="112">
        <v>4.12</v>
      </c>
      <c r="D101" s="112">
        <v>14</v>
      </c>
      <c r="E101" s="112">
        <v>8.73</v>
      </c>
      <c r="F101" s="112">
        <v>6.53</v>
      </c>
      <c r="G101" s="112">
        <v>43.93</v>
      </c>
      <c r="H101" s="112">
        <v>11.62</v>
      </c>
      <c r="I101" s="112">
        <v>5.81</v>
      </c>
      <c r="J101" s="112">
        <v>0.12</v>
      </c>
      <c r="K101" s="112">
        <v>225.13</v>
      </c>
      <c r="L101" s="112">
        <v>26.77</v>
      </c>
      <c r="M101" s="112">
        <v>94.54</v>
      </c>
      <c r="N101" s="112">
        <v>2.2000000000000002</v>
      </c>
      <c r="O101" s="112">
        <v>0</v>
      </c>
      <c r="P101" s="112">
        <v>0.42</v>
      </c>
      <c r="Q101" s="112">
        <v>4.6500000000000004</v>
      </c>
    </row>
    <row r="102" spans="1:22" customFormat="1">
      <c r="A102" s="80">
        <v>45565.979166666664</v>
      </c>
      <c r="B102" s="112">
        <v>9.17</v>
      </c>
      <c r="C102" s="112">
        <v>4.21</v>
      </c>
      <c r="D102" s="112">
        <v>14</v>
      </c>
      <c r="E102" s="112">
        <v>9.6999999999999993</v>
      </c>
      <c r="F102" s="112">
        <v>6.5</v>
      </c>
      <c r="G102" s="112">
        <v>43.93</v>
      </c>
      <c r="H102" s="112">
        <v>11.62</v>
      </c>
      <c r="I102" s="112">
        <v>5.64</v>
      </c>
      <c r="J102" s="112">
        <v>0.12</v>
      </c>
      <c r="K102" s="112">
        <v>207.06</v>
      </c>
      <c r="L102" s="112">
        <v>26.7</v>
      </c>
      <c r="M102" s="112">
        <v>94.47</v>
      </c>
      <c r="N102" s="112">
        <v>2.1</v>
      </c>
      <c r="O102" s="112">
        <v>0</v>
      </c>
      <c r="P102" s="112">
        <v>0.42</v>
      </c>
      <c r="Q102" s="112">
        <v>4.67</v>
      </c>
    </row>
    <row r="103" spans="1:22" customFormat="1">
      <c r="A103" s="80">
        <v>45565.989583333336</v>
      </c>
      <c r="B103" s="112">
        <v>9.16</v>
      </c>
      <c r="C103" s="112">
        <v>4.22</v>
      </c>
      <c r="D103" s="112">
        <v>14</v>
      </c>
      <c r="E103" s="112">
        <v>9.34</v>
      </c>
      <c r="F103" s="112">
        <v>6.1</v>
      </c>
      <c r="G103" s="112">
        <v>43.93</v>
      </c>
      <c r="H103" s="112">
        <v>11.62</v>
      </c>
      <c r="I103" s="112">
        <v>5.53</v>
      </c>
      <c r="J103" s="112">
        <v>0.11</v>
      </c>
      <c r="K103" s="112">
        <v>234.63</v>
      </c>
      <c r="L103" s="112">
        <v>26.62</v>
      </c>
      <c r="M103" s="112">
        <v>94.83</v>
      </c>
      <c r="N103" s="112">
        <v>2.1</v>
      </c>
      <c r="O103" s="112">
        <v>0</v>
      </c>
      <c r="P103" s="112">
        <v>0.41</v>
      </c>
      <c r="Q103" s="112">
        <v>4.66</v>
      </c>
    </row>
    <row r="104" spans="1:22" customFormat="1">
      <c r="A104" s="80">
        <v>45566</v>
      </c>
      <c r="B104" s="112">
        <v>9.14</v>
      </c>
      <c r="C104" s="112">
        <v>4.25</v>
      </c>
      <c r="D104" s="112">
        <v>14</v>
      </c>
      <c r="E104" s="112">
        <v>9.61</v>
      </c>
      <c r="F104" s="112">
        <v>5.72</v>
      </c>
      <c r="G104" s="112">
        <v>43.69</v>
      </c>
      <c r="H104" s="112">
        <v>11.98</v>
      </c>
      <c r="I104" s="112">
        <v>5.41</v>
      </c>
      <c r="J104" s="112">
        <v>0.23</v>
      </c>
      <c r="K104" s="112">
        <v>254.94</v>
      </c>
      <c r="L104" s="112">
        <v>26.67</v>
      </c>
      <c r="M104" s="112">
        <v>93.6</v>
      </c>
      <c r="N104" s="112">
        <v>2.1</v>
      </c>
      <c r="O104" s="112">
        <v>0</v>
      </c>
      <c r="P104" s="112">
        <v>0.41</v>
      </c>
      <c r="Q104" s="112">
        <v>4.67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8.99</v>
      </c>
      <c r="C106" s="183">
        <f>MIN(C9:C104)</f>
        <v>4.12</v>
      </c>
      <c r="D106" s="183">
        <f t="shared" ref="D106:Q106" si="0">MIN(D9:D104)</f>
        <v>14</v>
      </c>
      <c r="E106" s="183">
        <f t="shared" si="0"/>
        <v>8.08</v>
      </c>
      <c r="F106" s="183">
        <f t="shared" si="0"/>
        <v>4.03</v>
      </c>
      <c r="G106" s="183">
        <f t="shared" si="0"/>
        <v>26.14</v>
      </c>
      <c r="H106" s="183">
        <f t="shared" si="0"/>
        <v>10.07</v>
      </c>
      <c r="I106" s="183">
        <f t="shared" si="0"/>
        <v>4.55</v>
      </c>
      <c r="J106" s="183">
        <f t="shared" si="0"/>
        <v>0.05</v>
      </c>
      <c r="K106" s="183">
        <f t="shared" si="0"/>
        <v>160.4</v>
      </c>
      <c r="L106" s="183">
        <f t="shared" si="0"/>
        <v>26.05</v>
      </c>
      <c r="M106" s="183">
        <f t="shared" si="0"/>
        <v>69.08</v>
      </c>
      <c r="N106" s="183">
        <f t="shared" si="0"/>
        <v>2</v>
      </c>
      <c r="O106" s="183">
        <f t="shared" si="0"/>
        <v>0</v>
      </c>
      <c r="P106" s="183">
        <f t="shared" si="0"/>
        <v>0.36</v>
      </c>
      <c r="Q106" s="183">
        <f t="shared" si="0"/>
        <v>4.6100000000000003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9.23</v>
      </c>
      <c r="C107" s="184">
        <f t="shared" ref="C107:Q107" si="1">MAX(C9:C104)</f>
        <v>4.49</v>
      </c>
      <c r="D107" s="184">
        <f t="shared" si="1"/>
        <v>14</v>
      </c>
      <c r="E107" s="184">
        <f t="shared" si="1"/>
        <v>11.89</v>
      </c>
      <c r="F107" s="184">
        <f t="shared" si="1"/>
        <v>15.75</v>
      </c>
      <c r="G107" s="184">
        <f t="shared" si="1"/>
        <v>58.35</v>
      </c>
      <c r="H107" s="184">
        <f t="shared" si="1"/>
        <v>21.2</v>
      </c>
      <c r="I107" s="184">
        <f t="shared" si="1"/>
        <v>7.44</v>
      </c>
      <c r="J107" s="184">
        <f t="shared" si="1"/>
        <v>0.85</v>
      </c>
      <c r="K107" s="184">
        <f t="shared" si="1"/>
        <v>316.39</v>
      </c>
      <c r="L107" s="184">
        <f t="shared" si="1"/>
        <v>32.99</v>
      </c>
      <c r="M107" s="184">
        <f t="shared" si="1"/>
        <v>101.65</v>
      </c>
      <c r="N107" s="184">
        <f t="shared" si="1"/>
        <v>479</v>
      </c>
      <c r="O107" s="184">
        <f t="shared" si="1"/>
        <v>3.4</v>
      </c>
      <c r="P107" s="184">
        <f t="shared" si="1"/>
        <v>0.6</v>
      </c>
      <c r="Q107" s="184">
        <f t="shared" si="1"/>
        <v>4.6900000000000004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9.0978125000000016</v>
      </c>
      <c r="C108" s="183">
        <f t="shared" ref="C108:Q108" si="2">AVERAGE(C9:C104)</f>
        <v>4.3163541666666676</v>
      </c>
      <c r="D108" s="183">
        <f t="shared" si="2"/>
        <v>14</v>
      </c>
      <c r="E108" s="183">
        <f t="shared" si="2"/>
        <v>10.452604166666669</v>
      </c>
      <c r="F108" s="183">
        <f t="shared" si="2"/>
        <v>6.953854166666666</v>
      </c>
      <c r="G108" s="183">
        <f t="shared" si="2"/>
        <v>41.656875000000007</v>
      </c>
      <c r="H108" s="183">
        <f t="shared" si="2"/>
        <v>15.175520833333335</v>
      </c>
      <c r="I108" s="183">
        <f t="shared" si="2"/>
        <v>5.6688541666666659</v>
      </c>
      <c r="J108" s="183">
        <f t="shared" si="2"/>
        <v>0.28458333333333335</v>
      </c>
      <c r="K108" s="183">
        <f t="shared" si="2"/>
        <v>229.76614583333341</v>
      </c>
      <c r="L108" s="183">
        <f t="shared" si="2"/>
        <v>28.518333333333342</v>
      </c>
      <c r="M108" s="183">
        <f t="shared" si="2"/>
        <v>89.929895833333333</v>
      </c>
      <c r="N108" s="183">
        <f t="shared" si="2"/>
        <v>79.237500000000026</v>
      </c>
      <c r="O108" s="183">
        <f t="shared" si="2"/>
        <v>6.8749999999999992E-2</v>
      </c>
      <c r="P108" s="183">
        <f t="shared" si="2"/>
        <v>0.46010416666666659</v>
      </c>
      <c r="Q108" s="183">
        <f t="shared" si="2"/>
        <v>4.6528124999999978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5.2318923315012061E-2</v>
      </c>
      <c r="C109" s="183">
        <f t="shared" ref="C109:Q109" si="3">STDEV(C9:C104)</f>
        <v>8.0930376727038941E-2</v>
      </c>
      <c r="D109" s="183">
        <f t="shared" si="3"/>
        <v>0</v>
      </c>
      <c r="E109" s="183">
        <f t="shared" si="3"/>
        <v>0.98815217748946804</v>
      </c>
      <c r="F109" s="183">
        <f t="shared" si="3"/>
        <v>2.7623542094577171</v>
      </c>
      <c r="G109" s="183">
        <f t="shared" si="3"/>
        <v>8.3250018255094655</v>
      </c>
      <c r="H109" s="183">
        <f t="shared" si="3"/>
        <v>3.1644405408228646</v>
      </c>
      <c r="I109" s="183">
        <f t="shared" si="3"/>
        <v>0.68248596637459746</v>
      </c>
      <c r="J109" s="183">
        <f t="shared" si="3"/>
        <v>0.22223703167027342</v>
      </c>
      <c r="K109" s="183">
        <f t="shared" si="3"/>
        <v>46.79539564326911</v>
      </c>
      <c r="L109" s="183">
        <f t="shared" si="3"/>
        <v>2.230814657269248</v>
      </c>
      <c r="M109" s="183">
        <f t="shared" si="3"/>
        <v>11.138644961034684</v>
      </c>
      <c r="N109" s="183">
        <f t="shared" si="3"/>
        <v>119.03789600043561</v>
      </c>
      <c r="O109" s="183">
        <f t="shared" si="3"/>
        <v>0.47402253999261751</v>
      </c>
      <c r="P109" s="183">
        <f t="shared" si="3"/>
        <v>6.1737897457365867E-2</v>
      </c>
      <c r="Q109" s="183">
        <f t="shared" si="3"/>
        <v>1.6137770341002736E-2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54"/>
  <sheetViews>
    <sheetView tabSelected="1" zoomScale="80" zoomScaleNormal="80" workbookViewId="0">
      <pane xSplit="1" ySplit="8" topLeftCell="B9" activePane="bottomRight" state="frozen"/>
      <selection pane="topRight"/>
      <selection pane="bottomLeft"/>
      <selection pane="bottomRight" activeCell="A39" sqref="A39:XFD39"/>
    </sheetView>
  </sheetViews>
  <sheetFormatPr defaultColWidth="8.85546875" defaultRowHeight="15"/>
  <cols>
    <col min="1" max="1" width="15.85546875" style="143" customWidth="1"/>
    <col min="2" max="2" width="14.140625" customWidth="1"/>
    <col min="3" max="3" width="9.85546875" customWidth="1"/>
    <col min="4" max="4" width="10.28515625" customWidth="1"/>
    <col min="5" max="5" width="10.5703125" customWidth="1"/>
    <col min="7" max="7" width="10.7109375" customWidth="1"/>
    <col min="8" max="8" width="12.28515625" customWidth="1"/>
    <col min="9" max="9" width="10.42578125" customWidth="1"/>
    <col min="11" max="11" width="9.5703125" customWidth="1"/>
    <col min="12" max="12" width="10.42578125" customWidth="1"/>
    <col min="13" max="13" width="10" customWidth="1"/>
    <col min="17" max="17" width="9.7109375" customWidth="1"/>
    <col min="20" max="20" width="10.28515625" customWidth="1"/>
  </cols>
  <sheetData>
    <row r="1" spans="1:21" s="2" customFormat="1">
      <c r="A1" s="144" t="s">
        <v>0</v>
      </c>
      <c r="B1" s="145" t="s">
        <v>58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 s="2" customFormat="1">
      <c r="A2" s="144" t="s">
        <v>2</v>
      </c>
      <c r="B2" s="148">
        <f>$A$9</f>
        <v>45536.010416666664</v>
      </c>
      <c r="C2"/>
      <c r="D2" s="48" t="s">
        <v>3</v>
      </c>
      <c r="E2" s="48"/>
      <c r="F2" s="48"/>
      <c r="G2" s="149" t="s">
        <v>4</v>
      </c>
      <c r="H2" s="150"/>
      <c r="I2" s="150"/>
      <c r="J2" s="150"/>
      <c r="K2" s="147"/>
      <c r="L2" s="48" t="s">
        <v>5</v>
      </c>
      <c r="M2" s="147"/>
      <c r="N2" s="165" t="s">
        <v>6</v>
      </c>
      <c r="P2" s="166" t="s">
        <v>7</v>
      </c>
      <c r="Q2" s="147"/>
      <c r="R2" s="172" t="s">
        <v>8</v>
      </c>
      <c r="S2"/>
      <c r="T2"/>
      <c r="U2"/>
    </row>
    <row r="3" spans="1:21" s="2" customFormat="1">
      <c r="A3" s="144" t="s">
        <v>9</v>
      </c>
      <c r="B3" s="147" t="s">
        <v>10</v>
      </c>
      <c r="C3"/>
      <c r="D3" s="48" t="s">
        <v>11</v>
      </c>
      <c r="E3" s="48"/>
      <c r="F3" s="48"/>
      <c r="G3" s="151" t="s">
        <v>12</v>
      </c>
      <c r="H3" s="150"/>
      <c r="I3" s="144"/>
      <c r="J3" s="150"/>
      <c r="K3"/>
      <c r="L3" s="48" t="s">
        <v>13</v>
      </c>
      <c r="M3" s="147"/>
      <c r="N3" s="167" t="s">
        <v>14</v>
      </c>
      <c r="O3" s="147"/>
      <c r="P3" s="168" t="s">
        <v>15</v>
      </c>
      <c r="Q3" s="147"/>
      <c r="R3" s="173" t="s">
        <v>15</v>
      </c>
      <c r="S3"/>
      <c r="T3"/>
      <c r="U3"/>
    </row>
    <row r="4" spans="1:21" s="2" customFormat="1">
      <c r="A4" s="144" t="s">
        <v>16</v>
      </c>
      <c r="B4" s="147" t="s">
        <v>59</v>
      </c>
      <c r="C4"/>
      <c r="D4" s="48" t="s">
        <v>18</v>
      </c>
      <c r="E4" s="48"/>
      <c r="F4" s="48"/>
      <c r="G4" s="152" t="s">
        <v>19</v>
      </c>
      <c r="H4" s="150"/>
      <c r="I4" s="144"/>
      <c r="J4" s="150"/>
      <c r="K4" s="169"/>
      <c r="L4" s="48" t="s">
        <v>20</v>
      </c>
      <c r="M4" s="147"/>
      <c r="N4" s="170" t="s">
        <v>21</v>
      </c>
      <c r="O4" s="147"/>
      <c r="P4" s="147"/>
      <c r="Q4" s="147"/>
      <c r="R4" s="147"/>
      <c r="S4"/>
      <c r="T4"/>
      <c r="U4"/>
    </row>
    <row r="5" spans="1:21" s="2" customFormat="1">
      <c r="A5" s="144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 s="2" customFormat="1">
      <c r="A6" s="144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 s="2" customFormat="1">
      <c r="A7" s="154" t="s">
        <v>22</v>
      </c>
      <c r="B7" s="155" t="s">
        <v>23</v>
      </c>
      <c r="C7" s="155" t="s">
        <v>24</v>
      </c>
      <c r="D7" s="155" t="s">
        <v>25</v>
      </c>
      <c r="E7" s="155" t="s">
        <v>26</v>
      </c>
      <c r="F7" s="155" t="s">
        <v>27</v>
      </c>
      <c r="G7" s="155" t="s">
        <v>28</v>
      </c>
      <c r="H7" s="155" t="s">
        <v>29</v>
      </c>
      <c r="I7" s="155" t="s">
        <v>30</v>
      </c>
      <c r="J7" s="155" t="s">
        <v>31</v>
      </c>
      <c r="K7" s="155" t="s">
        <v>32</v>
      </c>
      <c r="L7" s="155" t="s">
        <v>33</v>
      </c>
      <c r="M7" s="155" t="s">
        <v>34</v>
      </c>
      <c r="N7" s="155" t="s">
        <v>35</v>
      </c>
      <c r="O7" s="155" t="s">
        <v>36</v>
      </c>
      <c r="P7" s="155" t="s">
        <v>37</v>
      </c>
      <c r="Q7" s="155" t="s">
        <v>38</v>
      </c>
      <c r="R7" s="174"/>
      <c r="S7" s="175"/>
      <c r="T7" s="174"/>
      <c r="U7" s="174"/>
    </row>
    <row r="8" spans="1:21" s="2" customFormat="1">
      <c r="A8" s="154"/>
      <c r="B8" s="156" t="s">
        <v>39</v>
      </c>
      <c r="C8" s="156" t="s">
        <v>39</v>
      </c>
      <c r="D8" s="156" t="s">
        <v>40</v>
      </c>
      <c r="E8" s="156" t="s">
        <v>39</v>
      </c>
      <c r="F8" s="156" t="s">
        <v>39</v>
      </c>
      <c r="G8" s="156" t="s">
        <v>39</v>
      </c>
      <c r="H8" s="156" t="s">
        <v>39</v>
      </c>
      <c r="I8" s="156" t="s">
        <v>39</v>
      </c>
      <c r="J8" s="156" t="s">
        <v>41</v>
      </c>
      <c r="K8" s="156" t="s">
        <v>42</v>
      </c>
      <c r="L8" s="171" t="s">
        <v>43</v>
      </c>
      <c r="M8" s="156" t="s">
        <v>44</v>
      </c>
      <c r="N8" s="156" t="s">
        <v>45</v>
      </c>
      <c r="O8" s="171" t="s">
        <v>46</v>
      </c>
      <c r="P8" s="156" t="s">
        <v>47</v>
      </c>
      <c r="Q8" s="114" t="s">
        <v>39</v>
      </c>
      <c r="R8" s="174"/>
      <c r="S8" s="175"/>
      <c r="T8" s="174"/>
      <c r="U8" s="174"/>
    </row>
    <row r="9" spans="1:21">
      <c r="A9" s="157">
        <f>'01'!$B$2</f>
        <v>45536.010416666664</v>
      </c>
      <c r="B9" s="95">
        <f>'01'!B108</f>
        <v>9.0735416666666726</v>
      </c>
      <c r="C9" s="95">
        <f>'01'!C108</f>
        <v>4.3525</v>
      </c>
      <c r="D9" s="95">
        <f>'01'!D108</f>
        <v>14</v>
      </c>
      <c r="E9" s="95">
        <f>'01'!E108</f>
        <v>10.225520833333329</v>
      </c>
      <c r="F9" s="95">
        <f>'01'!F108</f>
        <v>4.2628125000000017</v>
      </c>
      <c r="G9" s="95">
        <f>'01'!G108</f>
        <v>35.922916666666673</v>
      </c>
      <c r="H9" s="95">
        <f>'01'!H108</f>
        <v>8.1482291666666757</v>
      </c>
      <c r="I9" s="95">
        <f>'01'!I108</f>
        <v>4.006666666666665</v>
      </c>
      <c r="J9" s="95">
        <f>'01'!J108</f>
        <v>0.65218750000000003</v>
      </c>
      <c r="K9" s="95">
        <f>'01'!K108</f>
        <v>69.950104166666634</v>
      </c>
      <c r="L9" s="95">
        <f>'01'!L108</f>
        <v>28.496354166666681</v>
      </c>
      <c r="M9" s="95">
        <f>'01'!M108</f>
        <v>81.415520833333332</v>
      </c>
      <c r="N9" s="95">
        <f>'01'!N108</f>
        <v>93.392708333333289</v>
      </c>
      <c r="O9" s="95">
        <f>'01'!O108</f>
        <v>1.4583333333333332E-2</v>
      </c>
      <c r="P9" s="95">
        <f>'01'!P108</f>
        <v>0.33395833333333336</v>
      </c>
      <c r="Q9" s="95">
        <f>'01'!Q108</f>
        <v>5.0365624999999978</v>
      </c>
      <c r="R9" s="160"/>
      <c r="S9" s="160"/>
      <c r="T9" s="160"/>
      <c r="U9" s="160"/>
    </row>
    <row r="10" spans="1:21">
      <c r="A10" s="157">
        <f>'02'!$B$2</f>
        <v>45537.010416666664</v>
      </c>
      <c r="B10" s="95">
        <f>'02'!B108</f>
        <v>9.3209374999999905</v>
      </c>
      <c r="C10" s="95">
        <f>'02'!C108</f>
        <v>4.0717708333333347</v>
      </c>
      <c r="D10" s="95">
        <f>'02'!D108</f>
        <v>14.051979166666662</v>
      </c>
      <c r="E10" s="95">
        <f>'02'!E108</f>
        <v>8.7633333333333336</v>
      </c>
      <c r="F10" s="95">
        <f>'02'!F108</f>
        <v>3.8487500000000008</v>
      </c>
      <c r="G10" s="95">
        <f>'02'!G108</f>
        <v>20.715000000000007</v>
      </c>
      <c r="H10" s="95">
        <f>'02'!H108</f>
        <v>3.8850000000000002</v>
      </c>
      <c r="I10" s="95">
        <f>'02'!I108</f>
        <v>3.2310416666666679</v>
      </c>
      <c r="J10" s="95">
        <f>'02'!J108</f>
        <v>0.33406249999999987</v>
      </c>
      <c r="K10" s="95">
        <f>'02'!K108</f>
        <v>103.2267708333333</v>
      </c>
      <c r="L10" s="95">
        <f>'02'!L108</f>
        <v>28.625416666666666</v>
      </c>
      <c r="M10" s="95">
        <f>'02'!M108</f>
        <v>80.705624999999998</v>
      </c>
      <c r="N10" s="95">
        <f>'02'!N108</f>
        <v>111.50937500000008</v>
      </c>
      <c r="O10" s="95">
        <f>'02'!O108</f>
        <v>0</v>
      </c>
      <c r="P10" s="95">
        <f>'02'!P108</f>
        <v>0.33166666666666678</v>
      </c>
      <c r="Q10" s="95">
        <f>'02'!Q108</f>
        <v>5.0379166666666695</v>
      </c>
      <c r="R10" s="160"/>
      <c r="S10" s="160"/>
      <c r="T10" s="160"/>
      <c r="U10" s="160"/>
    </row>
    <row r="11" spans="1:21">
      <c r="A11" s="157">
        <f>'03'!$B$2</f>
        <v>45538.010416666664</v>
      </c>
      <c r="B11" s="95">
        <f>'03'!B108</f>
        <v>9.2350000000000012</v>
      </c>
      <c r="C11" s="95">
        <f>'03'!C108</f>
        <v>4.1142708333333307</v>
      </c>
      <c r="D11" s="95">
        <f>'03'!D108</f>
        <v>14.004583333333329</v>
      </c>
      <c r="E11" s="95">
        <f>'03'!E108</f>
        <v>10.13541666666667</v>
      </c>
      <c r="F11" s="95">
        <f>'03'!F108</f>
        <v>4.7608333333333333</v>
      </c>
      <c r="G11" s="95">
        <f>'03'!G108</f>
        <v>21.003749999999997</v>
      </c>
      <c r="H11" s="95">
        <f>'03'!H108</f>
        <v>4.7483333333333357</v>
      </c>
      <c r="I11" s="95">
        <f>'03'!I108</f>
        <v>3.3427083333333325</v>
      </c>
      <c r="J11" s="95">
        <f>'03'!J108</f>
        <v>0.21875000000000011</v>
      </c>
      <c r="K11" s="95">
        <f>'03'!K108</f>
        <v>140.43708333333333</v>
      </c>
      <c r="L11" s="95">
        <f>'03'!L108</f>
        <v>28.705625000000008</v>
      </c>
      <c r="M11" s="95">
        <f>'03'!M108</f>
        <v>79.205937500000005</v>
      </c>
      <c r="N11" s="95">
        <f>'03'!N108</f>
        <v>91.414583333333368</v>
      </c>
      <c r="O11" s="95">
        <f>'03'!O108</f>
        <v>0</v>
      </c>
      <c r="P11" s="95">
        <f>'03'!P108</f>
        <v>0.33187499999999998</v>
      </c>
      <c r="Q11" s="95">
        <f>'03'!Q108</f>
        <v>5.0348958333333309</v>
      </c>
      <c r="R11" s="160"/>
      <c r="S11" s="160"/>
      <c r="T11" s="160"/>
      <c r="U11" s="160"/>
    </row>
    <row r="12" spans="1:21">
      <c r="A12" s="157">
        <f>'04'!$B$2</f>
        <v>45539.010416666664</v>
      </c>
      <c r="B12" s="95">
        <f>'04'!B108</f>
        <v>9.3109375000000068</v>
      </c>
      <c r="C12" s="95">
        <f>'04'!C108</f>
        <v>4.0711458333333344</v>
      </c>
      <c r="D12" s="95">
        <f>'04'!D108</f>
        <v>14.043020833333316</v>
      </c>
      <c r="E12" s="95">
        <f>'04'!E108</f>
        <v>9.0718750000000004</v>
      </c>
      <c r="F12" s="95">
        <f>'04'!F108</f>
        <v>4.7532291666666646</v>
      </c>
      <c r="G12" s="95">
        <f>'04'!G108</f>
        <v>41.681562499999984</v>
      </c>
      <c r="H12" s="95">
        <f>'04'!H108</f>
        <v>9.2884375000000006</v>
      </c>
      <c r="I12" s="95">
        <f>'04'!I108</f>
        <v>4.4035416666666638</v>
      </c>
      <c r="J12" s="95">
        <f>'04'!J108</f>
        <v>0.23041666666666671</v>
      </c>
      <c r="K12" s="95">
        <f>'04'!K108</f>
        <v>167.0948958333334</v>
      </c>
      <c r="L12" s="95">
        <f>'04'!L108</f>
        <v>27.99145833333333</v>
      </c>
      <c r="M12" s="95">
        <f>'04'!M108</f>
        <v>87.001354166666701</v>
      </c>
      <c r="N12" s="95">
        <f>'04'!N108</f>
        <v>79.952083333333377</v>
      </c>
      <c r="O12" s="95">
        <f>'04'!O108</f>
        <v>4.1666666666666664E-2</v>
      </c>
      <c r="P12" s="95">
        <f>'04'!P108</f>
        <v>0.40281250000000002</v>
      </c>
      <c r="Q12" s="95">
        <f>'04'!Q108</f>
        <v>5.0392708333333349</v>
      </c>
      <c r="R12" s="160"/>
      <c r="S12" s="160"/>
      <c r="T12" s="160"/>
      <c r="U12" s="160"/>
    </row>
    <row r="13" spans="1:21">
      <c r="A13" s="157">
        <f>'05'!$B$2</f>
        <v>45540.010416666664</v>
      </c>
      <c r="B13" s="95">
        <f>'05'!B108</f>
        <v>8.6230107526881721</v>
      </c>
      <c r="C13" s="95">
        <f>'05'!C108</f>
        <v>5.0647311827956996</v>
      </c>
      <c r="D13" s="95">
        <f>'05'!D108</f>
        <v>14.009354838709676</v>
      </c>
      <c r="E13" s="95">
        <f>'05'!E108</f>
        <v>10.379130434782613</v>
      </c>
      <c r="F13" s="95">
        <f>'05'!F108</f>
        <v>5.7492553191489355</v>
      </c>
      <c r="G13" s="95">
        <f>'05'!G108</f>
        <v>30.605319148936182</v>
      </c>
      <c r="H13" s="95">
        <f>'05'!H108</f>
        <v>11.013191489361702</v>
      </c>
      <c r="I13" s="95">
        <f>'05'!I108</f>
        <v>4.7416304347826079</v>
      </c>
      <c r="J13" s="95">
        <f>'05'!J108</f>
        <v>0.27234042553191495</v>
      </c>
      <c r="K13" s="95">
        <f>'05'!K108</f>
        <v>200.64553191489355</v>
      </c>
      <c r="L13" s="95">
        <f>'05'!L108</f>
        <v>27.296914893617021</v>
      </c>
      <c r="M13" s="95">
        <f>'05'!M108</f>
        <v>90.300106382978697</v>
      </c>
      <c r="N13" s="95">
        <f>'05'!N108</f>
        <v>82.172340425531928</v>
      </c>
      <c r="O13" s="95">
        <f>'05'!O108</f>
        <v>0.68085106382978711</v>
      </c>
      <c r="P13" s="95">
        <f>'05'!P108</f>
        <v>0.41968085106382969</v>
      </c>
      <c r="Q13" s="95">
        <f>'05'!Q108</f>
        <v>4.8130434782608713</v>
      </c>
      <c r="R13" s="160"/>
      <c r="S13" s="160"/>
      <c r="T13" s="160"/>
      <c r="U13" s="160"/>
    </row>
    <row r="14" spans="1:21">
      <c r="A14" s="157">
        <f>'06'!$B$2</f>
        <v>45541.010416666664</v>
      </c>
      <c r="B14" s="95">
        <f>'06'!B108</f>
        <v>9.268437500000001</v>
      </c>
      <c r="C14" s="95">
        <f>'06'!C108</f>
        <v>4.0841666666666674</v>
      </c>
      <c r="D14" s="95">
        <f>'06'!D108</f>
        <v>14.016145833333324</v>
      </c>
      <c r="E14" s="95">
        <f>'06'!E108</f>
        <v>12.195000000000002</v>
      </c>
      <c r="F14" s="95">
        <f>'06'!F108</f>
        <v>6.3322916666666664</v>
      </c>
      <c r="G14" s="95">
        <f>'06'!G108</f>
        <v>53.339375000000018</v>
      </c>
      <c r="H14" s="95">
        <f>'06'!H108</f>
        <v>16.785104166666667</v>
      </c>
      <c r="I14" s="95">
        <f>'06'!I108</f>
        <v>4.9020833333333362</v>
      </c>
      <c r="J14" s="95">
        <f>'06'!J108</f>
        <v>0.33302083333333332</v>
      </c>
      <c r="K14" s="95">
        <f>'06'!K108</f>
        <v>150.12760416666666</v>
      </c>
      <c r="L14" s="95">
        <f>'06'!L108</f>
        <v>27.879791666666673</v>
      </c>
      <c r="M14" s="95">
        <f>'06'!M108</f>
        <v>85.567187500000003</v>
      </c>
      <c r="N14" s="95">
        <f>'06'!N108</f>
        <v>122.30104166666672</v>
      </c>
      <c r="O14" s="95">
        <f>'06'!O108</f>
        <v>0</v>
      </c>
      <c r="P14" s="95">
        <f>'06'!P108</f>
        <v>0.45479166666666671</v>
      </c>
      <c r="Q14" s="95">
        <f>'06'!Q108</f>
        <v>4.6152083333333369</v>
      </c>
      <c r="R14" s="160"/>
      <c r="S14" s="160"/>
      <c r="T14" s="160"/>
      <c r="U14" s="160"/>
    </row>
    <row r="15" spans="1:21">
      <c r="A15" s="157">
        <f>'07'!$B$2</f>
        <v>45542.010416666664</v>
      </c>
      <c r="B15" s="95">
        <f>'07'!B108</f>
        <v>9.342499999999994</v>
      </c>
      <c r="C15" s="95">
        <f>'07'!C108</f>
        <v>4.0777083333333337</v>
      </c>
      <c r="D15" s="95">
        <f>'07'!D108</f>
        <v>14.071979166666658</v>
      </c>
      <c r="E15" s="95">
        <f>'07'!E108</f>
        <v>9.8118681318681311</v>
      </c>
      <c r="F15" s="95">
        <f>'07'!F108</f>
        <v>9.5663043478260867</v>
      </c>
      <c r="G15" s="95">
        <f>'07'!G108</f>
        <v>42.111333333333341</v>
      </c>
      <c r="H15" s="95">
        <f>'07'!H108</f>
        <v>17.373666666666669</v>
      </c>
      <c r="I15" s="95">
        <f>'07'!I108</f>
        <v>5.916041666666664</v>
      </c>
      <c r="J15" s="95">
        <f>'07'!J108</f>
        <v>0.27895833333333347</v>
      </c>
      <c r="K15" s="95">
        <f>'07'!K108</f>
        <v>206.27177083333331</v>
      </c>
      <c r="L15" s="95">
        <f>'07'!L108</f>
        <v>28.640520833333326</v>
      </c>
      <c r="M15" s="95">
        <f>'07'!M108</f>
        <v>85.883437500000014</v>
      </c>
      <c r="N15" s="95">
        <f>'07'!N108</f>
        <v>111.10416666666664</v>
      </c>
      <c r="O15" s="95">
        <f>'07'!O108</f>
        <v>6.2500000000000012E-3</v>
      </c>
      <c r="P15" s="95">
        <f>'07'!P108</f>
        <v>0.47368421052631554</v>
      </c>
      <c r="Q15" s="95">
        <f>'07'!Q108</f>
        <v>4.623645833333331</v>
      </c>
      <c r="R15" s="160"/>
      <c r="S15" s="160"/>
      <c r="T15" s="160"/>
      <c r="U15" s="160"/>
    </row>
    <row r="16" spans="1:21">
      <c r="A16" s="157">
        <f>'08'!$B$2</f>
        <v>45543.010416666664</v>
      </c>
      <c r="B16" s="95">
        <f>'08'!B108</f>
        <v>9.2949999999999964</v>
      </c>
      <c r="C16" s="95">
        <f>'08'!C108</f>
        <v>4.0742708333333324</v>
      </c>
      <c r="D16" s="95">
        <f>'08'!D108</f>
        <v>14.032708333333312</v>
      </c>
      <c r="E16" s="95">
        <f>'08'!E108</f>
        <v>12.582916666666664</v>
      </c>
      <c r="F16" s="95">
        <f>'08'!F108</f>
        <v>6.3121875000000029</v>
      </c>
      <c r="G16" s="95">
        <f>'08'!G108</f>
        <v>82.810104166666676</v>
      </c>
      <c r="H16" s="95">
        <f>'08'!H108</f>
        <v>32.028333333333329</v>
      </c>
      <c r="I16" s="95">
        <f>'08'!I108</f>
        <v>5.9064583333333323</v>
      </c>
      <c r="J16" s="95">
        <f>'08'!J108</f>
        <v>0.32583333333333336</v>
      </c>
      <c r="K16" s="95">
        <f>'08'!K108</f>
        <v>166.39822916666665</v>
      </c>
      <c r="L16" s="95">
        <f>'08'!L108</f>
        <v>28.262708333333325</v>
      </c>
      <c r="M16" s="95">
        <f>'08'!M108</f>
        <v>90.061145833333285</v>
      </c>
      <c r="N16" s="95">
        <f>'08'!N108</f>
        <v>98.838541666666686</v>
      </c>
      <c r="O16" s="95">
        <f>'08'!O108</f>
        <v>0.32708333333333328</v>
      </c>
      <c r="P16" s="95">
        <f>'08'!P108</f>
        <v>0.5541666666666667</v>
      </c>
      <c r="Q16" s="95">
        <f>'08'!Q108</f>
        <v>4.6308333333333307</v>
      </c>
      <c r="R16" s="160"/>
      <c r="S16" s="160"/>
      <c r="T16" s="160"/>
      <c r="U16" s="160"/>
    </row>
    <row r="17" spans="1:21">
      <c r="A17" s="157">
        <f>'09'!$B$2</f>
        <v>45544.010416666664</v>
      </c>
      <c r="B17" s="95">
        <f>'09'!B108</f>
        <v>9.2545833333333398</v>
      </c>
      <c r="C17" s="95">
        <f>'09'!C108</f>
        <v>4.0931250000000006</v>
      </c>
      <c r="D17" s="95">
        <f>'09'!D108</f>
        <v>14.009999999999991</v>
      </c>
      <c r="E17" s="95">
        <f>'09'!E108</f>
        <v>10.868437499999999</v>
      </c>
      <c r="F17" s="95">
        <f>'09'!F108</f>
        <v>6.0870833333333385</v>
      </c>
      <c r="G17" s="95">
        <f>'09'!G108</f>
        <v>67.353749999999991</v>
      </c>
      <c r="H17" s="95">
        <f>'09'!H108</f>
        <v>21.698645833333341</v>
      </c>
      <c r="I17" s="95">
        <f>'09'!I108</f>
        <v>5.0435416666666653</v>
      </c>
      <c r="J17" s="95">
        <f>'09'!J108</f>
        <v>0.51062500000000011</v>
      </c>
      <c r="K17" s="95">
        <f>'09'!K108</f>
        <v>114.755</v>
      </c>
      <c r="L17" s="95">
        <f>'09'!L108</f>
        <v>27.674270833333335</v>
      </c>
      <c r="M17" s="95">
        <f>'09'!M108</f>
        <v>90.88562499999999</v>
      </c>
      <c r="N17" s="95">
        <f>'09'!N108</f>
        <v>74.490624999999994</v>
      </c>
      <c r="O17" s="95">
        <f>'09'!O108</f>
        <v>0.35000000000000003</v>
      </c>
      <c r="P17" s="95">
        <f>'09'!P108</f>
        <v>0.4892708333333331</v>
      </c>
      <c r="Q17" s="95">
        <f>'09'!Q108</f>
        <v>4.6351041666666637</v>
      </c>
      <c r="R17" s="160"/>
      <c r="S17" s="160"/>
      <c r="T17" s="160"/>
      <c r="U17" s="160"/>
    </row>
    <row r="18" spans="1:21">
      <c r="A18" s="157">
        <f>'10'!$B$2</f>
        <v>45545.010416666664</v>
      </c>
      <c r="B18" s="95">
        <f>'10'!B108</f>
        <v>9.3263541666666629</v>
      </c>
      <c r="C18" s="95">
        <f>'10'!C108</f>
        <v>4.0665624999999999</v>
      </c>
      <c r="D18" s="95">
        <f>'10'!D108</f>
        <v>14.053541666666652</v>
      </c>
      <c r="E18" s="95">
        <f>'10'!E108</f>
        <v>10.299375000000003</v>
      </c>
      <c r="F18" s="95">
        <f>'10'!F108</f>
        <v>4.0939583333333331</v>
      </c>
      <c r="G18" s="95">
        <f>'10'!G108</f>
        <v>11.197708333333329</v>
      </c>
      <c r="H18" s="95">
        <f>'10'!H108</f>
        <v>4.5874999999999995</v>
      </c>
      <c r="I18" s="95">
        <f>'10'!I108</f>
        <v>4.7439583333333326</v>
      </c>
      <c r="J18" s="95">
        <f>'10'!J108</f>
        <v>0.82729166666666609</v>
      </c>
      <c r="K18" s="95">
        <f>'10'!K108</f>
        <v>269.85145833333337</v>
      </c>
      <c r="L18" s="95">
        <f>'10'!L108</f>
        <v>25.766875000000002</v>
      </c>
      <c r="M18" s="95">
        <f>'10'!M108</f>
        <v>95.516562500000006</v>
      </c>
      <c r="N18" s="95">
        <f>'10'!N108</f>
        <v>27.445833333333354</v>
      </c>
      <c r="O18" s="95">
        <f>'10'!O108</f>
        <v>0.78125000000000011</v>
      </c>
      <c r="P18" s="95">
        <f>'10'!P108</f>
        <v>0.40177083333333402</v>
      </c>
      <c r="Q18" s="95">
        <f>'10'!Q108</f>
        <v>4.6413541666666616</v>
      </c>
      <c r="R18" s="160"/>
      <c r="S18" s="160"/>
      <c r="T18" s="160"/>
      <c r="U18" s="160"/>
    </row>
    <row r="19" spans="1:21">
      <c r="A19" s="157">
        <f>'11'!$B$2</f>
        <v>45546.010416666664</v>
      </c>
      <c r="B19" s="95">
        <f>'11'!B108</f>
        <v>9.1778125000000035</v>
      </c>
      <c r="C19" s="95">
        <f>'11'!C108</f>
        <v>4.192916666666668</v>
      </c>
      <c r="D19" s="95">
        <f>'11'!D108</f>
        <v>14.000416666666666</v>
      </c>
      <c r="E19" s="95">
        <f>'11'!E108</f>
        <v>9.9387500000000006</v>
      </c>
      <c r="F19" s="95">
        <f>'11'!F108</f>
        <v>5.6934375000000017</v>
      </c>
      <c r="G19" s="95">
        <f>'11'!G108</f>
        <v>21.96072916666667</v>
      </c>
      <c r="H19" s="95">
        <f>'11'!H108</f>
        <v>8.5484375000000039</v>
      </c>
      <c r="I19" s="95">
        <f>'11'!I108</f>
        <v>3.0557291666666688</v>
      </c>
      <c r="J19" s="95">
        <f>'11'!J108</f>
        <v>0.84395833333333348</v>
      </c>
      <c r="K19" s="95">
        <f>'11'!K108</f>
        <v>271.04343749999992</v>
      </c>
      <c r="L19" s="95">
        <f>'11'!L108</f>
        <v>27.130312499999999</v>
      </c>
      <c r="M19" s="95">
        <f>'11'!M108</f>
        <v>86.48343749999998</v>
      </c>
      <c r="N19" s="95">
        <f>'11'!N108</f>
        <v>81.62083333333338</v>
      </c>
      <c r="O19" s="95">
        <f>'11'!O108</f>
        <v>0</v>
      </c>
      <c r="P19" s="95">
        <f>'11'!P108</f>
        <v>0.28541666666666671</v>
      </c>
      <c r="Q19" s="95">
        <f>'11'!Q108</f>
        <v>4.6445833333333306</v>
      </c>
      <c r="R19" s="160"/>
      <c r="S19" s="160"/>
      <c r="T19" s="160"/>
      <c r="U19" s="160"/>
    </row>
    <row r="20" spans="1:21">
      <c r="A20" s="157">
        <f>'12'!$B$2</f>
        <v>45547.010416666664</v>
      </c>
      <c r="B20" s="95">
        <f>'12'!B108</f>
        <v>9.333854166666665</v>
      </c>
      <c r="C20" s="95">
        <f>'12'!C108</f>
        <v>4.0698958333333293</v>
      </c>
      <c r="D20" s="95">
        <f>'12'!D108</f>
        <v>14.061145833333326</v>
      </c>
      <c r="E20" s="95">
        <f>'12'!E108</f>
        <v>9.4130434782608674</v>
      </c>
      <c r="F20" s="95">
        <f>'12'!F108</f>
        <v>5.2108695652173909</v>
      </c>
      <c r="G20" s="95">
        <f>'12'!G108</f>
        <v>18.287444444444432</v>
      </c>
      <c r="H20" s="95">
        <f>'12'!H108</f>
        <v>3.1448780487804893</v>
      </c>
      <c r="I20" s="95">
        <f>'12'!I108</f>
        <v>3.471666666666668</v>
      </c>
      <c r="J20" s="95">
        <f>'12'!J108</f>
        <v>0.71906249999999983</v>
      </c>
      <c r="K20" s="95">
        <f>'12'!K108</f>
        <v>271.87531249999989</v>
      </c>
      <c r="L20" s="95">
        <f>'12'!L108</f>
        <v>28.141354166666662</v>
      </c>
      <c r="M20" s="95">
        <f>'12'!M108</f>
        <v>80.258124999999978</v>
      </c>
      <c r="N20" s="95">
        <f>'12'!N108</f>
        <v>142.74062500000005</v>
      </c>
      <c r="O20" s="95">
        <f>'12'!O108</f>
        <v>0</v>
      </c>
      <c r="P20" s="95">
        <f>'12'!P108</f>
        <v>0.29893617021276592</v>
      </c>
      <c r="Q20" s="95">
        <f>'12'!Q108</f>
        <v>4.6486458333333314</v>
      </c>
      <c r="R20" s="160"/>
      <c r="S20" s="160"/>
      <c r="T20" s="160"/>
      <c r="U20" s="160"/>
    </row>
    <row r="21" spans="1:21" s="142" customFormat="1">
      <c r="A21" s="157">
        <f>'13'!$B$2</f>
        <v>45548.010416666664</v>
      </c>
      <c r="B21" s="158">
        <f>'13'!B108</f>
        <v>9.3688541666666598</v>
      </c>
      <c r="C21" s="158">
        <f>'13'!C108</f>
        <v>4.0773958333333331</v>
      </c>
      <c r="D21" s="158">
        <f>'13'!D108</f>
        <v>14.093333333333334</v>
      </c>
      <c r="E21" s="158">
        <f>'13'!E108</f>
        <v>9.8927083333333332</v>
      </c>
      <c r="F21" s="158">
        <f>'13'!F108</f>
        <v>6.2078124999999984</v>
      </c>
      <c r="G21" s="158">
        <f>'13'!G108</f>
        <v>38.398333333333333</v>
      </c>
      <c r="H21" s="158">
        <f>'13'!H108</f>
        <v>10.469583333333333</v>
      </c>
      <c r="I21" s="158">
        <f>'13'!I108</f>
        <v>5.1154166666666674</v>
      </c>
      <c r="J21" s="158">
        <f>'13'!J108</f>
        <v>0.53197916666666667</v>
      </c>
      <c r="K21" s="158">
        <f>'13'!K108</f>
        <v>277.43489583333331</v>
      </c>
      <c r="L21" s="158">
        <f>'13'!L108</f>
        <v>27.559791666666683</v>
      </c>
      <c r="M21" s="158">
        <f>'13'!M108</f>
        <v>83.08718749999997</v>
      </c>
      <c r="N21" s="158">
        <f>'13'!N108</f>
        <v>69.652083333333323</v>
      </c>
      <c r="O21" s="158">
        <f>'13'!O108</f>
        <v>0</v>
      </c>
      <c r="P21" s="158">
        <f>'13'!P108</f>
        <v>0.41416666666666674</v>
      </c>
      <c r="Q21" s="158">
        <f>'13'!Q108</f>
        <v>4.6481249999999958</v>
      </c>
      <c r="R21" s="176"/>
      <c r="S21" s="176"/>
      <c r="T21" s="176"/>
      <c r="U21" s="176"/>
    </row>
    <row r="22" spans="1:21" s="142" customFormat="1">
      <c r="A22" s="157">
        <f>'14'!$B$2</f>
        <v>45549.010416666664</v>
      </c>
      <c r="B22" s="159">
        <f>'14'!B108</f>
        <v>9.2616666666666649</v>
      </c>
      <c r="C22" s="159">
        <f>'14'!C108</f>
        <v>4.0867708333333326</v>
      </c>
      <c r="D22" s="159">
        <f>'14'!D108</f>
        <v>14.011770833333328</v>
      </c>
      <c r="E22" s="159">
        <f>'14'!E108</f>
        <v>9.8032291666666698</v>
      </c>
      <c r="F22" s="159">
        <f>'14'!F108</f>
        <v>5.0684375000000026</v>
      </c>
      <c r="G22" s="159">
        <f>'14'!G108</f>
        <v>57.040000000000028</v>
      </c>
      <c r="H22" s="159">
        <f>'14'!H108</f>
        <v>12.911562500000008</v>
      </c>
      <c r="I22" s="159">
        <f>'14'!I108</f>
        <v>5.4265625000000002</v>
      </c>
      <c r="J22" s="159">
        <f>'14'!J108</f>
        <v>0.56104166666666699</v>
      </c>
      <c r="K22" s="159">
        <f>'14'!K108</f>
        <v>281.56864583333339</v>
      </c>
      <c r="L22" s="159">
        <f>'14'!L108</f>
        <v>27.341875000000005</v>
      </c>
      <c r="M22" s="159">
        <f>'14'!M108</f>
        <v>80.214062499999997</v>
      </c>
      <c r="N22" s="159">
        <f>'14'!N108</f>
        <v>77.366666666666703</v>
      </c>
      <c r="O22" s="159">
        <f>'14'!O108</f>
        <v>0</v>
      </c>
      <c r="P22" s="159">
        <f>'14'!P108</f>
        <v>0.43895833333333378</v>
      </c>
      <c r="Q22" s="159">
        <f>'14'!Q108</f>
        <v>4.644062499999996</v>
      </c>
      <c r="R22" s="177"/>
      <c r="S22" s="177"/>
      <c r="T22" s="177"/>
      <c r="U22" s="177"/>
    </row>
    <row r="23" spans="1:21">
      <c r="A23" s="157">
        <f>'15'!$B$2</f>
        <v>45550.010416666664</v>
      </c>
      <c r="B23" s="95">
        <f>'15'!B108</f>
        <v>9.2298958333333303</v>
      </c>
      <c r="C23" s="95">
        <f>'15'!C108</f>
        <v>4.1343750000000021</v>
      </c>
      <c r="D23" s="95">
        <f>'15'!D108</f>
        <v>14.010312499999998</v>
      </c>
      <c r="E23" s="95">
        <f>'15'!E108</f>
        <v>9.4060416666666651</v>
      </c>
      <c r="F23" s="95">
        <f>'15'!F108</f>
        <v>6.0262500000000001</v>
      </c>
      <c r="G23" s="95">
        <f>'15'!G108</f>
        <v>53.287499999999966</v>
      </c>
      <c r="H23" s="95">
        <f>'15'!H108</f>
        <v>12.559583333333329</v>
      </c>
      <c r="I23" s="95">
        <f>'15'!I108</f>
        <v>4.9773958333333317</v>
      </c>
      <c r="J23" s="95">
        <f>'15'!J108</f>
        <v>0.66270833333333312</v>
      </c>
      <c r="K23" s="95">
        <f>'15'!K108</f>
        <v>294.81010416666663</v>
      </c>
      <c r="L23" s="95">
        <f>'15'!L108</f>
        <v>27.881249999999998</v>
      </c>
      <c r="M23" s="95">
        <f>'15'!M108</f>
        <v>72.091354166666648</v>
      </c>
      <c r="N23" s="95">
        <f>'15'!N108</f>
        <v>92.037499999999952</v>
      </c>
      <c r="O23" s="95">
        <f>'15'!O108</f>
        <v>0</v>
      </c>
      <c r="P23" s="95">
        <f>'15'!P108</f>
        <v>0.40906249999999988</v>
      </c>
      <c r="Q23" s="95">
        <f>'15'!Q108</f>
        <v>4.6466666666666612</v>
      </c>
      <c r="R23" s="160"/>
      <c r="S23" s="160"/>
      <c r="T23" s="160"/>
      <c r="U23" s="160"/>
    </row>
    <row r="24" spans="1:21">
      <c r="A24" s="157">
        <f>'16'!$B$2</f>
        <v>45551.010416666664</v>
      </c>
      <c r="B24" s="95">
        <f>'16'!B108</f>
        <v>9.2517708333333264</v>
      </c>
      <c r="C24" s="95">
        <f>'16'!C108</f>
        <v>4.099687499999999</v>
      </c>
      <c r="D24" s="95">
        <f>'16'!D108</f>
        <v>14.010520833333324</v>
      </c>
      <c r="E24" s="95">
        <f>'16'!E108</f>
        <v>9.5362500000000008</v>
      </c>
      <c r="F24" s="95">
        <f>'16'!F108</f>
        <v>5.6298958333333351</v>
      </c>
      <c r="G24" s="95">
        <f>'16'!G108</f>
        <v>52.363645833333379</v>
      </c>
      <c r="H24" s="95">
        <f>'16'!H108</f>
        <v>12.911562500000002</v>
      </c>
      <c r="I24" s="95">
        <f>'16'!I108</f>
        <v>4.4533333333333331</v>
      </c>
      <c r="J24" s="95">
        <f>'16'!J108</f>
        <v>0.78416666666666668</v>
      </c>
      <c r="K24" s="95">
        <f>'16'!K108</f>
        <v>301.45812499999994</v>
      </c>
      <c r="L24" s="95">
        <f>'16'!L108</f>
        <v>26.730937499999992</v>
      </c>
      <c r="M24" s="95">
        <f>'16'!M108</f>
        <v>77.43979166666665</v>
      </c>
      <c r="N24" s="95">
        <f>'16'!N108</f>
        <v>42.554166666666667</v>
      </c>
      <c r="O24" s="95">
        <f>'16'!O108</f>
        <v>2.0833333333333333E-3</v>
      </c>
      <c r="P24" s="95">
        <f>'16'!P108</f>
        <v>0.38406249999999975</v>
      </c>
      <c r="Q24" s="95">
        <f>'16'!Q108</f>
        <v>4.6508333333333303</v>
      </c>
      <c r="R24" s="160"/>
      <c r="S24" s="160"/>
      <c r="T24" s="160"/>
      <c r="U24" s="160"/>
    </row>
    <row r="25" spans="1:21">
      <c r="A25" s="157">
        <f>'17'!$B$2</f>
        <v>45552.010416666664</v>
      </c>
      <c r="B25" s="95">
        <f>'17'!B108</f>
        <v>9.3247916666666608</v>
      </c>
      <c r="C25" s="95">
        <f>'17'!C108</f>
        <v>4.0764583333333322</v>
      </c>
      <c r="D25" s="95">
        <f>'17'!D108</f>
        <v>14.057604166666664</v>
      </c>
      <c r="E25" s="95">
        <f>'17'!E108</f>
        <v>9.0881249999999998</v>
      </c>
      <c r="F25" s="95">
        <f>'17'!F108</f>
        <v>5.8573958333333325</v>
      </c>
      <c r="G25" s="95">
        <f>'17'!G108</f>
        <v>27.894687500000018</v>
      </c>
      <c r="H25" s="95">
        <f>'17'!H108</f>
        <v>8.9592708333333277</v>
      </c>
      <c r="I25" s="95">
        <f>'17'!I108</f>
        <v>3.9415625000000012</v>
      </c>
      <c r="J25" s="95">
        <f>'17'!J108</f>
        <v>0.76187499999999986</v>
      </c>
      <c r="K25" s="95">
        <f>'17'!K108</f>
        <v>274.96958333333322</v>
      </c>
      <c r="L25" s="95">
        <f>'17'!L108</f>
        <v>26.146145833333325</v>
      </c>
      <c r="M25" s="95">
        <f>'17'!M108</f>
        <v>83.427708333333342</v>
      </c>
      <c r="N25" s="95">
        <f>'17'!N108</f>
        <v>59.876041666666659</v>
      </c>
      <c r="O25" s="95">
        <f>'17'!O108</f>
        <v>2.5000000000000005E-2</v>
      </c>
      <c r="P25" s="95">
        <f>'17'!P108</f>
        <v>0.36791666666666689</v>
      </c>
      <c r="Q25" s="95">
        <f>'17'!Q108</f>
        <v>4.6495833333333296</v>
      </c>
      <c r="R25" s="160"/>
      <c r="S25" s="160"/>
      <c r="T25" s="160"/>
      <c r="U25" s="160"/>
    </row>
    <row r="26" spans="1:21">
      <c r="A26" s="157">
        <f>'18'!$B$2</f>
        <v>45553.010416666664</v>
      </c>
      <c r="B26" s="95">
        <f>'18'!B108</f>
        <v>9.2188541666666648</v>
      </c>
      <c r="C26" s="95">
        <f>'18'!C108</f>
        <v>4.1358333333333324</v>
      </c>
      <c r="D26" s="95">
        <f>'18'!D108</f>
        <v>14.003437499999997</v>
      </c>
      <c r="E26" s="95">
        <f>'18'!E108</f>
        <v>9.1077083333333366</v>
      </c>
      <c r="F26" s="95">
        <f>'18'!F108</f>
        <v>5.1291666666666655</v>
      </c>
      <c r="G26" s="95">
        <f>'18'!G108</f>
        <v>34.857708333333328</v>
      </c>
      <c r="H26" s="95">
        <f>'18'!H108</f>
        <v>10.782395833333338</v>
      </c>
      <c r="I26" s="95">
        <f>'18'!I108</f>
        <v>4.5483333333333347</v>
      </c>
      <c r="J26" s="95">
        <f>'18'!J108</f>
        <v>0.26593750000000005</v>
      </c>
      <c r="K26" s="95">
        <f>'18'!K108</f>
        <v>240.28447916666667</v>
      </c>
      <c r="L26" s="95">
        <f>'18'!L108</f>
        <v>27.17916666666666</v>
      </c>
      <c r="M26" s="95">
        <f>'18'!M108</f>
        <v>81.705729166666671</v>
      </c>
      <c r="N26" s="95">
        <f>'18'!N108</f>
        <v>120.95416666666672</v>
      </c>
      <c r="O26" s="95">
        <f>'18'!O108</f>
        <v>0</v>
      </c>
      <c r="P26" s="95">
        <f>'18'!P108</f>
        <v>0.40552083333333311</v>
      </c>
      <c r="Q26" s="95">
        <f>'18'!Q108</f>
        <v>4.651562499999998</v>
      </c>
      <c r="R26" s="160"/>
      <c r="S26" s="160"/>
      <c r="T26" s="160"/>
      <c r="U26" s="160"/>
    </row>
    <row r="27" spans="1:21">
      <c r="A27" s="157">
        <f>'19'!$B$2</f>
        <v>45554.010416666664</v>
      </c>
      <c r="B27" s="95">
        <f>'19'!B108</f>
        <v>9.2386458333333259</v>
      </c>
      <c r="C27" s="95">
        <f>'19'!C108</f>
        <v>4.1139583333333318</v>
      </c>
      <c r="D27" s="95">
        <f>'19'!D108</f>
        <v>14.008229166666665</v>
      </c>
      <c r="E27" s="95">
        <f>'19'!E108</f>
        <v>12.756666666666668</v>
      </c>
      <c r="F27" s="95">
        <f>'19'!F108</f>
        <v>6.651250000000001</v>
      </c>
      <c r="G27" s="95">
        <f>'19'!G108</f>
        <v>58.480416666666677</v>
      </c>
      <c r="H27" s="95">
        <f>'19'!H108</f>
        <v>18.617395833333337</v>
      </c>
      <c r="I27" s="95">
        <f>'19'!I108</f>
        <v>6.1240624999999973</v>
      </c>
      <c r="J27" s="95">
        <f>'19'!J108</f>
        <v>0.26645833333333335</v>
      </c>
      <c r="K27" s="95">
        <f>'19'!K108</f>
        <v>145.95364583333335</v>
      </c>
      <c r="L27" s="95">
        <f>'19'!L108</f>
        <v>28.114479166666683</v>
      </c>
      <c r="M27" s="95">
        <f>'19'!M108</f>
        <v>78.850520833333334</v>
      </c>
      <c r="N27" s="95">
        <f>'19'!N108</f>
        <v>91.110416666666694</v>
      </c>
      <c r="O27" s="95">
        <f>'19'!O108</f>
        <v>0</v>
      </c>
      <c r="P27" s="95">
        <f>'19'!P108</f>
        <v>0.52958333333333363</v>
      </c>
      <c r="Q27" s="95">
        <f>'19'!Q108</f>
        <v>4.6499999999999995</v>
      </c>
      <c r="R27" s="160"/>
      <c r="S27" s="160"/>
      <c r="T27" s="160"/>
      <c r="U27" s="160"/>
    </row>
    <row r="28" spans="1:21">
      <c r="A28" s="157">
        <f>'20'!$B$2</f>
        <v>45555.010416666664</v>
      </c>
      <c r="B28" s="95">
        <f>'20'!B108</f>
        <v>9.1988541666666688</v>
      </c>
      <c r="C28" s="95">
        <f>'20'!C108</f>
        <v>4.1686458333333345</v>
      </c>
      <c r="D28" s="95">
        <f>'20'!D108</f>
        <v>14.005312499999997</v>
      </c>
      <c r="E28" s="95">
        <f>'20'!E108</f>
        <v>11.104166666666666</v>
      </c>
      <c r="F28" s="95">
        <f>'20'!F108</f>
        <v>7.6303125000000014</v>
      </c>
      <c r="G28" s="95">
        <f>'20'!G108</f>
        <v>83.025937500000012</v>
      </c>
      <c r="H28" s="95">
        <f>'20'!H108</f>
        <v>27.706041666666675</v>
      </c>
      <c r="I28" s="95">
        <f>'20'!I108</f>
        <v>6.8980208333333328</v>
      </c>
      <c r="J28" s="95">
        <f>'20'!J108</f>
        <v>0.33499999999999996</v>
      </c>
      <c r="K28" s="95">
        <f>'20'!K108</f>
        <v>136.00239583333334</v>
      </c>
      <c r="L28" s="95">
        <f>'20'!L108</f>
        <v>29.048437499999991</v>
      </c>
      <c r="M28" s="95">
        <f>'20'!M108</f>
        <v>80.320312500000043</v>
      </c>
      <c r="N28" s="95">
        <f>'20'!N108</f>
        <v>117.08125000000007</v>
      </c>
      <c r="O28" s="95">
        <f>'20'!O108</f>
        <v>0</v>
      </c>
      <c r="P28" s="95">
        <f>'20'!P108</f>
        <v>0.61625000000000008</v>
      </c>
      <c r="Q28" s="95">
        <f>'20'!Q108</f>
        <v>4.6510416666666652</v>
      </c>
      <c r="R28" s="160"/>
      <c r="S28" s="160"/>
      <c r="T28" s="160"/>
      <c r="U28" s="160"/>
    </row>
    <row r="29" spans="1:21">
      <c r="A29" s="157">
        <f>'21'!$B$2</f>
        <v>45556.010416666664</v>
      </c>
      <c r="B29" s="95">
        <f>'21'!B108</f>
        <v>9.2413541666666692</v>
      </c>
      <c r="C29" s="95">
        <f>'21'!C108</f>
        <v>4.1134374999999981</v>
      </c>
      <c r="D29" s="95">
        <f>'21'!D108</f>
        <v>14.009479166666663</v>
      </c>
      <c r="E29" s="95">
        <f>'21'!E108</f>
        <v>14.714375000000002</v>
      </c>
      <c r="F29" s="95">
        <f>'21'!F108</f>
        <v>12.287500000000001</v>
      </c>
      <c r="G29" s="95">
        <f>'21'!G108</f>
        <v>95.986562500000048</v>
      </c>
      <c r="H29" s="95">
        <f>'21'!H108</f>
        <v>33.349895833333328</v>
      </c>
      <c r="I29" s="95">
        <f>'21'!I108</f>
        <v>6.6213541666666664</v>
      </c>
      <c r="J29" s="95">
        <f>'21'!J108</f>
        <v>0.37958333333333322</v>
      </c>
      <c r="K29" s="95">
        <f>'21'!K108</f>
        <v>127.99270833333334</v>
      </c>
      <c r="L29" s="95">
        <f>'21'!L108</f>
        <v>29.771458333333328</v>
      </c>
      <c r="M29" s="95">
        <f>'21'!M108</f>
        <v>80.974166666666619</v>
      </c>
      <c r="N29" s="95">
        <f>'21'!N108</f>
        <v>97.646875000000065</v>
      </c>
      <c r="O29" s="95">
        <f>'21'!O108</f>
        <v>0</v>
      </c>
      <c r="P29" s="95">
        <f>'21'!P108</f>
        <v>0.5886458333333332</v>
      </c>
      <c r="Q29" s="95">
        <f>'21'!Q108</f>
        <v>4.5534374999999985</v>
      </c>
      <c r="R29" s="160"/>
      <c r="S29" s="160"/>
      <c r="T29" s="160"/>
      <c r="U29" s="160"/>
    </row>
    <row r="30" spans="1:21">
      <c r="A30" s="157">
        <f>'22'!$B$2</f>
        <v>45557.010416666664</v>
      </c>
      <c r="B30" s="95">
        <f>'22'!B108</f>
        <v>9.2365625000000033</v>
      </c>
      <c r="C30" s="95">
        <f>'22'!C108</f>
        <v>4.120729166666667</v>
      </c>
      <c r="D30" s="95">
        <f>'22'!D108</f>
        <v>14.00916666666666</v>
      </c>
      <c r="E30" s="95">
        <f>'22'!E108</f>
        <v>13.228333333333332</v>
      </c>
      <c r="F30" s="95">
        <f>'22'!F108</f>
        <v>6.4454166666666639</v>
      </c>
      <c r="G30" s="95">
        <f>'22'!G108</f>
        <v>72.988958333333343</v>
      </c>
      <c r="H30" s="95">
        <f>'22'!H108</f>
        <v>31.681041666666669</v>
      </c>
      <c r="I30" s="95">
        <f>'22'!I108</f>
        <v>6.0178125000000007</v>
      </c>
      <c r="J30" s="95">
        <f>'22'!J108</f>
        <v>0.38291666666666657</v>
      </c>
      <c r="K30" s="95">
        <f>'22'!K108</f>
        <v>141.04593750000001</v>
      </c>
      <c r="L30" s="95">
        <f>'22'!L108</f>
        <v>27.679999999999993</v>
      </c>
      <c r="M30" s="95">
        <f>'22'!M108</f>
        <v>84.048645833333325</v>
      </c>
      <c r="N30" s="95">
        <f>'22'!N108</f>
        <v>87.702083333333363</v>
      </c>
      <c r="O30" s="95">
        <f>'22'!O108</f>
        <v>7.0833333333333331E-2</v>
      </c>
      <c r="P30" s="95">
        <f>'22'!P108</f>
        <v>0.53708333333333358</v>
      </c>
      <c r="Q30" s="95">
        <f>'22'!Q108</f>
        <v>4.6499999999999995</v>
      </c>
      <c r="R30" s="160"/>
      <c r="S30" s="160"/>
      <c r="T30" s="160"/>
      <c r="U30" s="160"/>
    </row>
    <row r="31" spans="1:21">
      <c r="A31" s="157">
        <f>'23'!$B$2</f>
        <v>45558.010416666664</v>
      </c>
      <c r="B31" s="95">
        <f>'23'!B108</f>
        <v>9.2224999999999984</v>
      </c>
      <c r="C31" s="95">
        <f>'23'!C108</f>
        <v>4.1367708333333342</v>
      </c>
      <c r="D31" s="95">
        <f>'23'!D108</f>
        <v>14.006979166666662</v>
      </c>
      <c r="E31" s="95">
        <f>'23'!E108</f>
        <v>12.674062499999998</v>
      </c>
      <c r="F31" s="95">
        <f>'23'!F108</f>
        <v>8.5473958333333329</v>
      </c>
      <c r="G31" s="95">
        <f>'23'!G108</f>
        <v>73.811875000000015</v>
      </c>
      <c r="H31" s="95">
        <f>'23'!H108</f>
        <v>28.03749999999998</v>
      </c>
      <c r="I31" s="95">
        <f>'23'!I108</f>
        <v>5.6015625000000009</v>
      </c>
      <c r="J31" s="95">
        <f>'23'!J108</f>
        <v>0.32229166666666659</v>
      </c>
      <c r="K31" s="95">
        <f>'23'!K108</f>
        <v>102.59343749999999</v>
      </c>
      <c r="L31" s="95">
        <f>'23'!L108</f>
        <v>29.204374999999988</v>
      </c>
      <c r="M31" s="95">
        <f>'23'!M108</f>
        <v>80.649479166666666</v>
      </c>
      <c r="N31" s="95">
        <f>'23'!N108</f>
        <v>126.63541666666661</v>
      </c>
      <c r="O31" s="95">
        <f>'23'!O108</f>
        <v>0</v>
      </c>
      <c r="P31" s="95">
        <f>'23'!P108</f>
        <v>0.50895833333333329</v>
      </c>
      <c r="Q31" s="95">
        <f>'23'!Q108</f>
        <v>4.6494791666666639</v>
      </c>
      <c r="R31" s="160"/>
      <c r="S31" s="178"/>
      <c r="T31" s="160"/>
      <c r="U31" s="160"/>
    </row>
    <row r="32" spans="1:21">
      <c r="A32" s="157">
        <f>'24'!$B$2</f>
        <v>45559.010416666664</v>
      </c>
      <c r="B32" s="95">
        <f>'24'!B108</f>
        <v>9.2833333333333243</v>
      </c>
      <c r="C32" s="95">
        <f>'24'!C108</f>
        <v>4.0833333333333313</v>
      </c>
      <c r="D32" s="95">
        <f>'24'!D108</f>
        <v>14.027916666666648</v>
      </c>
      <c r="E32" s="95">
        <f>'24'!E108</f>
        <v>11.511145833333336</v>
      </c>
      <c r="F32" s="95">
        <f>'24'!F108</f>
        <v>5.5362500000000017</v>
      </c>
      <c r="G32" s="95">
        <f>'24'!G108</f>
        <v>65.608854166666688</v>
      </c>
      <c r="H32" s="95">
        <f>'24'!H108</f>
        <v>21.549062500000002</v>
      </c>
      <c r="I32" s="95">
        <f>'24'!I108</f>
        <v>6.0017708333333397</v>
      </c>
      <c r="J32" s="95">
        <f>'24'!J108</f>
        <v>0.2182291666666667</v>
      </c>
      <c r="K32" s="95">
        <f>'24'!K108</f>
        <v>132.75260416666671</v>
      </c>
      <c r="L32" s="95">
        <f>'24'!L108</f>
        <v>26.774583333333343</v>
      </c>
      <c r="M32" s="95">
        <f>'24'!M108</f>
        <v>88.736041666666665</v>
      </c>
      <c r="N32" s="95">
        <f>'24'!N108</f>
        <v>80.103124999999991</v>
      </c>
      <c r="O32" s="95">
        <f>'24'!O108</f>
        <v>0.12916666666666665</v>
      </c>
      <c r="P32" s="95">
        <f>'24'!P108</f>
        <v>0.5765625000000002</v>
      </c>
      <c r="Q32" s="95">
        <f>'24'!Q108</f>
        <v>4.6518749999999978</v>
      </c>
      <c r="R32" s="160"/>
      <c r="S32" s="160"/>
      <c r="T32" s="160"/>
      <c r="U32" s="160"/>
    </row>
    <row r="33" spans="1:21">
      <c r="A33" s="157">
        <f>'25'!$B$2</f>
        <v>45560.010416666664</v>
      </c>
      <c r="B33" s="95">
        <f>'25'!B108</f>
        <v>9.1813541666666669</v>
      </c>
      <c r="C33" s="95">
        <f>'25'!C108</f>
        <v>4.1875</v>
      </c>
      <c r="D33" s="95">
        <f>'25'!D108</f>
        <v>14.0003125</v>
      </c>
      <c r="E33" s="95">
        <f>'25'!E108</f>
        <v>12.665312500000001</v>
      </c>
      <c r="F33" s="95">
        <f>'25'!F108</f>
        <v>5.3373958333333329</v>
      </c>
      <c r="G33" s="95">
        <f>'25'!G108</f>
        <v>55.715416666666663</v>
      </c>
      <c r="H33" s="95">
        <f>'25'!H108</f>
        <v>18.166562500000005</v>
      </c>
      <c r="I33" s="95">
        <f>'25'!I108</f>
        <v>5.3525000000000018</v>
      </c>
      <c r="J33" s="95">
        <f>'25'!J108</f>
        <v>0.2692708333333334</v>
      </c>
      <c r="K33" s="95">
        <f>'25'!K108</f>
        <v>114.15281250000002</v>
      </c>
      <c r="L33" s="95">
        <f>'25'!L108</f>
        <v>27.233333333333334</v>
      </c>
      <c r="M33" s="95">
        <f>'25'!M108</f>
        <v>89.776562500000026</v>
      </c>
      <c r="N33" s="95">
        <f>'25'!N108</f>
        <v>49.030208333333356</v>
      </c>
      <c r="O33" s="95">
        <f>'25'!O108</f>
        <v>1.4583333333333332E-2</v>
      </c>
      <c r="P33" s="95">
        <f>'25'!P108</f>
        <v>0.45593750000000027</v>
      </c>
      <c r="Q33" s="95">
        <f>'25'!Q108</f>
        <v>4.651041666666667</v>
      </c>
      <c r="R33" s="160"/>
      <c r="S33" s="178"/>
      <c r="T33" s="160"/>
      <c r="U33" s="160"/>
    </row>
    <row r="34" spans="1:21">
      <c r="A34" s="157">
        <f>'26'!$B$2</f>
        <v>45561.010416666664</v>
      </c>
      <c r="B34" s="95">
        <f>'26'!B108</f>
        <v>9.3215625000000042</v>
      </c>
      <c r="C34" s="95">
        <f>'26'!C108</f>
        <v>4.0698958333333337</v>
      </c>
      <c r="D34" s="95">
        <f>'26'!D108</f>
        <v>14.05093749999998</v>
      </c>
      <c r="E34" s="95">
        <f>'26'!E108</f>
        <v>9.0832291666666656</v>
      </c>
      <c r="F34" s="95">
        <f>'26'!F108</f>
        <v>4.7705208333333324</v>
      </c>
      <c r="G34" s="95">
        <f>'26'!G108</f>
        <v>19.585581395348843</v>
      </c>
      <c r="H34" s="95">
        <f>'26'!H108</f>
        <v>7.7589873417721611</v>
      </c>
      <c r="I34" s="95">
        <f>'26'!I108</f>
        <v>4.8276041666666689</v>
      </c>
      <c r="J34" s="95">
        <f>'26'!J108</f>
        <v>0.17916666666666667</v>
      </c>
      <c r="K34" s="95">
        <f>'26'!K108</f>
        <v>214.42937500000002</v>
      </c>
      <c r="L34" s="95">
        <f>'26'!L108</f>
        <v>26.246979166666666</v>
      </c>
      <c r="M34" s="95">
        <f>'26'!M108</f>
        <v>95.568958333333356</v>
      </c>
      <c r="N34" s="95">
        <f>'26'!N108</f>
        <v>35.373958333333327</v>
      </c>
      <c r="O34" s="95">
        <f>'26'!O108</f>
        <v>8.7500000000000008E-2</v>
      </c>
      <c r="P34" s="95">
        <f>'26'!P108</f>
        <v>0.42270833333333346</v>
      </c>
      <c r="Q34" s="95">
        <f>'26'!Q108</f>
        <v>4.6459374999999943</v>
      </c>
      <c r="R34" s="160"/>
      <c r="S34" s="160"/>
      <c r="T34" s="160"/>
      <c r="U34" s="160"/>
    </row>
    <row r="35" spans="1:21">
      <c r="A35" s="157">
        <f>'27'!$B$2</f>
        <v>45562.010416666664</v>
      </c>
      <c r="B35" s="95">
        <f>'27'!B108</f>
        <v>9.2888541666666598</v>
      </c>
      <c r="C35" s="95">
        <f>'27'!C108</f>
        <v>4.0791666666666666</v>
      </c>
      <c r="D35" s="95">
        <f>'27'!D108</f>
        <v>14.029895833333322</v>
      </c>
      <c r="E35" s="95">
        <f>'27'!E108</f>
        <v>10.912083333333333</v>
      </c>
      <c r="F35" s="95">
        <f>'27'!F108</f>
        <v>5.7020833333333343</v>
      </c>
      <c r="G35" s="95">
        <f>'27'!G108</f>
        <v>12.267291666666667</v>
      </c>
      <c r="H35" s="95">
        <f>'27'!H108</f>
        <v>2.8710416666666654</v>
      </c>
      <c r="I35" s="95">
        <f>'27'!I108</f>
        <v>3.5684375000000013</v>
      </c>
      <c r="J35" s="95">
        <f>'27'!J108</f>
        <v>0.18697916666666667</v>
      </c>
      <c r="K35" s="95">
        <f>'27'!K108</f>
        <v>218.32385416666673</v>
      </c>
      <c r="L35" s="95">
        <f>'27'!L108</f>
        <v>27.502083333333328</v>
      </c>
      <c r="M35" s="95">
        <f>'27'!M108</f>
        <v>91.334166666666661</v>
      </c>
      <c r="N35" s="95">
        <f>'27'!N108</f>
        <v>89.421875000000043</v>
      </c>
      <c r="O35" s="95">
        <f>'27'!O108</f>
        <v>8.3333333333333332E-3</v>
      </c>
      <c r="P35" s="95">
        <f>'27'!P108</f>
        <v>0.32145833333333329</v>
      </c>
      <c r="Q35" s="95">
        <f>'27'!Q108</f>
        <v>4.6528124999999987</v>
      </c>
      <c r="R35" s="160"/>
      <c r="S35" s="160"/>
      <c r="T35" s="160"/>
      <c r="U35" s="160"/>
    </row>
    <row r="36" spans="1:21">
      <c r="A36" s="157">
        <f>'28'!$B$2</f>
        <v>45563.010416666664</v>
      </c>
      <c r="B36" s="95">
        <f>'28'!B108</f>
        <v>9.2714583333333369</v>
      </c>
      <c r="C36" s="95">
        <f>'28'!C108</f>
        <v>4.088958333333335</v>
      </c>
      <c r="D36" s="95">
        <f>'28'!D108</f>
        <v>14.020833333333329</v>
      </c>
      <c r="E36" s="95">
        <f>'28'!E108</f>
        <v>9.7321875000000073</v>
      </c>
      <c r="F36" s="95">
        <f>'28'!F108</f>
        <v>6.0279166666666661</v>
      </c>
      <c r="G36" s="95">
        <f>'28'!G108</f>
        <v>21.439166666666683</v>
      </c>
      <c r="H36" s="95">
        <f>'28'!H108</f>
        <v>7.2718750000000014</v>
      </c>
      <c r="I36" s="95">
        <f>'28'!I108</f>
        <v>3.6515624999999989</v>
      </c>
      <c r="J36" s="95">
        <f>'28'!J108</f>
        <v>0.31197916666666664</v>
      </c>
      <c r="K36" s="95">
        <f>'28'!K108</f>
        <v>236.92927083333325</v>
      </c>
      <c r="L36" s="95">
        <f>'28'!L108</f>
        <v>28.030625000000001</v>
      </c>
      <c r="M36" s="95">
        <f>'28'!M108</f>
        <v>86.561041666666654</v>
      </c>
      <c r="N36" s="95">
        <f>'28'!N108</f>
        <v>111.38958333333348</v>
      </c>
      <c r="O36" s="95">
        <f>'28'!O108</f>
        <v>0</v>
      </c>
      <c r="P36" s="95">
        <f>'28'!P108</f>
        <v>0.32447916666666649</v>
      </c>
      <c r="Q36" s="95">
        <f>'28'!Q108</f>
        <v>4.6499999999999986</v>
      </c>
      <c r="R36" s="160"/>
      <c r="S36" s="160"/>
      <c r="T36" s="160"/>
      <c r="U36" s="160"/>
    </row>
    <row r="37" spans="1:21" s="2" customFormat="1">
      <c r="A37" s="157">
        <f>'29'!$B$2</f>
        <v>45564.010416666664</v>
      </c>
      <c r="B37" s="95">
        <f>'29'!B108</f>
        <v>9.1689583333333307</v>
      </c>
      <c r="C37" s="95">
        <f>'29'!C108</f>
        <v>4.2089583333333342</v>
      </c>
      <c r="D37" s="95">
        <f>'29'!D108</f>
        <v>14.001249999999999</v>
      </c>
      <c r="E37" s="95">
        <f>'29'!E108</f>
        <v>9.7969791666666666</v>
      </c>
      <c r="F37" s="95">
        <f>'29'!F108</f>
        <v>6.6551041666666668</v>
      </c>
      <c r="G37" s="95">
        <f>'29'!G108</f>
        <v>29.492916666666677</v>
      </c>
      <c r="H37" s="95">
        <f>'29'!H108</f>
        <v>10.570416666666665</v>
      </c>
      <c r="I37" s="95">
        <f>'29'!I108</f>
        <v>4.6881250000000021</v>
      </c>
      <c r="J37" s="95">
        <f>'29'!J108</f>
        <v>0.25375000000000009</v>
      </c>
      <c r="K37" s="95">
        <f>'29'!K108</f>
        <v>217.37427083333338</v>
      </c>
      <c r="L37" s="95">
        <f>'29'!L108</f>
        <v>28.923437500000006</v>
      </c>
      <c r="M37" s="95">
        <f>'29'!M108</f>
        <v>83.46645833333335</v>
      </c>
      <c r="N37" s="95">
        <f>'29'!N108</f>
        <v>119.18645833333341</v>
      </c>
      <c r="O37" s="95">
        <f>'29'!O108</f>
        <v>0</v>
      </c>
      <c r="P37" s="95">
        <f>'29'!P108</f>
        <v>0.37708333333333327</v>
      </c>
      <c r="Q37" s="95">
        <f>'29'!Q108</f>
        <v>4.6542708333333334</v>
      </c>
      <c r="R37" s="160"/>
      <c r="S37" s="160"/>
      <c r="T37" s="160"/>
      <c r="U37" s="160"/>
    </row>
    <row r="38" spans="1:21" s="2" customFormat="1">
      <c r="A38" s="157">
        <f>'30'!$B$2</f>
        <v>45565.010416666664</v>
      </c>
      <c r="B38" s="95">
        <f>'30'!B108</f>
        <v>9.0978125000000016</v>
      </c>
      <c r="C38" s="95">
        <f>'30'!C108</f>
        <v>4.3163541666666676</v>
      </c>
      <c r="D38" s="95">
        <f>'30'!D108</f>
        <v>14</v>
      </c>
      <c r="E38" s="95">
        <f>'30'!E108</f>
        <v>10.452604166666669</v>
      </c>
      <c r="F38" s="95">
        <f>'30'!F108</f>
        <v>6.953854166666666</v>
      </c>
      <c r="G38" s="95">
        <f>'30'!G108</f>
        <v>41.656875000000007</v>
      </c>
      <c r="H38" s="95">
        <f>'30'!H108</f>
        <v>15.175520833333335</v>
      </c>
      <c r="I38" s="95">
        <f>'30'!I108</f>
        <v>5.6688541666666659</v>
      </c>
      <c r="J38" s="95">
        <f>'30'!J108</f>
        <v>0.28458333333333335</v>
      </c>
      <c r="K38" s="95">
        <f>'30'!K108</f>
        <v>229.76614583333341</v>
      </c>
      <c r="L38" s="95">
        <f>'30'!L108</f>
        <v>28.518333333333342</v>
      </c>
      <c r="M38" s="95">
        <f>'30'!M108</f>
        <v>89.929895833333333</v>
      </c>
      <c r="N38" s="95">
        <f>'30'!N108</f>
        <v>79.237500000000026</v>
      </c>
      <c r="O38" s="95">
        <f>'30'!O108</f>
        <v>6.8749999999999992E-2</v>
      </c>
      <c r="P38" s="95">
        <f>'30'!P108</f>
        <v>0.46010416666666659</v>
      </c>
      <c r="Q38" s="95">
        <f>'30'!Q108</f>
        <v>4.6528124999999978</v>
      </c>
      <c r="R38" s="160"/>
      <c r="S38" s="160"/>
      <c r="T38" s="160"/>
      <c r="U38" s="160"/>
    </row>
    <row r="39" spans="1:21" s="2" customFormat="1">
      <c r="A39" s="144"/>
      <c r="B39" s="160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1"/>
      <c r="S39" s="161"/>
      <c r="T39" s="161"/>
      <c r="U39" s="161"/>
    </row>
    <row r="40" spans="1:21" s="2" customFormat="1">
      <c r="A40" s="144" t="s">
        <v>48</v>
      </c>
      <c r="B40" s="161">
        <f>MIN(B9:B38)</f>
        <v>8.6230107526881721</v>
      </c>
      <c r="C40" s="161">
        <f>MIN(C9:C38)</f>
        <v>4.0665624999999999</v>
      </c>
      <c r="D40" s="161">
        <f>MIN(D9:D38)</f>
        <v>14</v>
      </c>
      <c r="E40" s="161">
        <f>MIN(E9:E38)</f>
        <v>8.7633333333333336</v>
      </c>
      <c r="F40" s="161">
        <f>MIN(F9:F38)</f>
        <v>3.8487500000000008</v>
      </c>
      <c r="G40" s="161">
        <f>MIN(G9:G38)</f>
        <v>11.197708333333329</v>
      </c>
      <c r="H40" s="161">
        <f>MIN(H9:H38)</f>
        <v>2.8710416666666654</v>
      </c>
      <c r="I40" s="161">
        <f>MIN(I9:I38)</f>
        <v>3.0557291666666688</v>
      </c>
      <c r="J40" s="161">
        <f>MIN(J9:J38)</f>
        <v>0.17916666666666667</v>
      </c>
      <c r="K40" s="161">
        <f>MIN(K9:K38)</f>
        <v>69.950104166666634</v>
      </c>
      <c r="L40" s="161">
        <f>MIN(L9:L38)</f>
        <v>25.766875000000002</v>
      </c>
      <c r="M40" s="161">
        <f>MIN(M9:M38)</f>
        <v>72.091354166666648</v>
      </c>
      <c r="N40" s="161">
        <f>MIN(N9:N38)</f>
        <v>27.445833333333354</v>
      </c>
      <c r="O40" s="161">
        <f>MIN(O9:O38)</f>
        <v>0</v>
      </c>
      <c r="P40" s="161">
        <f>MIN(P9:P38)</f>
        <v>0.28541666666666671</v>
      </c>
      <c r="Q40" s="161">
        <f>MIN(Q9:Q38)</f>
        <v>4.5534374999999985</v>
      </c>
      <c r="R40" s="161"/>
      <c r="S40" s="161"/>
      <c r="T40" s="161"/>
      <c r="U40" s="161"/>
    </row>
    <row r="41" spans="1:21" s="2" customFormat="1">
      <c r="A41" s="144" t="s">
        <v>49</v>
      </c>
      <c r="B41" s="161">
        <f>MAX(B9:B38)</f>
        <v>9.3688541666666598</v>
      </c>
      <c r="C41" s="161">
        <f>MAX(C9:C38)</f>
        <v>5.0647311827956996</v>
      </c>
      <c r="D41" s="161">
        <f>MAX(D9:D38)</f>
        <v>14.093333333333334</v>
      </c>
      <c r="E41" s="161">
        <f>MAX(E9:E38)</f>
        <v>14.714375000000002</v>
      </c>
      <c r="F41" s="161">
        <f>MAX(F9:F38)</f>
        <v>12.287500000000001</v>
      </c>
      <c r="G41" s="161">
        <f>MAX(G9:G38)</f>
        <v>95.986562500000048</v>
      </c>
      <c r="H41" s="161">
        <f>MAX(H9:H38)</f>
        <v>33.349895833333328</v>
      </c>
      <c r="I41" s="161">
        <f>MAX(I9:I38)</f>
        <v>6.8980208333333328</v>
      </c>
      <c r="J41" s="161">
        <f>MAX(J9:J38)</f>
        <v>0.84395833333333348</v>
      </c>
      <c r="K41" s="161">
        <f>MAX(K9:K38)</f>
        <v>301.45812499999994</v>
      </c>
      <c r="L41" s="161">
        <f>MAX(L9:L38)</f>
        <v>29.771458333333328</v>
      </c>
      <c r="M41" s="161">
        <f>MAX(M9:M38)</f>
        <v>95.568958333333356</v>
      </c>
      <c r="N41" s="161">
        <f>MAX(N9:N38)</f>
        <v>142.74062500000005</v>
      </c>
      <c r="O41" s="161">
        <f>MAX(O9:O38)</f>
        <v>0.78125000000000011</v>
      </c>
      <c r="P41" s="161">
        <f>MAX(P9:P38)</f>
        <v>0.61625000000000008</v>
      </c>
      <c r="Q41" s="161">
        <f>MAX(Q9:Q38)</f>
        <v>5.0392708333333349</v>
      </c>
      <c r="R41" s="161"/>
      <c r="S41" s="161"/>
      <c r="T41" s="161"/>
      <c r="U41" s="161"/>
    </row>
    <row r="42" spans="1:21" s="2" customFormat="1">
      <c r="A42" s="144" t="s">
        <v>50</v>
      </c>
      <c r="B42" s="161">
        <f>AVERAGE(B9:B38)</f>
        <v>9.2323017473118245</v>
      </c>
      <c r="C42" s="161">
        <f>AVERAGE(C9:C38)</f>
        <v>4.15437645609319</v>
      </c>
      <c r="D42" s="161">
        <f>AVERAGE(D9:D38)</f>
        <v>14.023738911290316</v>
      </c>
      <c r="E42" s="161">
        <f>AVERAGE(E9:E38)</f>
        <v>10.638329179274832</v>
      </c>
      <c r="F42" s="161">
        <f>AVERAGE(F9:F38)</f>
        <v>6.1044990299619704</v>
      </c>
      <c r="G42" s="161">
        <f>AVERAGE(G9:G38)</f>
        <v>44.69635733295766</v>
      </c>
      <c r="H42" s="161">
        <f>AVERAGE(H9:H38)</f>
        <v>14.419968562663815</v>
      </c>
      <c r="I42" s="161">
        <f>AVERAGE(I9:I38)</f>
        <v>4.8749779589371984</v>
      </c>
      <c r="J42" s="161">
        <f>AVERAGE(J9:J38)</f>
        <v>0.41681412529550832</v>
      </c>
      <c r="K42" s="161">
        <f>AVERAGE(K9:K38)</f>
        <v>193.98398300827421</v>
      </c>
      <c r="L42" s="161">
        <f>AVERAGE(L9:L38)</f>
        <v>27.816629802009452</v>
      </c>
      <c r="M42" s="161">
        <f>AVERAGE(M9:M38)</f>
        <v>84.715538268321524</v>
      </c>
      <c r="N42" s="161">
        <f>AVERAGE(N9:N38)</f>
        <v>88.778071069739994</v>
      </c>
      <c r="O42" s="161">
        <f>AVERAGE(O9:O38)</f>
        <v>8.6931146572104004E-2</v>
      </c>
      <c r="P42" s="161">
        <f>AVERAGE(P9:P38)</f>
        <v>0.43055240217120821</v>
      </c>
      <c r="Q42" s="161">
        <f>AVERAGE(Q9:Q38)</f>
        <v>4.7001535326086943</v>
      </c>
      <c r="R42" s="161"/>
      <c r="S42" s="161"/>
      <c r="T42" s="161"/>
      <c r="U42" s="161"/>
    </row>
    <row r="43" spans="1:21" s="2" customFormat="1">
      <c r="A43" s="144" t="s">
        <v>51</v>
      </c>
      <c r="B43" s="161">
        <f>STDEV(B9:B38)</f>
        <v>0.13396793964065112</v>
      </c>
      <c r="C43" s="161">
        <f>STDEV(C9:C38)</f>
        <v>0.18554291280946986</v>
      </c>
      <c r="D43" s="161">
        <f>STDEV(D9:D38)</f>
        <v>2.5182776812455381E-2</v>
      </c>
      <c r="E43" s="161">
        <f>STDEV(E9:E38)</f>
        <v>1.5009949837248986</v>
      </c>
      <c r="F43" s="161">
        <f>STDEV(F9:F38)</f>
        <v>1.6864425140165398</v>
      </c>
      <c r="G43" s="161">
        <f>STDEV(G9:G38)</f>
        <v>23.095706472730441</v>
      </c>
      <c r="H43" s="161">
        <f>STDEV(H9:H38)</f>
        <v>8.961708306138469</v>
      </c>
      <c r="I43" s="161">
        <f>STDEV(I9:I38)</f>
        <v>1.0330957111460304</v>
      </c>
      <c r="J43" s="161">
        <f>STDEV(J9:J38)</f>
        <v>0.21010211474556245</v>
      </c>
      <c r="K43" s="161">
        <f>STDEV(K9:K38)</f>
        <v>68.270896877326933</v>
      </c>
      <c r="L43" s="161">
        <f>STDEV(L9:L38)</f>
        <v>0.94106060380771139</v>
      </c>
      <c r="M43" s="161">
        <f>STDEV(M9:M38)</f>
        <v>5.4718594832396841</v>
      </c>
      <c r="N43" s="161">
        <f>STDEV(N9:N38)</f>
        <v>27.659797782053836</v>
      </c>
      <c r="O43" s="161">
        <f>STDEV(O9:O38)</f>
        <v>0.19596498809180554</v>
      </c>
      <c r="P43" s="161">
        <f>STDEV(P9:P38)</f>
        <v>8.9698423726289098E-2</v>
      </c>
      <c r="Q43" s="161">
        <f>STDEV(Q9:Q38)</f>
        <v>0.13930152895213868</v>
      </c>
      <c r="R43" s="147"/>
      <c r="S43" s="147"/>
      <c r="T43" s="147"/>
      <c r="U43" s="147"/>
    </row>
    <row r="44" spans="1:21" s="2" customFormat="1">
      <c r="A44" s="144" t="s">
        <v>52</v>
      </c>
      <c r="B44" s="147">
        <f>COUNT(B9:B38)</f>
        <v>30</v>
      </c>
      <c r="C44" s="147">
        <f>COUNT(C9:C38)</f>
        <v>30</v>
      </c>
      <c r="D44" s="147">
        <f>COUNT(D9:D38)</f>
        <v>30</v>
      </c>
      <c r="E44" s="147">
        <f>COUNT(E9:E38)</f>
        <v>30</v>
      </c>
      <c r="F44" s="147">
        <f>COUNT(F9:F38)</f>
        <v>30</v>
      </c>
      <c r="G44" s="147">
        <f>COUNT(G9:G38)</f>
        <v>30</v>
      </c>
      <c r="H44" s="147">
        <f>COUNT(H9:H38)</f>
        <v>30</v>
      </c>
      <c r="I44" s="147">
        <f>COUNT(I9:I38)</f>
        <v>30</v>
      </c>
      <c r="J44" s="147">
        <f>COUNT(J9:J38)</f>
        <v>30</v>
      </c>
      <c r="K44" s="147">
        <f>COUNT(K9:K38)</f>
        <v>30</v>
      </c>
      <c r="L44" s="147">
        <f>COUNT(L9:L38)</f>
        <v>30</v>
      </c>
      <c r="M44" s="147">
        <f>COUNT(M9:M38)</f>
        <v>30</v>
      </c>
      <c r="N44" s="147">
        <f>COUNT(N9:N38)</f>
        <v>30</v>
      </c>
      <c r="O44" s="147">
        <f>COUNT(O9:O38)</f>
        <v>30</v>
      </c>
      <c r="P44" s="147">
        <f>COUNT(P9:P38)</f>
        <v>30</v>
      </c>
      <c r="Q44" s="147">
        <f>COUNT(Q9:Q38)</f>
        <v>30</v>
      </c>
      <c r="R44" s="147"/>
      <c r="S44" s="147"/>
      <c r="T44" s="147"/>
      <c r="U44" s="147"/>
    </row>
    <row r="45" spans="1:21">
      <c r="A45" s="144" t="s">
        <v>53</v>
      </c>
      <c r="B45" s="147" t="str">
        <f>IF(B44&gt;=28,"&gt;90%",IF(B44&lt;=28,"&lt;90%"))</f>
        <v>&gt;90%</v>
      </c>
      <c r="C45" s="147" t="str">
        <f t="shared" ref="C45:Q45" si="0">IF(C44&gt;=28,"&gt;90%",IF(C44&lt;=28,"&lt;90%"))</f>
        <v>&gt;90%</v>
      </c>
      <c r="D45" s="147" t="str">
        <f t="shared" si="0"/>
        <v>&gt;90%</v>
      </c>
      <c r="E45" s="147" t="str">
        <f t="shared" si="0"/>
        <v>&gt;90%</v>
      </c>
      <c r="F45" s="147" t="str">
        <f t="shared" si="0"/>
        <v>&gt;90%</v>
      </c>
      <c r="G45" s="147" t="str">
        <f t="shared" si="0"/>
        <v>&gt;90%</v>
      </c>
      <c r="H45" s="147" t="str">
        <f t="shared" si="0"/>
        <v>&gt;90%</v>
      </c>
      <c r="I45" s="147" t="str">
        <f t="shared" si="0"/>
        <v>&gt;90%</v>
      </c>
      <c r="J45" s="147" t="str">
        <f t="shared" si="0"/>
        <v>&gt;90%</v>
      </c>
      <c r="K45" s="147" t="str">
        <f t="shared" si="0"/>
        <v>&gt;90%</v>
      </c>
      <c r="L45" s="147" t="str">
        <f t="shared" si="0"/>
        <v>&gt;90%</v>
      </c>
      <c r="M45" s="147" t="str">
        <f t="shared" si="0"/>
        <v>&gt;90%</v>
      </c>
      <c r="N45" s="147" t="str">
        <f t="shared" si="0"/>
        <v>&gt;90%</v>
      </c>
      <c r="O45" s="147" t="str">
        <f t="shared" si="0"/>
        <v>&gt;90%</v>
      </c>
      <c r="P45" s="147" t="str">
        <f t="shared" si="0"/>
        <v>&gt;90%</v>
      </c>
      <c r="Q45" s="147" t="str">
        <f t="shared" si="0"/>
        <v>&gt;90%</v>
      </c>
      <c r="R45" s="147"/>
      <c r="S45" s="147"/>
      <c r="T45" s="147"/>
      <c r="U45" s="147"/>
    </row>
    <row r="46" spans="1:21">
      <c r="A46" s="144" t="s">
        <v>54</v>
      </c>
      <c r="B46" s="147" t="str">
        <f>IF(B44&gt;=28,"OK",IF(B44&lt;=28,"LESS"))</f>
        <v>OK</v>
      </c>
      <c r="C46" s="147" t="str">
        <f t="shared" ref="C46:Q46" si="1">IF(C44&gt;=28,"OK",IF(C44&lt;=28,"LESS"))</f>
        <v>OK</v>
      </c>
      <c r="D46" s="147" t="str">
        <f t="shared" si="1"/>
        <v>OK</v>
      </c>
      <c r="E46" s="147" t="str">
        <f t="shared" si="1"/>
        <v>OK</v>
      </c>
      <c r="F46" s="147" t="str">
        <f t="shared" si="1"/>
        <v>OK</v>
      </c>
      <c r="G46" s="147" t="str">
        <f t="shared" si="1"/>
        <v>OK</v>
      </c>
      <c r="H46" s="147" t="str">
        <f t="shared" si="1"/>
        <v>OK</v>
      </c>
      <c r="I46" s="147" t="str">
        <f t="shared" si="1"/>
        <v>OK</v>
      </c>
      <c r="J46" s="147" t="str">
        <f t="shared" si="1"/>
        <v>OK</v>
      </c>
      <c r="K46" s="147" t="str">
        <f t="shared" si="1"/>
        <v>OK</v>
      </c>
      <c r="L46" s="147" t="str">
        <f t="shared" si="1"/>
        <v>OK</v>
      </c>
      <c r="M46" s="147" t="str">
        <f t="shared" si="1"/>
        <v>OK</v>
      </c>
      <c r="N46" s="147" t="str">
        <f t="shared" si="1"/>
        <v>OK</v>
      </c>
      <c r="O46" s="147" t="str">
        <f t="shared" si="1"/>
        <v>OK</v>
      </c>
      <c r="P46" s="147" t="str">
        <f t="shared" si="1"/>
        <v>OK</v>
      </c>
      <c r="Q46" s="147" t="str">
        <f t="shared" si="1"/>
        <v>OK</v>
      </c>
      <c r="R46" s="2"/>
      <c r="S46" s="2"/>
      <c r="T46" s="2"/>
    </row>
    <row r="47" spans="1:21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9" spans="1:16">
      <c r="A49" s="144" t="s">
        <v>55</v>
      </c>
      <c r="B49" s="190" t="s">
        <v>56</v>
      </c>
      <c r="C49" s="190"/>
      <c r="D49" s="190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>
      <c r="A50" s="162"/>
      <c r="B50" s="2"/>
      <c r="C50" s="2"/>
      <c r="D50" s="163"/>
      <c r="E50" s="163"/>
      <c r="F50" s="163"/>
      <c r="G50" s="163"/>
      <c r="H50" s="163"/>
      <c r="I50" s="163"/>
      <c r="J50" s="2"/>
      <c r="K50" s="2"/>
      <c r="L50" s="2"/>
      <c r="M50" s="2"/>
      <c r="N50" s="2"/>
      <c r="O50" s="2"/>
      <c r="P50" s="2"/>
    </row>
    <row r="51" spans="1:16" ht="15.75">
      <c r="A51" s="164" t="s">
        <v>57</v>
      </c>
      <c r="B51" s="192"/>
      <c r="C51" s="192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</row>
    <row r="52" spans="1:16">
      <c r="A52" s="16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>
      <c r="A53" s="16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16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</sheetData>
  <mergeCells count="2">
    <mergeCell ref="B49:D49"/>
    <mergeCell ref="B51:P51"/>
  </mergeCells>
  <pageMargins left="0.17" right="0.17" top="0.19" bottom="0.16" header="0.17" footer="0.16"/>
  <pageSetup paperSize="9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>
  <dimension ref="B1:X119"/>
  <sheetViews>
    <sheetView workbookViewId="0">
      <selection activeCell="U8" sqref="U8"/>
    </sheetView>
  </sheetViews>
  <sheetFormatPr defaultColWidth="8.85546875" defaultRowHeight="15"/>
  <cols>
    <col min="1" max="1" width="4.5703125" style="2" customWidth="1"/>
    <col min="2" max="2" width="16.140625" style="86" customWidth="1"/>
    <col min="3" max="3" width="10.28515625" style="2" customWidth="1"/>
    <col min="4" max="7" width="9.140625" style="2" customWidth="1"/>
    <col min="8" max="8" width="9.140625" style="88" customWidth="1"/>
    <col min="9" max="12" width="9.140625" style="2" customWidth="1"/>
    <col min="13" max="13" width="13.28515625" style="2" customWidth="1"/>
    <col min="14" max="14" width="5.7109375" style="2" customWidth="1"/>
    <col min="15" max="15" width="16.140625" style="89" customWidth="1"/>
    <col min="16" max="16" width="10.85546875" style="89" customWidth="1"/>
    <col min="17" max="17" width="15.42578125" style="89" customWidth="1"/>
    <col min="18" max="18" width="13.42578125" style="89" customWidth="1"/>
    <col min="19" max="19" width="16.85546875" style="90" customWidth="1"/>
    <col min="20" max="20" width="10" style="90" customWidth="1"/>
    <col min="21" max="21" width="12.85546875" style="89" customWidth="1"/>
    <col min="22" max="22" width="10.7109375" style="89" customWidth="1"/>
    <col min="23" max="23" width="8.85546875" style="2"/>
    <col min="24" max="24" width="10.85546875" style="2" customWidth="1"/>
    <col min="25" max="16384" width="8.85546875" style="2"/>
  </cols>
  <sheetData>
    <row r="1" spans="2:24" ht="24" customHeight="1">
      <c r="B1" s="2"/>
      <c r="C1" s="91" t="s">
        <v>60</v>
      </c>
      <c r="D1" s="197" t="s">
        <v>61</v>
      </c>
      <c r="E1" s="197"/>
      <c r="F1" s="197"/>
      <c r="G1" s="197"/>
      <c r="H1" s="197"/>
      <c r="I1" s="197"/>
      <c r="J1" s="198"/>
    </row>
    <row r="2" spans="2:24" ht="22.5" customHeight="1">
      <c r="B2" s="2"/>
      <c r="C2" s="91" t="s">
        <v>2</v>
      </c>
      <c r="D2" s="199" t="s">
        <v>62</v>
      </c>
      <c r="E2" s="200"/>
      <c r="F2" s="200"/>
      <c r="G2" s="200"/>
      <c r="H2" s="200"/>
      <c r="I2" s="200"/>
      <c r="J2" s="201"/>
    </row>
    <row r="4" spans="2:24">
      <c r="S4" s="89"/>
      <c r="T4" s="89"/>
      <c r="U4" s="90"/>
      <c r="V4" s="90"/>
      <c r="W4" s="89"/>
      <c r="X4" s="89"/>
    </row>
    <row r="5" spans="2:24">
      <c r="B5" s="92"/>
      <c r="C5" s="93"/>
      <c r="D5" s="93"/>
      <c r="E5" s="93"/>
      <c r="F5" s="93"/>
      <c r="G5" s="195" t="s">
        <v>63</v>
      </c>
      <c r="H5" s="195"/>
      <c r="I5" s="93"/>
      <c r="J5" s="93"/>
      <c r="K5" s="93"/>
      <c r="L5" s="93"/>
      <c r="M5" s="107"/>
      <c r="O5" s="108"/>
      <c r="P5" s="109"/>
      <c r="Q5" s="109"/>
      <c r="R5" s="109"/>
      <c r="S5" s="127" t="s">
        <v>64</v>
      </c>
      <c r="T5" s="109"/>
      <c r="U5" s="128"/>
      <c r="V5" s="128"/>
      <c r="W5" s="109"/>
      <c r="X5" s="129"/>
    </row>
    <row r="6" spans="2:24">
      <c r="B6" s="94"/>
      <c r="C6" s="6"/>
      <c r="D6" s="6"/>
      <c r="E6" s="6"/>
      <c r="F6" s="6"/>
      <c r="G6" s="6"/>
      <c r="H6" s="95"/>
      <c r="I6" s="6"/>
      <c r="J6" s="6"/>
      <c r="K6" s="6"/>
      <c r="L6" s="6"/>
      <c r="M6" s="110"/>
      <c r="O6" s="111"/>
      <c r="P6" s="112"/>
      <c r="Q6" s="112"/>
      <c r="R6" s="112"/>
      <c r="S6" s="112"/>
      <c r="T6" s="112"/>
      <c r="U6" s="130"/>
      <c r="V6" s="130"/>
      <c r="W6" s="112"/>
      <c r="X6" s="131"/>
    </row>
    <row r="7" spans="2:24" ht="15.75">
      <c r="B7" s="96" t="s">
        <v>65</v>
      </c>
      <c r="C7" s="97" t="s">
        <v>66</v>
      </c>
      <c r="D7" s="97" t="s">
        <v>67</v>
      </c>
      <c r="E7" s="97" t="s">
        <v>68</v>
      </c>
      <c r="F7" s="97" t="s">
        <v>69</v>
      </c>
      <c r="G7" s="97" t="s">
        <v>70</v>
      </c>
      <c r="H7" s="98" t="s">
        <v>71</v>
      </c>
      <c r="I7" s="97" t="s">
        <v>72</v>
      </c>
      <c r="J7" s="97" t="s">
        <v>73</v>
      </c>
      <c r="K7" s="97" t="s">
        <v>74</v>
      </c>
      <c r="L7" s="97" t="s">
        <v>54</v>
      </c>
      <c r="M7" s="39" t="s">
        <v>75</v>
      </c>
      <c r="O7" s="113" t="s">
        <v>65</v>
      </c>
      <c r="P7" s="114" t="s">
        <v>66</v>
      </c>
      <c r="Q7" s="114" t="s">
        <v>76</v>
      </c>
      <c r="R7" s="114" t="s">
        <v>11</v>
      </c>
      <c r="S7" s="114" t="s">
        <v>77</v>
      </c>
      <c r="T7" s="114" t="s">
        <v>78</v>
      </c>
      <c r="U7" s="132" t="s">
        <v>79</v>
      </c>
      <c r="V7" s="132" t="s">
        <v>80</v>
      </c>
      <c r="W7" s="114" t="s">
        <v>54</v>
      </c>
      <c r="X7" s="133" t="s">
        <v>75</v>
      </c>
    </row>
    <row r="8" spans="2:24" ht="15.75">
      <c r="B8" s="82">
        <v>45542.616666666669</v>
      </c>
      <c r="C8" s="6" t="s">
        <v>63</v>
      </c>
      <c r="D8" s="6" t="s">
        <v>39</v>
      </c>
      <c r="E8" s="6">
        <v>0</v>
      </c>
      <c r="F8" s="6">
        <v>200</v>
      </c>
      <c r="G8" s="6">
        <v>0</v>
      </c>
      <c r="H8" s="95">
        <v>199.1</v>
      </c>
      <c r="I8" s="6">
        <v>0</v>
      </c>
      <c r="J8" s="95">
        <f>F8/H8</f>
        <v>1.0045203415369162</v>
      </c>
      <c r="K8" s="95">
        <f>(H8-F8)*100/F8</f>
        <v>-0.45000000000000284</v>
      </c>
      <c r="L8" s="6" t="s">
        <v>81</v>
      </c>
      <c r="M8" s="115" t="s">
        <v>56</v>
      </c>
      <c r="O8" s="82">
        <v>45511.578472222223</v>
      </c>
      <c r="P8" s="112" t="s">
        <v>64</v>
      </c>
      <c r="Q8" s="112">
        <v>4801.87</v>
      </c>
      <c r="R8" s="112">
        <v>3678.2</v>
      </c>
      <c r="S8" s="134" t="s">
        <v>82</v>
      </c>
      <c r="T8" s="134">
        <v>860.32</v>
      </c>
      <c r="U8" s="130">
        <v>0.96489999999999998</v>
      </c>
      <c r="V8" s="130">
        <v>0.96899999999999997</v>
      </c>
      <c r="W8" s="6" t="s">
        <v>81</v>
      </c>
      <c r="X8" s="115" t="s">
        <v>56</v>
      </c>
    </row>
    <row r="9" spans="2:24" ht="15.75">
      <c r="B9" s="82">
        <v>45556.552083333336</v>
      </c>
      <c r="C9" s="6" t="s">
        <v>63</v>
      </c>
      <c r="D9" s="6" t="s">
        <v>39</v>
      </c>
      <c r="E9" s="6">
        <v>0</v>
      </c>
      <c r="F9" s="6">
        <v>200</v>
      </c>
      <c r="G9" s="6">
        <v>0</v>
      </c>
      <c r="H9" s="95">
        <v>198.5</v>
      </c>
      <c r="I9" s="6">
        <v>0</v>
      </c>
      <c r="J9" s="95">
        <f t="shared" ref="J9:J14" si="0">F9/H9</f>
        <v>1.0075566750629723</v>
      </c>
      <c r="K9" s="95">
        <f t="shared" ref="K9:K14" si="1">(H9-F9)*100/F9</f>
        <v>-0.75</v>
      </c>
      <c r="L9" s="6" t="s">
        <v>81</v>
      </c>
      <c r="M9" s="115" t="s">
        <v>56</v>
      </c>
      <c r="O9" s="82">
        <v>45547.555555555555</v>
      </c>
      <c r="P9" s="112" t="s">
        <v>64</v>
      </c>
      <c r="Q9" s="112">
        <v>4640.13</v>
      </c>
      <c r="R9" s="112">
        <v>3554.2</v>
      </c>
      <c r="S9" s="134" t="s">
        <v>82</v>
      </c>
      <c r="T9" s="134">
        <v>860.33</v>
      </c>
      <c r="U9" s="130">
        <v>0.96899999999999997</v>
      </c>
      <c r="V9" s="130">
        <v>0.97309999999999997</v>
      </c>
      <c r="W9" s="6" t="s">
        <v>81</v>
      </c>
      <c r="X9" s="115" t="s">
        <v>56</v>
      </c>
    </row>
    <row r="10" spans="2:24" ht="15.75">
      <c r="B10" s="82"/>
      <c r="C10" s="6" t="s">
        <v>63</v>
      </c>
      <c r="D10" s="6" t="s">
        <v>39</v>
      </c>
      <c r="E10" s="6">
        <v>0</v>
      </c>
      <c r="F10" s="6">
        <v>200</v>
      </c>
      <c r="G10" s="6">
        <v>0</v>
      </c>
      <c r="H10" s="95"/>
      <c r="I10" s="6">
        <v>0</v>
      </c>
      <c r="J10" s="95" t="e">
        <f t="shared" si="0"/>
        <v>#DIV/0!</v>
      </c>
      <c r="K10" s="95">
        <f t="shared" si="1"/>
        <v>-100</v>
      </c>
      <c r="L10" s="6" t="s">
        <v>81</v>
      </c>
      <c r="M10" s="115" t="s">
        <v>56</v>
      </c>
      <c r="O10" s="82">
        <v>45561.535416666666</v>
      </c>
      <c r="P10" s="112" t="s">
        <v>64</v>
      </c>
      <c r="Q10" s="112">
        <v>5167.46</v>
      </c>
      <c r="R10" s="112">
        <v>3966.36</v>
      </c>
      <c r="S10" s="134" t="s">
        <v>82</v>
      </c>
      <c r="T10" s="134">
        <v>863.24</v>
      </c>
      <c r="U10" s="130">
        <v>0.97309999999999997</v>
      </c>
      <c r="V10" s="130">
        <v>0.97399999999999998</v>
      </c>
      <c r="W10" s="6" t="s">
        <v>81</v>
      </c>
      <c r="X10" s="115" t="s">
        <v>56</v>
      </c>
    </row>
    <row r="11" spans="2:24" ht="15.75">
      <c r="B11" s="82"/>
      <c r="C11" s="6" t="s">
        <v>63</v>
      </c>
      <c r="D11" s="6" t="s">
        <v>39</v>
      </c>
      <c r="E11" s="6">
        <v>0</v>
      </c>
      <c r="F11" s="6">
        <v>200</v>
      </c>
      <c r="G11" s="6">
        <v>0</v>
      </c>
      <c r="H11" s="95"/>
      <c r="I11" s="6">
        <v>0</v>
      </c>
      <c r="J11" s="95" t="e">
        <f t="shared" si="0"/>
        <v>#DIV/0!</v>
      </c>
      <c r="K11" s="95">
        <f t="shared" si="1"/>
        <v>-100</v>
      </c>
      <c r="L11" s="6" t="s">
        <v>81</v>
      </c>
      <c r="M11" s="115" t="s">
        <v>56</v>
      </c>
      <c r="O11" s="82"/>
      <c r="P11" s="112" t="s">
        <v>64</v>
      </c>
      <c r="Q11" s="112"/>
      <c r="R11" s="112"/>
      <c r="S11" s="134" t="s">
        <v>82</v>
      </c>
      <c r="T11" s="134"/>
      <c r="U11" s="130"/>
      <c r="V11" s="130"/>
      <c r="W11" s="6" t="s">
        <v>81</v>
      </c>
      <c r="X11" s="115" t="s">
        <v>56</v>
      </c>
    </row>
    <row r="12" spans="2:24" ht="15.75">
      <c r="B12" s="82"/>
      <c r="C12" s="6" t="s">
        <v>63</v>
      </c>
      <c r="D12" s="6" t="s">
        <v>39</v>
      </c>
      <c r="E12" s="6">
        <v>0</v>
      </c>
      <c r="F12" s="6">
        <v>200</v>
      </c>
      <c r="G12" s="6">
        <v>0</v>
      </c>
      <c r="H12" s="95"/>
      <c r="I12" s="6">
        <v>0</v>
      </c>
      <c r="J12" s="95" t="e">
        <f t="shared" si="0"/>
        <v>#DIV/0!</v>
      </c>
      <c r="K12" s="95">
        <f t="shared" si="1"/>
        <v>-100</v>
      </c>
      <c r="L12" s="6" t="s">
        <v>81</v>
      </c>
      <c r="M12" s="115" t="s">
        <v>56</v>
      </c>
      <c r="O12" s="82"/>
      <c r="P12" s="112" t="s">
        <v>64</v>
      </c>
      <c r="Q12" s="112"/>
      <c r="R12" s="112"/>
      <c r="S12" s="134" t="s">
        <v>82</v>
      </c>
      <c r="T12" s="134"/>
      <c r="U12" s="130"/>
      <c r="V12" s="130"/>
      <c r="W12" s="6" t="s">
        <v>81</v>
      </c>
      <c r="X12" s="115" t="s">
        <v>56</v>
      </c>
    </row>
    <row r="13" spans="2:24" ht="15.75">
      <c r="B13" s="82"/>
      <c r="C13" s="6" t="s">
        <v>63</v>
      </c>
      <c r="D13" s="6" t="s">
        <v>39</v>
      </c>
      <c r="E13" s="6">
        <v>0</v>
      </c>
      <c r="F13" s="6">
        <v>200</v>
      </c>
      <c r="G13" s="6">
        <v>0</v>
      </c>
      <c r="H13" s="95"/>
      <c r="I13" s="6">
        <v>0</v>
      </c>
      <c r="J13" s="95" t="e">
        <f t="shared" si="0"/>
        <v>#DIV/0!</v>
      </c>
      <c r="K13" s="95">
        <f t="shared" si="1"/>
        <v>-100</v>
      </c>
      <c r="L13" s="6" t="s">
        <v>81</v>
      </c>
      <c r="M13" s="115" t="s">
        <v>56</v>
      </c>
      <c r="O13" s="82"/>
      <c r="P13" s="112" t="s">
        <v>64</v>
      </c>
      <c r="Q13" s="112"/>
      <c r="R13" s="112"/>
      <c r="S13" s="134" t="s">
        <v>82</v>
      </c>
      <c r="T13" s="134"/>
      <c r="U13" s="130"/>
      <c r="V13" s="130"/>
      <c r="W13" s="6" t="s">
        <v>81</v>
      </c>
      <c r="X13" s="115" t="s">
        <v>56</v>
      </c>
    </row>
    <row r="14" spans="2:24" ht="15.75">
      <c r="B14" s="82"/>
      <c r="C14" s="6" t="s">
        <v>63</v>
      </c>
      <c r="D14" s="6" t="s">
        <v>39</v>
      </c>
      <c r="E14" s="6">
        <v>0</v>
      </c>
      <c r="F14" s="6">
        <v>200</v>
      </c>
      <c r="G14" s="6">
        <v>0</v>
      </c>
      <c r="H14" s="95"/>
      <c r="I14" s="6">
        <v>0</v>
      </c>
      <c r="J14" s="95" t="e">
        <f t="shared" si="0"/>
        <v>#DIV/0!</v>
      </c>
      <c r="K14" s="95">
        <f t="shared" si="1"/>
        <v>-100</v>
      </c>
      <c r="L14" s="6" t="s">
        <v>81</v>
      </c>
      <c r="M14" s="115" t="s">
        <v>56</v>
      </c>
      <c r="O14" s="82"/>
      <c r="P14" s="112" t="s">
        <v>64</v>
      </c>
      <c r="Q14" s="112"/>
      <c r="R14" s="112"/>
      <c r="S14" s="134" t="s">
        <v>82</v>
      </c>
      <c r="T14" s="134"/>
      <c r="U14" s="130"/>
      <c r="V14" s="130"/>
      <c r="W14" s="6" t="s">
        <v>81</v>
      </c>
      <c r="X14" s="115" t="s">
        <v>56</v>
      </c>
    </row>
    <row r="15" spans="2:24" ht="15.75">
      <c r="B15" s="82"/>
      <c r="C15" s="6"/>
      <c r="D15" s="6"/>
      <c r="E15" s="6"/>
      <c r="F15" s="6"/>
      <c r="G15" s="6"/>
      <c r="H15" s="95"/>
      <c r="I15" s="6"/>
      <c r="J15" s="95"/>
      <c r="K15" s="95"/>
      <c r="L15" s="6"/>
      <c r="M15" s="116"/>
      <c r="O15" s="82"/>
      <c r="P15" s="112" t="s">
        <v>64</v>
      </c>
      <c r="Q15" s="112"/>
      <c r="R15" s="112"/>
      <c r="S15" s="134" t="s">
        <v>82</v>
      </c>
      <c r="T15" s="134"/>
      <c r="U15" s="130"/>
      <c r="V15" s="130"/>
      <c r="W15" s="6" t="s">
        <v>81</v>
      </c>
      <c r="X15" s="115"/>
    </row>
    <row r="16" spans="2:24" ht="15.75">
      <c r="B16" s="82"/>
      <c r="C16" s="6"/>
      <c r="D16" s="6"/>
      <c r="E16" s="6"/>
      <c r="F16" s="6"/>
      <c r="G16" s="6"/>
      <c r="H16" s="95"/>
      <c r="I16" s="6"/>
      <c r="J16" s="95"/>
      <c r="K16" s="95"/>
      <c r="L16" s="6"/>
      <c r="M16" s="116"/>
      <c r="O16" s="82"/>
      <c r="P16" s="112" t="s">
        <v>64</v>
      </c>
      <c r="Q16" s="112"/>
      <c r="R16" s="112"/>
      <c r="S16" s="134" t="s">
        <v>82</v>
      </c>
      <c r="T16" s="134"/>
      <c r="U16" s="130"/>
      <c r="V16" s="130"/>
      <c r="W16" s="6" t="s">
        <v>81</v>
      </c>
      <c r="X16" s="115"/>
    </row>
    <row r="17" spans="2:24" ht="15.75">
      <c r="B17" s="82"/>
      <c r="C17" s="6"/>
      <c r="D17" s="6"/>
      <c r="E17" s="6"/>
      <c r="F17" s="6"/>
      <c r="G17" s="6"/>
      <c r="H17" s="95"/>
      <c r="I17" s="6"/>
      <c r="J17" s="95"/>
      <c r="K17" s="95"/>
      <c r="L17" s="6"/>
      <c r="M17" s="116"/>
      <c r="O17" s="82"/>
      <c r="P17" s="112" t="s">
        <v>64</v>
      </c>
      <c r="Q17" s="112"/>
      <c r="R17" s="112"/>
      <c r="S17" s="134" t="s">
        <v>82</v>
      </c>
      <c r="T17" s="134"/>
      <c r="U17" s="130"/>
      <c r="V17" s="130"/>
      <c r="W17" s="6"/>
      <c r="X17" s="115"/>
    </row>
    <row r="18" spans="2:24" ht="15.75">
      <c r="B18" s="83"/>
      <c r="C18" s="6"/>
      <c r="D18" s="6"/>
      <c r="E18" s="6"/>
      <c r="F18" s="6"/>
      <c r="G18" s="6"/>
      <c r="H18" s="95"/>
      <c r="I18" s="6"/>
      <c r="J18" s="95"/>
      <c r="K18" s="95"/>
      <c r="L18" s="6"/>
      <c r="M18" s="116"/>
      <c r="O18" s="117"/>
      <c r="P18" s="112"/>
      <c r="Q18" s="112"/>
      <c r="R18" s="112"/>
      <c r="S18" s="134"/>
      <c r="T18" s="134"/>
      <c r="U18" s="130"/>
      <c r="V18" s="130"/>
      <c r="W18" s="6"/>
      <c r="X18" s="115"/>
    </row>
    <row r="19" spans="2:24" ht="15.75">
      <c r="B19" s="83"/>
      <c r="C19" s="6"/>
      <c r="D19" s="6"/>
      <c r="E19" s="6"/>
      <c r="F19" s="6"/>
      <c r="G19" s="6"/>
      <c r="H19" s="95"/>
      <c r="I19" s="6"/>
      <c r="J19" s="95"/>
      <c r="K19" s="95"/>
      <c r="L19" s="6"/>
      <c r="M19" s="116"/>
      <c r="O19" s="118"/>
      <c r="P19" s="112"/>
      <c r="Q19" s="112"/>
      <c r="R19" s="112"/>
      <c r="S19" s="134"/>
      <c r="T19" s="134"/>
      <c r="U19" s="130"/>
      <c r="V19" s="130"/>
      <c r="W19" s="6"/>
      <c r="X19" s="115"/>
    </row>
    <row r="20" spans="2:24" ht="15.75">
      <c r="B20" s="83"/>
      <c r="C20" s="6"/>
      <c r="D20" s="6"/>
      <c r="E20" s="6"/>
      <c r="F20" s="6"/>
      <c r="G20" s="6"/>
      <c r="H20" s="95"/>
      <c r="I20" s="6"/>
      <c r="J20" s="95"/>
      <c r="K20" s="95"/>
      <c r="L20" s="6"/>
      <c r="M20" s="116"/>
      <c r="O20" s="118"/>
      <c r="P20" s="112"/>
      <c r="Q20" s="112"/>
      <c r="R20" s="112"/>
      <c r="S20" s="134"/>
      <c r="T20" s="134"/>
      <c r="U20" s="130"/>
      <c r="V20" s="130"/>
      <c r="W20" s="6"/>
      <c r="X20" s="115"/>
    </row>
    <row r="21" spans="2:24">
      <c r="B21" s="99"/>
      <c r="C21" s="193" t="s">
        <v>83</v>
      </c>
      <c r="D21" s="193"/>
      <c r="E21" s="193"/>
      <c r="F21" s="193"/>
      <c r="G21" s="193"/>
      <c r="H21" s="193"/>
      <c r="I21" s="119">
        <f>COUNT(B8:B20)</f>
        <v>2</v>
      </c>
      <c r="J21" s="120"/>
      <c r="K21" s="120"/>
      <c r="L21" s="106"/>
      <c r="M21" s="121"/>
      <c r="O21" s="122"/>
      <c r="P21" s="196" t="s">
        <v>84</v>
      </c>
      <c r="Q21" s="196"/>
      <c r="R21" s="196"/>
      <c r="S21" s="196"/>
      <c r="T21" s="135">
        <f>COUNT(O8:O20)</f>
        <v>3</v>
      </c>
      <c r="U21" s="136"/>
      <c r="V21" s="136"/>
      <c r="W21" s="137"/>
      <c r="X21" s="138"/>
    </row>
    <row r="22" spans="2:24">
      <c r="C22" s="100"/>
      <c r="D22" s="100"/>
      <c r="E22" s="100"/>
      <c r="F22" s="100"/>
      <c r="G22" s="100"/>
      <c r="H22" s="101"/>
      <c r="J22" s="88"/>
      <c r="K22" s="88"/>
      <c r="S22" s="89"/>
      <c r="T22" s="89"/>
      <c r="U22" s="90"/>
      <c r="V22" s="90"/>
      <c r="W22" s="89"/>
      <c r="X22" s="89"/>
    </row>
    <row r="23" spans="2:24">
      <c r="J23" s="88"/>
      <c r="K23" s="88"/>
      <c r="S23" s="89"/>
      <c r="T23" s="89"/>
      <c r="U23" s="90"/>
      <c r="V23" s="90"/>
      <c r="W23" s="89"/>
      <c r="X23" s="89"/>
    </row>
    <row r="24" spans="2:24">
      <c r="B24" s="92"/>
      <c r="C24" s="102"/>
      <c r="D24" s="102"/>
      <c r="E24" s="102"/>
      <c r="F24" s="102"/>
      <c r="G24" s="194" t="s">
        <v>85</v>
      </c>
      <c r="H24" s="194"/>
      <c r="I24" s="93"/>
      <c r="J24" s="123"/>
      <c r="K24" s="123"/>
      <c r="L24" s="93"/>
      <c r="M24" s="107"/>
      <c r="O24" s="108"/>
      <c r="P24" s="109"/>
      <c r="Q24" s="109"/>
      <c r="R24" s="109"/>
      <c r="S24" s="127" t="s">
        <v>29</v>
      </c>
      <c r="T24" s="109"/>
      <c r="U24" s="128"/>
      <c r="V24" s="128"/>
      <c r="W24" s="109"/>
      <c r="X24" s="129"/>
    </row>
    <row r="25" spans="2:24">
      <c r="B25" s="103"/>
      <c r="C25" s="104"/>
      <c r="D25" s="104"/>
      <c r="E25" s="104"/>
      <c r="F25" s="104"/>
      <c r="G25" s="105"/>
      <c r="H25" s="105"/>
      <c r="I25" s="105"/>
      <c r="J25" s="124"/>
      <c r="K25" s="124"/>
      <c r="L25" s="105"/>
      <c r="M25" s="125"/>
      <c r="O25" s="111"/>
      <c r="P25" s="112"/>
      <c r="Q25" s="112"/>
      <c r="R25" s="112"/>
      <c r="S25" s="112"/>
      <c r="T25" s="112"/>
      <c r="U25" s="130"/>
      <c r="V25" s="130"/>
      <c r="W25" s="112"/>
      <c r="X25" s="131"/>
    </row>
    <row r="26" spans="2:24" ht="15.75">
      <c r="B26" s="96" t="s">
        <v>65</v>
      </c>
      <c r="C26" s="97" t="s">
        <v>66</v>
      </c>
      <c r="D26" s="97" t="s">
        <v>67</v>
      </c>
      <c r="E26" s="97" t="s">
        <v>68</v>
      </c>
      <c r="F26" s="97" t="s">
        <v>69</v>
      </c>
      <c r="G26" s="97" t="s">
        <v>70</v>
      </c>
      <c r="H26" s="98" t="s">
        <v>71</v>
      </c>
      <c r="I26" s="97" t="s">
        <v>72</v>
      </c>
      <c r="J26" s="97" t="s">
        <v>73</v>
      </c>
      <c r="K26" s="97" t="s">
        <v>74</v>
      </c>
      <c r="L26" s="97" t="s">
        <v>54</v>
      </c>
      <c r="M26" s="39" t="s">
        <v>75</v>
      </c>
      <c r="O26" s="113" t="s">
        <v>65</v>
      </c>
      <c r="P26" s="114" t="s">
        <v>66</v>
      </c>
      <c r="Q26" s="114" t="s">
        <v>76</v>
      </c>
      <c r="R26" s="114" t="s">
        <v>11</v>
      </c>
      <c r="S26" s="114" t="s">
        <v>77</v>
      </c>
      <c r="T26" s="114" t="s">
        <v>78</v>
      </c>
      <c r="U26" s="132" t="s">
        <v>79</v>
      </c>
      <c r="V26" s="132" t="s">
        <v>80</v>
      </c>
      <c r="W26" s="114" t="s">
        <v>54</v>
      </c>
      <c r="X26" s="133" t="s">
        <v>75</v>
      </c>
    </row>
    <row r="27" spans="2:24" ht="15.75">
      <c r="B27" s="82"/>
      <c r="C27" s="6" t="s">
        <v>86</v>
      </c>
      <c r="D27" s="6" t="s">
        <v>39</v>
      </c>
      <c r="E27" s="6">
        <v>0</v>
      </c>
      <c r="F27" s="6">
        <v>200</v>
      </c>
      <c r="G27" s="6"/>
      <c r="H27" s="95"/>
      <c r="I27" s="6">
        <v>0</v>
      </c>
      <c r="J27" s="95" t="e">
        <f>F27/H27</f>
        <v>#DIV/0!</v>
      </c>
      <c r="K27" s="95">
        <f>(H27-F27)*100/F27</f>
        <v>-100</v>
      </c>
      <c r="L27" s="6" t="s">
        <v>81</v>
      </c>
      <c r="M27" s="115" t="s">
        <v>56</v>
      </c>
      <c r="O27" s="82">
        <v>45511.578472222223</v>
      </c>
      <c r="P27" s="112" t="s">
        <v>29</v>
      </c>
      <c r="Q27" s="112">
        <v>4571.8500000000004</v>
      </c>
      <c r="R27" s="112">
        <v>3542.08</v>
      </c>
      <c r="S27" s="134" t="s">
        <v>87</v>
      </c>
      <c r="T27" s="134">
        <v>780.03</v>
      </c>
      <c r="U27" s="130">
        <v>0.91549999999999998</v>
      </c>
      <c r="V27" s="130">
        <v>0.92600000000000005</v>
      </c>
      <c r="W27" s="6" t="s">
        <v>81</v>
      </c>
      <c r="X27" s="115" t="s">
        <v>56</v>
      </c>
    </row>
    <row r="28" spans="2:24" ht="15.75">
      <c r="B28" s="82"/>
      <c r="C28" s="6" t="s">
        <v>86</v>
      </c>
      <c r="D28" s="6" t="s">
        <v>39</v>
      </c>
      <c r="E28" s="6">
        <v>0</v>
      </c>
      <c r="F28" s="6">
        <v>200</v>
      </c>
      <c r="G28" s="6"/>
      <c r="H28" s="95"/>
      <c r="I28" s="6">
        <v>0</v>
      </c>
      <c r="J28" s="95" t="e">
        <f t="shared" ref="J28:J33" si="2">F28/H28</f>
        <v>#DIV/0!</v>
      </c>
      <c r="K28" s="95">
        <f t="shared" ref="K28:K33" si="3">(H28-F28)*100/F28</f>
        <v>-100</v>
      </c>
      <c r="L28" s="6" t="s">
        <v>81</v>
      </c>
      <c r="M28" s="115" t="s">
        <v>56</v>
      </c>
      <c r="O28" s="82">
        <v>45547.555555555555</v>
      </c>
      <c r="P28" s="112" t="s">
        <v>29</v>
      </c>
      <c r="Q28" s="112">
        <v>4497.63</v>
      </c>
      <c r="R28" s="112">
        <v>3458.28</v>
      </c>
      <c r="S28" s="134" t="s">
        <v>87</v>
      </c>
      <c r="T28" s="134">
        <v>809.68</v>
      </c>
      <c r="U28" s="130">
        <v>0.92600000000000005</v>
      </c>
      <c r="V28" s="130">
        <v>0.90239999999999998</v>
      </c>
      <c r="W28" s="6" t="s">
        <v>81</v>
      </c>
      <c r="X28" s="115" t="s">
        <v>56</v>
      </c>
    </row>
    <row r="29" spans="2:24" ht="15.75">
      <c r="B29" s="82"/>
      <c r="C29" s="6" t="s">
        <v>86</v>
      </c>
      <c r="D29" s="6" t="s">
        <v>39</v>
      </c>
      <c r="E29" s="6">
        <v>0</v>
      </c>
      <c r="F29" s="6">
        <v>200</v>
      </c>
      <c r="G29" s="6"/>
      <c r="H29" s="95"/>
      <c r="I29" s="6">
        <v>0</v>
      </c>
      <c r="J29" s="95" t="e">
        <f t="shared" si="2"/>
        <v>#DIV/0!</v>
      </c>
      <c r="K29" s="95">
        <f t="shared" si="3"/>
        <v>-100</v>
      </c>
      <c r="L29" s="6" t="s">
        <v>81</v>
      </c>
      <c r="M29" s="115" t="s">
        <v>56</v>
      </c>
      <c r="O29" s="82">
        <v>45561.535416666666</v>
      </c>
      <c r="P29" s="112" t="s">
        <v>29</v>
      </c>
      <c r="Q29" s="112">
        <v>4942.91</v>
      </c>
      <c r="R29" s="112">
        <v>3834.29</v>
      </c>
      <c r="S29" s="134" t="s">
        <v>87</v>
      </c>
      <c r="T29" s="134">
        <v>766.45</v>
      </c>
      <c r="U29" s="130">
        <v>0.90239999999999998</v>
      </c>
      <c r="V29" s="130">
        <v>0.92889999999999995</v>
      </c>
      <c r="W29" s="6" t="s">
        <v>81</v>
      </c>
      <c r="X29" s="115" t="s">
        <v>56</v>
      </c>
    </row>
    <row r="30" spans="2:24" ht="15.75">
      <c r="B30" s="82"/>
      <c r="C30" s="6" t="s">
        <v>86</v>
      </c>
      <c r="D30" s="6" t="s">
        <v>39</v>
      </c>
      <c r="E30" s="6">
        <v>0</v>
      </c>
      <c r="F30" s="6">
        <v>200</v>
      </c>
      <c r="G30" s="6"/>
      <c r="H30" s="95"/>
      <c r="I30" s="6">
        <v>0</v>
      </c>
      <c r="J30" s="95" t="e">
        <f t="shared" si="2"/>
        <v>#DIV/0!</v>
      </c>
      <c r="K30" s="95">
        <f t="shared" si="3"/>
        <v>-100</v>
      </c>
      <c r="L30" s="6" t="s">
        <v>81</v>
      </c>
      <c r="M30" s="115" t="s">
        <v>56</v>
      </c>
      <c r="O30" s="82"/>
      <c r="P30" s="112" t="s">
        <v>29</v>
      </c>
      <c r="Q30" s="112"/>
      <c r="R30" s="112"/>
      <c r="S30" s="134" t="s">
        <v>87</v>
      </c>
      <c r="T30" s="134"/>
      <c r="U30" s="130"/>
      <c r="V30" s="130"/>
      <c r="W30" s="6" t="s">
        <v>81</v>
      </c>
      <c r="X30" s="115" t="s">
        <v>56</v>
      </c>
    </row>
    <row r="31" spans="2:24" ht="15.75">
      <c r="B31" s="82"/>
      <c r="C31" s="6" t="s">
        <v>86</v>
      </c>
      <c r="D31" s="6" t="s">
        <v>39</v>
      </c>
      <c r="E31" s="6">
        <v>0</v>
      </c>
      <c r="F31" s="6">
        <v>200</v>
      </c>
      <c r="G31" s="6"/>
      <c r="H31" s="95"/>
      <c r="I31" s="6">
        <v>0</v>
      </c>
      <c r="J31" s="95" t="e">
        <f t="shared" si="2"/>
        <v>#DIV/0!</v>
      </c>
      <c r="K31" s="95">
        <f t="shared" si="3"/>
        <v>-100</v>
      </c>
      <c r="L31" s="6" t="s">
        <v>81</v>
      </c>
      <c r="M31" s="115" t="s">
        <v>56</v>
      </c>
      <c r="O31" s="82"/>
      <c r="P31" s="112" t="s">
        <v>29</v>
      </c>
      <c r="Q31" s="112"/>
      <c r="R31" s="112"/>
      <c r="S31" s="134" t="s">
        <v>87</v>
      </c>
      <c r="T31" s="134"/>
      <c r="U31" s="130"/>
      <c r="V31" s="130"/>
      <c r="W31" s="6" t="s">
        <v>81</v>
      </c>
      <c r="X31" s="115" t="s">
        <v>56</v>
      </c>
    </row>
    <row r="32" spans="2:24" ht="15.75">
      <c r="B32" s="82"/>
      <c r="C32" s="6" t="s">
        <v>86</v>
      </c>
      <c r="D32" s="6" t="s">
        <v>39</v>
      </c>
      <c r="E32" s="6">
        <v>0</v>
      </c>
      <c r="F32" s="6">
        <v>200</v>
      </c>
      <c r="G32" s="6"/>
      <c r="H32" s="95"/>
      <c r="I32" s="6">
        <v>0</v>
      </c>
      <c r="J32" s="95" t="e">
        <f t="shared" si="2"/>
        <v>#DIV/0!</v>
      </c>
      <c r="K32" s="95">
        <f t="shared" si="3"/>
        <v>-100</v>
      </c>
      <c r="L32" s="6" t="s">
        <v>81</v>
      </c>
      <c r="M32" s="115" t="s">
        <v>56</v>
      </c>
      <c r="O32" s="82"/>
      <c r="P32" s="112" t="s">
        <v>29</v>
      </c>
      <c r="Q32" s="112"/>
      <c r="R32" s="112"/>
      <c r="S32" s="134" t="s">
        <v>87</v>
      </c>
      <c r="T32" s="134"/>
      <c r="U32" s="130"/>
      <c r="V32" s="130"/>
      <c r="W32" s="6" t="s">
        <v>81</v>
      </c>
      <c r="X32" s="115" t="s">
        <v>56</v>
      </c>
    </row>
    <row r="33" spans="2:24" ht="15.75">
      <c r="B33" s="82"/>
      <c r="C33" s="6" t="s">
        <v>86</v>
      </c>
      <c r="D33" s="6" t="s">
        <v>39</v>
      </c>
      <c r="E33" s="6">
        <v>0</v>
      </c>
      <c r="F33" s="6">
        <v>200</v>
      </c>
      <c r="G33" s="6"/>
      <c r="H33" s="95"/>
      <c r="I33" s="6">
        <v>0</v>
      </c>
      <c r="J33" s="95" t="e">
        <f t="shared" si="2"/>
        <v>#DIV/0!</v>
      </c>
      <c r="K33" s="95">
        <f t="shared" si="3"/>
        <v>-100</v>
      </c>
      <c r="L33" s="6" t="s">
        <v>81</v>
      </c>
      <c r="M33" s="115" t="s">
        <v>56</v>
      </c>
      <c r="O33" s="82"/>
      <c r="P33" s="112" t="s">
        <v>29</v>
      </c>
      <c r="Q33" s="112"/>
      <c r="R33" s="112"/>
      <c r="S33" s="134" t="s">
        <v>87</v>
      </c>
      <c r="T33" s="134"/>
      <c r="U33" s="130"/>
      <c r="V33" s="130"/>
      <c r="W33" s="6" t="s">
        <v>81</v>
      </c>
      <c r="X33" s="115" t="s">
        <v>56</v>
      </c>
    </row>
    <row r="34" spans="2:24" ht="15.75">
      <c r="B34" s="82"/>
      <c r="C34" s="6"/>
      <c r="D34" s="6"/>
      <c r="E34" s="6"/>
      <c r="F34" s="6"/>
      <c r="G34" s="6"/>
      <c r="H34" s="95"/>
      <c r="I34" s="6"/>
      <c r="J34" s="95"/>
      <c r="K34" s="95"/>
      <c r="L34" s="6"/>
      <c r="M34" s="116"/>
      <c r="O34" s="82"/>
      <c r="P34" s="112" t="s">
        <v>29</v>
      </c>
      <c r="Q34" s="112"/>
      <c r="R34" s="112"/>
      <c r="S34" s="134" t="s">
        <v>87</v>
      </c>
      <c r="T34" s="134"/>
      <c r="U34" s="130"/>
      <c r="V34" s="130"/>
      <c r="W34" s="6" t="s">
        <v>81</v>
      </c>
      <c r="X34" s="115"/>
    </row>
    <row r="35" spans="2:24" ht="15.75">
      <c r="B35" s="82"/>
      <c r="C35" s="6"/>
      <c r="D35" s="6"/>
      <c r="E35" s="6"/>
      <c r="F35" s="6"/>
      <c r="G35" s="6"/>
      <c r="H35" s="95"/>
      <c r="I35" s="6"/>
      <c r="J35" s="95"/>
      <c r="K35" s="95"/>
      <c r="L35" s="6"/>
      <c r="M35" s="116"/>
      <c r="O35" s="82"/>
      <c r="P35" s="112" t="s">
        <v>29</v>
      </c>
      <c r="Q35" s="112"/>
      <c r="R35" s="112"/>
      <c r="S35" s="134" t="s">
        <v>87</v>
      </c>
      <c r="T35" s="134"/>
      <c r="U35" s="130"/>
      <c r="V35" s="130"/>
      <c r="W35" s="6" t="s">
        <v>81</v>
      </c>
      <c r="X35" s="115"/>
    </row>
    <row r="36" spans="2:24" ht="15.75">
      <c r="B36" s="82"/>
      <c r="C36" s="6"/>
      <c r="D36" s="6"/>
      <c r="E36" s="6"/>
      <c r="F36" s="6"/>
      <c r="G36" s="6"/>
      <c r="H36" s="95"/>
      <c r="I36" s="6"/>
      <c r="J36" s="95"/>
      <c r="K36" s="95"/>
      <c r="L36" s="6"/>
      <c r="M36" s="116"/>
      <c r="O36" s="82"/>
      <c r="P36" s="112" t="s">
        <v>29</v>
      </c>
      <c r="Q36" s="112"/>
      <c r="R36" s="112"/>
      <c r="S36" s="134" t="s">
        <v>87</v>
      </c>
      <c r="T36" s="134"/>
      <c r="U36" s="130"/>
      <c r="V36" s="130"/>
      <c r="W36" s="6"/>
      <c r="X36" s="115"/>
    </row>
    <row r="37" spans="2:24" ht="15.75">
      <c r="B37" s="83"/>
      <c r="C37" s="6"/>
      <c r="D37" s="6"/>
      <c r="E37" s="6"/>
      <c r="F37" s="6"/>
      <c r="G37" s="6"/>
      <c r="H37" s="95"/>
      <c r="I37" s="6"/>
      <c r="J37" s="95"/>
      <c r="K37" s="95"/>
      <c r="L37" s="6"/>
      <c r="M37" s="116"/>
      <c r="O37" s="117"/>
      <c r="P37" s="112" t="s">
        <v>29</v>
      </c>
      <c r="Q37" s="112"/>
      <c r="R37" s="112"/>
      <c r="S37" s="134" t="s">
        <v>87</v>
      </c>
      <c r="T37" s="134"/>
      <c r="U37" s="130"/>
      <c r="V37" s="130"/>
      <c r="W37" s="6"/>
      <c r="X37" s="115"/>
    </row>
    <row r="38" spans="2:24" ht="15.75">
      <c r="B38" s="83"/>
      <c r="C38" s="6"/>
      <c r="D38" s="6"/>
      <c r="E38" s="6"/>
      <c r="F38" s="6"/>
      <c r="G38" s="6"/>
      <c r="H38" s="95"/>
      <c r="I38" s="6"/>
      <c r="J38" s="95"/>
      <c r="K38" s="95"/>
      <c r="L38" s="6"/>
      <c r="M38" s="116"/>
      <c r="O38" s="118"/>
      <c r="P38" s="112"/>
      <c r="Q38" s="112"/>
      <c r="R38" s="112"/>
      <c r="S38" s="134"/>
      <c r="T38" s="134"/>
      <c r="U38" s="130"/>
      <c r="V38" s="130"/>
      <c r="W38" s="6"/>
      <c r="X38" s="115"/>
    </row>
    <row r="39" spans="2:24" ht="15.75">
      <c r="B39" s="83"/>
      <c r="C39" s="6"/>
      <c r="D39" s="6"/>
      <c r="E39" s="6"/>
      <c r="F39" s="6"/>
      <c r="G39" s="6"/>
      <c r="H39" s="95"/>
      <c r="I39" s="6"/>
      <c r="J39" s="95"/>
      <c r="K39" s="95"/>
      <c r="L39" s="6"/>
      <c r="M39" s="116"/>
      <c r="O39" s="118"/>
      <c r="P39" s="112"/>
      <c r="Q39" s="112"/>
      <c r="R39" s="112"/>
      <c r="S39" s="134"/>
      <c r="T39" s="134"/>
      <c r="U39" s="130"/>
      <c r="V39" s="130"/>
      <c r="W39" s="6"/>
      <c r="X39" s="115"/>
    </row>
    <row r="40" spans="2:24" ht="15.75">
      <c r="B40" s="94"/>
      <c r="C40" s="6"/>
      <c r="D40" s="6"/>
      <c r="E40" s="6"/>
      <c r="F40" s="6"/>
      <c r="G40" s="6"/>
      <c r="H40" s="95"/>
      <c r="I40" s="6"/>
      <c r="J40" s="95"/>
      <c r="K40" s="95"/>
      <c r="L40" s="6"/>
      <c r="M40" s="116"/>
      <c r="O40" s="122"/>
      <c r="P40" s="196" t="s">
        <v>88</v>
      </c>
      <c r="Q40" s="196"/>
      <c r="R40" s="196"/>
      <c r="S40" s="196"/>
      <c r="T40" s="135">
        <f>COUNT(O27:O39)</f>
        <v>3</v>
      </c>
      <c r="U40" s="136"/>
      <c r="V40" s="136"/>
      <c r="W40" s="137"/>
      <c r="X40" s="138"/>
    </row>
    <row r="41" spans="2:24">
      <c r="B41" s="99"/>
      <c r="C41" s="106"/>
      <c r="D41" s="193" t="s">
        <v>89</v>
      </c>
      <c r="E41" s="193"/>
      <c r="F41" s="193"/>
      <c r="G41" s="193"/>
      <c r="H41" s="193"/>
      <c r="I41" s="193"/>
      <c r="J41" s="126">
        <f>COUNT(B27:B39)</f>
        <v>0</v>
      </c>
      <c r="K41" s="120"/>
      <c r="L41" s="106"/>
      <c r="M41" s="121"/>
      <c r="S41" s="89"/>
      <c r="T41" s="89"/>
      <c r="U41" s="90"/>
      <c r="V41" s="90"/>
      <c r="W41" s="89"/>
      <c r="X41" s="89"/>
    </row>
    <row r="44" spans="2:24">
      <c r="B44" s="92"/>
      <c r="C44" s="102"/>
      <c r="D44" s="102"/>
      <c r="E44" s="102"/>
      <c r="F44" s="102"/>
      <c r="G44" s="194" t="s">
        <v>38</v>
      </c>
      <c r="H44" s="194"/>
      <c r="I44" s="93"/>
      <c r="J44" s="123"/>
      <c r="K44" s="123"/>
      <c r="L44" s="93"/>
      <c r="M44" s="107"/>
    </row>
    <row r="45" spans="2:24">
      <c r="B45" s="94"/>
      <c r="C45" s="6"/>
      <c r="D45" s="6"/>
      <c r="E45" s="6"/>
      <c r="F45" s="6"/>
      <c r="G45" s="6"/>
      <c r="H45" s="95"/>
      <c r="I45" s="6"/>
      <c r="J45" s="95"/>
      <c r="K45" s="95"/>
      <c r="L45" s="6"/>
      <c r="M45" s="110"/>
    </row>
    <row r="46" spans="2:24" ht="15.75">
      <c r="B46" s="96" t="s">
        <v>65</v>
      </c>
      <c r="C46" s="97" t="s">
        <v>66</v>
      </c>
      <c r="D46" s="97" t="s">
        <v>67</v>
      </c>
      <c r="E46" s="97" t="s">
        <v>68</v>
      </c>
      <c r="F46" s="97" t="s">
        <v>69</v>
      </c>
      <c r="G46" s="97" t="s">
        <v>70</v>
      </c>
      <c r="H46" s="98" t="s">
        <v>71</v>
      </c>
      <c r="I46" s="97" t="s">
        <v>72</v>
      </c>
      <c r="J46" s="97" t="s">
        <v>73</v>
      </c>
      <c r="K46" s="97" t="s">
        <v>74</v>
      </c>
      <c r="L46" s="97" t="s">
        <v>54</v>
      </c>
      <c r="M46" s="39" t="s">
        <v>75</v>
      </c>
    </row>
    <row r="47" spans="2:24" ht="15.75">
      <c r="B47" s="82"/>
      <c r="C47" s="6" t="s">
        <v>38</v>
      </c>
      <c r="D47" s="6" t="s">
        <v>39</v>
      </c>
      <c r="E47" s="6">
        <v>0</v>
      </c>
      <c r="F47" s="6">
        <v>400</v>
      </c>
      <c r="G47" s="6">
        <v>0</v>
      </c>
      <c r="H47" s="95"/>
      <c r="I47" s="6">
        <v>0</v>
      </c>
      <c r="J47" s="95" t="e">
        <f>F47/H47</f>
        <v>#DIV/0!</v>
      </c>
      <c r="K47" s="95">
        <f>(H47-F47)*100/F47</f>
        <v>-100</v>
      </c>
      <c r="L47" s="6" t="s">
        <v>81</v>
      </c>
      <c r="M47" s="115" t="s">
        <v>56</v>
      </c>
    </row>
    <row r="48" spans="2:24" ht="15.75">
      <c r="B48" s="82"/>
      <c r="C48" s="6" t="s">
        <v>38</v>
      </c>
      <c r="D48" s="6" t="s">
        <v>39</v>
      </c>
      <c r="E48" s="6">
        <v>0</v>
      </c>
      <c r="F48" s="6">
        <v>400</v>
      </c>
      <c r="G48" s="6">
        <v>0</v>
      </c>
      <c r="H48" s="95"/>
      <c r="I48" s="6">
        <v>0</v>
      </c>
      <c r="J48" s="95" t="e">
        <f>F48/H48</f>
        <v>#DIV/0!</v>
      </c>
      <c r="K48" s="95">
        <f>(H48-F48)*100/F48</f>
        <v>-100</v>
      </c>
      <c r="L48" s="6" t="s">
        <v>81</v>
      </c>
      <c r="M48" s="115" t="s">
        <v>56</v>
      </c>
    </row>
    <row r="49" spans="2:13" ht="15.75">
      <c r="B49" s="82"/>
      <c r="C49" s="6" t="s">
        <v>38</v>
      </c>
      <c r="D49" s="6" t="s">
        <v>39</v>
      </c>
      <c r="E49" s="6">
        <v>0</v>
      </c>
      <c r="F49" s="6">
        <v>400</v>
      </c>
      <c r="G49" s="6">
        <v>0</v>
      </c>
      <c r="H49" s="95"/>
      <c r="I49" s="6">
        <v>0</v>
      </c>
      <c r="J49" s="95" t="e">
        <f>F49/H49</f>
        <v>#DIV/0!</v>
      </c>
      <c r="K49" s="95">
        <f>(H49-F49)*100/F49</f>
        <v>-100</v>
      </c>
      <c r="L49" s="6" t="s">
        <v>81</v>
      </c>
      <c r="M49" s="115" t="s">
        <v>56</v>
      </c>
    </row>
    <row r="50" spans="2:13" ht="15.75">
      <c r="B50" s="82"/>
      <c r="C50" s="6" t="s">
        <v>38</v>
      </c>
      <c r="D50" s="6" t="s">
        <v>39</v>
      </c>
      <c r="E50" s="6">
        <v>0</v>
      </c>
      <c r="F50" s="6">
        <v>400</v>
      </c>
      <c r="G50" s="6">
        <v>0</v>
      </c>
      <c r="H50" s="95"/>
      <c r="I50" s="6">
        <v>0</v>
      </c>
      <c r="J50" s="95" t="e">
        <f>F50/H50</f>
        <v>#DIV/0!</v>
      </c>
      <c r="K50" s="95">
        <f>(H50-F50)*100/F50</f>
        <v>-100</v>
      </c>
      <c r="L50" s="6" t="s">
        <v>81</v>
      </c>
      <c r="M50" s="115" t="s">
        <v>56</v>
      </c>
    </row>
    <row r="51" spans="2:13" ht="15.75">
      <c r="B51" s="82"/>
      <c r="C51" s="6" t="s">
        <v>38</v>
      </c>
      <c r="D51" s="6" t="s">
        <v>39</v>
      </c>
      <c r="E51" s="6">
        <v>0</v>
      </c>
      <c r="F51" s="6">
        <v>400</v>
      </c>
      <c r="G51" s="6">
        <v>0</v>
      </c>
      <c r="H51" s="95"/>
      <c r="I51" s="6">
        <v>0</v>
      </c>
      <c r="J51" s="95" t="e">
        <f>F51/H51</f>
        <v>#DIV/0!</v>
      </c>
      <c r="K51" s="95">
        <f>(H51-F51)*100/F51</f>
        <v>-100</v>
      </c>
      <c r="L51" s="6" t="s">
        <v>81</v>
      </c>
      <c r="M51" s="115" t="s">
        <v>56</v>
      </c>
    </row>
    <row r="52" spans="2:13" ht="15.75">
      <c r="B52" s="83"/>
      <c r="C52" s="6"/>
      <c r="D52" s="6"/>
      <c r="E52" s="6"/>
      <c r="F52" s="6"/>
      <c r="G52" s="6"/>
      <c r="H52" s="95"/>
      <c r="I52" s="6"/>
      <c r="J52" s="95"/>
      <c r="K52" s="95"/>
      <c r="L52" s="6"/>
      <c r="M52" s="115" t="s">
        <v>56</v>
      </c>
    </row>
    <row r="53" spans="2:13" ht="15.75">
      <c r="B53" s="83"/>
      <c r="C53" s="6"/>
      <c r="D53" s="6"/>
      <c r="E53" s="6"/>
      <c r="F53" s="6"/>
      <c r="G53" s="6"/>
      <c r="H53" s="95"/>
      <c r="I53" s="6"/>
      <c r="J53" s="95"/>
      <c r="K53" s="95"/>
      <c r="L53" s="6"/>
      <c r="M53" s="115" t="s">
        <v>56</v>
      </c>
    </row>
    <row r="54" spans="2:13" ht="15.75">
      <c r="B54" s="83"/>
      <c r="C54" s="6"/>
      <c r="D54" s="6"/>
      <c r="E54" s="6"/>
      <c r="F54" s="6"/>
      <c r="G54" s="6"/>
      <c r="H54" s="95"/>
      <c r="I54" s="6"/>
      <c r="J54" s="95"/>
      <c r="K54" s="95"/>
      <c r="L54" s="6"/>
      <c r="M54" s="116"/>
    </row>
    <row r="55" spans="2:13" ht="15.75">
      <c r="B55" s="83"/>
      <c r="C55" s="6"/>
      <c r="D55" s="6"/>
      <c r="E55" s="6"/>
      <c r="F55" s="6"/>
      <c r="G55" s="6"/>
      <c r="H55" s="95"/>
      <c r="I55" s="6"/>
      <c r="J55" s="95"/>
      <c r="K55" s="95"/>
      <c r="L55" s="6"/>
      <c r="M55" s="116"/>
    </row>
    <row r="56" spans="2:13" ht="15.75">
      <c r="B56" s="83"/>
      <c r="C56" s="6"/>
      <c r="D56" s="6"/>
      <c r="E56" s="6"/>
      <c r="F56" s="6"/>
      <c r="G56" s="6"/>
      <c r="H56" s="95"/>
      <c r="I56" s="6"/>
      <c r="J56" s="95"/>
      <c r="K56" s="95"/>
      <c r="L56" s="6"/>
      <c r="M56" s="116"/>
    </row>
    <row r="57" spans="2:13" ht="15.75">
      <c r="B57" s="83"/>
      <c r="C57" s="6"/>
      <c r="D57" s="6"/>
      <c r="E57" s="6"/>
      <c r="F57" s="6"/>
      <c r="G57" s="6"/>
      <c r="H57" s="95"/>
      <c r="I57" s="6"/>
      <c r="J57" s="95"/>
      <c r="K57" s="95"/>
      <c r="L57" s="6"/>
      <c r="M57" s="116"/>
    </row>
    <row r="58" spans="2:13" ht="15.75">
      <c r="B58" s="83"/>
      <c r="C58" s="6"/>
      <c r="D58" s="6"/>
      <c r="E58" s="6"/>
      <c r="F58" s="6"/>
      <c r="G58" s="6"/>
      <c r="H58" s="95"/>
      <c r="I58" s="6"/>
      <c r="J58" s="95"/>
      <c r="K58" s="95"/>
      <c r="L58" s="6"/>
      <c r="M58" s="116"/>
    </row>
    <row r="59" spans="2:13" ht="15.75">
      <c r="B59" s="83"/>
      <c r="C59" s="6"/>
      <c r="D59" s="6"/>
      <c r="E59" s="6"/>
      <c r="F59" s="6"/>
      <c r="G59" s="6"/>
      <c r="H59" s="95"/>
      <c r="I59" s="6"/>
      <c r="J59" s="95"/>
      <c r="K59" s="95"/>
      <c r="L59" s="6"/>
      <c r="M59" s="116"/>
    </row>
    <row r="60" spans="2:13" ht="15.75">
      <c r="B60" s="94"/>
      <c r="C60" s="6"/>
      <c r="D60" s="6"/>
      <c r="E60" s="6"/>
      <c r="F60" s="6"/>
      <c r="G60" s="6"/>
      <c r="H60" s="95"/>
      <c r="I60" s="6"/>
      <c r="J60" s="95"/>
      <c r="K60" s="95"/>
      <c r="L60" s="6"/>
      <c r="M60" s="116"/>
    </row>
    <row r="61" spans="2:13">
      <c r="B61" s="99"/>
      <c r="C61" s="106"/>
      <c r="D61" s="193" t="s">
        <v>90</v>
      </c>
      <c r="E61" s="193"/>
      <c r="F61" s="193"/>
      <c r="G61" s="193"/>
      <c r="H61" s="193"/>
      <c r="I61" s="193"/>
      <c r="J61" s="126">
        <f>COUNT(B47:B59)</f>
        <v>0</v>
      </c>
      <c r="K61" s="120"/>
      <c r="L61" s="106"/>
      <c r="M61" s="121"/>
    </row>
    <row r="64" spans="2:13">
      <c r="B64" s="92"/>
      <c r="C64" s="102"/>
      <c r="D64" s="102"/>
      <c r="E64" s="102"/>
      <c r="F64" s="102"/>
      <c r="G64" s="194" t="s">
        <v>37</v>
      </c>
      <c r="H64" s="194"/>
      <c r="I64" s="93"/>
      <c r="J64" s="123"/>
      <c r="K64" s="123"/>
      <c r="L64" s="93"/>
      <c r="M64" s="107"/>
    </row>
    <row r="65" spans="2:13">
      <c r="B65" s="94"/>
      <c r="C65" s="6"/>
      <c r="D65" s="6"/>
      <c r="E65" s="6"/>
      <c r="F65" s="6"/>
      <c r="G65" s="6"/>
      <c r="H65" s="95"/>
      <c r="I65" s="6"/>
      <c r="J65" s="95"/>
      <c r="K65" s="95"/>
      <c r="L65" s="6"/>
      <c r="M65" s="110"/>
    </row>
    <row r="66" spans="2:13" ht="15.75">
      <c r="B66" s="96" t="s">
        <v>65</v>
      </c>
      <c r="C66" s="97" t="s">
        <v>66</v>
      </c>
      <c r="D66" s="97" t="s">
        <v>67</v>
      </c>
      <c r="E66" s="97" t="s">
        <v>68</v>
      </c>
      <c r="F66" s="97" t="s">
        <v>69</v>
      </c>
      <c r="G66" s="97" t="s">
        <v>70</v>
      </c>
      <c r="H66" s="98" t="s">
        <v>71</v>
      </c>
      <c r="I66" s="97" t="s">
        <v>72</v>
      </c>
      <c r="J66" s="97" t="s">
        <v>73</v>
      </c>
      <c r="K66" s="97" t="s">
        <v>74</v>
      </c>
      <c r="L66" s="97" t="s">
        <v>54</v>
      </c>
      <c r="M66" s="39" t="s">
        <v>75</v>
      </c>
    </row>
    <row r="67" spans="2:13" ht="15.75">
      <c r="B67" s="82">
        <v>45542.579861111109</v>
      </c>
      <c r="C67" s="6" t="s">
        <v>37</v>
      </c>
      <c r="D67" s="6" t="s">
        <v>47</v>
      </c>
      <c r="E67" s="6">
        <v>0</v>
      </c>
      <c r="F67" s="6">
        <v>5</v>
      </c>
      <c r="G67" s="6">
        <v>0</v>
      </c>
      <c r="H67" s="139">
        <v>4.8</v>
      </c>
      <c r="I67" s="6">
        <v>0</v>
      </c>
      <c r="J67" s="95">
        <f>F67/H67</f>
        <v>1.0416666666666667</v>
      </c>
      <c r="K67" s="95">
        <f>(H67-F67)*100/F67</f>
        <v>-4.0000000000000036</v>
      </c>
      <c r="L67" s="6" t="s">
        <v>81</v>
      </c>
      <c r="M67" s="115" t="s">
        <v>56</v>
      </c>
    </row>
    <row r="68" spans="2:13" ht="15.75">
      <c r="B68" s="82">
        <v>45547.564583333333</v>
      </c>
      <c r="C68" s="6" t="s">
        <v>37</v>
      </c>
      <c r="D68" s="6" t="s">
        <v>47</v>
      </c>
      <c r="E68" s="6">
        <v>0</v>
      </c>
      <c r="F68" s="6">
        <v>5</v>
      </c>
      <c r="G68" s="6">
        <v>0</v>
      </c>
      <c r="H68" s="95">
        <v>5.19</v>
      </c>
      <c r="I68" s="6">
        <v>0</v>
      </c>
      <c r="J68" s="95">
        <f t="shared" ref="J68:J73" si="4">F68/H68</f>
        <v>0.96339113680154131</v>
      </c>
      <c r="K68" s="95">
        <f t="shared" ref="K68:K73" si="5">(H68-F68)*100/F68</f>
        <v>3.8000000000000078</v>
      </c>
      <c r="L68" s="6" t="s">
        <v>81</v>
      </c>
      <c r="M68" s="115" t="s">
        <v>56</v>
      </c>
    </row>
    <row r="69" spans="2:13" ht="15.75">
      <c r="B69" s="82"/>
      <c r="C69" s="6" t="s">
        <v>37</v>
      </c>
      <c r="D69" s="6" t="s">
        <v>47</v>
      </c>
      <c r="E69" s="6">
        <v>0</v>
      </c>
      <c r="F69" s="6">
        <v>5</v>
      </c>
      <c r="G69" s="6">
        <v>0</v>
      </c>
      <c r="H69" s="95"/>
      <c r="I69" s="6">
        <v>0</v>
      </c>
      <c r="J69" s="95" t="e">
        <f t="shared" si="4"/>
        <v>#DIV/0!</v>
      </c>
      <c r="K69" s="95">
        <f t="shared" si="5"/>
        <v>-100</v>
      </c>
      <c r="L69" s="6" t="s">
        <v>81</v>
      </c>
      <c r="M69" s="115" t="s">
        <v>56</v>
      </c>
    </row>
    <row r="70" spans="2:13" ht="15.75">
      <c r="B70" s="82"/>
      <c r="C70" s="6" t="s">
        <v>37</v>
      </c>
      <c r="D70" s="6" t="s">
        <v>47</v>
      </c>
      <c r="E70" s="6">
        <v>0</v>
      </c>
      <c r="F70" s="6">
        <v>5</v>
      </c>
      <c r="G70" s="6">
        <v>0</v>
      </c>
      <c r="H70" s="95"/>
      <c r="I70" s="6">
        <v>0</v>
      </c>
      <c r="J70" s="95" t="e">
        <f t="shared" si="4"/>
        <v>#DIV/0!</v>
      </c>
      <c r="K70" s="95">
        <f t="shared" si="5"/>
        <v>-100</v>
      </c>
      <c r="L70" s="6" t="s">
        <v>81</v>
      </c>
      <c r="M70" s="115" t="s">
        <v>56</v>
      </c>
    </row>
    <row r="71" spans="2:13" ht="15.75">
      <c r="B71" s="82"/>
      <c r="C71" s="6" t="s">
        <v>37</v>
      </c>
      <c r="D71" s="6" t="s">
        <v>47</v>
      </c>
      <c r="E71" s="6">
        <v>0</v>
      </c>
      <c r="F71" s="6">
        <v>5</v>
      </c>
      <c r="G71" s="6">
        <v>0</v>
      </c>
      <c r="H71" s="139"/>
      <c r="I71" s="6">
        <v>0</v>
      </c>
      <c r="J71" s="95" t="e">
        <f t="shared" si="4"/>
        <v>#DIV/0!</v>
      </c>
      <c r="K71" s="95">
        <f t="shared" si="5"/>
        <v>-100</v>
      </c>
      <c r="L71" s="6" t="s">
        <v>81</v>
      </c>
      <c r="M71" s="115" t="s">
        <v>56</v>
      </c>
    </row>
    <row r="72" spans="2:13" ht="15.75">
      <c r="B72" s="82"/>
      <c r="C72" s="6" t="s">
        <v>37</v>
      </c>
      <c r="D72" s="6" t="s">
        <v>47</v>
      </c>
      <c r="E72" s="6">
        <v>0</v>
      </c>
      <c r="F72" s="6">
        <v>5</v>
      </c>
      <c r="G72" s="6">
        <v>0</v>
      </c>
      <c r="H72" s="139"/>
      <c r="I72" s="6">
        <v>0</v>
      </c>
      <c r="J72" s="95" t="e">
        <f t="shared" si="4"/>
        <v>#DIV/0!</v>
      </c>
      <c r="K72" s="95">
        <f t="shared" si="5"/>
        <v>-100</v>
      </c>
      <c r="L72" s="6" t="s">
        <v>81</v>
      </c>
      <c r="M72" s="115" t="s">
        <v>56</v>
      </c>
    </row>
    <row r="73" spans="2:13" ht="15.75">
      <c r="B73" s="82"/>
      <c r="C73" s="6" t="s">
        <v>37</v>
      </c>
      <c r="D73" s="6" t="s">
        <v>47</v>
      </c>
      <c r="E73" s="6">
        <v>0</v>
      </c>
      <c r="F73" s="6">
        <v>5</v>
      </c>
      <c r="G73" s="6">
        <v>0</v>
      </c>
      <c r="H73" s="139"/>
      <c r="I73" s="6">
        <v>0</v>
      </c>
      <c r="J73" s="95" t="e">
        <f t="shared" si="4"/>
        <v>#DIV/0!</v>
      </c>
      <c r="K73" s="95">
        <f t="shared" si="5"/>
        <v>-100</v>
      </c>
      <c r="L73" s="6" t="s">
        <v>81</v>
      </c>
      <c r="M73" s="115" t="s">
        <v>56</v>
      </c>
    </row>
    <row r="74" spans="2:13" ht="15.75">
      <c r="B74" s="82"/>
      <c r="C74" s="6"/>
      <c r="D74" s="6"/>
      <c r="E74" s="6"/>
      <c r="F74" s="6"/>
      <c r="G74" s="6"/>
      <c r="H74" s="139"/>
      <c r="I74" s="6"/>
      <c r="J74" s="95"/>
      <c r="K74" s="95"/>
      <c r="L74" s="6"/>
      <c r="M74" s="116"/>
    </row>
    <row r="75" spans="2:13" ht="15.75">
      <c r="B75" s="82"/>
      <c r="C75" s="6"/>
      <c r="D75" s="6"/>
      <c r="E75" s="6"/>
      <c r="F75" s="6"/>
      <c r="G75" s="6"/>
      <c r="H75" s="139"/>
      <c r="I75" s="6"/>
      <c r="J75" s="95"/>
      <c r="K75" s="95"/>
      <c r="L75" s="6"/>
      <c r="M75" s="116"/>
    </row>
    <row r="76" spans="2:13" ht="15.75">
      <c r="B76" s="82"/>
      <c r="C76" s="6"/>
      <c r="D76" s="6"/>
      <c r="E76" s="6"/>
      <c r="F76" s="6"/>
      <c r="G76" s="6"/>
      <c r="H76" s="139"/>
      <c r="I76" s="6"/>
      <c r="J76" s="95"/>
      <c r="K76" s="95"/>
      <c r="L76" s="6"/>
      <c r="M76" s="116"/>
    </row>
    <row r="77" spans="2:13" ht="15.75">
      <c r="B77" s="83"/>
      <c r="C77" s="6"/>
      <c r="D77" s="6"/>
      <c r="E77" s="6"/>
      <c r="F77" s="6"/>
      <c r="G77" s="6"/>
      <c r="H77" s="139"/>
      <c r="I77" s="6"/>
      <c r="J77" s="95"/>
      <c r="K77" s="95"/>
      <c r="L77" s="6"/>
      <c r="M77" s="116"/>
    </row>
    <row r="78" spans="2:13" ht="15.75">
      <c r="B78" s="83"/>
      <c r="C78" s="6"/>
      <c r="D78" s="6"/>
      <c r="E78" s="6"/>
      <c r="F78" s="6"/>
      <c r="G78" s="6"/>
      <c r="H78" s="139"/>
      <c r="I78" s="6"/>
      <c r="J78" s="95"/>
      <c r="K78" s="95"/>
      <c r="L78" s="6"/>
      <c r="M78" s="116"/>
    </row>
    <row r="79" spans="2:13" ht="15.75">
      <c r="B79" s="83"/>
      <c r="C79" s="6"/>
      <c r="D79" s="6"/>
      <c r="E79" s="6"/>
      <c r="F79" s="6"/>
      <c r="G79" s="6"/>
      <c r="H79" s="139"/>
      <c r="I79" s="6"/>
      <c r="J79" s="95"/>
      <c r="K79" s="95"/>
      <c r="L79" s="6"/>
      <c r="M79" s="116"/>
    </row>
    <row r="80" spans="2:13" ht="15.75">
      <c r="B80" s="94"/>
      <c r="C80" s="6"/>
      <c r="D80" s="6"/>
      <c r="E80" s="6"/>
      <c r="F80" s="6"/>
      <c r="G80" s="6"/>
      <c r="H80" s="139"/>
      <c r="I80" s="6"/>
      <c r="J80" s="95"/>
      <c r="K80" s="95"/>
      <c r="L80" s="6"/>
      <c r="M80" s="116"/>
    </row>
    <row r="81" spans="2:13">
      <c r="B81" s="99"/>
      <c r="C81" s="106"/>
      <c r="D81" s="193" t="s">
        <v>91</v>
      </c>
      <c r="E81" s="193"/>
      <c r="F81" s="193"/>
      <c r="G81" s="193"/>
      <c r="H81" s="193"/>
      <c r="I81" s="193"/>
      <c r="J81" s="126">
        <f>COUNT(B67:B79)</f>
        <v>2</v>
      </c>
      <c r="K81" s="120"/>
      <c r="L81" s="106"/>
      <c r="M81" s="121"/>
    </row>
    <row r="84" spans="2:13">
      <c r="B84" s="92"/>
      <c r="C84" s="102"/>
      <c r="D84" s="102"/>
      <c r="E84" s="102"/>
      <c r="F84" s="102"/>
      <c r="G84" s="194" t="s">
        <v>92</v>
      </c>
      <c r="H84" s="194"/>
      <c r="I84" s="93"/>
      <c r="J84" s="123"/>
      <c r="K84" s="123"/>
      <c r="L84" s="93"/>
      <c r="M84" s="107"/>
    </row>
    <row r="85" spans="2:13">
      <c r="B85" s="94"/>
      <c r="C85" s="6"/>
      <c r="D85" s="6"/>
      <c r="E85" s="6"/>
      <c r="F85" s="6"/>
      <c r="G85" s="6"/>
      <c r="H85" s="95"/>
      <c r="I85" s="6"/>
      <c r="J85" s="95"/>
      <c r="K85" s="95"/>
      <c r="L85" s="6"/>
      <c r="M85" s="110"/>
    </row>
    <row r="86" spans="2:13" ht="15.75">
      <c r="B86" s="96" t="s">
        <v>65</v>
      </c>
      <c r="C86" s="97" t="s">
        <v>66</v>
      </c>
      <c r="D86" s="97" t="s">
        <v>67</v>
      </c>
      <c r="E86" s="97" t="s">
        <v>68</v>
      </c>
      <c r="F86" s="97" t="s">
        <v>69</v>
      </c>
      <c r="G86" s="97" t="s">
        <v>70</v>
      </c>
      <c r="H86" s="98" t="s">
        <v>71</v>
      </c>
      <c r="I86" s="97" t="s">
        <v>72</v>
      </c>
      <c r="J86" s="97" t="s">
        <v>73</v>
      </c>
      <c r="K86" s="97" t="s">
        <v>74</v>
      </c>
      <c r="L86" s="97" t="s">
        <v>54</v>
      </c>
      <c r="M86" s="39" t="s">
        <v>75</v>
      </c>
    </row>
    <row r="87" spans="2:13" ht="15.75">
      <c r="B87" s="82"/>
      <c r="C87" s="6" t="s">
        <v>92</v>
      </c>
      <c r="D87" s="6" t="s">
        <v>39</v>
      </c>
      <c r="E87" s="6">
        <v>0</v>
      </c>
      <c r="F87" s="6">
        <v>60</v>
      </c>
      <c r="G87" s="6">
        <v>0</v>
      </c>
      <c r="H87" s="95"/>
      <c r="I87" s="6">
        <v>0</v>
      </c>
      <c r="J87" s="95" t="e">
        <f t="shared" ref="J87:J92" si="6">F87/H87</f>
        <v>#DIV/0!</v>
      </c>
      <c r="K87" s="95">
        <f t="shared" ref="K87:K92" si="7">(H87-F87)*100/F87</f>
        <v>-100</v>
      </c>
      <c r="L87" s="6" t="s">
        <v>81</v>
      </c>
      <c r="M87" s="115" t="s">
        <v>56</v>
      </c>
    </row>
    <row r="88" spans="2:13" ht="15.75">
      <c r="B88" s="82"/>
      <c r="C88" s="6" t="s">
        <v>92</v>
      </c>
      <c r="D88" s="6" t="s">
        <v>39</v>
      </c>
      <c r="E88" s="6">
        <v>0</v>
      </c>
      <c r="F88" s="6">
        <v>60</v>
      </c>
      <c r="G88" s="6">
        <v>0</v>
      </c>
      <c r="H88" s="95"/>
      <c r="I88" s="6">
        <v>0</v>
      </c>
      <c r="J88" s="95" t="e">
        <f t="shared" si="6"/>
        <v>#DIV/0!</v>
      </c>
      <c r="K88" s="95">
        <f t="shared" si="7"/>
        <v>-100</v>
      </c>
      <c r="L88" s="6" t="s">
        <v>81</v>
      </c>
      <c r="M88" s="115" t="s">
        <v>56</v>
      </c>
    </row>
    <row r="89" spans="2:13" ht="15.75">
      <c r="B89" s="82"/>
      <c r="C89" s="6" t="s">
        <v>92</v>
      </c>
      <c r="D89" s="6" t="s">
        <v>39</v>
      </c>
      <c r="E89" s="6">
        <v>0</v>
      </c>
      <c r="F89" s="6">
        <v>60</v>
      </c>
      <c r="G89" s="6">
        <v>0</v>
      </c>
      <c r="H89" s="95"/>
      <c r="I89" s="6">
        <v>0</v>
      </c>
      <c r="J89" s="95" t="e">
        <f t="shared" si="6"/>
        <v>#DIV/0!</v>
      </c>
      <c r="K89" s="95">
        <f t="shared" si="7"/>
        <v>-100</v>
      </c>
      <c r="L89" s="6" t="s">
        <v>81</v>
      </c>
      <c r="M89" s="115" t="s">
        <v>56</v>
      </c>
    </row>
    <row r="90" spans="2:13" ht="15.75">
      <c r="B90" s="82"/>
      <c r="C90" s="6" t="s">
        <v>92</v>
      </c>
      <c r="D90" s="6" t="s">
        <v>39</v>
      </c>
      <c r="E90" s="6">
        <v>0</v>
      </c>
      <c r="F90" s="6">
        <v>60</v>
      </c>
      <c r="G90" s="6">
        <v>0</v>
      </c>
      <c r="H90" s="95"/>
      <c r="I90" s="6">
        <v>0</v>
      </c>
      <c r="J90" s="95" t="e">
        <f t="shared" si="6"/>
        <v>#DIV/0!</v>
      </c>
      <c r="K90" s="95">
        <f t="shared" si="7"/>
        <v>-100</v>
      </c>
      <c r="L90" s="6" t="s">
        <v>81</v>
      </c>
      <c r="M90" s="115" t="s">
        <v>56</v>
      </c>
    </row>
    <row r="91" spans="2:13" ht="15.75">
      <c r="B91" s="82"/>
      <c r="C91" s="6" t="s">
        <v>92</v>
      </c>
      <c r="D91" s="6" t="s">
        <v>39</v>
      </c>
      <c r="E91" s="6">
        <v>0</v>
      </c>
      <c r="F91" s="6">
        <v>60</v>
      </c>
      <c r="G91" s="6">
        <v>0</v>
      </c>
      <c r="H91" s="95"/>
      <c r="I91" s="6">
        <v>0</v>
      </c>
      <c r="J91" s="95" t="e">
        <f t="shared" si="6"/>
        <v>#DIV/0!</v>
      </c>
      <c r="K91" s="95">
        <f t="shared" si="7"/>
        <v>-100</v>
      </c>
      <c r="L91" s="6" t="s">
        <v>81</v>
      </c>
      <c r="M91" s="115" t="s">
        <v>56</v>
      </c>
    </row>
    <row r="92" spans="2:13" ht="15.75">
      <c r="B92" s="82"/>
      <c r="C92" s="6" t="s">
        <v>92</v>
      </c>
      <c r="D92" s="6" t="s">
        <v>39</v>
      </c>
      <c r="E92" s="6">
        <v>0</v>
      </c>
      <c r="F92" s="6">
        <v>60</v>
      </c>
      <c r="G92" s="6">
        <v>0</v>
      </c>
      <c r="H92" s="95"/>
      <c r="I92" s="6">
        <v>0</v>
      </c>
      <c r="J92" s="95" t="e">
        <f t="shared" si="6"/>
        <v>#DIV/0!</v>
      </c>
      <c r="K92" s="95">
        <f t="shared" si="7"/>
        <v>-100</v>
      </c>
      <c r="L92" s="6" t="s">
        <v>81</v>
      </c>
      <c r="M92" s="115" t="s">
        <v>56</v>
      </c>
    </row>
    <row r="93" spans="2:13" ht="15.75">
      <c r="B93" s="83"/>
      <c r="C93" s="6"/>
      <c r="D93" s="6"/>
      <c r="E93" s="6"/>
      <c r="F93" s="6"/>
      <c r="G93" s="6"/>
      <c r="H93" s="95"/>
      <c r="I93" s="6"/>
      <c r="J93" s="95"/>
      <c r="K93" s="95"/>
      <c r="L93" s="6"/>
      <c r="M93" s="115" t="s">
        <v>56</v>
      </c>
    </row>
    <row r="94" spans="2:13" ht="15.75">
      <c r="B94" s="83"/>
      <c r="C94" s="6"/>
      <c r="D94" s="6"/>
      <c r="E94" s="6"/>
      <c r="F94" s="6"/>
      <c r="G94" s="6"/>
      <c r="H94" s="95"/>
      <c r="I94" s="6"/>
      <c r="J94" s="95"/>
      <c r="K94" s="95"/>
      <c r="L94" s="6"/>
      <c r="M94" s="116"/>
    </row>
    <row r="95" spans="2:13" ht="15.75">
      <c r="B95" s="83"/>
      <c r="C95" s="6"/>
      <c r="D95" s="6"/>
      <c r="E95" s="6"/>
      <c r="F95" s="6"/>
      <c r="G95" s="6"/>
      <c r="H95" s="95"/>
      <c r="I95" s="6"/>
      <c r="J95" s="95"/>
      <c r="K95" s="95"/>
      <c r="L95" s="6"/>
      <c r="M95" s="116"/>
    </row>
    <row r="96" spans="2:13" ht="15.75">
      <c r="B96" s="83"/>
      <c r="C96" s="6"/>
      <c r="D96" s="6"/>
      <c r="E96" s="6"/>
      <c r="F96" s="6"/>
      <c r="G96" s="6"/>
      <c r="H96" s="95"/>
      <c r="I96" s="6"/>
      <c r="J96" s="95"/>
      <c r="K96" s="95"/>
      <c r="L96" s="6"/>
      <c r="M96" s="116"/>
    </row>
    <row r="97" spans="2:13" ht="15.75">
      <c r="B97" s="83"/>
      <c r="C97" s="6"/>
      <c r="D97" s="6"/>
      <c r="E97" s="6"/>
      <c r="F97" s="6"/>
      <c r="G97" s="6"/>
      <c r="H97" s="95"/>
      <c r="I97" s="6"/>
      <c r="J97" s="95"/>
      <c r="K97" s="95"/>
      <c r="L97" s="6"/>
      <c r="M97" s="116"/>
    </row>
    <row r="98" spans="2:13" ht="15.75">
      <c r="B98" s="83"/>
      <c r="C98" s="6"/>
      <c r="D98" s="6"/>
      <c r="E98" s="6"/>
      <c r="F98" s="6"/>
      <c r="G98" s="6"/>
      <c r="H98" s="95"/>
      <c r="I98" s="6"/>
      <c r="J98" s="95"/>
      <c r="K98" s="95"/>
      <c r="L98" s="6"/>
      <c r="M98" s="116"/>
    </row>
    <row r="99" spans="2:13" ht="15.75">
      <c r="B99" s="83"/>
      <c r="C99" s="6"/>
      <c r="D99" s="6"/>
      <c r="E99" s="6"/>
      <c r="F99" s="6"/>
      <c r="G99" s="6"/>
      <c r="H99" s="95"/>
      <c r="I99" s="6"/>
      <c r="J99" s="95"/>
      <c r="K99" s="95"/>
      <c r="L99" s="6"/>
      <c r="M99" s="116"/>
    </row>
    <row r="100" spans="2:13" ht="15.75">
      <c r="B100" s="94"/>
      <c r="C100" s="6"/>
      <c r="D100" s="6"/>
      <c r="E100" s="6"/>
      <c r="F100" s="6"/>
      <c r="G100" s="6"/>
      <c r="H100" s="95"/>
      <c r="I100" s="6"/>
      <c r="J100" s="95"/>
      <c r="K100" s="95"/>
      <c r="L100" s="6"/>
      <c r="M100" s="116"/>
    </row>
    <row r="101" spans="2:13">
      <c r="B101" s="99"/>
      <c r="C101" s="106"/>
      <c r="D101" s="193" t="s">
        <v>93</v>
      </c>
      <c r="E101" s="193"/>
      <c r="F101" s="193"/>
      <c r="G101" s="193"/>
      <c r="H101" s="193"/>
      <c r="I101" s="193"/>
      <c r="J101" s="126">
        <f>COUNT(B87:B99)</f>
        <v>0</v>
      </c>
      <c r="K101" s="120"/>
      <c r="L101" s="106"/>
      <c r="M101" s="121"/>
    </row>
    <row r="104" spans="2:13">
      <c r="B104" s="92"/>
      <c r="C104" s="93"/>
      <c r="D104" s="93"/>
      <c r="E104" s="93"/>
      <c r="F104" s="93"/>
      <c r="G104" s="195" t="s">
        <v>94</v>
      </c>
      <c r="H104" s="195"/>
      <c r="I104" s="93"/>
      <c r="J104" s="93"/>
      <c r="K104" s="93"/>
      <c r="L104" s="93"/>
      <c r="M104" s="107"/>
    </row>
    <row r="105" spans="2:13">
      <c r="B105" s="94"/>
      <c r="C105" s="6"/>
      <c r="D105" s="6"/>
      <c r="E105" s="6"/>
      <c r="F105" s="6"/>
      <c r="G105" s="6"/>
      <c r="H105" s="95"/>
      <c r="I105" s="6"/>
      <c r="J105" s="6"/>
      <c r="K105" s="6"/>
      <c r="L105" s="6"/>
      <c r="M105" s="110"/>
    </row>
    <row r="106" spans="2:13" ht="15.75">
      <c r="B106" s="140" t="s">
        <v>65</v>
      </c>
      <c r="C106" s="97" t="s">
        <v>66</v>
      </c>
      <c r="D106" s="97" t="s">
        <v>67</v>
      </c>
      <c r="E106" s="97" t="s">
        <v>68</v>
      </c>
      <c r="F106" s="97" t="s">
        <v>69</v>
      </c>
      <c r="G106" s="97" t="s">
        <v>70</v>
      </c>
      <c r="H106" s="98" t="s">
        <v>71</v>
      </c>
      <c r="I106" s="97" t="s">
        <v>72</v>
      </c>
      <c r="J106" s="97" t="s">
        <v>73</v>
      </c>
      <c r="K106" s="97" t="s">
        <v>74</v>
      </c>
      <c r="L106" s="97" t="s">
        <v>54</v>
      </c>
      <c r="M106" s="141" t="s">
        <v>75</v>
      </c>
    </row>
    <row r="107" spans="2:13" ht="15.75">
      <c r="B107" s="82">
        <v>45547.567361111112</v>
      </c>
      <c r="C107" s="6" t="s">
        <v>94</v>
      </c>
      <c r="D107" s="6" t="s">
        <v>39</v>
      </c>
      <c r="E107" s="6">
        <v>0</v>
      </c>
      <c r="F107" s="6">
        <v>320</v>
      </c>
      <c r="G107" s="6">
        <v>0</v>
      </c>
      <c r="H107" s="95">
        <v>322</v>
      </c>
      <c r="I107" s="6">
        <f>G107-E107</f>
        <v>0</v>
      </c>
      <c r="J107" s="95">
        <f>F107/H107</f>
        <v>0.99378881987577639</v>
      </c>
      <c r="K107" s="95">
        <f>(H107-F107)*100/F107</f>
        <v>0.625</v>
      </c>
      <c r="L107" s="6" t="s">
        <v>81</v>
      </c>
      <c r="M107" s="115" t="s">
        <v>56</v>
      </c>
    </row>
    <row r="108" spans="2:13" ht="15.75">
      <c r="B108" s="82"/>
      <c r="C108" s="6" t="s">
        <v>94</v>
      </c>
      <c r="D108" s="6" t="s">
        <v>39</v>
      </c>
      <c r="E108" s="6">
        <v>0</v>
      </c>
      <c r="F108" s="6">
        <v>320</v>
      </c>
      <c r="G108" s="6">
        <v>0</v>
      </c>
      <c r="H108" s="95"/>
      <c r="I108" s="6">
        <f>G108-E108</f>
        <v>0</v>
      </c>
      <c r="J108" s="95" t="e">
        <f>F108/H108</f>
        <v>#DIV/0!</v>
      </c>
      <c r="K108" s="95">
        <f>(H108-F108)*100/F108</f>
        <v>-100</v>
      </c>
      <c r="L108" s="6" t="s">
        <v>81</v>
      </c>
      <c r="M108" s="115" t="s">
        <v>56</v>
      </c>
    </row>
    <row r="109" spans="2:13" ht="15.75">
      <c r="B109" s="82"/>
      <c r="C109" s="6" t="s">
        <v>94</v>
      </c>
      <c r="D109" s="6" t="s">
        <v>39</v>
      </c>
      <c r="E109" s="6">
        <v>0</v>
      </c>
      <c r="F109" s="6">
        <v>320</v>
      </c>
      <c r="G109" s="6">
        <v>0</v>
      </c>
      <c r="H109" s="95"/>
      <c r="I109" s="6">
        <f t="shared" ref="I109:I115" si="8">G109-E109</f>
        <v>0</v>
      </c>
      <c r="J109" s="95" t="e">
        <f t="shared" ref="J109:J115" si="9">F109/H109</f>
        <v>#DIV/0!</v>
      </c>
      <c r="K109" s="95">
        <f t="shared" ref="K109:K115" si="10">(H109-F109)*100/F109</f>
        <v>-100</v>
      </c>
      <c r="L109" s="6" t="s">
        <v>81</v>
      </c>
      <c r="M109" s="115" t="s">
        <v>56</v>
      </c>
    </row>
    <row r="110" spans="2:13" ht="15.75">
      <c r="B110" s="82"/>
      <c r="C110" s="6" t="s">
        <v>94</v>
      </c>
      <c r="D110" s="6" t="s">
        <v>39</v>
      </c>
      <c r="E110" s="6">
        <v>0</v>
      </c>
      <c r="F110" s="6">
        <v>320</v>
      </c>
      <c r="G110" s="6">
        <v>0</v>
      </c>
      <c r="H110" s="95"/>
      <c r="I110" s="6">
        <f t="shared" si="8"/>
        <v>0</v>
      </c>
      <c r="J110" s="95" t="e">
        <f t="shared" si="9"/>
        <v>#DIV/0!</v>
      </c>
      <c r="K110" s="95">
        <f t="shared" si="10"/>
        <v>-100</v>
      </c>
      <c r="L110" s="6" t="s">
        <v>81</v>
      </c>
      <c r="M110" s="115" t="s">
        <v>56</v>
      </c>
    </row>
    <row r="111" spans="2:13" ht="15.75">
      <c r="B111" s="82"/>
      <c r="C111" s="6" t="s">
        <v>94</v>
      </c>
      <c r="D111" s="6" t="s">
        <v>39</v>
      </c>
      <c r="E111" s="6">
        <v>0</v>
      </c>
      <c r="F111" s="6">
        <v>320</v>
      </c>
      <c r="G111" s="6">
        <v>0</v>
      </c>
      <c r="H111" s="95"/>
      <c r="I111" s="6">
        <f t="shared" si="8"/>
        <v>0</v>
      </c>
      <c r="J111" s="95" t="e">
        <f t="shared" si="9"/>
        <v>#DIV/0!</v>
      </c>
      <c r="K111" s="95">
        <f t="shared" si="10"/>
        <v>-100</v>
      </c>
      <c r="L111" s="6" t="s">
        <v>81</v>
      </c>
      <c r="M111" s="115" t="s">
        <v>56</v>
      </c>
    </row>
    <row r="112" spans="2:13" ht="15.75">
      <c r="B112" s="82"/>
      <c r="C112" s="6" t="s">
        <v>94</v>
      </c>
      <c r="D112" s="6" t="s">
        <v>39</v>
      </c>
      <c r="E112" s="6">
        <v>0</v>
      </c>
      <c r="F112" s="6">
        <v>320</v>
      </c>
      <c r="G112" s="6">
        <v>0</v>
      </c>
      <c r="H112" s="95"/>
      <c r="I112" s="6">
        <f t="shared" si="8"/>
        <v>0</v>
      </c>
      <c r="J112" s="95" t="e">
        <f t="shared" si="9"/>
        <v>#DIV/0!</v>
      </c>
      <c r="K112" s="95">
        <f t="shared" si="10"/>
        <v>-100</v>
      </c>
      <c r="L112" s="6" t="s">
        <v>81</v>
      </c>
      <c r="M112" s="115" t="s">
        <v>56</v>
      </c>
    </row>
    <row r="113" spans="2:13" ht="15.75">
      <c r="B113" s="82"/>
      <c r="C113" s="6" t="s">
        <v>94</v>
      </c>
      <c r="D113" s="6" t="s">
        <v>39</v>
      </c>
      <c r="E113" s="6">
        <v>0</v>
      </c>
      <c r="F113" s="6">
        <v>320</v>
      </c>
      <c r="G113" s="6">
        <v>0</v>
      </c>
      <c r="H113" s="95"/>
      <c r="I113" s="6">
        <f t="shared" si="8"/>
        <v>0</v>
      </c>
      <c r="J113" s="95" t="e">
        <f t="shared" si="9"/>
        <v>#DIV/0!</v>
      </c>
      <c r="K113" s="95">
        <f t="shared" si="10"/>
        <v>-100</v>
      </c>
      <c r="L113" s="6" t="s">
        <v>81</v>
      </c>
      <c r="M113" s="115" t="s">
        <v>56</v>
      </c>
    </row>
    <row r="114" spans="2:13" ht="15.75">
      <c r="B114" s="82"/>
      <c r="C114" s="6" t="s">
        <v>94</v>
      </c>
      <c r="D114" s="6" t="s">
        <v>39</v>
      </c>
      <c r="E114" s="6">
        <v>0</v>
      </c>
      <c r="F114" s="6">
        <v>320</v>
      </c>
      <c r="G114" s="6">
        <v>0</v>
      </c>
      <c r="H114" s="95"/>
      <c r="I114" s="6">
        <f t="shared" si="8"/>
        <v>0</v>
      </c>
      <c r="J114" s="95" t="e">
        <f t="shared" si="9"/>
        <v>#DIV/0!</v>
      </c>
      <c r="K114" s="95">
        <f t="shared" si="10"/>
        <v>-100</v>
      </c>
      <c r="L114" s="6" t="s">
        <v>81</v>
      </c>
      <c r="M114" s="116"/>
    </row>
    <row r="115" spans="2:13" ht="15.75">
      <c r="B115" s="82"/>
      <c r="C115" s="6" t="s">
        <v>94</v>
      </c>
      <c r="D115" s="6" t="s">
        <v>39</v>
      </c>
      <c r="E115" s="6">
        <v>0</v>
      </c>
      <c r="F115" s="6">
        <v>320</v>
      </c>
      <c r="G115" s="6">
        <v>0</v>
      </c>
      <c r="H115" s="95"/>
      <c r="I115" s="6">
        <f t="shared" si="8"/>
        <v>0</v>
      </c>
      <c r="J115" s="95" t="e">
        <f t="shared" si="9"/>
        <v>#DIV/0!</v>
      </c>
      <c r="K115" s="95">
        <f t="shared" si="10"/>
        <v>-100</v>
      </c>
      <c r="L115" s="6" t="s">
        <v>81</v>
      </c>
      <c r="M115" s="116"/>
    </row>
    <row r="116" spans="2:13" ht="15.75">
      <c r="B116" s="83"/>
      <c r="C116" s="6"/>
      <c r="D116" s="6"/>
      <c r="E116" s="6"/>
      <c r="F116" s="6"/>
      <c r="G116" s="6"/>
      <c r="H116" s="95"/>
      <c r="I116" s="6"/>
      <c r="J116" s="95"/>
      <c r="K116" s="95"/>
      <c r="L116" s="6"/>
      <c r="M116" s="116"/>
    </row>
    <row r="117" spans="2:13" ht="15.75">
      <c r="B117" s="83"/>
      <c r="C117" s="6"/>
      <c r="D117" s="6"/>
      <c r="E117" s="6"/>
      <c r="F117" s="6"/>
      <c r="G117" s="6"/>
      <c r="H117" s="95"/>
      <c r="I117" s="6"/>
      <c r="J117" s="95"/>
      <c r="K117" s="95"/>
      <c r="L117" s="6"/>
      <c r="M117" s="116"/>
    </row>
    <row r="118" spans="2:13" ht="15.75">
      <c r="B118" s="94"/>
      <c r="C118" s="6"/>
      <c r="D118" s="6"/>
      <c r="E118" s="6"/>
      <c r="F118" s="6"/>
      <c r="G118" s="6"/>
      <c r="H118" s="95"/>
      <c r="I118" s="6"/>
      <c r="J118" s="95"/>
      <c r="K118" s="95"/>
      <c r="L118" s="6"/>
      <c r="M118" s="116"/>
    </row>
    <row r="119" spans="2:13">
      <c r="B119" s="99"/>
      <c r="C119" s="193" t="s">
        <v>95</v>
      </c>
      <c r="D119" s="193"/>
      <c r="E119" s="193"/>
      <c r="F119" s="193"/>
      <c r="G119" s="193"/>
      <c r="H119" s="193"/>
      <c r="I119" s="126">
        <f>COUNT(B107:B118)</f>
        <v>1</v>
      </c>
      <c r="J119" s="120"/>
      <c r="K119" s="120"/>
      <c r="L119" s="106"/>
      <c r="M119" s="121"/>
    </row>
  </sheetData>
  <mergeCells count="16">
    <mergeCell ref="D1:J1"/>
    <mergeCell ref="D2:J2"/>
    <mergeCell ref="G5:H5"/>
    <mergeCell ref="C21:H21"/>
    <mergeCell ref="P21:S21"/>
    <mergeCell ref="G24:H24"/>
    <mergeCell ref="P40:S40"/>
    <mergeCell ref="D41:I41"/>
    <mergeCell ref="G44:H44"/>
    <mergeCell ref="D61:I61"/>
    <mergeCell ref="C119:H119"/>
    <mergeCell ref="G64:H64"/>
    <mergeCell ref="D81:I81"/>
    <mergeCell ref="G84:H84"/>
    <mergeCell ref="D101:I101"/>
    <mergeCell ref="G104:H104"/>
  </mergeCells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>
  <dimension ref="B2:E56"/>
  <sheetViews>
    <sheetView workbookViewId="0">
      <selection activeCell="C8" sqref="C8"/>
    </sheetView>
  </sheetViews>
  <sheetFormatPr defaultColWidth="9" defaultRowHeight="15"/>
  <cols>
    <col min="1" max="1" width="9.140625" customWidth="1"/>
    <col min="2" max="2" width="28.28515625" customWidth="1"/>
    <col min="3" max="3" width="30" customWidth="1"/>
    <col min="4" max="4" width="27.85546875" customWidth="1"/>
  </cols>
  <sheetData>
    <row r="2" spans="2:5">
      <c r="B2" s="202" t="s">
        <v>96</v>
      </c>
      <c r="C2" s="202"/>
      <c r="D2" s="204">
        <f>'MONTHLY 30'!$B$2</f>
        <v>45536.010416666664</v>
      </c>
      <c r="E2" s="204"/>
    </row>
    <row r="3" spans="2:5">
      <c r="B3" s="202" t="s">
        <v>97</v>
      </c>
      <c r="C3" s="202"/>
      <c r="D3" s="204"/>
      <c r="E3" s="204"/>
    </row>
    <row r="7" spans="2:5" s="2" customFormat="1">
      <c r="B7" s="78" t="s">
        <v>98</v>
      </c>
      <c r="C7" s="78" t="s">
        <v>99</v>
      </c>
      <c r="D7" s="79" t="s">
        <v>100</v>
      </c>
    </row>
    <row r="8" spans="2:5" s="2" customFormat="1">
      <c r="B8" s="80">
        <v>45540.46875</v>
      </c>
      <c r="C8" s="80">
        <v>45540.479166666664</v>
      </c>
      <c r="D8" s="81">
        <f t="shared" ref="D8:D13" si="0">C8-B8</f>
        <v>1.0416666664241347E-2</v>
      </c>
    </row>
    <row r="9" spans="2:5" s="2" customFormat="1">
      <c r="B9" s="80"/>
      <c r="C9" s="80"/>
      <c r="D9" s="81">
        <f t="shared" si="0"/>
        <v>0</v>
      </c>
    </row>
    <row r="10" spans="2:5" s="2" customFormat="1">
      <c r="B10" s="82"/>
      <c r="C10" s="82"/>
      <c r="D10" s="81">
        <f t="shared" si="0"/>
        <v>0</v>
      </c>
    </row>
    <row r="11" spans="2:5" s="2" customFormat="1">
      <c r="B11" s="83"/>
      <c r="C11" s="83"/>
      <c r="D11" s="81">
        <f t="shared" si="0"/>
        <v>0</v>
      </c>
    </row>
    <row r="12" spans="2:5">
      <c r="B12" s="83"/>
      <c r="C12" s="83"/>
      <c r="D12" s="81">
        <f t="shared" si="0"/>
        <v>0</v>
      </c>
    </row>
    <row r="13" spans="2:5">
      <c r="B13" s="83"/>
      <c r="C13" s="83"/>
      <c r="D13" s="81">
        <f t="shared" si="0"/>
        <v>0</v>
      </c>
    </row>
    <row r="14" spans="2:5">
      <c r="B14" s="83"/>
      <c r="C14" s="83"/>
      <c r="D14" s="81">
        <f t="shared" ref="D14:D23" si="1">C14-B14</f>
        <v>0</v>
      </c>
    </row>
    <row r="15" spans="2:5">
      <c r="B15" s="82"/>
      <c r="C15" s="82"/>
      <c r="D15" s="81">
        <f t="shared" si="1"/>
        <v>0</v>
      </c>
    </row>
    <row r="16" spans="2:5">
      <c r="B16" s="82"/>
      <c r="C16" s="82"/>
      <c r="D16" s="81">
        <f t="shared" si="1"/>
        <v>0</v>
      </c>
    </row>
    <row r="17" spans="2:4">
      <c r="B17" s="82"/>
      <c r="C17" s="82"/>
      <c r="D17" s="81">
        <f t="shared" si="1"/>
        <v>0</v>
      </c>
    </row>
    <row r="18" spans="2:4">
      <c r="B18" s="82"/>
      <c r="C18" s="82"/>
      <c r="D18" s="81">
        <f t="shared" si="1"/>
        <v>0</v>
      </c>
    </row>
    <row r="19" spans="2:4">
      <c r="B19" s="83"/>
      <c r="C19" s="82"/>
      <c r="D19" s="81">
        <f t="shared" si="1"/>
        <v>0</v>
      </c>
    </row>
    <row r="20" spans="2:4">
      <c r="B20" s="83"/>
      <c r="C20" s="82"/>
      <c r="D20" s="81">
        <f t="shared" si="1"/>
        <v>0</v>
      </c>
    </row>
    <row r="21" spans="2:4">
      <c r="B21" s="83"/>
      <c r="C21" s="82"/>
      <c r="D21" s="81">
        <f t="shared" si="1"/>
        <v>0</v>
      </c>
    </row>
    <row r="22" spans="2:4">
      <c r="B22" s="83"/>
      <c r="C22" s="82"/>
      <c r="D22" s="81">
        <f t="shared" si="1"/>
        <v>0</v>
      </c>
    </row>
    <row r="23" spans="2:4">
      <c r="B23" s="83"/>
      <c r="C23" s="82"/>
      <c r="D23" s="81">
        <f t="shared" si="1"/>
        <v>0</v>
      </c>
    </row>
    <row r="24" spans="2:4">
      <c r="B24" s="84" t="s">
        <v>101</v>
      </c>
      <c r="C24" s="82"/>
      <c r="D24" s="81">
        <f>SUM(D7:D23)</f>
        <v>1.0416666664241347E-2</v>
      </c>
    </row>
    <row r="25" spans="2:4">
      <c r="B25" s="85"/>
      <c r="C25" s="86"/>
      <c r="D25" s="87"/>
    </row>
    <row r="26" spans="2:4">
      <c r="B26" s="85"/>
      <c r="C26" s="86"/>
      <c r="D26" s="87"/>
    </row>
    <row r="27" spans="2:4">
      <c r="B27" s="85"/>
      <c r="C27" s="86"/>
      <c r="D27" s="87"/>
    </row>
    <row r="28" spans="2:4">
      <c r="B28" s="85"/>
      <c r="C28" s="86"/>
      <c r="D28" s="87"/>
    </row>
    <row r="29" spans="2:4">
      <c r="B29" s="85"/>
      <c r="C29" s="86"/>
      <c r="D29" s="87"/>
    </row>
    <row r="30" spans="2:4">
      <c r="B30" s="85"/>
      <c r="C30" s="86"/>
      <c r="D30" s="87"/>
    </row>
    <row r="31" spans="2:4">
      <c r="B31" s="85"/>
      <c r="C31" s="86"/>
      <c r="D31" s="87"/>
    </row>
    <row r="32" spans="2:4">
      <c r="B32" s="85"/>
      <c r="C32" s="86"/>
      <c r="D32" s="87"/>
    </row>
    <row r="33" spans="2:4">
      <c r="B33" s="85"/>
      <c r="C33" s="86"/>
      <c r="D33" s="87"/>
    </row>
    <row r="34" spans="2:4">
      <c r="B34" s="85"/>
      <c r="C34" s="86"/>
      <c r="D34" s="87"/>
    </row>
    <row r="35" spans="2:4">
      <c r="B35" s="85"/>
      <c r="C35" s="86"/>
      <c r="D35" s="87"/>
    </row>
    <row r="36" spans="2:4">
      <c r="B36" s="85"/>
      <c r="C36" s="86"/>
      <c r="D36" s="87"/>
    </row>
    <row r="37" spans="2:4">
      <c r="B37" s="85"/>
      <c r="C37" s="86"/>
      <c r="D37" s="87"/>
    </row>
    <row r="38" spans="2:4">
      <c r="B38" s="85"/>
      <c r="C38" s="86"/>
      <c r="D38" s="87"/>
    </row>
    <row r="39" spans="2:4">
      <c r="B39" s="85"/>
      <c r="C39" s="86"/>
      <c r="D39" s="87"/>
    </row>
    <row r="40" spans="2:4">
      <c r="B40" s="85"/>
      <c r="C40" s="86"/>
      <c r="D40" s="87"/>
    </row>
    <row r="41" spans="2:4">
      <c r="B41" s="85"/>
      <c r="C41" s="86"/>
      <c r="D41" s="87"/>
    </row>
    <row r="42" spans="2:4">
      <c r="B42" s="85"/>
      <c r="C42" s="86"/>
      <c r="D42" s="87"/>
    </row>
    <row r="43" spans="2:4">
      <c r="B43" s="85"/>
      <c r="C43" s="86"/>
      <c r="D43" s="87"/>
    </row>
    <row r="44" spans="2:4" ht="15.75">
      <c r="B44" s="203" t="s">
        <v>101</v>
      </c>
      <c r="C44" s="203"/>
      <c r="D44" s="87">
        <f>SUM(D11:D42)</f>
        <v>1.0416666664241347E-2</v>
      </c>
    </row>
    <row r="45" spans="2:4">
      <c r="B45" s="85"/>
      <c r="C45" s="86"/>
      <c r="D45" s="87"/>
    </row>
    <row r="46" spans="2:4">
      <c r="B46" s="86"/>
      <c r="C46" s="86"/>
      <c r="D46" s="87"/>
    </row>
    <row r="47" spans="2:4">
      <c r="B47" s="86"/>
      <c r="C47" s="86"/>
      <c r="D47" s="87"/>
    </row>
    <row r="48" spans="2:4">
      <c r="B48" s="86"/>
      <c r="C48" s="86"/>
      <c r="D48" s="87"/>
    </row>
    <row r="49" spans="2:4">
      <c r="B49" s="86"/>
      <c r="C49" s="86"/>
      <c r="D49" s="87"/>
    </row>
    <row r="50" spans="2:4">
      <c r="B50" s="85"/>
      <c r="C50" s="86"/>
      <c r="D50" s="87"/>
    </row>
    <row r="51" spans="2:4">
      <c r="B51" s="85"/>
      <c r="C51" s="86"/>
      <c r="D51" s="87"/>
    </row>
    <row r="52" spans="2:4">
      <c r="B52" s="85"/>
      <c r="C52" s="86"/>
      <c r="D52" s="87"/>
    </row>
    <row r="53" spans="2:4">
      <c r="B53" s="85"/>
      <c r="C53" s="86"/>
      <c r="D53" s="87"/>
    </row>
    <row r="54" spans="2:4">
      <c r="B54" s="86"/>
      <c r="C54" s="86"/>
      <c r="D54" s="87"/>
    </row>
    <row r="55" spans="2:4">
      <c r="D55" s="87"/>
    </row>
    <row r="56" spans="2:4">
      <c r="D56" s="87"/>
    </row>
  </sheetData>
  <mergeCells count="4">
    <mergeCell ref="B2:C2"/>
    <mergeCell ref="B3:C3"/>
    <mergeCell ref="B44:C44"/>
    <mergeCell ref="D2:E3"/>
  </mergeCells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>
  <dimension ref="B2:AB86"/>
  <sheetViews>
    <sheetView workbookViewId="0">
      <selection activeCell="F4" sqref="F4"/>
    </sheetView>
  </sheetViews>
  <sheetFormatPr defaultColWidth="9.140625" defaultRowHeight="15"/>
  <cols>
    <col min="1" max="1" width="7" style="2" customWidth="1"/>
    <col min="2" max="2" width="13.42578125" style="2" customWidth="1"/>
    <col min="3" max="3" width="14" style="2" customWidth="1"/>
    <col min="4" max="4" width="14.140625" style="2" customWidth="1"/>
    <col min="5" max="5" width="18" style="2" customWidth="1"/>
    <col min="6" max="6" width="12.5703125" style="2" customWidth="1"/>
    <col min="7" max="8" width="12" style="2" customWidth="1"/>
    <col min="9" max="9" width="12.5703125" style="2" customWidth="1"/>
    <col min="10" max="10" width="12" style="2" customWidth="1"/>
    <col min="11" max="11" width="13.140625" style="2" customWidth="1"/>
    <col min="12" max="12" width="12.5703125" style="2" customWidth="1"/>
    <col min="13" max="13" width="12" style="2" customWidth="1"/>
    <col min="14" max="14" width="14" style="2" customWidth="1"/>
    <col min="15" max="15" width="14.5703125" style="2" customWidth="1"/>
    <col min="16" max="16" width="11.140625" style="2" customWidth="1"/>
    <col min="17" max="17" width="11.7109375" style="2" customWidth="1"/>
    <col min="18" max="18" width="11.85546875" style="2" customWidth="1"/>
    <col min="19" max="19" width="12.5703125" style="2" customWidth="1"/>
    <col min="20" max="20" width="12" style="2" customWidth="1"/>
    <col min="21" max="21" width="14" style="2" customWidth="1"/>
    <col min="22" max="22" width="14.5703125" style="2" customWidth="1"/>
    <col min="23" max="23" width="9.140625" style="2"/>
    <col min="24" max="24" width="12.28515625" style="2" customWidth="1"/>
    <col min="25" max="25" width="11.7109375" style="2" customWidth="1"/>
    <col min="26" max="16384" width="9.140625" style="2"/>
  </cols>
  <sheetData>
    <row r="2" spans="2:24" customFormat="1" ht="15" customHeight="1">
      <c r="B2" s="205" t="s">
        <v>102</v>
      </c>
      <c r="C2" s="205"/>
      <c r="D2" s="205"/>
      <c r="E2" s="205"/>
      <c r="F2" s="206">
        <v>1</v>
      </c>
      <c r="G2" s="207"/>
      <c r="H2" s="207"/>
    </row>
    <row r="3" spans="2:24" customFormat="1" ht="15" customHeight="1">
      <c r="B3" s="205"/>
      <c r="C3" s="205"/>
      <c r="D3" s="205"/>
      <c r="E3" s="205"/>
      <c r="F3" s="207"/>
      <c r="G3" s="207"/>
      <c r="H3" s="207"/>
    </row>
    <row r="8" spans="2:24">
      <c r="J8" s="32"/>
      <c r="K8" s="32"/>
      <c r="L8" s="32"/>
      <c r="U8" s="45"/>
    </row>
    <row r="9" spans="2:24" ht="15.75">
      <c r="J9" s="33"/>
      <c r="K9" s="33"/>
      <c r="L9" s="32"/>
      <c r="U9" s="45"/>
    </row>
    <row r="10" spans="2:24">
      <c r="U10" s="45"/>
    </row>
    <row r="11" spans="2:24">
      <c r="U11" s="45"/>
    </row>
    <row r="12" spans="2:24" ht="15.75" customHeight="1">
      <c r="B12" s="210" t="s">
        <v>94</v>
      </c>
      <c r="C12" s="221" t="s">
        <v>103</v>
      </c>
      <c r="D12" s="222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46"/>
      <c r="U12" s="45"/>
    </row>
    <row r="13" spans="2:24" ht="15" customHeight="1">
      <c r="B13" s="211"/>
      <c r="C13" s="3" t="s">
        <v>104</v>
      </c>
      <c r="D13" s="4" t="s">
        <v>105</v>
      </c>
      <c r="E13" s="4" t="s">
        <v>106</v>
      </c>
      <c r="F13" s="4" t="s">
        <v>107</v>
      </c>
      <c r="G13" s="4" t="s">
        <v>108</v>
      </c>
      <c r="H13" s="4" t="s">
        <v>109</v>
      </c>
      <c r="I13" s="4" t="s">
        <v>110</v>
      </c>
      <c r="J13" s="4" t="s">
        <v>111</v>
      </c>
      <c r="K13" s="4" t="s">
        <v>112</v>
      </c>
      <c r="L13" s="4" t="s">
        <v>113</v>
      </c>
      <c r="M13" s="4" t="s">
        <v>114</v>
      </c>
      <c r="N13" s="4" t="s">
        <v>115</v>
      </c>
      <c r="O13" s="4" t="s">
        <v>116</v>
      </c>
      <c r="P13" s="34" t="s">
        <v>117</v>
      </c>
      <c r="Q13" s="4" t="s">
        <v>118</v>
      </c>
      <c r="R13" s="47"/>
      <c r="U13" s="45"/>
    </row>
    <row r="14" spans="2:24" ht="15" customHeight="1">
      <c r="B14" s="211"/>
      <c r="C14" s="5"/>
      <c r="D14" s="6"/>
      <c r="E14" s="6"/>
      <c r="F14" s="6"/>
      <c r="G14" s="6"/>
      <c r="H14" s="6"/>
      <c r="I14" s="6"/>
      <c r="J14" s="6"/>
      <c r="K14" s="9"/>
      <c r="L14" s="9"/>
      <c r="M14" s="6"/>
      <c r="N14" s="6"/>
      <c r="O14" s="6"/>
      <c r="P14" s="6"/>
      <c r="Q14" s="6"/>
      <c r="R14" s="6"/>
      <c r="X14" s="48"/>
    </row>
    <row r="15" spans="2:24" ht="15" customHeight="1">
      <c r="B15" s="211"/>
      <c r="C15" s="7" t="s">
        <v>119</v>
      </c>
      <c r="D15" s="8" t="s">
        <v>120</v>
      </c>
      <c r="E15" s="8" t="s">
        <v>121</v>
      </c>
      <c r="F15" s="8" t="s">
        <v>122</v>
      </c>
      <c r="G15" s="8" t="s">
        <v>123</v>
      </c>
      <c r="H15" s="8" t="s">
        <v>124</v>
      </c>
      <c r="I15" s="8" t="s">
        <v>125</v>
      </c>
      <c r="J15" s="8" t="s">
        <v>126</v>
      </c>
      <c r="K15" s="8" t="s">
        <v>127</v>
      </c>
      <c r="L15" s="8" t="s">
        <v>128</v>
      </c>
      <c r="M15" s="8" t="s">
        <v>129</v>
      </c>
      <c r="N15" s="8" t="s">
        <v>130</v>
      </c>
      <c r="O15" s="8" t="s">
        <v>131</v>
      </c>
      <c r="P15" s="35" t="s">
        <v>132</v>
      </c>
      <c r="Q15" s="8" t="s">
        <v>133</v>
      </c>
      <c r="R15" s="49" t="s">
        <v>75</v>
      </c>
      <c r="X15" s="48"/>
    </row>
    <row r="16" spans="2:24" ht="15.75" customHeight="1">
      <c r="B16" s="211"/>
      <c r="C16" s="9"/>
      <c r="D16" s="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50"/>
      <c r="X16" s="48"/>
    </row>
    <row r="17" spans="2:28" ht="15.75" customHeight="1">
      <c r="B17" s="211"/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36"/>
      <c r="Q17" s="36"/>
      <c r="R17" s="51"/>
      <c r="X17" s="48"/>
    </row>
    <row r="18" spans="2:28" ht="15.75" customHeight="1">
      <c r="B18" s="211"/>
      <c r="C18" s="12" t="s">
        <v>104</v>
      </c>
      <c r="D18" s="12" t="s">
        <v>105</v>
      </c>
      <c r="E18" s="12" t="s">
        <v>106</v>
      </c>
      <c r="F18" s="12" t="s">
        <v>134</v>
      </c>
      <c r="G18" s="12" t="s">
        <v>108</v>
      </c>
      <c r="H18" s="12" t="s">
        <v>109</v>
      </c>
      <c r="I18" s="12" t="s">
        <v>110</v>
      </c>
      <c r="J18" s="12" t="s">
        <v>111</v>
      </c>
      <c r="K18" s="12" t="s">
        <v>112</v>
      </c>
      <c r="L18" s="12" t="s">
        <v>113</v>
      </c>
      <c r="M18" s="12" t="s">
        <v>114</v>
      </c>
      <c r="N18" s="12" t="s">
        <v>115</v>
      </c>
      <c r="O18" s="12" t="s">
        <v>116</v>
      </c>
      <c r="P18" s="37" t="s">
        <v>117</v>
      </c>
      <c r="Q18" s="12" t="s">
        <v>118</v>
      </c>
      <c r="R18" s="51"/>
    </row>
    <row r="19" spans="2:28" ht="15.75">
      <c r="B19" s="13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51"/>
    </row>
    <row r="20" spans="2:28" ht="15.75">
      <c r="B20" s="13"/>
      <c r="C20" s="12" t="s">
        <v>119</v>
      </c>
      <c r="D20" s="8" t="s">
        <v>120</v>
      </c>
      <c r="E20" s="8" t="s">
        <v>121</v>
      </c>
      <c r="F20" s="8" t="s">
        <v>122</v>
      </c>
      <c r="G20" s="8" t="s">
        <v>123</v>
      </c>
      <c r="H20" s="8" t="s">
        <v>124</v>
      </c>
      <c r="I20" s="8" t="s">
        <v>125</v>
      </c>
      <c r="J20" s="8" t="s">
        <v>126</v>
      </c>
      <c r="K20" s="8" t="s">
        <v>127</v>
      </c>
      <c r="L20" s="8" t="s">
        <v>128</v>
      </c>
      <c r="M20" s="8" t="s">
        <v>129</v>
      </c>
      <c r="N20" s="8" t="s">
        <v>130</v>
      </c>
      <c r="O20" s="8" t="s">
        <v>131</v>
      </c>
      <c r="P20" s="35" t="s">
        <v>132</v>
      </c>
      <c r="Q20" s="8" t="s">
        <v>133</v>
      </c>
      <c r="R20" s="52" t="s">
        <v>75</v>
      </c>
    </row>
    <row r="21" spans="2:28" ht="15.75">
      <c r="B21" s="14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53"/>
      <c r="R21" s="54"/>
      <c r="S21" s="55"/>
    </row>
    <row r="22" spans="2:28">
      <c r="J22" s="32"/>
    </row>
    <row r="23" spans="2:28" s="1" customFormat="1" ht="15.75" customHeight="1">
      <c r="B23" s="2"/>
      <c r="C23" s="2"/>
      <c r="D23" s="2"/>
      <c r="E23" s="2"/>
      <c r="F23" s="2"/>
      <c r="G23" s="2"/>
      <c r="H23" s="2"/>
      <c r="I23" s="2"/>
      <c r="J23" s="32"/>
      <c r="K23" s="2"/>
      <c r="L23" s="2"/>
      <c r="M23" s="2"/>
      <c r="N23" s="2"/>
      <c r="O23" s="2"/>
      <c r="P23" s="2"/>
      <c r="Q23" s="2"/>
      <c r="R23" s="2"/>
      <c r="Z23" s="2"/>
      <c r="AA23" s="2"/>
    </row>
    <row r="24" spans="2:28" ht="15" customHeight="1">
      <c r="J24" s="32"/>
    </row>
    <row r="25" spans="2:28" ht="15" customHeight="1">
      <c r="B25" s="212" t="s">
        <v>85</v>
      </c>
      <c r="C25" s="223" t="s">
        <v>103</v>
      </c>
      <c r="D25" s="224"/>
      <c r="E25" s="224"/>
      <c r="F25" s="224"/>
      <c r="G25" s="224"/>
      <c r="H25" s="224"/>
      <c r="I25" s="224"/>
      <c r="J25" s="224"/>
      <c r="K25" s="224"/>
      <c r="L25" s="224"/>
      <c r="M25" s="224"/>
      <c r="N25" s="224"/>
      <c r="O25" s="224"/>
      <c r="P25" s="224"/>
      <c r="Q25" s="224"/>
      <c r="R25" s="208"/>
      <c r="S25" s="56"/>
      <c r="T25" s="57"/>
    </row>
    <row r="26" spans="2:28" ht="15" customHeight="1">
      <c r="B26" s="212"/>
      <c r="C26" s="16" t="s">
        <v>104</v>
      </c>
      <c r="D26" s="17" t="s">
        <v>135</v>
      </c>
      <c r="E26" s="17" t="s">
        <v>136</v>
      </c>
      <c r="F26" s="17" t="s">
        <v>137</v>
      </c>
      <c r="G26" s="17" t="s">
        <v>138</v>
      </c>
      <c r="H26" s="17" t="s">
        <v>139</v>
      </c>
      <c r="I26" s="17" t="s">
        <v>140</v>
      </c>
      <c r="J26" s="17" t="s">
        <v>141</v>
      </c>
      <c r="K26" s="17" t="s">
        <v>142</v>
      </c>
      <c r="L26" s="17" t="s">
        <v>143</v>
      </c>
      <c r="M26" s="17" t="s">
        <v>144</v>
      </c>
      <c r="N26" s="17" t="s">
        <v>145</v>
      </c>
      <c r="O26" s="17" t="s">
        <v>146</v>
      </c>
      <c r="P26" s="17" t="s">
        <v>147</v>
      </c>
      <c r="Q26" s="17" t="s">
        <v>148</v>
      </c>
      <c r="R26" s="17" t="s">
        <v>149</v>
      </c>
      <c r="S26" s="17" t="s">
        <v>150</v>
      </c>
      <c r="T26" s="58" t="s">
        <v>75</v>
      </c>
      <c r="Z26" s="1"/>
      <c r="AA26" s="1"/>
      <c r="AB26" s="1"/>
    </row>
    <row r="27" spans="2:28" ht="15.75" customHeight="1">
      <c r="B27" s="212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40"/>
    </row>
    <row r="28" spans="2:28" ht="15" customHeight="1">
      <c r="B28" s="212"/>
      <c r="C28" s="18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59"/>
      <c r="T28" s="59"/>
    </row>
    <row r="29" spans="2:28" ht="15.75" customHeight="1">
      <c r="B29" s="213"/>
      <c r="C29" s="20" t="s">
        <v>104</v>
      </c>
      <c r="D29" s="21" t="s">
        <v>135</v>
      </c>
      <c r="E29" s="21" t="s">
        <v>136</v>
      </c>
      <c r="F29" s="21" t="s">
        <v>137</v>
      </c>
      <c r="G29" s="21" t="s">
        <v>138</v>
      </c>
      <c r="H29" s="21" t="s">
        <v>139</v>
      </c>
      <c r="I29" s="21" t="s">
        <v>140</v>
      </c>
      <c r="J29" s="21" t="s">
        <v>141</v>
      </c>
      <c r="K29" s="21" t="s">
        <v>142</v>
      </c>
      <c r="L29" s="21" t="s">
        <v>143</v>
      </c>
      <c r="M29" s="21" t="s">
        <v>144</v>
      </c>
      <c r="N29" s="21" t="s">
        <v>145</v>
      </c>
      <c r="O29" s="21" t="s">
        <v>146</v>
      </c>
      <c r="P29" s="21" t="s">
        <v>147</v>
      </c>
      <c r="Q29" s="21" t="s">
        <v>148</v>
      </c>
      <c r="R29" s="21" t="s">
        <v>149</v>
      </c>
      <c r="S29" s="21" t="s">
        <v>150</v>
      </c>
      <c r="T29" s="60" t="s">
        <v>75</v>
      </c>
    </row>
    <row r="30" spans="2:28">
      <c r="B30" s="22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40"/>
    </row>
    <row r="31" spans="2:28">
      <c r="C31" s="23"/>
    </row>
    <row r="32" spans="2:28">
      <c r="C32" s="23"/>
    </row>
    <row r="33" spans="2:25" ht="15" customHeight="1">
      <c r="C33" s="23"/>
    </row>
    <row r="34" spans="2:25" ht="15.75" customHeight="1"/>
    <row r="35" spans="2:25" ht="15" customHeight="1"/>
    <row r="36" spans="2:25" ht="15.75" customHeight="1">
      <c r="B36" s="214" t="s">
        <v>37</v>
      </c>
      <c r="C36" s="225" t="s">
        <v>103</v>
      </c>
      <c r="D36" s="225"/>
      <c r="E36" s="225"/>
      <c r="F36" s="225"/>
      <c r="G36" s="225"/>
      <c r="H36" s="225"/>
      <c r="I36" s="225"/>
      <c r="J36" s="225"/>
      <c r="K36" s="225"/>
      <c r="L36" s="225"/>
      <c r="M36" s="225"/>
      <c r="N36" s="225"/>
      <c r="O36" s="226"/>
    </row>
    <row r="37" spans="2:25" ht="15.75" customHeight="1">
      <c r="B37" s="215"/>
      <c r="C37" s="24" t="s">
        <v>104</v>
      </c>
      <c r="D37" s="12" t="s">
        <v>135</v>
      </c>
      <c r="E37" s="12" t="s">
        <v>136</v>
      </c>
      <c r="F37" s="12" t="s">
        <v>151</v>
      </c>
      <c r="G37" s="12" t="s">
        <v>152</v>
      </c>
      <c r="H37" s="12" t="s">
        <v>153</v>
      </c>
      <c r="I37" s="12" t="s">
        <v>154</v>
      </c>
      <c r="J37" s="12" t="s">
        <v>155</v>
      </c>
      <c r="K37" s="12" t="s">
        <v>156</v>
      </c>
      <c r="L37" s="12" t="s">
        <v>157</v>
      </c>
      <c r="M37" s="12" t="s">
        <v>158</v>
      </c>
      <c r="N37" s="12" t="s">
        <v>159</v>
      </c>
      <c r="O37" s="38" t="s">
        <v>160</v>
      </c>
    </row>
    <row r="38" spans="2:25">
      <c r="B38" s="215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W38" s="1"/>
      <c r="X38" s="1"/>
      <c r="Y38" s="1"/>
    </row>
    <row r="39" spans="2:25" ht="15.75">
      <c r="B39" s="215"/>
      <c r="C39" s="24" t="s">
        <v>161</v>
      </c>
      <c r="D39" s="12" t="s">
        <v>162</v>
      </c>
      <c r="E39" s="12" t="s">
        <v>163</v>
      </c>
      <c r="F39" s="12" t="s">
        <v>164</v>
      </c>
      <c r="G39" s="8" t="s">
        <v>165</v>
      </c>
      <c r="H39" s="8" t="s">
        <v>166</v>
      </c>
      <c r="I39" s="8" t="s">
        <v>167</v>
      </c>
      <c r="J39" s="8" t="s">
        <v>168</v>
      </c>
      <c r="K39" s="8" t="s">
        <v>169</v>
      </c>
      <c r="L39" s="8" t="s">
        <v>170</v>
      </c>
      <c r="M39" s="8" t="s">
        <v>171</v>
      </c>
      <c r="N39" s="8" t="s">
        <v>172</v>
      </c>
      <c r="O39" s="39" t="s">
        <v>75</v>
      </c>
      <c r="W39" s="1"/>
      <c r="X39" s="1"/>
      <c r="Y39" s="1"/>
    </row>
    <row r="40" spans="2:25">
      <c r="B40" s="21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40"/>
      <c r="W40" s="1"/>
      <c r="X40" s="1"/>
      <c r="Y40" s="1"/>
    </row>
    <row r="41" spans="2:25">
      <c r="B41" s="25"/>
      <c r="C41" s="26"/>
      <c r="D41" s="11"/>
      <c r="E41" s="11"/>
      <c r="F41" s="11"/>
      <c r="G41" s="11"/>
      <c r="H41" s="11"/>
      <c r="I41" s="11"/>
      <c r="J41" s="41"/>
      <c r="K41" s="11"/>
      <c r="L41" s="11"/>
      <c r="M41" s="11"/>
      <c r="N41" s="11"/>
      <c r="O41" s="42"/>
    </row>
    <row r="42" spans="2:25" ht="15.75" customHeight="1">
      <c r="B42" s="25"/>
      <c r="C42" s="24" t="s">
        <v>104</v>
      </c>
      <c r="D42" s="12" t="s">
        <v>135</v>
      </c>
      <c r="E42" s="12" t="s">
        <v>136</v>
      </c>
      <c r="F42" s="12" t="s">
        <v>151</v>
      </c>
      <c r="G42" s="12" t="s">
        <v>152</v>
      </c>
      <c r="H42" s="12" t="s">
        <v>153</v>
      </c>
      <c r="I42" s="12" t="s">
        <v>154</v>
      </c>
      <c r="J42" s="12" t="s">
        <v>155</v>
      </c>
      <c r="K42" s="12" t="s">
        <v>156</v>
      </c>
      <c r="L42" s="12" t="s">
        <v>157</v>
      </c>
      <c r="M42" s="12" t="s">
        <v>158</v>
      </c>
      <c r="N42" s="12" t="s">
        <v>159</v>
      </c>
      <c r="O42" s="38" t="s">
        <v>160</v>
      </c>
    </row>
    <row r="43" spans="2:25" ht="15" customHeight="1">
      <c r="B43" s="25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25" ht="15" customHeight="1">
      <c r="B44" s="25"/>
      <c r="C44" s="24" t="s">
        <v>161</v>
      </c>
      <c r="D44" s="12" t="s">
        <v>162</v>
      </c>
      <c r="E44" s="12" t="s">
        <v>163</v>
      </c>
      <c r="F44" s="12" t="s">
        <v>164</v>
      </c>
      <c r="G44" s="8" t="s">
        <v>165</v>
      </c>
      <c r="H44" s="8" t="s">
        <v>166</v>
      </c>
      <c r="I44" s="8" t="s">
        <v>167</v>
      </c>
      <c r="J44" s="8" t="s">
        <v>168</v>
      </c>
      <c r="K44" s="8" t="s">
        <v>169</v>
      </c>
      <c r="L44" s="8" t="s">
        <v>170</v>
      </c>
      <c r="M44" s="8" t="s">
        <v>171</v>
      </c>
      <c r="N44" s="8" t="s">
        <v>172</v>
      </c>
      <c r="O44" s="39" t="s">
        <v>75</v>
      </c>
      <c r="R44" s="61"/>
    </row>
    <row r="45" spans="2:25" ht="15" customHeight="1">
      <c r="B45" s="27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43"/>
      <c r="R45" s="62"/>
    </row>
    <row r="46" spans="2:25" ht="15.75" customHeight="1">
      <c r="J46" s="44"/>
      <c r="R46" s="63"/>
      <c r="Y46" s="1"/>
    </row>
    <row r="47" spans="2:25" ht="15.75">
      <c r="J47" s="44"/>
      <c r="R47" s="62"/>
    </row>
    <row r="48" spans="2:25">
      <c r="B48" s="216" t="s">
        <v>63</v>
      </c>
      <c r="C48" s="28" t="s">
        <v>103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64"/>
      <c r="R48" s="63"/>
    </row>
    <row r="49" spans="2:20">
      <c r="B49" s="217"/>
      <c r="C49" s="24" t="s">
        <v>104</v>
      </c>
      <c r="D49" s="12" t="s">
        <v>126</v>
      </c>
      <c r="E49" s="12" t="s">
        <v>173</v>
      </c>
      <c r="F49" s="12" t="s">
        <v>174</v>
      </c>
      <c r="G49" s="12" t="s">
        <v>175</v>
      </c>
      <c r="H49" s="12" t="s">
        <v>176</v>
      </c>
      <c r="I49" s="12" t="s">
        <v>177</v>
      </c>
      <c r="J49" s="12" t="s">
        <v>111</v>
      </c>
      <c r="K49" s="12" t="s">
        <v>178</v>
      </c>
      <c r="L49" s="12" t="s">
        <v>179</v>
      </c>
      <c r="M49" s="12" t="s">
        <v>180</v>
      </c>
      <c r="N49" s="12" t="s">
        <v>181</v>
      </c>
      <c r="O49" s="12" t="s">
        <v>182</v>
      </c>
      <c r="P49" s="12" t="s">
        <v>183</v>
      </c>
      <c r="Q49" s="38" t="s">
        <v>184</v>
      </c>
    </row>
    <row r="50" spans="2:20">
      <c r="B50" s="217"/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20" ht="15.75">
      <c r="B51" s="217"/>
      <c r="C51" s="24" t="s">
        <v>185</v>
      </c>
      <c r="D51" s="12" t="s">
        <v>186</v>
      </c>
      <c r="E51" s="12" t="s">
        <v>187</v>
      </c>
      <c r="F51" s="12" t="s">
        <v>188</v>
      </c>
      <c r="G51" s="12" t="s">
        <v>189</v>
      </c>
      <c r="H51" s="12" t="s">
        <v>190</v>
      </c>
      <c r="I51" s="8" t="s">
        <v>191</v>
      </c>
      <c r="J51" s="8" t="s">
        <v>192</v>
      </c>
      <c r="K51" s="8" t="s">
        <v>193</v>
      </c>
      <c r="L51" s="8" t="s">
        <v>136</v>
      </c>
      <c r="M51" s="8" t="s">
        <v>194</v>
      </c>
      <c r="N51" s="8" t="s">
        <v>132</v>
      </c>
      <c r="O51" s="8" t="s">
        <v>195</v>
      </c>
      <c r="P51" s="8" t="s">
        <v>196</v>
      </c>
      <c r="Q51" s="39" t="s">
        <v>75</v>
      </c>
    </row>
    <row r="52" spans="2:20" ht="15.75">
      <c r="B52" s="217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43"/>
    </row>
    <row r="53" spans="2:20">
      <c r="B53" s="25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42"/>
    </row>
    <row r="54" spans="2:20">
      <c r="B54" s="25"/>
      <c r="C54" s="24" t="s">
        <v>104</v>
      </c>
      <c r="D54" s="12" t="s">
        <v>126</v>
      </c>
      <c r="E54" s="12" t="s">
        <v>173</v>
      </c>
      <c r="F54" s="12" t="s">
        <v>174</v>
      </c>
      <c r="G54" s="12" t="s">
        <v>175</v>
      </c>
      <c r="H54" s="12" t="s">
        <v>176</v>
      </c>
      <c r="I54" s="12" t="s">
        <v>177</v>
      </c>
      <c r="J54" s="12" t="s">
        <v>111</v>
      </c>
      <c r="K54" s="12" t="s">
        <v>178</v>
      </c>
      <c r="L54" s="12" t="s">
        <v>179</v>
      </c>
      <c r="M54" s="12" t="s">
        <v>180</v>
      </c>
      <c r="N54" s="12" t="s">
        <v>181</v>
      </c>
      <c r="O54" s="12" t="s">
        <v>182</v>
      </c>
      <c r="P54" s="12" t="s">
        <v>183</v>
      </c>
      <c r="Q54" s="38" t="s">
        <v>184</v>
      </c>
    </row>
    <row r="55" spans="2:20">
      <c r="B55" s="25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20" ht="15.75">
      <c r="B56" s="25"/>
      <c r="C56" s="24" t="s">
        <v>185</v>
      </c>
      <c r="D56" s="12" t="s">
        <v>186</v>
      </c>
      <c r="E56" s="12" t="s">
        <v>187</v>
      </c>
      <c r="F56" s="12" t="s">
        <v>188</v>
      </c>
      <c r="G56" s="12" t="s">
        <v>189</v>
      </c>
      <c r="H56" s="12" t="s">
        <v>190</v>
      </c>
      <c r="I56" s="8" t="s">
        <v>191</v>
      </c>
      <c r="J56" s="8" t="s">
        <v>192</v>
      </c>
      <c r="K56" s="8" t="s">
        <v>193</v>
      </c>
      <c r="L56" s="8" t="s">
        <v>136</v>
      </c>
      <c r="M56" s="8" t="s">
        <v>194</v>
      </c>
      <c r="N56" s="8" t="s">
        <v>132</v>
      </c>
      <c r="O56" s="8" t="s">
        <v>195</v>
      </c>
      <c r="P56" s="8" t="s">
        <v>196</v>
      </c>
      <c r="Q56" s="39" t="s">
        <v>75</v>
      </c>
    </row>
    <row r="57" spans="2:20" ht="15.75">
      <c r="B57" s="14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43"/>
    </row>
    <row r="61" spans="2:20">
      <c r="B61" s="212" t="s">
        <v>197</v>
      </c>
      <c r="C61" s="223" t="s">
        <v>103</v>
      </c>
      <c r="D61" s="224"/>
      <c r="E61" s="224"/>
      <c r="F61" s="224"/>
      <c r="G61" s="224"/>
      <c r="H61" s="224"/>
      <c r="I61" s="224"/>
      <c r="J61" s="224"/>
      <c r="K61" s="224"/>
      <c r="L61" s="224"/>
      <c r="M61" s="224"/>
      <c r="N61" s="224"/>
      <c r="O61" s="224"/>
      <c r="P61" s="224"/>
      <c r="Q61" s="224"/>
      <c r="R61" s="208"/>
      <c r="S61" s="65"/>
      <c r="T61" s="66"/>
    </row>
    <row r="62" spans="2:20" ht="15.75">
      <c r="B62" s="212"/>
      <c r="C62" s="30" t="s">
        <v>104</v>
      </c>
      <c r="D62" s="30" t="s">
        <v>198</v>
      </c>
      <c r="E62" s="30" t="s">
        <v>199</v>
      </c>
      <c r="F62" s="30" t="s">
        <v>200</v>
      </c>
      <c r="G62" s="30" t="s">
        <v>201</v>
      </c>
      <c r="H62" s="30" t="s">
        <v>202</v>
      </c>
      <c r="I62" s="30" t="s">
        <v>203</v>
      </c>
      <c r="J62" s="30" t="s">
        <v>204</v>
      </c>
      <c r="K62" s="30" t="s">
        <v>205</v>
      </c>
      <c r="L62" s="30" t="s">
        <v>206</v>
      </c>
      <c r="M62" s="30" t="s">
        <v>207</v>
      </c>
      <c r="N62" s="30" t="s">
        <v>208</v>
      </c>
      <c r="O62" s="30" t="s">
        <v>209</v>
      </c>
      <c r="P62" s="30" t="s">
        <v>210</v>
      </c>
      <c r="Q62" s="30" t="s">
        <v>211</v>
      </c>
      <c r="R62" s="30" t="s">
        <v>212</v>
      </c>
      <c r="S62" s="67" t="s">
        <v>213</v>
      </c>
      <c r="T62" s="58" t="s">
        <v>75</v>
      </c>
    </row>
    <row r="63" spans="2:20" ht="15.75">
      <c r="B63" s="218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43"/>
    </row>
    <row r="64" spans="2:20">
      <c r="B64" s="218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68"/>
      <c r="T64" s="68"/>
    </row>
    <row r="65" spans="2:20" ht="15.75">
      <c r="B65" s="213"/>
      <c r="C65" s="69" t="s">
        <v>104</v>
      </c>
      <c r="D65" s="69" t="s">
        <v>198</v>
      </c>
      <c r="E65" s="69" t="s">
        <v>199</v>
      </c>
      <c r="F65" s="69" t="s">
        <v>200</v>
      </c>
      <c r="G65" s="69" t="s">
        <v>201</v>
      </c>
      <c r="H65" s="69" t="s">
        <v>202</v>
      </c>
      <c r="I65" s="69" t="s">
        <v>203</v>
      </c>
      <c r="J65" s="69" t="s">
        <v>204</v>
      </c>
      <c r="K65" s="69" t="s">
        <v>205</v>
      </c>
      <c r="L65" s="69" t="s">
        <v>206</v>
      </c>
      <c r="M65" s="69" t="s">
        <v>207</v>
      </c>
      <c r="N65" s="69" t="s">
        <v>208</v>
      </c>
      <c r="O65" s="69" t="s">
        <v>209</v>
      </c>
      <c r="P65" s="69" t="s">
        <v>210</v>
      </c>
      <c r="Q65" s="69" t="s">
        <v>211</v>
      </c>
      <c r="R65" s="69" t="s">
        <v>212</v>
      </c>
      <c r="S65" s="75" t="s">
        <v>213</v>
      </c>
      <c r="T65" s="60" t="s">
        <v>75</v>
      </c>
    </row>
    <row r="66" spans="2:20" ht="15.75">
      <c r="B66" s="22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43"/>
    </row>
    <row r="69" spans="2:20">
      <c r="B69" s="212" t="s">
        <v>214</v>
      </c>
      <c r="C69" s="223" t="s">
        <v>103</v>
      </c>
      <c r="D69" s="224"/>
      <c r="E69" s="224"/>
      <c r="F69" s="224"/>
      <c r="G69" s="224"/>
      <c r="H69" s="224"/>
      <c r="I69" s="224"/>
      <c r="J69" s="224"/>
      <c r="K69" s="224"/>
      <c r="L69" s="224"/>
      <c r="M69" s="224"/>
      <c r="N69" s="224"/>
      <c r="O69" s="224"/>
      <c r="P69" s="224"/>
      <c r="Q69" s="224"/>
      <c r="R69" s="208"/>
      <c r="S69" s="65"/>
      <c r="T69" s="66"/>
    </row>
    <row r="70" spans="2:20" ht="15.75">
      <c r="B70" s="212"/>
      <c r="C70" s="69" t="s">
        <v>104</v>
      </c>
      <c r="D70" s="69" t="s">
        <v>198</v>
      </c>
      <c r="E70" s="69" t="s">
        <v>199</v>
      </c>
      <c r="F70" s="69" t="s">
        <v>200</v>
      </c>
      <c r="G70" s="69" t="s">
        <v>201</v>
      </c>
      <c r="H70" s="69" t="s">
        <v>202</v>
      </c>
      <c r="I70" s="69" t="s">
        <v>203</v>
      </c>
      <c r="J70" s="69" t="s">
        <v>204</v>
      </c>
      <c r="K70" s="69" t="s">
        <v>205</v>
      </c>
      <c r="L70" s="69" t="s">
        <v>206</v>
      </c>
      <c r="M70" s="69" t="s">
        <v>207</v>
      </c>
      <c r="N70" s="69" t="s">
        <v>208</v>
      </c>
      <c r="O70" s="69" t="s">
        <v>209</v>
      </c>
      <c r="P70" s="69" t="s">
        <v>210</v>
      </c>
      <c r="Q70" s="69" t="s">
        <v>211</v>
      </c>
      <c r="R70" s="69" t="s">
        <v>212</v>
      </c>
      <c r="S70" s="75" t="s">
        <v>213</v>
      </c>
      <c r="T70" s="60" t="s">
        <v>75</v>
      </c>
    </row>
    <row r="71" spans="2:20" ht="15.75">
      <c r="B71" s="212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43"/>
    </row>
    <row r="72" spans="2:20">
      <c r="B72" s="218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68"/>
      <c r="T72" s="68"/>
    </row>
    <row r="73" spans="2:20" ht="15.75">
      <c r="B73" s="213"/>
      <c r="C73" s="69" t="s">
        <v>104</v>
      </c>
      <c r="D73" s="69" t="s">
        <v>198</v>
      </c>
      <c r="E73" s="69" t="s">
        <v>199</v>
      </c>
      <c r="F73" s="69" t="s">
        <v>200</v>
      </c>
      <c r="G73" s="69" t="s">
        <v>201</v>
      </c>
      <c r="H73" s="69" t="s">
        <v>202</v>
      </c>
      <c r="I73" s="69" t="s">
        <v>203</v>
      </c>
      <c r="J73" s="69" t="s">
        <v>204</v>
      </c>
      <c r="K73" s="69" t="s">
        <v>205</v>
      </c>
      <c r="L73" s="69" t="s">
        <v>206</v>
      </c>
      <c r="M73" s="69" t="s">
        <v>207</v>
      </c>
      <c r="N73" s="69" t="s">
        <v>208</v>
      </c>
      <c r="O73" s="69" t="s">
        <v>209</v>
      </c>
      <c r="P73" s="69" t="s">
        <v>210</v>
      </c>
      <c r="Q73" s="69" t="s">
        <v>211</v>
      </c>
      <c r="R73" s="69" t="s">
        <v>212</v>
      </c>
      <c r="S73" s="75" t="s">
        <v>213</v>
      </c>
      <c r="T73" s="60" t="s">
        <v>75</v>
      </c>
    </row>
    <row r="74" spans="2:20" ht="15.75">
      <c r="B74" s="22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43"/>
    </row>
    <row r="77" spans="2:20">
      <c r="B77" s="219" t="s">
        <v>92</v>
      </c>
      <c r="C77" s="208" t="s">
        <v>103</v>
      </c>
      <c r="D77" s="209"/>
      <c r="E77" s="209"/>
      <c r="F77" s="209"/>
      <c r="G77" s="209"/>
      <c r="H77" s="209"/>
      <c r="I77" s="209"/>
      <c r="J77" s="209"/>
      <c r="K77" s="209"/>
      <c r="L77" s="209"/>
      <c r="M77" s="209"/>
      <c r="N77" s="209"/>
      <c r="O77" s="209"/>
      <c r="P77" s="209"/>
      <c r="Q77" s="209"/>
      <c r="R77" s="70"/>
      <c r="S77" s="70"/>
      <c r="T77" s="15"/>
    </row>
    <row r="78" spans="2:20">
      <c r="B78" s="220"/>
      <c r="C78" s="17" t="s">
        <v>104</v>
      </c>
      <c r="D78" s="17" t="s">
        <v>215</v>
      </c>
      <c r="E78" s="17" t="s">
        <v>216</v>
      </c>
      <c r="F78" s="17" t="s">
        <v>217</v>
      </c>
      <c r="G78" s="17" t="s">
        <v>218</v>
      </c>
      <c r="H78" s="71" t="s">
        <v>219</v>
      </c>
      <c r="I78" s="71" t="s">
        <v>220</v>
      </c>
      <c r="J78" s="71" t="s">
        <v>221</v>
      </c>
      <c r="K78" s="71" t="s">
        <v>222</v>
      </c>
      <c r="L78" s="71" t="s">
        <v>135</v>
      </c>
      <c r="M78" s="17" t="s">
        <v>223</v>
      </c>
      <c r="N78" s="71" t="s">
        <v>224</v>
      </c>
      <c r="O78" s="71" t="s">
        <v>216</v>
      </c>
      <c r="P78" s="71" t="s">
        <v>225</v>
      </c>
      <c r="Q78" s="71" t="s">
        <v>226</v>
      </c>
      <c r="R78" s="71" t="s">
        <v>216</v>
      </c>
      <c r="S78" s="71" t="s">
        <v>227</v>
      </c>
      <c r="T78" s="69" t="s">
        <v>216</v>
      </c>
    </row>
    <row r="79" spans="2:20">
      <c r="B79" s="220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2:20" ht="15.75">
      <c r="B80" s="220"/>
      <c r="C80" s="69" t="s">
        <v>228</v>
      </c>
      <c r="D80" s="69" t="s">
        <v>229</v>
      </c>
      <c r="E80" s="69" t="s">
        <v>230</v>
      </c>
      <c r="F80" s="69" t="s">
        <v>216</v>
      </c>
      <c r="G80" s="69" t="s">
        <v>225</v>
      </c>
      <c r="H80" s="69" t="s">
        <v>231</v>
      </c>
      <c r="I80" s="69" t="s">
        <v>216</v>
      </c>
      <c r="J80" s="69" t="s">
        <v>232</v>
      </c>
      <c r="K80" s="69" t="s">
        <v>233</v>
      </c>
      <c r="L80" s="69" t="s">
        <v>234</v>
      </c>
      <c r="M80" s="69" t="s">
        <v>216</v>
      </c>
      <c r="N80" s="69" t="s">
        <v>235</v>
      </c>
      <c r="O80" s="75" t="s">
        <v>216</v>
      </c>
      <c r="P80" s="75" t="s">
        <v>236</v>
      </c>
      <c r="Q80" s="75" t="s">
        <v>216</v>
      </c>
      <c r="R80" s="75" t="s">
        <v>237</v>
      </c>
      <c r="S80" s="75" t="s">
        <v>216</v>
      </c>
      <c r="T80" s="60" t="s">
        <v>75</v>
      </c>
    </row>
    <row r="81" spans="2:20" ht="15.75">
      <c r="B81" s="220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43" t="s">
        <v>238</v>
      </c>
    </row>
    <row r="82" spans="2:20">
      <c r="B82" s="220"/>
      <c r="C82" s="72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31"/>
      <c r="Q82" s="31"/>
      <c r="R82" s="76"/>
      <c r="S82" s="68"/>
      <c r="T82" s="77"/>
    </row>
    <row r="83" spans="2:20">
      <c r="B83" s="220"/>
      <c r="C83" s="21" t="s">
        <v>104</v>
      </c>
      <c r="D83" s="21" t="s">
        <v>215</v>
      </c>
      <c r="E83" s="21" t="s">
        <v>216</v>
      </c>
      <c r="F83" s="21" t="s">
        <v>217</v>
      </c>
      <c r="G83" s="21" t="s">
        <v>218</v>
      </c>
      <c r="H83" s="69" t="s">
        <v>219</v>
      </c>
      <c r="I83" s="69" t="s">
        <v>220</v>
      </c>
      <c r="J83" s="69" t="s">
        <v>221</v>
      </c>
      <c r="K83" s="69" t="s">
        <v>222</v>
      </c>
      <c r="L83" s="69" t="s">
        <v>135</v>
      </c>
      <c r="M83" s="21" t="s">
        <v>223</v>
      </c>
      <c r="N83" s="69" t="s">
        <v>224</v>
      </c>
      <c r="O83" s="69" t="s">
        <v>216</v>
      </c>
      <c r="P83" s="69" t="s">
        <v>225</v>
      </c>
      <c r="Q83" s="69" t="s">
        <v>226</v>
      </c>
      <c r="R83" s="69" t="s">
        <v>216</v>
      </c>
      <c r="S83" s="69" t="s">
        <v>227</v>
      </c>
      <c r="T83" s="69" t="s">
        <v>216</v>
      </c>
    </row>
    <row r="84" spans="2:20">
      <c r="B84" s="73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2:20" ht="15.75">
      <c r="B85" s="73"/>
      <c r="C85" s="69" t="s">
        <v>228</v>
      </c>
      <c r="D85" s="69" t="s">
        <v>229</v>
      </c>
      <c r="E85" s="69" t="s">
        <v>230</v>
      </c>
      <c r="F85" s="69" t="s">
        <v>216</v>
      </c>
      <c r="G85" s="69" t="s">
        <v>225</v>
      </c>
      <c r="H85" s="69" t="s">
        <v>231</v>
      </c>
      <c r="I85" s="69" t="s">
        <v>216</v>
      </c>
      <c r="J85" s="69" t="s">
        <v>232</v>
      </c>
      <c r="K85" s="69" t="s">
        <v>233</v>
      </c>
      <c r="L85" s="69" t="s">
        <v>234</v>
      </c>
      <c r="M85" s="69" t="s">
        <v>216</v>
      </c>
      <c r="N85" s="69" t="s">
        <v>235</v>
      </c>
      <c r="O85" s="75" t="s">
        <v>216</v>
      </c>
      <c r="P85" s="75" t="s">
        <v>236</v>
      </c>
      <c r="Q85" s="75" t="s">
        <v>216</v>
      </c>
      <c r="R85" s="75" t="s">
        <v>237</v>
      </c>
      <c r="S85" s="75" t="s">
        <v>216</v>
      </c>
      <c r="T85" s="58" t="s">
        <v>75</v>
      </c>
    </row>
    <row r="86" spans="2:20" ht="15.75">
      <c r="B86" s="74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43"/>
    </row>
  </sheetData>
  <mergeCells count="15">
    <mergeCell ref="B2:E3"/>
    <mergeCell ref="F2:H3"/>
    <mergeCell ref="C77:Q77"/>
    <mergeCell ref="B12:B18"/>
    <mergeCell ref="B25:B29"/>
    <mergeCell ref="B36:B40"/>
    <mergeCell ref="B48:B52"/>
    <mergeCell ref="B61:B65"/>
    <mergeCell ref="B69:B73"/>
    <mergeCell ref="B77:B83"/>
    <mergeCell ref="C12:Q12"/>
    <mergeCell ref="C25:R25"/>
    <mergeCell ref="C36:O36"/>
    <mergeCell ref="C61:R61"/>
    <mergeCell ref="C69:R6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30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2018-05-18T12:00:00Z</cp:lastPrinted>
  <dcterms:created xsi:type="dcterms:W3CDTF">2013-08-23T16:44:00Z</dcterms:created>
  <dcterms:modified xsi:type="dcterms:W3CDTF">2024-10-01T12:42:02Z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29B6B2F9E06F44349954069453EA1FDF</vt:lpwstr>
  </property>
  <property fmtid="{D5CDD505-2E9C-101B-9397-08002B2CF9AE}" pid="3" name="KSOProductBuildVer">
    <vt:lpwstr>1033-11.2.0.11219</vt:lpwstr>
  </property>
</Properties>
</file>